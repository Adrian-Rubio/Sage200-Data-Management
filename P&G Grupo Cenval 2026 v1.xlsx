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\\NAS\gerencia\Financiero\presupuesto 2026\"/>
    </mc:Choice>
  </mc:AlternateContent>
  <xr:revisionPtr revIDLastSave="0" documentId="13_ncr:1_{5060D9FF-F9BC-4D8F-95BF-941931DE1DF5}" xr6:coauthVersionLast="47" xr6:coauthVersionMax="47" xr10:uidLastSave="{00000000-0000-0000-0000-000000000000}"/>
  <bookViews>
    <workbookView xWindow="-28920" yWindow="1710" windowWidth="29040" windowHeight="15720" tabRatio="500" firstSheet="1" activeTab="1" xr2:uid="{00000000-000D-0000-FFFF-FFFF00000000}"/>
  </bookViews>
  <sheets>
    <sheet name="presupuesto ventas cenval indus" sheetId="5" state="hidden" r:id="rId1"/>
    <sheet name="Cenvalsa industrial" sheetId="1" r:id="rId2"/>
    <sheet name="Cenval" sheetId="9" r:id="rId3"/>
    <sheet name="D&amp;M" sheetId="3" r:id="rId4"/>
    <sheet name="Saratur" sheetId="2" r:id="rId5"/>
    <sheet name="consolidado DM" sheetId="10" state="hidden" r:id="rId6"/>
    <sheet name="Total grupo" sheetId="13" r:id="rId7"/>
    <sheet name="jardin 26" sheetId="11" state="hidden" r:id="rId8"/>
    <sheet name="Gula 26" sheetId="12" state="hidden" r:id="rId9"/>
    <sheet name="PYG GULAH" sheetId="6" state="hidden" r:id="rId10"/>
    <sheet name="PYG JARDIN" sheetId="7" state="hidden" r:id="rId11"/>
    <sheet name="PYG CONSOLIDADO D&amp;M" sheetId="8" state="hidden" r:id="rId12"/>
  </sheets>
  <externalReferences>
    <externalReference r:id="rId13"/>
    <externalReference r:id="rId14"/>
    <externalReference r:id="rId1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8" i="13" l="1"/>
  <c r="S48" i="13"/>
  <c r="T48" i="13"/>
  <c r="U48" i="13"/>
  <c r="V48" i="13"/>
  <c r="W48" i="13"/>
  <c r="X48" i="13"/>
  <c r="Y48" i="13"/>
  <c r="Z48" i="13"/>
  <c r="AA48" i="13"/>
  <c r="AB48" i="13"/>
  <c r="AC48" i="13"/>
  <c r="R49" i="13"/>
  <c r="S49" i="13"/>
  <c r="T49" i="13"/>
  <c r="U49" i="13"/>
  <c r="V49" i="13"/>
  <c r="W49" i="13"/>
  <c r="X49" i="13"/>
  <c r="Y49" i="13"/>
  <c r="Z49" i="13"/>
  <c r="AA49" i="13"/>
  <c r="AB49" i="13"/>
  <c r="AC49" i="13"/>
  <c r="R50" i="13"/>
  <c r="S50" i="13"/>
  <c r="T50" i="13"/>
  <c r="U50" i="13"/>
  <c r="V50" i="13"/>
  <c r="W50" i="13"/>
  <c r="X50" i="13"/>
  <c r="Y50" i="13"/>
  <c r="Z50" i="13"/>
  <c r="AA50" i="13"/>
  <c r="AB50" i="13"/>
  <c r="AD50" i="13" s="1"/>
  <c r="AC50" i="13"/>
  <c r="R51" i="13"/>
  <c r="S51" i="13"/>
  <c r="T51" i="13"/>
  <c r="U51" i="13"/>
  <c r="V51" i="13"/>
  <c r="W51" i="13"/>
  <c r="X51" i="13"/>
  <c r="Y51" i="13"/>
  <c r="Z51" i="13"/>
  <c r="AA51" i="13"/>
  <c r="AB51" i="13"/>
  <c r="AC51" i="13"/>
  <c r="R52" i="13"/>
  <c r="S52" i="13"/>
  <c r="T52" i="13"/>
  <c r="U52" i="13"/>
  <c r="V52" i="13"/>
  <c r="W52" i="13"/>
  <c r="X52" i="13"/>
  <c r="Y52" i="13"/>
  <c r="Z52" i="13"/>
  <c r="AA52" i="13"/>
  <c r="AB52" i="13"/>
  <c r="AC52" i="13"/>
  <c r="R53" i="13"/>
  <c r="S53" i="13"/>
  <c r="T53" i="13"/>
  <c r="U53" i="13"/>
  <c r="V53" i="13"/>
  <c r="W53" i="13"/>
  <c r="X53" i="13"/>
  <c r="Y53" i="13"/>
  <c r="Z53" i="13"/>
  <c r="AA53" i="13"/>
  <c r="AB53" i="13"/>
  <c r="AC53" i="13"/>
  <c r="R54" i="13"/>
  <c r="S54" i="13"/>
  <c r="T54" i="13"/>
  <c r="U54" i="13"/>
  <c r="V54" i="13"/>
  <c r="W54" i="13"/>
  <c r="X54" i="13"/>
  <c r="Y54" i="13"/>
  <c r="Z54" i="13"/>
  <c r="AA54" i="13"/>
  <c r="AB54" i="13"/>
  <c r="AC54" i="13"/>
  <c r="R55" i="13"/>
  <c r="S55" i="13"/>
  <c r="T55" i="13"/>
  <c r="U55" i="13"/>
  <c r="V55" i="13"/>
  <c r="W55" i="13"/>
  <c r="X55" i="13"/>
  <c r="Y55" i="13"/>
  <c r="Z55" i="13"/>
  <c r="AA55" i="13"/>
  <c r="AB55" i="13"/>
  <c r="AC55" i="13"/>
  <c r="R56" i="13"/>
  <c r="S56" i="13"/>
  <c r="T56" i="13"/>
  <c r="U56" i="13"/>
  <c r="V56" i="13"/>
  <c r="W56" i="13"/>
  <c r="X56" i="13"/>
  <c r="Y56" i="13"/>
  <c r="Z56" i="13"/>
  <c r="AA56" i="13"/>
  <c r="AB56" i="13"/>
  <c r="AC56" i="13"/>
  <c r="R57" i="13"/>
  <c r="S57" i="13"/>
  <c r="T57" i="13"/>
  <c r="U57" i="13"/>
  <c r="V57" i="13"/>
  <c r="W57" i="13"/>
  <c r="X57" i="13"/>
  <c r="Y57" i="13"/>
  <c r="Z57" i="13"/>
  <c r="AA57" i="13"/>
  <c r="AB57" i="13"/>
  <c r="AC57" i="13"/>
  <c r="R58" i="13"/>
  <c r="S58" i="13"/>
  <c r="T58" i="13"/>
  <c r="U58" i="13"/>
  <c r="V58" i="13"/>
  <c r="W58" i="13"/>
  <c r="X58" i="13"/>
  <c r="Y58" i="13"/>
  <c r="Z58" i="13"/>
  <c r="AA58" i="13"/>
  <c r="AB58" i="13"/>
  <c r="AC58" i="13"/>
  <c r="R59" i="13"/>
  <c r="S59" i="13"/>
  <c r="T59" i="13"/>
  <c r="U59" i="13"/>
  <c r="V59" i="13"/>
  <c r="W59" i="13"/>
  <c r="X59" i="13"/>
  <c r="Y59" i="13"/>
  <c r="Z59" i="13"/>
  <c r="AA59" i="13"/>
  <c r="AB59" i="13"/>
  <c r="AC59" i="13"/>
  <c r="R60" i="13"/>
  <c r="S60" i="13"/>
  <c r="T60" i="13"/>
  <c r="U60" i="13"/>
  <c r="V60" i="13"/>
  <c r="W60" i="13"/>
  <c r="X60" i="13"/>
  <c r="Y60" i="13"/>
  <c r="Z60" i="13"/>
  <c r="AA60" i="13"/>
  <c r="AB60" i="13"/>
  <c r="AC60" i="13"/>
  <c r="R62" i="13"/>
  <c r="S62" i="13"/>
  <c r="T62" i="13"/>
  <c r="U62" i="13"/>
  <c r="V62" i="13"/>
  <c r="W62" i="13"/>
  <c r="X62" i="13"/>
  <c r="Y62" i="13"/>
  <c r="Z62" i="13"/>
  <c r="AA62" i="13"/>
  <c r="AB62" i="13"/>
  <c r="AC62" i="13"/>
  <c r="R63" i="13"/>
  <c r="S63" i="13"/>
  <c r="T63" i="13"/>
  <c r="U63" i="13"/>
  <c r="V63" i="13"/>
  <c r="W63" i="13"/>
  <c r="X63" i="13"/>
  <c r="Y63" i="13"/>
  <c r="Z63" i="13"/>
  <c r="AA63" i="13"/>
  <c r="AB63" i="13"/>
  <c r="AC63" i="13"/>
  <c r="R64" i="13"/>
  <c r="S64" i="13"/>
  <c r="T64" i="13"/>
  <c r="U64" i="13"/>
  <c r="V64" i="13"/>
  <c r="W64" i="13"/>
  <c r="X64" i="13"/>
  <c r="Y64" i="13"/>
  <c r="Z64" i="13"/>
  <c r="AA64" i="13"/>
  <c r="AB64" i="13"/>
  <c r="AC64" i="13"/>
  <c r="R65" i="13"/>
  <c r="S65" i="13"/>
  <c r="T65" i="13"/>
  <c r="U65" i="13"/>
  <c r="V65" i="13"/>
  <c r="W65" i="13"/>
  <c r="X65" i="13"/>
  <c r="Y65" i="13"/>
  <c r="Z65" i="13"/>
  <c r="AA65" i="13"/>
  <c r="AB65" i="13"/>
  <c r="AC65" i="13"/>
  <c r="R66" i="13"/>
  <c r="S66" i="13"/>
  <c r="T66" i="13"/>
  <c r="U66" i="13"/>
  <c r="V66" i="13"/>
  <c r="W66" i="13"/>
  <c r="X66" i="13"/>
  <c r="Y66" i="13"/>
  <c r="Z66" i="13"/>
  <c r="AA66" i="13"/>
  <c r="AB66" i="13"/>
  <c r="AC66" i="13"/>
  <c r="R67" i="13"/>
  <c r="S67" i="13"/>
  <c r="T67" i="13"/>
  <c r="U67" i="13"/>
  <c r="V67" i="13"/>
  <c r="W67" i="13"/>
  <c r="X67" i="13"/>
  <c r="Y67" i="13"/>
  <c r="Z67" i="13"/>
  <c r="AA67" i="13"/>
  <c r="AB67" i="13"/>
  <c r="AC67" i="13"/>
  <c r="R68" i="13"/>
  <c r="S68" i="13"/>
  <c r="T68" i="13"/>
  <c r="U68" i="13"/>
  <c r="V68" i="13"/>
  <c r="W68" i="13"/>
  <c r="X68" i="13"/>
  <c r="Y68" i="13"/>
  <c r="Z68" i="13"/>
  <c r="AA68" i="13"/>
  <c r="AB68" i="13"/>
  <c r="AC68" i="13"/>
  <c r="R69" i="13"/>
  <c r="S69" i="13"/>
  <c r="T69" i="13"/>
  <c r="U69" i="13"/>
  <c r="V69" i="13"/>
  <c r="W69" i="13"/>
  <c r="X69" i="13"/>
  <c r="Y69" i="13"/>
  <c r="Z69" i="13"/>
  <c r="AA69" i="13"/>
  <c r="AB69" i="13"/>
  <c r="AC69" i="13"/>
  <c r="R70" i="13"/>
  <c r="S70" i="13"/>
  <c r="T70" i="13"/>
  <c r="U70" i="13"/>
  <c r="V70" i="13"/>
  <c r="W70" i="13"/>
  <c r="X70" i="13"/>
  <c r="Y70" i="13"/>
  <c r="Z70" i="13"/>
  <c r="AA70" i="13"/>
  <c r="AB70" i="13"/>
  <c r="AC70" i="13"/>
  <c r="R71" i="13"/>
  <c r="S71" i="13"/>
  <c r="T71" i="13"/>
  <c r="U71" i="13"/>
  <c r="V71" i="13"/>
  <c r="W71" i="13"/>
  <c r="X71" i="13"/>
  <c r="Y71" i="13"/>
  <c r="Z71" i="13"/>
  <c r="AA71" i="13"/>
  <c r="AB71" i="13"/>
  <c r="AC71" i="13"/>
  <c r="R73" i="13"/>
  <c r="S73" i="13"/>
  <c r="T73" i="13"/>
  <c r="U73" i="13"/>
  <c r="V73" i="13"/>
  <c r="W73" i="13"/>
  <c r="X73" i="13"/>
  <c r="Y73" i="13"/>
  <c r="Z73" i="13"/>
  <c r="AA73" i="13"/>
  <c r="AB73" i="13"/>
  <c r="AC73" i="13"/>
  <c r="R74" i="13"/>
  <c r="S74" i="13"/>
  <c r="T74" i="13"/>
  <c r="U74" i="13"/>
  <c r="V74" i="13"/>
  <c r="W74" i="13"/>
  <c r="X74" i="13"/>
  <c r="Y74" i="13"/>
  <c r="Z74" i="13"/>
  <c r="AA74" i="13"/>
  <c r="AB74" i="13"/>
  <c r="AC74" i="13"/>
  <c r="R75" i="13"/>
  <c r="S75" i="13"/>
  <c r="T75" i="13"/>
  <c r="U75" i="13"/>
  <c r="V75" i="13"/>
  <c r="W75" i="13"/>
  <c r="X75" i="13"/>
  <c r="Y75" i="13"/>
  <c r="Z75" i="13"/>
  <c r="AA75" i="13"/>
  <c r="AB75" i="13"/>
  <c r="AC75" i="13"/>
  <c r="R76" i="13"/>
  <c r="S76" i="13"/>
  <c r="T76" i="13"/>
  <c r="U76" i="13"/>
  <c r="V76" i="13"/>
  <c r="W76" i="13"/>
  <c r="X76" i="13"/>
  <c r="Y76" i="13"/>
  <c r="Z76" i="13"/>
  <c r="AA76" i="13"/>
  <c r="AB76" i="13"/>
  <c r="AC76" i="13"/>
  <c r="R79" i="13"/>
  <c r="S79" i="13"/>
  <c r="T79" i="13"/>
  <c r="U79" i="13"/>
  <c r="V79" i="13"/>
  <c r="W79" i="13"/>
  <c r="X79" i="13"/>
  <c r="Y79" i="13"/>
  <c r="Z79" i="13"/>
  <c r="AA79" i="13"/>
  <c r="AB79" i="13"/>
  <c r="AC79" i="13"/>
  <c r="R80" i="13"/>
  <c r="S80" i="13"/>
  <c r="T80" i="13"/>
  <c r="U80" i="13"/>
  <c r="V80" i="13"/>
  <c r="W80" i="13"/>
  <c r="X80" i="13"/>
  <c r="Y80" i="13"/>
  <c r="Z80" i="13"/>
  <c r="AA80" i="13"/>
  <c r="AB80" i="13"/>
  <c r="AC80" i="13"/>
  <c r="R81" i="13"/>
  <c r="S81" i="13"/>
  <c r="T81" i="13"/>
  <c r="U81" i="13"/>
  <c r="V81" i="13"/>
  <c r="W81" i="13"/>
  <c r="X81" i="13"/>
  <c r="Y81" i="13"/>
  <c r="Z81" i="13"/>
  <c r="AA81" i="13"/>
  <c r="AB81" i="13"/>
  <c r="AC81" i="13"/>
  <c r="R82" i="13"/>
  <c r="S82" i="13"/>
  <c r="T82" i="13"/>
  <c r="U82" i="13"/>
  <c r="V82" i="13"/>
  <c r="W82" i="13"/>
  <c r="X82" i="13"/>
  <c r="Y82" i="13"/>
  <c r="Z82" i="13"/>
  <c r="AA82" i="13"/>
  <c r="AB82" i="13"/>
  <c r="AC82" i="13"/>
  <c r="R83" i="13"/>
  <c r="S83" i="13"/>
  <c r="T83" i="13"/>
  <c r="U83" i="13"/>
  <c r="V83" i="13"/>
  <c r="W83" i="13"/>
  <c r="X83" i="13"/>
  <c r="Y83" i="13"/>
  <c r="Z83" i="13"/>
  <c r="AA83" i="13"/>
  <c r="AB83" i="13"/>
  <c r="AC83" i="13"/>
  <c r="R84" i="13"/>
  <c r="S84" i="13"/>
  <c r="T84" i="13"/>
  <c r="U84" i="13"/>
  <c r="V84" i="13"/>
  <c r="W84" i="13"/>
  <c r="X84" i="13"/>
  <c r="Y84" i="13"/>
  <c r="Z84" i="13"/>
  <c r="AA84" i="13"/>
  <c r="AB84" i="13"/>
  <c r="AC84" i="13"/>
  <c r="R85" i="13"/>
  <c r="S85" i="13"/>
  <c r="AD85" i="13" s="1"/>
  <c r="T85" i="13"/>
  <c r="U85" i="13"/>
  <c r="V85" i="13"/>
  <c r="W85" i="13"/>
  <c r="X85" i="13"/>
  <c r="Y85" i="13"/>
  <c r="Z85" i="13"/>
  <c r="AA85" i="13"/>
  <c r="AB85" i="13"/>
  <c r="AC85" i="13"/>
  <c r="R86" i="13"/>
  <c r="S86" i="13"/>
  <c r="T86" i="13"/>
  <c r="U86" i="13"/>
  <c r="V86" i="13"/>
  <c r="W86" i="13"/>
  <c r="X86" i="13"/>
  <c r="Y86" i="13"/>
  <c r="Z86" i="13"/>
  <c r="AA86" i="13"/>
  <c r="AB86" i="13"/>
  <c r="AC86" i="13"/>
  <c r="R87" i="13"/>
  <c r="S87" i="13"/>
  <c r="T87" i="13"/>
  <c r="U87" i="13"/>
  <c r="V87" i="13"/>
  <c r="W87" i="13"/>
  <c r="X87" i="13"/>
  <c r="Y87" i="13"/>
  <c r="Z87" i="13"/>
  <c r="AA87" i="13"/>
  <c r="AB87" i="13"/>
  <c r="AC87" i="13"/>
  <c r="R88" i="13"/>
  <c r="S88" i="13"/>
  <c r="T88" i="13"/>
  <c r="U88" i="13"/>
  <c r="V88" i="13"/>
  <c r="W88" i="13"/>
  <c r="X88" i="13"/>
  <c r="Y88" i="13"/>
  <c r="Z88" i="13"/>
  <c r="AA88" i="13"/>
  <c r="AB88" i="13"/>
  <c r="AC88" i="13"/>
  <c r="R90" i="13"/>
  <c r="S90" i="13"/>
  <c r="T90" i="13"/>
  <c r="U90" i="13"/>
  <c r="V90" i="13"/>
  <c r="W90" i="13"/>
  <c r="X90" i="13"/>
  <c r="Y90" i="13"/>
  <c r="Z90" i="13"/>
  <c r="AA90" i="13"/>
  <c r="AB90" i="13"/>
  <c r="AC90" i="13"/>
  <c r="R91" i="13"/>
  <c r="S91" i="13"/>
  <c r="T91" i="13"/>
  <c r="U91" i="13"/>
  <c r="V91" i="13"/>
  <c r="W91" i="13"/>
  <c r="X91" i="13"/>
  <c r="Y91" i="13"/>
  <c r="Z91" i="13"/>
  <c r="AA91" i="13"/>
  <c r="AB91" i="13"/>
  <c r="AC91" i="13"/>
  <c r="R92" i="13"/>
  <c r="S92" i="13"/>
  <c r="T92" i="13"/>
  <c r="U92" i="13"/>
  <c r="V92" i="13"/>
  <c r="W92" i="13"/>
  <c r="X92" i="13"/>
  <c r="Y92" i="13"/>
  <c r="Z92" i="13"/>
  <c r="AA92" i="13"/>
  <c r="AB92" i="13"/>
  <c r="AC92" i="13"/>
  <c r="R93" i="13"/>
  <c r="S93" i="13"/>
  <c r="T93" i="13"/>
  <c r="U93" i="13"/>
  <c r="V93" i="13"/>
  <c r="W93" i="13"/>
  <c r="X93" i="13"/>
  <c r="Y93" i="13"/>
  <c r="Z93" i="13"/>
  <c r="AA93" i="13"/>
  <c r="AB93" i="13"/>
  <c r="AC93" i="13"/>
  <c r="R94" i="13"/>
  <c r="S94" i="13"/>
  <c r="T94" i="13"/>
  <c r="U94" i="13"/>
  <c r="V94" i="13"/>
  <c r="W94" i="13"/>
  <c r="X94" i="13"/>
  <c r="Y94" i="13"/>
  <c r="Z94" i="13"/>
  <c r="AA94" i="13"/>
  <c r="AB94" i="13"/>
  <c r="AC94" i="13"/>
  <c r="R95" i="13"/>
  <c r="S95" i="13"/>
  <c r="T95" i="13"/>
  <c r="U95" i="13"/>
  <c r="V95" i="13"/>
  <c r="W95" i="13"/>
  <c r="X95" i="13"/>
  <c r="Y95" i="13"/>
  <c r="Z95" i="13"/>
  <c r="AA95" i="13"/>
  <c r="AB95" i="13"/>
  <c r="AC95" i="13"/>
  <c r="R96" i="13"/>
  <c r="S96" i="13"/>
  <c r="T96" i="13"/>
  <c r="U96" i="13"/>
  <c r="V96" i="13"/>
  <c r="W96" i="13"/>
  <c r="X96" i="13"/>
  <c r="Y96" i="13"/>
  <c r="Z96" i="13"/>
  <c r="AA96" i="13"/>
  <c r="AB96" i="13"/>
  <c r="AC96" i="13"/>
  <c r="R97" i="13"/>
  <c r="S97" i="13"/>
  <c r="T97" i="13"/>
  <c r="U97" i="13"/>
  <c r="V97" i="13"/>
  <c r="W97" i="13"/>
  <c r="X97" i="13"/>
  <c r="Y97" i="13"/>
  <c r="Z97" i="13"/>
  <c r="AA97" i="13"/>
  <c r="AB97" i="13"/>
  <c r="AC97" i="13"/>
  <c r="R98" i="13"/>
  <c r="S98" i="13"/>
  <c r="T98" i="13"/>
  <c r="U98" i="13"/>
  <c r="V98" i="13"/>
  <c r="W98" i="13"/>
  <c r="X98" i="13"/>
  <c r="Y98" i="13"/>
  <c r="Z98" i="13"/>
  <c r="AA98" i="13"/>
  <c r="AB98" i="13"/>
  <c r="AC98" i="13"/>
  <c r="R99" i="13"/>
  <c r="S99" i="13"/>
  <c r="T99" i="13"/>
  <c r="U99" i="13"/>
  <c r="V99" i="13"/>
  <c r="W99" i="13"/>
  <c r="X99" i="13"/>
  <c r="Y99" i="13"/>
  <c r="Z99" i="13"/>
  <c r="AA99" i="13"/>
  <c r="AB99" i="13"/>
  <c r="AC99" i="13"/>
  <c r="R100" i="13"/>
  <c r="S100" i="13"/>
  <c r="T100" i="13"/>
  <c r="U100" i="13"/>
  <c r="V100" i="13"/>
  <c r="W100" i="13"/>
  <c r="X100" i="13"/>
  <c r="Y100" i="13"/>
  <c r="Z100" i="13"/>
  <c r="AA100" i="13"/>
  <c r="AB100" i="13"/>
  <c r="AC100" i="13"/>
  <c r="R101" i="13"/>
  <c r="S101" i="13"/>
  <c r="T101" i="13"/>
  <c r="U101" i="13"/>
  <c r="V101" i="13"/>
  <c r="W101" i="13"/>
  <c r="X101" i="13"/>
  <c r="Y101" i="13"/>
  <c r="Z101" i="13"/>
  <c r="AA101" i="13"/>
  <c r="AB101" i="13"/>
  <c r="AC101" i="13"/>
  <c r="R102" i="13"/>
  <c r="S102" i="13"/>
  <c r="T102" i="13"/>
  <c r="U102" i="13"/>
  <c r="V102" i="13"/>
  <c r="W102" i="13"/>
  <c r="X102" i="13"/>
  <c r="Y102" i="13"/>
  <c r="Z102" i="13"/>
  <c r="AA102" i="13"/>
  <c r="AB102" i="13"/>
  <c r="AC102" i="13"/>
  <c r="R103" i="13"/>
  <c r="S103" i="13"/>
  <c r="T103" i="13"/>
  <c r="U103" i="13"/>
  <c r="V103" i="13"/>
  <c r="W103" i="13"/>
  <c r="X103" i="13"/>
  <c r="Y103" i="13"/>
  <c r="Z103" i="13"/>
  <c r="AA103" i="13"/>
  <c r="AB103" i="13"/>
  <c r="AC103" i="13"/>
  <c r="R104" i="13"/>
  <c r="S104" i="13"/>
  <c r="T104" i="13"/>
  <c r="U104" i="13"/>
  <c r="V104" i="13"/>
  <c r="W104" i="13"/>
  <c r="X104" i="13"/>
  <c r="Y104" i="13"/>
  <c r="Z104" i="13"/>
  <c r="AA104" i="13"/>
  <c r="AB104" i="13"/>
  <c r="AC104" i="13"/>
  <c r="R105" i="13"/>
  <c r="S105" i="13"/>
  <c r="T105" i="13"/>
  <c r="U105" i="13"/>
  <c r="V105" i="13"/>
  <c r="W105" i="13"/>
  <c r="X105" i="13"/>
  <c r="Y105" i="13"/>
  <c r="Z105" i="13"/>
  <c r="AA105" i="13"/>
  <c r="AB105" i="13"/>
  <c r="AC105" i="13"/>
  <c r="R106" i="13"/>
  <c r="S106" i="13"/>
  <c r="T106" i="13"/>
  <c r="U106" i="13"/>
  <c r="V106" i="13"/>
  <c r="W106" i="13"/>
  <c r="X106" i="13"/>
  <c r="Y106" i="13"/>
  <c r="Z106" i="13"/>
  <c r="AA106" i="13"/>
  <c r="AB106" i="13"/>
  <c r="AC106" i="13"/>
  <c r="R107" i="13"/>
  <c r="S107" i="13"/>
  <c r="T107" i="13"/>
  <c r="U107" i="13"/>
  <c r="V107" i="13"/>
  <c r="W107" i="13"/>
  <c r="X107" i="13"/>
  <c r="Y107" i="13"/>
  <c r="Z107" i="13"/>
  <c r="AA107" i="13"/>
  <c r="AB107" i="13"/>
  <c r="AC107" i="13"/>
  <c r="R109" i="13"/>
  <c r="S109" i="13"/>
  <c r="T109" i="13"/>
  <c r="U109" i="13"/>
  <c r="V109" i="13"/>
  <c r="W109" i="13"/>
  <c r="X109" i="13"/>
  <c r="Y109" i="13"/>
  <c r="Z109" i="13"/>
  <c r="AA109" i="13"/>
  <c r="AB109" i="13"/>
  <c r="AC109" i="13"/>
  <c r="R110" i="13"/>
  <c r="S110" i="13"/>
  <c r="T110" i="13"/>
  <c r="U110" i="13"/>
  <c r="V110" i="13"/>
  <c r="W110" i="13"/>
  <c r="X110" i="13"/>
  <c r="Y110" i="13"/>
  <c r="Z110" i="13"/>
  <c r="AD110" i="13" s="1"/>
  <c r="AA110" i="13"/>
  <c r="AB110" i="13"/>
  <c r="AC110" i="13"/>
  <c r="R111" i="13"/>
  <c r="S111" i="13"/>
  <c r="T111" i="13"/>
  <c r="U111" i="13"/>
  <c r="V111" i="13"/>
  <c r="W111" i="13"/>
  <c r="X111" i="13"/>
  <c r="Y111" i="13"/>
  <c r="Z111" i="13"/>
  <c r="AA111" i="13"/>
  <c r="AB111" i="13"/>
  <c r="AC111" i="13"/>
  <c r="R112" i="13"/>
  <c r="S112" i="13"/>
  <c r="T112" i="13"/>
  <c r="U112" i="13"/>
  <c r="V112" i="13"/>
  <c r="W112" i="13"/>
  <c r="X112" i="13"/>
  <c r="Y112" i="13"/>
  <c r="Z112" i="13"/>
  <c r="AA112" i="13"/>
  <c r="AB112" i="13"/>
  <c r="AC112" i="13"/>
  <c r="R113" i="13"/>
  <c r="S113" i="13"/>
  <c r="T113" i="13"/>
  <c r="U113" i="13"/>
  <c r="V113" i="13"/>
  <c r="W113" i="13"/>
  <c r="X113" i="13"/>
  <c r="Y113" i="13"/>
  <c r="Z113" i="13"/>
  <c r="AA113" i="13"/>
  <c r="AB113" i="13"/>
  <c r="AC113" i="13"/>
  <c r="R114" i="13"/>
  <c r="S114" i="13"/>
  <c r="T114" i="13"/>
  <c r="U114" i="13"/>
  <c r="V114" i="13"/>
  <c r="W114" i="13"/>
  <c r="X114" i="13"/>
  <c r="Y114" i="13"/>
  <c r="AD114" i="13" s="1"/>
  <c r="Z114" i="13"/>
  <c r="AA114" i="13"/>
  <c r="AB114" i="13"/>
  <c r="AC114" i="13"/>
  <c r="R115" i="13"/>
  <c r="S115" i="13"/>
  <c r="T115" i="13"/>
  <c r="U115" i="13"/>
  <c r="V115" i="13"/>
  <c r="W115" i="13"/>
  <c r="X115" i="13"/>
  <c r="Y115" i="13"/>
  <c r="Z115" i="13"/>
  <c r="AA115" i="13"/>
  <c r="AB115" i="13"/>
  <c r="AC115" i="13"/>
  <c r="R116" i="13"/>
  <c r="S116" i="13"/>
  <c r="T116" i="13"/>
  <c r="U116" i="13"/>
  <c r="V116" i="13"/>
  <c r="W116" i="13"/>
  <c r="X116" i="13"/>
  <c r="Y116" i="13"/>
  <c r="Z116" i="13"/>
  <c r="AA116" i="13"/>
  <c r="AB116" i="13"/>
  <c r="AC116" i="13"/>
  <c r="R117" i="13"/>
  <c r="S117" i="13"/>
  <c r="T117" i="13"/>
  <c r="U117" i="13"/>
  <c r="V117" i="13"/>
  <c r="W117" i="13"/>
  <c r="X117" i="13"/>
  <c r="Y117" i="13"/>
  <c r="Z117" i="13"/>
  <c r="AA117" i="13"/>
  <c r="AB117" i="13"/>
  <c r="AC117" i="13"/>
  <c r="R118" i="13"/>
  <c r="S118" i="13"/>
  <c r="T118" i="13"/>
  <c r="U118" i="13"/>
  <c r="V118" i="13"/>
  <c r="W118" i="13"/>
  <c r="X118" i="13"/>
  <c r="Y118" i="13"/>
  <c r="Z118" i="13"/>
  <c r="AA118" i="13"/>
  <c r="AB118" i="13"/>
  <c r="AC118" i="13"/>
  <c r="R119" i="13"/>
  <c r="S119" i="13"/>
  <c r="T119" i="13"/>
  <c r="U119" i="13"/>
  <c r="V119" i="13"/>
  <c r="W119" i="13"/>
  <c r="X119" i="13"/>
  <c r="Y119" i="13"/>
  <c r="Z119" i="13"/>
  <c r="AA119" i="13"/>
  <c r="AB119" i="13"/>
  <c r="AC119" i="13"/>
  <c r="R120" i="13"/>
  <c r="S120" i="13"/>
  <c r="T120" i="13"/>
  <c r="U120" i="13"/>
  <c r="V120" i="13"/>
  <c r="W120" i="13"/>
  <c r="X120" i="13"/>
  <c r="Y120" i="13"/>
  <c r="Z120" i="13"/>
  <c r="AA120" i="13"/>
  <c r="AB120" i="13"/>
  <c r="AC120" i="13"/>
  <c r="R121" i="13"/>
  <c r="S121" i="13"/>
  <c r="T121" i="13"/>
  <c r="U121" i="13"/>
  <c r="V121" i="13"/>
  <c r="W121" i="13"/>
  <c r="X121" i="13"/>
  <c r="Y121" i="13"/>
  <c r="Z121" i="13"/>
  <c r="AA121" i="13"/>
  <c r="AB121" i="13"/>
  <c r="AC121" i="13"/>
  <c r="R39" i="13"/>
  <c r="S39" i="13"/>
  <c r="T39" i="13"/>
  <c r="U39" i="13"/>
  <c r="V39" i="13"/>
  <c r="W39" i="13"/>
  <c r="X39" i="13"/>
  <c r="Y39" i="13"/>
  <c r="Z39" i="13"/>
  <c r="AA39" i="13"/>
  <c r="AB39" i="13"/>
  <c r="AC39" i="13"/>
  <c r="R40" i="13"/>
  <c r="S40" i="13"/>
  <c r="T40" i="13"/>
  <c r="U40" i="13"/>
  <c r="V40" i="13"/>
  <c r="W40" i="13"/>
  <c r="X40" i="13"/>
  <c r="Y40" i="13"/>
  <c r="Z40" i="13"/>
  <c r="AA40" i="13"/>
  <c r="AB40" i="13"/>
  <c r="AC40" i="13"/>
  <c r="R41" i="13"/>
  <c r="S41" i="13"/>
  <c r="T41" i="13"/>
  <c r="U41" i="13"/>
  <c r="V41" i="13"/>
  <c r="W41" i="13"/>
  <c r="X41" i="13"/>
  <c r="Y41" i="13"/>
  <c r="Z41" i="13"/>
  <c r="AA41" i="13"/>
  <c r="AB41" i="13"/>
  <c r="AC41" i="13"/>
  <c r="R42" i="13"/>
  <c r="S42" i="13"/>
  <c r="T42" i="13"/>
  <c r="U42" i="13"/>
  <c r="V42" i="13"/>
  <c r="W42" i="13"/>
  <c r="X42" i="13"/>
  <c r="Y42" i="13"/>
  <c r="Z42" i="13"/>
  <c r="AA42" i="13"/>
  <c r="AB42" i="13"/>
  <c r="AC42" i="13"/>
  <c r="R43" i="13"/>
  <c r="S43" i="13"/>
  <c r="T43" i="13"/>
  <c r="U43" i="13"/>
  <c r="V43" i="13"/>
  <c r="W43" i="13"/>
  <c r="X43" i="13"/>
  <c r="Y43" i="13"/>
  <c r="Z43" i="13"/>
  <c r="AA43" i="13"/>
  <c r="AB43" i="13"/>
  <c r="AC43" i="13"/>
  <c r="R44" i="13"/>
  <c r="S44" i="13"/>
  <c r="T44" i="13"/>
  <c r="U44" i="13"/>
  <c r="V44" i="13"/>
  <c r="W44" i="13"/>
  <c r="X44" i="13"/>
  <c r="Y44" i="13"/>
  <c r="Z44" i="13"/>
  <c r="AA44" i="13"/>
  <c r="AB44" i="13"/>
  <c r="AC44" i="13"/>
  <c r="R45" i="13"/>
  <c r="S45" i="13"/>
  <c r="T45" i="13"/>
  <c r="U45" i="13"/>
  <c r="V45" i="13"/>
  <c r="W45" i="13"/>
  <c r="X45" i="13"/>
  <c r="Y45" i="13"/>
  <c r="Z45" i="13"/>
  <c r="AA45" i="13"/>
  <c r="AB45" i="13"/>
  <c r="AC45" i="13"/>
  <c r="R47" i="13"/>
  <c r="S47" i="13"/>
  <c r="T47" i="13"/>
  <c r="U47" i="13"/>
  <c r="V47" i="13"/>
  <c r="W47" i="13"/>
  <c r="X47" i="13"/>
  <c r="Y47" i="13"/>
  <c r="Z47" i="13"/>
  <c r="AA47" i="13"/>
  <c r="AB47" i="13"/>
  <c r="AC47" i="13"/>
  <c r="R29" i="13"/>
  <c r="S29" i="13"/>
  <c r="T29" i="13"/>
  <c r="U29" i="13"/>
  <c r="V29" i="13"/>
  <c r="W29" i="13"/>
  <c r="X29" i="13"/>
  <c r="Y29" i="13"/>
  <c r="Z29" i="13"/>
  <c r="AA29" i="13"/>
  <c r="AB29" i="13"/>
  <c r="AC29" i="13"/>
  <c r="R30" i="13"/>
  <c r="S30" i="13"/>
  <c r="T30" i="13"/>
  <c r="U30" i="13"/>
  <c r="V30" i="13"/>
  <c r="W30" i="13"/>
  <c r="X30" i="13"/>
  <c r="Y30" i="13"/>
  <c r="Z30" i="13"/>
  <c r="AA30" i="13"/>
  <c r="AB30" i="13"/>
  <c r="AC30" i="13"/>
  <c r="R31" i="13"/>
  <c r="S31" i="13"/>
  <c r="T31" i="13"/>
  <c r="U31" i="13"/>
  <c r="V31" i="13"/>
  <c r="W31" i="13"/>
  <c r="X31" i="13"/>
  <c r="Y31" i="13"/>
  <c r="Z31" i="13"/>
  <c r="AA31" i="13"/>
  <c r="AB31" i="13"/>
  <c r="AC31" i="13"/>
  <c r="R32" i="13"/>
  <c r="S32" i="13"/>
  <c r="T32" i="13"/>
  <c r="U32" i="13"/>
  <c r="V32" i="13"/>
  <c r="W32" i="13"/>
  <c r="X32" i="13"/>
  <c r="Y32" i="13"/>
  <c r="Z32" i="13"/>
  <c r="AA32" i="13"/>
  <c r="AB32" i="13"/>
  <c r="AC32" i="13"/>
  <c r="R34" i="13"/>
  <c r="S34" i="13"/>
  <c r="T34" i="13"/>
  <c r="U34" i="13"/>
  <c r="V34" i="13"/>
  <c r="W34" i="13"/>
  <c r="X34" i="13"/>
  <c r="Y34" i="13"/>
  <c r="Z34" i="13"/>
  <c r="AA34" i="13"/>
  <c r="AB34" i="13"/>
  <c r="AC34" i="13"/>
  <c r="R35" i="13"/>
  <c r="S35" i="13"/>
  <c r="T35" i="13"/>
  <c r="U35" i="13"/>
  <c r="V35" i="13"/>
  <c r="W35" i="13"/>
  <c r="X35" i="13"/>
  <c r="Y35" i="13"/>
  <c r="Z35" i="13"/>
  <c r="AA35" i="13"/>
  <c r="AB35" i="13"/>
  <c r="AC35" i="13"/>
  <c r="R36" i="13"/>
  <c r="S36" i="13"/>
  <c r="T36" i="13"/>
  <c r="U36" i="13"/>
  <c r="V36" i="13"/>
  <c r="W36" i="13"/>
  <c r="X36" i="13"/>
  <c r="Y36" i="13"/>
  <c r="Z36" i="13"/>
  <c r="AA36" i="13"/>
  <c r="AB36" i="13"/>
  <c r="AC36" i="13"/>
  <c r="R24" i="13"/>
  <c r="S24" i="13"/>
  <c r="T24" i="13"/>
  <c r="U24" i="13"/>
  <c r="V24" i="13"/>
  <c r="W24" i="13"/>
  <c r="X24" i="13"/>
  <c r="Y24" i="13"/>
  <c r="Z24" i="13"/>
  <c r="AA24" i="13"/>
  <c r="AB24" i="13"/>
  <c r="AC24" i="13"/>
  <c r="R25" i="13"/>
  <c r="S25" i="13"/>
  <c r="T25" i="13"/>
  <c r="U25" i="13"/>
  <c r="V25" i="13"/>
  <c r="W25" i="13"/>
  <c r="X25" i="13"/>
  <c r="Y25" i="13"/>
  <c r="Z25" i="13"/>
  <c r="AA25" i="13"/>
  <c r="AB25" i="13"/>
  <c r="AC25" i="13"/>
  <c r="R26" i="13"/>
  <c r="S26" i="13"/>
  <c r="T26" i="13"/>
  <c r="U26" i="13"/>
  <c r="V26" i="13"/>
  <c r="W26" i="13"/>
  <c r="X26" i="13"/>
  <c r="Y26" i="13"/>
  <c r="Z26" i="13"/>
  <c r="AA26" i="13"/>
  <c r="AB26" i="13"/>
  <c r="AC26" i="13"/>
  <c r="S23" i="13"/>
  <c r="T23" i="13"/>
  <c r="U23" i="13"/>
  <c r="V23" i="13"/>
  <c r="W23" i="13"/>
  <c r="X23" i="13"/>
  <c r="Y23" i="13"/>
  <c r="Z23" i="13"/>
  <c r="AD23" i="13" s="1"/>
  <c r="AA23" i="13"/>
  <c r="AB23" i="13"/>
  <c r="AC23" i="13"/>
  <c r="R23" i="13"/>
  <c r="S15" i="13"/>
  <c r="P15" i="13" s="1"/>
  <c r="T15" i="13"/>
  <c r="U15" i="13"/>
  <c r="V15" i="13"/>
  <c r="W15" i="13"/>
  <c r="X15" i="13"/>
  <c r="Y15" i="13"/>
  <c r="Z15" i="13"/>
  <c r="AA15" i="13"/>
  <c r="AB15" i="13"/>
  <c r="AC15" i="13"/>
  <c r="S16" i="13"/>
  <c r="T16" i="13"/>
  <c r="U16" i="13"/>
  <c r="V16" i="13"/>
  <c r="W16" i="13"/>
  <c r="X16" i="13"/>
  <c r="Y16" i="13"/>
  <c r="Z16" i="13"/>
  <c r="AA16" i="13"/>
  <c r="AB16" i="13"/>
  <c r="AC16" i="13"/>
  <c r="S17" i="13"/>
  <c r="T17" i="13"/>
  <c r="U17" i="13"/>
  <c r="V17" i="13"/>
  <c r="W17" i="13"/>
  <c r="X17" i="13"/>
  <c r="Y17" i="13"/>
  <c r="Z17" i="13"/>
  <c r="AA17" i="13"/>
  <c r="AB17" i="13"/>
  <c r="AC17" i="13"/>
  <c r="S18" i="13"/>
  <c r="T18" i="13"/>
  <c r="U18" i="13"/>
  <c r="V18" i="13"/>
  <c r="W18" i="13"/>
  <c r="X18" i="13"/>
  <c r="Y18" i="13"/>
  <c r="Z18" i="13"/>
  <c r="AA18" i="13"/>
  <c r="AB18" i="13"/>
  <c r="AC18" i="13"/>
  <c r="S19" i="13"/>
  <c r="T19" i="13"/>
  <c r="U19" i="13"/>
  <c r="V19" i="13"/>
  <c r="W19" i="13"/>
  <c r="X19" i="13"/>
  <c r="Y19" i="13"/>
  <c r="Z19" i="13"/>
  <c r="AA19" i="13"/>
  <c r="AB19" i="13"/>
  <c r="AC19" i="13"/>
  <c r="S20" i="13"/>
  <c r="T20" i="13"/>
  <c r="U20" i="13"/>
  <c r="V20" i="13"/>
  <c r="W20" i="13"/>
  <c r="X20" i="13"/>
  <c r="Y20" i="13"/>
  <c r="Z20" i="13"/>
  <c r="AA20" i="13"/>
  <c r="AB20" i="13"/>
  <c r="AC20" i="13"/>
  <c r="R16" i="13"/>
  <c r="R17" i="13"/>
  <c r="R18" i="13"/>
  <c r="R19" i="13"/>
  <c r="R20" i="13"/>
  <c r="R15" i="13"/>
  <c r="S3" i="13"/>
  <c r="T3" i="13"/>
  <c r="U3" i="13"/>
  <c r="V3" i="13"/>
  <c r="W3" i="13"/>
  <c r="X3" i="13"/>
  <c r="Y3" i="13"/>
  <c r="Z3" i="13"/>
  <c r="AA3" i="13"/>
  <c r="AB3" i="13"/>
  <c r="AC3" i="13"/>
  <c r="S4" i="13"/>
  <c r="T4" i="13"/>
  <c r="U4" i="13"/>
  <c r="V4" i="13"/>
  <c r="W4" i="13"/>
  <c r="X4" i="13"/>
  <c r="Y4" i="13"/>
  <c r="Z4" i="13"/>
  <c r="Z178" i="13" s="1"/>
  <c r="AA4" i="13"/>
  <c r="AB4" i="13"/>
  <c r="AB178" i="13" s="1"/>
  <c r="AC4" i="13"/>
  <c r="AC178" i="13" s="1"/>
  <c r="S5" i="13"/>
  <c r="T5" i="13"/>
  <c r="T179" i="13" s="1"/>
  <c r="U5" i="13"/>
  <c r="U179" i="13" s="1"/>
  <c r="V5" i="13"/>
  <c r="W5" i="13"/>
  <c r="X5" i="13"/>
  <c r="Y5" i="13"/>
  <c r="Z5" i="13"/>
  <c r="AA5" i="13"/>
  <c r="AB5" i="13"/>
  <c r="AB179" i="13" s="1"/>
  <c r="AC5" i="13"/>
  <c r="AC179" i="13" s="1"/>
  <c r="S6" i="13"/>
  <c r="AD6" i="13" s="1"/>
  <c r="T6" i="13"/>
  <c r="U6" i="13"/>
  <c r="V6" i="13"/>
  <c r="W6" i="13"/>
  <c r="X6" i="13"/>
  <c r="Y6" i="13"/>
  <c r="Z6" i="13"/>
  <c r="AA6" i="13"/>
  <c r="AB6" i="13"/>
  <c r="AC6" i="13"/>
  <c r="R4" i="13"/>
  <c r="R5" i="13"/>
  <c r="R6" i="13"/>
  <c r="R3" i="13"/>
  <c r="W178" i="13"/>
  <c r="X178" i="13"/>
  <c r="V179" i="13"/>
  <c r="W179" i="13"/>
  <c r="X179" i="13"/>
  <c r="Y179" i="13"/>
  <c r="Z179" i="13"/>
  <c r="AA179" i="13"/>
  <c r="R8" i="13"/>
  <c r="T8" i="13"/>
  <c r="U8" i="13"/>
  <c r="V8" i="13"/>
  <c r="W8" i="13"/>
  <c r="X8" i="13"/>
  <c r="Y8" i="13"/>
  <c r="Z8" i="13"/>
  <c r="AA8" i="13"/>
  <c r="AB8" i="13"/>
  <c r="AC8" i="13"/>
  <c r="C177" i="13"/>
  <c r="P173" i="13"/>
  <c r="B173" i="13"/>
  <c r="P172" i="13"/>
  <c r="P171" i="13"/>
  <c r="P168" i="13"/>
  <c r="P167" i="13"/>
  <c r="P166" i="13"/>
  <c r="P165" i="13"/>
  <c r="P164" i="13"/>
  <c r="P163" i="13"/>
  <c r="N162" i="13"/>
  <c r="M162" i="13"/>
  <c r="L162" i="13"/>
  <c r="K162" i="13"/>
  <c r="J162" i="13"/>
  <c r="I162" i="13"/>
  <c r="H162" i="13"/>
  <c r="G162" i="13"/>
  <c r="F162" i="13"/>
  <c r="E162" i="13"/>
  <c r="D162" i="13"/>
  <c r="C162" i="13"/>
  <c r="X160" i="13"/>
  <c r="V160" i="13"/>
  <c r="U160" i="13"/>
  <c r="T160" i="13"/>
  <c r="N161" i="13"/>
  <c r="M161" i="13"/>
  <c r="L161" i="13"/>
  <c r="K161" i="13"/>
  <c r="K160" i="13" s="1"/>
  <c r="J161" i="13"/>
  <c r="I161" i="13"/>
  <c r="I160" i="13" s="1"/>
  <c r="H161" i="13"/>
  <c r="H160" i="13" s="1"/>
  <c r="G161" i="13"/>
  <c r="G160" i="13" s="1"/>
  <c r="F161" i="13"/>
  <c r="E161" i="13"/>
  <c r="D161" i="13"/>
  <c r="C161" i="13"/>
  <c r="AA160" i="13"/>
  <c r="Z160" i="13"/>
  <c r="N160" i="13"/>
  <c r="M160" i="13"/>
  <c r="N159" i="13"/>
  <c r="M159" i="13"/>
  <c r="L159" i="13"/>
  <c r="K159" i="13"/>
  <c r="J159" i="13"/>
  <c r="I159" i="13"/>
  <c r="H159" i="13"/>
  <c r="G159" i="13"/>
  <c r="F159" i="13"/>
  <c r="E159" i="13"/>
  <c r="D159" i="13"/>
  <c r="C159" i="13"/>
  <c r="N158" i="13"/>
  <c r="M158" i="13"/>
  <c r="L158" i="13"/>
  <c r="K158" i="13"/>
  <c r="J158" i="13"/>
  <c r="I158" i="13"/>
  <c r="H158" i="13"/>
  <c r="G158" i="13"/>
  <c r="F158" i="13"/>
  <c r="E158" i="13"/>
  <c r="D158" i="13"/>
  <c r="C158" i="13"/>
  <c r="AB153" i="13"/>
  <c r="N157" i="13"/>
  <c r="M157" i="13"/>
  <c r="L157" i="13"/>
  <c r="K157" i="13"/>
  <c r="J157" i="13"/>
  <c r="I157" i="13"/>
  <c r="H157" i="13"/>
  <c r="G157" i="13"/>
  <c r="F157" i="13"/>
  <c r="E157" i="13"/>
  <c r="D157" i="13"/>
  <c r="C157" i="13"/>
  <c r="N156" i="13"/>
  <c r="M156" i="13"/>
  <c r="L156" i="13"/>
  <c r="K156" i="13"/>
  <c r="J156" i="13"/>
  <c r="I156" i="13"/>
  <c r="H156" i="13"/>
  <c r="G156" i="13"/>
  <c r="F156" i="13"/>
  <c r="E156" i="13"/>
  <c r="D156" i="13"/>
  <c r="C156" i="13"/>
  <c r="P155" i="13"/>
  <c r="N155" i="13"/>
  <c r="M155" i="13"/>
  <c r="L155" i="13"/>
  <c r="K155" i="13"/>
  <c r="J155" i="13"/>
  <c r="I155" i="13"/>
  <c r="H155" i="13"/>
  <c r="G155" i="13"/>
  <c r="F155" i="13"/>
  <c r="E155" i="13"/>
  <c r="D155" i="13"/>
  <c r="C155" i="13"/>
  <c r="X153" i="13"/>
  <c r="N154" i="13"/>
  <c r="M154" i="13"/>
  <c r="L154" i="13"/>
  <c r="K154" i="13"/>
  <c r="J154" i="13"/>
  <c r="I154" i="13"/>
  <c r="H154" i="13"/>
  <c r="H153" i="13" s="1"/>
  <c r="G154" i="13"/>
  <c r="G153" i="13" s="1"/>
  <c r="F154" i="13"/>
  <c r="E154" i="13"/>
  <c r="D154" i="13"/>
  <c r="C154" i="13"/>
  <c r="AC153" i="13"/>
  <c r="V153" i="13"/>
  <c r="P152" i="13"/>
  <c r="N152" i="13"/>
  <c r="M152" i="13"/>
  <c r="L152" i="13"/>
  <c r="K152" i="13"/>
  <c r="J152" i="13"/>
  <c r="I152" i="13"/>
  <c r="H152" i="13"/>
  <c r="G152" i="13"/>
  <c r="F152" i="13"/>
  <c r="E152" i="13"/>
  <c r="D152" i="13"/>
  <c r="C152" i="13"/>
  <c r="N151" i="13"/>
  <c r="M151" i="13"/>
  <c r="L151" i="13"/>
  <c r="K151" i="13"/>
  <c r="J151" i="13"/>
  <c r="I151" i="13"/>
  <c r="H151" i="13"/>
  <c r="G151" i="13"/>
  <c r="F151" i="13"/>
  <c r="E151" i="13"/>
  <c r="D151" i="13"/>
  <c r="C151" i="13"/>
  <c r="N150" i="13"/>
  <c r="M150" i="13"/>
  <c r="L150" i="13"/>
  <c r="K150" i="13"/>
  <c r="J150" i="13"/>
  <c r="I150" i="13"/>
  <c r="H150" i="13"/>
  <c r="G150" i="13"/>
  <c r="F150" i="13"/>
  <c r="E150" i="13"/>
  <c r="D150" i="13"/>
  <c r="C150" i="13"/>
  <c r="N149" i="13"/>
  <c r="M149" i="13"/>
  <c r="L149" i="13"/>
  <c r="K149" i="13"/>
  <c r="J149" i="13"/>
  <c r="I149" i="13"/>
  <c r="H149" i="13"/>
  <c r="G149" i="13"/>
  <c r="F149" i="13"/>
  <c r="E149" i="13"/>
  <c r="D149" i="13"/>
  <c r="C149" i="13"/>
  <c r="N148" i="13"/>
  <c r="M148" i="13"/>
  <c r="L148" i="13"/>
  <c r="K148" i="13"/>
  <c r="J148" i="13"/>
  <c r="I148" i="13"/>
  <c r="H148" i="13"/>
  <c r="G148" i="13"/>
  <c r="F148" i="13"/>
  <c r="E148" i="13"/>
  <c r="D148" i="13"/>
  <c r="C148" i="13"/>
  <c r="S146" i="13"/>
  <c r="S185" i="13" s="1"/>
  <c r="N147" i="13"/>
  <c r="M147" i="13"/>
  <c r="L147" i="13"/>
  <c r="K147" i="13"/>
  <c r="K146" i="13" s="1"/>
  <c r="K185" i="13" s="1"/>
  <c r="J147" i="13"/>
  <c r="I147" i="13"/>
  <c r="H147" i="13"/>
  <c r="G147" i="13"/>
  <c r="G146" i="13" s="1"/>
  <c r="G185" i="13" s="1"/>
  <c r="F147" i="13"/>
  <c r="E147" i="13"/>
  <c r="D147" i="13"/>
  <c r="D146" i="13" s="1"/>
  <c r="D185" i="13" s="1"/>
  <c r="C147" i="13"/>
  <c r="C146" i="13" s="1"/>
  <c r="C185" i="13" s="1"/>
  <c r="P145" i="13"/>
  <c r="N145" i="13"/>
  <c r="M145" i="13"/>
  <c r="L145" i="13"/>
  <c r="K145" i="13"/>
  <c r="J145" i="13"/>
  <c r="I145" i="13"/>
  <c r="H145" i="13"/>
  <c r="G145" i="13"/>
  <c r="F145" i="13"/>
  <c r="E145" i="13"/>
  <c r="D145" i="13"/>
  <c r="C145" i="13"/>
  <c r="P144" i="13"/>
  <c r="N144" i="13"/>
  <c r="M144" i="13"/>
  <c r="L144" i="13"/>
  <c r="K144" i="13"/>
  <c r="J144" i="13"/>
  <c r="I144" i="13"/>
  <c r="H144" i="13"/>
  <c r="G144" i="13"/>
  <c r="F144" i="13"/>
  <c r="E144" i="13"/>
  <c r="D144" i="13"/>
  <c r="C144" i="13"/>
  <c r="P143" i="13"/>
  <c r="N143" i="13"/>
  <c r="M143" i="13"/>
  <c r="L143" i="13"/>
  <c r="K143" i="13"/>
  <c r="J143" i="13"/>
  <c r="I143" i="13"/>
  <c r="H143" i="13"/>
  <c r="G143" i="13"/>
  <c r="F143" i="13"/>
  <c r="E143" i="13"/>
  <c r="D143" i="13"/>
  <c r="C143" i="13"/>
  <c r="P142" i="13"/>
  <c r="N142" i="13"/>
  <c r="M142" i="13"/>
  <c r="L142" i="13"/>
  <c r="K142" i="13"/>
  <c r="J142" i="13"/>
  <c r="I142" i="13"/>
  <c r="H142" i="13"/>
  <c r="G142" i="13"/>
  <c r="F142" i="13"/>
  <c r="E142" i="13"/>
  <c r="D142" i="13"/>
  <c r="C142" i="13"/>
  <c r="P141" i="13"/>
  <c r="N141" i="13"/>
  <c r="M141" i="13"/>
  <c r="L141" i="13"/>
  <c r="K141" i="13"/>
  <c r="J141" i="13"/>
  <c r="I141" i="13"/>
  <c r="I139" i="13" s="1"/>
  <c r="I137" i="13" s="1"/>
  <c r="H141" i="13"/>
  <c r="G141" i="13"/>
  <c r="F141" i="13"/>
  <c r="E141" i="13"/>
  <c r="D141" i="13"/>
  <c r="D139" i="13" s="1"/>
  <c r="D137" i="13" s="1"/>
  <c r="C141" i="13"/>
  <c r="P140" i="13"/>
  <c r="N140" i="13"/>
  <c r="N139" i="13" s="1"/>
  <c r="N137" i="13" s="1"/>
  <c r="M140" i="13"/>
  <c r="L140" i="13"/>
  <c r="K140" i="13"/>
  <c r="J140" i="13"/>
  <c r="I140" i="13"/>
  <c r="H140" i="13"/>
  <c r="G140" i="13"/>
  <c r="F140" i="13"/>
  <c r="E140" i="13"/>
  <c r="E139" i="13" s="1"/>
  <c r="E137" i="13" s="1"/>
  <c r="D140" i="13"/>
  <c r="C140" i="13"/>
  <c r="B140" i="13"/>
  <c r="AD139" i="13"/>
  <c r="P139" i="13"/>
  <c r="G139" i="13"/>
  <c r="G137" i="13" s="1"/>
  <c r="G169" i="13" s="1"/>
  <c r="F139" i="13"/>
  <c r="F137" i="13" s="1"/>
  <c r="AD138" i="13"/>
  <c r="P138" i="13"/>
  <c r="O138" i="13"/>
  <c r="AC137" i="13"/>
  <c r="AB137" i="13"/>
  <c r="AA137" i="13"/>
  <c r="Z137" i="13"/>
  <c r="Y137" i="13"/>
  <c r="X137" i="13"/>
  <c r="W137" i="13"/>
  <c r="V137" i="13"/>
  <c r="U137" i="13"/>
  <c r="T137" i="13"/>
  <c r="S137" i="13"/>
  <c r="R137" i="13"/>
  <c r="AD135" i="13"/>
  <c r="P135" i="13"/>
  <c r="N135" i="13"/>
  <c r="M135" i="13"/>
  <c r="L135" i="13"/>
  <c r="K135" i="13"/>
  <c r="J135" i="13"/>
  <c r="I135" i="13"/>
  <c r="H135" i="13"/>
  <c r="G135" i="13"/>
  <c r="F135" i="13"/>
  <c r="E135" i="13"/>
  <c r="D135" i="13"/>
  <c r="C135" i="13"/>
  <c r="AD134" i="13"/>
  <c r="P134" i="13"/>
  <c r="N134" i="13"/>
  <c r="M134" i="13"/>
  <c r="L134" i="13"/>
  <c r="L132" i="13" s="1"/>
  <c r="K134" i="13"/>
  <c r="J134" i="13"/>
  <c r="I134" i="13"/>
  <c r="I132" i="13" s="1"/>
  <c r="H134" i="13"/>
  <c r="G134" i="13"/>
  <c r="F134" i="13"/>
  <c r="E134" i="13"/>
  <c r="D134" i="13"/>
  <c r="C134" i="13"/>
  <c r="AD133" i="13"/>
  <c r="P133" i="13"/>
  <c r="N133" i="13"/>
  <c r="N132" i="13" s="1"/>
  <c r="M133" i="13"/>
  <c r="M132" i="13" s="1"/>
  <c r="L133" i="13"/>
  <c r="K133" i="13"/>
  <c r="J133" i="13"/>
  <c r="J132" i="13" s="1"/>
  <c r="I133" i="13"/>
  <c r="H133" i="13"/>
  <c r="G133" i="13"/>
  <c r="F133" i="13"/>
  <c r="E133" i="13"/>
  <c r="D133" i="13"/>
  <c r="C133" i="13"/>
  <c r="C132" i="13" s="1"/>
  <c r="AC132" i="13"/>
  <c r="AB132" i="13"/>
  <c r="AA132" i="13"/>
  <c r="Z132" i="13"/>
  <c r="Y132" i="13"/>
  <c r="X132" i="13"/>
  <c r="W132" i="13"/>
  <c r="V132" i="13"/>
  <c r="U132" i="13"/>
  <c r="T132" i="13"/>
  <c r="S132" i="13"/>
  <c r="R132" i="13"/>
  <c r="P132" i="13" s="1"/>
  <c r="AD131" i="13"/>
  <c r="P131" i="13"/>
  <c r="O131" i="13"/>
  <c r="AD130" i="13"/>
  <c r="P130" i="13"/>
  <c r="O130" i="13"/>
  <c r="AD129" i="13"/>
  <c r="P129" i="13"/>
  <c r="O129" i="13"/>
  <c r="AC128" i="13"/>
  <c r="AB128" i="13"/>
  <c r="AA128" i="13"/>
  <c r="Z128" i="13"/>
  <c r="Y128" i="13"/>
  <c r="X128" i="13"/>
  <c r="W128" i="13"/>
  <c r="V128" i="13"/>
  <c r="U128" i="13"/>
  <c r="T128" i="13"/>
  <c r="S128" i="13"/>
  <c r="R128" i="13"/>
  <c r="N128" i="13"/>
  <c r="M128" i="13"/>
  <c r="L128" i="13"/>
  <c r="K128" i="13"/>
  <c r="J128" i="13"/>
  <c r="I128" i="13"/>
  <c r="H128" i="13"/>
  <c r="G128" i="13"/>
  <c r="F128" i="13"/>
  <c r="E128" i="13"/>
  <c r="D128" i="13"/>
  <c r="C128" i="13"/>
  <c r="AD127" i="13"/>
  <c r="P127" i="13"/>
  <c r="O127" i="13"/>
  <c r="AD126" i="13"/>
  <c r="P126" i="13"/>
  <c r="O126" i="13"/>
  <c r="AD125" i="13"/>
  <c r="P125" i="13"/>
  <c r="N125" i="13"/>
  <c r="M125" i="13"/>
  <c r="L125" i="13"/>
  <c r="K125" i="13"/>
  <c r="J125" i="13"/>
  <c r="I125" i="13"/>
  <c r="H125" i="13"/>
  <c r="G125" i="13"/>
  <c r="F125" i="13"/>
  <c r="E125" i="13"/>
  <c r="D125" i="13"/>
  <c r="C125" i="13"/>
  <c r="AD124" i="13"/>
  <c r="P124" i="13"/>
  <c r="N124" i="13"/>
  <c r="N122" i="13" s="1"/>
  <c r="M124" i="13"/>
  <c r="L124" i="13"/>
  <c r="K124" i="13"/>
  <c r="J124" i="13"/>
  <c r="I124" i="13"/>
  <c r="H124" i="13"/>
  <c r="G124" i="13"/>
  <c r="F124" i="13"/>
  <c r="E124" i="13"/>
  <c r="D124" i="13"/>
  <c r="C124" i="13"/>
  <c r="B124" i="13"/>
  <c r="AD123" i="13"/>
  <c r="P123" i="13"/>
  <c r="N123" i="13"/>
  <c r="M123" i="13"/>
  <c r="L123" i="13"/>
  <c r="L122" i="13" s="1"/>
  <c r="K123" i="13"/>
  <c r="J123" i="13"/>
  <c r="I123" i="13"/>
  <c r="H123" i="13"/>
  <c r="H122" i="13" s="1"/>
  <c r="G123" i="13"/>
  <c r="G122" i="13" s="1"/>
  <c r="F123" i="13"/>
  <c r="E123" i="13"/>
  <c r="D123" i="13"/>
  <c r="C123" i="13"/>
  <c r="C122" i="13" s="1"/>
  <c r="AC122" i="13"/>
  <c r="AB122" i="13"/>
  <c r="AA122" i="13"/>
  <c r="Z122" i="13"/>
  <c r="Y122" i="13"/>
  <c r="X122" i="13"/>
  <c r="W122" i="13"/>
  <c r="V122" i="13"/>
  <c r="U122" i="13"/>
  <c r="T122" i="13"/>
  <c r="S122" i="13"/>
  <c r="R122" i="13"/>
  <c r="M122" i="13"/>
  <c r="N121" i="13"/>
  <c r="M121" i="13"/>
  <c r="L121" i="13"/>
  <c r="K121" i="13"/>
  <c r="J121" i="13"/>
  <c r="I121" i="13"/>
  <c r="H121" i="13"/>
  <c r="G121" i="13"/>
  <c r="F121" i="13"/>
  <c r="E121" i="13"/>
  <c r="D121" i="13"/>
  <c r="C121" i="13"/>
  <c r="N120" i="13"/>
  <c r="M120" i="13"/>
  <c r="L120" i="13"/>
  <c r="K120" i="13"/>
  <c r="J120" i="13"/>
  <c r="I120" i="13"/>
  <c r="H120" i="13"/>
  <c r="G120" i="13"/>
  <c r="E120" i="13"/>
  <c r="D120" i="13"/>
  <c r="C120" i="13"/>
  <c r="F120" i="13"/>
  <c r="L119" i="13"/>
  <c r="K119" i="13"/>
  <c r="I119" i="13"/>
  <c r="H119" i="13"/>
  <c r="D119" i="13"/>
  <c r="C119" i="13"/>
  <c r="N118" i="13"/>
  <c r="L118" i="13"/>
  <c r="J118" i="13"/>
  <c r="I118" i="13"/>
  <c r="H118" i="13"/>
  <c r="G118" i="13"/>
  <c r="F118" i="13"/>
  <c r="D118" i="13"/>
  <c r="C118" i="13"/>
  <c r="N117" i="13"/>
  <c r="M117" i="13"/>
  <c r="K117" i="13"/>
  <c r="J117" i="13"/>
  <c r="I117" i="13"/>
  <c r="H117" i="13"/>
  <c r="N116" i="13"/>
  <c r="M116" i="13"/>
  <c r="K116" i="13"/>
  <c r="E116" i="13"/>
  <c r="D116" i="13"/>
  <c r="C116" i="13"/>
  <c r="J115" i="13"/>
  <c r="I115" i="13"/>
  <c r="H115" i="13"/>
  <c r="G115" i="13"/>
  <c r="F115" i="13"/>
  <c r="D115" i="13"/>
  <c r="N114" i="13"/>
  <c r="M114" i="13"/>
  <c r="L114" i="13"/>
  <c r="K114" i="13"/>
  <c r="J114" i="13"/>
  <c r="I114" i="13"/>
  <c r="H114" i="13"/>
  <c r="G114" i="13"/>
  <c r="F114" i="13"/>
  <c r="E114" i="13"/>
  <c r="D114" i="13"/>
  <c r="C114" i="13"/>
  <c r="O114" i="13" s="1"/>
  <c r="N113" i="13"/>
  <c r="M113" i="13"/>
  <c r="L113" i="13"/>
  <c r="K113" i="13"/>
  <c r="J113" i="13"/>
  <c r="I113" i="13"/>
  <c r="H113" i="13"/>
  <c r="G113" i="13"/>
  <c r="F113" i="13"/>
  <c r="E113" i="13"/>
  <c r="D113" i="13"/>
  <c r="C113" i="13"/>
  <c r="N112" i="13"/>
  <c r="M112" i="13"/>
  <c r="L112" i="13"/>
  <c r="K112" i="13"/>
  <c r="J112" i="13"/>
  <c r="I112" i="13"/>
  <c r="H112" i="13"/>
  <c r="G112" i="13"/>
  <c r="F112" i="13"/>
  <c r="E112" i="13"/>
  <c r="D112" i="13"/>
  <c r="C112" i="13"/>
  <c r="N111" i="13"/>
  <c r="M111" i="13"/>
  <c r="L111" i="13"/>
  <c r="K111" i="13"/>
  <c r="J111" i="13"/>
  <c r="I111" i="13"/>
  <c r="H111" i="13"/>
  <c r="G111" i="13"/>
  <c r="F111" i="13"/>
  <c r="E111" i="13"/>
  <c r="D111" i="13"/>
  <c r="C111" i="13"/>
  <c r="N110" i="13"/>
  <c r="M110" i="13"/>
  <c r="L110" i="13"/>
  <c r="K110" i="13"/>
  <c r="J110" i="13"/>
  <c r="I110" i="13"/>
  <c r="H110" i="13"/>
  <c r="G110" i="13"/>
  <c r="F110" i="13"/>
  <c r="E110" i="13"/>
  <c r="D110" i="13"/>
  <c r="C110" i="13"/>
  <c r="N109" i="13"/>
  <c r="M109" i="13"/>
  <c r="L109" i="13"/>
  <c r="K109" i="13"/>
  <c r="J109" i="13"/>
  <c r="I109" i="13"/>
  <c r="H109" i="13"/>
  <c r="G109" i="13"/>
  <c r="F109" i="13"/>
  <c r="E109" i="13"/>
  <c r="D109" i="13"/>
  <c r="C109" i="13"/>
  <c r="N108" i="13"/>
  <c r="M108" i="13"/>
  <c r="L108" i="13"/>
  <c r="K108" i="13"/>
  <c r="J108" i="13"/>
  <c r="I108" i="13"/>
  <c r="H108" i="13"/>
  <c r="G108" i="13"/>
  <c r="F108" i="13"/>
  <c r="E108" i="13"/>
  <c r="D108" i="13"/>
  <c r="C108" i="13"/>
  <c r="N107" i="13"/>
  <c r="M107" i="13"/>
  <c r="L107" i="13"/>
  <c r="K107" i="13"/>
  <c r="J107" i="13"/>
  <c r="I107" i="13"/>
  <c r="H107" i="13"/>
  <c r="G107" i="13"/>
  <c r="F107" i="13"/>
  <c r="E107" i="13"/>
  <c r="D107" i="13"/>
  <c r="C107" i="13"/>
  <c r="N106" i="13"/>
  <c r="M106" i="13"/>
  <c r="L106" i="13"/>
  <c r="K106" i="13"/>
  <c r="J106" i="13"/>
  <c r="I106" i="13"/>
  <c r="H106" i="13"/>
  <c r="G106" i="13"/>
  <c r="F106" i="13"/>
  <c r="E106" i="13"/>
  <c r="D106" i="13"/>
  <c r="C106" i="13"/>
  <c r="B106" i="13"/>
  <c r="N105" i="13"/>
  <c r="M105" i="13"/>
  <c r="L105" i="13"/>
  <c r="K105" i="13"/>
  <c r="J105" i="13"/>
  <c r="I105" i="13"/>
  <c r="H105" i="13"/>
  <c r="G105" i="13"/>
  <c r="F105" i="13"/>
  <c r="E105" i="13"/>
  <c r="D105" i="13"/>
  <c r="C105" i="13"/>
  <c r="M104" i="13"/>
  <c r="L104" i="13"/>
  <c r="K104" i="13"/>
  <c r="J104" i="13"/>
  <c r="H104" i="13"/>
  <c r="G104" i="13"/>
  <c r="F104" i="13"/>
  <c r="D104" i="13"/>
  <c r="N104" i="13"/>
  <c r="N103" i="13"/>
  <c r="M103" i="13"/>
  <c r="L103" i="13"/>
  <c r="J103" i="13"/>
  <c r="H103" i="13"/>
  <c r="G103" i="13"/>
  <c r="F103" i="13"/>
  <c r="N102" i="13"/>
  <c r="M102" i="13"/>
  <c r="L102" i="13"/>
  <c r="J102" i="13"/>
  <c r="I102" i="13"/>
  <c r="H102" i="13"/>
  <c r="G102" i="13"/>
  <c r="F102" i="13"/>
  <c r="E102" i="13"/>
  <c r="D102" i="13"/>
  <c r="C102" i="13"/>
  <c r="K102" i="13"/>
  <c r="N101" i="13"/>
  <c r="M101" i="13"/>
  <c r="L101" i="13"/>
  <c r="K101" i="13"/>
  <c r="J101" i="13"/>
  <c r="I101" i="13"/>
  <c r="H101" i="13"/>
  <c r="G101" i="13"/>
  <c r="F101" i="13"/>
  <c r="E101" i="13"/>
  <c r="D101" i="13"/>
  <c r="C101" i="13"/>
  <c r="O101" i="13" s="1"/>
  <c r="N100" i="13"/>
  <c r="M100" i="13"/>
  <c r="L100" i="13"/>
  <c r="K100" i="13"/>
  <c r="J100" i="13"/>
  <c r="I100" i="13"/>
  <c r="H100" i="13"/>
  <c r="G100" i="13"/>
  <c r="F100" i="13"/>
  <c r="E100" i="13"/>
  <c r="D100" i="13"/>
  <c r="C100" i="13"/>
  <c r="N99" i="13"/>
  <c r="M99" i="13"/>
  <c r="L99" i="13"/>
  <c r="K99" i="13"/>
  <c r="J99" i="13"/>
  <c r="I99" i="13"/>
  <c r="H99" i="13"/>
  <c r="G99" i="13"/>
  <c r="F99" i="13"/>
  <c r="E99" i="13"/>
  <c r="D99" i="13"/>
  <c r="C99" i="13"/>
  <c r="H98" i="13"/>
  <c r="G98" i="13"/>
  <c r="E98" i="13"/>
  <c r="D98" i="13"/>
  <c r="N97" i="13"/>
  <c r="M97" i="13"/>
  <c r="L97" i="13"/>
  <c r="K97" i="13"/>
  <c r="J97" i="13"/>
  <c r="I97" i="13"/>
  <c r="H97" i="13"/>
  <c r="G97" i="13"/>
  <c r="F97" i="13"/>
  <c r="E97" i="13"/>
  <c r="C97" i="13"/>
  <c r="D97" i="13"/>
  <c r="N95" i="13"/>
  <c r="L95" i="13"/>
  <c r="J95" i="13"/>
  <c r="I95" i="13"/>
  <c r="E95" i="13"/>
  <c r="D95" i="13"/>
  <c r="N94" i="13"/>
  <c r="M94" i="13"/>
  <c r="H94" i="13"/>
  <c r="G94" i="13"/>
  <c r="E94" i="13"/>
  <c r="C94" i="13"/>
  <c r="L93" i="13"/>
  <c r="K93" i="13"/>
  <c r="I93" i="13"/>
  <c r="H93" i="13"/>
  <c r="G93" i="13"/>
  <c r="F93" i="13"/>
  <c r="E93" i="13"/>
  <c r="D93" i="13"/>
  <c r="C93" i="13"/>
  <c r="J93" i="13"/>
  <c r="M92" i="13"/>
  <c r="L92" i="13"/>
  <c r="K92" i="13"/>
  <c r="J92" i="13"/>
  <c r="I92" i="13"/>
  <c r="H92" i="13"/>
  <c r="G92" i="13"/>
  <c r="F92" i="13"/>
  <c r="E92" i="13"/>
  <c r="D92" i="13"/>
  <c r="C92" i="13"/>
  <c r="N92" i="13"/>
  <c r="N91" i="13"/>
  <c r="N90" i="13"/>
  <c r="L90" i="13"/>
  <c r="K90" i="13"/>
  <c r="J90" i="13"/>
  <c r="I90" i="13"/>
  <c r="H90" i="13"/>
  <c r="G90" i="13"/>
  <c r="F90" i="13"/>
  <c r="E90" i="13"/>
  <c r="D90" i="13"/>
  <c r="C90" i="13"/>
  <c r="M90" i="13"/>
  <c r="M88" i="13"/>
  <c r="G88" i="13"/>
  <c r="F88" i="13"/>
  <c r="E88" i="13"/>
  <c r="D88" i="13"/>
  <c r="C88" i="13"/>
  <c r="L87" i="13"/>
  <c r="J87" i="13"/>
  <c r="H87" i="13"/>
  <c r="D86" i="13"/>
  <c r="M85" i="13"/>
  <c r="L85" i="13"/>
  <c r="K85" i="13"/>
  <c r="J85" i="13"/>
  <c r="H85" i="13"/>
  <c r="G85" i="13"/>
  <c r="F85" i="13"/>
  <c r="E85" i="13"/>
  <c r="D85" i="13"/>
  <c r="C85" i="13"/>
  <c r="I85" i="13"/>
  <c r="N84" i="13"/>
  <c r="M84" i="13"/>
  <c r="L84" i="13"/>
  <c r="K84" i="13"/>
  <c r="J84" i="13"/>
  <c r="I84" i="13"/>
  <c r="H84" i="13"/>
  <c r="G84" i="13"/>
  <c r="F84" i="13"/>
  <c r="E84" i="13"/>
  <c r="D84" i="13"/>
  <c r="C84" i="13"/>
  <c r="N83" i="13"/>
  <c r="M83" i="13"/>
  <c r="L83" i="13"/>
  <c r="K83" i="13"/>
  <c r="J83" i="13"/>
  <c r="I83" i="13"/>
  <c r="H83" i="13"/>
  <c r="G83" i="13"/>
  <c r="F83" i="13"/>
  <c r="E83" i="13"/>
  <c r="D83" i="13"/>
  <c r="C83" i="13"/>
  <c r="J81" i="13"/>
  <c r="I81" i="13"/>
  <c r="H81" i="13"/>
  <c r="G81" i="13"/>
  <c r="F81" i="13"/>
  <c r="E81" i="13"/>
  <c r="D81" i="13"/>
  <c r="C81" i="13"/>
  <c r="K81" i="13"/>
  <c r="N80" i="13"/>
  <c r="L80" i="13"/>
  <c r="K80" i="13"/>
  <c r="J80" i="13"/>
  <c r="I80" i="13"/>
  <c r="C80" i="13"/>
  <c r="J79" i="13"/>
  <c r="I79" i="13"/>
  <c r="H79" i="13"/>
  <c r="G79" i="13"/>
  <c r="F79" i="13"/>
  <c r="E79" i="13"/>
  <c r="D79" i="13"/>
  <c r="C79" i="13"/>
  <c r="M79" i="13"/>
  <c r="N78" i="13"/>
  <c r="L78" i="13"/>
  <c r="J78" i="13"/>
  <c r="I78" i="13"/>
  <c r="E78" i="13"/>
  <c r="D78" i="13"/>
  <c r="C78" i="13"/>
  <c r="M77" i="13"/>
  <c r="H77" i="13"/>
  <c r="G77" i="13"/>
  <c r="F77" i="13"/>
  <c r="E77" i="13"/>
  <c r="D77" i="13"/>
  <c r="C77" i="13"/>
  <c r="B77" i="13"/>
  <c r="N76" i="13"/>
  <c r="M76" i="13"/>
  <c r="L76" i="13"/>
  <c r="K76" i="13"/>
  <c r="J76" i="13"/>
  <c r="I76" i="13"/>
  <c r="H76" i="13"/>
  <c r="D76" i="13"/>
  <c r="C76" i="13"/>
  <c r="N75" i="13"/>
  <c r="K75" i="13"/>
  <c r="J75" i="13"/>
  <c r="I75" i="13"/>
  <c r="H75" i="13"/>
  <c r="G75" i="13"/>
  <c r="F75" i="13"/>
  <c r="E75" i="13"/>
  <c r="D75" i="13"/>
  <c r="C75" i="13"/>
  <c r="M75" i="13"/>
  <c r="N74" i="13"/>
  <c r="M74" i="13"/>
  <c r="M73" i="13"/>
  <c r="K73" i="13"/>
  <c r="H73" i="13"/>
  <c r="G73" i="13"/>
  <c r="E73" i="13"/>
  <c r="N72" i="13"/>
  <c r="M72" i="13"/>
  <c r="L72" i="13"/>
  <c r="H72" i="13"/>
  <c r="G72" i="13"/>
  <c r="F72" i="13"/>
  <c r="E72" i="13"/>
  <c r="D72" i="13"/>
  <c r="C72" i="13"/>
  <c r="N71" i="13"/>
  <c r="M71" i="13"/>
  <c r="L71" i="13"/>
  <c r="K71" i="13"/>
  <c r="J71" i="13"/>
  <c r="I71" i="13"/>
  <c r="H71" i="13"/>
  <c r="G71" i="13"/>
  <c r="N70" i="13"/>
  <c r="J70" i="13"/>
  <c r="I70" i="13"/>
  <c r="H70" i="13"/>
  <c r="G70" i="13"/>
  <c r="F70" i="13"/>
  <c r="E70" i="13"/>
  <c r="D70" i="13"/>
  <c r="C70" i="13"/>
  <c r="M70" i="13"/>
  <c r="L69" i="13"/>
  <c r="N68" i="13"/>
  <c r="M68" i="13"/>
  <c r="L68" i="13"/>
  <c r="K68" i="13"/>
  <c r="J68" i="13"/>
  <c r="I68" i="13"/>
  <c r="H68" i="13"/>
  <c r="G68" i="13"/>
  <c r="F68" i="13"/>
  <c r="E68" i="13"/>
  <c r="D68" i="13"/>
  <c r="C68" i="13"/>
  <c r="N67" i="13"/>
  <c r="M67" i="13"/>
  <c r="L67" i="13"/>
  <c r="K67" i="13"/>
  <c r="J67" i="13"/>
  <c r="I67" i="13"/>
  <c r="H67" i="13"/>
  <c r="G67" i="13"/>
  <c r="F67" i="13"/>
  <c r="E67" i="13"/>
  <c r="D67" i="13"/>
  <c r="C67" i="13"/>
  <c r="N66" i="13"/>
  <c r="L66" i="13"/>
  <c r="K66" i="13"/>
  <c r="J66" i="13"/>
  <c r="I66" i="13"/>
  <c r="H66" i="13"/>
  <c r="G66" i="13"/>
  <c r="F66" i="13"/>
  <c r="E66" i="13"/>
  <c r="D66" i="13"/>
  <c r="C66" i="13"/>
  <c r="M66" i="13"/>
  <c r="N65" i="13"/>
  <c r="M65" i="13"/>
  <c r="L65" i="13"/>
  <c r="K65" i="13"/>
  <c r="J65" i="13"/>
  <c r="G65" i="13"/>
  <c r="E65" i="13"/>
  <c r="N64" i="13"/>
  <c r="M64" i="13"/>
  <c r="J64" i="13"/>
  <c r="F64" i="13"/>
  <c r="E64" i="13"/>
  <c r="M63" i="13"/>
  <c r="I63" i="13"/>
  <c r="H63" i="13"/>
  <c r="F63" i="13"/>
  <c r="D63" i="13"/>
  <c r="B63" i="13"/>
  <c r="N62" i="13"/>
  <c r="M62" i="13"/>
  <c r="L62" i="13"/>
  <c r="K62" i="13"/>
  <c r="J62" i="13"/>
  <c r="I62" i="13"/>
  <c r="H62" i="13"/>
  <c r="G62" i="13"/>
  <c r="F62" i="13"/>
  <c r="E62" i="13"/>
  <c r="D62" i="13"/>
  <c r="C62" i="13"/>
  <c r="M61" i="13"/>
  <c r="L61" i="13"/>
  <c r="I61" i="13"/>
  <c r="H61" i="13"/>
  <c r="G61" i="13"/>
  <c r="F61" i="13"/>
  <c r="E61" i="13"/>
  <c r="C61" i="13"/>
  <c r="N60" i="13"/>
  <c r="M60" i="13"/>
  <c r="L60" i="13"/>
  <c r="K60" i="13"/>
  <c r="J60" i="13"/>
  <c r="I60" i="13"/>
  <c r="H60" i="13"/>
  <c r="G60" i="13"/>
  <c r="F60" i="13"/>
  <c r="E60" i="13"/>
  <c r="D60" i="13"/>
  <c r="C60" i="13"/>
  <c r="N59" i="13"/>
  <c r="L59" i="13"/>
  <c r="K59" i="13"/>
  <c r="N58" i="13"/>
  <c r="M58" i="13"/>
  <c r="H58" i="13"/>
  <c r="G58" i="13"/>
  <c r="C58" i="13"/>
  <c r="N57" i="13"/>
  <c r="M57" i="13"/>
  <c r="L57" i="13"/>
  <c r="K57" i="13"/>
  <c r="J57" i="13"/>
  <c r="I57" i="13"/>
  <c r="H57" i="13"/>
  <c r="G57" i="13"/>
  <c r="F57" i="13"/>
  <c r="E57" i="13"/>
  <c r="D57" i="13"/>
  <c r="C57" i="13"/>
  <c r="O57" i="13" s="1"/>
  <c r="N56" i="13"/>
  <c r="M56" i="13"/>
  <c r="L56" i="13"/>
  <c r="K56" i="13"/>
  <c r="J56" i="13"/>
  <c r="I56" i="13"/>
  <c r="H56" i="13"/>
  <c r="G56" i="13"/>
  <c r="F56" i="13"/>
  <c r="E56" i="13"/>
  <c r="D56" i="13"/>
  <c r="C56" i="13"/>
  <c r="O56" i="13" s="1"/>
  <c r="N55" i="13"/>
  <c r="M55" i="13"/>
  <c r="L55" i="13"/>
  <c r="K55" i="13"/>
  <c r="J55" i="13"/>
  <c r="I55" i="13"/>
  <c r="H55" i="13"/>
  <c r="G55" i="13"/>
  <c r="F55" i="13"/>
  <c r="E55" i="13"/>
  <c r="D55" i="13"/>
  <c r="C55" i="13"/>
  <c r="N53" i="13"/>
  <c r="J53" i="13"/>
  <c r="G53" i="13"/>
  <c r="F53" i="13"/>
  <c r="E53" i="13"/>
  <c r="D53" i="13"/>
  <c r="C53" i="13"/>
  <c r="K53" i="13"/>
  <c r="N52" i="13"/>
  <c r="M52" i="13"/>
  <c r="L52" i="13"/>
  <c r="K52" i="13"/>
  <c r="J52" i="13"/>
  <c r="I52" i="13"/>
  <c r="H52" i="13"/>
  <c r="G52" i="13"/>
  <c r="F52" i="13"/>
  <c r="E52" i="13"/>
  <c r="D52" i="13"/>
  <c r="C52" i="13"/>
  <c r="N51" i="13"/>
  <c r="M51" i="13"/>
  <c r="L51" i="13"/>
  <c r="K51" i="13"/>
  <c r="J51" i="13"/>
  <c r="I51" i="13"/>
  <c r="H51" i="13"/>
  <c r="G51" i="13"/>
  <c r="F51" i="13"/>
  <c r="E51" i="13"/>
  <c r="D51" i="13"/>
  <c r="C51" i="13"/>
  <c r="O51" i="13" s="1"/>
  <c r="B51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O49" i="13"/>
  <c r="O48" i="13"/>
  <c r="O47" i="13"/>
  <c r="O46" i="13"/>
  <c r="O45" i="13"/>
  <c r="O44" i="13"/>
  <c r="N42" i="13"/>
  <c r="L42" i="13"/>
  <c r="J42" i="13"/>
  <c r="I42" i="13"/>
  <c r="G42" i="13"/>
  <c r="F42" i="13"/>
  <c r="E42" i="13"/>
  <c r="D42" i="13"/>
  <c r="M42" i="13"/>
  <c r="M41" i="13"/>
  <c r="L41" i="13"/>
  <c r="K41" i="13"/>
  <c r="I41" i="13"/>
  <c r="H41" i="13"/>
  <c r="G41" i="13"/>
  <c r="F41" i="13"/>
  <c r="E41" i="13"/>
  <c r="C41" i="13"/>
  <c r="B41" i="13"/>
  <c r="J41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O39" i="13" s="1"/>
  <c r="O38" i="13"/>
  <c r="N36" i="13"/>
  <c r="I36" i="13"/>
  <c r="G36" i="13"/>
  <c r="N35" i="13"/>
  <c r="L35" i="13"/>
  <c r="K35" i="13"/>
  <c r="J35" i="13"/>
  <c r="I35" i="13"/>
  <c r="H35" i="13"/>
  <c r="G35" i="13"/>
  <c r="F35" i="13"/>
  <c r="E35" i="13"/>
  <c r="D35" i="13"/>
  <c r="C35" i="13"/>
  <c r="O35" i="13" s="1"/>
  <c r="M35" i="13"/>
  <c r="N34" i="13"/>
  <c r="M34" i="13"/>
  <c r="L34" i="13"/>
  <c r="K34" i="13"/>
  <c r="J34" i="13"/>
  <c r="I34" i="13"/>
  <c r="F34" i="13"/>
  <c r="E34" i="13"/>
  <c r="C34" i="13"/>
  <c r="B34" i="13"/>
  <c r="N33" i="13"/>
  <c r="L33" i="13"/>
  <c r="K33" i="13"/>
  <c r="G33" i="13"/>
  <c r="F33" i="13"/>
  <c r="D33" i="13"/>
  <c r="B33" i="13"/>
  <c r="M31" i="13"/>
  <c r="K31" i="13"/>
  <c r="I31" i="13"/>
  <c r="H31" i="13"/>
  <c r="F31" i="13"/>
  <c r="E31" i="13"/>
  <c r="D31" i="13"/>
  <c r="C31" i="13"/>
  <c r="L31" i="13"/>
  <c r="M30" i="13"/>
  <c r="L30" i="13"/>
  <c r="K30" i="13"/>
  <c r="J30" i="13"/>
  <c r="I30" i="13"/>
  <c r="H30" i="13"/>
  <c r="G30" i="13"/>
  <c r="F30" i="13"/>
  <c r="D30" i="13"/>
  <c r="C30" i="13"/>
  <c r="N29" i="13"/>
  <c r="M29" i="13"/>
  <c r="E29" i="13"/>
  <c r="D29" i="13"/>
  <c r="C29" i="13"/>
  <c r="M28" i="13"/>
  <c r="L28" i="13"/>
  <c r="J28" i="13"/>
  <c r="I28" i="13"/>
  <c r="H28" i="13"/>
  <c r="F28" i="13"/>
  <c r="E28" i="13"/>
  <c r="C28" i="13"/>
  <c r="B28" i="13"/>
  <c r="N28" i="13"/>
  <c r="N26" i="13"/>
  <c r="M26" i="13"/>
  <c r="K26" i="13"/>
  <c r="J26" i="13"/>
  <c r="F26" i="13"/>
  <c r="E26" i="13"/>
  <c r="C26" i="13"/>
  <c r="B26" i="13"/>
  <c r="N24" i="13"/>
  <c r="L24" i="13"/>
  <c r="K24" i="13"/>
  <c r="J24" i="13"/>
  <c r="I24" i="13"/>
  <c r="H24" i="13"/>
  <c r="G24" i="13"/>
  <c r="F24" i="13"/>
  <c r="E24" i="13"/>
  <c r="C24" i="13"/>
  <c r="B24" i="13"/>
  <c r="N23" i="13"/>
  <c r="M23" i="13"/>
  <c r="L23" i="13"/>
  <c r="K23" i="13"/>
  <c r="J23" i="13"/>
  <c r="I23" i="13"/>
  <c r="H23" i="13"/>
  <c r="G23" i="13"/>
  <c r="F23" i="13"/>
  <c r="E23" i="13"/>
  <c r="D23" i="13"/>
  <c r="C23" i="13"/>
  <c r="B23" i="13"/>
  <c r="AD21" i="13"/>
  <c r="P21" i="13"/>
  <c r="N21" i="13"/>
  <c r="M21" i="13"/>
  <c r="L21" i="13"/>
  <c r="K21" i="13"/>
  <c r="J21" i="13"/>
  <c r="I21" i="13"/>
  <c r="F21" i="13"/>
  <c r="E21" i="13"/>
  <c r="L20" i="13"/>
  <c r="J20" i="13"/>
  <c r="H20" i="13"/>
  <c r="G20" i="13"/>
  <c r="F20" i="13"/>
  <c r="E20" i="13"/>
  <c r="D20" i="13"/>
  <c r="C20" i="13"/>
  <c r="K19" i="13"/>
  <c r="J19" i="13"/>
  <c r="I19" i="13"/>
  <c r="E19" i="13"/>
  <c r="D19" i="13"/>
  <c r="B19" i="13"/>
  <c r="K18" i="13"/>
  <c r="J18" i="13"/>
  <c r="H18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B17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B16" i="13"/>
  <c r="N15" i="13"/>
  <c r="M15" i="13"/>
  <c r="L15" i="13"/>
  <c r="K15" i="13"/>
  <c r="J15" i="13"/>
  <c r="I15" i="13"/>
  <c r="H15" i="13"/>
  <c r="G15" i="13"/>
  <c r="F15" i="13"/>
  <c r="E15" i="13"/>
  <c r="D15" i="13"/>
  <c r="C15" i="13"/>
  <c r="B15" i="13"/>
  <c r="O14" i="13"/>
  <c r="AD12" i="13"/>
  <c r="P12" i="13"/>
  <c r="O12" i="13"/>
  <c r="B12" i="13"/>
  <c r="AD11" i="13"/>
  <c r="P11" i="13"/>
  <c r="O11" i="13"/>
  <c r="B11" i="13"/>
  <c r="AD10" i="13"/>
  <c r="P10" i="13"/>
  <c r="O10" i="13"/>
  <c r="B10" i="13"/>
  <c r="AC9" i="13"/>
  <c r="AB9" i="13"/>
  <c r="AA9" i="13"/>
  <c r="Z9" i="13"/>
  <c r="Y9" i="13"/>
  <c r="X9" i="13"/>
  <c r="W9" i="13"/>
  <c r="V9" i="13"/>
  <c r="U9" i="13"/>
  <c r="T9" i="13"/>
  <c r="S9" i="13"/>
  <c r="R9" i="13"/>
  <c r="N9" i="13"/>
  <c r="M9" i="13"/>
  <c r="L9" i="13"/>
  <c r="K9" i="13"/>
  <c r="J9" i="13"/>
  <c r="I9" i="13"/>
  <c r="H9" i="13"/>
  <c r="G9" i="13"/>
  <c r="F9" i="13"/>
  <c r="E9" i="13"/>
  <c r="D9" i="13"/>
  <c r="C9" i="13"/>
  <c r="B9" i="13"/>
  <c r="O8" i="13"/>
  <c r="B8" i="13"/>
  <c r="O7" i="13"/>
  <c r="B7" i="13"/>
  <c r="O6" i="13"/>
  <c r="R179" i="13"/>
  <c r="N5" i="13"/>
  <c r="N179" i="13" s="1"/>
  <c r="M5" i="13"/>
  <c r="M179" i="13" s="1"/>
  <c r="L5" i="13"/>
  <c r="L179" i="13" s="1"/>
  <c r="K5" i="13"/>
  <c r="K179" i="13" s="1"/>
  <c r="J5" i="13"/>
  <c r="J179" i="13" s="1"/>
  <c r="I5" i="13"/>
  <c r="I179" i="13" s="1"/>
  <c r="H5" i="13"/>
  <c r="H179" i="13" s="1"/>
  <c r="G5" i="13"/>
  <c r="G179" i="13" s="1"/>
  <c r="F5" i="13"/>
  <c r="F179" i="13" s="1"/>
  <c r="E5" i="13"/>
  <c r="E179" i="13" s="1"/>
  <c r="D5" i="13"/>
  <c r="D179" i="13" s="1"/>
  <c r="C5" i="13"/>
  <c r="C179" i="13" s="1"/>
  <c r="V178" i="13"/>
  <c r="U178" i="13"/>
  <c r="T178" i="13"/>
  <c r="N4" i="13"/>
  <c r="N178" i="13" s="1"/>
  <c r="M4" i="13"/>
  <c r="M178" i="13" s="1"/>
  <c r="L4" i="13"/>
  <c r="L178" i="13" s="1"/>
  <c r="K4" i="13"/>
  <c r="K178" i="13" s="1"/>
  <c r="J4" i="13"/>
  <c r="J178" i="13" s="1"/>
  <c r="I4" i="13"/>
  <c r="I178" i="13" s="1"/>
  <c r="H4" i="13"/>
  <c r="H178" i="13" s="1"/>
  <c r="G4" i="13"/>
  <c r="G178" i="13" s="1"/>
  <c r="F4" i="13"/>
  <c r="F178" i="13" s="1"/>
  <c r="E4" i="13"/>
  <c r="E178" i="13" s="1"/>
  <c r="D4" i="13"/>
  <c r="D178" i="13" s="1"/>
  <c r="C4" i="13"/>
  <c r="C178" i="13" s="1"/>
  <c r="B4" i="13"/>
  <c r="N3" i="13"/>
  <c r="N2" i="13" s="1"/>
  <c r="M3" i="13"/>
  <c r="L3" i="13"/>
  <c r="K3" i="13"/>
  <c r="K2" i="13" s="1"/>
  <c r="J3" i="13"/>
  <c r="I3" i="13"/>
  <c r="H3" i="13"/>
  <c r="G3" i="13"/>
  <c r="G2" i="13" s="1"/>
  <c r="F3" i="13"/>
  <c r="E3" i="13"/>
  <c r="E2" i="13" s="1"/>
  <c r="D3" i="13"/>
  <c r="C3" i="13"/>
  <c r="J2" i="13"/>
  <c r="B2" i="13"/>
  <c r="X14" i="3"/>
  <c r="AG14" i="3"/>
  <c r="W14" i="3"/>
  <c r="X13" i="3"/>
  <c r="X182" i="3" s="1"/>
  <c r="AG13" i="3"/>
  <c r="AH13" i="3"/>
  <c r="AG61" i="3"/>
  <c r="AD38" i="3"/>
  <c r="AE38" i="3"/>
  <c r="AH38" i="3"/>
  <c r="AD28" i="3"/>
  <c r="AE28" i="3"/>
  <c r="AG28" i="3"/>
  <c r="AI3" i="3"/>
  <c r="AF2" i="3"/>
  <c r="AC2" i="3"/>
  <c r="AC177" i="3" s="1"/>
  <c r="AC176" i="3" s="1"/>
  <c r="AB2" i="3"/>
  <c r="AA2" i="3"/>
  <c r="X2" i="3"/>
  <c r="X177" i="3" s="1"/>
  <c r="X176" i="3" s="1"/>
  <c r="W2" i="3"/>
  <c r="W177" i="3" s="1"/>
  <c r="W176" i="3" s="1"/>
  <c r="Y182" i="3"/>
  <c r="AH171" i="3"/>
  <c r="AG171" i="3"/>
  <c r="AF171" i="3"/>
  <c r="AE171" i="3"/>
  <c r="AD171" i="3"/>
  <c r="AC171" i="3"/>
  <c r="AB171" i="3"/>
  <c r="AA171" i="3"/>
  <c r="Z171" i="3"/>
  <c r="Y171" i="3"/>
  <c r="X171" i="3"/>
  <c r="W171" i="3"/>
  <c r="U171" i="3"/>
  <c r="AA169" i="3"/>
  <c r="Z169" i="3"/>
  <c r="AH165" i="3"/>
  <c r="AG165" i="3"/>
  <c r="AF165" i="3"/>
  <c r="AE165" i="3"/>
  <c r="AD165" i="3"/>
  <c r="AC165" i="3"/>
  <c r="AB165" i="3"/>
  <c r="AA165" i="3"/>
  <c r="Z165" i="3"/>
  <c r="Y165" i="3"/>
  <c r="X165" i="3"/>
  <c r="W165" i="3"/>
  <c r="U165" i="3"/>
  <c r="AH163" i="3"/>
  <c r="AG163" i="3"/>
  <c r="AF163" i="3"/>
  <c r="AE163" i="3"/>
  <c r="AD163" i="3"/>
  <c r="AC163" i="3"/>
  <c r="AB163" i="3"/>
  <c r="AB169" i="3" s="1"/>
  <c r="AA163" i="3"/>
  <c r="Z163" i="3"/>
  <c r="Y163" i="3"/>
  <c r="X163" i="3"/>
  <c r="W163" i="3"/>
  <c r="U163" i="3"/>
  <c r="AH160" i="3"/>
  <c r="AG160" i="3"/>
  <c r="AF160" i="3"/>
  <c r="AE160" i="3"/>
  <c r="AD160" i="3"/>
  <c r="AC160" i="3"/>
  <c r="AC169" i="3" s="1"/>
  <c r="AB160" i="3"/>
  <c r="AA160" i="3"/>
  <c r="Z160" i="3"/>
  <c r="Y160" i="3"/>
  <c r="X160" i="3"/>
  <c r="W160" i="3"/>
  <c r="U160" i="3"/>
  <c r="AH153" i="3"/>
  <c r="AG153" i="3"/>
  <c r="AF153" i="3"/>
  <c r="AE153" i="3"/>
  <c r="AD153" i="3"/>
  <c r="AD169" i="3" s="1"/>
  <c r="AC153" i="3"/>
  <c r="AB153" i="3"/>
  <c r="AA153" i="3"/>
  <c r="Z153" i="3"/>
  <c r="Y153" i="3"/>
  <c r="X153" i="3"/>
  <c r="W153" i="3"/>
  <c r="U153" i="3"/>
  <c r="AH147" i="3"/>
  <c r="AG147" i="3"/>
  <c r="AF147" i="3"/>
  <c r="AE147" i="3"/>
  <c r="AD147" i="3"/>
  <c r="AC147" i="3"/>
  <c r="AB147" i="3"/>
  <c r="AA147" i="3"/>
  <c r="Z147" i="3"/>
  <c r="Y147" i="3"/>
  <c r="X147" i="3"/>
  <c r="W147" i="3"/>
  <c r="AH146" i="3"/>
  <c r="AG146" i="3"/>
  <c r="AF146" i="3"/>
  <c r="AE146" i="3"/>
  <c r="AE169" i="3" s="1"/>
  <c r="AD146" i="3"/>
  <c r="AC146" i="3"/>
  <c r="AB146" i="3"/>
  <c r="AA146" i="3"/>
  <c r="Z146" i="3"/>
  <c r="Y146" i="3"/>
  <c r="X146" i="3"/>
  <c r="W146" i="3"/>
  <c r="U146" i="3"/>
  <c r="AH139" i="3"/>
  <c r="AG139" i="3"/>
  <c r="AF139" i="3"/>
  <c r="AF137" i="3" s="1"/>
  <c r="AF169" i="3" s="1"/>
  <c r="AE139" i="3"/>
  <c r="AD139" i="3"/>
  <c r="AC139" i="3"/>
  <c r="AB139" i="3"/>
  <c r="AA139" i="3"/>
  <c r="AA137" i="3" s="1"/>
  <c r="Z139" i="3"/>
  <c r="Y139" i="3"/>
  <c r="X139" i="3"/>
  <c r="W139" i="3"/>
  <c r="U139" i="3"/>
  <c r="AH137" i="3"/>
  <c r="AH169" i="3" s="1"/>
  <c r="AG137" i="3"/>
  <c r="AG169" i="3" s="1"/>
  <c r="AE137" i="3"/>
  <c r="AD137" i="3"/>
  <c r="AC137" i="3"/>
  <c r="AB137" i="3"/>
  <c r="Z137" i="3"/>
  <c r="Y137" i="3"/>
  <c r="Y169" i="3" s="1"/>
  <c r="X137" i="3"/>
  <c r="X169" i="3" s="1"/>
  <c r="W137" i="3"/>
  <c r="W169" i="3" s="1"/>
  <c r="U137" i="3"/>
  <c r="U169" i="3" s="1"/>
  <c r="U133" i="3"/>
  <c r="AH128" i="3"/>
  <c r="AG128" i="3"/>
  <c r="AF128" i="3"/>
  <c r="AE128" i="3"/>
  <c r="AD128" i="3"/>
  <c r="AC128" i="3"/>
  <c r="AB128" i="3"/>
  <c r="AA128" i="3"/>
  <c r="Z128" i="3"/>
  <c r="Y128" i="3"/>
  <c r="X128" i="3"/>
  <c r="W128" i="3"/>
  <c r="U128" i="3"/>
  <c r="U124" i="3"/>
  <c r="U122" i="3"/>
  <c r="U108" i="3"/>
  <c r="U89" i="3"/>
  <c r="U78" i="3"/>
  <c r="U77" i="3"/>
  <c r="U72" i="3"/>
  <c r="AH46" i="3"/>
  <c r="AG46" i="3"/>
  <c r="AF46" i="3"/>
  <c r="AE46" i="3"/>
  <c r="AD46" i="3"/>
  <c r="AC46" i="3"/>
  <c r="AB46" i="3"/>
  <c r="U46" i="3"/>
  <c r="AH36" i="3"/>
  <c r="AG36" i="3"/>
  <c r="AF36" i="3"/>
  <c r="AE36" i="3"/>
  <c r="AD36" i="3"/>
  <c r="AC36" i="3"/>
  <c r="AB36" i="3"/>
  <c r="AA36" i="3"/>
  <c r="Z36" i="3"/>
  <c r="Y36" i="3"/>
  <c r="X36" i="3"/>
  <c r="W36" i="3"/>
  <c r="U36" i="3"/>
  <c r="AH33" i="3"/>
  <c r="AG33" i="3"/>
  <c r="AF33" i="3"/>
  <c r="AE33" i="3"/>
  <c r="AD33" i="3"/>
  <c r="AC33" i="3"/>
  <c r="AB33" i="3"/>
  <c r="AA33" i="3"/>
  <c r="Z33" i="3"/>
  <c r="Y33" i="3"/>
  <c r="X33" i="3"/>
  <c r="W33" i="3"/>
  <c r="U33" i="3"/>
  <c r="AH22" i="3"/>
  <c r="AG22" i="3"/>
  <c r="AF22" i="3"/>
  <c r="AE22" i="3"/>
  <c r="AD22" i="3"/>
  <c r="AC22" i="3"/>
  <c r="AB22" i="3"/>
  <c r="AA22" i="3"/>
  <c r="Z22" i="3"/>
  <c r="Y22" i="3"/>
  <c r="X22" i="3"/>
  <c r="W22" i="3"/>
  <c r="U22" i="3"/>
  <c r="AH9" i="3"/>
  <c r="AG9" i="3"/>
  <c r="AF9" i="3"/>
  <c r="AE9" i="3"/>
  <c r="AD9" i="3"/>
  <c r="AC9" i="3"/>
  <c r="AB9" i="3"/>
  <c r="AA9" i="3"/>
  <c r="Z9" i="3"/>
  <c r="Y9" i="3"/>
  <c r="X9" i="3"/>
  <c r="W9" i="3"/>
  <c r="U9" i="3"/>
  <c r="AH7" i="3"/>
  <c r="AG7" i="3"/>
  <c r="AF7" i="3"/>
  <c r="AE7" i="3"/>
  <c r="AE2" i="3" s="1"/>
  <c r="AD7" i="3"/>
  <c r="AD2" i="3" s="1"/>
  <c r="AC7" i="3"/>
  <c r="AB7" i="3"/>
  <c r="AA7" i="3"/>
  <c r="Z7" i="3"/>
  <c r="Y7" i="3"/>
  <c r="X7" i="3"/>
  <c r="W7" i="3"/>
  <c r="U7" i="3"/>
  <c r="AH2" i="3"/>
  <c r="AH177" i="3" s="1"/>
  <c r="AH176" i="3" s="1"/>
  <c r="AG2" i="3"/>
  <c r="O35" i="10"/>
  <c r="N34" i="10"/>
  <c r="M34" i="10"/>
  <c r="L34" i="10"/>
  <c r="K34" i="10"/>
  <c r="J34" i="10"/>
  <c r="I34" i="10"/>
  <c r="H34" i="10"/>
  <c r="G34" i="10"/>
  <c r="F34" i="10"/>
  <c r="E34" i="10"/>
  <c r="D34" i="10"/>
  <c r="C34" i="10"/>
  <c r="O31" i="10"/>
  <c r="O30" i="10"/>
  <c r="O29" i="10"/>
  <c r="N28" i="10"/>
  <c r="M28" i="10"/>
  <c r="L28" i="10"/>
  <c r="K28" i="10"/>
  <c r="K27" i="10" s="1"/>
  <c r="J28" i="10"/>
  <c r="I28" i="10"/>
  <c r="I27" i="10" s="1"/>
  <c r="H28" i="10"/>
  <c r="H27" i="10" s="1"/>
  <c r="G28" i="10"/>
  <c r="F28" i="10"/>
  <c r="E28" i="10"/>
  <c r="D28" i="10"/>
  <c r="C28" i="10"/>
  <c r="N27" i="10"/>
  <c r="M27" i="10"/>
  <c r="L27" i="10"/>
  <c r="J27" i="10"/>
  <c r="G27" i="10"/>
  <c r="F27" i="10"/>
  <c r="E27" i="10"/>
  <c r="D27" i="10"/>
  <c r="C27" i="10"/>
  <c r="N23" i="10"/>
  <c r="AH14" i="3" s="1"/>
  <c r="M23" i="10"/>
  <c r="M25" i="10" s="1"/>
  <c r="L23" i="10"/>
  <c r="K23" i="10"/>
  <c r="J23" i="10"/>
  <c r="I23" i="10"/>
  <c r="AC14" i="3" s="1"/>
  <c r="AC13" i="3" s="1"/>
  <c r="H23" i="10"/>
  <c r="G23" i="10"/>
  <c r="F23" i="10"/>
  <c r="E23" i="10"/>
  <c r="Y14" i="3" s="1"/>
  <c r="Y13" i="3" s="1"/>
  <c r="D23" i="10"/>
  <c r="C23" i="10"/>
  <c r="G21" i="10"/>
  <c r="F21" i="10"/>
  <c r="E21" i="10"/>
  <c r="D21" i="10"/>
  <c r="D22" i="10" s="1"/>
  <c r="C21" i="10"/>
  <c r="N20" i="10"/>
  <c r="M20" i="10"/>
  <c r="L20" i="10"/>
  <c r="K20" i="10"/>
  <c r="J20" i="10"/>
  <c r="I20" i="10"/>
  <c r="H20" i="10"/>
  <c r="G20" i="10"/>
  <c r="F20" i="10"/>
  <c r="E20" i="10"/>
  <c r="D20" i="10"/>
  <c r="C20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N18" i="10"/>
  <c r="M18" i="10"/>
  <c r="L18" i="10"/>
  <c r="K18" i="10"/>
  <c r="J18" i="10"/>
  <c r="I18" i="10"/>
  <c r="H18" i="10"/>
  <c r="G18" i="10"/>
  <c r="F18" i="10"/>
  <c r="E18" i="10"/>
  <c r="D18" i="10"/>
  <c r="C18" i="10"/>
  <c r="N17" i="10"/>
  <c r="M17" i="10"/>
  <c r="L17" i="10"/>
  <c r="K17" i="10"/>
  <c r="J17" i="10"/>
  <c r="I17" i="10"/>
  <c r="H17" i="10"/>
  <c r="G17" i="10"/>
  <c r="F17" i="10"/>
  <c r="E17" i="10"/>
  <c r="D17" i="10"/>
  <c r="C17" i="10"/>
  <c r="N16" i="10"/>
  <c r="M16" i="10"/>
  <c r="L16" i="10"/>
  <c r="K16" i="10"/>
  <c r="J16" i="10"/>
  <c r="I16" i="10"/>
  <c r="H16" i="10"/>
  <c r="G16" i="10"/>
  <c r="F16" i="10"/>
  <c r="E16" i="10"/>
  <c r="D16" i="10"/>
  <c r="C16" i="10"/>
  <c r="N15" i="10"/>
  <c r="M15" i="10"/>
  <c r="L15" i="10"/>
  <c r="K15" i="10"/>
  <c r="J15" i="10"/>
  <c r="I15" i="10"/>
  <c r="H15" i="10"/>
  <c r="G15" i="10"/>
  <c r="F15" i="10"/>
  <c r="E15" i="10"/>
  <c r="D15" i="10"/>
  <c r="C15" i="10"/>
  <c r="N14" i="10"/>
  <c r="M14" i="10"/>
  <c r="L14" i="10"/>
  <c r="K14" i="10"/>
  <c r="J14" i="10"/>
  <c r="I14" i="10"/>
  <c r="H14" i="10"/>
  <c r="G14" i="10"/>
  <c r="F14" i="10"/>
  <c r="E14" i="10"/>
  <c r="D14" i="10"/>
  <c r="C14" i="10"/>
  <c r="N13" i="10"/>
  <c r="M13" i="10"/>
  <c r="L13" i="10"/>
  <c r="K13" i="10"/>
  <c r="J13" i="10"/>
  <c r="I13" i="10"/>
  <c r="H13" i="10"/>
  <c r="G13" i="10"/>
  <c r="F13" i="10"/>
  <c r="E13" i="10"/>
  <c r="D13" i="10"/>
  <c r="C13" i="10"/>
  <c r="N12" i="10"/>
  <c r="O12" i="10" s="1"/>
  <c r="M12" i="10"/>
  <c r="L12" i="10"/>
  <c r="K12" i="10"/>
  <c r="J12" i="10"/>
  <c r="I12" i="10"/>
  <c r="H12" i="10"/>
  <c r="G12" i="10"/>
  <c r="F12" i="10"/>
  <c r="E12" i="10"/>
  <c r="D12" i="10"/>
  <c r="C12" i="10"/>
  <c r="N11" i="10"/>
  <c r="N21" i="10" s="1"/>
  <c r="AH61" i="3" s="1"/>
  <c r="M11" i="10"/>
  <c r="M21" i="10" s="1"/>
  <c r="M22" i="10" s="1"/>
  <c r="L11" i="10"/>
  <c r="K11" i="10"/>
  <c r="J11" i="10"/>
  <c r="I11" i="10"/>
  <c r="H11" i="10"/>
  <c r="G11" i="10"/>
  <c r="F11" i="10"/>
  <c r="E11" i="10"/>
  <c r="D11" i="10"/>
  <c r="C11" i="10"/>
  <c r="D10" i="10"/>
  <c r="N9" i="10"/>
  <c r="M9" i="10"/>
  <c r="L9" i="10"/>
  <c r="K9" i="10"/>
  <c r="J9" i="10"/>
  <c r="I9" i="10"/>
  <c r="H9" i="10"/>
  <c r="G9" i="10"/>
  <c r="F9" i="10"/>
  <c r="E9" i="10"/>
  <c r="D9" i="10"/>
  <c r="C9" i="10"/>
  <c r="O9" i="10" s="1"/>
  <c r="N8" i="10"/>
  <c r="N10" i="10" s="1"/>
  <c r="M8" i="10"/>
  <c r="AG38" i="3" s="1"/>
  <c r="L8" i="10"/>
  <c r="AF38" i="3" s="1"/>
  <c r="K8" i="10"/>
  <c r="J8" i="10"/>
  <c r="I8" i="10"/>
  <c r="AC38" i="3" s="1"/>
  <c r="H8" i="10"/>
  <c r="G8" i="10"/>
  <c r="F8" i="10"/>
  <c r="E8" i="10"/>
  <c r="Y38" i="3" s="1"/>
  <c r="D8" i="10"/>
  <c r="X38" i="3" s="1"/>
  <c r="C8" i="10"/>
  <c r="W38" i="3" s="1"/>
  <c r="O6" i="10"/>
  <c r="N5" i="10"/>
  <c r="M5" i="10"/>
  <c r="L5" i="10"/>
  <c r="K5" i="10"/>
  <c r="J5" i="10"/>
  <c r="I5" i="10"/>
  <c r="H5" i="10"/>
  <c r="H7" i="10" s="1"/>
  <c r="G5" i="10"/>
  <c r="G7" i="10" s="1"/>
  <c r="F5" i="10"/>
  <c r="E5" i="10"/>
  <c r="D5" i="10"/>
  <c r="C5" i="10"/>
  <c r="W28" i="3" s="1"/>
  <c r="O35" i="11"/>
  <c r="O34" i="11"/>
  <c r="O31" i="11"/>
  <c r="O30" i="11"/>
  <c r="O29" i="11"/>
  <c r="O28" i="11"/>
  <c r="N27" i="11"/>
  <c r="N23" i="11" s="1"/>
  <c r="M27" i="11"/>
  <c r="M23" i="11" s="1"/>
  <c r="M25" i="11" s="1"/>
  <c r="L27" i="11"/>
  <c r="L10" i="11" s="1"/>
  <c r="K27" i="11"/>
  <c r="J27" i="11"/>
  <c r="I27" i="11"/>
  <c r="H27" i="11"/>
  <c r="G27" i="11"/>
  <c r="F27" i="11"/>
  <c r="E27" i="11"/>
  <c r="E7" i="11" s="1"/>
  <c r="D27" i="11"/>
  <c r="D7" i="11" s="1"/>
  <c r="C27" i="11"/>
  <c r="C22" i="11" s="1"/>
  <c r="J25" i="11"/>
  <c r="K23" i="11"/>
  <c r="K25" i="11" s="1"/>
  <c r="J23" i="11"/>
  <c r="I23" i="11"/>
  <c r="I25" i="11" s="1"/>
  <c r="H23" i="11"/>
  <c r="H25" i="11" s="1"/>
  <c r="G23" i="11"/>
  <c r="G25" i="11" s="1"/>
  <c r="F23" i="11"/>
  <c r="F25" i="11" s="1"/>
  <c r="E23" i="11"/>
  <c r="E25" i="11" s="1"/>
  <c r="D23" i="11"/>
  <c r="D24" i="11" s="1"/>
  <c r="C23" i="11"/>
  <c r="C25" i="11" s="1"/>
  <c r="D22" i="11"/>
  <c r="N21" i="11"/>
  <c r="N22" i="11" s="1"/>
  <c r="M21" i="11"/>
  <c r="L21" i="11"/>
  <c r="K21" i="11"/>
  <c r="K24" i="11" s="1"/>
  <c r="K32" i="11" s="1"/>
  <c r="J21" i="11"/>
  <c r="J24" i="11" s="1"/>
  <c r="J32" i="11" s="1"/>
  <c r="I21" i="11"/>
  <c r="I22" i="11" s="1"/>
  <c r="H21" i="11"/>
  <c r="H24" i="11" s="1"/>
  <c r="H32" i="11" s="1"/>
  <c r="G21" i="11"/>
  <c r="G24" i="11" s="1"/>
  <c r="G32" i="11" s="1"/>
  <c r="F21" i="11"/>
  <c r="F22" i="11" s="1"/>
  <c r="E21" i="11"/>
  <c r="E22" i="11" s="1"/>
  <c r="D21" i="11"/>
  <c r="C21" i="11"/>
  <c r="O20" i="11"/>
  <c r="O19" i="11"/>
  <c r="O18" i="11"/>
  <c r="O17" i="11"/>
  <c r="O16" i="11"/>
  <c r="O14" i="11"/>
  <c r="O13" i="11"/>
  <c r="O12" i="11"/>
  <c r="O11" i="11"/>
  <c r="O21" i="11" s="1"/>
  <c r="K10" i="11"/>
  <c r="J10" i="11"/>
  <c r="I10" i="11"/>
  <c r="H10" i="11"/>
  <c r="G10" i="11"/>
  <c r="F10" i="11"/>
  <c r="E10" i="11"/>
  <c r="D10" i="11"/>
  <c r="C10" i="11"/>
  <c r="O9" i="11"/>
  <c r="O8" i="11"/>
  <c r="K7" i="11"/>
  <c r="J7" i="11"/>
  <c r="I7" i="11"/>
  <c r="H7" i="11"/>
  <c r="G7" i="11"/>
  <c r="F7" i="11"/>
  <c r="O6" i="11"/>
  <c r="O5" i="11"/>
  <c r="O35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O31" i="12"/>
  <c r="O30" i="12"/>
  <c r="O29" i="12"/>
  <c r="N28" i="12"/>
  <c r="M28" i="12"/>
  <c r="L28" i="12"/>
  <c r="K28" i="12"/>
  <c r="J28" i="12"/>
  <c r="I28" i="12"/>
  <c r="H28" i="12"/>
  <c r="G28" i="12"/>
  <c r="F28" i="12"/>
  <c r="E28" i="12"/>
  <c r="D28" i="12"/>
  <c r="C28" i="12"/>
  <c r="C13" i="12" s="1"/>
  <c r="M27" i="12"/>
  <c r="L27" i="12"/>
  <c r="K27" i="12"/>
  <c r="J27" i="12"/>
  <c r="I27" i="12"/>
  <c r="H27" i="12"/>
  <c r="G27" i="12"/>
  <c r="F27" i="12"/>
  <c r="F10" i="12" s="1"/>
  <c r="E27" i="12"/>
  <c r="E23" i="12" s="1"/>
  <c r="E25" i="12" s="1"/>
  <c r="D27" i="12"/>
  <c r="C27" i="12"/>
  <c r="M23" i="12"/>
  <c r="M25" i="12" s="1"/>
  <c r="L23" i="12"/>
  <c r="L25" i="12" s="1"/>
  <c r="K23" i="12"/>
  <c r="K25" i="12" s="1"/>
  <c r="J23" i="12"/>
  <c r="J25" i="12" s="1"/>
  <c r="I23" i="12"/>
  <c r="I25" i="12" s="1"/>
  <c r="H23" i="12"/>
  <c r="H25" i="12" s="1"/>
  <c r="G23" i="12"/>
  <c r="G25" i="12" s="1"/>
  <c r="F23" i="12"/>
  <c r="F25" i="12" s="1"/>
  <c r="G22" i="12"/>
  <c r="M21" i="12"/>
  <c r="M22" i="12" s="1"/>
  <c r="L21" i="12"/>
  <c r="L22" i="12" s="1"/>
  <c r="K21" i="12"/>
  <c r="K24" i="12" s="1"/>
  <c r="K32" i="12" s="1"/>
  <c r="J21" i="12"/>
  <c r="I21" i="12"/>
  <c r="H21" i="12"/>
  <c r="O20" i="12"/>
  <c r="O19" i="12"/>
  <c r="O18" i="12"/>
  <c r="O17" i="12"/>
  <c r="O16" i="12"/>
  <c r="O15" i="12"/>
  <c r="O14" i="12"/>
  <c r="M13" i="12"/>
  <c r="L13" i="12"/>
  <c r="K13" i="12"/>
  <c r="J13" i="12"/>
  <c r="I13" i="12"/>
  <c r="H13" i="12"/>
  <c r="G13" i="12"/>
  <c r="G21" i="12" s="1"/>
  <c r="F13" i="12"/>
  <c r="F21" i="12" s="1"/>
  <c r="E13" i="12"/>
  <c r="E21" i="12" s="1"/>
  <c r="E22" i="12" s="1"/>
  <c r="D13" i="12"/>
  <c r="D21" i="12" s="1"/>
  <c r="D22" i="12" s="1"/>
  <c r="O12" i="12"/>
  <c r="O11" i="12"/>
  <c r="M10" i="12"/>
  <c r="L10" i="12"/>
  <c r="K10" i="12"/>
  <c r="J10" i="12"/>
  <c r="I10" i="12"/>
  <c r="H10" i="12"/>
  <c r="G10" i="12"/>
  <c r="O9" i="12"/>
  <c r="O8" i="12"/>
  <c r="K7" i="12"/>
  <c r="J7" i="12"/>
  <c r="O6" i="12"/>
  <c r="N5" i="12"/>
  <c r="M5" i="12"/>
  <c r="M24" i="12" s="1"/>
  <c r="M32" i="12" s="1"/>
  <c r="L5" i="12"/>
  <c r="K5" i="12"/>
  <c r="J5" i="12"/>
  <c r="I5" i="12"/>
  <c r="I7" i="12" s="1"/>
  <c r="H5" i="12"/>
  <c r="H7" i="12" s="1"/>
  <c r="G5" i="12"/>
  <c r="G7" i="12" s="1"/>
  <c r="F5" i="12"/>
  <c r="F7" i="12" s="1"/>
  <c r="E5" i="12"/>
  <c r="E7" i="12" s="1"/>
  <c r="D5" i="12"/>
  <c r="C5" i="12"/>
  <c r="C7" i="12" s="1"/>
  <c r="O19" i="10" l="1"/>
  <c r="K25" i="10"/>
  <c r="AE14" i="3"/>
  <c r="AE13" i="3" s="1"/>
  <c r="F24" i="10"/>
  <c r="Z38" i="3"/>
  <c r="E24" i="10"/>
  <c r="E32" i="10" s="1"/>
  <c r="Y61" i="3"/>
  <c r="O34" i="12"/>
  <c r="G10" i="10"/>
  <c r="AA38" i="3"/>
  <c r="AA37" i="3" s="1"/>
  <c r="AA184" i="3" s="1"/>
  <c r="AA181" i="3" s="1"/>
  <c r="F22" i="10"/>
  <c r="Z61" i="3"/>
  <c r="AE27" i="3"/>
  <c r="AE183" i="3" s="1"/>
  <c r="C10" i="10"/>
  <c r="O34" i="10"/>
  <c r="W13" i="3"/>
  <c r="W182" i="3" s="1"/>
  <c r="O18" i="10"/>
  <c r="AC28" i="3"/>
  <c r="L25" i="10"/>
  <c r="AC27" i="3"/>
  <c r="AC183" i="3" s="1"/>
  <c r="AF27" i="3"/>
  <c r="AF183" i="3" s="1"/>
  <c r="G32" i="12"/>
  <c r="O11" i="10"/>
  <c r="O14" i="10"/>
  <c r="O15" i="10"/>
  <c r="O17" i="10"/>
  <c r="O20" i="10"/>
  <c r="C22" i="10"/>
  <c r="W61" i="3"/>
  <c r="J25" i="10"/>
  <c r="E10" i="10"/>
  <c r="X61" i="3"/>
  <c r="X37" i="3" s="1"/>
  <c r="X184" i="3" s="1"/>
  <c r="F7" i="10"/>
  <c r="Z28" i="3"/>
  <c r="AB28" i="3"/>
  <c r="AB27" i="3" s="1"/>
  <c r="AB183" i="3" s="1"/>
  <c r="G24" i="12"/>
  <c r="J7" i="10"/>
  <c r="AA28" i="3"/>
  <c r="AA27" i="3" s="1"/>
  <c r="AA183" i="3" s="1"/>
  <c r="F25" i="10"/>
  <c r="Z14" i="3"/>
  <c r="Z13" i="3" s="1"/>
  <c r="Z182" i="3" s="1"/>
  <c r="F32" i="10"/>
  <c r="F36" i="10" s="1"/>
  <c r="AF14" i="3"/>
  <c r="AF13" i="3" s="1"/>
  <c r="AF182" i="3" s="1"/>
  <c r="D7" i="10"/>
  <c r="X28" i="3"/>
  <c r="U28" i="3" s="1"/>
  <c r="L21" i="10"/>
  <c r="G25" i="10"/>
  <c r="AA14" i="3"/>
  <c r="AA13" i="3" s="1"/>
  <c r="AA182" i="3" s="1"/>
  <c r="AD14" i="3"/>
  <c r="AD13" i="3" s="1"/>
  <c r="E7" i="10"/>
  <c r="Y28" i="3"/>
  <c r="Y27" i="3" s="1"/>
  <c r="Y183" i="3" s="1"/>
  <c r="O13" i="10"/>
  <c r="H25" i="10"/>
  <c r="AB14" i="3"/>
  <c r="AB13" i="3" s="1"/>
  <c r="AB182" i="3" s="1"/>
  <c r="AC37" i="3"/>
  <c r="AC184" i="3" s="1"/>
  <c r="H10" i="10"/>
  <c r="G22" i="10"/>
  <c r="L7" i="10"/>
  <c r="H21" i="10"/>
  <c r="AB38" i="3"/>
  <c r="I24" i="12"/>
  <c r="I32" i="12" s="1"/>
  <c r="M7" i="10"/>
  <c r="I21" i="10"/>
  <c r="AC61" i="3" s="1"/>
  <c r="C25" i="10"/>
  <c r="O28" i="10"/>
  <c r="AA61" i="3"/>
  <c r="J24" i="12"/>
  <c r="J32" i="12" s="1"/>
  <c r="J33" i="12" s="1"/>
  <c r="N7" i="10"/>
  <c r="O16" i="10"/>
  <c r="D25" i="10"/>
  <c r="N25" i="10"/>
  <c r="AH28" i="3"/>
  <c r="O5" i="10"/>
  <c r="L24" i="10"/>
  <c r="K21" i="10"/>
  <c r="AE61" i="3" s="1"/>
  <c r="E25" i="10"/>
  <c r="AF28" i="3"/>
  <c r="W27" i="3"/>
  <c r="W183" i="3" s="1"/>
  <c r="S178" i="13"/>
  <c r="Y178" i="13"/>
  <c r="P6" i="13"/>
  <c r="M153" i="13"/>
  <c r="O3" i="13"/>
  <c r="P128" i="13"/>
  <c r="K139" i="13"/>
  <c r="K137" i="13" s="1"/>
  <c r="AD91" i="13"/>
  <c r="W146" i="13"/>
  <c r="W185" i="13" s="1"/>
  <c r="U153" i="13"/>
  <c r="H2" i="13"/>
  <c r="J177" i="13" s="1"/>
  <c r="J176" i="13" s="1"/>
  <c r="AD35" i="13"/>
  <c r="AD43" i="13"/>
  <c r="AD59" i="13"/>
  <c r="AD75" i="13"/>
  <c r="AD81" i="13"/>
  <c r="AD115" i="13"/>
  <c r="G132" i="13"/>
  <c r="I146" i="13"/>
  <c r="I185" i="13" s="1"/>
  <c r="L160" i="13"/>
  <c r="AD51" i="13"/>
  <c r="AD64" i="13"/>
  <c r="AD103" i="13"/>
  <c r="AD58" i="13"/>
  <c r="AD88" i="13"/>
  <c r="AD90" i="13"/>
  <c r="C2" i="13"/>
  <c r="D177" i="13" s="1"/>
  <c r="D176" i="13" s="1"/>
  <c r="AD15" i="13"/>
  <c r="AD44" i="13"/>
  <c r="AD74" i="13"/>
  <c r="AD98" i="13"/>
  <c r="AD101" i="13"/>
  <c r="H132" i="13"/>
  <c r="J146" i="13"/>
  <c r="J185" i="13" s="1"/>
  <c r="AB160" i="13"/>
  <c r="AD45" i="13"/>
  <c r="AD68" i="13"/>
  <c r="I153" i="13"/>
  <c r="AC160" i="13"/>
  <c r="J153" i="13"/>
  <c r="C160" i="13"/>
  <c r="O128" i="13"/>
  <c r="N153" i="13"/>
  <c r="AD79" i="13"/>
  <c r="AD95" i="13"/>
  <c r="P147" i="13"/>
  <c r="P149" i="13"/>
  <c r="Y160" i="13"/>
  <c r="O17" i="13"/>
  <c r="AD41" i="13"/>
  <c r="AD55" i="13"/>
  <c r="AD69" i="13"/>
  <c r="AD119" i="13"/>
  <c r="AD120" i="13"/>
  <c r="AD121" i="13"/>
  <c r="J13" i="13"/>
  <c r="AD39" i="13"/>
  <c r="AD47" i="13"/>
  <c r="J122" i="13"/>
  <c r="K132" i="13"/>
  <c r="K153" i="13"/>
  <c r="D160" i="13"/>
  <c r="P162" i="13"/>
  <c r="AD48" i="13"/>
  <c r="AD105" i="13"/>
  <c r="N146" i="13"/>
  <c r="N185" i="13" s="1"/>
  <c r="U13" i="13"/>
  <c r="K22" i="13"/>
  <c r="V13" i="13"/>
  <c r="V22" i="13"/>
  <c r="U22" i="13"/>
  <c r="P9" i="13"/>
  <c r="N22" i="13"/>
  <c r="L2" i="13"/>
  <c r="N177" i="13" s="1"/>
  <c r="N176" i="13" s="1"/>
  <c r="AA178" i="13"/>
  <c r="E54" i="13"/>
  <c r="C54" i="13"/>
  <c r="H54" i="13"/>
  <c r="D54" i="13"/>
  <c r="N54" i="13"/>
  <c r="N37" i="13" s="1"/>
  <c r="N184" i="13" s="1"/>
  <c r="M54" i="13"/>
  <c r="J54" i="13"/>
  <c r="K54" i="13"/>
  <c r="I54" i="13"/>
  <c r="G54" i="13"/>
  <c r="F54" i="13"/>
  <c r="AD65" i="13"/>
  <c r="D82" i="13"/>
  <c r="H82" i="13"/>
  <c r="G82" i="13"/>
  <c r="F82" i="13"/>
  <c r="M82" i="13"/>
  <c r="N82" i="13"/>
  <c r="J82" i="13"/>
  <c r="C82" i="13"/>
  <c r="B82" i="13"/>
  <c r="L82" i="13"/>
  <c r="M2" i="13"/>
  <c r="F2" i="13"/>
  <c r="W13" i="13"/>
  <c r="P19" i="13"/>
  <c r="AD29" i="13"/>
  <c r="B54" i="13"/>
  <c r="AD66" i="13"/>
  <c r="E82" i="13"/>
  <c r="AD86" i="13"/>
  <c r="P158" i="13"/>
  <c r="W153" i="13"/>
  <c r="H177" i="13"/>
  <c r="H176" i="13" s="1"/>
  <c r="S13" i="13"/>
  <c r="O9" i="13"/>
  <c r="N86" i="13"/>
  <c r="B86" i="13"/>
  <c r="J86" i="13"/>
  <c r="I86" i="13"/>
  <c r="H86" i="13"/>
  <c r="M86" i="13"/>
  <c r="L86" i="13"/>
  <c r="K86" i="13"/>
  <c r="E86" i="13"/>
  <c r="G86" i="13"/>
  <c r="F86" i="13"/>
  <c r="E177" i="13"/>
  <c r="E176" i="13" s="1"/>
  <c r="C27" i="13"/>
  <c r="O28" i="13"/>
  <c r="AD42" i="13"/>
  <c r="AD70" i="13"/>
  <c r="F91" i="13"/>
  <c r="I91" i="13"/>
  <c r="H91" i="13"/>
  <c r="G91" i="13"/>
  <c r="D91" i="13"/>
  <c r="B91" i="13"/>
  <c r="J91" i="13"/>
  <c r="E91" i="13"/>
  <c r="M91" i="13"/>
  <c r="L91" i="13"/>
  <c r="K91" i="13"/>
  <c r="C91" i="13"/>
  <c r="AD9" i="13"/>
  <c r="F27" i="13"/>
  <c r="F183" i="13" s="1"/>
  <c r="H43" i="13"/>
  <c r="E43" i="13"/>
  <c r="E37" i="13" s="1"/>
  <c r="E184" i="13" s="1"/>
  <c r="B43" i="13"/>
  <c r="N43" i="13"/>
  <c r="M43" i="13"/>
  <c r="J43" i="13"/>
  <c r="J37" i="13" s="1"/>
  <c r="J184" i="13" s="1"/>
  <c r="D43" i="13"/>
  <c r="C43" i="13"/>
  <c r="K43" i="13"/>
  <c r="K37" i="13" s="1"/>
  <c r="K184" i="13" s="1"/>
  <c r="I43" i="13"/>
  <c r="G43" i="13"/>
  <c r="F43" i="13"/>
  <c r="AD3" i="13"/>
  <c r="R13" i="13"/>
  <c r="O23" i="13"/>
  <c r="P23" i="13"/>
  <c r="R22" i="13"/>
  <c r="L43" i="13"/>
  <c r="O76" i="13"/>
  <c r="AD80" i="13"/>
  <c r="C86" i="13"/>
  <c r="O108" i="13"/>
  <c r="O125" i="13"/>
  <c r="AD128" i="13"/>
  <c r="O4" i="13"/>
  <c r="H25" i="13"/>
  <c r="H22" i="13" s="1"/>
  <c r="AC22" i="13"/>
  <c r="E25" i="13"/>
  <c r="Z22" i="13"/>
  <c r="L25" i="13"/>
  <c r="L22" i="13" s="1"/>
  <c r="B22" i="13"/>
  <c r="AD25" i="13"/>
  <c r="K25" i="13"/>
  <c r="G25" i="13"/>
  <c r="N25" i="13"/>
  <c r="M25" i="13"/>
  <c r="F25" i="13"/>
  <c r="F22" i="13" s="1"/>
  <c r="D25" i="13"/>
  <c r="AA22" i="13"/>
  <c r="C25" i="13"/>
  <c r="E40" i="13"/>
  <c r="J40" i="13"/>
  <c r="G40" i="13"/>
  <c r="K40" i="13"/>
  <c r="I40" i="13"/>
  <c r="I37" i="13" s="1"/>
  <c r="I184" i="13" s="1"/>
  <c r="D40" i="13"/>
  <c r="H40" i="13"/>
  <c r="F40" i="13"/>
  <c r="F37" i="13" s="1"/>
  <c r="F184" i="13" s="1"/>
  <c r="M40" i="13"/>
  <c r="L40" i="13"/>
  <c r="C40" i="13"/>
  <c r="B40" i="13"/>
  <c r="L54" i="13"/>
  <c r="AD67" i="13"/>
  <c r="I82" i="13"/>
  <c r="H89" i="13"/>
  <c r="I89" i="13"/>
  <c r="G89" i="13"/>
  <c r="F89" i="13"/>
  <c r="N89" i="13"/>
  <c r="L89" i="13"/>
  <c r="D89" i="13"/>
  <c r="J89" i="13"/>
  <c r="E89" i="13"/>
  <c r="K177" i="13"/>
  <c r="K176" i="13" s="1"/>
  <c r="R178" i="13"/>
  <c r="R176" i="13" s="1"/>
  <c r="P4" i="13"/>
  <c r="AD4" i="13"/>
  <c r="G22" i="13"/>
  <c r="B25" i="13"/>
  <c r="AD30" i="13"/>
  <c r="AD31" i="13"/>
  <c r="N40" i="13"/>
  <c r="AD73" i="13"/>
  <c r="K82" i="13"/>
  <c r="C89" i="13"/>
  <c r="U146" i="13"/>
  <c r="U185" i="13" s="1"/>
  <c r="B162" i="13"/>
  <c r="B155" i="13"/>
  <c r="B161" i="13"/>
  <c r="B154" i="13"/>
  <c r="B168" i="13"/>
  <c r="B151" i="13"/>
  <c r="B141" i="13"/>
  <c r="B139" i="13"/>
  <c r="B131" i="13"/>
  <c r="B126" i="13"/>
  <c r="B163" i="13"/>
  <c r="B156" i="13"/>
  <c r="B130" i="13"/>
  <c r="B109" i="13"/>
  <c r="B150" i="13"/>
  <c r="B142" i="13"/>
  <c r="B134" i="13"/>
  <c r="B113" i="13"/>
  <c r="B172" i="13"/>
  <c r="B165" i="13"/>
  <c r="B158" i="13"/>
  <c r="B129" i="13"/>
  <c r="B125" i="13"/>
  <c r="B123" i="13"/>
  <c r="B112" i="13"/>
  <c r="B107" i="13"/>
  <c r="B90" i="13"/>
  <c r="B75" i="13"/>
  <c r="B138" i="13"/>
  <c r="B127" i="13"/>
  <c r="B118" i="13"/>
  <c r="B85" i="13"/>
  <c r="B83" i="13"/>
  <c r="B68" i="13"/>
  <c r="B66" i="13"/>
  <c r="B171" i="13"/>
  <c r="B149" i="13"/>
  <c r="B145" i="13"/>
  <c r="B104" i="13"/>
  <c r="B99" i="13"/>
  <c r="B81" i="13"/>
  <c r="B50" i="13"/>
  <c r="B148" i="13"/>
  <c r="B114" i="13"/>
  <c r="B144" i="13"/>
  <c r="B135" i="13"/>
  <c r="B116" i="13"/>
  <c r="B76" i="13"/>
  <c r="B70" i="13"/>
  <c r="B57" i="13"/>
  <c r="B32" i="13"/>
  <c r="B100" i="13"/>
  <c r="B67" i="13"/>
  <c r="B62" i="13"/>
  <c r="B42" i="13"/>
  <c r="B39" i="13"/>
  <c r="B35" i="13"/>
  <c r="B31" i="13"/>
  <c r="B157" i="13"/>
  <c r="B111" i="13"/>
  <c r="B84" i="13"/>
  <c r="B79" i="13"/>
  <c r="B117" i="13"/>
  <c r="B94" i="13"/>
  <c r="B56" i="13"/>
  <c r="B153" i="13"/>
  <c r="B143" i="13"/>
  <c r="B101" i="13"/>
  <c r="B164" i="13"/>
  <c r="B146" i="13"/>
  <c r="B137" i="13"/>
  <c r="B132" i="13"/>
  <c r="B108" i="13"/>
  <c r="B64" i="13"/>
  <c r="B58" i="13"/>
  <c r="B21" i="13"/>
  <c r="B20" i="13"/>
  <c r="B65" i="13"/>
  <c r="B55" i="13"/>
  <c r="B52" i="13"/>
  <c r="B121" i="13"/>
  <c r="B110" i="13"/>
  <c r="B167" i="13"/>
  <c r="B14" i="13"/>
  <c r="B159" i="13"/>
  <c r="B133" i="13"/>
  <c r="B72" i="13"/>
  <c r="B71" i="13"/>
  <c r="B53" i="13"/>
  <c r="I2" i="13"/>
  <c r="AA13" i="13"/>
  <c r="AB182" i="13" s="1"/>
  <c r="C18" i="13"/>
  <c r="C13" i="13" s="1"/>
  <c r="Z13" i="13"/>
  <c r="M18" i="13"/>
  <c r="M13" i="13" s="1"/>
  <c r="Y13" i="13"/>
  <c r="L18" i="13"/>
  <c r="L13" i="13" s="1"/>
  <c r="M182" i="13" s="1"/>
  <c r="P18" i="13"/>
  <c r="I18" i="13"/>
  <c r="I13" i="13" s="1"/>
  <c r="N18" i="13"/>
  <c r="N13" i="13" s="1"/>
  <c r="G18" i="13"/>
  <c r="AB13" i="13"/>
  <c r="F18" i="13"/>
  <c r="X13" i="13"/>
  <c r="E18" i="13"/>
  <c r="E13" i="13" s="1"/>
  <c r="E22" i="13"/>
  <c r="I25" i="13"/>
  <c r="I22" i="13" s="1"/>
  <c r="AD54" i="13"/>
  <c r="H69" i="13"/>
  <c r="G69" i="13"/>
  <c r="F69" i="13"/>
  <c r="M69" i="13"/>
  <c r="K69" i="13"/>
  <c r="C69" i="13"/>
  <c r="J69" i="13"/>
  <c r="I69" i="13"/>
  <c r="B69" i="13"/>
  <c r="N69" i="13"/>
  <c r="I74" i="13"/>
  <c r="H74" i="13"/>
  <c r="G74" i="13"/>
  <c r="K74" i="13"/>
  <c r="F74" i="13"/>
  <c r="L74" i="13"/>
  <c r="D74" i="13"/>
  <c r="E74" i="13"/>
  <c r="C74" i="13"/>
  <c r="O74" i="13" s="1"/>
  <c r="O75" i="13"/>
  <c r="K89" i="13"/>
  <c r="H96" i="13"/>
  <c r="G96" i="13"/>
  <c r="E96" i="13"/>
  <c r="D96" i="13"/>
  <c r="C96" i="13"/>
  <c r="B96" i="13"/>
  <c r="F96" i="13"/>
  <c r="J96" i="13"/>
  <c r="N96" i="13"/>
  <c r="M96" i="13"/>
  <c r="L96" i="13"/>
  <c r="K96" i="13"/>
  <c r="B166" i="13"/>
  <c r="B13" i="13"/>
  <c r="B18" i="13"/>
  <c r="J25" i="13"/>
  <c r="J22" i="13" s="1"/>
  <c r="L29" i="13"/>
  <c r="L27" i="13" s="1"/>
  <c r="L183" i="13" s="1"/>
  <c r="I29" i="13"/>
  <c r="K29" i="13"/>
  <c r="J29" i="13"/>
  <c r="F29" i="13"/>
  <c r="H29" i="13"/>
  <c r="G29" i="13"/>
  <c r="B27" i="13"/>
  <c r="AD36" i="13"/>
  <c r="O55" i="13"/>
  <c r="B60" i="13"/>
  <c r="O62" i="13"/>
  <c r="D69" i="13"/>
  <c r="B74" i="13"/>
  <c r="M89" i="13"/>
  <c r="I96" i="13"/>
  <c r="B105" i="13"/>
  <c r="R146" i="13"/>
  <c r="S179" i="13"/>
  <c r="P5" i="13"/>
  <c r="O15" i="13"/>
  <c r="D18" i="13"/>
  <c r="G19" i="13"/>
  <c r="H19" i="13"/>
  <c r="H13" i="13" s="1"/>
  <c r="T13" i="13"/>
  <c r="F19" i="13"/>
  <c r="C19" i="13"/>
  <c r="N19" i="13"/>
  <c r="M19" i="13"/>
  <c r="L19" i="13"/>
  <c r="B29" i="13"/>
  <c r="AD40" i="13"/>
  <c r="AD60" i="13"/>
  <c r="E69" i="13"/>
  <c r="J74" i="13"/>
  <c r="O84" i="13"/>
  <c r="AD84" i="13"/>
  <c r="O112" i="13"/>
  <c r="AD112" i="13"/>
  <c r="AD63" i="13"/>
  <c r="O67" i="13"/>
  <c r="O5" i="13"/>
  <c r="W22" i="13"/>
  <c r="F36" i="13"/>
  <c r="H36" i="13"/>
  <c r="D36" i="13"/>
  <c r="K36" i="13"/>
  <c r="J36" i="13"/>
  <c r="E36" i="13"/>
  <c r="M36" i="13"/>
  <c r="L36" i="13"/>
  <c r="AD82" i="13"/>
  <c r="G87" i="13"/>
  <c r="G37" i="13" s="1"/>
  <c r="G184" i="13" s="1"/>
  <c r="D87" i="13"/>
  <c r="C87" i="13"/>
  <c r="B87" i="13"/>
  <c r="M87" i="13"/>
  <c r="K87" i="13"/>
  <c r="N87" i="13"/>
  <c r="I87" i="13"/>
  <c r="O100" i="13"/>
  <c r="AD100" i="13"/>
  <c r="AD109" i="13"/>
  <c r="O132" i="13"/>
  <c r="O133" i="13"/>
  <c r="P159" i="13"/>
  <c r="O16" i="13"/>
  <c r="B36" i="13"/>
  <c r="O50" i="13"/>
  <c r="I59" i="13"/>
  <c r="M59" i="13"/>
  <c r="G59" i="13"/>
  <c r="D59" i="13"/>
  <c r="J59" i="13"/>
  <c r="H59" i="13"/>
  <c r="C59" i="13"/>
  <c r="F59" i="13"/>
  <c r="E59" i="13"/>
  <c r="AD83" i="13"/>
  <c r="E87" i="13"/>
  <c r="B128" i="13"/>
  <c r="D132" i="13"/>
  <c r="M177" i="13"/>
  <c r="M176" i="13" s="1"/>
  <c r="AD5" i="13"/>
  <c r="P16" i="13"/>
  <c r="AD16" i="13"/>
  <c r="C36" i="13"/>
  <c r="AD57" i="13"/>
  <c r="B59" i="13"/>
  <c r="O68" i="13"/>
  <c r="F87" i="13"/>
  <c r="AD104" i="13"/>
  <c r="O106" i="13"/>
  <c r="O120" i="13"/>
  <c r="O123" i="13"/>
  <c r="S153" i="13"/>
  <c r="W160" i="13"/>
  <c r="B5" i="13"/>
  <c r="B3" i="13"/>
  <c r="D2" i="13"/>
  <c r="F177" i="13" s="1"/>
  <c r="F176" i="13" s="1"/>
  <c r="P3" i="13"/>
  <c r="B6" i="13"/>
  <c r="C21" i="13"/>
  <c r="H21" i="13"/>
  <c r="G21" i="13"/>
  <c r="D21" i="13"/>
  <c r="D13" i="13" s="1"/>
  <c r="AB22" i="13"/>
  <c r="B37" i="13"/>
  <c r="D58" i="13"/>
  <c r="F58" i="13"/>
  <c r="L58" i="13"/>
  <c r="I58" i="13"/>
  <c r="K58" i="13"/>
  <c r="J58" i="13"/>
  <c r="E58" i="13"/>
  <c r="AD62" i="13"/>
  <c r="C64" i="13"/>
  <c r="L64" i="13"/>
  <c r="K64" i="13"/>
  <c r="H64" i="13"/>
  <c r="I64" i="13"/>
  <c r="G64" i="13"/>
  <c r="D64" i="13"/>
  <c r="O66" i="13"/>
  <c r="O121" i="13"/>
  <c r="D122" i="13"/>
  <c r="O122" i="13" s="1"/>
  <c r="P17" i="13"/>
  <c r="AD17" i="13"/>
  <c r="X22" i="13"/>
  <c r="L26" i="13"/>
  <c r="O26" i="13" s="1"/>
  <c r="I26" i="13"/>
  <c r="H26" i="13"/>
  <c r="G26" i="13"/>
  <c r="D26" i="13"/>
  <c r="S22" i="13"/>
  <c r="C33" i="13"/>
  <c r="M33" i="13"/>
  <c r="M27" i="13" s="1"/>
  <c r="M183" i="13" s="1"/>
  <c r="J33" i="13"/>
  <c r="I33" i="13"/>
  <c r="H33" i="13"/>
  <c r="E33" i="13"/>
  <c r="AD34" i="13"/>
  <c r="O52" i="13"/>
  <c r="AD53" i="13"/>
  <c r="J63" i="13"/>
  <c r="E63" i="13"/>
  <c r="C63" i="13"/>
  <c r="N63" i="13"/>
  <c r="L63" i="13"/>
  <c r="K63" i="13"/>
  <c r="G63" i="13"/>
  <c r="O83" i="13"/>
  <c r="O99" i="13"/>
  <c r="V146" i="13"/>
  <c r="V185" i="13" s="1"/>
  <c r="P151" i="13"/>
  <c r="AA153" i="13"/>
  <c r="P157" i="13"/>
  <c r="O113" i="13"/>
  <c r="P148" i="13"/>
  <c r="I20" i="13"/>
  <c r="K28" i="13"/>
  <c r="E30" i="13"/>
  <c r="N30" i="13"/>
  <c r="N27" i="13" s="1"/>
  <c r="N183" i="13" s="1"/>
  <c r="B30" i="13"/>
  <c r="H34" i="13"/>
  <c r="G34" i="13"/>
  <c r="D34" i="13"/>
  <c r="O34" i="13" s="1"/>
  <c r="H65" i="13"/>
  <c r="F65" i="13"/>
  <c r="D65" i="13"/>
  <c r="I65" i="13"/>
  <c r="C65" i="13"/>
  <c r="O90" i="13"/>
  <c r="O110" i="13"/>
  <c r="F122" i="13"/>
  <c r="E132" i="13"/>
  <c r="F153" i="13"/>
  <c r="F160" i="13"/>
  <c r="M20" i="13"/>
  <c r="N31" i="13"/>
  <c r="J31" i="13"/>
  <c r="G31" i="13"/>
  <c r="O31" i="13" s="1"/>
  <c r="C42" i="13"/>
  <c r="K42" i="13"/>
  <c r="H42" i="13"/>
  <c r="AD49" i="13"/>
  <c r="AD52" i="13"/>
  <c r="K61" i="13"/>
  <c r="D61" i="13"/>
  <c r="O61" i="13" s="1"/>
  <c r="N61" i="13"/>
  <c r="J61" i="13"/>
  <c r="AD76" i="13"/>
  <c r="AD87" i="13"/>
  <c r="O92" i="13"/>
  <c r="AD96" i="13"/>
  <c r="AD97" i="13"/>
  <c r="O107" i="13"/>
  <c r="I122" i="13"/>
  <c r="E146" i="13"/>
  <c r="K20" i="13"/>
  <c r="K13" i="13" s="1"/>
  <c r="N20" i="13"/>
  <c r="G28" i="13"/>
  <c r="D28" i="13"/>
  <c r="L53" i="13"/>
  <c r="I53" i="13"/>
  <c r="M53" i="13"/>
  <c r="H53" i="13"/>
  <c r="O53" i="13" s="1"/>
  <c r="D73" i="13"/>
  <c r="C73" i="13"/>
  <c r="N73" i="13"/>
  <c r="B73" i="13"/>
  <c r="L73" i="13"/>
  <c r="J73" i="13"/>
  <c r="I73" i="13"/>
  <c r="F73" i="13"/>
  <c r="F80" i="13"/>
  <c r="H80" i="13"/>
  <c r="G80" i="13"/>
  <c r="E80" i="13"/>
  <c r="D80" i="13"/>
  <c r="O80" i="13" s="1"/>
  <c r="B80" i="13"/>
  <c r="M80" i="13"/>
  <c r="L88" i="13"/>
  <c r="K88" i="13"/>
  <c r="J88" i="13"/>
  <c r="I88" i="13"/>
  <c r="N88" i="13"/>
  <c r="H88" i="13"/>
  <c r="O88" i="13" s="1"/>
  <c r="B88" i="13"/>
  <c r="I98" i="13"/>
  <c r="L98" i="13"/>
  <c r="J98" i="13"/>
  <c r="N98" i="13"/>
  <c r="M98" i="13"/>
  <c r="K98" i="13"/>
  <c r="B98" i="13"/>
  <c r="F98" i="13"/>
  <c r="C98" i="13"/>
  <c r="AD107" i="13"/>
  <c r="AD111" i="13"/>
  <c r="B169" i="13"/>
  <c r="J160" i="13"/>
  <c r="M24" i="13"/>
  <c r="M22" i="13" s="1"/>
  <c r="Y22" i="13"/>
  <c r="N41" i="13"/>
  <c r="AD99" i="13"/>
  <c r="AD113" i="13"/>
  <c r="AD116" i="13"/>
  <c r="J119" i="13"/>
  <c r="G119" i="13"/>
  <c r="E119" i="13"/>
  <c r="O119" i="13" s="1"/>
  <c r="N119" i="13"/>
  <c r="M119" i="13"/>
  <c r="B119" i="13"/>
  <c r="AD137" i="13"/>
  <c r="L139" i="13"/>
  <c r="L137" i="13" s="1"/>
  <c r="I169" i="13"/>
  <c r="P150" i="13"/>
  <c r="D24" i="13"/>
  <c r="D41" i="13"/>
  <c r="O41" i="13" s="1"/>
  <c r="O60" i="13"/>
  <c r="L77" i="13"/>
  <c r="K77" i="13"/>
  <c r="J77" i="13"/>
  <c r="N77" i="13"/>
  <c r="I77" i="13"/>
  <c r="O77" i="13" s="1"/>
  <c r="H78" i="13"/>
  <c r="O78" i="13" s="1"/>
  <c r="G78" i="13"/>
  <c r="F78" i="13"/>
  <c r="M78" i="13"/>
  <c r="K78" i="13"/>
  <c r="AD92" i="13"/>
  <c r="C95" i="13"/>
  <c r="M95" i="13"/>
  <c r="K95" i="13"/>
  <c r="H95" i="13"/>
  <c r="G95" i="13"/>
  <c r="F95" i="13"/>
  <c r="B95" i="13"/>
  <c r="N115" i="13"/>
  <c r="B115" i="13"/>
  <c r="E115" i="13"/>
  <c r="C115" i="13"/>
  <c r="M115" i="13"/>
  <c r="L115" i="13"/>
  <c r="K115" i="13"/>
  <c r="F119" i="13"/>
  <c r="E122" i="13"/>
  <c r="K122" i="13"/>
  <c r="C139" i="13"/>
  <c r="AA146" i="13"/>
  <c r="AA185" i="13" s="1"/>
  <c r="C153" i="13"/>
  <c r="R153" i="13"/>
  <c r="P154" i="13"/>
  <c r="B160" i="13"/>
  <c r="F71" i="13"/>
  <c r="E71" i="13"/>
  <c r="D71" i="13"/>
  <c r="AD71" i="13"/>
  <c r="AD93" i="13"/>
  <c r="AD94" i="13"/>
  <c r="O102" i="13"/>
  <c r="AD102" i="13"/>
  <c r="AD117" i="13"/>
  <c r="F146" i="13"/>
  <c r="F185" i="13" s="1"/>
  <c r="T146" i="13"/>
  <c r="T185" i="13" s="1"/>
  <c r="AB146" i="13"/>
  <c r="E153" i="13"/>
  <c r="T153" i="13"/>
  <c r="AD56" i="13"/>
  <c r="C71" i="13"/>
  <c r="O71" i="13" s="1"/>
  <c r="K72" i="13"/>
  <c r="J72" i="13"/>
  <c r="I72" i="13"/>
  <c r="O72" i="13" s="1"/>
  <c r="G76" i="13"/>
  <c r="F76" i="13"/>
  <c r="E76" i="13"/>
  <c r="O93" i="13"/>
  <c r="J94" i="13"/>
  <c r="F94" i="13"/>
  <c r="D94" i="13"/>
  <c r="O94" i="13" s="1"/>
  <c r="L94" i="13"/>
  <c r="K94" i="13"/>
  <c r="I94" i="13"/>
  <c r="D103" i="13"/>
  <c r="K103" i="13"/>
  <c r="I103" i="13"/>
  <c r="E103" i="13"/>
  <c r="C103" i="13"/>
  <c r="B103" i="13"/>
  <c r="O105" i="13"/>
  <c r="G116" i="13"/>
  <c r="L116" i="13"/>
  <c r="J116" i="13"/>
  <c r="I116" i="13"/>
  <c r="H116" i="13"/>
  <c r="F116" i="13"/>
  <c r="O116" i="13" s="1"/>
  <c r="L117" i="13"/>
  <c r="F117" i="13"/>
  <c r="D117" i="13"/>
  <c r="G117" i="13"/>
  <c r="E117" i="13"/>
  <c r="C117" i="13"/>
  <c r="O124" i="13"/>
  <c r="AD132" i="13"/>
  <c r="O135" i="13"/>
  <c r="M139" i="13"/>
  <c r="M137" i="13" s="1"/>
  <c r="J139" i="13"/>
  <c r="J137" i="13" s="1"/>
  <c r="H146" i="13"/>
  <c r="H185" i="13" s="1"/>
  <c r="K70" i="13"/>
  <c r="O70" i="13" s="1"/>
  <c r="L75" i="13"/>
  <c r="K79" i="13"/>
  <c r="O79" i="13" s="1"/>
  <c r="L81" i="13"/>
  <c r="O81" i="13" s="1"/>
  <c r="N85" i="13"/>
  <c r="O85" i="13" s="1"/>
  <c r="M93" i="13"/>
  <c r="E118" i="13"/>
  <c r="M118" i="13"/>
  <c r="K118" i="13"/>
  <c r="F132" i="13"/>
  <c r="L70" i="13"/>
  <c r="L79" i="13"/>
  <c r="M81" i="13"/>
  <c r="N93" i="13"/>
  <c r="AD106" i="13"/>
  <c r="O109" i="13"/>
  <c r="AD118" i="13"/>
  <c r="AD122" i="13"/>
  <c r="X146" i="13"/>
  <c r="N79" i="13"/>
  <c r="N81" i="13"/>
  <c r="O97" i="13"/>
  <c r="I104" i="13"/>
  <c r="E104" i="13"/>
  <c r="C104" i="13"/>
  <c r="B122" i="13"/>
  <c r="P122" i="13"/>
  <c r="Y146" i="13"/>
  <c r="AC146" i="13"/>
  <c r="D153" i="13"/>
  <c r="L153" i="13"/>
  <c r="Y153" i="13"/>
  <c r="P161" i="13"/>
  <c r="Z153" i="13"/>
  <c r="S160" i="13"/>
  <c r="S169" i="13" s="1"/>
  <c r="H139" i="13"/>
  <c r="H137" i="13" s="1"/>
  <c r="L146" i="13"/>
  <c r="L185" i="13" s="1"/>
  <c r="Z146" i="13"/>
  <c r="Z185" i="13" s="1"/>
  <c r="O134" i="13"/>
  <c r="M146" i="13"/>
  <c r="M185" i="13" s="1"/>
  <c r="O111" i="13"/>
  <c r="P156" i="13"/>
  <c r="E160" i="13"/>
  <c r="R160" i="13"/>
  <c r="P137" i="13"/>
  <c r="R180" i="13"/>
  <c r="Z27" i="3"/>
  <c r="Z183" i="3" s="1"/>
  <c r="AH182" i="3"/>
  <c r="AG182" i="3"/>
  <c r="AE182" i="3"/>
  <c r="AD182" i="3"/>
  <c r="AC182" i="3"/>
  <c r="AC181" i="3" s="1"/>
  <c r="AC187" i="3" s="1"/>
  <c r="AE37" i="3"/>
  <c r="AE184" i="3" s="1"/>
  <c r="AH37" i="3"/>
  <c r="AH184" i="3" s="1"/>
  <c r="AD27" i="3"/>
  <c r="AD183" i="3" s="1"/>
  <c r="AG27" i="3"/>
  <c r="AG183" i="3" s="1"/>
  <c r="U2" i="3"/>
  <c r="Y2" i="3"/>
  <c r="Z2" i="3"/>
  <c r="Z177" i="3" s="1"/>
  <c r="Z176" i="3" s="1"/>
  <c r="Y37" i="3"/>
  <c r="Y184" i="3" s="1"/>
  <c r="AD177" i="3"/>
  <c r="AD176" i="3" s="1"/>
  <c r="AF177" i="3"/>
  <c r="AF176" i="3" s="1"/>
  <c r="AE177" i="3"/>
  <c r="AE176" i="3" s="1"/>
  <c r="AG37" i="3"/>
  <c r="AG184" i="3" s="1"/>
  <c r="AG177" i="3"/>
  <c r="AG176" i="3" s="1"/>
  <c r="AH27" i="3"/>
  <c r="AH183" i="3" s="1"/>
  <c r="AA177" i="3"/>
  <c r="AA176" i="3" s="1"/>
  <c r="U132" i="3"/>
  <c r="AB177" i="3"/>
  <c r="AB176" i="3" s="1"/>
  <c r="I25" i="10"/>
  <c r="I7" i="10"/>
  <c r="L32" i="10"/>
  <c r="K7" i="10"/>
  <c r="N22" i="10"/>
  <c r="N24" i="10"/>
  <c r="N32" i="10"/>
  <c r="K10" i="10"/>
  <c r="F33" i="10"/>
  <c r="O21" i="10"/>
  <c r="O22" i="10" s="1"/>
  <c r="O7" i="10"/>
  <c r="K22" i="10"/>
  <c r="M24" i="10"/>
  <c r="M32" i="10" s="1"/>
  <c r="E22" i="10"/>
  <c r="C24" i="10"/>
  <c r="C32" i="10" s="1"/>
  <c r="F10" i="10"/>
  <c r="D24" i="10"/>
  <c r="D32" i="10" s="1"/>
  <c r="O27" i="10"/>
  <c r="I10" i="10"/>
  <c r="J21" i="10"/>
  <c r="J24" i="10" s="1"/>
  <c r="J32" i="10" s="1"/>
  <c r="G24" i="10"/>
  <c r="G32" i="10" s="1"/>
  <c r="J10" i="10"/>
  <c r="H24" i="10"/>
  <c r="H32" i="10" s="1"/>
  <c r="C7" i="10"/>
  <c r="L10" i="10"/>
  <c r="O8" i="10"/>
  <c r="M10" i="10"/>
  <c r="O23" i="10"/>
  <c r="H36" i="11"/>
  <c r="H33" i="11"/>
  <c r="J33" i="11"/>
  <c r="J36" i="11"/>
  <c r="K36" i="11"/>
  <c r="K33" i="11"/>
  <c r="M24" i="11"/>
  <c r="N25" i="11"/>
  <c r="N24" i="11"/>
  <c r="F32" i="11"/>
  <c r="O22" i="11"/>
  <c r="G36" i="11"/>
  <c r="G33" i="11"/>
  <c r="G22" i="11"/>
  <c r="H22" i="11"/>
  <c r="L7" i="11"/>
  <c r="J22" i="11"/>
  <c r="M32" i="11"/>
  <c r="M7" i="11"/>
  <c r="K22" i="11"/>
  <c r="I24" i="11"/>
  <c r="I32" i="11" s="1"/>
  <c r="N32" i="11"/>
  <c r="E24" i="11"/>
  <c r="D25" i="11"/>
  <c r="F24" i="11"/>
  <c r="N7" i="11"/>
  <c r="M22" i="11"/>
  <c r="L23" i="11"/>
  <c r="L25" i="11" s="1"/>
  <c r="D32" i="11"/>
  <c r="M10" i="11"/>
  <c r="E32" i="11"/>
  <c r="O23" i="11"/>
  <c r="O25" i="11" s="1"/>
  <c r="C24" i="11"/>
  <c r="C32" i="11" s="1"/>
  <c r="O27" i="11"/>
  <c r="L22" i="11"/>
  <c r="C7" i="11"/>
  <c r="N10" i="11"/>
  <c r="N27" i="12"/>
  <c r="N13" i="12"/>
  <c r="N21" i="12" s="1"/>
  <c r="N22" i="12" s="1"/>
  <c r="C23" i="12"/>
  <c r="C10" i="12"/>
  <c r="C21" i="12"/>
  <c r="C22" i="12" s="1"/>
  <c r="F22" i="12"/>
  <c r="F24" i="12"/>
  <c r="F32" i="12" s="1"/>
  <c r="G36" i="12"/>
  <c r="G33" i="12"/>
  <c r="H24" i="12"/>
  <c r="H32" i="12" s="1"/>
  <c r="H22" i="12"/>
  <c r="L24" i="12"/>
  <c r="L32" i="12" s="1"/>
  <c r="L7" i="12"/>
  <c r="J36" i="12"/>
  <c r="M36" i="12"/>
  <c r="M33" i="12"/>
  <c r="K36" i="12"/>
  <c r="K33" i="12"/>
  <c r="E24" i="12"/>
  <c r="E32" i="12" s="1"/>
  <c r="D7" i="12"/>
  <c r="D10" i="12"/>
  <c r="E10" i="12"/>
  <c r="D23" i="12"/>
  <c r="D25" i="12" s="1"/>
  <c r="O28" i="12"/>
  <c r="I22" i="12"/>
  <c r="O5" i="12"/>
  <c r="M7" i="12"/>
  <c r="J22" i="12"/>
  <c r="K22" i="12"/>
  <c r="E36" i="10" l="1"/>
  <c r="E33" i="10"/>
  <c r="I33" i="12"/>
  <c r="I36" i="12"/>
  <c r="Y181" i="3"/>
  <c r="U38" i="3"/>
  <c r="V38" i="3" s="1"/>
  <c r="I22" i="10"/>
  <c r="H22" i="10"/>
  <c r="AB61" i="3"/>
  <c r="AB37" i="3" s="1"/>
  <c r="U14" i="3"/>
  <c r="U13" i="3" s="1"/>
  <c r="K24" i="10"/>
  <c r="K32" i="10" s="1"/>
  <c r="X27" i="3"/>
  <c r="X183" i="3" s="1"/>
  <c r="I24" i="10"/>
  <c r="I32" i="10" s="1"/>
  <c r="J22" i="10"/>
  <c r="AD61" i="3"/>
  <c r="AD37" i="3" s="1"/>
  <c r="AD184" i="3" s="1"/>
  <c r="Z181" i="3"/>
  <c r="W37" i="3"/>
  <c r="W184" i="3" s="1"/>
  <c r="W181" i="3" s="1"/>
  <c r="W187" i="3" s="1"/>
  <c r="W188" i="3" s="1"/>
  <c r="L22" i="10"/>
  <c r="AF61" i="3"/>
  <c r="AF37" i="3" s="1"/>
  <c r="AF184" i="3" s="1"/>
  <c r="Z37" i="3"/>
  <c r="Z184" i="3" s="1"/>
  <c r="P160" i="13"/>
  <c r="W169" i="13"/>
  <c r="X182" i="13"/>
  <c r="V18" i="3"/>
  <c r="V32" i="3"/>
  <c r="V46" i="3"/>
  <c r="V58" i="3"/>
  <c r="V71" i="3"/>
  <c r="V83" i="3"/>
  <c r="V95" i="3"/>
  <c r="V107" i="3"/>
  <c r="V119" i="3"/>
  <c r="V131" i="3"/>
  <c r="V19" i="3"/>
  <c r="V33" i="3"/>
  <c r="V47" i="3"/>
  <c r="V59" i="3"/>
  <c r="V84" i="3"/>
  <c r="V96" i="3"/>
  <c r="V108" i="3"/>
  <c r="V120" i="3"/>
  <c r="V132" i="3"/>
  <c r="V72" i="3"/>
  <c r="V20" i="3"/>
  <c r="V34" i="3"/>
  <c r="V48" i="3"/>
  <c r="V60" i="3"/>
  <c r="V73" i="3"/>
  <c r="V85" i="3"/>
  <c r="V97" i="3"/>
  <c r="V109" i="3"/>
  <c r="V121" i="3"/>
  <c r="V133" i="3"/>
  <c r="V52" i="3"/>
  <c r="V81" i="3"/>
  <c r="V21" i="3"/>
  <c r="V35" i="3"/>
  <c r="V49" i="3"/>
  <c r="V62" i="3"/>
  <c r="V74" i="3"/>
  <c r="V86" i="3"/>
  <c r="V98" i="3"/>
  <c r="V110" i="3"/>
  <c r="V122" i="3"/>
  <c r="V134" i="3"/>
  <c r="V22" i="3"/>
  <c r="V36" i="3"/>
  <c r="V50" i="3"/>
  <c r="V63" i="3"/>
  <c r="V75" i="3"/>
  <c r="V87" i="3"/>
  <c r="V99" i="3"/>
  <c r="V111" i="3"/>
  <c r="V123" i="3"/>
  <c r="V135" i="3"/>
  <c r="V24" i="3"/>
  <c r="V40" i="3"/>
  <c r="V65" i="3"/>
  <c r="V77" i="3"/>
  <c r="V89" i="3"/>
  <c r="V101" i="3"/>
  <c r="V113" i="3"/>
  <c r="V125" i="3"/>
  <c r="V25" i="3"/>
  <c r="V41" i="3"/>
  <c r="V53" i="3"/>
  <c r="V66" i="3"/>
  <c r="V78" i="3"/>
  <c r="V90" i="3"/>
  <c r="V102" i="3"/>
  <c r="V114" i="3"/>
  <c r="V126" i="3"/>
  <c r="V26" i="3"/>
  <c r="V42" i="3"/>
  <c r="V54" i="3"/>
  <c r="V67" i="3"/>
  <c r="V79" i="3"/>
  <c r="V91" i="3"/>
  <c r="V103" i="3"/>
  <c r="V115" i="3"/>
  <c r="V127" i="3"/>
  <c r="V15" i="3"/>
  <c r="V29" i="3"/>
  <c r="V43" i="3"/>
  <c r="V55" i="3"/>
  <c r="V68" i="3"/>
  <c r="V80" i="3"/>
  <c r="V92" i="3"/>
  <c r="V104" i="3"/>
  <c r="V116" i="3"/>
  <c r="V128" i="3"/>
  <c r="V16" i="3"/>
  <c r="V30" i="3"/>
  <c r="V44" i="3"/>
  <c r="V56" i="3"/>
  <c r="V69" i="3"/>
  <c r="V93" i="3"/>
  <c r="V105" i="3"/>
  <c r="V117" i="3"/>
  <c r="V129" i="3"/>
  <c r="V17" i="3"/>
  <c r="V31" i="3"/>
  <c r="V45" i="3"/>
  <c r="V57" i="3"/>
  <c r="V70" i="3"/>
  <c r="V82" i="3"/>
  <c r="V94" i="3"/>
  <c r="V106" i="3"/>
  <c r="V118" i="3"/>
  <c r="V130" i="3"/>
  <c r="V23" i="3"/>
  <c r="V39" i="3"/>
  <c r="V51" i="3"/>
  <c r="V64" i="3"/>
  <c r="V76" i="3"/>
  <c r="V88" i="3"/>
  <c r="V100" i="3"/>
  <c r="V112" i="3"/>
  <c r="V124" i="3"/>
  <c r="V28" i="3"/>
  <c r="V14" i="3"/>
  <c r="L169" i="13"/>
  <c r="E182" i="13"/>
  <c r="F169" i="13"/>
  <c r="V169" i="13"/>
  <c r="W182" i="13"/>
  <c r="Z169" i="13"/>
  <c r="J169" i="13"/>
  <c r="M169" i="13"/>
  <c r="D169" i="13"/>
  <c r="N169" i="13"/>
  <c r="T169" i="13"/>
  <c r="K169" i="13"/>
  <c r="U169" i="13"/>
  <c r="J182" i="13"/>
  <c r="U182" i="13"/>
  <c r="N136" i="13"/>
  <c r="I182" i="13"/>
  <c r="N182" i="13"/>
  <c r="N181" i="13" s="1"/>
  <c r="N186" i="13" s="1"/>
  <c r="Z182" i="13"/>
  <c r="L182" i="13"/>
  <c r="K182" i="13"/>
  <c r="AA182" i="13"/>
  <c r="X185" i="13"/>
  <c r="X169" i="13"/>
  <c r="O54" i="13"/>
  <c r="O30" i="13"/>
  <c r="AD18" i="13"/>
  <c r="O91" i="13"/>
  <c r="V182" i="13"/>
  <c r="Y185" i="13"/>
  <c r="Y169" i="13"/>
  <c r="O95" i="13"/>
  <c r="O98" i="13"/>
  <c r="D27" i="13"/>
  <c r="D183" i="13" s="1"/>
  <c r="O65" i="13"/>
  <c r="K27" i="13"/>
  <c r="K183" i="13" s="1"/>
  <c r="R185" i="13"/>
  <c r="R169" i="13"/>
  <c r="P146" i="13"/>
  <c r="D37" i="13"/>
  <c r="D184" i="13" s="1"/>
  <c r="S182" i="13"/>
  <c r="E27" i="13"/>
  <c r="I177" i="13"/>
  <c r="I176" i="13" s="1"/>
  <c r="F136" i="13"/>
  <c r="F170" i="13" s="1"/>
  <c r="F174" i="13" s="1"/>
  <c r="O69" i="13"/>
  <c r="G177" i="13"/>
  <c r="G176" i="13" s="1"/>
  <c r="H37" i="13"/>
  <c r="H184" i="13" s="1"/>
  <c r="O139" i="13"/>
  <c r="C137" i="13"/>
  <c r="E185" i="13"/>
  <c r="E169" i="13"/>
  <c r="AA169" i="13"/>
  <c r="O58" i="13"/>
  <c r="D182" i="13"/>
  <c r="O40" i="13"/>
  <c r="C37" i="13"/>
  <c r="C183" i="13"/>
  <c r="T182" i="13"/>
  <c r="O63" i="13"/>
  <c r="L37" i="13"/>
  <c r="L184" i="13" s="1"/>
  <c r="O25" i="13"/>
  <c r="C22" i="13"/>
  <c r="O22" i="13" s="1"/>
  <c r="O19" i="13"/>
  <c r="M37" i="13"/>
  <c r="M184" i="13" s="1"/>
  <c r="M181" i="13" s="1"/>
  <c r="M186" i="13" s="1"/>
  <c r="O43" i="13"/>
  <c r="C136" i="13"/>
  <c r="O64" i="13"/>
  <c r="O24" i="13"/>
  <c r="O118" i="13"/>
  <c r="P26" i="13"/>
  <c r="AD26" i="13"/>
  <c r="O117" i="13"/>
  <c r="AB185" i="13"/>
  <c r="AB169" i="13"/>
  <c r="O42" i="13"/>
  <c r="O36" i="13"/>
  <c r="H27" i="13"/>
  <c r="H183" i="13" s="1"/>
  <c r="Y182" i="13"/>
  <c r="O18" i="13"/>
  <c r="O89" i="13"/>
  <c r="T22" i="13"/>
  <c r="P22" i="13" s="1"/>
  <c r="P25" i="13"/>
  <c r="M136" i="13"/>
  <c r="P20" i="13"/>
  <c r="O21" i="13"/>
  <c r="AD24" i="13"/>
  <c r="H169" i="13"/>
  <c r="O103" i="13"/>
  <c r="D22" i="13"/>
  <c r="O20" i="13"/>
  <c r="J27" i="13"/>
  <c r="P24" i="13"/>
  <c r="O104" i="13"/>
  <c r="P153" i="13"/>
  <c r="O87" i="13"/>
  <c r="AD19" i="13"/>
  <c r="G13" i="13"/>
  <c r="O86" i="13"/>
  <c r="O82" i="13"/>
  <c r="L136" i="13"/>
  <c r="L170" i="13" s="1"/>
  <c r="L174" i="13" s="1"/>
  <c r="O59" i="13"/>
  <c r="O33" i="13"/>
  <c r="AC169" i="13"/>
  <c r="AC185" i="13"/>
  <c r="G27" i="13"/>
  <c r="G183" i="13" s="1"/>
  <c r="O96" i="13"/>
  <c r="O29" i="13"/>
  <c r="O115" i="13"/>
  <c r="F13" i="13"/>
  <c r="F182" i="13" s="1"/>
  <c r="F181" i="13" s="1"/>
  <c r="F186" i="13" s="1"/>
  <c r="AD20" i="13"/>
  <c r="O73" i="13"/>
  <c r="I27" i="13"/>
  <c r="I183" i="13" s="1"/>
  <c r="AC13" i="13"/>
  <c r="AD13" i="13" s="1"/>
  <c r="I136" i="13"/>
  <c r="I170" i="13" s="1"/>
  <c r="I174" i="13" s="1"/>
  <c r="L177" i="13"/>
  <c r="L176" i="13" s="1"/>
  <c r="O2" i="13"/>
  <c r="AF181" i="3"/>
  <c r="AF187" i="3" s="1"/>
  <c r="V13" i="3"/>
  <c r="AH181" i="3"/>
  <c r="AH187" i="3" s="1"/>
  <c r="AE181" i="3"/>
  <c r="AE187" i="3" s="1"/>
  <c r="AG181" i="3"/>
  <c r="AG187" i="3" s="1"/>
  <c r="AD181" i="3"/>
  <c r="AD187" i="3" s="1"/>
  <c r="X181" i="3"/>
  <c r="X187" i="3" s="1"/>
  <c r="U27" i="3"/>
  <c r="V27" i="3" s="1"/>
  <c r="Y177" i="3"/>
  <c r="Y176" i="3" s="1"/>
  <c r="Y187" i="3" s="1"/>
  <c r="Z187" i="3"/>
  <c r="AA187" i="3"/>
  <c r="M36" i="10"/>
  <c r="M33" i="10"/>
  <c r="C36" i="10"/>
  <c r="C33" i="10"/>
  <c r="J36" i="10"/>
  <c r="J33" i="10"/>
  <c r="O10" i="10"/>
  <c r="O24" i="10"/>
  <c r="O32" i="10" s="1"/>
  <c r="L36" i="10"/>
  <c r="L33" i="10"/>
  <c r="N36" i="10"/>
  <c r="N33" i="10"/>
  <c r="D33" i="10"/>
  <c r="D36" i="10"/>
  <c r="H36" i="10"/>
  <c r="H33" i="10"/>
  <c r="G36" i="10"/>
  <c r="G33" i="10"/>
  <c r="K36" i="10"/>
  <c r="K33" i="10"/>
  <c r="O25" i="10"/>
  <c r="C33" i="11"/>
  <c r="C36" i="11"/>
  <c r="N36" i="11"/>
  <c r="N33" i="11"/>
  <c r="I36" i="11"/>
  <c r="I33" i="11"/>
  <c r="F36" i="11"/>
  <c r="F33" i="11"/>
  <c r="E33" i="11"/>
  <c r="E36" i="11"/>
  <c r="D36" i="11"/>
  <c r="D33" i="11"/>
  <c r="M36" i="11"/>
  <c r="M33" i="11"/>
  <c r="L24" i="11"/>
  <c r="L32" i="11" s="1"/>
  <c r="O10" i="11"/>
  <c r="O7" i="11"/>
  <c r="O24" i="11"/>
  <c r="O32" i="11" s="1"/>
  <c r="E36" i="12"/>
  <c r="E33" i="12"/>
  <c r="F36" i="12"/>
  <c r="F33" i="12"/>
  <c r="C25" i="12"/>
  <c r="H33" i="12"/>
  <c r="H36" i="12"/>
  <c r="N23" i="12"/>
  <c r="N25" i="12" s="1"/>
  <c r="N10" i="12"/>
  <c r="O27" i="12"/>
  <c r="N7" i="12"/>
  <c r="C24" i="12"/>
  <c r="C32" i="12" s="1"/>
  <c r="L36" i="12"/>
  <c r="L33" i="12"/>
  <c r="D24" i="12"/>
  <c r="D32" i="12" s="1"/>
  <c r="O13" i="12"/>
  <c r="O21" i="12" s="1"/>
  <c r="AB184" i="3" l="1"/>
  <c r="AB181" i="3" s="1"/>
  <c r="AB187" i="3" s="1"/>
  <c r="U61" i="3"/>
  <c r="V61" i="3" s="1"/>
  <c r="I36" i="10"/>
  <c r="I33" i="10"/>
  <c r="U37" i="3"/>
  <c r="V37" i="3" s="1"/>
  <c r="P13" i="13"/>
  <c r="N170" i="13"/>
  <c r="N174" i="13" s="1"/>
  <c r="AC182" i="13"/>
  <c r="M170" i="13"/>
  <c r="M174" i="13" s="1"/>
  <c r="G182" i="13"/>
  <c r="G181" i="13" s="1"/>
  <c r="G186" i="13" s="1"/>
  <c r="B136" i="13"/>
  <c r="D181" i="13"/>
  <c r="D186" i="13" s="1"/>
  <c r="D136" i="13"/>
  <c r="D170" i="13" s="1"/>
  <c r="D174" i="13" s="1"/>
  <c r="AD22" i="13"/>
  <c r="P169" i="13"/>
  <c r="H136" i="13"/>
  <c r="H170" i="13" s="1"/>
  <c r="H174" i="13" s="1"/>
  <c r="I181" i="13"/>
  <c r="I186" i="13" s="1"/>
  <c r="C180" i="13"/>
  <c r="C176" i="13" s="1"/>
  <c r="O137" i="13"/>
  <c r="C169" i="13"/>
  <c r="C170" i="13" s="1"/>
  <c r="C174" i="13" s="1"/>
  <c r="O27" i="13"/>
  <c r="K181" i="13"/>
  <c r="K186" i="13" s="1"/>
  <c r="H182" i="13"/>
  <c r="H181" i="13" s="1"/>
  <c r="H186" i="13" s="1"/>
  <c r="G136" i="13"/>
  <c r="G170" i="13" s="1"/>
  <c r="G174" i="13" s="1"/>
  <c r="O13" i="13"/>
  <c r="E183" i="13"/>
  <c r="E181" i="13" s="1"/>
  <c r="E186" i="13" s="1"/>
  <c r="E136" i="13"/>
  <c r="E170" i="13" s="1"/>
  <c r="E174" i="13" s="1"/>
  <c r="K136" i="13"/>
  <c r="K170" i="13" s="1"/>
  <c r="K174" i="13" s="1"/>
  <c r="J183" i="13"/>
  <c r="J181" i="13" s="1"/>
  <c r="J186" i="13" s="1"/>
  <c r="J136" i="13"/>
  <c r="J170" i="13" s="1"/>
  <c r="J174" i="13" s="1"/>
  <c r="C184" i="13"/>
  <c r="C181" i="13" s="1"/>
  <c r="O37" i="13"/>
  <c r="L181" i="13"/>
  <c r="L186" i="13" s="1"/>
  <c r="X188" i="3"/>
  <c r="Y188" i="3" s="1"/>
  <c r="Z188" i="3" s="1"/>
  <c r="AA188" i="3" s="1"/>
  <c r="AB188" i="3" s="1"/>
  <c r="AC188" i="3" s="1"/>
  <c r="AD188" i="3" s="1"/>
  <c r="AE188" i="3" s="1"/>
  <c r="AF188" i="3" s="1"/>
  <c r="AG188" i="3" s="1"/>
  <c r="AH188" i="3" s="1"/>
  <c r="O33" i="10"/>
  <c r="O36" i="10"/>
  <c r="O36" i="11"/>
  <c r="O33" i="11"/>
  <c r="L36" i="11"/>
  <c r="L33" i="11"/>
  <c r="C33" i="12"/>
  <c r="C36" i="12"/>
  <c r="O10" i="12"/>
  <c r="O22" i="12"/>
  <c r="O7" i="12"/>
  <c r="N24" i="12"/>
  <c r="N32" i="12" s="1"/>
  <c r="D33" i="12"/>
  <c r="D36" i="12"/>
  <c r="O23" i="12"/>
  <c r="U136" i="3" l="1"/>
  <c r="V136" i="3" s="1"/>
  <c r="O136" i="13"/>
  <c r="B170" i="13"/>
  <c r="B174" i="13"/>
  <c r="C186" i="13"/>
  <c r="C187" i="13" s="1"/>
  <c r="D187" i="13" s="1"/>
  <c r="E187" i="13" s="1"/>
  <c r="F187" i="13" s="1"/>
  <c r="G187" i="13" s="1"/>
  <c r="H187" i="13" s="1"/>
  <c r="I187" i="13" s="1"/>
  <c r="J187" i="13" s="1"/>
  <c r="K187" i="13" s="1"/>
  <c r="L187" i="13" s="1"/>
  <c r="M187" i="13" s="1"/>
  <c r="N187" i="13" s="1"/>
  <c r="O25" i="12"/>
  <c r="O24" i="12"/>
  <c r="O32" i="12" s="1"/>
  <c r="N36" i="12"/>
  <c r="N33" i="12"/>
  <c r="U170" i="3" l="1"/>
  <c r="U174" i="3" s="1"/>
  <c r="O36" i="12"/>
  <c r="O33" i="12"/>
  <c r="F15" i="9" l="1"/>
  <c r="F16" i="9"/>
  <c r="F17" i="9"/>
  <c r="X4" i="9"/>
  <c r="X178" i="9" s="1"/>
  <c r="Y4" i="9"/>
  <c r="Z4" i="9"/>
  <c r="AA4" i="9"/>
  <c r="AB4" i="9"/>
  <c r="AB178" i="9" s="1"/>
  <c r="AC4" i="9"/>
  <c r="AC178" i="9" s="1"/>
  <c r="AD4" i="9"/>
  <c r="AD178" i="9" s="1"/>
  <c r="AE4" i="9"/>
  <c r="AE178" i="9" s="1"/>
  <c r="AF4" i="9"/>
  <c r="AG4" i="9"/>
  <c r="AG178" i="9" s="1"/>
  <c r="AH4" i="9"/>
  <c r="X5" i="9"/>
  <c r="Y5" i="9"/>
  <c r="Z5" i="9"/>
  <c r="AA5" i="9"/>
  <c r="AB5" i="9"/>
  <c r="AC5" i="9"/>
  <c r="AD5" i="9"/>
  <c r="AE5" i="9"/>
  <c r="AE179" i="9" s="1"/>
  <c r="AF5" i="9"/>
  <c r="AF179" i="9" s="1"/>
  <c r="AG5" i="9"/>
  <c r="AG179" i="9" s="1"/>
  <c r="AH5" i="9"/>
  <c r="AH179" i="9" s="1"/>
  <c r="W5" i="9"/>
  <c r="W179" i="9"/>
  <c r="X3" i="9"/>
  <c r="Y3" i="9"/>
  <c r="Z3" i="9"/>
  <c r="AA3" i="9"/>
  <c r="AA2" i="9" s="1"/>
  <c r="AB3" i="9"/>
  <c r="AC3" i="9"/>
  <c r="AD3" i="9"/>
  <c r="AE3" i="9"/>
  <c r="AI3" i="9" s="1"/>
  <c r="AF3" i="9"/>
  <c r="AG3" i="9"/>
  <c r="AH3" i="9"/>
  <c r="W180" i="9"/>
  <c r="P178" i="9"/>
  <c r="H177" i="9"/>
  <c r="C174" i="9"/>
  <c r="U173" i="9"/>
  <c r="C173" i="9"/>
  <c r="U172" i="9"/>
  <c r="C172" i="9"/>
  <c r="U171" i="9"/>
  <c r="C171" i="9"/>
  <c r="C170" i="9"/>
  <c r="C169" i="9"/>
  <c r="U168" i="9"/>
  <c r="C168" i="9"/>
  <c r="U167" i="9"/>
  <c r="C167" i="9"/>
  <c r="U166" i="9"/>
  <c r="C166" i="9"/>
  <c r="U165" i="9"/>
  <c r="C165" i="9"/>
  <c r="U164" i="9"/>
  <c r="C164" i="9"/>
  <c r="U163" i="9"/>
  <c r="C163" i="9"/>
  <c r="AH162" i="9"/>
  <c r="AG162" i="9"/>
  <c r="AF162" i="9"/>
  <c r="AE162" i="9"/>
  <c r="AD162" i="9"/>
  <c r="AC162" i="9"/>
  <c r="AB162" i="9"/>
  <c r="AA162" i="9"/>
  <c r="Z162" i="9"/>
  <c r="Y162" i="9"/>
  <c r="Y160" i="9" s="1"/>
  <c r="X162" i="9"/>
  <c r="W162" i="9"/>
  <c r="S162" i="9"/>
  <c r="R162" i="9"/>
  <c r="R160" i="9" s="1"/>
  <c r="Q162" i="9"/>
  <c r="P162" i="9"/>
  <c r="P160" i="9" s="1"/>
  <c r="O162" i="9"/>
  <c r="N162" i="9"/>
  <c r="M162" i="9"/>
  <c r="L162" i="9"/>
  <c r="L160" i="9" s="1"/>
  <c r="K162" i="9"/>
  <c r="J162" i="9"/>
  <c r="I162" i="9"/>
  <c r="H162" i="9"/>
  <c r="C162" i="9"/>
  <c r="AH161" i="9"/>
  <c r="AG161" i="9"/>
  <c r="AG160" i="9" s="1"/>
  <c r="AF161" i="9"/>
  <c r="AE161" i="9"/>
  <c r="AD161" i="9"/>
  <c r="AC161" i="9"/>
  <c r="AB161" i="9"/>
  <c r="AB160" i="9" s="1"/>
  <c r="AA161" i="9"/>
  <c r="AA160" i="9" s="1"/>
  <c r="Z161" i="9"/>
  <c r="Z160" i="9" s="1"/>
  <c r="Y161" i="9"/>
  <c r="X161" i="9"/>
  <c r="W161" i="9"/>
  <c r="W160" i="9" s="1"/>
  <c r="S161" i="9"/>
  <c r="R161" i="9"/>
  <c r="Q161" i="9"/>
  <c r="P161" i="9"/>
  <c r="O161" i="9"/>
  <c r="O160" i="9" s="1"/>
  <c r="N161" i="9"/>
  <c r="N160" i="9" s="1"/>
  <c r="M161" i="9"/>
  <c r="M160" i="9" s="1"/>
  <c r="L161" i="9"/>
  <c r="K161" i="9"/>
  <c r="K160" i="9" s="1"/>
  <c r="J161" i="9"/>
  <c r="J160" i="9" s="1"/>
  <c r="I161" i="9"/>
  <c r="H161" i="9"/>
  <c r="H160" i="9" s="1"/>
  <c r="C161" i="9"/>
  <c r="AF160" i="9"/>
  <c r="AE160" i="9"/>
  <c r="AC160" i="9"/>
  <c r="X160" i="9"/>
  <c r="S160" i="9"/>
  <c r="F160" i="9"/>
  <c r="C160" i="9"/>
  <c r="AH159" i="9"/>
  <c r="AG159" i="9"/>
  <c r="AF159" i="9"/>
  <c r="AE159" i="9"/>
  <c r="AD159" i="9"/>
  <c r="AC159" i="9"/>
  <c r="U159" i="9" s="1"/>
  <c r="AB159" i="9"/>
  <c r="AA159" i="9"/>
  <c r="Z159" i="9"/>
  <c r="Y159" i="9"/>
  <c r="X159" i="9"/>
  <c r="W159" i="9"/>
  <c r="S159" i="9"/>
  <c r="R159" i="9"/>
  <c r="Q159" i="9"/>
  <c r="P159" i="9"/>
  <c r="O159" i="9"/>
  <c r="N159" i="9"/>
  <c r="M159" i="9"/>
  <c r="L159" i="9"/>
  <c r="K159" i="9"/>
  <c r="J159" i="9"/>
  <c r="I159" i="9"/>
  <c r="H159" i="9"/>
  <c r="C159" i="9"/>
  <c r="AH158" i="9"/>
  <c r="AG158" i="9"/>
  <c r="AF158" i="9"/>
  <c r="AF153" i="9" s="1"/>
  <c r="AE158" i="9"/>
  <c r="AD158" i="9"/>
  <c r="AC158" i="9"/>
  <c r="AB158" i="9"/>
  <c r="AA158" i="9"/>
  <c r="Z158" i="9"/>
  <c r="Y158" i="9"/>
  <c r="X158" i="9"/>
  <c r="W158" i="9"/>
  <c r="S158" i="9"/>
  <c r="R158" i="9"/>
  <c r="Q158" i="9"/>
  <c r="P158" i="9"/>
  <c r="O158" i="9"/>
  <c r="N158" i="9"/>
  <c r="M158" i="9"/>
  <c r="L158" i="9"/>
  <c r="K158" i="9"/>
  <c r="J158" i="9"/>
  <c r="I158" i="9"/>
  <c r="H158" i="9"/>
  <c r="C158" i="9"/>
  <c r="AH157" i="9"/>
  <c r="AG157" i="9"/>
  <c r="AF157" i="9"/>
  <c r="AE157" i="9"/>
  <c r="AD157" i="9"/>
  <c r="AC157" i="9"/>
  <c r="AB157" i="9"/>
  <c r="AA157" i="9"/>
  <c r="Z157" i="9"/>
  <c r="Y157" i="9"/>
  <c r="X157" i="9"/>
  <c r="W157" i="9"/>
  <c r="S157" i="9"/>
  <c r="S153" i="9" s="1"/>
  <c r="R157" i="9"/>
  <c r="Q157" i="9"/>
  <c r="P157" i="9"/>
  <c r="O157" i="9"/>
  <c r="N157" i="9"/>
  <c r="M157" i="9"/>
  <c r="L157" i="9"/>
  <c r="K157" i="9"/>
  <c r="J157" i="9"/>
  <c r="I157" i="9"/>
  <c r="H157" i="9"/>
  <c r="C157" i="9"/>
  <c r="AH156" i="9"/>
  <c r="AG156" i="9"/>
  <c r="AF156" i="9"/>
  <c r="AE156" i="9"/>
  <c r="AD156" i="9"/>
  <c r="AC156" i="9"/>
  <c r="AB156" i="9"/>
  <c r="AB153" i="9" s="1"/>
  <c r="AA156" i="9"/>
  <c r="Z156" i="9"/>
  <c r="Y156" i="9"/>
  <c r="X156" i="9"/>
  <c r="W156" i="9"/>
  <c r="S156" i="9"/>
  <c r="R156" i="9"/>
  <c r="Q156" i="9"/>
  <c r="P156" i="9"/>
  <c r="P153" i="9" s="1"/>
  <c r="O156" i="9"/>
  <c r="N156" i="9"/>
  <c r="M156" i="9"/>
  <c r="L156" i="9"/>
  <c r="K156" i="9"/>
  <c r="J156" i="9"/>
  <c r="I156" i="9"/>
  <c r="H156" i="9"/>
  <c r="C156" i="9"/>
  <c r="AH155" i="9"/>
  <c r="AG155" i="9"/>
  <c r="AF155" i="9"/>
  <c r="AE155" i="9"/>
  <c r="AE153" i="9" s="1"/>
  <c r="AD155" i="9"/>
  <c r="AC155" i="9"/>
  <c r="AB155" i="9"/>
  <c r="AA155" i="9"/>
  <c r="Z155" i="9"/>
  <c r="U155" i="9" s="1"/>
  <c r="Y155" i="9"/>
  <c r="X155" i="9"/>
  <c r="W155" i="9"/>
  <c r="S155" i="9"/>
  <c r="R155" i="9"/>
  <c r="R153" i="9" s="1"/>
  <c r="Q155" i="9"/>
  <c r="P155" i="9"/>
  <c r="O155" i="9"/>
  <c r="N155" i="9"/>
  <c r="M155" i="9"/>
  <c r="L155" i="9"/>
  <c r="K155" i="9"/>
  <c r="J155" i="9"/>
  <c r="I155" i="9"/>
  <c r="H155" i="9"/>
  <c r="E155" i="9"/>
  <c r="C155" i="9"/>
  <c r="AH154" i="9"/>
  <c r="AG154" i="9"/>
  <c r="AF154" i="9"/>
  <c r="AE154" i="9"/>
  <c r="AD154" i="9"/>
  <c r="AC154" i="9"/>
  <c r="AB154" i="9"/>
  <c r="AA154" i="9"/>
  <c r="Z154" i="9"/>
  <c r="Y154" i="9"/>
  <c r="X154" i="9"/>
  <c r="X153" i="9" s="1"/>
  <c r="W154" i="9"/>
  <c r="S154" i="9"/>
  <c r="R154" i="9"/>
  <c r="Q154" i="9"/>
  <c r="P154" i="9"/>
  <c r="O154" i="9"/>
  <c r="N154" i="9"/>
  <c r="M154" i="9"/>
  <c r="L154" i="9"/>
  <c r="K154" i="9"/>
  <c r="K153" i="9" s="1"/>
  <c r="J154" i="9"/>
  <c r="I154" i="9"/>
  <c r="H154" i="9"/>
  <c r="C154" i="9"/>
  <c r="AG153" i="9"/>
  <c r="N153" i="9"/>
  <c r="J153" i="9"/>
  <c r="H153" i="9"/>
  <c r="F153" i="9"/>
  <c r="C153" i="9"/>
  <c r="AH152" i="9"/>
  <c r="AG152" i="9"/>
  <c r="AF152" i="9"/>
  <c r="AE152" i="9"/>
  <c r="AD152" i="9"/>
  <c r="AC152" i="9"/>
  <c r="AB152" i="9"/>
  <c r="AA152" i="9"/>
  <c r="Z152" i="9"/>
  <c r="Y152" i="9"/>
  <c r="X152" i="9"/>
  <c r="W152" i="9"/>
  <c r="S152" i="9"/>
  <c r="R152" i="9"/>
  <c r="Q152" i="9"/>
  <c r="P152" i="9"/>
  <c r="O152" i="9"/>
  <c r="N152" i="9"/>
  <c r="M152" i="9"/>
  <c r="L152" i="9"/>
  <c r="K152" i="9"/>
  <c r="J152" i="9"/>
  <c r="I152" i="9"/>
  <c r="H152" i="9"/>
  <c r="AH151" i="9"/>
  <c r="AG151" i="9"/>
  <c r="AF151" i="9"/>
  <c r="AF146" i="9" s="1"/>
  <c r="AF185" i="9" s="1"/>
  <c r="AE151" i="9"/>
  <c r="AD151" i="9"/>
  <c r="AC151" i="9"/>
  <c r="AB151" i="9"/>
  <c r="AA151" i="9"/>
  <c r="Z151" i="9"/>
  <c r="Y151" i="9"/>
  <c r="X151" i="9"/>
  <c r="W151" i="9"/>
  <c r="S151" i="9"/>
  <c r="R151" i="9"/>
  <c r="Q151" i="9"/>
  <c r="P151" i="9"/>
  <c r="O151" i="9"/>
  <c r="N151" i="9"/>
  <c r="M151" i="9"/>
  <c r="L151" i="9"/>
  <c r="K151" i="9"/>
  <c r="J151" i="9"/>
  <c r="I151" i="9"/>
  <c r="H151" i="9"/>
  <c r="C151" i="9"/>
  <c r="AH150" i="9"/>
  <c r="AG150" i="9"/>
  <c r="AF150" i="9"/>
  <c r="AE150" i="9"/>
  <c r="AD150" i="9"/>
  <c r="AC150" i="9"/>
  <c r="AB150" i="9"/>
  <c r="AA150" i="9"/>
  <c r="Z150" i="9"/>
  <c r="Y150" i="9"/>
  <c r="X150" i="9"/>
  <c r="W150" i="9"/>
  <c r="U150" i="9"/>
  <c r="S150" i="9"/>
  <c r="R150" i="9"/>
  <c r="Q150" i="9"/>
  <c r="P150" i="9"/>
  <c r="O150" i="9"/>
  <c r="N150" i="9"/>
  <c r="M150" i="9"/>
  <c r="L150" i="9"/>
  <c r="K150" i="9"/>
  <c r="J150" i="9"/>
  <c r="I150" i="9"/>
  <c r="H150" i="9"/>
  <c r="H146" i="9" s="1"/>
  <c r="H185" i="9" s="1"/>
  <c r="C150" i="9"/>
  <c r="AH149" i="9"/>
  <c r="AG149" i="9"/>
  <c r="AG146" i="9" s="1"/>
  <c r="AG185" i="9" s="1"/>
  <c r="AF149" i="9"/>
  <c r="AE149" i="9"/>
  <c r="AD149" i="9"/>
  <c r="AC149" i="9"/>
  <c r="AB149" i="9"/>
  <c r="AA149" i="9"/>
  <c r="Z149" i="9"/>
  <c r="Y149" i="9"/>
  <c r="X149" i="9"/>
  <c r="W149" i="9"/>
  <c r="S149" i="9"/>
  <c r="R149" i="9"/>
  <c r="Q149" i="9"/>
  <c r="P149" i="9"/>
  <c r="P146" i="9" s="1"/>
  <c r="P185" i="9" s="1"/>
  <c r="O149" i="9"/>
  <c r="N149" i="9"/>
  <c r="M149" i="9"/>
  <c r="L149" i="9"/>
  <c r="K149" i="9"/>
  <c r="J149" i="9"/>
  <c r="I149" i="9"/>
  <c r="H149" i="9"/>
  <c r="C149" i="9"/>
  <c r="AH148" i="9"/>
  <c r="AH146" i="9" s="1"/>
  <c r="AG148" i="9"/>
  <c r="AF148" i="9"/>
  <c r="AE148" i="9"/>
  <c r="AD148" i="9"/>
  <c r="AC148" i="9"/>
  <c r="AB148" i="9"/>
  <c r="AA148" i="9"/>
  <c r="AA146" i="9" s="1"/>
  <c r="AA185" i="9" s="1"/>
  <c r="Z148" i="9"/>
  <c r="Y148" i="9"/>
  <c r="X148" i="9"/>
  <c r="W148" i="9"/>
  <c r="S148" i="9"/>
  <c r="R148" i="9"/>
  <c r="Q148" i="9"/>
  <c r="P148" i="9"/>
  <c r="O148" i="9"/>
  <c r="N148" i="9"/>
  <c r="M148" i="9"/>
  <c r="M146" i="9" s="1"/>
  <c r="M185" i="9" s="1"/>
  <c r="L148" i="9"/>
  <c r="K148" i="9"/>
  <c r="J148" i="9"/>
  <c r="I148" i="9"/>
  <c r="H148" i="9"/>
  <c r="C148" i="9"/>
  <c r="AH147" i="9"/>
  <c r="AG147" i="9"/>
  <c r="AF147" i="9"/>
  <c r="AE147" i="9"/>
  <c r="AE146" i="9" s="1"/>
  <c r="AE185" i="9" s="1"/>
  <c r="AD147" i="9"/>
  <c r="AC147" i="9"/>
  <c r="AB147" i="9"/>
  <c r="AA147" i="9"/>
  <c r="Z147" i="9"/>
  <c r="Y147" i="9"/>
  <c r="Y146" i="9" s="1"/>
  <c r="X147" i="9"/>
  <c r="W147" i="9"/>
  <c r="S147" i="9"/>
  <c r="R147" i="9"/>
  <c r="R146" i="9" s="1"/>
  <c r="R185" i="9" s="1"/>
  <c r="Q147" i="9"/>
  <c r="P147" i="9"/>
  <c r="O147" i="9"/>
  <c r="N147" i="9"/>
  <c r="M147" i="9"/>
  <c r="L147" i="9"/>
  <c r="K147" i="9"/>
  <c r="J147" i="9"/>
  <c r="I147" i="9"/>
  <c r="H147" i="9"/>
  <c r="AC146" i="9"/>
  <c r="AC185" i="9" s="1"/>
  <c r="W146" i="9"/>
  <c r="F146" i="9"/>
  <c r="C146" i="9"/>
  <c r="U145" i="9"/>
  <c r="S145" i="9"/>
  <c r="R145" i="9"/>
  <c r="Q145" i="9"/>
  <c r="P145" i="9"/>
  <c r="O145" i="9"/>
  <c r="N145" i="9"/>
  <c r="M145" i="9"/>
  <c r="L145" i="9"/>
  <c r="K145" i="9"/>
  <c r="J145" i="9"/>
  <c r="I145" i="9"/>
  <c r="H145" i="9"/>
  <c r="C145" i="9"/>
  <c r="U144" i="9"/>
  <c r="S144" i="9"/>
  <c r="R144" i="9"/>
  <c r="Q144" i="9"/>
  <c r="P144" i="9"/>
  <c r="O144" i="9"/>
  <c r="N144" i="9"/>
  <c r="M144" i="9"/>
  <c r="L144" i="9"/>
  <c r="L139" i="9" s="1"/>
  <c r="L137" i="9" s="1"/>
  <c r="K144" i="9"/>
  <c r="J144" i="9"/>
  <c r="I144" i="9"/>
  <c r="H144" i="9"/>
  <c r="C144" i="9"/>
  <c r="U143" i="9"/>
  <c r="S143" i="9"/>
  <c r="R143" i="9"/>
  <c r="Q143" i="9"/>
  <c r="P143" i="9"/>
  <c r="O143" i="9"/>
  <c r="N143" i="9"/>
  <c r="M143" i="9"/>
  <c r="L143" i="9"/>
  <c r="K143" i="9"/>
  <c r="J143" i="9"/>
  <c r="I143" i="9"/>
  <c r="H143" i="9"/>
  <c r="C143" i="9"/>
  <c r="U142" i="9"/>
  <c r="S142" i="9"/>
  <c r="R142" i="9"/>
  <c r="Q142" i="9"/>
  <c r="P142" i="9"/>
  <c r="O142" i="9"/>
  <c r="N142" i="9"/>
  <c r="M142" i="9"/>
  <c r="L142" i="9"/>
  <c r="K142" i="9"/>
  <c r="J142" i="9"/>
  <c r="I142" i="9"/>
  <c r="H142" i="9"/>
  <c r="C142" i="9"/>
  <c r="U141" i="9"/>
  <c r="S141" i="9"/>
  <c r="R141" i="9"/>
  <c r="Q141" i="9"/>
  <c r="P141" i="9"/>
  <c r="O141" i="9"/>
  <c r="N141" i="9"/>
  <c r="M141" i="9"/>
  <c r="L141" i="9"/>
  <c r="K141" i="9"/>
  <c r="K139" i="9" s="1"/>
  <c r="K137" i="9" s="1"/>
  <c r="J141" i="9"/>
  <c r="J139" i="9" s="1"/>
  <c r="J137" i="9" s="1"/>
  <c r="I141" i="9"/>
  <c r="H141" i="9"/>
  <c r="C141" i="9"/>
  <c r="U140" i="9"/>
  <c r="S140" i="9"/>
  <c r="R140" i="9"/>
  <c r="Q140" i="9"/>
  <c r="P140" i="9"/>
  <c r="O140" i="9"/>
  <c r="O139" i="9" s="1"/>
  <c r="O137" i="9" s="1"/>
  <c r="N140" i="9"/>
  <c r="M140" i="9"/>
  <c r="L140" i="9"/>
  <c r="K140" i="9"/>
  <c r="J140" i="9"/>
  <c r="I140" i="9"/>
  <c r="H140" i="9"/>
  <c r="C140" i="9"/>
  <c r="AI139" i="9"/>
  <c r="U139" i="9"/>
  <c r="P139" i="9"/>
  <c r="P137" i="9" s="1"/>
  <c r="P169" i="9" s="1"/>
  <c r="F139" i="9"/>
  <c r="C139" i="9"/>
  <c r="AI138" i="9"/>
  <c r="U138" i="9"/>
  <c r="T138" i="9"/>
  <c r="C138" i="9"/>
  <c r="AH137" i="9"/>
  <c r="AG137" i="9"/>
  <c r="AF137" i="9"/>
  <c r="AE137" i="9"/>
  <c r="AD137" i="9"/>
  <c r="AC137" i="9"/>
  <c r="AB137" i="9"/>
  <c r="AA137" i="9"/>
  <c r="Z137" i="9"/>
  <c r="Y137" i="9"/>
  <c r="X137" i="9"/>
  <c r="W137" i="9"/>
  <c r="F137" i="9"/>
  <c r="F169" i="9" s="1"/>
  <c r="C137" i="9"/>
  <c r="C136" i="9"/>
  <c r="AI135" i="9"/>
  <c r="U135" i="9"/>
  <c r="S135" i="9"/>
  <c r="R135" i="9"/>
  <c r="Q135" i="9"/>
  <c r="P135" i="9"/>
  <c r="O135" i="9"/>
  <c r="N135" i="9"/>
  <c r="M135" i="9"/>
  <c r="L135" i="9"/>
  <c r="K135" i="9"/>
  <c r="K132" i="9" s="1"/>
  <c r="J135" i="9"/>
  <c r="J132" i="9" s="1"/>
  <c r="I135" i="9"/>
  <c r="H135" i="9"/>
  <c r="C135" i="9"/>
  <c r="AI134" i="9"/>
  <c r="U134" i="9"/>
  <c r="S134" i="9"/>
  <c r="R134" i="9"/>
  <c r="Q134" i="9"/>
  <c r="Q132" i="9" s="1"/>
  <c r="P134" i="9"/>
  <c r="O134" i="9"/>
  <c r="N134" i="9"/>
  <c r="N132" i="9" s="1"/>
  <c r="M134" i="9"/>
  <c r="L134" i="9"/>
  <c r="K134" i="9"/>
  <c r="J134" i="9"/>
  <c r="I134" i="9"/>
  <c r="H134" i="9"/>
  <c r="T134" i="9" s="1"/>
  <c r="C134" i="9"/>
  <c r="AI133" i="9"/>
  <c r="U133" i="9"/>
  <c r="S133" i="9"/>
  <c r="S132" i="9" s="1"/>
  <c r="R133" i="9"/>
  <c r="R132" i="9" s="1"/>
  <c r="Q133" i="9"/>
  <c r="P133" i="9"/>
  <c r="O133" i="9"/>
  <c r="O132" i="9" s="1"/>
  <c r="N133" i="9"/>
  <c r="M133" i="9"/>
  <c r="L133" i="9"/>
  <c r="L132" i="9" s="1"/>
  <c r="K133" i="9"/>
  <c r="J133" i="9"/>
  <c r="I133" i="9"/>
  <c r="H133" i="9"/>
  <c r="C133" i="9"/>
  <c r="AH132" i="9"/>
  <c r="AG132" i="9"/>
  <c r="AF132" i="9"/>
  <c r="AE132" i="9"/>
  <c r="AD132" i="9"/>
  <c r="AC132" i="9"/>
  <c r="AB132" i="9"/>
  <c r="AA132" i="9"/>
  <c r="Z132" i="9"/>
  <c r="Y132" i="9"/>
  <c r="X132" i="9"/>
  <c r="W132" i="9"/>
  <c r="M132" i="9"/>
  <c r="F132" i="9"/>
  <c r="C132" i="9"/>
  <c r="AI131" i="9"/>
  <c r="U131" i="9"/>
  <c r="T131" i="9"/>
  <c r="C131" i="9"/>
  <c r="AI130" i="9"/>
  <c r="U130" i="9"/>
  <c r="T130" i="9"/>
  <c r="C130" i="9"/>
  <c r="AI129" i="9"/>
  <c r="U129" i="9"/>
  <c r="T129" i="9"/>
  <c r="C129" i="9"/>
  <c r="AH128" i="9"/>
  <c r="AG128" i="9"/>
  <c r="AF128" i="9"/>
  <c r="AE128" i="9"/>
  <c r="AD128" i="9"/>
  <c r="AC128" i="9"/>
  <c r="AB128" i="9"/>
  <c r="AA128" i="9"/>
  <c r="Z128" i="9"/>
  <c r="Y128" i="9"/>
  <c r="X128" i="9"/>
  <c r="W128" i="9"/>
  <c r="AI128" i="9" s="1"/>
  <c r="S128" i="9"/>
  <c r="R128" i="9"/>
  <c r="Q128" i="9"/>
  <c r="P128" i="9"/>
  <c r="O128" i="9"/>
  <c r="N128" i="9"/>
  <c r="M128" i="9"/>
  <c r="L128" i="9"/>
  <c r="K128" i="9"/>
  <c r="J128" i="9"/>
  <c r="I128" i="9"/>
  <c r="H128" i="9"/>
  <c r="F128" i="9"/>
  <c r="C128" i="9"/>
  <c r="AI127" i="9"/>
  <c r="U127" i="9"/>
  <c r="T127" i="9"/>
  <c r="C127" i="9"/>
  <c r="AI126" i="9"/>
  <c r="U126" i="9"/>
  <c r="T126" i="9"/>
  <c r="C126" i="9"/>
  <c r="AI125" i="9"/>
  <c r="U125" i="9"/>
  <c r="S125" i="9"/>
  <c r="R125" i="9"/>
  <c r="Q125" i="9"/>
  <c r="P125" i="9"/>
  <c r="P122" i="9" s="1"/>
  <c r="O125" i="9"/>
  <c r="N125" i="9"/>
  <c r="M125" i="9"/>
  <c r="L125" i="9"/>
  <c r="K125" i="9"/>
  <c r="J125" i="9"/>
  <c r="I125" i="9"/>
  <c r="H125" i="9"/>
  <c r="C125" i="9"/>
  <c r="AI124" i="9"/>
  <c r="U124" i="9"/>
  <c r="S124" i="9"/>
  <c r="R124" i="9"/>
  <c r="Q124" i="9"/>
  <c r="Q122" i="9" s="1"/>
  <c r="P124" i="9"/>
  <c r="O124" i="9"/>
  <c r="N124" i="9"/>
  <c r="M124" i="9"/>
  <c r="M122" i="9" s="1"/>
  <c r="L124" i="9"/>
  <c r="K124" i="9"/>
  <c r="J124" i="9"/>
  <c r="I124" i="9"/>
  <c r="H124" i="9"/>
  <c r="C124" i="9"/>
  <c r="AI123" i="9"/>
  <c r="U123" i="9"/>
  <c r="S123" i="9"/>
  <c r="R123" i="9"/>
  <c r="Q123" i="9"/>
  <c r="P123" i="9"/>
  <c r="O123" i="9"/>
  <c r="N123" i="9"/>
  <c r="M123" i="9"/>
  <c r="L123" i="9"/>
  <c r="K123" i="9"/>
  <c r="K122" i="9" s="1"/>
  <c r="J123" i="9"/>
  <c r="I123" i="9"/>
  <c r="H123" i="9"/>
  <c r="C123" i="9"/>
  <c r="AH122" i="9"/>
  <c r="AG122" i="9"/>
  <c r="AF122" i="9"/>
  <c r="AE122" i="9"/>
  <c r="AD122" i="9"/>
  <c r="AC122" i="9"/>
  <c r="AB122" i="9"/>
  <c r="AA122" i="9"/>
  <c r="Z122" i="9"/>
  <c r="Y122" i="9"/>
  <c r="X122" i="9"/>
  <c r="W122" i="9"/>
  <c r="R122" i="9"/>
  <c r="O122" i="9"/>
  <c r="N122" i="9"/>
  <c r="J122" i="9"/>
  <c r="H122" i="9"/>
  <c r="F122" i="9"/>
  <c r="C122" i="9"/>
  <c r="AH121" i="9"/>
  <c r="AG121" i="9"/>
  <c r="AF121" i="9"/>
  <c r="AE121" i="9"/>
  <c r="AD121" i="9"/>
  <c r="AC121" i="9"/>
  <c r="AB121" i="9"/>
  <c r="AA121" i="9"/>
  <c r="Z121" i="9"/>
  <c r="Y121" i="9"/>
  <c r="X121" i="9"/>
  <c r="W121" i="9"/>
  <c r="S121" i="9"/>
  <c r="R121" i="9"/>
  <c r="Q121" i="9"/>
  <c r="P121" i="9"/>
  <c r="O121" i="9"/>
  <c r="N121" i="9"/>
  <c r="M121" i="9"/>
  <c r="L121" i="9"/>
  <c r="K121" i="9"/>
  <c r="J121" i="9"/>
  <c r="I121" i="9"/>
  <c r="H121" i="9"/>
  <c r="C121" i="9"/>
  <c r="AH120" i="9"/>
  <c r="AG120" i="9"/>
  <c r="AF120" i="9"/>
  <c r="AE120" i="9"/>
  <c r="AD120" i="9"/>
  <c r="AC120" i="9"/>
  <c r="AB120" i="9"/>
  <c r="AA120" i="9"/>
  <c r="Z120" i="9"/>
  <c r="Y120" i="9"/>
  <c r="X120" i="9"/>
  <c r="W120" i="9"/>
  <c r="S120" i="9"/>
  <c r="Q120" i="9"/>
  <c r="P120" i="9"/>
  <c r="K120" i="9"/>
  <c r="I120" i="9"/>
  <c r="H120" i="9"/>
  <c r="F120" i="9"/>
  <c r="AH119" i="9"/>
  <c r="AG119" i="9"/>
  <c r="AF119" i="9"/>
  <c r="AE119" i="9"/>
  <c r="AD119" i="9"/>
  <c r="AC119" i="9"/>
  <c r="AB119" i="9"/>
  <c r="AA119" i="9"/>
  <c r="Z119" i="9"/>
  <c r="Y119" i="9"/>
  <c r="X119" i="9"/>
  <c r="W119" i="9"/>
  <c r="S119" i="9"/>
  <c r="R119" i="9"/>
  <c r="P119" i="9"/>
  <c r="O119" i="9"/>
  <c r="M119" i="9"/>
  <c r="K119" i="9"/>
  <c r="I119" i="9"/>
  <c r="H119" i="9"/>
  <c r="F119" i="9"/>
  <c r="C119" i="9"/>
  <c r="AH118" i="9"/>
  <c r="AG118" i="9"/>
  <c r="AF118" i="9"/>
  <c r="AE118" i="9"/>
  <c r="AD118" i="9"/>
  <c r="AC118" i="9"/>
  <c r="AB118" i="9"/>
  <c r="AA118" i="9"/>
  <c r="Z118" i="9"/>
  <c r="Y118" i="9"/>
  <c r="X118" i="9"/>
  <c r="W118" i="9"/>
  <c r="AI118" i="9" s="1"/>
  <c r="S118" i="9"/>
  <c r="R118" i="9"/>
  <c r="P118" i="9"/>
  <c r="N118" i="9"/>
  <c r="J118" i="9"/>
  <c r="F118" i="9"/>
  <c r="C118" i="9"/>
  <c r="AH117" i="9"/>
  <c r="AG117" i="9"/>
  <c r="AF117" i="9"/>
  <c r="AE117" i="9"/>
  <c r="AD117" i="9"/>
  <c r="AC117" i="9"/>
  <c r="AB117" i="9"/>
  <c r="AA117" i="9"/>
  <c r="Z117" i="9"/>
  <c r="Y117" i="9"/>
  <c r="X117" i="9"/>
  <c r="W117" i="9"/>
  <c r="AI117" i="9" s="1"/>
  <c r="F117" i="9"/>
  <c r="C117" i="9"/>
  <c r="AH116" i="9"/>
  <c r="AG116" i="9"/>
  <c r="AF116" i="9"/>
  <c r="AE116" i="9"/>
  <c r="AD116" i="9"/>
  <c r="AC116" i="9"/>
  <c r="AB116" i="9"/>
  <c r="AA116" i="9"/>
  <c r="Z116" i="9"/>
  <c r="Y116" i="9"/>
  <c r="X116" i="9"/>
  <c r="W116" i="9"/>
  <c r="AI116" i="9" s="1"/>
  <c r="R116" i="9"/>
  <c r="Q116" i="9"/>
  <c r="P116" i="9"/>
  <c r="O116" i="9"/>
  <c r="M116" i="9"/>
  <c r="L116" i="9"/>
  <c r="J116" i="9"/>
  <c r="I116" i="9"/>
  <c r="H116" i="9"/>
  <c r="F116" i="9"/>
  <c r="C116" i="9"/>
  <c r="AH115" i="9"/>
  <c r="AG115" i="9"/>
  <c r="AF115" i="9"/>
  <c r="AE115" i="9"/>
  <c r="AD115" i="9"/>
  <c r="AC115" i="9"/>
  <c r="AB115" i="9"/>
  <c r="AA115" i="9"/>
  <c r="Z115" i="9"/>
  <c r="Y115" i="9"/>
  <c r="X115" i="9"/>
  <c r="W115" i="9"/>
  <c r="AI115" i="9" s="1"/>
  <c r="S115" i="9"/>
  <c r="Q115" i="9"/>
  <c r="P115" i="9"/>
  <c r="O115" i="9"/>
  <c r="N115" i="9"/>
  <c r="M115" i="9"/>
  <c r="L115" i="9"/>
  <c r="K115" i="9"/>
  <c r="J115" i="9"/>
  <c r="H115" i="9"/>
  <c r="F115" i="9"/>
  <c r="R115" i="9" s="1"/>
  <c r="C115" i="9"/>
  <c r="AH114" i="9"/>
  <c r="AG114" i="9"/>
  <c r="AF114" i="9"/>
  <c r="AE114" i="9"/>
  <c r="AD114" i="9"/>
  <c r="AC114" i="9"/>
  <c r="AB114" i="9"/>
  <c r="AA114" i="9"/>
  <c r="Z114" i="9"/>
  <c r="Y114" i="9"/>
  <c r="X114" i="9"/>
  <c r="W114" i="9"/>
  <c r="AI114" i="9" s="1"/>
  <c r="S114" i="9"/>
  <c r="R114" i="9"/>
  <c r="Q114" i="9"/>
  <c r="P114" i="9"/>
  <c r="O114" i="9"/>
  <c r="N114" i="9"/>
  <c r="M114" i="9"/>
  <c r="L114" i="9"/>
  <c r="K114" i="9"/>
  <c r="J114" i="9"/>
  <c r="I114" i="9"/>
  <c r="H114" i="9"/>
  <c r="T114" i="9" s="1"/>
  <c r="C114" i="9"/>
  <c r="AH113" i="9"/>
  <c r="AG113" i="9"/>
  <c r="AF113" i="9"/>
  <c r="AE113" i="9"/>
  <c r="AD113" i="9"/>
  <c r="AC113" i="9"/>
  <c r="AB113" i="9"/>
  <c r="AA113" i="9"/>
  <c r="Z113" i="9"/>
  <c r="Y113" i="9"/>
  <c r="X113" i="9"/>
  <c r="W113" i="9"/>
  <c r="S113" i="9"/>
  <c r="R113" i="9"/>
  <c r="Q113" i="9"/>
  <c r="P113" i="9"/>
  <c r="O113" i="9"/>
  <c r="N113" i="9"/>
  <c r="M113" i="9"/>
  <c r="L113" i="9"/>
  <c r="K113" i="9"/>
  <c r="J113" i="9"/>
  <c r="I113" i="9"/>
  <c r="H113" i="9"/>
  <c r="T113" i="9" s="1"/>
  <c r="C113" i="9"/>
  <c r="AH112" i="9"/>
  <c r="AG112" i="9"/>
  <c r="AF112" i="9"/>
  <c r="AE112" i="9"/>
  <c r="AD112" i="9"/>
  <c r="AC112" i="9"/>
  <c r="AB112" i="9"/>
  <c r="AA112" i="9"/>
  <c r="Z112" i="9"/>
  <c r="Y112" i="9"/>
  <c r="X112" i="9"/>
  <c r="W112" i="9"/>
  <c r="AI112" i="9" s="1"/>
  <c r="S112" i="9"/>
  <c r="R112" i="9"/>
  <c r="Q112" i="9"/>
  <c r="P112" i="9"/>
  <c r="O112" i="9"/>
  <c r="N112" i="9"/>
  <c r="M112" i="9"/>
  <c r="L112" i="9"/>
  <c r="K112" i="9"/>
  <c r="J112" i="9"/>
  <c r="I112" i="9"/>
  <c r="H112" i="9"/>
  <c r="C112" i="9"/>
  <c r="AH111" i="9"/>
  <c r="AG111" i="9"/>
  <c r="AF111" i="9"/>
  <c r="AE111" i="9"/>
  <c r="AD111" i="9"/>
  <c r="AC111" i="9"/>
  <c r="AB111" i="9"/>
  <c r="AA111" i="9"/>
  <c r="Z111" i="9"/>
  <c r="Y111" i="9"/>
  <c r="X111" i="9"/>
  <c r="W111" i="9"/>
  <c r="S111" i="9"/>
  <c r="R111" i="9"/>
  <c r="Q111" i="9"/>
  <c r="P111" i="9"/>
  <c r="O111" i="9"/>
  <c r="N111" i="9"/>
  <c r="M111" i="9"/>
  <c r="L111" i="9"/>
  <c r="K111" i="9"/>
  <c r="J111" i="9"/>
  <c r="I111" i="9"/>
  <c r="H111" i="9"/>
  <c r="C111" i="9"/>
  <c r="AH110" i="9"/>
  <c r="AG110" i="9"/>
  <c r="AF110" i="9"/>
  <c r="AE110" i="9"/>
  <c r="AD110" i="9"/>
  <c r="AC110" i="9"/>
  <c r="AB110" i="9"/>
  <c r="AA110" i="9"/>
  <c r="Z110" i="9"/>
  <c r="Y110" i="9"/>
  <c r="X110" i="9"/>
  <c r="W110" i="9"/>
  <c r="AI110" i="9" s="1"/>
  <c r="S110" i="9"/>
  <c r="R110" i="9"/>
  <c r="Q110" i="9"/>
  <c r="P110" i="9"/>
  <c r="O110" i="9"/>
  <c r="N110" i="9"/>
  <c r="M110" i="9"/>
  <c r="L110" i="9"/>
  <c r="K110" i="9"/>
  <c r="J110" i="9"/>
  <c r="I110" i="9"/>
  <c r="H110" i="9"/>
  <c r="T110" i="9" s="1"/>
  <c r="C110" i="9"/>
  <c r="AH109" i="9"/>
  <c r="AG109" i="9"/>
  <c r="AF109" i="9"/>
  <c r="AE109" i="9"/>
  <c r="AD109" i="9"/>
  <c r="AC109" i="9"/>
  <c r="AB109" i="9"/>
  <c r="AA109" i="9"/>
  <c r="Z109" i="9"/>
  <c r="Y109" i="9"/>
  <c r="X109" i="9"/>
  <c r="W109" i="9"/>
  <c r="S109" i="9"/>
  <c r="R109" i="9"/>
  <c r="Q109" i="9"/>
  <c r="P109" i="9"/>
  <c r="O109" i="9"/>
  <c r="N109" i="9"/>
  <c r="M109" i="9"/>
  <c r="L109" i="9"/>
  <c r="K109" i="9"/>
  <c r="J109" i="9"/>
  <c r="I109" i="9"/>
  <c r="H109" i="9"/>
  <c r="C109" i="9"/>
  <c r="AH108" i="9"/>
  <c r="AG108" i="9"/>
  <c r="AF108" i="9"/>
  <c r="AE108" i="9"/>
  <c r="AD108" i="9"/>
  <c r="AC108" i="9"/>
  <c r="AB108" i="9"/>
  <c r="AA108" i="9"/>
  <c r="Z108" i="9"/>
  <c r="Y108" i="9"/>
  <c r="X108" i="9"/>
  <c r="W108" i="9"/>
  <c r="S108" i="9"/>
  <c r="R108" i="9"/>
  <c r="Q108" i="9"/>
  <c r="P108" i="9"/>
  <c r="O108" i="9"/>
  <c r="N108" i="9"/>
  <c r="M108" i="9"/>
  <c r="L108" i="9"/>
  <c r="K108" i="9"/>
  <c r="J108" i="9"/>
  <c r="I108" i="9"/>
  <c r="H108" i="9"/>
  <c r="C108" i="9"/>
  <c r="AH107" i="9"/>
  <c r="AG107" i="9"/>
  <c r="AF107" i="9"/>
  <c r="AE107" i="9"/>
  <c r="AD107" i="9"/>
  <c r="AC107" i="9"/>
  <c r="AB107" i="9"/>
  <c r="AA107" i="9"/>
  <c r="Z107" i="9"/>
  <c r="Y107" i="9"/>
  <c r="X107" i="9"/>
  <c r="W107" i="9"/>
  <c r="S107" i="9"/>
  <c r="R107" i="9"/>
  <c r="Q107" i="9"/>
  <c r="P107" i="9"/>
  <c r="O107" i="9"/>
  <c r="N107" i="9"/>
  <c r="M107" i="9"/>
  <c r="L107" i="9"/>
  <c r="K107" i="9"/>
  <c r="J107" i="9"/>
  <c r="I107" i="9"/>
  <c r="H107" i="9"/>
  <c r="C107" i="9"/>
  <c r="AH106" i="9"/>
  <c r="AG106" i="9"/>
  <c r="AF106" i="9"/>
  <c r="AE106" i="9"/>
  <c r="AD106" i="9"/>
  <c r="AC106" i="9"/>
  <c r="AB106" i="9"/>
  <c r="AA106" i="9"/>
  <c r="Z106" i="9"/>
  <c r="Y106" i="9"/>
  <c r="X106" i="9"/>
  <c r="W106" i="9"/>
  <c r="AI106" i="9" s="1"/>
  <c r="S106" i="9"/>
  <c r="R106" i="9"/>
  <c r="Q106" i="9"/>
  <c r="P106" i="9"/>
  <c r="O106" i="9"/>
  <c r="N106" i="9"/>
  <c r="M106" i="9"/>
  <c r="L106" i="9"/>
  <c r="K106" i="9"/>
  <c r="J106" i="9"/>
  <c r="I106" i="9"/>
  <c r="H106" i="9"/>
  <c r="C106" i="9"/>
  <c r="AH105" i="9"/>
  <c r="AG105" i="9"/>
  <c r="AF105" i="9"/>
  <c r="AE105" i="9"/>
  <c r="AD105" i="9"/>
  <c r="AC105" i="9"/>
  <c r="AB105" i="9"/>
  <c r="AA105" i="9"/>
  <c r="Z105" i="9"/>
  <c r="Y105" i="9"/>
  <c r="X105" i="9"/>
  <c r="W105" i="9"/>
  <c r="S105" i="9"/>
  <c r="R105" i="9"/>
  <c r="Q105" i="9"/>
  <c r="P105" i="9"/>
  <c r="O105" i="9"/>
  <c r="N105" i="9"/>
  <c r="M105" i="9"/>
  <c r="L105" i="9"/>
  <c r="K105" i="9"/>
  <c r="J105" i="9"/>
  <c r="I105" i="9"/>
  <c r="H105" i="9"/>
  <c r="C105" i="9"/>
  <c r="AH104" i="9"/>
  <c r="AG104" i="9"/>
  <c r="AF104" i="9"/>
  <c r="AE104" i="9"/>
  <c r="AD104" i="9"/>
  <c r="AC104" i="9"/>
  <c r="AB104" i="9"/>
  <c r="AA104" i="9"/>
  <c r="Z104" i="9"/>
  <c r="Y104" i="9"/>
  <c r="X104" i="9"/>
  <c r="W104" i="9"/>
  <c r="F104" i="9"/>
  <c r="C104" i="9"/>
  <c r="AH103" i="9"/>
  <c r="AG103" i="9"/>
  <c r="AF103" i="9"/>
  <c r="AE103" i="9"/>
  <c r="AD103" i="9"/>
  <c r="AC103" i="9"/>
  <c r="AB103" i="9"/>
  <c r="AA103" i="9"/>
  <c r="Z103" i="9"/>
  <c r="Y103" i="9"/>
  <c r="X103" i="9"/>
  <c r="W103" i="9"/>
  <c r="AI103" i="9" s="1"/>
  <c r="R103" i="9"/>
  <c r="N103" i="9"/>
  <c r="M103" i="9"/>
  <c r="L103" i="9"/>
  <c r="F103" i="9"/>
  <c r="C103" i="9"/>
  <c r="AH102" i="9"/>
  <c r="AG102" i="9"/>
  <c r="AF102" i="9"/>
  <c r="AE102" i="9"/>
  <c r="AD102" i="9"/>
  <c r="AC102" i="9"/>
  <c r="AB102" i="9"/>
  <c r="AA102" i="9"/>
  <c r="Z102" i="9"/>
  <c r="Y102" i="9"/>
  <c r="X102" i="9"/>
  <c r="W102" i="9"/>
  <c r="F102" i="9"/>
  <c r="AH101" i="9"/>
  <c r="AG101" i="9"/>
  <c r="AF101" i="9"/>
  <c r="AE101" i="9"/>
  <c r="AD101" i="9"/>
  <c r="AC101" i="9"/>
  <c r="AB101" i="9"/>
  <c r="AA101" i="9"/>
  <c r="Z101" i="9"/>
  <c r="Y101" i="9"/>
  <c r="X101" i="9"/>
  <c r="W101" i="9"/>
  <c r="S101" i="9"/>
  <c r="R101" i="9"/>
  <c r="Q101" i="9"/>
  <c r="P101" i="9"/>
  <c r="O101" i="9"/>
  <c r="N101" i="9"/>
  <c r="M101" i="9"/>
  <c r="L101" i="9"/>
  <c r="K101" i="9"/>
  <c r="J101" i="9"/>
  <c r="I101" i="9"/>
  <c r="H101" i="9"/>
  <c r="T101" i="9" s="1"/>
  <c r="C101" i="9"/>
  <c r="AH100" i="9"/>
  <c r="AG100" i="9"/>
  <c r="AF100" i="9"/>
  <c r="AE100" i="9"/>
  <c r="AD100" i="9"/>
  <c r="AC100" i="9"/>
  <c r="AB100" i="9"/>
  <c r="AA100" i="9"/>
  <c r="Z100" i="9"/>
  <c r="Y100" i="9"/>
  <c r="X100" i="9"/>
  <c r="W100" i="9"/>
  <c r="S100" i="9"/>
  <c r="R100" i="9"/>
  <c r="Q100" i="9"/>
  <c r="P100" i="9"/>
  <c r="O100" i="9"/>
  <c r="N100" i="9"/>
  <c r="M100" i="9"/>
  <c r="L100" i="9"/>
  <c r="K100" i="9"/>
  <c r="J100" i="9"/>
  <c r="I100" i="9"/>
  <c r="H100" i="9"/>
  <c r="C100" i="9"/>
  <c r="AH99" i="9"/>
  <c r="AG99" i="9"/>
  <c r="AF99" i="9"/>
  <c r="AE99" i="9"/>
  <c r="AD99" i="9"/>
  <c r="AC99" i="9"/>
  <c r="AB99" i="9"/>
  <c r="AA99" i="9"/>
  <c r="Z99" i="9"/>
  <c r="Y99" i="9"/>
  <c r="X99" i="9"/>
  <c r="W99" i="9"/>
  <c r="S99" i="9"/>
  <c r="R99" i="9"/>
  <c r="Q99" i="9"/>
  <c r="P99" i="9"/>
  <c r="O99" i="9"/>
  <c r="N99" i="9"/>
  <c r="M99" i="9"/>
  <c r="L99" i="9"/>
  <c r="K99" i="9"/>
  <c r="J99" i="9"/>
  <c r="I99" i="9"/>
  <c r="H99" i="9"/>
  <c r="C99" i="9"/>
  <c r="AH98" i="9"/>
  <c r="AG98" i="9"/>
  <c r="AF98" i="9"/>
  <c r="AE98" i="9"/>
  <c r="AD98" i="9"/>
  <c r="AC98" i="9"/>
  <c r="AB98" i="9"/>
  <c r="AA98" i="9"/>
  <c r="Z98" i="9"/>
  <c r="Y98" i="9"/>
  <c r="X98" i="9"/>
  <c r="W98" i="9"/>
  <c r="AI98" i="9" s="1"/>
  <c r="S98" i="9"/>
  <c r="R98" i="9"/>
  <c r="Q98" i="9"/>
  <c r="O98" i="9"/>
  <c r="N98" i="9"/>
  <c r="L98" i="9"/>
  <c r="K98" i="9"/>
  <c r="J98" i="9"/>
  <c r="H98" i="9"/>
  <c r="F98" i="9"/>
  <c r="C98" i="9"/>
  <c r="AH97" i="9"/>
  <c r="AG97" i="9"/>
  <c r="AF97" i="9"/>
  <c r="AE97" i="9"/>
  <c r="AD97" i="9"/>
  <c r="AC97" i="9"/>
  <c r="AB97" i="9"/>
  <c r="AA97" i="9"/>
  <c r="Z97" i="9"/>
  <c r="Y97" i="9"/>
  <c r="X97" i="9"/>
  <c r="W97" i="9"/>
  <c r="AI97" i="9" s="1"/>
  <c r="R97" i="9"/>
  <c r="Q97" i="9"/>
  <c r="O97" i="9"/>
  <c r="N97" i="9"/>
  <c r="M97" i="9"/>
  <c r="F97" i="9"/>
  <c r="AH96" i="9"/>
  <c r="AG96" i="9"/>
  <c r="AF96" i="9"/>
  <c r="AE96" i="9"/>
  <c r="AD96" i="9"/>
  <c r="AC96" i="9"/>
  <c r="AB96" i="9"/>
  <c r="AA96" i="9"/>
  <c r="Z96" i="9"/>
  <c r="Y96" i="9"/>
  <c r="X96" i="9"/>
  <c r="W96" i="9"/>
  <c r="R96" i="9"/>
  <c r="Q96" i="9"/>
  <c r="P96" i="9"/>
  <c r="N96" i="9"/>
  <c r="M96" i="9"/>
  <c r="K96" i="9"/>
  <c r="I96" i="9"/>
  <c r="F96" i="9"/>
  <c r="C96" i="9"/>
  <c r="AH95" i="9"/>
  <c r="AG95" i="9"/>
  <c r="AF95" i="9"/>
  <c r="AE95" i="9"/>
  <c r="AD95" i="9"/>
  <c r="AC95" i="9"/>
  <c r="AB95" i="9"/>
  <c r="AA95" i="9"/>
  <c r="Z95" i="9"/>
  <c r="Y95" i="9"/>
  <c r="X95" i="9"/>
  <c r="W95" i="9"/>
  <c r="R95" i="9"/>
  <c r="Q95" i="9"/>
  <c r="P95" i="9"/>
  <c r="N95" i="9"/>
  <c r="L95" i="9"/>
  <c r="K95" i="9"/>
  <c r="I95" i="9"/>
  <c r="H95" i="9"/>
  <c r="F95" i="9"/>
  <c r="C95" i="9"/>
  <c r="AH94" i="9"/>
  <c r="AG94" i="9"/>
  <c r="AF94" i="9"/>
  <c r="AE94" i="9"/>
  <c r="AD94" i="9"/>
  <c r="AC94" i="9"/>
  <c r="AB94" i="9"/>
  <c r="AA94" i="9"/>
  <c r="Z94" i="9"/>
  <c r="Y94" i="9"/>
  <c r="X94" i="9"/>
  <c r="W94" i="9"/>
  <c r="F94" i="9"/>
  <c r="C94" i="9"/>
  <c r="AH93" i="9"/>
  <c r="AG93" i="9"/>
  <c r="AF93" i="9"/>
  <c r="AE93" i="9"/>
  <c r="AD93" i="9"/>
  <c r="AC93" i="9"/>
  <c r="AB93" i="9"/>
  <c r="AA93" i="9"/>
  <c r="Z93" i="9"/>
  <c r="Y93" i="9"/>
  <c r="X93" i="9"/>
  <c r="W93" i="9"/>
  <c r="S93" i="9"/>
  <c r="R93" i="9"/>
  <c r="Q93" i="9"/>
  <c r="P93" i="9"/>
  <c r="N93" i="9"/>
  <c r="K93" i="9"/>
  <c r="J93" i="9"/>
  <c r="I93" i="9"/>
  <c r="F93" i="9"/>
  <c r="AH92" i="9"/>
  <c r="AG92" i="9"/>
  <c r="AF92" i="9"/>
  <c r="AE92" i="9"/>
  <c r="AD92" i="9"/>
  <c r="AC92" i="9"/>
  <c r="AB92" i="9"/>
  <c r="AA92" i="9"/>
  <c r="Z92" i="9"/>
  <c r="Y92" i="9"/>
  <c r="X92" i="9"/>
  <c r="W92" i="9"/>
  <c r="R92" i="9"/>
  <c r="Q92" i="9"/>
  <c r="P92" i="9"/>
  <c r="O92" i="9"/>
  <c r="N92" i="9"/>
  <c r="M92" i="9"/>
  <c r="K92" i="9"/>
  <c r="J92" i="9"/>
  <c r="I92" i="9"/>
  <c r="H92" i="9"/>
  <c r="F92" i="9"/>
  <c r="L92" i="9" s="1"/>
  <c r="AH91" i="9"/>
  <c r="AG91" i="9"/>
  <c r="AF91" i="9"/>
  <c r="AE91" i="9"/>
  <c r="AD91" i="9"/>
  <c r="AC91" i="9"/>
  <c r="AB91" i="9"/>
  <c r="AA91" i="9"/>
  <c r="Z91" i="9"/>
  <c r="Y91" i="9"/>
  <c r="X91" i="9"/>
  <c r="W91" i="9"/>
  <c r="AI91" i="9" s="1"/>
  <c r="F91" i="9"/>
  <c r="E91" i="9"/>
  <c r="C91" i="9"/>
  <c r="AH90" i="9"/>
  <c r="AG90" i="9"/>
  <c r="AF90" i="9"/>
  <c r="AE90" i="9"/>
  <c r="AD90" i="9"/>
  <c r="AC90" i="9"/>
  <c r="AB90" i="9"/>
  <c r="AA90" i="9"/>
  <c r="Z90" i="9"/>
  <c r="Y90" i="9"/>
  <c r="X90" i="9"/>
  <c r="W90" i="9"/>
  <c r="S90" i="9"/>
  <c r="Q90" i="9"/>
  <c r="P90" i="9"/>
  <c r="O90" i="9"/>
  <c r="N90" i="9"/>
  <c r="M90" i="9"/>
  <c r="L90" i="9"/>
  <c r="J90" i="9"/>
  <c r="I90" i="9"/>
  <c r="H90" i="9"/>
  <c r="F90" i="9"/>
  <c r="K90" i="9" s="1"/>
  <c r="C90" i="9"/>
  <c r="AH89" i="9"/>
  <c r="AG89" i="9"/>
  <c r="AF89" i="9"/>
  <c r="AE89" i="9"/>
  <c r="AD89" i="9"/>
  <c r="AC89" i="9"/>
  <c r="AB89" i="9"/>
  <c r="AA89" i="9"/>
  <c r="Z89" i="9"/>
  <c r="Y89" i="9"/>
  <c r="X89" i="9"/>
  <c r="W89" i="9"/>
  <c r="AI89" i="9" s="1"/>
  <c r="K89" i="9"/>
  <c r="H89" i="9"/>
  <c r="F89" i="9"/>
  <c r="AH88" i="9"/>
  <c r="AG88" i="9"/>
  <c r="AF88" i="9"/>
  <c r="AE88" i="9"/>
  <c r="AD88" i="9"/>
  <c r="AC88" i="9"/>
  <c r="AB88" i="9"/>
  <c r="AA88" i="9"/>
  <c r="Z88" i="9"/>
  <c r="Y88" i="9"/>
  <c r="X88" i="9"/>
  <c r="W88" i="9"/>
  <c r="S88" i="9"/>
  <c r="N88" i="9"/>
  <c r="M88" i="9"/>
  <c r="F88" i="9"/>
  <c r="C88" i="9"/>
  <c r="AH87" i="9"/>
  <c r="AG87" i="9"/>
  <c r="AF87" i="9"/>
  <c r="AE87" i="9"/>
  <c r="AD87" i="9"/>
  <c r="AC87" i="9"/>
  <c r="AB87" i="9"/>
  <c r="AA87" i="9"/>
  <c r="Z87" i="9"/>
  <c r="Y87" i="9"/>
  <c r="X87" i="9"/>
  <c r="W87" i="9"/>
  <c r="S87" i="9"/>
  <c r="R87" i="9"/>
  <c r="P87" i="9"/>
  <c r="O87" i="9"/>
  <c r="N87" i="9"/>
  <c r="M87" i="9"/>
  <c r="K87" i="9"/>
  <c r="J87" i="9"/>
  <c r="I87" i="9"/>
  <c r="H87" i="9"/>
  <c r="F87" i="9"/>
  <c r="C87" i="9"/>
  <c r="AH86" i="9"/>
  <c r="AG86" i="9"/>
  <c r="AF86" i="9"/>
  <c r="AE86" i="9"/>
  <c r="AD86" i="9"/>
  <c r="AC86" i="9"/>
  <c r="AB86" i="9"/>
  <c r="AA86" i="9"/>
  <c r="Z86" i="9"/>
  <c r="Y86" i="9"/>
  <c r="X86" i="9"/>
  <c r="W86" i="9"/>
  <c r="AI86" i="9" s="1"/>
  <c r="Q86" i="9"/>
  <c r="P86" i="9"/>
  <c r="O86" i="9"/>
  <c r="N86" i="9"/>
  <c r="F86" i="9"/>
  <c r="C86" i="9"/>
  <c r="AH85" i="9"/>
  <c r="AG85" i="9"/>
  <c r="AF85" i="9"/>
  <c r="AE85" i="9"/>
  <c r="AD85" i="9"/>
  <c r="AC85" i="9"/>
  <c r="AB85" i="9"/>
  <c r="AA85" i="9"/>
  <c r="Z85" i="9"/>
  <c r="Y85" i="9"/>
  <c r="X85" i="9"/>
  <c r="W85" i="9"/>
  <c r="AI85" i="9" s="1"/>
  <c r="R85" i="9"/>
  <c r="M85" i="9"/>
  <c r="L85" i="9"/>
  <c r="K85" i="9"/>
  <c r="H85" i="9"/>
  <c r="F85" i="9"/>
  <c r="C85" i="9"/>
  <c r="AH84" i="9"/>
  <c r="AG84" i="9"/>
  <c r="AF84" i="9"/>
  <c r="AE84" i="9"/>
  <c r="AD84" i="9"/>
  <c r="AC84" i="9"/>
  <c r="AB84" i="9"/>
  <c r="AA84" i="9"/>
  <c r="Z84" i="9"/>
  <c r="Y84" i="9"/>
  <c r="X84" i="9"/>
  <c r="W84" i="9"/>
  <c r="AI84" i="9" s="1"/>
  <c r="S84" i="9"/>
  <c r="R84" i="9"/>
  <c r="Q84" i="9"/>
  <c r="P84" i="9"/>
  <c r="O84" i="9"/>
  <c r="N84" i="9"/>
  <c r="M84" i="9"/>
  <c r="L84" i="9"/>
  <c r="K84" i="9"/>
  <c r="J84" i="9"/>
  <c r="I84" i="9"/>
  <c r="H84" i="9"/>
  <c r="C84" i="9"/>
  <c r="AH83" i="9"/>
  <c r="AG83" i="9"/>
  <c r="AF83" i="9"/>
  <c r="AE83" i="9"/>
  <c r="AD83" i="9"/>
  <c r="AC83" i="9"/>
  <c r="AB83" i="9"/>
  <c r="AA83" i="9"/>
  <c r="Z83" i="9"/>
  <c r="Y83" i="9"/>
  <c r="X83" i="9"/>
  <c r="W83" i="9"/>
  <c r="AI83" i="9" s="1"/>
  <c r="S83" i="9"/>
  <c r="R83" i="9"/>
  <c r="Q83" i="9"/>
  <c r="P83" i="9"/>
  <c r="O83" i="9"/>
  <c r="N83" i="9"/>
  <c r="M83" i="9"/>
  <c r="L83" i="9"/>
  <c r="K83" i="9"/>
  <c r="J83" i="9"/>
  <c r="I83" i="9"/>
  <c r="H83" i="9"/>
  <c r="C83" i="9"/>
  <c r="AH82" i="9"/>
  <c r="AG82" i="9"/>
  <c r="AF82" i="9"/>
  <c r="AE82" i="9"/>
  <c r="AD82" i="9"/>
  <c r="AC82" i="9"/>
  <c r="AB82" i="9"/>
  <c r="AA82" i="9"/>
  <c r="Z82" i="9"/>
  <c r="Y82" i="9"/>
  <c r="X82" i="9"/>
  <c r="W82" i="9"/>
  <c r="AI82" i="9" s="1"/>
  <c r="P82" i="9"/>
  <c r="F82" i="9"/>
  <c r="C82" i="9"/>
  <c r="AH81" i="9"/>
  <c r="AG81" i="9"/>
  <c r="AF81" i="9"/>
  <c r="AE81" i="9"/>
  <c r="AD81" i="9"/>
  <c r="AC81" i="9"/>
  <c r="AB81" i="9"/>
  <c r="AA81" i="9"/>
  <c r="Z81" i="9"/>
  <c r="Y81" i="9"/>
  <c r="X81" i="9"/>
  <c r="W81" i="9"/>
  <c r="F81" i="9"/>
  <c r="C81" i="9"/>
  <c r="AH80" i="9"/>
  <c r="AG80" i="9"/>
  <c r="AF80" i="9"/>
  <c r="AE80" i="9"/>
  <c r="AD80" i="9"/>
  <c r="AC80" i="9"/>
  <c r="AB80" i="9"/>
  <c r="AA80" i="9"/>
  <c r="Z80" i="9"/>
  <c r="Y80" i="9"/>
  <c r="X80" i="9"/>
  <c r="W80" i="9"/>
  <c r="F80" i="9"/>
  <c r="C80" i="9"/>
  <c r="AH79" i="9"/>
  <c r="AG79" i="9"/>
  <c r="AF79" i="9"/>
  <c r="AE79" i="9"/>
  <c r="AD79" i="9"/>
  <c r="AC79" i="9"/>
  <c r="AB79" i="9"/>
  <c r="AA79" i="9"/>
  <c r="Z79" i="9"/>
  <c r="Y79" i="9"/>
  <c r="X79" i="9"/>
  <c r="W79" i="9"/>
  <c r="AI79" i="9" s="1"/>
  <c r="S79" i="9"/>
  <c r="Q79" i="9"/>
  <c r="P79" i="9"/>
  <c r="O79" i="9"/>
  <c r="N79" i="9"/>
  <c r="M79" i="9"/>
  <c r="L79" i="9"/>
  <c r="J79" i="9"/>
  <c r="I79" i="9"/>
  <c r="H79" i="9"/>
  <c r="F79" i="9"/>
  <c r="K79" i="9" s="1"/>
  <c r="C79" i="9"/>
  <c r="AH78" i="9"/>
  <c r="AG78" i="9"/>
  <c r="AF78" i="9"/>
  <c r="AE78" i="9"/>
  <c r="AD78" i="9"/>
  <c r="AC78" i="9"/>
  <c r="AB78" i="9"/>
  <c r="AA78" i="9"/>
  <c r="Z78" i="9"/>
  <c r="Y78" i="9"/>
  <c r="X78" i="9"/>
  <c r="W78" i="9"/>
  <c r="AI78" i="9" s="1"/>
  <c r="S78" i="9"/>
  <c r="Q78" i="9"/>
  <c r="F78" i="9"/>
  <c r="AH77" i="9"/>
  <c r="AG77" i="9"/>
  <c r="AF77" i="9"/>
  <c r="AE77" i="9"/>
  <c r="AD77" i="9"/>
  <c r="AC77" i="9"/>
  <c r="AB77" i="9"/>
  <c r="AA77" i="9"/>
  <c r="Z77" i="9"/>
  <c r="Y77" i="9"/>
  <c r="X77" i="9"/>
  <c r="W77" i="9"/>
  <c r="P77" i="9"/>
  <c r="O77" i="9"/>
  <c r="N77" i="9"/>
  <c r="K77" i="9"/>
  <c r="I77" i="9"/>
  <c r="F77" i="9"/>
  <c r="C77" i="9"/>
  <c r="AH76" i="9"/>
  <c r="AG76" i="9"/>
  <c r="AF76" i="9"/>
  <c r="AE76" i="9"/>
  <c r="AD76" i="9"/>
  <c r="AC76" i="9"/>
  <c r="AB76" i="9"/>
  <c r="AA76" i="9"/>
  <c r="Z76" i="9"/>
  <c r="Y76" i="9"/>
  <c r="X76" i="9"/>
  <c r="W76" i="9"/>
  <c r="O76" i="9"/>
  <c r="M76" i="9"/>
  <c r="J76" i="9"/>
  <c r="I76" i="9"/>
  <c r="F76" i="9"/>
  <c r="C76" i="9"/>
  <c r="AH75" i="9"/>
  <c r="AG75" i="9"/>
  <c r="AF75" i="9"/>
  <c r="AE75" i="9"/>
  <c r="AD75" i="9"/>
  <c r="AC75" i="9"/>
  <c r="AB75" i="9"/>
  <c r="AA75" i="9"/>
  <c r="Z75" i="9"/>
  <c r="Y75" i="9"/>
  <c r="X75" i="9"/>
  <c r="W75" i="9"/>
  <c r="R75" i="9"/>
  <c r="Q75" i="9"/>
  <c r="P75" i="9"/>
  <c r="O75" i="9"/>
  <c r="N75" i="9"/>
  <c r="M75" i="9"/>
  <c r="K75" i="9"/>
  <c r="J75" i="9"/>
  <c r="I75" i="9"/>
  <c r="F75" i="9"/>
  <c r="C75" i="9"/>
  <c r="AH74" i="9"/>
  <c r="AG74" i="9"/>
  <c r="AF74" i="9"/>
  <c r="AE74" i="9"/>
  <c r="AD74" i="9"/>
  <c r="AC74" i="9"/>
  <c r="AB74" i="9"/>
  <c r="AA74" i="9"/>
  <c r="Z74" i="9"/>
  <c r="Y74" i="9"/>
  <c r="X74" i="9"/>
  <c r="W74" i="9"/>
  <c r="R74" i="9"/>
  <c r="P74" i="9"/>
  <c r="N74" i="9"/>
  <c r="J74" i="9"/>
  <c r="I74" i="9"/>
  <c r="F74" i="9"/>
  <c r="C74" i="9"/>
  <c r="AH73" i="9"/>
  <c r="AG73" i="9"/>
  <c r="AF73" i="9"/>
  <c r="AE73" i="9"/>
  <c r="AD73" i="9"/>
  <c r="AC73" i="9"/>
  <c r="AB73" i="9"/>
  <c r="AA73" i="9"/>
  <c r="Z73" i="9"/>
  <c r="Y73" i="9"/>
  <c r="X73" i="9"/>
  <c r="W73" i="9"/>
  <c r="R73" i="9"/>
  <c r="Q73" i="9"/>
  <c r="P73" i="9"/>
  <c r="O73" i="9"/>
  <c r="M73" i="9"/>
  <c r="L73" i="9"/>
  <c r="K73" i="9"/>
  <c r="J73" i="9"/>
  <c r="I73" i="9"/>
  <c r="H73" i="9"/>
  <c r="F73" i="9"/>
  <c r="N73" i="9" s="1"/>
  <c r="C73" i="9"/>
  <c r="AH72" i="9"/>
  <c r="AG72" i="9"/>
  <c r="AF72" i="9"/>
  <c r="AE72" i="9"/>
  <c r="AD72" i="9"/>
  <c r="AC72" i="9"/>
  <c r="AB72" i="9"/>
  <c r="AA72" i="9"/>
  <c r="Z72" i="9"/>
  <c r="Y72" i="9"/>
  <c r="X72" i="9"/>
  <c r="W72" i="9"/>
  <c r="AI72" i="9" s="1"/>
  <c r="R72" i="9"/>
  <c r="Q72" i="9"/>
  <c r="P72" i="9"/>
  <c r="O72" i="9"/>
  <c r="N72" i="9"/>
  <c r="M72" i="9"/>
  <c r="J72" i="9"/>
  <c r="H72" i="9"/>
  <c r="F72" i="9"/>
  <c r="I72" i="9" s="1"/>
  <c r="C72" i="9"/>
  <c r="AH71" i="9"/>
  <c r="AG71" i="9"/>
  <c r="AF71" i="9"/>
  <c r="AE71" i="9"/>
  <c r="AD71" i="9"/>
  <c r="AC71" i="9"/>
  <c r="AB71" i="9"/>
  <c r="AA71" i="9"/>
  <c r="Z71" i="9"/>
  <c r="Y71" i="9"/>
  <c r="X71" i="9"/>
  <c r="W71" i="9"/>
  <c r="S71" i="9"/>
  <c r="O71" i="9"/>
  <c r="N71" i="9"/>
  <c r="F71" i="9"/>
  <c r="C71" i="9"/>
  <c r="AH70" i="9"/>
  <c r="AG70" i="9"/>
  <c r="AF70" i="9"/>
  <c r="AE70" i="9"/>
  <c r="AD70" i="9"/>
  <c r="AC70" i="9"/>
  <c r="AB70" i="9"/>
  <c r="AA70" i="9"/>
  <c r="Z70" i="9"/>
  <c r="Y70" i="9"/>
  <c r="X70" i="9"/>
  <c r="W70" i="9"/>
  <c r="F70" i="9"/>
  <c r="C70" i="9"/>
  <c r="AH69" i="9"/>
  <c r="AG69" i="9"/>
  <c r="AF69" i="9"/>
  <c r="AE69" i="9"/>
  <c r="AD69" i="9"/>
  <c r="AC69" i="9"/>
  <c r="AB69" i="9"/>
  <c r="AA69" i="9"/>
  <c r="Z69" i="9"/>
  <c r="Y69" i="9"/>
  <c r="X69" i="9"/>
  <c r="W69" i="9"/>
  <c r="AI69" i="9" s="1"/>
  <c r="S69" i="9"/>
  <c r="Q69" i="9"/>
  <c r="P69" i="9"/>
  <c r="O69" i="9"/>
  <c r="N69" i="9"/>
  <c r="M69" i="9"/>
  <c r="L69" i="9"/>
  <c r="K69" i="9"/>
  <c r="J69" i="9"/>
  <c r="I69" i="9"/>
  <c r="T69" i="9" s="1"/>
  <c r="H69" i="9"/>
  <c r="F69" i="9"/>
  <c r="R69" i="9" s="1"/>
  <c r="C69" i="9"/>
  <c r="AH68" i="9"/>
  <c r="AG68" i="9"/>
  <c r="AF68" i="9"/>
  <c r="AE68" i="9"/>
  <c r="AD68" i="9"/>
  <c r="AC68" i="9"/>
  <c r="AB68" i="9"/>
  <c r="AA68" i="9"/>
  <c r="Z68" i="9"/>
  <c r="Y68" i="9"/>
  <c r="X68" i="9"/>
  <c r="W68" i="9"/>
  <c r="S68" i="9"/>
  <c r="R68" i="9"/>
  <c r="Q68" i="9"/>
  <c r="P68" i="9"/>
  <c r="O68" i="9"/>
  <c r="N68" i="9"/>
  <c r="M68" i="9"/>
  <c r="L68" i="9"/>
  <c r="K68" i="9"/>
  <c r="J68" i="9"/>
  <c r="I68" i="9"/>
  <c r="H68" i="9"/>
  <c r="T68" i="9" s="1"/>
  <c r="C68" i="9"/>
  <c r="AH67" i="9"/>
  <c r="AG67" i="9"/>
  <c r="AF67" i="9"/>
  <c r="AE67" i="9"/>
  <c r="AD67" i="9"/>
  <c r="AC67" i="9"/>
  <c r="AB67" i="9"/>
  <c r="AA67" i="9"/>
  <c r="Z67" i="9"/>
  <c r="Y67" i="9"/>
  <c r="X67" i="9"/>
  <c r="W67" i="9"/>
  <c r="S67" i="9"/>
  <c r="R67" i="9"/>
  <c r="Q67" i="9"/>
  <c r="P67" i="9"/>
  <c r="O67" i="9"/>
  <c r="N67" i="9"/>
  <c r="M67" i="9"/>
  <c r="L67" i="9"/>
  <c r="K67" i="9"/>
  <c r="J67" i="9"/>
  <c r="I67" i="9"/>
  <c r="H67" i="9"/>
  <c r="T67" i="9" s="1"/>
  <c r="E67" i="9"/>
  <c r="C67" i="9"/>
  <c r="AH66" i="9"/>
  <c r="AG66" i="9"/>
  <c r="AF66" i="9"/>
  <c r="AE66" i="9"/>
  <c r="AD66" i="9"/>
  <c r="AC66" i="9"/>
  <c r="AB66" i="9"/>
  <c r="AA66" i="9"/>
  <c r="Z66" i="9"/>
  <c r="Y66" i="9"/>
  <c r="X66" i="9"/>
  <c r="W66" i="9"/>
  <c r="F66" i="9"/>
  <c r="C66" i="9"/>
  <c r="AH65" i="9"/>
  <c r="AG65" i="9"/>
  <c r="AF65" i="9"/>
  <c r="AE65" i="9"/>
  <c r="AD65" i="9"/>
  <c r="AC65" i="9"/>
  <c r="AB65" i="9"/>
  <c r="AA65" i="9"/>
  <c r="Z65" i="9"/>
  <c r="Y65" i="9"/>
  <c r="X65" i="9"/>
  <c r="W65" i="9"/>
  <c r="AI65" i="9" s="1"/>
  <c r="F65" i="9"/>
  <c r="C65" i="9"/>
  <c r="AH64" i="9"/>
  <c r="AG64" i="9"/>
  <c r="AF64" i="9"/>
  <c r="AE64" i="9"/>
  <c r="AD64" i="9"/>
  <c r="AC64" i="9"/>
  <c r="AB64" i="9"/>
  <c r="AA64" i="9"/>
  <c r="Z64" i="9"/>
  <c r="Y64" i="9"/>
  <c r="X64" i="9"/>
  <c r="W64" i="9"/>
  <c r="N64" i="9"/>
  <c r="M64" i="9"/>
  <c r="K64" i="9"/>
  <c r="F64" i="9"/>
  <c r="E64" i="9"/>
  <c r="C64" i="9"/>
  <c r="AH63" i="9"/>
  <c r="AG63" i="9"/>
  <c r="AF63" i="9"/>
  <c r="AE63" i="9"/>
  <c r="AD63" i="9"/>
  <c r="AC63" i="9"/>
  <c r="AB63" i="9"/>
  <c r="AA63" i="9"/>
  <c r="Z63" i="9"/>
  <c r="Y63" i="9"/>
  <c r="X63" i="9"/>
  <c r="W63" i="9"/>
  <c r="M63" i="9"/>
  <c r="L63" i="9"/>
  <c r="I63" i="9"/>
  <c r="F63" i="9"/>
  <c r="Q63" i="9" s="1"/>
  <c r="C63" i="9"/>
  <c r="AH62" i="9"/>
  <c r="AG62" i="9"/>
  <c r="AF62" i="9"/>
  <c r="AE62" i="9"/>
  <c r="AD62" i="9"/>
  <c r="AC62" i="9"/>
  <c r="AB62" i="9"/>
  <c r="AA62" i="9"/>
  <c r="Z62" i="9"/>
  <c r="Y62" i="9"/>
  <c r="X62" i="9"/>
  <c r="W62" i="9"/>
  <c r="AI62" i="9" s="1"/>
  <c r="S62" i="9"/>
  <c r="R62" i="9"/>
  <c r="Q62" i="9"/>
  <c r="P62" i="9"/>
  <c r="O62" i="9"/>
  <c r="N62" i="9"/>
  <c r="M62" i="9"/>
  <c r="L62" i="9"/>
  <c r="K62" i="9"/>
  <c r="J62" i="9"/>
  <c r="I62" i="9"/>
  <c r="H62" i="9"/>
  <c r="C62" i="9"/>
  <c r="AH61" i="9"/>
  <c r="AG61" i="9"/>
  <c r="AF61" i="9"/>
  <c r="AE61" i="9"/>
  <c r="AD61" i="9"/>
  <c r="AC61" i="9"/>
  <c r="AB61" i="9"/>
  <c r="AA61" i="9"/>
  <c r="Z61" i="9"/>
  <c r="Y61" i="9"/>
  <c r="X61" i="9"/>
  <c r="W61" i="9"/>
  <c r="Q61" i="9"/>
  <c r="P61" i="9"/>
  <c r="M61" i="9"/>
  <c r="L61" i="9"/>
  <c r="F61" i="9"/>
  <c r="AH60" i="9"/>
  <c r="AG60" i="9"/>
  <c r="AF60" i="9"/>
  <c r="AE60" i="9"/>
  <c r="AD60" i="9"/>
  <c r="AC60" i="9"/>
  <c r="AB60" i="9"/>
  <c r="AA60" i="9"/>
  <c r="Z60" i="9"/>
  <c r="Y60" i="9"/>
  <c r="X60" i="9"/>
  <c r="W60" i="9"/>
  <c r="AI60" i="9" s="1"/>
  <c r="S60" i="9"/>
  <c r="R60" i="9"/>
  <c r="Q60" i="9"/>
  <c r="P60" i="9"/>
  <c r="O60" i="9"/>
  <c r="N60" i="9"/>
  <c r="M60" i="9"/>
  <c r="L60" i="9"/>
  <c r="K60" i="9"/>
  <c r="J60" i="9"/>
  <c r="I60" i="9"/>
  <c r="H60" i="9"/>
  <c r="T60" i="9" s="1"/>
  <c r="C60" i="9"/>
  <c r="AH59" i="9"/>
  <c r="AG59" i="9"/>
  <c r="AF59" i="9"/>
  <c r="AE59" i="9"/>
  <c r="AD59" i="9"/>
  <c r="AC59" i="9"/>
  <c r="AB59" i="9"/>
  <c r="AA59" i="9"/>
  <c r="Z59" i="9"/>
  <c r="Y59" i="9"/>
  <c r="X59" i="9"/>
  <c r="W59" i="9"/>
  <c r="S59" i="9"/>
  <c r="Q59" i="9"/>
  <c r="P59" i="9"/>
  <c r="O59" i="9"/>
  <c r="N59" i="9"/>
  <c r="K59" i="9"/>
  <c r="I59" i="9"/>
  <c r="H59" i="9"/>
  <c r="F59" i="9"/>
  <c r="C59" i="9"/>
  <c r="AH58" i="9"/>
  <c r="AG58" i="9"/>
  <c r="AF58" i="9"/>
  <c r="AE58" i="9"/>
  <c r="AD58" i="9"/>
  <c r="AC58" i="9"/>
  <c r="AB58" i="9"/>
  <c r="AA58" i="9"/>
  <c r="Z58" i="9"/>
  <c r="Y58" i="9"/>
  <c r="X58" i="9"/>
  <c r="W58" i="9"/>
  <c r="AI58" i="9" s="1"/>
  <c r="F58" i="9"/>
  <c r="C58" i="9"/>
  <c r="AH57" i="9"/>
  <c r="AG57" i="9"/>
  <c r="AF57" i="9"/>
  <c r="AE57" i="9"/>
  <c r="AD57" i="9"/>
  <c r="AC57" i="9"/>
  <c r="AB57" i="9"/>
  <c r="AA57" i="9"/>
  <c r="Z57" i="9"/>
  <c r="Y57" i="9"/>
  <c r="X57" i="9"/>
  <c r="W57" i="9"/>
  <c r="S57" i="9"/>
  <c r="R57" i="9"/>
  <c r="Q57" i="9"/>
  <c r="P57" i="9"/>
  <c r="O57" i="9"/>
  <c r="N57" i="9"/>
  <c r="M57" i="9"/>
  <c r="L57" i="9"/>
  <c r="K57" i="9"/>
  <c r="J57" i="9"/>
  <c r="I57" i="9"/>
  <c r="H57" i="9"/>
  <c r="C57" i="9"/>
  <c r="AH56" i="9"/>
  <c r="AG56" i="9"/>
  <c r="AF56" i="9"/>
  <c r="AE56" i="9"/>
  <c r="AD56" i="9"/>
  <c r="AC56" i="9"/>
  <c r="AB56" i="9"/>
  <c r="AA56" i="9"/>
  <c r="Z56" i="9"/>
  <c r="Y56" i="9"/>
  <c r="X56" i="9"/>
  <c r="W56" i="9"/>
  <c r="AI56" i="9" s="1"/>
  <c r="S56" i="9"/>
  <c r="R56" i="9"/>
  <c r="Q56" i="9"/>
  <c r="P56" i="9"/>
  <c r="O56" i="9"/>
  <c r="N56" i="9"/>
  <c r="M56" i="9"/>
  <c r="L56" i="9"/>
  <c r="K56" i="9"/>
  <c r="J56" i="9"/>
  <c r="I56" i="9"/>
  <c r="H56" i="9"/>
  <c r="C56" i="9"/>
  <c r="AH55" i="9"/>
  <c r="AG55" i="9"/>
  <c r="AF55" i="9"/>
  <c r="AE55" i="9"/>
  <c r="AD55" i="9"/>
  <c r="AC55" i="9"/>
  <c r="AB55" i="9"/>
  <c r="AA55" i="9"/>
  <c r="Z55" i="9"/>
  <c r="Y55" i="9"/>
  <c r="X55" i="9"/>
  <c r="W55" i="9"/>
  <c r="AI55" i="9" s="1"/>
  <c r="S55" i="9"/>
  <c r="R55" i="9"/>
  <c r="Q55" i="9"/>
  <c r="P55" i="9"/>
  <c r="O55" i="9"/>
  <c r="N55" i="9"/>
  <c r="M55" i="9"/>
  <c r="L55" i="9"/>
  <c r="K55" i="9"/>
  <c r="J55" i="9"/>
  <c r="I55" i="9"/>
  <c r="H55" i="9"/>
  <c r="C55" i="9"/>
  <c r="AH54" i="9"/>
  <c r="AG54" i="9"/>
  <c r="AF54" i="9"/>
  <c r="AE54" i="9"/>
  <c r="AD54" i="9"/>
  <c r="AC54" i="9"/>
  <c r="AB54" i="9"/>
  <c r="AA54" i="9"/>
  <c r="Z54" i="9"/>
  <c r="Y54" i="9"/>
  <c r="X54" i="9"/>
  <c r="W54" i="9"/>
  <c r="S54" i="9"/>
  <c r="Q54" i="9"/>
  <c r="P54" i="9"/>
  <c r="O54" i="9"/>
  <c r="M54" i="9"/>
  <c r="K54" i="9"/>
  <c r="J54" i="9"/>
  <c r="H54" i="9"/>
  <c r="F54" i="9"/>
  <c r="C54" i="9"/>
  <c r="AH53" i="9"/>
  <c r="AG53" i="9"/>
  <c r="AF53" i="9"/>
  <c r="AE53" i="9"/>
  <c r="AD53" i="9"/>
  <c r="AC53" i="9"/>
  <c r="AB53" i="9"/>
  <c r="AA53" i="9"/>
  <c r="Z53" i="9"/>
  <c r="Y53" i="9"/>
  <c r="X53" i="9"/>
  <c r="W53" i="9"/>
  <c r="S53" i="9"/>
  <c r="O53" i="9"/>
  <c r="N53" i="9"/>
  <c r="M53" i="9"/>
  <c r="F53" i="9"/>
  <c r="C53" i="9"/>
  <c r="AH52" i="9"/>
  <c r="AG52" i="9"/>
  <c r="AF52" i="9"/>
  <c r="AE52" i="9"/>
  <c r="AD52" i="9"/>
  <c r="AC52" i="9"/>
  <c r="AB52" i="9"/>
  <c r="AA52" i="9"/>
  <c r="Z52" i="9"/>
  <c r="Y52" i="9"/>
  <c r="X52" i="9"/>
  <c r="W52" i="9"/>
  <c r="AI52" i="9" s="1"/>
  <c r="S52" i="9"/>
  <c r="R52" i="9"/>
  <c r="Q52" i="9"/>
  <c r="P52" i="9"/>
  <c r="O52" i="9"/>
  <c r="N52" i="9"/>
  <c r="M52" i="9"/>
  <c r="L52" i="9"/>
  <c r="K52" i="9"/>
  <c r="J52" i="9"/>
  <c r="I52" i="9"/>
  <c r="H52" i="9"/>
  <c r="T52" i="9" s="1"/>
  <c r="C52" i="9"/>
  <c r="AH51" i="9"/>
  <c r="AG51" i="9"/>
  <c r="AF51" i="9"/>
  <c r="AE51" i="9"/>
  <c r="AD51" i="9"/>
  <c r="AC51" i="9"/>
  <c r="AB51" i="9"/>
  <c r="AA51" i="9"/>
  <c r="Z51" i="9"/>
  <c r="Y51" i="9"/>
  <c r="X51" i="9"/>
  <c r="W51" i="9"/>
  <c r="S51" i="9"/>
  <c r="R51" i="9"/>
  <c r="Q51" i="9"/>
  <c r="P51" i="9"/>
  <c r="O51" i="9"/>
  <c r="N51" i="9"/>
  <c r="M51" i="9"/>
  <c r="L51" i="9"/>
  <c r="K51" i="9"/>
  <c r="J51" i="9"/>
  <c r="I51" i="9"/>
  <c r="H51" i="9"/>
  <c r="C51" i="9"/>
  <c r="AH50" i="9"/>
  <c r="AG50" i="9"/>
  <c r="AF50" i="9"/>
  <c r="AE50" i="9"/>
  <c r="AD50" i="9"/>
  <c r="AC50" i="9"/>
  <c r="AB50" i="9"/>
  <c r="AA50" i="9"/>
  <c r="Z50" i="9"/>
  <c r="Y50" i="9"/>
  <c r="X50" i="9"/>
  <c r="W50" i="9"/>
  <c r="S50" i="9"/>
  <c r="R50" i="9"/>
  <c r="Q50" i="9"/>
  <c r="P50" i="9"/>
  <c r="O50" i="9"/>
  <c r="N50" i="9"/>
  <c r="M50" i="9"/>
  <c r="L50" i="9"/>
  <c r="K50" i="9"/>
  <c r="J50" i="9"/>
  <c r="I50" i="9"/>
  <c r="H50" i="9"/>
  <c r="T50" i="9" s="1"/>
  <c r="C50" i="9"/>
  <c r="AH49" i="9"/>
  <c r="AG49" i="9"/>
  <c r="AF49" i="9"/>
  <c r="AE49" i="9"/>
  <c r="AD49" i="9"/>
  <c r="AC49" i="9"/>
  <c r="AB49" i="9"/>
  <c r="AA49" i="9"/>
  <c r="Z49" i="9"/>
  <c r="Y49" i="9"/>
  <c r="X49" i="9"/>
  <c r="W49" i="9"/>
  <c r="AI49" i="9" s="1"/>
  <c r="T49" i="9"/>
  <c r="F49" i="9"/>
  <c r="AH48" i="9"/>
  <c r="AG48" i="9"/>
  <c r="AF48" i="9"/>
  <c r="AE48" i="9"/>
  <c r="AD48" i="9"/>
  <c r="AC48" i="9"/>
  <c r="AB48" i="9"/>
  <c r="AA48" i="9"/>
  <c r="Z48" i="9"/>
  <c r="Y48" i="9"/>
  <c r="X48" i="9"/>
  <c r="W48" i="9"/>
  <c r="T48" i="9"/>
  <c r="F48" i="9"/>
  <c r="AH47" i="9"/>
  <c r="AG47" i="9"/>
  <c r="AF47" i="9"/>
  <c r="AE47" i="9"/>
  <c r="AD47" i="9"/>
  <c r="AC47" i="9"/>
  <c r="AB47" i="9"/>
  <c r="AA47" i="9"/>
  <c r="Z47" i="9"/>
  <c r="Y47" i="9"/>
  <c r="X47" i="9"/>
  <c r="W47" i="9"/>
  <c r="AI47" i="9" s="1"/>
  <c r="T47" i="9"/>
  <c r="F47" i="9"/>
  <c r="AH46" i="9"/>
  <c r="AG46" i="9"/>
  <c r="AF46" i="9"/>
  <c r="AE46" i="9"/>
  <c r="AD46" i="9"/>
  <c r="AC46" i="9"/>
  <c r="AB46" i="9"/>
  <c r="AA46" i="9"/>
  <c r="Z46" i="9"/>
  <c r="Y46" i="9"/>
  <c r="X46" i="9"/>
  <c r="W46" i="9"/>
  <c r="T46" i="9"/>
  <c r="F46" i="9"/>
  <c r="AH45" i="9"/>
  <c r="AG45" i="9"/>
  <c r="AF45" i="9"/>
  <c r="AE45" i="9"/>
  <c r="AD45" i="9"/>
  <c r="AC45" i="9"/>
  <c r="AB45" i="9"/>
  <c r="AA45" i="9"/>
  <c r="Z45" i="9"/>
  <c r="Y45" i="9"/>
  <c r="X45" i="9"/>
  <c r="W45" i="9"/>
  <c r="T45" i="9"/>
  <c r="F45" i="9"/>
  <c r="AH44" i="9"/>
  <c r="AG44" i="9"/>
  <c r="AF44" i="9"/>
  <c r="AE44" i="9"/>
  <c r="AD44" i="9"/>
  <c r="AC44" i="9"/>
  <c r="AB44" i="9"/>
  <c r="AA44" i="9"/>
  <c r="Z44" i="9"/>
  <c r="Y44" i="9"/>
  <c r="X44" i="9"/>
  <c r="W44" i="9"/>
  <c r="T44" i="9"/>
  <c r="F44" i="9"/>
  <c r="AH43" i="9"/>
  <c r="AG43" i="9"/>
  <c r="AF43" i="9"/>
  <c r="AE43" i="9"/>
  <c r="AD43" i="9"/>
  <c r="AC43" i="9"/>
  <c r="AB43" i="9"/>
  <c r="AA43" i="9"/>
  <c r="Z43" i="9"/>
  <c r="Y43" i="9"/>
  <c r="X43" i="9"/>
  <c r="W43" i="9"/>
  <c r="R43" i="9"/>
  <c r="P43" i="9"/>
  <c r="N43" i="9"/>
  <c r="H43" i="9"/>
  <c r="F43" i="9"/>
  <c r="C43" i="9"/>
  <c r="AH42" i="9"/>
  <c r="AG42" i="9"/>
  <c r="AF42" i="9"/>
  <c r="AE42" i="9"/>
  <c r="AD42" i="9"/>
  <c r="AC42" i="9"/>
  <c r="AB42" i="9"/>
  <c r="AA42" i="9"/>
  <c r="Z42" i="9"/>
  <c r="Y42" i="9"/>
  <c r="X42" i="9"/>
  <c r="W42" i="9"/>
  <c r="F42" i="9"/>
  <c r="C42" i="9"/>
  <c r="AH41" i="9"/>
  <c r="AG41" i="9"/>
  <c r="AF41" i="9"/>
  <c r="AE41" i="9"/>
  <c r="AD41" i="9"/>
  <c r="AD37" i="9" s="1"/>
  <c r="AD184" i="9" s="1"/>
  <c r="AC41" i="9"/>
  <c r="AB41" i="9"/>
  <c r="AA41" i="9"/>
  <c r="Z41" i="9"/>
  <c r="Y41" i="9"/>
  <c r="X41" i="9"/>
  <c r="W41" i="9"/>
  <c r="S41" i="9"/>
  <c r="R41" i="9"/>
  <c r="Q41" i="9"/>
  <c r="O41" i="9"/>
  <c r="N41" i="9"/>
  <c r="L41" i="9"/>
  <c r="K41" i="9"/>
  <c r="I41" i="9"/>
  <c r="H41" i="9"/>
  <c r="F41" i="9"/>
  <c r="C41" i="9"/>
  <c r="AH40" i="9"/>
  <c r="AG40" i="9"/>
  <c r="AF40" i="9"/>
  <c r="AE40" i="9"/>
  <c r="AD40" i="9"/>
  <c r="AC40" i="9"/>
  <c r="AB40" i="9"/>
  <c r="AA40" i="9"/>
  <c r="Z40" i="9"/>
  <c r="Y40" i="9"/>
  <c r="X40" i="9"/>
  <c r="W40" i="9"/>
  <c r="AI40" i="9" s="1"/>
  <c r="O40" i="9"/>
  <c r="F40" i="9"/>
  <c r="C40" i="9"/>
  <c r="AH39" i="9"/>
  <c r="AG39" i="9"/>
  <c r="AF39" i="9"/>
  <c r="AE39" i="9"/>
  <c r="AD39" i="9"/>
  <c r="AC39" i="9"/>
  <c r="AB39" i="9"/>
  <c r="AA39" i="9"/>
  <c r="Z39" i="9"/>
  <c r="Y39" i="9"/>
  <c r="X39" i="9"/>
  <c r="W39" i="9"/>
  <c r="AI39" i="9" s="1"/>
  <c r="S39" i="9"/>
  <c r="R39" i="9"/>
  <c r="Q39" i="9"/>
  <c r="P39" i="9"/>
  <c r="O39" i="9"/>
  <c r="N39" i="9"/>
  <c r="M39" i="9"/>
  <c r="L39" i="9"/>
  <c r="K39" i="9"/>
  <c r="J39" i="9"/>
  <c r="I39" i="9"/>
  <c r="H39" i="9"/>
  <c r="C39" i="9"/>
  <c r="AH38" i="9"/>
  <c r="AG38" i="9"/>
  <c r="AF38" i="9"/>
  <c r="AE38" i="9"/>
  <c r="AD38" i="9"/>
  <c r="AC38" i="9"/>
  <c r="AB38" i="9"/>
  <c r="AB37" i="9" s="1"/>
  <c r="AB184" i="9" s="1"/>
  <c r="AA38" i="9"/>
  <c r="Z38" i="9"/>
  <c r="Y38" i="9"/>
  <c r="X38" i="9"/>
  <c r="W38" i="9"/>
  <c r="T38" i="9"/>
  <c r="F38" i="9"/>
  <c r="C37" i="9"/>
  <c r="AH36" i="9"/>
  <c r="AG36" i="9"/>
  <c r="AF36" i="9"/>
  <c r="AE36" i="9"/>
  <c r="AD36" i="9"/>
  <c r="AC36" i="9"/>
  <c r="AB36" i="9"/>
  <c r="AA36" i="9"/>
  <c r="Z36" i="9"/>
  <c r="Y36" i="9"/>
  <c r="X36" i="9"/>
  <c r="W36" i="9"/>
  <c r="AI36" i="9" s="1"/>
  <c r="S36" i="9"/>
  <c r="Q36" i="9"/>
  <c r="P36" i="9"/>
  <c r="O36" i="9"/>
  <c r="N36" i="9"/>
  <c r="M36" i="9"/>
  <c r="K36" i="9"/>
  <c r="J36" i="9"/>
  <c r="I36" i="9"/>
  <c r="H36" i="9"/>
  <c r="F36" i="9"/>
  <c r="L36" i="9" s="1"/>
  <c r="C36" i="9"/>
  <c r="AH35" i="9"/>
  <c r="AG35" i="9"/>
  <c r="AF35" i="9"/>
  <c r="AE35" i="9"/>
  <c r="AD35" i="9"/>
  <c r="AC35" i="9"/>
  <c r="AB35" i="9"/>
  <c r="AA35" i="9"/>
  <c r="Z35" i="9"/>
  <c r="Y35" i="9"/>
  <c r="X35" i="9"/>
  <c r="W35" i="9"/>
  <c r="R35" i="9"/>
  <c r="Q35" i="9"/>
  <c r="P35" i="9"/>
  <c r="O35" i="9"/>
  <c r="L35" i="9"/>
  <c r="K35" i="9"/>
  <c r="J35" i="9"/>
  <c r="I35" i="9"/>
  <c r="H35" i="9"/>
  <c r="F35" i="9"/>
  <c r="C35" i="9"/>
  <c r="AH34" i="9"/>
  <c r="AG34" i="9"/>
  <c r="AF34" i="9"/>
  <c r="AE34" i="9"/>
  <c r="AD34" i="9"/>
  <c r="AC34" i="9"/>
  <c r="AB34" i="9"/>
  <c r="AA34" i="9"/>
  <c r="Z34" i="9"/>
  <c r="Y34" i="9"/>
  <c r="X34" i="9"/>
  <c r="W34" i="9"/>
  <c r="F34" i="9"/>
  <c r="C34" i="9"/>
  <c r="AH33" i="9"/>
  <c r="AG33" i="9"/>
  <c r="AF33" i="9"/>
  <c r="AE33" i="9"/>
  <c r="AD33" i="9"/>
  <c r="AC33" i="9"/>
  <c r="AB33" i="9"/>
  <c r="AA33" i="9"/>
  <c r="Z33" i="9"/>
  <c r="Y33" i="9"/>
  <c r="X33" i="9"/>
  <c r="W33" i="9"/>
  <c r="AI33" i="9" s="1"/>
  <c r="L33" i="9"/>
  <c r="F33" i="9"/>
  <c r="C33" i="9"/>
  <c r="AH32" i="9"/>
  <c r="AG32" i="9"/>
  <c r="AF32" i="9"/>
  <c r="AE32" i="9"/>
  <c r="AD32" i="9"/>
  <c r="AC32" i="9"/>
  <c r="AB32" i="9"/>
  <c r="AA32" i="9"/>
  <c r="Z32" i="9"/>
  <c r="Y32" i="9"/>
  <c r="X32" i="9"/>
  <c r="W32" i="9"/>
  <c r="C32" i="9"/>
  <c r="AH31" i="9"/>
  <c r="AG31" i="9"/>
  <c r="AF31" i="9"/>
  <c r="AF27" i="9" s="1"/>
  <c r="AF183" i="9" s="1"/>
  <c r="AE31" i="9"/>
  <c r="AD31" i="9"/>
  <c r="AC31" i="9"/>
  <c r="AB31" i="9"/>
  <c r="AA31" i="9"/>
  <c r="Z31" i="9"/>
  <c r="Y31" i="9"/>
  <c r="X31" i="9"/>
  <c r="W31" i="9"/>
  <c r="F31" i="9"/>
  <c r="Q31" i="9" s="1"/>
  <c r="C31" i="9"/>
  <c r="AH30" i="9"/>
  <c r="AG30" i="9"/>
  <c r="AF30" i="9"/>
  <c r="AE30" i="9"/>
  <c r="AD30" i="9"/>
  <c r="AC30" i="9"/>
  <c r="AB30" i="9"/>
  <c r="AA30" i="9"/>
  <c r="Z30" i="9"/>
  <c r="Z27" i="9" s="1"/>
  <c r="Z183" i="9" s="1"/>
  <c r="Y30" i="9"/>
  <c r="X30" i="9"/>
  <c r="W30" i="9"/>
  <c r="R30" i="9"/>
  <c r="Q30" i="9"/>
  <c r="P30" i="9"/>
  <c r="N30" i="9"/>
  <c r="L30" i="9"/>
  <c r="K30" i="9"/>
  <c r="J30" i="9"/>
  <c r="I30" i="9"/>
  <c r="F30" i="9"/>
  <c r="O30" i="9" s="1"/>
  <c r="C30" i="9"/>
  <c r="AH29" i="9"/>
  <c r="AG29" i="9"/>
  <c r="AF29" i="9"/>
  <c r="AE29" i="9"/>
  <c r="AD29" i="9"/>
  <c r="AD27" i="9" s="1"/>
  <c r="AD183" i="9" s="1"/>
  <c r="AC29" i="9"/>
  <c r="AB29" i="9"/>
  <c r="AA29" i="9"/>
  <c r="Z29" i="9"/>
  <c r="Y29" i="9"/>
  <c r="X29" i="9"/>
  <c r="W29" i="9"/>
  <c r="AI29" i="9" s="1"/>
  <c r="R29" i="9"/>
  <c r="Q29" i="9"/>
  <c r="P29" i="9"/>
  <c r="O29" i="9"/>
  <c r="N29" i="9"/>
  <c r="M29" i="9"/>
  <c r="L29" i="9"/>
  <c r="K29" i="9"/>
  <c r="I29" i="9"/>
  <c r="H29" i="9"/>
  <c r="F29" i="9"/>
  <c r="J29" i="9" s="1"/>
  <c r="C29" i="9"/>
  <c r="AH28" i="9"/>
  <c r="AG28" i="9"/>
  <c r="AF28" i="9"/>
  <c r="AE28" i="9"/>
  <c r="AD28" i="9"/>
  <c r="AC28" i="9"/>
  <c r="AC27" i="9" s="1"/>
  <c r="AC183" i="9" s="1"/>
  <c r="AB28" i="9"/>
  <c r="AA28" i="9"/>
  <c r="Z28" i="9"/>
  <c r="Y28" i="9"/>
  <c r="X28" i="9"/>
  <c r="W28" i="9"/>
  <c r="W27" i="9" s="1"/>
  <c r="R28" i="9"/>
  <c r="P28" i="9"/>
  <c r="O28" i="9"/>
  <c r="N28" i="9"/>
  <c r="M28" i="9"/>
  <c r="K28" i="9"/>
  <c r="J28" i="9"/>
  <c r="I28" i="9"/>
  <c r="H28" i="9"/>
  <c r="F28" i="9"/>
  <c r="Q28" i="9" s="1"/>
  <c r="C28" i="9"/>
  <c r="AH27" i="9"/>
  <c r="AH183" i="9" s="1"/>
  <c r="AG27" i="9"/>
  <c r="AG183" i="9" s="1"/>
  <c r="AB27" i="9"/>
  <c r="AB183" i="9" s="1"/>
  <c r="AA27" i="9"/>
  <c r="AA183" i="9" s="1"/>
  <c r="D27" i="9"/>
  <c r="E27" i="9" s="1"/>
  <c r="C27" i="9"/>
  <c r="AG26" i="9"/>
  <c r="AD26" i="9"/>
  <c r="AC26" i="9"/>
  <c r="AB26" i="9"/>
  <c r="AA26" i="9"/>
  <c r="Z26" i="9"/>
  <c r="X26" i="9"/>
  <c r="W26" i="9"/>
  <c r="Q26" i="9"/>
  <c r="P26" i="9"/>
  <c r="O26" i="9"/>
  <c r="N26" i="9"/>
  <c r="M26" i="9"/>
  <c r="K26" i="9"/>
  <c r="I26" i="9"/>
  <c r="H26" i="9"/>
  <c r="F26" i="9"/>
  <c r="AE26" i="9" s="1"/>
  <c r="C26" i="9"/>
  <c r="AH25" i="9"/>
  <c r="AG25" i="9"/>
  <c r="AF25" i="9"/>
  <c r="AE25" i="9"/>
  <c r="AC25" i="9"/>
  <c r="AB25" i="9"/>
  <c r="AA25" i="9"/>
  <c r="Z25" i="9"/>
  <c r="Y25" i="9"/>
  <c r="X25" i="9"/>
  <c r="W25" i="9"/>
  <c r="S25" i="9"/>
  <c r="Q25" i="9"/>
  <c r="P25" i="9"/>
  <c r="O25" i="9"/>
  <c r="N25" i="9"/>
  <c r="M25" i="9"/>
  <c r="L25" i="9"/>
  <c r="K25" i="9"/>
  <c r="J25" i="9"/>
  <c r="I25" i="9"/>
  <c r="H25" i="9"/>
  <c r="F25" i="9"/>
  <c r="AD25" i="9" s="1"/>
  <c r="C25" i="9"/>
  <c r="AH24" i="9"/>
  <c r="AG24" i="9"/>
  <c r="AD24" i="9"/>
  <c r="AC24" i="9"/>
  <c r="AB24" i="9"/>
  <c r="AA24" i="9"/>
  <c r="Y24" i="9"/>
  <c r="W24" i="9"/>
  <c r="Q24" i="9"/>
  <c r="P24" i="9"/>
  <c r="O24" i="9"/>
  <c r="M24" i="9"/>
  <c r="M22" i="9" s="1"/>
  <c r="L24" i="9"/>
  <c r="J24" i="9"/>
  <c r="I24" i="9"/>
  <c r="H24" i="9"/>
  <c r="F24" i="9"/>
  <c r="AE24" i="9" s="1"/>
  <c r="AE22" i="9" s="1"/>
  <c r="C24" i="9"/>
  <c r="AH23" i="9"/>
  <c r="AG23" i="9"/>
  <c r="AF23" i="9"/>
  <c r="AE23" i="9"/>
  <c r="AD23" i="9"/>
  <c r="AC23" i="9"/>
  <c r="AC22" i="9" s="1"/>
  <c r="AB23" i="9"/>
  <c r="AA23" i="9"/>
  <c r="Z23" i="9"/>
  <c r="Y23" i="9"/>
  <c r="X23" i="9"/>
  <c r="W23" i="9"/>
  <c r="AI23" i="9" s="1"/>
  <c r="S23" i="9"/>
  <c r="R23" i="9"/>
  <c r="Q23" i="9"/>
  <c r="Q22" i="9" s="1"/>
  <c r="P23" i="9"/>
  <c r="P22" i="9" s="1"/>
  <c r="O23" i="9"/>
  <c r="O22" i="9" s="1"/>
  <c r="N23" i="9"/>
  <c r="M23" i="9"/>
  <c r="L23" i="9"/>
  <c r="K23" i="9"/>
  <c r="J23" i="9"/>
  <c r="I23" i="9"/>
  <c r="H23" i="9"/>
  <c r="H22" i="9" s="1"/>
  <c r="C23" i="9"/>
  <c r="AG22" i="9"/>
  <c r="W22" i="9"/>
  <c r="I22" i="9"/>
  <c r="F22" i="9"/>
  <c r="C22" i="9"/>
  <c r="AI21" i="9"/>
  <c r="U21" i="9"/>
  <c r="O21" i="9"/>
  <c r="N21" i="9"/>
  <c r="F21" i="9"/>
  <c r="P21" i="9" s="1"/>
  <c r="C21" i="9"/>
  <c r="AF20" i="9"/>
  <c r="AA20" i="9"/>
  <c r="Y20" i="9"/>
  <c r="W20" i="9"/>
  <c r="S20" i="9"/>
  <c r="N20" i="9"/>
  <c r="M20" i="9"/>
  <c r="L20" i="9"/>
  <c r="H20" i="9"/>
  <c r="F20" i="9"/>
  <c r="C20" i="9"/>
  <c r="AG19" i="9"/>
  <c r="AF19" i="9"/>
  <c r="AA19" i="9"/>
  <c r="Z19" i="9"/>
  <c r="Y19" i="9"/>
  <c r="N19" i="9"/>
  <c r="M19" i="9"/>
  <c r="L19" i="9"/>
  <c r="F19" i="9"/>
  <c r="S19" i="9" s="1"/>
  <c r="C19" i="9"/>
  <c r="AH18" i="9"/>
  <c r="AG18" i="9"/>
  <c r="W18" i="9"/>
  <c r="R18" i="9"/>
  <c r="N18" i="9"/>
  <c r="N13" i="9" s="1"/>
  <c r="L18" i="9"/>
  <c r="F18" i="9"/>
  <c r="Z18" i="9" s="1"/>
  <c r="C18" i="9"/>
  <c r="U17" i="9"/>
  <c r="S17" i="9"/>
  <c r="R17" i="9"/>
  <c r="Q17" i="9"/>
  <c r="P17" i="9"/>
  <c r="O17" i="9"/>
  <c r="N17" i="9"/>
  <c r="M17" i="9"/>
  <c r="L17" i="9"/>
  <c r="K17" i="9"/>
  <c r="J17" i="9"/>
  <c r="I17" i="9"/>
  <c r="H17" i="9"/>
  <c r="C17" i="9"/>
  <c r="S16" i="9"/>
  <c r="R16" i="9"/>
  <c r="Q16" i="9"/>
  <c r="P16" i="9"/>
  <c r="O16" i="9"/>
  <c r="N16" i="9"/>
  <c r="M16" i="9"/>
  <c r="L16" i="9"/>
  <c r="K16" i="9"/>
  <c r="J16" i="9"/>
  <c r="I16" i="9"/>
  <c r="H16" i="9"/>
  <c r="C16" i="9"/>
  <c r="S15" i="9"/>
  <c r="R15" i="9"/>
  <c r="Q15" i="9"/>
  <c r="P15" i="9"/>
  <c r="O15" i="9"/>
  <c r="N15" i="9"/>
  <c r="M15" i="9"/>
  <c r="L15" i="9"/>
  <c r="K15" i="9"/>
  <c r="J15" i="9"/>
  <c r="I15" i="9"/>
  <c r="H15" i="9"/>
  <c r="C15" i="9"/>
  <c r="AI14" i="9"/>
  <c r="U14" i="9"/>
  <c r="T14" i="9"/>
  <c r="G14" i="9"/>
  <c r="C14" i="9"/>
  <c r="C13" i="9"/>
  <c r="AI12" i="9"/>
  <c r="U12" i="9"/>
  <c r="T12" i="9"/>
  <c r="C12" i="9"/>
  <c r="AI11" i="9"/>
  <c r="U11" i="9"/>
  <c r="T11" i="9"/>
  <c r="C11" i="9"/>
  <c r="AI10" i="9"/>
  <c r="U10" i="9"/>
  <c r="T10" i="9"/>
  <c r="C10" i="9"/>
  <c r="AH9" i="9"/>
  <c r="AG9" i="9"/>
  <c r="AF9" i="9"/>
  <c r="AE9" i="9"/>
  <c r="AD9" i="9"/>
  <c r="AC9" i="9"/>
  <c r="AB9" i="9"/>
  <c r="AA9" i="9"/>
  <c r="Z9" i="9"/>
  <c r="Y9" i="9"/>
  <c r="X9" i="9"/>
  <c r="W9" i="9"/>
  <c r="S9" i="9"/>
  <c r="R9" i="9"/>
  <c r="Q9" i="9"/>
  <c r="P9" i="9"/>
  <c r="O9" i="9"/>
  <c r="N9" i="9"/>
  <c r="M9" i="9"/>
  <c r="L9" i="9"/>
  <c r="K9" i="9"/>
  <c r="J9" i="9"/>
  <c r="I9" i="9"/>
  <c r="H9" i="9"/>
  <c r="F9" i="9"/>
  <c r="C9" i="9"/>
  <c r="AI8" i="9"/>
  <c r="U8" i="9"/>
  <c r="T8" i="9"/>
  <c r="C8" i="9"/>
  <c r="AI7" i="9"/>
  <c r="U7" i="9"/>
  <c r="T7" i="9"/>
  <c r="C7" i="9"/>
  <c r="AI6" i="9"/>
  <c r="U6" i="9"/>
  <c r="T6" i="9"/>
  <c r="C6" i="9"/>
  <c r="AD179" i="9"/>
  <c r="AC179" i="9"/>
  <c r="AB179" i="9"/>
  <c r="AA179" i="9"/>
  <c r="Z179" i="9"/>
  <c r="Y179" i="9"/>
  <c r="X179" i="9"/>
  <c r="S5" i="9"/>
  <c r="S179" i="9" s="1"/>
  <c r="R5" i="9"/>
  <c r="R179" i="9" s="1"/>
  <c r="Q5" i="9"/>
  <c r="Q179" i="9" s="1"/>
  <c r="P5" i="9"/>
  <c r="P179" i="9" s="1"/>
  <c r="O5" i="9"/>
  <c r="O179" i="9" s="1"/>
  <c r="N5" i="9"/>
  <c r="N179" i="9" s="1"/>
  <c r="M5" i="9"/>
  <c r="M179" i="9" s="1"/>
  <c r="L5" i="9"/>
  <c r="L179" i="9" s="1"/>
  <c r="K5" i="9"/>
  <c r="K179" i="9" s="1"/>
  <c r="J5" i="9"/>
  <c r="J179" i="9" s="1"/>
  <c r="I5" i="9"/>
  <c r="I179" i="9" s="1"/>
  <c r="H5" i="9"/>
  <c r="H179" i="9" s="1"/>
  <c r="C5" i="9"/>
  <c r="AH178" i="9"/>
  <c r="AA178" i="9"/>
  <c r="Z178" i="9"/>
  <c r="Y178" i="9"/>
  <c r="S4" i="9"/>
  <c r="S178" i="9" s="1"/>
  <c r="R4" i="9"/>
  <c r="Q4" i="9"/>
  <c r="Q178" i="9" s="1"/>
  <c r="P4" i="9"/>
  <c r="P2" i="9" s="1"/>
  <c r="O4" i="9"/>
  <c r="O178" i="9" s="1"/>
  <c r="N4" i="9"/>
  <c r="N178" i="9" s="1"/>
  <c r="M4" i="9"/>
  <c r="M178" i="9" s="1"/>
  <c r="L4" i="9"/>
  <c r="L178" i="9" s="1"/>
  <c r="K4" i="9"/>
  <c r="K178" i="9" s="1"/>
  <c r="J4" i="9"/>
  <c r="J178" i="9" s="1"/>
  <c r="I4" i="9"/>
  <c r="I178" i="9" s="1"/>
  <c r="H4" i="9"/>
  <c r="H178" i="9" s="1"/>
  <c r="C4" i="9"/>
  <c r="AB2" i="9"/>
  <c r="Z2" i="9"/>
  <c r="S3" i="9"/>
  <c r="R3" i="9"/>
  <c r="Q3" i="9"/>
  <c r="P3" i="9"/>
  <c r="O3" i="9"/>
  <c r="N3" i="9"/>
  <c r="M3" i="9"/>
  <c r="L3" i="9"/>
  <c r="L2" i="9" s="1"/>
  <c r="K3" i="9"/>
  <c r="J3" i="9"/>
  <c r="I3" i="9"/>
  <c r="I2" i="9" s="1"/>
  <c r="H3" i="9"/>
  <c r="T3" i="9" s="1"/>
  <c r="C3" i="9"/>
  <c r="AC2" i="9"/>
  <c r="O2" i="9"/>
  <c r="K2" i="9"/>
  <c r="J2" i="9"/>
  <c r="M177" i="9" s="1"/>
  <c r="F2" i="9"/>
  <c r="G5" i="9" s="1"/>
  <c r="D2" i="9"/>
  <c r="E145" i="9" s="1"/>
  <c r="C2" i="9"/>
  <c r="W39" i="1"/>
  <c r="X39" i="1"/>
  <c r="Y39" i="1"/>
  <c r="Z39" i="1"/>
  <c r="AA39" i="1"/>
  <c r="AB39" i="1"/>
  <c r="AC39" i="1"/>
  <c r="AD39" i="1"/>
  <c r="AE39" i="1"/>
  <c r="AF39" i="1"/>
  <c r="AG39" i="1"/>
  <c r="AH39" i="1"/>
  <c r="W40" i="1"/>
  <c r="X40" i="1"/>
  <c r="Y40" i="1"/>
  <c r="Z40" i="1"/>
  <c r="AA40" i="1"/>
  <c r="AB40" i="1"/>
  <c r="AI40" i="1" s="1"/>
  <c r="AC40" i="1"/>
  <c r="AD40" i="1"/>
  <c r="AE40" i="1"/>
  <c r="AF40" i="1"/>
  <c r="AG40" i="1"/>
  <c r="AH40" i="1"/>
  <c r="W41" i="1"/>
  <c r="X41" i="1"/>
  <c r="Y41" i="1"/>
  <c r="Z41" i="1"/>
  <c r="AA41" i="1"/>
  <c r="AB41" i="1"/>
  <c r="AI41" i="1" s="1"/>
  <c r="AC41" i="1"/>
  <c r="AD41" i="1"/>
  <c r="AE41" i="1"/>
  <c r="AF41" i="1"/>
  <c r="AG41" i="1"/>
  <c r="AH41" i="1"/>
  <c r="W42" i="1"/>
  <c r="X42" i="1"/>
  <c r="Y42" i="1"/>
  <c r="Z42" i="1"/>
  <c r="AA42" i="1"/>
  <c r="AB42" i="1"/>
  <c r="AC42" i="1"/>
  <c r="AD42" i="1"/>
  <c r="AE42" i="1"/>
  <c r="AF42" i="1"/>
  <c r="AG42" i="1"/>
  <c r="AH42" i="1"/>
  <c r="W43" i="1"/>
  <c r="X43" i="1"/>
  <c r="Y43" i="1"/>
  <c r="Z43" i="1"/>
  <c r="AA43" i="1"/>
  <c r="AB43" i="1"/>
  <c r="AI43" i="1" s="1"/>
  <c r="AC43" i="1"/>
  <c r="AD43" i="1"/>
  <c r="AE43" i="1"/>
  <c r="AF43" i="1"/>
  <c r="AG43" i="1"/>
  <c r="AH43" i="1"/>
  <c r="W44" i="1"/>
  <c r="X44" i="1"/>
  <c r="Y44" i="1"/>
  <c r="Z44" i="1"/>
  <c r="AA44" i="1"/>
  <c r="AB44" i="1"/>
  <c r="AI44" i="1" s="1"/>
  <c r="AC44" i="1"/>
  <c r="AD44" i="1"/>
  <c r="AE44" i="1"/>
  <c r="AF44" i="1"/>
  <c r="AG44" i="1"/>
  <c r="AH44" i="1"/>
  <c r="W45" i="1"/>
  <c r="X45" i="1"/>
  <c r="Y45" i="1"/>
  <c r="Z45" i="1"/>
  <c r="AA45" i="1"/>
  <c r="AB45" i="1"/>
  <c r="AC45" i="1"/>
  <c r="AD45" i="1"/>
  <c r="AE45" i="1"/>
  <c r="AF45" i="1"/>
  <c r="AG45" i="1"/>
  <c r="AH45" i="1"/>
  <c r="W46" i="1"/>
  <c r="X46" i="1"/>
  <c r="Y46" i="1"/>
  <c r="Z46" i="1"/>
  <c r="AA46" i="1"/>
  <c r="AB46" i="1"/>
  <c r="AC46" i="1"/>
  <c r="AD46" i="1"/>
  <c r="AE46" i="1"/>
  <c r="AF46" i="1"/>
  <c r="AG46" i="1"/>
  <c r="AH46" i="1"/>
  <c r="AI46" i="1" s="1"/>
  <c r="W47" i="1"/>
  <c r="X47" i="1"/>
  <c r="Y47" i="1"/>
  <c r="Z47" i="1"/>
  <c r="AA47" i="1"/>
  <c r="AB47" i="1"/>
  <c r="AC47" i="1"/>
  <c r="AD47" i="1"/>
  <c r="AE47" i="1"/>
  <c r="AF47" i="1"/>
  <c r="AG47" i="1"/>
  <c r="AI47" i="1" s="1"/>
  <c r="AH47" i="1"/>
  <c r="W48" i="1"/>
  <c r="X48" i="1"/>
  <c r="Y48" i="1"/>
  <c r="Z48" i="1"/>
  <c r="AA48" i="1"/>
  <c r="AB48" i="1"/>
  <c r="AC48" i="1"/>
  <c r="AD48" i="1"/>
  <c r="AE48" i="1"/>
  <c r="AF48" i="1"/>
  <c r="AI48" i="1" s="1"/>
  <c r="AG48" i="1"/>
  <c r="AH48" i="1"/>
  <c r="W49" i="1"/>
  <c r="X49" i="1"/>
  <c r="Y49" i="1"/>
  <c r="Z49" i="1"/>
  <c r="AA49" i="1"/>
  <c r="AB49" i="1"/>
  <c r="AC49" i="1"/>
  <c r="AD49" i="1"/>
  <c r="AE49" i="1"/>
  <c r="AI49" i="1" s="1"/>
  <c r="AF49" i="1"/>
  <c r="AG49" i="1"/>
  <c r="AH49" i="1"/>
  <c r="W50" i="1"/>
  <c r="X50" i="1"/>
  <c r="Y50" i="1"/>
  <c r="Z50" i="1"/>
  <c r="AA50" i="1"/>
  <c r="AB50" i="1"/>
  <c r="AC50" i="1"/>
  <c r="AD50" i="1"/>
  <c r="AI50" i="1" s="1"/>
  <c r="AE50" i="1"/>
  <c r="AF50" i="1"/>
  <c r="AG50" i="1"/>
  <c r="AH50" i="1"/>
  <c r="W51" i="1"/>
  <c r="X51" i="1"/>
  <c r="Y51" i="1"/>
  <c r="Z51" i="1"/>
  <c r="AA51" i="1"/>
  <c r="AB51" i="1"/>
  <c r="AC51" i="1"/>
  <c r="AD51" i="1"/>
  <c r="AE51" i="1"/>
  <c r="AF51" i="1"/>
  <c r="AG51" i="1"/>
  <c r="AH51" i="1"/>
  <c r="W52" i="1"/>
  <c r="X52" i="1"/>
  <c r="Y52" i="1"/>
  <c r="Z52" i="1"/>
  <c r="AA52" i="1"/>
  <c r="AB52" i="1"/>
  <c r="AC52" i="1"/>
  <c r="AD52" i="1"/>
  <c r="AE52" i="1"/>
  <c r="AF52" i="1"/>
  <c r="AG52" i="1"/>
  <c r="AH52" i="1"/>
  <c r="W53" i="1"/>
  <c r="X53" i="1"/>
  <c r="Y53" i="1"/>
  <c r="Z53" i="1"/>
  <c r="AA53" i="1"/>
  <c r="AB53" i="1"/>
  <c r="AC53" i="1"/>
  <c r="AD53" i="1"/>
  <c r="AE53" i="1"/>
  <c r="AF53" i="1"/>
  <c r="AG53" i="1"/>
  <c r="AH53" i="1"/>
  <c r="W54" i="1"/>
  <c r="X54" i="1"/>
  <c r="Y54" i="1"/>
  <c r="Z54" i="1"/>
  <c r="AA54" i="1"/>
  <c r="AB54" i="1"/>
  <c r="AC54" i="1"/>
  <c r="AD54" i="1"/>
  <c r="AE54" i="1"/>
  <c r="AF54" i="1"/>
  <c r="AG54" i="1"/>
  <c r="AH54" i="1"/>
  <c r="W55" i="1"/>
  <c r="X55" i="1"/>
  <c r="Y55" i="1"/>
  <c r="Z55" i="1"/>
  <c r="AA55" i="1"/>
  <c r="AB55" i="1"/>
  <c r="AC55" i="1"/>
  <c r="AD55" i="1"/>
  <c r="AE55" i="1"/>
  <c r="AF55" i="1"/>
  <c r="AG55" i="1"/>
  <c r="AH55" i="1"/>
  <c r="W56" i="1"/>
  <c r="X56" i="1"/>
  <c r="Y56" i="1"/>
  <c r="Z56" i="1"/>
  <c r="AA56" i="1"/>
  <c r="AB56" i="1"/>
  <c r="AC56" i="1"/>
  <c r="AD56" i="1"/>
  <c r="AE56" i="1"/>
  <c r="AF56" i="1"/>
  <c r="AG56" i="1"/>
  <c r="AH56" i="1"/>
  <c r="W57" i="1"/>
  <c r="X57" i="1"/>
  <c r="Y57" i="1"/>
  <c r="Z57" i="1"/>
  <c r="AA57" i="1"/>
  <c r="AB57" i="1"/>
  <c r="AC57" i="1"/>
  <c r="AD57" i="1"/>
  <c r="AE57" i="1"/>
  <c r="AF57" i="1"/>
  <c r="AG57" i="1"/>
  <c r="AH57" i="1"/>
  <c r="W58" i="1"/>
  <c r="X58" i="1"/>
  <c r="Y58" i="1"/>
  <c r="Z58" i="1"/>
  <c r="AA58" i="1"/>
  <c r="AB58" i="1"/>
  <c r="AI58" i="1" s="1"/>
  <c r="AC58" i="1"/>
  <c r="AD58" i="1"/>
  <c r="AE58" i="1"/>
  <c r="AF58" i="1"/>
  <c r="AG58" i="1"/>
  <c r="AH58" i="1"/>
  <c r="W59" i="1"/>
  <c r="X59" i="1"/>
  <c r="Y59" i="1"/>
  <c r="Z59" i="1"/>
  <c r="AA59" i="1"/>
  <c r="AB59" i="1"/>
  <c r="AI59" i="1" s="1"/>
  <c r="AC59" i="1"/>
  <c r="AD59" i="1"/>
  <c r="AE59" i="1"/>
  <c r="AF59" i="1"/>
  <c r="AG59" i="1"/>
  <c r="AH59" i="1"/>
  <c r="W60" i="1"/>
  <c r="X60" i="1"/>
  <c r="Y60" i="1"/>
  <c r="Z60" i="1"/>
  <c r="AA60" i="1"/>
  <c r="AB60" i="1"/>
  <c r="AI60" i="1" s="1"/>
  <c r="AC60" i="1"/>
  <c r="AD60" i="1"/>
  <c r="AE60" i="1"/>
  <c r="AF60" i="1"/>
  <c r="AG60" i="1"/>
  <c r="AH60" i="1"/>
  <c r="W61" i="1"/>
  <c r="X61" i="1"/>
  <c r="Y61" i="1"/>
  <c r="Z61" i="1"/>
  <c r="AA61" i="1"/>
  <c r="AB61" i="1"/>
  <c r="AI61" i="1" s="1"/>
  <c r="AC61" i="1"/>
  <c r="AD61" i="1"/>
  <c r="AE61" i="1"/>
  <c r="AF61" i="1"/>
  <c r="AG61" i="1"/>
  <c r="AH61" i="1"/>
  <c r="W62" i="1"/>
  <c r="X62" i="1"/>
  <c r="Y62" i="1"/>
  <c r="Z62" i="1"/>
  <c r="AA62" i="1"/>
  <c r="AB62" i="1"/>
  <c r="AC62" i="1"/>
  <c r="AD62" i="1"/>
  <c r="AE62" i="1"/>
  <c r="AF62" i="1"/>
  <c r="AG62" i="1"/>
  <c r="AH62" i="1"/>
  <c r="W63" i="1"/>
  <c r="X63" i="1"/>
  <c r="Y63" i="1"/>
  <c r="Z63" i="1"/>
  <c r="AA63" i="1"/>
  <c r="AB63" i="1"/>
  <c r="AC63" i="1"/>
  <c r="AD63" i="1"/>
  <c r="AE63" i="1"/>
  <c r="AF63" i="1"/>
  <c r="AG63" i="1"/>
  <c r="AH63" i="1"/>
  <c r="W64" i="1"/>
  <c r="X64" i="1"/>
  <c r="Y64" i="1"/>
  <c r="Z64" i="1"/>
  <c r="AA64" i="1"/>
  <c r="AB64" i="1"/>
  <c r="AC64" i="1"/>
  <c r="AD64" i="1"/>
  <c r="AE64" i="1"/>
  <c r="AF64" i="1"/>
  <c r="AG64" i="1"/>
  <c r="AH64" i="1"/>
  <c r="W65" i="1"/>
  <c r="X65" i="1"/>
  <c r="Y65" i="1"/>
  <c r="Z65" i="1"/>
  <c r="AA65" i="1"/>
  <c r="AB65" i="1"/>
  <c r="AC65" i="1"/>
  <c r="AD65" i="1"/>
  <c r="AE65" i="1"/>
  <c r="AF65" i="1"/>
  <c r="AG65" i="1"/>
  <c r="AH65" i="1"/>
  <c r="W66" i="1"/>
  <c r="X66" i="1"/>
  <c r="Y66" i="1"/>
  <c r="Z66" i="1"/>
  <c r="AA66" i="1"/>
  <c r="AB66" i="1"/>
  <c r="AC66" i="1"/>
  <c r="AD66" i="1"/>
  <c r="AE66" i="1"/>
  <c r="AF66" i="1"/>
  <c r="AG66" i="1"/>
  <c r="AH66" i="1"/>
  <c r="W67" i="1"/>
  <c r="X67" i="1"/>
  <c r="Y67" i="1"/>
  <c r="Z67" i="1"/>
  <c r="AA67" i="1"/>
  <c r="AB67" i="1"/>
  <c r="AC67" i="1"/>
  <c r="AD67" i="1"/>
  <c r="AE67" i="1"/>
  <c r="AF67" i="1"/>
  <c r="AG67" i="1"/>
  <c r="AH67" i="1"/>
  <c r="W68" i="1"/>
  <c r="X68" i="1"/>
  <c r="Y68" i="1"/>
  <c r="Z68" i="1"/>
  <c r="AA68" i="1"/>
  <c r="AB68" i="1"/>
  <c r="AC68" i="1"/>
  <c r="AD68" i="1"/>
  <c r="AE68" i="1"/>
  <c r="AF68" i="1"/>
  <c r="AG68" i="1"/>
  <c r="AH68" i="1"/>
  <c r="W69" i="1"/>
  <c r="X69" i="1"/>
  <c r="Y69" i="1"/>
  <c r="Z69" i="1"/>
  <c r="AA69" i="1"/>
  <c r="AB69" i="1"/>
  <c r="AC69" i="1"/>
  <c r="AD69" i="1"/>
  <c r="AE69" i="1"/>
  <c r="AF69" i="1"/>
  <c r="AG69" i="1"/>
  <c r="AH69" i="1"/>
  <c r="W70" i="1"/>
  <c r="X70" i="1"/>
  <c r="Y70" i="1"/>
  <c r="Z70" i="1"/>
  <c r="AA70" i="1"/>
  <c r="AB70" i="1"/>
  <c r="AC70" i="1"/>
  <c r="AD70" i="1"/>
  <c r="AE70" i="1"/>
  <c r="AF70" i="1"/>
  <c r="AG70" i="1"/>
  <c r="AH70" i="1"/>
  <c r="W71" i="1"/>
  <c r="X71" i="1"/>
  <c r="Y71" i="1"/>
  <c r="Z71" i="1"/>
  <c r="AA71" i="1"/>
  <c r="AB71" i="1"/>
  <c r="AC71" i="1"/>
  <c r="AD71" i="1"/>
  <c r="AE71" i="1"/>
  <c r="AF71" i="1"/>
  <c r="AG71" i="1"/>
  <c r="AH71" i="1"/>
  <c r="W72" i="1"/>
  <c r="X72" i="1"/>
  <c r="Y72" i="1"/>
  <c r="Z72" i="1"/>
  <c r="AA72" i="1"/>
  <c r="AB72" i="1"/>
  <c r="AC72" i="1"/>
  <c r="AD72" i="1"/>
  <c r="AE72" i="1"/>
  <c r="AF72" i="1"/>
  <c r="AG72" i="1"/>
  <c r="AH72" i="1"/>
  <c r="AI72" i="1" s="1"/>
  <c r="W73" i="1"/>
  <c r="X73" i="1"/>
  <c r="Y73" i="1"/>
  <c r="Z73" i="1"/>
  <c r="AA73" i="1"/>
  <c r="AB73" i="1"/>
  <c r="AC73" i="1"/>
  <c r="AD73" i="1"/>
  <c r="AE73" i="1"/>
  <c r="AF73" i="1"/>
  <c r="AG73" i="1"/>
  <c r="AI73" i="1" s="1"/>
  <c r="AH73" i="1"/>
  <c r="W74" i="1"/>
  <c r="X74" i="1"/>
  <c r="Y74" i="1"/>
  <c r="Z74" i="1"/>
  <c r="AA74" i="1"/>
  <c r="AB74" i="1"/>
  <c r="AC74" i="1"/>
  <c r="AD74" i="1"/>
  <c r="AE74" i="1"/>
  <c r="AF74" i="1"/>
  <c r="AI74" i="1" s="1"/>
  <c r="AG74" i="1"/>
  <c r="AH74" i="1"/>
  <c r="W75" i="1"/>
  <c r="X75" i="1"/>
  <c r="Y75" i="1"/>
  <c r="Z75" i="1"/>
  <c r="AA75" i="1"/>
  <c r="AB75" i="1"/>
  <c r="AC75" i="1"/>
  <c r="AD75" i="1"/>
  <c r="AE75" i="1"/>
  <c r="AF75" i="1"/>
  <c r="AG75" i="1"/>
  <c r="AH75" i="1"/>
  <c r="W76" i="1"/>
  <c r="X76" i="1"/>
  <c r="Y76" i="1"/>
  <c r="Z76" i="1"/>
  <c r="AA76" i="1"/>
  <c r="AB76" i="1"/>
  <c r="AC76" i="1"/>
  <c r="AD76" i="1"/>
  <c r="AE76" i="1"/>
  <c r="AF76" i="1"/>
  <c r="AG76" i="1"/>
  <c r="AH76" i="1"/>
  <c r="W77" i="1"/>
  <c r="X77" i="1"/>
  <c r="Y77" i="1"/>
  <c r="Z77" i="1"/>
  <c r="AA77" i="1"/>
  <c r="AB77" i="1"/>
  <c r="AC77" i="1"/>
  <c r="AD77" i="1"/>
  <c r="AE77" i="1"/>
  <c r="AI77" i="1" s="1"/>
  <c r="AF77" i="1"/>
  <c r="AG77" i="1"/>
  <c r="AH77" i="1"/>
  <c r="W78" i="1"/>
  <c r="X78" i="1"/>
  <c r="Y78" i="1"/>
  <c r="Z78" i="1"/>
  <c r="AA78" i="1"/>
  <c r="AB78" i="1"/>
  <c r="AC78" i="1"/>
  <c r="AD78" i="1"/>
  <c r="AE78" i="1"/>
  <c r="AF78" i="1"/>
  <c r="AG78" i="1"/>
  <c r="AH78" i="1"/>
  <c r="W79" i="1"/>
  <c r="X79" i="1"/>
  <c r="Y79" i="1"/>
  <c r="Z79" i="1"/>
  <c r="AA79" i="1"/>
  <c r="AB79" i="1"/>
  <c r="AC79" i="1"/>
  <c r="AD79" i="1"/>
  <c r="AE79" i="1"/>
  <c r="AF79" i="1"/>
  <c r="AG79" i="1"/>
  <c r="AH79" i="1"/>
  <c r="W80" i="1"/>
  <c r="X80" i="1"/>
  <c r="Y80" i="1"/>
  <c r="Z80" i="1"/>
  <c r="AA80" i="1"/>
  <c r="AB80" i="1"/>
  <c r="AC80" i="1"/>
  <c r="AD80" i="1"/>
  <c r="AE80" i="1"/>
  <c r="AF80" i="1"/>
  <c r="AG80" i="1"/>
  <c r="AH80" i="1"/>
  <c r="W81" i="1"/>
  <c r="X81" i="1"/>
  <c r="Y81" i="1"/>
  <c r="Z81" i="1"/>
  <c r="AA81" i="1"/>
  <c r="AB81" i="1"/>
  <c r="AC81" i="1"/>
  <c r="AD81" i="1"/>
  <c r="AE81" i="1"/>
  <c r="AF81" i="1"/>
  <c r="AG81" i="1"/>
  <c r="AH81" i="1"/>
  <c r="W82" i="1"/>
  <c r="X82" i="1"/>
  <c r="Y82" i="1"/>
  <c r="Z82" i="1"/>
  <c r="AA82" i="1"/>
  <c r="AB82" i="1"/>
  <c r="AC82" i="1"/>
  <c r="AD82" i="1"/>
  <c r="AE82" i="1"/>
  <c r="AF82" i="1"/>
  <c r="AG82" i="1"/>
  <c r="AH82" i="1"/>
  <c r="W83" i="1"/>
  <c r="X83" i="1"/>
  <c r="Y83" i="1"/>
  <c r="Z83" i="1"/>
  <c r="AA83" i="1"/>
  <c r="AB83" i="1"/>
  <c r="AC83" i="1"/>
  <c r="AD83" i="1"/>
  <c r="AE83" i="1"/>
  <c r="AF83" i="1"/>
  <c r="AG83" i="1"/>
  <c r="AH83" i="1"/>
  <c r="W84" i="1"/>
  <c r="X84" i="1"/>
  <c r="Y84" i="1"/>
  <c r="Z84" i="1"/>
  <c r="AA84" i="1"/>
  <c r="AB84" i="1"/>
  <c r="AC84" i="1"/>
  <c r="AD84" i="1"/>
  <c r="AE84" i="1"/>
  <c r="AF84" i="1"/>
  <c r="AG84" i="1"/>
  <c r="AH84" i="1"/>
  <c r="W85" i="1"/>
  <c r="X85" i="1"/>
  <c r="Y85" i="1"/>
  <c r="Z85" i="1"/>
  <c r="AA85" i="1"/>
  <c r="AB85" i="1"/>
  <c r="AC85" i="1"/>
  <c r="AD85" i="1"/>
  <c r="AI85" i="1" s="1"/>
  <c r="AE85" i="1"/>
  <c r="AF85" i="1"/>
  <c r="AG85" i="1"/>
  <c r="AH85" i="1"/>
  <c r="W86" i="1"/>
  <c r="X86" i="1"/>
  <c r="Y86" i="1"/>
  <c r="Z86" i="1"/>
  <c r="AA86" i="1"/>
  <c r="AB86" i="1"/>
  <c r="AC86" i="1"/>
  <c r="AI86" i="1" s="1"/>
  <c r="AD86" i="1"/>
  <c r="AE86" i="1"/>
  <c r="AF86" i="1"/>
  <c r="AG86" i="1"/>
  <c r="AH86" i="1"/>
  <c r="W87" i="1"/>
  <c r="X87" i="1"/>
  <c r="Y87" i="1"/>
  <c r="Z87" i="1"/>
  <c r="AA87" i="1"/>
  <c r="AB87" i="1"/>
  <c r="AC87" i="1"/>
  <c r="AD87" i="1"/>
  <c r="AE87" i="1"/>
  <c r="AF87" i="1"/>
  <c r="AG87" i="1"/>
  <c r="AH87" i="1"/>
  <c r="W88" i="1"/>
  <c r="X88" i="1"/>
  <c r="Y88" i="1"/>
  <c r="Z88" i="1"/>
  <c r="AA88" i="1"/>
  <c r="AB88" i="1"/>
  <c r="AI88" i="1" s="1"/>
  <c r="AC88" i="1"/>
  <c r="AD88" i="1"/>
  <c r="AE88" i="1"/>
  <c r="AF88" i="1"/>
  <c r="AG88" i="1"/>
  <c r="AH88" i="1"/>
  <c r="W89" i="1"/>
  <c r="X89" i="1"/>
  <c r="Y89" i="1"/>
  <c r="Z89" i="1"/>
  <c r="AA89" i="1"/>
  <c r="AB89" i="1"/>
  <c r="AI89" i="1" s="1"/>
  <c r="AC89" i="1"/>
  <c r="AD89" i="1"/>
  <c r="AE89" i="1"/>
  <c r="AF89" i="1"/>
  <c r="AG89" i="1"/>
  <c r="AH89" i="1"/>
  <c r="W90" i="1"/>
  <c r="X90" i="1"/>
  <c r="Y90" i="1"/>
  <c r="Z90" i="1"/>
  <c r="AA90" i="1"/>
  <c r="AB90" i="1"/>
  <c r="AI90" i="1" s="1"/>
  <c r="AC90" i="1"/>
  <c r="AD90" i="1"/>
  <c r="AE90" i="1"/>
  <c r="AF90" i="1"/>
  <c r="AG90" i="1"/>
  <c r="AH90" i="1"/>
  <c r="W91" i="1"/>
  <c r="X91" i="1"/>
  <c r="Y91" i="1"/>
  <c r="Z91" i="1"/>
  <c r="AA91" i="1"/>
  <c r="AB91" i="1"/>
  <c r="AI91" i="1" s="1"/>
  <c r="AC91" i="1"/>
  <c r="AD91" i="1"/>
  <c r="AE91" i="1"/>
  <c r="AF91" i="1"/>
  <c r="AG91" i="1"/>
  <c r="AH91" i="1"/>
  <c r="W92" i="1"/>
  <c r="X92" i="1"/>
  <c r="Y92" i="1"/>
  <c r="Z92" i="1"/>
  <c r="AA92" i="1"/>
  <c r="AB92" i="1"/>
  <c r="AI92" i="1" s="1"/>
  <c r="AC92" i="1"/>
  <c r="AD92" i="1"/>
  <c r="AE92" i="1"/>
  <c r="AF92" i="1"/>
  <c r="AG92" i="1"/>
  <c r="AH92" i="1"/>
  <c r="W93" i="1"/>
  <c r="X93" i="1"/>
  <c r="Y93" i="1"/>
  <c r="Z93" i="1"/>
  <c r="AA93" i="1"/>
  <c r="AB93" i="1"/>
  <c r="AC93" i="1"/>
  <c r="AD93" i="1"/>
  <c r="AE93" i="1"/>
  <c r="AF93" i="1"/>
  <c r="AG93" i="1"/>
  <c r="AH93" i="1"/>
  <c r="W94" i="1"/>
  <c r="X94" i="1"/>
  <c r="Y94" i="1"/>
  <c r="Z94" i="1"/>
  <c r="AA94" i="1"/>
  <c r="AB94" i="1"/>
  <c r="AC94" i="1"/>
  <c r="AD94" i="1"/>
  <c r="AE94" i="1"/>
  <c r="AF94" i="1"/>
  <c r="AG94" i="1"/>
  <c r="AH94" i="1"/>
  <c r="AI94" i="1" s="1"/>
  <c r="W95" i="1"/>
  <c r="X95" i="1"/>
  <c r="Y95" i="1"/>
  <c r="Z95" i="1"/>
  <c r="AA95" i="1"/>
  <c r="AB95" i="1"/>
  <c r="AC95" i="1"/>
  <c r="AD95" i="1"/>
  <c r="AE95" i="1"/>
  <c r="AF95" i="1"/>
  <c r="AG95" i="1"/>
  <c r="AI95" i="1" s="1"/>
  <c r="AH95" i="1"/>
  <c r="W96" i="1"/>
  <c r="X96" i="1"/>
  <c r="Y96" i="1"/>
  <c r="Z96" i="1"/>
  <c r="AA96" i="1"/>
  <c r="AB96" i="1"/>
  <c r="AC96" i="1"/>
  <c r="AD96" i="1"/>
  <c r="AE96" i="1"/>
  <c r="AF96" i="1"/>
  <c r="AI96" i="1" s="1"/>
  <c r="AG96" i="1"/>
  <c r="AH96" i="1"/>
  <c r="W97" i="1"/>
  <c r="X97" i="1"/>
  <c r="Y97" i="1"/>
  <c r="Z97" i="1"/>
  <c r="AA97" i="1"/>
  <c r="AB97" i="1"/>
  <c r="AC97" i="1"/>
  <c r="AD97" i="1"/>
  <c r="AE97" i="1"/>
  <c r="AI97" i="1" s="1"/>
  <c r="AF97" i="1"/>
  <c r="AG97" i="1"/>
  <c r="AH97" i="1"/>
  <c r="W98" i="1"/>
  <c r="X98" i="1"/>
  <c r="Y98" i="1"/>
  <c r="Z98" i="1"/>
  <c r="AA98" i="1"/>
  <c r="AB98" i="1"/>
  <c r="AC98" i="1"/>
  <c r="AD98" i="1"/>
  <c r="AI98" i="1" s="1"/>
  <c r="AE98" i="1"/>
  <c r="AF98" i="1"/>
  <c r="AG98" i="1"/>
  <c r="AH98" i="1"/>
  <c r="W99" i="1"/>
  <c r="X99" i="1"/>
  <c r="Y99" i="1"/>
  <c r="Z99" i="1"/>
  <c r="AA99" i="1"/>
  <c r="AB99" i="1"/>
  <c r="AC99" i="1"/>
  <c r="AI99" i="1" s="1"/>
  <c r="AD99" i="1"/>
  <c r="AE99" i="1"/>
  <c r="AF99" i="1"/>
  <c r="AG99" i="1"/>
  <c r="AH99" i="1"/>
  <c r="W100" i="1"/>
  <c r="X100" i="1"/>
  <c r="Y100" i="1"/>
  <c r="Z100" i="1"/>
  <c r="AA100" i="1"/>
  <c r="AB100" i="1"/>
  <c r="AC100" i="1"/>
  <c r="AD100" i="1"/>
  <c r="AE100" i="1"/>
  <c r="AF100" i="1"/>
  <c r="AG100" i="1"/>
  <c r="AH100" i="1"/>
  <c r="W101" i="1"/>
  <c r="X101" i="1"/>
  <c r="Y101" i="1"/>
  <c r="Z101" i="1"/>
  <c r="AA101" i="1"/>
  <c r="AB101" i="1"/>
  <c r="AC101" i="1"/>
  <c r="AD101" i="1"/>
  <c r="AE101" i="1"/>
  <c r="AF101" i="1"/>
  <c r="AG101" i="1"/>
  <c r="AH101" i="1"/>
  <c r="W102" i="1"/>
  <c r="X102" i="1"/>
  <c r="Y102" i="1"/>
  <c r="Z102" i="1"/>
  <c r="AA102" i="1"/>
  <c r="AB102" i="1"/>
  <c r="AI102" i="1" s="1"/>
  <c r="AC102" i="1"/>
  <c r="AD102" i="1"/>
  <c r="AE102" i="1"/>
  <c r="AF102" i="1"/>
  <c r="AG102" i="1"/>
  <c r="AH102" i="1"/>
  <c r="W103" i="1"/>
  <c r="X103" i="1"/>
  <c r="Y103" i="1"/>
  <c r="Z103" i="1"/>
  <c r="AA103" i="1"/>
  <c r="AB103" i="1"/>
  <c r="AI103" i="1" s="1"/>
  <c r="AC103" i="1"/>
  <c r="AD103" i="1"/>
  <c r="AE103" i="1"/>
  <c r="AF103" i="1"/>
  <c r="AG103" i="1"/>
  <c r="AH103" i="1"/>
  <c r="W104" i="1"/>
  <c r="X104" i="1"/>
  <c r="Y104" i="1"/>
  <c r="Z104" i="1"/>
  <c r="AA104" i="1"/>
  <c r="AB104" i="1"/>
  <c r="AI104" i="1" s="1"/>
  <c r="AC104" i="1"/>
  <c r="AD104" i="1"/>
  <c r="AE104" i="1"/>
  <c r="AF104" i="1"/>
  <c r="AG104" i="1"/>
  <c r="AH104" i="1"/>
  <c r="W105" i="1"/>
  <c r="X105" i="1"/>
  <c r="Y105" i="1"/>
  <c r="Z105" i="1"/>
  <c r="AA105" i="1"/>
  <c r="AB105" i="1"/>
  <c r="AI105" i="1" s="1"/>
  <c r="AC105" i="1"/>
  <c r="AD105" i="1"/>
  <c r="AE105" i="1"/>
  <c r="AF105" i="1"/>
  <c r="AG105" i="1"/>
  <c r="AH105" i="1"/>
  <c r="W106" i="1"/>
  <c r="X106" i="1"/>
  <c r="Y106" i="1"/>
  <c r="Z106" i="1"/>
  <c r="AA106" i="1"/>
  <c r="AB106" i="1"/>
  <c r="AI106" i="1" s="1"/>
  <c r="AC106" i="1"/>
  <c r="AD106" i="1"/>
  <c r="AE106" i="1"/>
  <c r="AF106" i="1"/>
  <c r="AG106" i="1"/>
  <c r="AH106" i="1"/>
  <c r="W107" i="1"/>
  <c r="X107" i="1"/>
  <c r="Y107" i="1"/>
  <c r="Z107" i="1"/>
  <c r="AA107" i="1"/>
  <c r="AB107" i="1"/>
  <c r="AC107" i="1"/>
  <c r="AD107" i="1"/>
  <c r="AE107" i="1"/>
  <c r="AF107" i="1"/>
  <c r="AG107" i="1"/>
  <c r="AH107" i="1"/>
  <c r="W108" i="1"/>
  <c r="X108" i="1"/>
  <c r="Y108" i="1"/>
  <c r="Z108" i="1"/>
  <c r="AA108" i="1"/>
  <c r="AB108" i="1"/>
  <c r="AC108" i="1"/>
  <c r="AD108" i="1"/>
  <c r="AE108" i="1"/>
  <c r="AF108" i="1"/>
  <c r="AG108" i="1"/>
  <c r="AH108" i="1"/>
  <c r="AI108" i="1" s="1"/>
  <c r="W109" i="1"/>
  <c r="X109" i="1"/>
  <c r="Y109" i="1"/>
  <c r="Z109" i="1"/>
  <c r="AA109" i="1"/>
  <c r="AB109" i="1"/>
  <c r="AC109" i="1"/>
  <c r="AD109" i="1"/>
  <c r="AE109" i="1"/>
  <c r="AF109" i="1"/>
  <c r="AG109" i="1"/>
  <c r="AI109" i="1" s="1"/>
  <c r="AH109" i="1"/>
  <c r="W110" i="1"/>
  <c r="X110" i="1"/>
  <c r="Y110" i="1"/>
  <c r="Z110" i="1"/>
  <c r="AA110" i="1"/>
  <c r="AB110" i="1"/>
  <c r="AC110" i="1"/>
  <c r="AD110" i="1"/>
  <c r="AE110" i="1"/>
  <c r="AF110" i="1"/>
  <c r="AI110" i="1" s="1"/>
  <c r="AG110" i="1"/>
  <c r="AH110" i="1"/>
  <c r="W111" i="1"/>
  <c r="X111" i="1"/>
  <c r="Y111" i="1"/>
  <c r="Z111" i="1"/>
  <c r="AA111" i="1"/>
  <c r="AB111" i="1"/>
  <c r="AC111" i="1"/>
  <c r="AD111" i="1"/>
  <c r="AE111" i="1"/>
  <c r="AF111" i="1"/>
  <c r="AG111" i="1"/>
  <c r="AH111" i="1"/>
  <c r="W112" i="1"/>
  <c r="X112" i="1"/>
  <c r="Y112" i="1"/>
  <c r="Z112" i="1"/>
  <c r="AA112" i="1"/>
  <c r="AB112" i="1"/>
  <c r="AC112" i="1"/>
  <c r="AD112" i="1"/>
  <c r="AE112" i="1"/>
  <c r="AF112" i="1"/>
  <c r="AG112" i="1"/>
  <c r="AH112" i="1"/>
  <c r="W113" i="1"/>
  <c r="X113" i="1"/>
  <c r="Y113" i="1"/>
  <c r="Z113" i="1"/>
  <c r="AA113" i="1"/>
  <c r="AB113" i="1"/>
  <c r="AC113" i="1"/>
  <c r="AD113" i="1"/>
  <c r="AE113" i="1"/>
  <c r="AF113" i="1"/>
  <c r="AG113" i="1"/>
  <c r="AH113" i="1"/>
  <c r="W114" i="1"/>
  <c r="X114" i="1"/>
  <c r="Y114" i="1"/>
  <c r="Z114" i="1"/>
  <c r="AA114" i="1"/>
  <c r="AB114" i="1"/>
  <c r="AC114" i="1"/>
  <c r="AD114" i="1"/>
  <c r="AE114" i="1"/>
  <c r="AF114" i="1"/>
  <c r="AG114" i="1"/>
  <c r="AH114" i="1"/>
  <c r="W115" i="1"/>
  <c r="X115" i="1"/>
  <c r="Y115" i="1"/>
  <c r="Z115" i="1"/>
  <c r="AA115" i="1"/>
  <c r="AB115" i="1"/>
  <c r="AC115" i="1"/>
  <c r="AD115" i="1"/>
  <c r="AE115" i="1"/>
  <c r="AF115" i="1"/>
  <c r="AG115" i="1"/>
  <c r="AH115" i="1"/>
  <c r="W116" i="1"/>
  <c r="X116" i="1"/>
  <c r="Y116" i="1"/>
  <c r="Z116" i="1"/>
  <c r="AA116" i="1"/>
  <c r="AB116" i="1"/>
  <c r="AC116" i="1"/>
  <c r="AD116" i="1"/>
  <c r="AE116" i="1"/>
  <c r="AI116" i="1" s="1"/>
  <c r="AF116" i="1"/>
  <c r="AG116" i="1"/>
  <c r="AH116" i="1"/>
  <c r="W117" i="1"/>
  <c r="X117" i="1"/>
  <c r="Y117" i="1"/>
  <c r="Z117" i="1"/>
  <c r="AA117" i="1"/>
  <c r="AB117" i="1"/>
  <c r="AC117" i="1"/>
  <c r="AD117" i="1"/>
  <c r="AI117" i="1" s="1"/>
  <c r="AE117" i="1"/>
  <c r="AF117" i="1"/>
  <c r="AG117" i="1"/>
  <c r="AH117" i="1"/>
  <c r="W118" i="1"/>
  <c r="X118" i="1"/>
  <c r="Y118" i="1"/>
  <c r="Z118" i="1"/>
  <c r="AA118" i="1"/>
  <c r="AB118" i="1"/>
  <c r="AC118" i="1"/>
  <c r="AI118" i="1" s="1"/>
  <c r="AD118" i="1"/>
  <c r="AE118" i="1"/>
  <c r="AF118" i="1"/>
  <c r="AG118" i="1"/>
  <c r="AH118" i="1"/>
  <c r="W119" i="1"/>
  <c r="X119" i="1"/>
  <c r="Y119" i="1"/>
  <c r="Z119" i="1"/>
  <c r="AA119" i="1"/>
  <c r="AB119" i="1"/>
  <c r="AI119" i="1" s="1"/>
  <c r="AC119" i="1"/>
  <c r="AD119" i="1"/>
  <c r="AE119" i="1"/>
  <c r="AF119" i="1"/>
  <c r="AG119" i="1"/>
  <c r="AH119" i="1"/>
  <c r="W120" i="1"/>
  <c r="X120" i="1"/>
  <c r="Y120" i="1"/>
  <c r="Z120" i="1"/>
  <c r="AA120" i="1"/>
  <c r="AB120" i="1"/>
  <c r="AI120" i="1" s="1"/>
  <c r="AC120" i="1"/>
  <c r="AD120" i="1"/>
  <c r="AE120" i="1"/>
  <c r="AF120" i="1"/>
  <c r="AG120" i="1"/>
  <c r="AH120" i="1"/>
  <c r="X38" i="1"/>
  <c r="Y38" i="1"/>
  <c r="Z38" i="1"/>
  <c r="AA38" i="1"/>
  <c r="AB38" i="1"/>
  <c r="AC38" i="1"/>
  <c r="AD38" i="1"/>
  <c r="AE38" i="1"/>
  <c r="AF38" i="1"/>
  <c r="AG38" i="1"/>
  <c r="AH38" i="1"/>
  <c r="W38" i="1"/>
  <c r="X28" i="1"/>
  <c r="Y28" i="1"/>
  <c r="Z28" i="1"/>
  <c r="AA28" i="1"/>
  <c r="AB28" i="1"/>
  <c r="AC28" i="1"/>
  <c r="AC27" i="1" s="1"/>
  <c r="AC183" i="1" s="1"/>
  <c r="AD28" i="1"/>
  <c r="AD27" i="1" s="1"/>
  <c r="AD183" i="1" s="1"/>
  <c r="AE28" i="1"/>
  <c r="AF28" i="1"/>
  <c r="AG28" i="1"/>
  <c r="AH28" i="1"/>
  <c r="AH27" i="1" s="1"/>
  <c r="AH183" i="1" s="1"/>
  <c r="X29" i="1"/>
  <c r="Y29" i="1"/>
  <c r="Z29" i="1"/>
  <c r="AA29" i="1"/>
  <c r="AB29" i="1"/>
  <c r="AC29" i="1"/>
  <c r="AD29" i="1"/>
  <c r="AE29" i="1"/>
  <c r="AF29" i="1"/>
  <c r="AG29" i="1"/>
  <c r="AH29" i="1"/>
  <c r="X30" i="1"/>
  <c r="Y30" i="1"/>
  <c r="Y27" i="1" s="1"/>
  <c r="Y183" i="1" s="1"/>
  <c r="Z30" i="1"/>
  <c r="AA30" i="1"/>
  <c r="AB30" i="1"/>
  <c r="AC30" i="1"/>
  <c r="AD30" i="1"/>
  <c r="AE30" i="1"/>
  <c r="AF30" i="1"/>
  <c r="AG30" i="1"/>
  <c r="AH30" i="1"/>
  <c r="X31" i="1"/>
  <c r="Y31" i="1"/>
  <c r="Z31" i="1"/>
  <c r="Z27" i="1" s="1"/>
  <c r="Z183" i="1" s="1"/>
  <c r="AA31" i="1"/>
  <c r="AB31" i="1"/>
  <c r="AC31" i="1"/>
  <c r="AD31" i="1"/>
  <c r="AE31" i="1"/>
  <c r="AF31" i="1"/>
  <c r="AG31" i="1"/>
  <c r="AH31" i="1"/>
  <c r="X32" i="1"/>
  <c r="Y32" i="1"/>
  <c r="Z32" i="1"/>
  <c r="AA32" i="1"/>
  <c r="AA27" i="1" s="1"/>
  <c r="AA183" i="1" s="1"/>
  <c r="AB32" i="1"/>
  <c r="AC32" i="1"/>
  <c r="AD32" i="1"/>
  <c r="AE32" i="1"/>
  <c r="AF32" i="1"/>
  <c r="AG32" i="1"/>
  <c r="AH32" i="1"/>
  <c r="X33" i="1"/>
  <c r="Y33" i="1"/>
  <c r="Z33" i="1"/>
  <c r="AA33" i="1"/>
  <c r="AB33" i="1"/>
  <c r="AB27" i="1" s="1"/>
  <c r="AB183" i="1" s="1"/>
  <c r="AC33" i="1"/>
  <c r="AD33" i="1"/>
  <c r="AE33" i="1"/>
  <c r="AF33" i="1"/>
  <c r="AG33" i="1"/>
  <c r="AH33" i="1"/>
  <c r="X34" i="1"/>
  <c r="Y34" i="1"/>
  <c r="Z34" i="1"/>
  <c r="AA34" i="1"/>
  <c r="AB34" i="1"/>
  <c r="AC34" i="1"/>
  <c r="AD34" i="1"/>
  <c r="AE34" i="1"/>
  <c r="AF34" i="1"/>
  <c r="AG34" i="1"/>
  <c r="AH34" i="1"/>
  <c r="X35" i="1"/>
  <c r="AI35" i="1" s="1"/>
  <c r="Y35" i="1"/>
  <c r="Z35" i="1"/>
  <c r="AA35" i="1"/>
  <c r="AB35" i="1"/>
  <c r="AC35" i="1"/>
  <c r="AD35" i="1"/>
  <c r="AE35" i="1"/>
  <c r="AF35" i="1"/>
  <c r="AG35" i="1"/>
  <c r="AH35" i="1"/>
  <c r="X36" i="1"/>
  <c r="Y36" i="1"/>
  <c r="AI36" i="1" s="1"/>
  <c r="Z36" i="1"/>
  <c r="AA36" i="1"/>
  <c r="AB36" i="1"/>
  <c r="AC36" i="1"/>
  <c r="AD36" i="1"/>
  <c r="AE36" i="1"/>
  <c r="AF36" i="1"/>
  <c r="AG36" i="1"/>
  <c r="AH36" i="1"/>
  <c r="W29" i="1"/>
  <c r="W30" i="1"/>
  <c r="W31" i="1"/>
  <c r="W32" i="1"/>
  <c r="W33" i="1"/>
  <c r="W34" i="1"/>
  <c r="W35" i="1"/>
  <c r="W36" i="1"/>
  <c r="W28" i="1"/>
  <c r="U123" i="1"/>
  <c r="U124" i="1"/>
  <c r="U125" i="1"/>
  <c r="U126" i="1"/>
  <c r="U127" i="1"/>
  <c r="U128" i="1"/>
  <c r="U129" i="1"/>
  <c r="U130" i="1"/>
  <c r="U131" i="1"/>
  <c r="U133" i="1"/>
  <c r="U134" i="1"/>
  <c r="U135" i="1"/>
  <c r="U138" i="1"/>
  <c r="U139" i="1"/>
  <c r="U140" i="1"/>
  <c r="U141" i="1"/>
  <c r="U142" i="1"/>
  <c r="U143" i="1"/>
  <c r="U144" i="1"/>
  <c r="U145" i="1"/>
  <c r="U160" i="1"/>
  <c r="U161" i="1"/>
  <c r="U162" i="1"/>
  <c r="U163" i="1"/>
  <c r="U164" i="1"/>
  <c r="U165" i="1"/>
  <c r="U166" i="1"/>
  <c r="U167" i="1"/>
  <c r="U168" i="1"/>
  <c r="U171" i="1"/>
  <c r="U172" i="1"/>
  <c r="U173" i="1"/>
  <c r="U3" i="1"/>
  <c r="U6" i="1"/>
  <c r="U7" i="1"/>
  <c r="U8" i="1"/>
  <c r="U10" i="1"/>
  <c r="U11" i="1"/>
  <c r="U12" i="1"/>
  <c r="U14" i="1"/>
  <c r="U15" i="1"/>
  <c r="U16" i="1"/>
  <c r="U17" i="1"/>
  <c r="U21" i="1"/>
  <c r="X15" i="1"/>
  <c r="Y15" i="1"/>
  <c r="Z15" i="1"/>
  <c r="AA15" i="1"/>
  <c r="AB15" i="1"/>
  <c r="AC15" i="1"/>
  <c r="AD15" i="1"/>
  <c r="AE15" i="1"/>
  <c r="AF15" i="1"/>
  <c r="AG15" i="1"/>
  <c r="AH15" i="1"/>
  <c r="X16" i="1"/>
  <c r="Y16" i="1"/>
  <c r="Z16" i="1"/>
  <c r="AA16" i="1"/>
  <c r="AB16" i="1"/>
  <c r="AC16" i="1"/>
  <c r="AD16" i="1"/>
  <c r="AE16" i="1"/>
  <c r="AF16" i="1"/>
  <c r="AG16" i="1"/>
  <c r="AH16" i="1"/>
  <c r="X17" i="1"/>
  <c r="Y17" i="1"/>
  <c r="Z17" i="1"/>
  <c r="AA17" i="1"/>
  <c r="AB17" i="1"/>
  <c r="AC17" i="1"/>
  <c r="AD17" i="1"/>
  <c r="AE17" i="1"/>
  <c r="AF17" i="1"/>
  <c r="AG17" i="1"/>
  <c r="AH17" i="1"/>
  <c r="W17" i="1"/>
  <c r="W16" i="1"/>
  <c r="W15" i="1"/>
  <c r="P998" i="5"/>
  <c r="X3" i="1"/>
  <c r="Y3" i="1"/>
  <c r="Z3" i="1"/>
  <c r="AA3" i="1"/>
  <c r="AB3" i="1"/>
  <c r="AC3" i="1"/>
  <c r="AD3" i="1"/>
  <c r="AE3" i="1"/>
  <c r="AF3" i="1"/>
  <c r="AG3" i="1"/>
  <c r="AH3" i="1"/>
  <c r="W3" i="1"/>
  <c r="AR997" i="5"/>
  <c r="AS997" i="5"/>
  <c r="AT997" i="5"/>
  <c r="AU997" i="5"/>
  <c r="AV997" i="5"/>
  <c r="AW997" i="5"/>
  <c r="AX997" i="5"/>
  <c r="AY997" i="5"/>
  <c r="AZ997" i="5"/>
  <c r="BA997" i="5"/>
  <c r="BB997" i="5"/>
  <c r="BB1000" i="5" s="1"/>
  <c r="AQ997" i="5"/>
  <c r="AP997" i="5"/>
  <c r="AP998" i="5"/>
  <c r="AP999" i="5"/>
  <c r="AQ1000" i="5"/>
  <c r="AQ998" i="5"/>
  <c r="AR998" i="5"/>
  <c r="AS998" i="5"/>
  <c r="AT998" i="5"/>
  <c r="AU998" i="5"/>
  <c r="AV998" i="5"/>
  <c r="AW998" i="5"/>
  <c r="AX998" i="5"/>
  <c r="AY998" i="5"/>
  <c r="AZ998" i="5"/>
  <c r="BA998" i="5"/>
  <c r="BB998" i="5"/>
  <c r="AQ999" i="5"/>
  <c r="AR999" i="5"/>
  <c r="AS999" i="5"/>
  <c r="AT999" i="5"/>
  <c r="AU999" i="5"/>
  <c r="AV999" i="5"/>
  <c r="AW999" i="5"/>
  <c r="AX999" i="5"/>
  <c r="AX1000" i="5" s="1"/>
  <c r="AY999" i="5"/>
  <c r="AZ999" i="5"/>
  <c r="BA999" i="5"/>
  <c r="BB999" i="5"/>
  <c r="AR1000" i="5"/>
  <c r="AS1000" i="5"/>
  <c r="AT1000" i="5"/>
  <c r="AU1000" i="5"/>
  <c r="AV1000" i="5"/>
  <c r="AW1000" i="5"/>
  <c r="AZ1000" i="5"/>
  <c r="BA1000" i="5"/>
  <c r="AP1000" i="5"/>
  <c r="C1000" i="5"/>
  <c r="BO3" i="5"/>
  <c r="BO30" i="5"/>
  <c r="BO31" i="5"/>
  <c r="BO32" i="5"/>
  <c r="BO33" i="5"/>
  <c r="BO34" i="5"/>
  <c r="BO35" i="5"/>
  <c r="BO36" i="5"/>
  <c r="BO37" i="5"/>
  <c r="BO38" i="5"/>
  <c r="BO39" i="5"/>
  <c r="BO40" i="5"/>
  <c r="BO41" i="5"/>
  <c r="BO42" i="5"/>
  <c r="BO43" i="5"/>
  <c r="BO44" i="5"/>
  <c r="BO45" i="5"/>
  <c r="BO46" i="5"/>
  <c r="BO47" i="5"/>
  <c r="BO48" i="5"/>
  <c r="BO49" i="5"/>
  <c r="BO50" i="5"/>
  <c r="BO51" i="5"/>
  <c r="BO52" i="5"/>
  <c r="BO53" i="5"/>
  <c r="BO54" i="5"/>
  <c r="BO55" i="5"/>
  <c r="BO56" i="5"/>
  <c r="BO57" i="5"/>
  <c r="BO58" i="5"/>
  <c r="BO59" i="5"/>
  <c r="BO60" i="5"/>
  <c r="BO61" i="5"/>
  <c r="BO62" i="5"/>
  <c r="BO63" i="5"/>
  <c r="BO64" i="5"/>
  <c r="BO65" i="5"/>
  <c r="BO66" i="5"/>
  <c r="BO67" i="5"/>
  <c r="BO68" i="5"/>
  <c r="BO69" i="5"/>
  <c r="BO70" i="5"/>
  <c r="BO71" i="5"/>
  <c r="BO72" i="5"/>
  <c r="BO73" i="5"/>
  <c r="BO74" i="5"/>
  <c r="BO75" i="5"/>
  <c r="BO13" i="5"/>
  <c r="BO14" i="5"/>
  <c r="BO15" i="5"/>
  <c r="BO16" i="5"/>
  <c r="BO17" i="5"/>
  <c r="BO18" i="5"/>
  <c r="BO19" i="5"/>
  <c r="BO20" i="5"/>
  <c r="BO21" i="5"/>
  <c r="BO22" i="5"/>
  <c r="BO23" i="5"/>
  <c r="BO24" i="5"/>
  <c r="BO25" i="5"/>
  <c r="BO26" i="5"/>
  <c r="BO27" i="5"/>
  <c r="BO28" i="5"/>
  <c r="BO29" i="5"/>
  <c r="BO4" i="5"/>
  <c r="BO5" i="5"/>
  <c r="BO6" i="5"/>
  <c r="BO7" i="5"/>
  <c r="BO8" i="5"/>
  <c r="BO9" i="5"/>
  <c r="BO10" i="5"/>
  <c r="BO11" i="5"/>
  <c r="BO12" i="5"/>
  <c r="AP4" i="5"/>
  <c r="AP5" i="5"/>
  <c r="AP6" i="5"/>
  <c r="AP7" i="5"/>
  <c r="AP8" i="5"/>
  <c r="AP9" i="5"/>
  <c r="AP10" i="5"/>
  <c r="AP11" i="5"/>
  <c r="AP12" i="5"/>
  <c r="AP13" i="5"/>
  <c r="AP14" i="5"/>
  <c r="AP15" i="5"/>
  <c r="AP16" i="5"/>
  <c r="AP17" i="5"/>
  <c r="AP18" i="5"/>
  <c r="AP19" i="5"/>
  <c r="AP20" i="5"/>
  <c r="AP21" i="5"/>
  <c r="AP22" i="5"/>
  <c r="AP23" i="5"/>
  <c r="AP24" i="5"/>
  <c r="AP25" i="5"/>
  <c r="AP26" i="5"/>
  <c r="AP27" i="5"/>
  <c r="AP28" i="5"/>
  <c r="AP29" i="5"/>
  <c r="AP30" i="5"/>
  <c r="AP31" i="5"/>
  <c r="AP32" i="5"/>
  <c r="AP33" i="5"/>
  <c r="AP34" i="5"/>
  <c r="E34" i="5" s="1"/>
  <c r="AP35" i="5"/>
  <c r="AP36" i="5"/>
  <c r="AP37" i="5"/>
  <c r="AP38" i="5"/>
  <c r="AP39" i="5"/>
  <c r="AP40" i="5"/>
  <c r="AP41" i="5"/>
  <c r="AP42" i="5"/>
  <c r="E42" i="5" s="1"/>
  <c r="AP43" i="5"/>
  <c r="AP44" i="5"/>
  <c r="AP45" i="5"/>
  <c r="AP46" i="5"/>
  <c r="AP47" i="5"/>
  <c r="AP48" i="5"/>
  <c r="AP49" i="5"/>
  <c r="AP50" i="5"/>
  <c r="AP51" i="5"/>
  <c r="AP52" i="5"/>
  <c r="AP53" i="5"/>
  <c r="AP54" i="5"/>
  <c r="AP55" i="5"/>
  <c r="AP56" i="5"/>
  <c r="AP57" i="5"/>
  <c r="AP58" i="5"/>
  <c r="AP59" i="5"/>
  <c r="AP60" i="5"/>
  <c r="AP61" i="5"/>
  <c r="AP62" i="5"/>
  <c r="AP63" i="5"/>
  <c r="AP64" i="5"/>
  <c r="AP65" i="5"/>
  <c r="AP66" i="5"/>
  <c r="AP67" i="5"/>
  <c r="AP68" i="5"/>
  <c r="AP69" i="5"/>
  <c r="AP70" i="5"/>
  <c r="AP71" i="5"/>
  <c r="AP72" i="5"/>
  <c r="AP73" i="5"/>
  <c r="AP74" i="5"/>
  <c r="AP75" i="5"/>
  <c r="AP76" i="5"/>
  <c r="AP77" i="5"/>
  <c r="AP78" i="5"/>
  <c r="AP79" i="5"/>
  <c r="AP80" i="5"/>
  <c r="AP81" i="5"/>
  <c r="AP82" i="5"/>
  <c r="AP83" i="5"/>
  <c r="AP84" i="5"/>
  <c r="AP85" i="5"/>
  <c r="AP86" i="5"/>
  <c r="AP87" i="5"/>
  <c r="AP88" i="5"/>
  <c r="AP89" i="5"/>
  <c r="AP90" i="5"/>
  <c r="AP91" i="5"/>
  <c r="AP92" i="5"/>
  <c r="AP93" i="5"/>
  <c r="AP94" i="5"/>
  <c r="AP95" i="5"/>
  <c r="AP96" i="5"/>
  <c r="AP97" i="5"/>
  <c r="AP98" i="5"/>
  <c r="AP99" i="5"/>
  <c r="AP100" i="5"/>
  <c r="AP101" i="5"/>
  <c r="AP102" i="5"/>
  <c r="E102" i="5" s="1"/>
  <c r="AP103" i="5"/>
  <c r="AP104" i="5"/>
  <c r="AP105" i="5"/>
  <c r="AP106" i="5"/>
  <c r="AP107" i="5"/>
  <c r="AP108" i="5"/>
  <c r="AP109" i="5"/>
  <c r="AP110" i="5"/>
  <c r="AP111" i="5"/>
  <c r="AP112" i="5"/>
  <c r="AP113" i="5"/>
  <c r="AP114" i="5"/>
  <c r="AP115" i="5"/>
  <c r="AP116" i="5"/>
  <c r="AP117" i="5"/>
  <c r="AP118" i="5"/>
  <c r="AP119" i="5"/>
  <c r="AP120" i="5"/>
  <c r="AP121" i="5"/>
  <c r="AP122" i="5"/>
  <c r="AP123" i="5"/>
  <c r="AP124" i="5"/>
  <c r="AP125" i="5"/>
  <c r="AP126" i="5"/>
  <c r="AP127" i="5"/>
  <c r="AP128" i="5"/>
  <c r="AP129" i="5"/>
  <c r="AP130" i="5"/>
  <c r="AE130" i="5" s="1"/>
  <c r="AP131" i="5"/>
  <c r="AP132" i="5"/>
  <c r="AP133" i="5"/>
  <c r="AP134" i="5"/>
  <c r="AP135" i="5"/>
  <c r="AP136" i="5"/>
  <c r="AP137" i="5"/>
  <c r="AP138" i="5"/>
  <c r="AP139" i="5"/>
  <c r="AP140" i="5"/>
  <c r="AP141" i="5"/>
  <c r="AP142" i="5"/>
  <c r="AP143" i="5"/>
  <c r="AP144" i="5"/>
  <c r="AP145" i="5"/>
  <c r="AP146" i="5"/>
  <c r="AP147" i="5"/>
  <c r="AP148" i="5"/>
  <c r="AP149" i="5"/>
  <c r="AP150" i="5"/>
  <c r="AP151" i="5"/>
  <c r="AP152" i="5"/>
  <c r="AP153" i="5"/>
  <c r="AP154" i="5"/>
  <c r="AP155" i="5"/>
  <c r="AP156" i="5"/>
  <c r="AP157" i="5"/>
  <c r="AP158" i="5"/>
  <c r="AP159" i="5"/>
  <c r="AP160" i="5"/>
  <c r="AP161" i="5"/>
  <c r="AP162" i="5"/>
  <c r="AP163" i="5"/>
  <c r="AP164" i="5"/>
  <c r="AP165" i="5"/>
  <c r="AP166" i="5"/>
  <c r="AP167" i="5"/>
  <c r="AP168" i="5"/>
  <c r="AP169" i="5"/>
  <c r="AP170" i="5"/>
  <c r="AP171" i="5"/>
  <c r="AP172" i="5"/>
  <c r="AP173" i="5"/>
  <c r="AP174" i="5"/>
  <c r="AP175" i="5"/>
  <c r="AP176" i="5"/>
  <c r="AP177" i="5"/>
  <c r="AP178" i="5"/>
  <c r="AP179" i="5"/>
  <c r="AP180" i="5"/>
  <c r="AP181" i="5"/>
  <c r="AP182" i="5"/>
  <c r="AP183" i="5"/>
  <c r="AP184" i="5"/>
  <c r="AP185" i="5"/>
  <c r="AP186" i="5"/>
  <c r="R186" i="5" s="1"/>
  <c r="AP187" i="5"/>
  <c r="AP188" i="5"/>
  <c r="AP189" i="5"/>
  <c r="AP190" i="5"/>
  <c r="AP191" i="5"/>
  <c r="AP192" i="5"/>
  <c r="AP193" i="5"/>
  <c r="AP194" i="5"/>
  <c r="AP195" i="5"/>
  <c r="AP196" i="5"/>
  <c r="AP197" i="5"/>
  <c r="AP198" i="5"/>
  <c r="AP199" i="5"/>
  <c r="AP200" i="5"/>
  <c r="AP201" i="5"/>
  <c r="AP202" i="5"/>
  <c r="AE202" i="5" s="1"/>
  <c r="AP203" i="5"/>
  <c r="AP204" i="5"/>
  <c r="AP205" i="5"/>
  <c r="AP206" i="5"/>
  <c r="AP207" i="5"/>
  <c r="AP208" i="5"/>
  <c r="AP209" i="5"/>
  <c r="AP210" i="5"/>
  <c r="AP211" i="5"/>
  <c r="AP212" i="5"/>
  <c r="AP213" i="5"/>
  <c r="AP214" i="5"/>
  <c r="AP215" i="5"/>
  <c r="AP216" i="5"/>
  <c r="AP217" i="5"/>
  <c r="AP218" i="5"/>
  <c r="AP219" i="5"/>
  <c r="AP220" i="5"/>
  <c r="AP221" i="5"/>
  <c r="AP222" i="5"/>
  <c r="AP223" i="5"/>
  <c r="AP224" i="5"/>
  <c r="AP225" i="5"/>
  <c r="AP226" i="5"/>
  <c r="AE226" i="5" s="1"/>
  <c r="AP227" i="5"/>
  <c r="AP228" i="5"/>
  <c r="AP229" i="5"/>
  <c r="AP230" i="5"/>
  <c r="AP231" i="5"/>
  <c r="AP232" i="5"/>
  <c r="AP233" i="5"/>
  <c r="AP234" i="5"/>
  <c r="AP235" i="5"/>
  <c r="AP236" i="5"/>
  <c r="AP237" i="5"/>
  <c r="AP238" i="5"/>
  <c r="AP239" i="5"/>
  <c r="AP240" i="5"/>
  <c r="AP241" i="5"/>
  <c r="AP242" i="5"/>
  <c r="AP243" i="5"/>
  <c r="AP244" i="5"/>
  <c r="AP245" i="5"/>
  <c r="AP246" i="5"/>
  <c r="AP247" i="5"/>
  <c r="AP248" i="5"/>
  <c r="AP249" i="5"/>
  <c r="AP250" i="5"/>
  <c r="AP251" i="5"/>
  <c r="AP252" i="5"/>
  <c r="AP253" i="5"/>
  <c r="AP254" i="5"/>
  <c r="AP255" i="5"/>
  <c r="AP256" i="5"/>
  <c r="AP257" i="5"/>
  <c r="AP258" i="5"/>
  <c r="AP259" i="5"/>
  <c r="AP260" i="5"/>
  <c r="AP261" i="5"/>
  <c r="AP262" i="5"/>
  <c r="AP263" i="5"/>
  <c r="AP264" i="5"/>
  <c r="AP265" i="5"/>
  <c r="AP266" i="5"/>
  <c r="AP267" i="5"/>
  <c r="AP268" i="5"/>
  <c r="AP269" i="5"/>
  <c r="AP270" i="5"/>
  <c r="AE270" i="5" s="1"/>
  <c r="AP271" i="5"/>
  <c r="AP272" i="5"/>
  <c r="AP273" i="5"/>
  <c r="AE273" i="5" s="1"/>
  <c r="AP274" i="5"/>
  <c r="AP275" i="5"/>
  <c r="AP276" i="5"/>
  <c r="AP277" i="5"/>
  <c r="AP278" i="5"/>
  <c r="AP279" i="5"/>
  <c r="AP280" i="5"/>
  <c r="AP281" i="5"/>
  <c r="AP282" i="5"/>
  <c r="AE282" i="5" s="1"/>
  <c r="AP283" i="5"/>
  <c r="AP284" i="5"/>
  <c r="AP285" i="5"/>
  <c r="AE285" i="5" s="1"/>
  <c r="AP286" i="5"/>
  <c r="AP287" i="5"/>
  <c r="AP288" i="5"/>
  <c r="AP289" i="5"/>
  <c r="AP290" i="5"/>
  <c r="AP291" i="5"/>
  <c r="AP292" i="5"/>
  <c r="AP293" i="5"/>
  <c r="AP294" i="5"/>
  <c r="AP295" i="5"/>
  <c r="AP296" i="5"/>
  <c r="AP297" i="5"/>
  <c r="AP298" i="5"/>
  <c r="E298" i="5" s="1"/>
  <c r="AP299" i="5"/>
  <c r="AP300" i="5"/>
  <c r="AP301" i="5"/>
  <c r="AP302" i="5"/>
  <c r="AP303" i="5"/>
  <c r="AP304" i="5"/>
  <c r="AP305" i="5"/>
  <c r="AP306" i="5"/>
  <c r="AE306" i="5" s="1"/>
  <c r="AP307" i="5"/>
  <c r="AP308" i="5"/>
  <c r="AP309" i="5"/>
  <c r="AP310" i="5"/>
  <c r="AP311" i="5"/>
  <c r="AP312" i="5"/>
  <c r="AP313" i="5"/>
  <c r="AP314" i="5"/>
  <c r="AP315" i="5"/>
  <c r="AP316" i="5"/>
  <c r="AP317" i="5"/>
  <c r="AP318" i="5"/>
  <c r="AP319" i="5"/>
  <c r="AP320" i="5"/>
  <c r="AP321" i="5"/>
  <c r="AE321" i="5" s="1"/>
  <c r="AP322" i="5"/>
  <c r="AE322" i="5" s="1"/>
  <c r="AP323" i="5"/>
  <c r="AP324" i="5"/>
  <c r="AP325" i="5"/>
  <c r="AP326" i="5"/>
  <c r="AP327" i="5"/>
  <c r="AP328" i="5"/>
  <c r="AP329" i="5"/>
  <c r="AP330" i="5"/>
  <c r="AP331" i="5"/>
  <c r="AP332" i="5"/>
  <c r="AP333" i="5"/>
  <c r="AP334" i="5"/>
  <c r="AP335" i="5"/>
  <c r="AP336" i="5"/>
  <c r="AP337" i="5"/>
  <c r="AP338" i="5"/>
  <c r="AP339" i="5"/>
  <c r="AP340" i="5"/>
  <c r="AP341" i="5"/>
  <c r="AP342" i="5"/>
  <c r="AE342" i="5" s="1"/>
  <c r="AP343" i="5"/>
  <c r="AP344" i="5"/>
  <c r="AP345" i="5"/>
  <c r="AE345" i="5" s="1"/>
  <c r="AP346" i="5"/>
  <c r="AP347" i="5"/>
  <c r="AP348" i="5"/>
  <c r="AP349" i="5"/>
  <c r="AP350" i="5"/>
  <c r="AP351" i="5"/>
  <c r="AP352" i="5"/>
  <c r="AP353" i="5"/>
  <c r="AP354" i="5"/>
  <c r="AE354" i="5" s="1"/>
  <c r="AP355" i="5"/>
  <c r="AP356" i="5"/>
  <c r="AP357" i="5"/>
  <c r="AP358" i="5"/>
  <c r="AP359" i="5"/>
  <c r="AP360" i="5"/>
  <c r="AP361" i="5"/>
  <c r="AP362" i="5"/>
  <c r="AP363" i="5"/>
  <c r="AP364" i="5"/>
  <c r="AP365" i="5"/>
  <c r="AP366" i="5"/>
  <c r="AP367" i="5"/>
  <c r="AP368" i="5"/>
  <c r="AP369" i="5"/>
  <c r="AP370" i="5"/>
  <c r="AE370" i="5" s="1"/>
  <c r="AP371" i="5"/>
  <c r="AP372" i="5"/>
  <c r="AP373" i="5"/>
  <c r="AP374" i="5"/>
  <c r="AP375" i="5"/>
  <c r="AP376" i="5"/>
  <c r="AP377" i="5"/>
  <c r="AP378" i="5"/>
  <c r="E378" i="5" s="1"/>
  <c r="AP379" i="5"/>
  <c r="AP380" i="5"/>
  <c r="AP381" i="5"/>
  <c r="AE381" i="5" s="1"/>
  <c r="AP382" i="5"/>
  <c r="R382" i="5" s="1"/>
  <c r="AP383" i="5"/>
  <c r="AP384" i="5"/>
  <c r="AP385" i="5"/>
  <c r="AP386" i="5"/>
  <c r="AP387" i="5"/>
  <c r="AP388" i="5"/>
  <c r="AP389" i="5"/>
  <c r="AP390" i="5"/>
  <c r="AP391" i="5"/>
  <c r="AP392" i="5"/>
  <c r="AP393" i="5"/>
  <c r="AP394" i="5"/>
  <c r="Z394" i="5" s="1"/>
  <c r="AP395" i="5"/>
  <c r="AP396" i="5"/>
  <c r="AP397" i="5"/>
  <c r="AP398" i="5"/>
  <c r="AP399" i="5"/>
  <c r="AP400" i="5"/>
  <c r="AP401" i="5"/>
  <c r="AP402" i="5"/>
  <c r="AM402" i="5" s="1"/>
  <c r="AP403" i="5"/>
  <c r="AP404" i="5"/>
  <c r="AP405" i="5"/>
  <c r="AP406" i="5"/>
  <c r="AP407" i="5"/>
  <c r="AP408" i="5"/>
  <c r="AP409" i="5"/>
  <c r="AP410" i="5"/>
  <c r="AP411" i="5"/>
  <c r="AP412" i="5"/>
  <c r="AP413" i="5"/>
  <c r="AP414" i="5"/>
  <c r="AP415" i="5"/>
  <c r="AP416" i="5"/>
  <c r="AP417" i="5"/>
  <c r="AP418" i="5"/>
  <c r="AP419" i="5"/>
  <c r="AP420" i="5"/>
  <c r="AP421" i="5"/>
  <c r="AP422" i="5"/>
  <c r="AP423" i="5"/>
  <c r="AP424" i="5"/>
  <c r="AP425" i="5"/>
  <c r="AP426" i="5"/>
  <c r="AM426" i="5" s="1"/>
  <c r="AP427" i="5"/>
  <c r="AP428" i="5"/>
  <c r="AP429" i="5"/>
  <c r="AP430" i="5"/>
  <c r="AP431" i="5"/>
  <c r="AP432" i="5"/>
  <c r="AP433" i="5"/>
  <c r="AP434" i="5"/>
  <c r="AP435" i="5"/>
  <c r="AP436" i="5"/>
  <c r="AP437" i="5"/>
  <c r="AP438" i="5"/>
  <c r="AP439" i="5"/>
  <c r="AP440" i="5"/>
  <c r="AP441" i="5"/>
  <c r="AP442" i="5"/>
  <c r="Z442" i="5" s="1"/>
  <c r="AP443" i="5"/>
  <c r="AP444" i="5"/>
  <c r="AP445" i="5"/>
  <c r="AP446" i="5"/>
  <c r="AP447" i="5"/>
  <c r="AP448" i="5"/>
  <c r="AP449" i="5"/>
  <c r="AP450" i="5"/>
  <c r="AP451" i="5"/>
  <c r="AP452" i="5"/>
  <c r="AP453" i="5"/>
  <c r="AP454" i="5"/>
  <c r="AP455" i="5"/>
  <c r="AP456" i="5"/>
  <c r="AP457" i="5"/>
  <c r="AP458" i="5"/>
  <c r="AP459" i="5"/>
  <c r="AP460" i="5"/>
  <c r="AP461" i="5"/>
  <c r="AP462" i="5"/>
  <c r="AM462" i="5" s="1"/>
  <c r="AP463" i="5"/>
  <c r="AP464" i="5"/>
  <c r="AP465" i="5"/>
  <c r="AP466" i="5"/>
  <c r="AP467" i="5"/>
  <c r="AP468" i="5"/>
  <c r="AP469" i="5"/>
  <c r="AP470" i="5"/>
  <c r="AP471" i="5"/>
  <c r="AP472" i="5"/>
  <c r="AP473" i="5"/>
  <c r="AP474" i="5"/>
  <c r="AP475" i="5"/>
  <c r="AP476" i="5"/>
  <c r="AP477" i="5"/>
  <c r="AP478" i="5"/>
  <c r="AM478" i="5" s="1"/>
  <c r="AP479" i="5"/>
  <c r="AP480" i="5"/>
  <c r="AP481" i="5"/>
  <c r="AP482" i="5"/>
  <c r="AP483" i="5"/>
  <c r="AP484" i="5"/>
  <c r="AP485" i="5"/>
  <c r="AP486" i="5"/>
  <c r="AP487" i="5"/>
  <c r="AP488" i="5"/>
  <c r="AP489" i="5"/>
  <c r="AP490" i="5"/>
  <c r="AP491" i="5"/>
  <c r="AP492" i="5"/>
  <c r="AP493" i="5"/>
  <c r="AP494" i="5"/>
  <c r="AP495" i="5"/>
  <c r="AP496" i="5"/>
  <c r="AP497" i="5"/>
  <c r="AP498" i="5"/>
  <c r="AP499" i="5"/>
  <c r="AP500" i="5"/>
  <c r="AP501" i="5"/>
  <c r="AP502" i="5"/>
  <c r="AP503" i="5"/>
  <c r="AP504" i="5"/>
  <c r="AP505" i="5"/>
  <c r="AP506" i="5"/>
  <c r="AP507" i="5"/>
  <c r="AP508" i="5"/>
  <c r="AP509" i="5"/>
  <c r="AP510" i="5"/>
  <c r="AP511" i="5"/>
  <c r="AP512" i="5"/>
  <c r="AP513" i="5"/>
  <c r="AP514" i="5"/>
  <c r="AP515" i="5"/>
  <c r="AP516" i="5"/>
  <c r="AP517" i="5"/>
  <c r="AP518" i="5"/>
  <c r="AP519" i="5"/>
  <c r="AP520" i="5"/>
  <c r="AP521" i="5"/>
  <c r="AP522" i="5"/>
  <c r="AP523" i="5"/>
  <c r="AP524" i="5"/>
  <c r="AP525" i="5"/>
  <c r="AP526" i="5"/>
  <c r="AP527" i="5"/>
  <c r="AP528" i="5"/>
  <c r="AP529" i="5"/>
  <c r="AP530" i="5"/>
  <c r="AP531" i="5"/>
  <c r="AP532" i="5"/>
  <c r="AP533" i="5"/>
  <c r="AP534" i="5"/>
  <c r="AP535" i="5"/>
  <c r="AP536" i="5"/>
  <c r="AP537" i="5"/>
  <c r="AP538" i="5"/>
  <c r="AP539" i="5"/>
  <c r="AP540" i="5"/>
  <c r="AP541" i="5"/>
  <c r="AP542" i="5"/>
  <c r="AP543" i="5"/>
  <c r="AP544" i="5"/>
  <c r="AP545" i="5"/>
  <c r="AP546" i="5"/>
  <c r="AP547" i="5"/>
  <c r="AP548" i="5"/>
  <c r="AP549" i="5"/>
  <c r="AP550" i="5"/>
  <c r="AP551" i="5"/>
  <c r="AP552" i="5"/>
  <c r="AP553" i="5"/>
  <c r="AP554" i="5"/>
  <c r="AP555" i="5"/>
  <c r="AP556" i="5"/>
  <c r="AP557" i="5"/>
  <c r="AP558" i="5"/>
  <c r="AP559" i="5"/>
  <c r="AP560" i="5"/>
  <c r="AP561" i="5"/>
  <c r="AP562" i="5"/>
  <c r="AP563" i="5"/>
  <c r="AP564" i="5"/>
  <c r="AP565" i="5"/>
  <c r="AP566" i="5"/>
  <c r="AP567" i="5"/>
  <c r="AP568" i="5"/>
  <c r="AP569" i="5"/>
  <c r="AP570" i="5"/>
  <c r="AP571" i="5"/>
  <c r="AP572" i="5"/>
  <c r="AP573" i="5"/>
  <c r="AP574" i="5"/>
  <c r="AP575" i="5"/>
  <c r="AP576" i="5"/>
  <c r="AP577" i="5"/>
  <c r="AP578" i="5"/>
  <c r="AP579" i="5"/>
  <c r="AP580" i="5"/>
  <c r="AP581" i="5"/>
  <c r="AP582" i="5"/>
  <c r="AP583" i="5"/>
  <c r="AP584" i="5"/>
  <c r="AP585" i="5"/>
  <c r="AP586" i="5"/>
  <c r="AP587" i="5"/>
  <c r="AP588" i="5"/>
  <c r="AP589" i="5"/>
  <c r="AP590" i="5"/>
  <c r="AP591" i="5"/>
  <c r="AP592" i="5"/>
  <c r="AP593" i="5"/>
  <c r="AP594" i="5"/>
  <c r="AP595" i="5"/>
  <c r="AP596" i="5"/>
  <c r="AP597" i="5"/>
  <c r="AP598" i="5"/>
  <c r="AP599" i="5"/>
  <c r="AP600" i="5"/>
  <c r="AP601" i="5"/>
  <c r="AP602" i="5"/>
  <c r="AP603" i="5"/>
  <c r="AP604" i="5"/>
  <c r="AP605" i="5"/>
  <c r="AP606" i="5"/>
  <c r="AP607" i="5"/>
  <c r="AP608" i="5"/>
  <c r="AP609" i="5"/>
  <c r="AP610" i="5"/>
  <c r="AP611" i="5"/>
  <c r="AP612" i="5"/>
  <c r="AP613" i="5"/>
  <c r="AP614" i="5"/>
  <c r="AP615" i="5"/>
  <c r="AP616" i="5"/>
  <c r="AP617" i="5"/>
  <c r="AP618" i="5"/>
  <c r="AP619" i="5"/>
  <c r="AP620" i="5"/>
  <c r="AP621" i="5"/>
  <c r="AP622" i="5"/>
  <c r="AP623" i="5"/>
  <c r="AP624" i="5"/>
  <c r="AP625" i="5"/>
  <c r="AP626" i="5"/>
  <c r="AP627" i="5"/>
  <c r="AP628" i="5"/>
  <c r="AP629" i="5"/>
  <c r="AP630" i="5"/>
  <c r="AP631" i="5"/>
  <c r="AP632" i="5"/>
  <c r="AP633" i="5"/>
  <c r="AP634" i="5"/>
  <c r="AP635" i="5"/>
  <c r="AP636" i="5"/>
  <c r="AP637" i="5"/>
  <c r="AP638" i="5"/>
  <c r="AP639" i="5"/>
  <c r="AP640" i="5"/>
  <c r="AP641" i="5"/>
  <c r="AP642" i="5"/>
  <c r="AP643" i="5"/>
  <c r="AP644" i="5"/>
  <c r="AP645" i="5"/>
  <c r="AP646" i="5"/>
  <c r="AP647" i="5"/>
  <c r="AP648" i="5"/>
  <c r="AP649" i="5"/>
  <c r="AP650" i="5"/>
  <c r="AP651" i="5"/>
  <c r="AP652" i="5"/>
  <c r="AP653" i="5"/>
  <c r="AP654" i="5"/>
  <c r="AP655" i="5"/>
  <c r="AP656" i="5"/>
  <c r="AP657" i="5"/>
  <c r="AP658" i="5"/>
  <c r="AP659" i="5"/>
  <c r="AP660" i="5"/>
  <c r="AP661" i="5"/>
  <c r="AP662" i="5"/>
  <c r="AP663" i="5"/>
  <c r="AP664" i="5"/>
  <c r="AP665" i="5"/>
  <c r="AP666" i="5"/>
  <c r="AP667" i="5"/>
  <c r="AP668" i="5"/>
  <c r="AP669" i="5"/>
  <c r="AP670" i="5"/>
  <c r="AP671" i="5"/>
  <c r="AP672" i="5"/>
  <c r="AP673" i="5"/>
  <c r="AP674" i="5"/>
  <c r="AP675" i="5"/>
  <c r="AP676" i="5"/>
  <c r="AP677" i="5"/>
  <c r="AP678" i="5"/>
  <c r="AP679" i="5"/>
  <c r="AP680" i="5"/>
  <c r="AP681" i="5"/>
  <c r="AP682" i="5"/>
  <c r="AP683" i="5"/>
  <c r="AP684" i="5"/>
  <c r="AP685" i="5"/>
  <c r="AP686" i="5"/>
  <c r="AP687" i="5"/>
  <c r="AP688" i="5"/>
  <c r="AP689" i="5"/>
  <c r="AP690" i="5"/>
  <c r="AP691" i="5"/>
  <c r="AP692" i="5"/>
  <c r="AP693" i="5"/>
  <c r="AP694" i="5"/>
  <c r="AP695" i="5"/>
  <c r="AP696" i="5"/>
  <c r="AP697" i="5"/>
  <c r="AP698" i="5"/>
  <c r="AP699" i="5"/>
  <c r="AP700" i="5"/>
  <c r="AP701" i="5"/>
  <c r="AP702" i="5"/>
  <c r="AP703" i="5"/>
  <c r="AP704" i="5"/>
  <c r="AP705" i="5"/>
  <c r="AP706" i="5"/>
  <c r="AP707" i="5"/>
  <c r="AP708" i="5"/>
  <c r="AP709" i="5"/>
  <c r="AP710" i="5"/>
  <c r="AP711" i="5"/>
  <c r="AP712" i="5"/>
  <c r="AP713" i="5"/>
  <c r="AP714" i="5"/>
  <c r="AP715" i="5"/>
  <c r="AP716" i="5"/>
  <c r="AP717" i="5"/>
  <c r="AP718" i="5"/>
  <c r="AP719" i="5"/>
  <c r="AP720" i="5"/>
  <c r="AP721" i="5"/>
  <c r="AP722" i="5"/>
  <c r="AP723" i="5"/>
  <c r="AP724" i="5"/>
  <c r="AP725" i="5"/>
  <c r="AP726" i="5"/>
  <c r="AP727" i="5"/>
  <c r="AP728" i="5"/>
  <c r="AP729" i="5"/>
  <c r="AP730" i="5"/>
  <c r="AP731" i="5"/>
  <c r="AP732" i="5"/>
  <c r="AP733" i="5"/>
  <c r="AP734" i="5"/>
  <c r="AP735" i="5"/>
  <c r="AP736" i="5"/>
  <c r="AP737" i="5"/>
  <c r="AP738" i="5"/>
  <c r="AP739" i="5"/>
  <c r="AP740" i="5"/>
  <c r="AP741" i="5"/>
  <c r="AP742" i="5"/>
  <c r="AP743" i="5"/>
  <c r="AP744" i="5"/>
  <c r="AP745" i="5"/>
  <c r="AP746" i="5"/>
  <c r="AP747" i="5"/>
  <c r="AP748" i="5"/>
  <c r="AP749" i="5"/>
  <c r="AP750" i="5"/>
  <c r="AP751" i="5"/>
  <c r="AP752" i="5"/>
  <c r="AP753" i="5"/>
  <c r="AP754" i="5"/>
  <c r="AP755" i="5"/>
  <c r="AP756" i="5"/>
  <c r="AP757" i="5"/>
  <c r="AP758" i="5"/>
  <c r="AP759" i="5"/>
  <c r="AP760" i="5"/>
  <c r="AP761" i="5"/>
  <c r="AP762" i="5"/>
  <c r="AP763" i="5"/>
  <c r="AP764" i="5"/>
  <c r="AP765" i="5"/>
  <c r="AP766" i="5"/>
  <c r="AP767" i="5"/>
  <c r="AP768" i="5"/>
  <c r="AP769" i="5"/>
  <c r="AP770" i="5"/>
  <c r="AP771" i="5"/>
  <c r="AP772" i="5"/>
  <c r="AP773" i="5"/>
  <c r="AP774" i="5"/>
  <c r="AP775" i="5"/>
  <c r="AP776" i="5"/>
  <c r="AP777" i="5"/>
  <c r="AP778" i="5"/>
  <c r="AP779" i="5"/>
  <c r="AP780" i="5"/>
  <c r="AP781" i="5"/>
  <c r="AP782" i="5"/>
  <c r="AP783" i="5"/>
  <c r="AP784" i="5"/>
  <c r="AP785" i="5"/>
  <c r="AP786" i="5"/>
  <c r="AP787" i="5"/>
  <c r="AP788" i="5"/>
  <c r="AP789" i="5"/>
  <c r="AP790" i="5"/>
  <c r="AP791" i="5"/>
  <c r="AP792" i="5"/>
  <c r="AP793" i="5"/>
  <c r="AP794" i="5"/>
  <c r="AP795" i="5"/>
  <c r="AP796" i="5"/>
  <c r="AP797" i="5"/>
  <c r="AP798" i="5"/>
  <c r="AP799" i="5"/>
  <c r="AP800" i="5"/>
  <c r="AP801" i="5"/>
  <c r="AP802" i="5"/>
  <c r="AP803" i="5"/>
  <c r="AP804" i="5"/>
  <c r="AP805" i="5"/>
  <c r="AP806" i="5"/>
  <c r="AP807" i="5"/>
  <c r="AP808" i="5"/>
  <c r="AP809" i="5"/>
  <c r="AP810" i="5"/>
  <c r="AP811" i="5"/>
  <c r="AP812" i="5"/>
  <c r="AP813" i="5"/>
  <c r="AP814" i="5"/>
  <c r="AP815" i="5"/>
  <c r="AP816" i="5"/>
  <c r="AP817" i="5"/>
  <c r="AP818" i="5"/>
  <c r="AP819" i="5"/>
  <c r="AP820" i="5"/>
  <c r="AP821" i="5"/>
  <c r="AP822" i="5"/>
  <c r="AP823" i="5"/>
  <c r="AP824" i="5"/>
  <c r="AP825" i="5"/>
  <c r="AP826" i="5"/>
  <c r="AP827" i="5"/>
  <c r="AP828" i="5"/>
  <c r="AP829" i="5"/>
  <c r="AP830" i="5"/>
  <c r="AP831" i="5"/>
  <c r="AP832" i="5"/>
  <c r="AP833" i="5"/>
  <c r="AP834" i="5"/>
  <c r="AP835" i="5"/>
  <c r="AP836" i="5"/>
  <c r="AP837" i="5"/>
  <c r="AP838" i="5"/>
  <c r="AP839" i="5"/>
  <c r="AP840" i="5"/>
  <c r="AP841" i="5"/>
  <c r="AP842" i="5"/>
  <c r="AP843" i="5"/>
  <c r="AP844" i="5"/>
  <c r="AP845" i="5"/>
  <c r="AP846" i="5"/>
  <c r="AP847" i="5"/>
  <c r="AP848" i="5"/>
  <c r="AP849" i="5"/>
  <c r="AP850" i="5"/>
  <c r="AP851" i="5"/>
  <c r="AP852" i="5"/>
  <c r="AP853" i="5"/>
  <c r="AP854" i="5"/>
  <c r="AP855" i="5"/>
  <c r="AP856" i="5"/>
  <c r="AP857" i="5"/>
  <c r="AP858" i="5"/>
  <c r="AP859" i="5"/>
  <c r="AP860" i="5"/>
  <c r="AP861" i="5"/>
  <c r="AP862" i="5"/>
  <c r="AP863" i="5"/>
  <c r="AP864" i="5"/>
  <c r="AP865" i="5"/>
  <c r="AP866" i="5"/>
  <c r="AP867" i="5"/>
  <c r="AP868" i="5"/>
  <c r="AP869" i="5"/>
  <c r="AP870" i="5"/>
  <c r="AP871" i="5"/>
  <c r="AP872" i="5"/>
  <c r="AP873" i="5"/>
  <c r="AP874" i="5"/>
  <c r="AP875" i="5"/>
  <c r="AP876" i="5"/>
  <c r="AP877" i="5"/>
  <c r="AP878" i="5"/>
  <c r="AP879" i="5"/>
  <c r="AP880" i="5"/>
  <c r="AP881" i="5"/>
  <c r="AP882" i="5"/>
  <c r="AP883" i="5"/>
  <c r="AP884" i="5"/>
  <c r="AP885" i="5"/>
  <c r="AP886" i="5"/>
  <c r="AP887" i="5"/>
  <c r="AP888" i="5"/>
  <c r="AP889" i="5"/>
  <c r="AP890" i="5"/>
  <c r="AP891" i="5"/>
  <c r="AP892" i="5"/>
  <c r="AP893" i="5"/>
  <c r="AP894" i="5"/>
  <c r="AP895" i="5"/>
  <c r="AP896" i="5"/>
  <c r="AP897" i="5"/>
  <c r="AP898" i="5"/>
  <c r="AP899" i="5"/>
  <c r="AP900" i="5"/>
  <c r="AP901" i="5"/>
  <c r="AP902" i="5"/>
  <c r="AP903" i="5"/>
  <c r="AP904" i="5"/>
  <c r="AP905" i="5"/>
  <c r="AP906" i="5"/>
  <c r="AP907" i="5"/>
  <c r="AP908" i="5"/>
  <c r="AP909" i="5"/>
  <c r="AP910" i="5"/>
  <c r="AP911" i="5"/>
  <c r="AP912" i="5"/>
  <c r="AP913" i="5"/>
  <c r="AP914" i="5"/>
  <c r="AP915" i="5"/>
  <c r="AP916" i="5"/>
  <c r="AP917" i="5"/>
  <c r="AP918" i="5"/>
  <c r="AP919" i="5"/>
  <c r="AP920" i="5"/>
  <c r="AP921" i="5"/>
  <c r="AP922" i="5"/>
  <c r="AP923" i="5"/>
  <c r="AP924" i="5"/>
  <c r="AP925" i="5"/>
  <c r="AP926" i="5"/>
  <c r="AP927" i="5"/>
  <c r="AP928" i="5"/>
  <c r="AP929" i="5"/>
  <c r="AP930" i="5"/>
  <c r="AP931" i="5"/>
  <c r="AP932" i="5"/>
  <c r="AP933" i="5"/>
  <c r="AP934" i="5"/>
  <c r="AP935" i="5"/>
  <c r="AP936" i="5"/>
  <c r="AP937" i="5"/>
  <c r="AP938" i="5"/>
  <c r="AP939" i="5"/>
  <c r="AP940" i="5"/>
  <c r="AP941" i="5"/>
  <c r="AP942" i="5"/>
  <c r="AP943" i="5"/>
  <c r="AP944" i="5"/>
  <c r="AP945" i="5"/>
  <c r="AP946" i="5"/>
  <c r="AP947" i="5"/>
  <c r="AP948" i="5"/>
  <c r="AP949" i="5"/>
  <c r="AP950" i="5"/>
  <c r="AP951" i="5"/>
  <c r="AP952" i="5"/>
  <c r="AP953" i="5"/>
  <c r="AP954" i="5"/>
  <c r="AP955" i="5"/>
  <c r="AP956" i="5"/>
  <c r="AP957" i="5"/>
  <c r="AP958" i="5"/>
  <c r="AP959" i="5"/>
  <c r="AP960" i="5"/>
  <c r="AP961" i="5"/>
  <c r="AP962" i="5"/>
  <c r="AP963" i="5"/>
  <c r="AP964" i="5"/>
  <c r="AP965" i="5"/>
  <c r="AP966" i="5"/>
  <c r="AP967" i="5"/>
  <c r="AP968" i="5"/>
  <c r="AP969" i="5"/>
  <c r="AP970" i="5"/>
  <c r="AP971" i="5"/>
  <c r="AP972" i="5"/>
  <c r="AP973" i="5"/>
  <c r="AP974" i="5"/>
  <c r="AP975" i="5"/>
  <c r="AP976" i="5"/>
  <c r="AP977" i="5"/>
  <c r="AP978" i="5"/>
  <c r="AP979" i="5"/>
  <c r="AP980" i="5"/>
  <c r="AP981" i="5"/>
  <c r="AP982" i="5"/>
  <c r="AP983" i="5"/>
  <c r="AP984" i="5"/>
  <c r="AP985" i="5"/>
  <c r="AP986" i="5"/>
  <c r="AP987" i="5"/>
  <c r="AP988" i="5"/>
  <c r="AP989" i="5"/>
  <c r="AP990" i="5"/>
  <c r="AP991" i="5"/>
  <c r="AP992" i="5"/>
  <c r="AP993" i="5"/>
  <c r="AP994" i="5"/>
  <c r="AP995" i="5"/>
  <c r="AP996" i="5"/>
  <c r="AP3" i="5"/>
  <c r="AE4" i="5"/>
  <c r="AF4" i="5"/>
  <c r="AJ6" i="5"/>
  <c r="AM7" i="5"/>
  <c r="AK9" i="5"/>
  <c r="AF11" i="5"/>
  <c r="AI21" i="5"/>
  <c r="AL21" i="5"/>
  <c r="AE28" i="5"/>
  <c r="AE29" i="5"/>
  <c r="AN33" i="5"/>
  <c r="AE34" i="5"/>
  <c r="AE42" i="5"/>
  <c r="AF42" i="5"/>
  <c r="AE53" i="5"/>
  <c r="AF53" i="5"/>
  <c r="AL64" i="5"/>
  <c r="AF70" i="5"/>
  <c r="AF77" i="5"/>
  <c r="AN90" i="5"/>
  <c r="AE93" i="5"/>
  <c r="AF93" i="5"/>
  <c r="AK93" i="5"/>
  <c r="AE100" i="5"/>
  <c r="AH100" i="5"/>
  <c r="AE101" i="5"/>
  <c r="AE102" i="5"/>
  <c r="AD104" i="5"/>
  <c r="AF104" i="5"/>
  <c r="AI106" i="5"/>
  <c r="AE112" i="5"/>
  <c r="AF112" i="5"/>
  <c r="AD113" i="5"/>
  <c r="AE113" i="5"/>
  <c r="AJ117" i="5"/>
  <c r="AF124" i="5"/>
  <c r="AE125" i="5"/>
  <c r="AF125" i="5"/>
  <c r="AM126" i="5"/>
  <c r="AI127" i="5"/>
  <c r="AN128" i="5"/>
  <c r="AD129" i="5"/>
  <c r="AE129" i="5"/>
  <c r="AE136" i="5"/>
  <c r="AD137" i="5"/>
  <c r="AE148" i="5"/>
  <c r="AE149" i="5"/>
  <c r="AE160" i="5"/>
  <c r="AE165" i="5"/>
  <c r="AN165" i="5"/>
  <c r="AE173" i="5"/>
  <c r="AM173" i="5"/>
  <c r="AE177" i="5"/>
  <c r="AM178" i="5"/>
  <c r="AL184" i="5"/>
  <c r="AE185" i="5"/>
  <c r="AO185" i="5"/>
  <c r="AO186" i="5"/>
  <c r="AE189" i="5"/>
  <c r="AL189" i="5"/>
  <c r="AN189" i="5"/>
  <c r="AE190" i="5"/>
  <c r="AE196" i="5"/>
  <c r="AG196" i="5"/>
  <c r="AH196" i="5"/>
  <c r="AJ201" i="5"/>
  <c r="AE208" i="5"/>
  <c r="AF209" i="5"/>
  <c r="AG213" i="5"/>
  <c r="AI213" i="5"/>
  <c r="AK213" i="5"/>
  <c r="AJ220" i="5"/>
  <c r="AK221" i="5"/>
  <c r="AE233" i="5"/>
  <c r="AO233" i="5"/>
  <c r="AD236" i="5"/>
  <c r="AE237" i="5"/>
  <c r="AM237" i="5"/>
  <c r="AO237" i="5"/>
  <c r="AM238" i="5"/>
  <c r="AE244" i="5"/>
  <c r="AL245" i="5"/>
  <c r="AM245" i="5"/>
  <c r="AE256" i="5"/>
  <c r="AE257" i="5"/>
  <c r="AH257" i="5"/>
  <c r="AN259" i="5"/>
  <c r="AE261" i="5"/>
  <c r="AE268" i="5"/>
  <c r="AF268" i="5"/>
  <c r="AE269" i="5"/>
  <c r="AM269" i="5"/>
  <c r="AD270" i="5"/>
  <c r="AD273" i="5"/>
  <c r="AE281" i="5"/>
  <c r="AK281" i="5"/>
  <c r="AL281" i="5"/>
  <c r="AF285" i="5"/>
  <c r="AG285" i="5"/>
  <c r="AG286" i="5"/>
  <c r="AE292" i="5"/>
  <c r="AI292" i="5"/>
  <c r="AE293" i="5"/>
  <c r="AL294" i="5"/>
  <c r="AM294" i="5"/>
  <c r="AH296" i="5"/>
  <c r="AE297" i="5"/>
  <c r="AF297" i="5"/>
  <c r="AE298" i="5"/>
  <c r="AH298" i="5"/>
  <c r="AE304" i="5"/>
  <c r="AH305" i="5"/>
  <c r="AE309" i="5"/>
  <c r="AL309" i="5"/>
  <c r="AN316" i="5"/>
  <c r="AE317" i="5"/>
  <c r="AE318" i="5"/>
  <c r="AM319" i="5"/>
  <c r="AD320" i="5"/>
  <c r="AF320" i="5"/>
  <c r="AL322" i="5"/>
  <c r="AD328" i="5"/>
  <c r="AE328" i="5"/>
  <c r="AG328" i="5"/>
  <c r="AE329" i="5"/>
  <c r="AO329" i="5"/>
  <c r="AO330" i="5"/>
  <c r="AE333" i="5"/>
  <c r="AL334" i="5"/>
  <c r="AE340" i="5"/>
  <c r="AD346" i="5"/>
  <c r="AE346" i="5"/>
  <c r="AI346" i="5"/>
  <c r="AL346" i="5"/>
  <c r="AE352" i="5"/>
  <c r="AE353" i="5"/>
  <c r="AE357" i="5"/>
  <c r="AH357" i="5"/>
  <c r="AO357" i="5"/>
  <c r="AN364" i="5"/>
  <c r="AE365" i="5"/>
  <c r="AN365" i="5"/>
  <c r="AK369" i="5"/>
  <c r="AL369" i="5"/>
  <c r="AE376" i="5"/>
  <c r="AG376" i="5"/>
  <c r="AE377" i="5"/>
  <c r="AL377" i="5"/>
  <c r="AM377" i="5"/>
  <c r="AO377" i="5"/>
  <c r="AH379" i="5"/>
  <c r="AL381" i="5"/>
  <c r="AH382" i="5"/>
  <c r="AD388" i="5"/>
  <c r="AN388" i="5"/>
  <c r="AH391" i="5"/>
  <c r="AF393" i="5"/>
  <c r="AI395" i="5"/>
  <c r="AE401" i="5"/>
  <c r="AF401" i="5"/>
  <c r="AE402" i="5"/>
  <c r="AD404" i="5"/>
  <c r="AF405" i="5"/>
  <c r="AF413" i="5"/>
  <c r="AN413" i="5"/>
  <c r="AJ418" i="5"/>
  <c r="AG420" i="5"/>
  <c r="AH420" i="5"/>
  <c r="AN424" i="5"/>
  <c r="AK425" i="5"/>
  <c r="AL426" i="5"/>
  <c r="AI427" i="5"/>
  <c r="AK428" i="5"/>
  <c r="AH430" i="5"/>
  <c r="AI437" i="5"/>
  <c r="AM442" i="5"/>
  <c r="AM448" i="5"/>
  <c r="AN448" i="5"/>
  <c r="AD449" i="5"/>
  <c r="AG450" i="5"/>
  <c r="AH450" i="5"/>
  <c r="AD454" i="5"/>
  <c r="AE454" i="5"/>
  <c r="AF461" i="5"/>
  <c r="AH461" i="5"/>
  <c r="AG466" i="5"/>
  <c r="AG468" i="5"/>
  <c r="AN472" i="5"/>
  <c r="AF473" i="5"/>
  <c r="AG477" i="5"/>
  <c r="AL477" i="5"/>
  <c r="AN484" i="5"/>
  <c r="AF485" i="5"/>
  <c r="AM485" i="5"/>
  <c r="AF489" i="5"/>
  <c r="AM489" i="5"/>
  <c r="AE490" i="5"/>
  <c r="AK491" i="5"/>
  <c r="AE497" i="5"/>
  <c r="AM497" i="5"/>
  <c r="AG498" i="5"/>
  <c r="AN508" i="5"/>
  <c r="AH509" i="5"/>
  <c r="AD511" i="5"/>
  <c r="AD516" i="5"/>
  <c r="AE516" i="5"/>
  <c r="AF516" i="5"/>
  <c r="AG516" i="5"/>
  <c r="AH516" i="5"/>
  <c r="AI516" i="5"/>
  <c r="AJ516" i="5"/>
  <c r="AK516" i="5"/>
  <c r="AL516" i="5"/>
  <c r="AM516" i="5"/>
  <c r="AN516" i="5"/>
  <c r="AO516" i="5"/>
  <c r="AD517" i="5"/>
  <c r="AE517" i="5"/>
  <c r="AF517" i="5"/>
  <c r="AG517" i="5"/>
  <c r="AH517" i="5"/>
  <c r="AI517" i="5"/>
  <c r="AJ517" i="5"/>
  <c r="AK517" i="5"/>
  <c r="AL517" i="5"/>
  <c r="AM517" i="5"/>
  <c r="AN517" i="5"/>
  <c r="AO517" i="5"/>
  <c r="AD518" i="5"/>
  <c r="AE518" i="5"/>
  <c r="AF518" i="5"/>
  <c r="AG518" i="5"/>
  <c r="AH518" i="5"/>
  <c r="AI518" i="5"/>
  <c r="AJ518" i="5"/>
  <c r="AK518" i="5"/>
  <c r="AL518" i="5"/>
  <c r="AM518" i="5"/>
  <c r="AN518" i="5"/>
  <c r="AO518" i="5"/>
  <c r="AD519" i="5"/>
  <c r="AE519" i="5"/>
  <c r="AF519" i="5"/>
  <c r="AG519" i="5"/>
  <c r="AH519" i="5"/>
  <c r="AI519" i="5"/>
  <c r="AJ519" i="5"/>
  <c r="AK519" i="5"/>
  <c r="AL519" i="5"/>
  <c r="AM519" i="5"/>
  <c r="AN519" i="5"/>
  <c r="AO519" i="5"/>
  <c r="AD520" i="5"/>
  <c r="AE520" i="5"/>
  <c r="AF520" i="5"/>
  <c r="AG520" i="5"/>
  <c r="AH520" i="5"/>
  <c r="AI520" i="5"/>
  <c r="AJ520" i="5"/>
  <c r="AK520" i="5"/>
  <c r="AL520" i="5"/>
  <c r="AM520" i="5"/>
  <c r="AN520" i="5"/>
  <c r="AO520" i="5"/>
  <c r="AD521" i="5"/>
  <c r="AE521" i="5"/>
  <c r="AF521" i="5"/>
  <c r="AG521" i="5"/>
  <c r="AH521" i="5"/>
  <c r="AI521" i="5"/>
  <c r="AJ521" i="5"/>
  <c r="AK521" i="5"/>
  <c r="AL521" i="5"/>
  <c r="AM521" i="5"/>
  <c r="AN521" i="5"/>
  <c r="AO521" i="5"/>
  <c r="AD522" i="5"/>
  <c r="AE522" i="5"/>
  <c r="AF522" i="5"/>
  <c r="AG522" i="5"/>
  <c r="AH522" i="5"/>
  <c r="AI522" i="5"/>
  <c r="AJ522" i="5"/>
  <c r="AK522" i="5"/>
  <c r="AL522" i="5"/>
  <c r="AM522" i="5"/>
  <c r="AN522" i="5"/>
  <c r="AO522" i="5"/>
  <c r="AD523" i="5"/>
  <c r="AE523" i="5"/>
  <c r="AF523" i="5"/>
  <c r="AG523" i="5"/>
  <c r="AH523" i="5"/>
  <c r="AI523" i="5"/>
  <c r="AJ523" i="5"/>
  <c r="AK523" i="5"/>
  <c r="AL523" i="5"/>
  <c r="AM523" i="5"/>
  <c r="AN523" i="5"/>
  <c r="AO523" i="5"/>
  <c r="AD524" i="5"/>
  <c r="AE524" i="5"/>
  <c r="AF524" i="5"/>
  <c r="AG524" i="5"/>
  <c r="AH524" i="5"/>
  <c r="AI524" i="5"/>
  <c r="AJ524" i="5"/>
  <c r="AK524" i="5"/>
  <c r="AL524" i="5"/>
  <c r="AM524" i="5"/>
  <c r="AN524" i="5"/>
  <c r="AO524" i="5"/>
  <c r="AD525" i="5"/>
  <c r="AE525" i="5"/>
  <c r="AF525" i="5"/>
  <c r="AG525" i="5"/>
  <c r="AH525" i="5"/>
  <c r="AI525" i="5"/>
  <c r="AJ525" i="5"/>
  <c r="AK525" i="5"/>
  <c r="AL525" i="5"/>
  <c r="AM525" i="5"/>
  <c r="AN525" i="5"/>
  <c r="AO525" i="5"/>
  <c r="AD526" i="5"/>
  <c r="AE526" i="5"/>
  <c r="AF526" i="5"/>
  <c r="AG526" i="5"/>
  <c r="AH526" i="5"/>
  <c r="AI526" i="5"/>
  <c r="AJ526" i="5"/>
  <c r="AK526" i="5"/>
  <c r="AL526" i="5"/>
  <c r="AM526" i="5"/>
  <c r="AN526" i="5"/>
  <c r="AO526" i="5"/>
  <c r="AD527" i="5"/>
  <c r="AE527" i="5"/>
  <c r="AF527" i="5"/>
  <c r="AG527" i="5"/>
  <c r="AH527" i="5"/>
  <c r="AI527" i="5"/>
  <c r="AJ527" i="5"/>
  <c r="AK527" i="5"/>
  <c r="AL527" i="5"/>
  <c r="AM527" i="5"/>
  <c r="AN527" i="5"/>
  <c r="AO527" i="5"/>
  <c r="AD528" i="5"/>
  <c r="AE528" i="5"/>
  <c r="AF528" i="5"/>
  <c r="AG528" i="5"/>
  <c r="AH528" i="5"/>
  <c r="AI528" i="5"/>
  <c r="AJ528" i="5"/>
  <c r="AK528" i="5"/>
  <c r="AL528" i="5"/>
  <c r="AM528" i="5"/>
  <c r="AN528" i="5"/>
  <c r="AO528" i="5"/>
  <c r="AD529" i="5"/>
  <c r="AE529" i="5"/>
  <c r="AF529" i="5"/>
  <c r="AG529" i="5"/>
  <c r="AH529" i="5"/>
  <c r="AI529" i="5"/>
  <c r="AJ529" i="5"/>
  <c r="AK529" i="5"/>
  <c r="AL529" i="5"/>
  <c r="AM529" i="5"/>
  <c r="AN529" i="5"/>
  <c r="AO529" i="5"/>
  <c r="AD530" i="5"/>
  <c r="AE530" i="5"/>
  <c r="AF530" i="5"/>
  <c r="AG530" i="5"/>
  <c r="AH530" i="5"/>
  <c r="AI530" i="5"/>
  <c r="AJ530" i="5"/>
  <c r="AK530" i="5"/>
  <c r="AL530" i="5"/>
  <c r="AM530" i="5"/>
  <c r="AN530" i="5"/>
  <c r="AO530" i="5"/>
  <c r="AD531" i="5"/>
  <c r="AE531" i="5"/>
  <c r="AF531" i="5"/>
  <c r="AG531" i="5"/>
  <c r="AH531" i="5"/>
  <c r="AI531" i="5"/>
  <c r="AJ531" i="5"/>
  <c r="AK531" i="5"/>
  <c r="AL531" i="5"/>
  <c r="AM531" i="5"/>
  <c r="AN531" i="5"/>
  <c r="AO531" i="5"/>
  <c r="AD532" i="5"/>
  <c r="AE532" i="5"/>
  <c r="AF532" i="5"/>
  <c r="AG532" i="5"/>
  <c r="AH532" i="5"/>
  <c r="AI532" i="5"/>
  <c r="AJ532" i="5"/>
  <c r="AK532" i="5"/>
  <c r="AL532" i="5"/>
  <c r="AM532" i="5"/>
  <c r="AN532" i="5"/>
  <c r="AO532" i="5"/>
  <c r="AD533" i="5"/>
  <c r="AE533" i="5"/>
  <c r="AF533" i="5"/>
  <c r="AG533" i="5"/>
  <c r="AH533" i="5"/>
  <c r="AI533" i="5"/>
  <c r="AJ533" i="5"/>
  <c r="AK533" i="5"/>
  <c r="AL533" i="5"/>
  <c r="AM533" i="5"/>
  <c r="AN533" i="5"/>
  <c r="AO533" i="5"/>
  <c r="AD534" i="5"/>
  <c r="AE534" i="5"/>
  <c r="AF534" i="5"/>
  <c r="AG534" i="5"/>
  <c r="AH534" i="5"/>
  <c r="AI534" i="5"/>
  <c r="AJ534" i="5"/>
  <c r="AK534" i="5"/>
  <c r="AL534" i="5"/>
  <c r="AM534" i="5"/>
  <c r="AN534" i="5"/>
  <c r="AO534" i="5"/>
  <c r="AD535" i="5"/>
  <c r="AE535" i="5"/>
  <c r="AF535" i="5"/>
  <c r="AG535" i="5"/>
  <c r="AH535" i="5"/>
  <c r="AI535" i="5"/>
  <c r="AJ535" i="5"/>
  <c r="AK535" i="5"/>
  <c r="AL535" i="5"/>
  <c r="AM535" i="5"/>
  <c r="AN535" i="5"/>
  <c r="AO535" i="5"/>
  <c r="AD536" i="5"/>
  <c r="AE536" i="5"/>
  <c r="AF536" i="5"/>
  <c r="AG536" i="5"/>
  <c r="AH536" i="5"/>
  <c r="AI536" i="5"/>
  <c r="AJ536" i="5"/>
  <c r="AK536" i="5"/>
  <c r="AL536" i="5"/>
  <c r="AM536" i="5"/>
  <c r="AN536" i="5"/>
  <c r="AO536" i="5"/>
  <c r="AD537" i="5"/>
  <c r="AE537" i="5"/>
  <c r="AF537" i="5"/>
  <c r="AG537" i="5"/>
  <c r="AH537" i="5"/>
  <c r="AI537" i="5"/>
  <c r="AJ537" i="5"/>
  <c r="AK537" i="5"/>
  <c r="AL537" i="5"/>
  <c r="AM537" i="5"/>
  <c r="AN537" i="5"/>
  <c r="AO537" i="5"/>
  <c r="AD538" i="5"/>
  <c r="AE538" i="5"/>
  <c r="AF538" i="5"/>
  <c r="AG538" i="5"/>
  <c r="AH538" i="5"/>
  <c r="AI538" i="5"/>
  <c r="AJ538" i="5"/>
  <c r="AK538" i="5"/>
  <c r="AL538" i="5"/>
  <c r="AM538" i="5"/>
  <c r="AN538" i="5"/>
  <c r="AO538" i="5"/>
  <c r="AD539" i="5"/>
  <c r="AE539" i="5"/>
  <c r="AF539" i="5"/>
  <c r="AG539" i="5"/>
  <c r="AH539" i="5"/>
  <c r="AI539" i="5"/>
  <c r="AJ539" i="5"/>
  <c r="AK539" i="5"/>
  <c r="AL539" i="5"/>
  <c r="AM539" i="5"/>
  <c r="AN539" i="5"/>
  <c r="AO539" i="5"/>
  <c r="AD540" i="5"/>
  <c r="AE540" i="5"/>
  <c r="AF540" i="5"/>
  <c r="AG540" i="5"/>
  <c r="AH540" i="5"/>
  <c r="AI540" i="5"/>
  <c r="AJ540" i="5"/>
  <c r="AK540" i="5"/>
  <c r="AL540" i="5"/>
  <c r="AM540" i="5"/>
  <c r="AN540" i="5"/>
  <c r="AO540" i="5"/>
  <c r="AD541" i="5"/>
  <c r="AE541" i="5"/>
  <c r="AF541" i="5"/>
  <c r="AG541" i="5"/>
  <c r="AH541" i="5"/>
  <c r="AI541" i="5"/>
  <c r="AJ541" i="5"/>
  <c r="AK541" i="5"/>
  <c r="AL541" i="5"/>
  <c r="AM541" i="5"/>
  <c r="AN541" i="5"/>
  <c r="AO541" i="5"/>
  <c r="AD542" i="5"/>
  <c r="AE542" i="5"/>
  <c r="AF542" i="5"/>
  <c r="AG542" i="5"/>
  <c r="AH542" i="5"/>
  <c r="AI542" i="5"/>
  <c r="AJ542" i="5"/>
  <c r="AK542" i="5"/>
  <c r="AL542" i="5"/>
  <c r="AM542" i="5"/>
  <c r="AN542" i="5"/>
  <c r="AO542" i="5"/>
  <c r="AD543" i="5"/>
  <c r="AE543" i="5"/>
  <c r="AF543" i="5"/>
  <c r="AG543" i="5"/>
  <c r="AH543" i="5"/>
  <c r="AI543" i="5"/>
  <c r="AJ543" i="5"/>
  <c r="AK543" i="5"/>
  <c r="AL543" i="5"/>
  <c r="AM543" i="5"/>
  <c r="AN543" i="5"/>
  <c r="AO543" i="5"/>
  <c r="AD544" i="5"/>
  <c r="AE544" i="5"/>
  <c r="AF544" i="5"/>
  <c r="AG544" i="5"/>
  <c r="AH544" i="5"/>
  <c r="AI544" i="5"/>
  <c r="AJ544" i="5"/>
  <c r="AK544" i="5"/>
  <c r="AL544" i="5"/>
  <c r="AM544" i="5"/>
  <c r="AN544" i="5"/>
  <c r="AO544" i="5"/>
  <c r="AD545" i="5"/>
  <c r="AE545" i="5"/>
  <c r="AF545" i="5"/>
  <c r="AG545" i="5"/>
  <c r="AH545" i="5"/>
  <c r="AI545" i="5"/>
  <c r="AJ545" i="5"/>
  <c r="AK545" i="5"/>
  <c r="AL545" i="5"/>
  <c r="AM545" i="5"/>
  <c r="AN545" i="5"/>
  <c r="AO545" i="5"/>
  <c r="AD546" i="5"/>
  <c r="AE546" i="5"/>
  <c r="AF546" i="5"/>
  <c r="AG546" i="5"/>
  <c r="AH546" i="5"/>
  <c r="AI546" i="5"/>
  <c r="AJ546" i="5"/>
  <c r="AK546" i="5"/>
  <c r="AL546" i="5"/>
  <c r="AM546" i="5"/>
  <c r="AN546" i="5"/>
  <c r="AO546" i="5"/>
  <c r="AD547" i="5"/>
  <c r="AE547" i="5"/>
  <c r="AF547" i="5"/>
  <c r="AG547" i="5"/>
  <c r="AH547" i="5"/>
  <c r="AI547" i="5"/>
  <c r="AJ547" i="5"/>
  <c r="AK547" i="5"/>
  <c r="AL547" i="5"/>
  <c r="AM547" i="5"/>
  <c r="AN547" i="5"/>
  <c r="AO547" i="5"/>
  <c r="AD548" i="5"/>
  <c r="AE548" i="5"/>
  <c r="AF548" i="5"/>
  <c r="AG548" i="5"/>
  <c r="AH548" i="5"/>
  <c r="AI548" i="5"/>
  <c r="AJ548" i="5"/>
  <c r="AK548" i="5"/>
  <c r="AL548" i="5"/>
  <c r="AM548" i="5"/>
  <c r="AN548" i="5"/>
  <c r="AO548" i="5"/>
  <c r="AD549" i="5"/>
  <c r="AE549" i="5"/>
  <c r="AF549" i="5"/>
  <c r="AG549" i="5"/>
  <c r="AH549" i="5"/>
  <c r="AI549" i="5"/>
  <c r="AJ549" i="5"/>
  <c r="AK549" i="5"/>
  <c r="AL549" i="5"/>
  <c r="AM549" i="5"/>
  <c r="AN549" i="5"/>
  <c r="AO549" i="5"/>
  <c r="AD550" i="5"/>
  <c r="AE550" i="5"/>
  <c r="AF550" i="5"/>
  <c r="AG550" i="5"/>
  <c r="AH550" i="5"/>
  <c r="AI550" i="5"/>
  <c r="AJ550" i="5"/>
  <c r="AK550" i="5"/>
  <c r="AL550" i="5"/>
  <c r="AM550" i="5"/>
  <c r="AN550" i="5"/>
  <c r="AO550" i="5"/>
  <c r="AD551" i="5"/>
  <c r="AE551" i="5"/>
  <c r="AF551" i="5"/>
  <c r="AG551" i="5"/>
  <c r="AH551" i="5"/>
  <c r="AI551" i="5"/>
  <c r="AJ551" i="5"/>
  <c r="AK551" i="5"/>
  <c r="AL551" i="5"/>
  <c r="AM551" i="5"/>
  <c r="AN551" i="5"/>
  <c r="AO551" i="5"/>
  <c r="AD552" i="5"/>
  <c r="AE552" i="5"/>
  <c r="AF552" i="5"/>
  <c r="AG552" i="5"/>
  <c r="AH552" i="5"/>
  <c r="AI552" i="5"/>
  <c r="AJ552" i="5"/>
  <c r="AK552" i="5"/>
  <c r="AL552" i="5"/>
  <c r="AM552" i="5"/>
  <c r="AN552" i="5"/>
  <c r="AO552" i="5"/>
  <c r="AD553" i="5"/>
  <c r="AE553" i="5"/>
  <c r="AF553" i="5"/>
  <c r="AG553" i="5"/>
  <c r="AH553" i="5"/>
  <c r="AI553" i="5"/>
  <c r="AJ553" i="5"/>
  <c r="AK553" i="5"/>
  <c r="AL553" i="5"/>
  <c r="AM553" i="5"/>
  <c r="AN553" i="5"/>
  <c r="AO553" i="5"/>
  <c r="AD554" i="5"/>
  <c r="AE554" i="5"/>
  <c r="AF554" i="5"/>
  <c r="AG554" i="5"/>
  <c r="AH554" i="5"/>
  <c r="AI554" i="5"/>
  <c r="AJ554" i="5"/>
  <c r="AK554" i="5"/>
  <c r="AL554" i="5"/>
  <c r="AM554" i="5"/>
  <c r="AN554" i="5"/>
  <c r="AO554" i="5"/>
  <c r="AD555" i="5"/>
  <c r="AE555" i="5"/>
  <c r="AF555" i="5"/>
  <c r="AG555" i="5"/>
  <c r="AH555" i="5"/>
  <c r="AI555" i="5"/>
  <c r="AJ555" i="5"/>
  <c r="AK555" i="5"/>
  <c r="AL555" i="5"/>
  <c r="AM555" i="5"/>
  <c r="AN555" i="5"/>
  <c r="AO555" i="5"/>
  <c r="AD556" i="5"/>
  <c r="AE556" i="5"/>
  <c r="AF556" i="5"/>
  <c r="AG556" i="5"/>
  <c r="AH556" i="5"/>
  <c r="AI556" i="5"/>
  <c r="AJ556" i="5"/>
  <c r="AK556" i="5"/>
  <c r="AL556" i="5"/>
  <c r="AM556" i="5"/>
  <c r="AN556" i="5"/>
  <c r="AO556" i="5"/>
  <c r="AD557" i="5"/>
  <c r="AE557" i="5"/>
  <c r="AF557" i="5"/>
  <c r="AG557" i="5"/>
  <c r="AH557" i="5"/>
  <c r="AI557" i="5"/>
  <c r="AJ557" i="5"/>
  <c r="AK557" i="5"/>
  <c r="AL557" i="5"/>
  <c r="AM557" i="5"/>
  <c r="AN557" i="5"/>
  <c r="AO557" i="5"/>
  <c r="AD558" i="5"/>
  <c r="AE558" i="5"/>
  <c r="AF558" i="5"/>
  <c r="AG558" i="5"/>
  <c r="AH558" i="5"/>
  <c r="AI558" i="5"/>
  <c r="AJ558" i="5"/>
  <c r="AK558" i="5"/>
  <c r="AL558" i="5"/>
  <c r="AM558" i="5"/>
  <c r="AN558" i="5"/>
  <c r="AO558" i="5"/>
  <c r="AD559" i="5"/>
  <c r="AE559" i="5"/>
  <c r="AF559" i="5"/>
  <c r="AG559" i="5"/>
  <c r="AH559" i="5"/>
  <c r="AI559" i="5"/>
  <c r="AJ559" i="5"/>
  <c r="AK559" i="5"/>
  <c r="AL559" i="5"/>
  <c r="AM559" i="5"/>
  <c r="AN559" i="5"/>
  <c r="AO559" i="5"/>
  <c r="AD560" i="5"/>
  <c r="AE560" i="5"/>
  <c r="AF560" i="5"/>
  <c r="AG560" i="5"/>
  <c r="AH560" i="5"/>
  <c r="AI560" i="5"/>
  <c r="AJ560" i="5"/>
  <c r="AK560" i="5"/>
  <c r="AL560" i="5"/>
  <c r="AM560" i="5"/>
  <c r="AN560" i="5"/>
  <c r="AO560" i="5"/>
  <c r="AD561" i="5"/>
  <c r="AE561" i="5"/>
  <c r="AF561" i="5"/>
  <c r="AG561" i="5"/>
  <c r="AH561" i="5"/>
  <c r="AI561" i="5"/>
  <c r="AJ561" i="5"/>
  <c r="AK561" i="5"/>
  <c r="AL561" i="5"/>
  <c r="AM561" i="5"/>
  <c r="AN561" i="5"/>
  <c r="AO561" i="5"/>
  <c r="AD562" i="5"/>
  <c r="AE562" i="5"/>
  <c r="AF562" i="5"/>
  <c r="AG562" i="5"/>
  <c r="AH562" i="5"/>
  <c r="AI562" i="5"/>
  <c r="AJ562" i="5"/>
  <c r="AK562" i="5"/>
  <c r="AL562" i="5"/>
  <c r="AM562" i="5"/>
  <c r="AN562" i="5"/>
  <c r="AO562" i="5"/>
  <c r="AD563" i="5"/>
  <c r="AE563" i="5"/>
  <c r="AF563" i="5"/>
  <c r="AG563" i="5"/>
  <c r="AH563" i="5"/>
  <c r="AI563" i="5"/>
  <c r="AJ563" i="5"/>
  <c r="AK563" i="5"/>
  <c r="AL563" i="5"/>
  <c r="AM563" i="5"/>
  <c r="AN563" i="5"/>
  <c r="AO563" i="5"/>
  <c r="AD564" i="5"/>
  <c r="AE564" i="5"/>
  <c r="AF564" i="5"/>
  <c r="AG564" i="5"/>
  <c r="AH564" i="5"/>
  <c r="AI564" i="5"/>
  <c r="AJ564" i="5"/>
  <c r="AK564" i="5"/>
  <c r="AL564" i="5"/>
  <c r="AM564" i="5"/>
  <c r="AN564" i="5"/>
  <c r="AO564" i="5"/>
  <c r="AD565" i="5"/>
  <c r="AE565" i="5"/>
  <c r="AF565" i="5"/>
  <c r="AG565" i="5"/>
  <c r="AH565" i="5"/>
  <c r="AI565" i="5"/>
  <c r="AJ565" i="5"/>
  <c r="AK565" i="5"/>
  <c r="AL565" i="5"/>
  <c r="AM565" i="5"/>
  <c r="AN565" i="5"/>
  <c r="AO565" i="5"/>
  <c r="AD566" i="5"/>
  <c r="AE566" i="5"/>
  <c r="AF566" i="5"/>
  <c r="AG566" i="5"/>
  <c r="AH566" i="5"/>
  <c r="AI566" i="5"/>
  <c r="AJ566" i="5"/>
  <c r="AK566" i="5"/>
  <c r="AL566" i="5"/>
  <c r="AM566" i="5"/>
  <c r="AN566" i="5"/>
  <c r="AO566" i="5"/>
  <c r="AD567" i="5"/>
  <c r="AE567" i="5"/>
  <c r="AF567" i="5"/>
  <c r="AG567" i="5"/>
  <c r="AH567" i="5"/>
  <c r="AI567" i="5"/>
  <c r="AJ567" i="5"/>
  <c r="AK567" i="5"/>
  <c r="AL567" i="5"/>
  <c r="AM567" i="5"/>
  <c r="AN567" i="5"/>
  <c r="AO567" i="5"/>
  <c r="AD568" i="5"/>
  <c r="AE568" i="5"/>
  <c r="AF568" i="5"/>
  <c r="AG568" i="5"/>
  <c r="AH568" i="5"/>
  <c r="AI568" i="5"/>
  <c r="AJ568" i="5"/>
  <c r="AK568" i="5"/>
  <c r="AL568" i="5"/>
  <c r="AM568" i="5"/>
  <c r="AN568" i="5"/>
  <c r="AO568" i="5"/>
  <c r="AD569" i="5"/>
  <c r="AE569" i="5"/>
  <c r="AF569" i="5"/>
  <c r="AG569" i="5"/>
  <c r="AH569" i="5"/>
  <c r="AI569" i="5"/>
  <c r="AJ569" i="5"/>
  <c r="AK569" i="5"/>
  <c r="AL569" i="5"/>
  <c r="AM569" i="5"/>
  <c r="AN569" i="5"/>
  <c r="AO569" i="5"/>
  <c r="AD570" i="5"/>
  <c r="AE570" i="5"/>
  <c r="AF570" i="5"/>
  <c r="AG570" i="5"/>
  <c r="AH570" i="5"/>
  <c r="AI570" i="5"/>
  <c r="AJ570" i="5"/>
  <c r="AK570" i="5"/>
  <c r="AL570" i="5"/>
  <c r="AM570" i="5"/>
  <c r="AN570" i="5"/>
  <c r="AO570" i="5"/>
  <c r="AD571" i="5"/>
  <c r="AE571" i="5"/>
  <c r="AF571" i="5"/>
  <c r="AG571" i="5"/>
  <c r="AH571" i="5"/>
  <c r="AI571" i="5"/>
  <c r="AJ571" i="5"/>
  <c r="AK571" i="5"/>
  <c r="AL571" i="5"/>
  <c r="AM571" i="5"/>
  <c r="AN571" i="5"/>
  <c r="AO571" i="5"/>
  <c r="AD572" i="5"/>
  <c r="AE572" i="5"/>
  <c r="AF572" i="5"/>
  <c r="AG572" i="5"/>
  <c r="AH572" i="5"/>
  <c r="AI572" i="5"/>
  <c r="AJ572" i="5"/>
  <c r="AK572" i="5"/>
  <c r="AL572" i="5"/>
  <c r="AM572" i="5"/>
  <c r="AN572" i="5"/>
  <c r="AO572" i="5"/>
  <c r="AD573" i="5"/>
  <c r="AE573" i="5"/>
  <c r="AF573" i="5"/>
  <c r="AG573" i="5"/>
  <c r="AH573" i="5"/>
  <c r="AI573" i="5"/>
  <c r="AJ573" i="5"/>
  <c r="AK573" i="5"/>
  <c r="AL573" i="5"/>
  <c r="AM573" i="5"/>
  <c r="AN573" i="5"/>
  <c r="AO573" i="5"/>
  <c r="AD574" i="5"/>
  <c r="AE574" i="5"/>
  <c r="AF574" i="5"/>
  <c r="AG574" i="5"/>
  <c r="AH574" i="5"/>
  <c r="AI574" i="5"/>
  <c r="AJ574" i="5"/>
  <c r="AK574" i="5"/>
  <c r="AL574" i="5"/>
  <c r="AM574" i="5"/>
  <c r="AN574" i="5"/>
  <c r="AO574" i="5"/>
  <c r="AD575" i="5"/>
  <c r="AE575" i="5"/>
  <c r="AF575" i="5"/>
  <c r="AG575" i="5"/>
  <c r="AH575" i="5"/>
  <c r="AI575" i="5"/>
  <c r="AJ575" i="5"/>
  <c r="AK575" i="5"/>
  <c r="AL575" i="5"/>
  <c r="AM575" i="5"/>
  <c r="AN575" i="5"/>
  <c r="AO575" i="5"/>
  <c r="AD576" i="5"/>
  <c r="AE576" i="5"/>
  <c r="AF576" i="5"/>
  <c r="AG576" i="5"/>
  <c r="AH576" i="5"/>
  <c r="AI576" i="5"/>
  <c r="AJ576" i="5"/>
  <c r="AK576" i="5"/>
  <c r="AL576" i="5"/>
  <c r="AM576" i="5"/>
  <c r="AN576" i="5"/>
  <c r="AO576" i="5"/>
  <c r="AD577" i="5"/>
  <c r="AE577" i="5"/>
  <c r="AF577" i="5"/>
  <c r="AG577" i="5"/>
  <c r="AH577" i="5"/>
  <c r="AI577" i="5"/>
  <c r="AJ577" i="5"/>
  <c r="AK577" i="5"/>
  <c r="AL577" i="5"/>
  <c r="AM577" i="5"/>
  <c r="AN577" i="5"/>
  <c r="AO577" i="5"/>
  <c r="AD578" i="5"/>
  <c r="AE578" i="5"/>
  <c r="AF578" i="5"/>
  <c r="AG578" i="5"/>
  <c r="AH578" i="5"/>
  <c r="AI578" i="5"/>
  <c r="AJ578" i="5"/>
  <c r="AK578" i="5"/>
  <c r="AL578" i="5"/>
  <c r="AM578" i="5"/>
  <c r="AN578" i="5"/>
  <c r="AO578" i="5"/>
  <c r="AD579" i="5"/>
  <c r="AE579" i="5"/>
  <c r="AF579" i="5"/>
  <c r="AG579" i="5"/>
  <c r="AH579" i="5"/>
  <c r="AI579" i="5"/>
  <c r="AJ579" i="5"/>
  <c r="AK579" i="5"/>
  <c r="AL579" i="5"/>
  <c r="AM579" i="5"/>
  <c r="AN579" i="5"/>
  <c r="AO579" i="5"/>
  <c r="AD580" i="5"/>
  <c r="AE580" i="5"/>
  <c r="AF580" i="5"/>
  <c r="AG580" i="5"/>
  <c r="AH580" i="5"/>
  <c r="AI580" i="5"/>
  <c r="AJ580" i="5"/>
  <c r="AK580" i="5"/>
  <c r="AL580" i="5"/>
  <c r="AM580" i="5"/>
  <c r="AN580" i="5"/>
  <c r="AO580" i="5"/>
  <c r="AD581" i="5"/>
  <c r="AE581" i="5"/>
  <c r="AF581" i="5"/>
  <c r="AG581" i="5"/>
  <c r="AH581" i="5"/>
  <c r="AI581" i="5"/>
  <c r="AJ581" i="5"/>
  <c r="AK581" i="5"/>
  <c r="AL581" i="5"/>
  <c r="AM581" i="5"/>
  <c r="AN581" i="5"/>
  <c r="AO581" i="5"/>
  <c r="AD582" i="5"/>
  <c r="AE582" i="5"/>
  <c r="AF582" i="5"/>
  <c r="AG582" i="5"/>
  <c r="AH582" i="5"/>
  <c r="AI582" i="5"/>
  <c r="AJ582" i="5"/>
  <c r="AK582" i="5"/>
  <c r="AL582" i="5"/>
  <c r="AM582" i="5"/>
  <c r="AN582" i="5"/>
  <c r="AO582" i="5"/>
  <c r="AD583" i="5"/>
  <c r="AE583" i="5"/>
  <c r="AF583" i="5"/>
  <c r="AG583" i="5"/>
  <c r="AH583" i="5"/>
  <c r="AI583" i="5"/>
  <c r="AJ583" i="5"/>
  <c r="AK583" i="5"/>
  <c r="AL583" i="5"/>
  <c r="AM583" i="5"/>
  <c r="AN583" i="5"/>
  <c r="AO583" i="5"/>
  <c r="AD584" i="5"/>
  <c r="AE584" i="5"/>
  <c r="AF584" i="5"/>
  <c r="AG584" i="5"/>
  <c r="AH584" i="5"/>
  <c r="AI584" i="5"/>
  <c r="AJ584" i="5"/>
  <c r="AK584" i="5"/>
  <c r="AL584" i="5"/>
  <c r="AM584" i="5"/>
  <c r="AN584" i="5"/>
  <c r="AO584" i="5"/>
  <c r="AD585" i="5"/>
  <c r="AE585" i="5"/>
  <c r="AF585" i="5"/>
  <c r="AG585" i="5"/>
  <c r="AH585" i="5"/>
  <c r="AI585" i="5"/>
  <c r="AJ585" i="5"/>
  <c r="AK585" i="5"/>
  <c r="AL585" i="5"/>
  <c r="AM585" i="5"/>
  <c r="AN585" i="5"/>
  <c r="AO585" i="5"/>
  <c r="AD586" i="5"/>
  <c r="AE586" i="5"/>
  <c r="AF586" i="5"/>
  <c r="AG586" i="5"/>
  <c r="AH586" i="5"/>
  <c r="AI586" i="5"/>
  <c r="AJ586" i="5"/>
  <c r="AK586" i="5"/>
  <c r="AL586" i="5"/>
  <c r="AM586" i="5"/>
  <c r="AN586" i="5"/>
  <c r="AO586" i="5"/>
  <c r="AD587" i="5"/>
  <c r="AE587" i="5"/>
  <c r="AF587" i="5"/>
  <c r="AG587" i="5"/>
  <c r="AH587" i="5"/>
  <c r="AI587" i="5"/>
  <c r="AJ587" i="5"/>
  <c r="AK587" i="5"/>
  <c r="AL587" i="5"/>
  <c r="AM587" i="5"/>
  <c r="AN587" i="5"/>
  <c r="AO587" i="5"/>
  <c r="AD588" i="5"/>
  <c r="AE588" i="5"/>
  <c r="AF588" i="5"/>
  <c r="AG588" i="5"/>
  <c r="AH588" i="5"/>
  <c r="AI588" i="5"/>
  <c r="AJ588" i="5"/>
  <c r="AK588" i="5"/>
  <c r="AL588" i="5"/>
  <c r="AM588" i="5"/>
  <c r="AN588" i="5"/>
  <c r="AO588" i="5"/>
  <c r="AD589" i="5"/>
  <c r="AE589" i="5"/>
  <c r="AF589" i="5"/>
  <c r="AG589" i="5"/>
  <c r="AH589" i="5"/>
  <c r="AI589" i="5"/>
  <c r="AJ589" i="5"/>
  <c r="AK589" i="5"/>
  <c r="AL589" i="5"/>
  <c r="AM589" i="5"/>
  <c r="AN589" i="5"/>
  <c r="AO589" i="5"/>
  <c r="AD590" i="5"/>
  <c r="AE590" i="5"/>
  <c r="AF590" i="5"/>
  <c r="AG590" i="5"/>
  <c r="AH590" i="5"/>
  <c r="AI590" i="5"/>
  <c r="AJ590" i="5"/>
  <c r="AK590" i="5"/>
  <c r="AL590" i="5"/>
  <c r="AM590" i="5"/>
  <c r="AN590" i="5"/>
  <c r="AO590" i="5"/>
  <c r="AD591" i="5"/>
  <c r="AE591" i="5"/>
  <c r="AF591" i="5"/>
  <c r="AG591" i="5"/>
  <c r="AH591" i="5"/>
  <c r="AI591" i="5"/>
  <c r="AJ591" i="5"/>
  <c r="AK591" i="5"/>
  <c r="AL591" i="5"/>
  <c r="AM591" i="5"/>
  <c r="AN591" i="5"/>
  <c r="AO591" i="5"/>
  <c r="AD592" i="5"/>
  <c r="AE592" i="5"/>
  <c r="AF592" i="5"/>
  <c r="AG592" i="5"/>
  <c r="AH592" i="5"/>
  <c r="AI592" i="5"/>
  <c r="AJ592" i="5"/>
  <c r="AK592" i="5"/>
  <c r="AL592" i="5"/>
  <c r="AM592" i="5"/>
  <c r="AN592" i="5"/>
  <c r="AO592" i="5"/>
  <c r="AD593" i="5"/>
  <c r="AE593" i="5"/>
  <c r="AF593" i="5"/>
  <c r="AG593" i="5"/>
  <c r="AH593" i="5"/>
  <c r="AI593" i="5"/>
  <c r="AJ593" i="5"/>
  <c r="AK593" i="5"/>
  <c r="AL593" i="5"/>
  <c r="AM593" i="5"/>
  <c r="AN593" i="5"/>
  <c r="AO593" i="5"/>
  <c r="AD594" i="5"/>
  <c r="AE594" i="5"/>
  <c r="AF594" i="5"/>
  <c r="AG594" i="5"/>
  <c r="AH594" i="5"/>
  <c r="AI594" i="5"/>
  <c r="AJ594" i="5"/>
  <c r="AK594" i="5"/>
  <c r="AL594" i="5"/>
  <c r="AM594" i="5"/>
  <c r="AN594" i="5"/>
  <c r="AO594" i="5"/>
  <c r="AD595" i="5"/>
  <c r="AE595" i="5"/>
  <c r="AF595" i="5"/>
  <c r="AG595" i="5"/>
  <c r="AH595" i="5"/>
  <c r="AI595" i="5"/>
  <c r="AJ595" i="5"/>
  <c r="AK595" i="5"/>
  <c r="AL595" i="5"/>
  <c r="AM595" i="5"/>
  <c r="AN595" i="5"/>
  <c r="AO595" i="5"/>
  <c r="AD596" i="5"/>
  <c r="AE596" i="5"/>
  <c r="AF596" i="5"/>
  <c r="AG596" i="5"/>
  <c r="AH596" i="5"/>
  <c r="AI596" i="5"/>
  <c r="AJ596" i="5"/>
  <c r="AK596" i="5"/>
  <c r="AL596" i="5"/>
  <c r="AM596" i="5"/>
  <c r="AN596" i="5"/>
  <c r="AO596" i="5"/>
  <c r="AD597" i="5"/>
  <c r="AE597" i="5"/>
  <c r="AF597" i="5"/>
  <c r="AG597" i="5"/>
  <c r="AH597" i="5"/>
  <c r="AI597" i="5"/>
  <c r="AJ597" i="5"/>
  <c r="AK597" i="5"/>
  <c r="AL597" i="5"/>
  <c r="AM597" i="5"/>
  <c r="AN597" i="5"/>
  <c r="AO597" i="5"/>
  <c r="AD598" i="5"/>
  <c r="AE598" i="5"/>
  <c r="AF598" i="5"/>
  <c r="AG598" i="5"/>
  <c r="AH598" i="5"/>
  <c r="AI598" i="5"/>
  <c r="AJ598" i="5"/>
  <c r="AK598" i="5"/>
  <c r="AL598" i="5"/>
  <c r="AM598" i="5"/>
  <c r="AN598" i="5"/>
  <c r="AO598" i="5"/>
  <c r="AD599" i="5"/>
  <c r="AE599" i="5"/>
  <c r="AF599" i="5"/>
  <c r="AG599" i="5"/>
  <c r="AH599" i="5"/>
  <c r="AI599" i="5"/>
  <c r="AJ599" i="5"/>
  <c r="AK599" i="5"/>
  <c r="AL599" i="5"/>
  <c r="AM599" i="5"/>
  <c r="AN599" i="5"/>
  <c r="AO599" i="5"/>
  <c r="AD600" i="5"/>
  <c r="AE600" i="5"/>
  <c r="AF600" i="5"/>
  <c r="AG600" i="5"/>
  <c r="AH600" i="5"/>
  <c r="AI600" i="5"/>
  <c r="AJ600" i="5"/>
  <c r="AK600" i="5"/>
  <c r="AL600" i="5"/>
  <c r="AM600" i="5"/>
  <c r="AN600" i="5"/>
  <c r="AO600" i="5"/>
  <c r="AD601" i="5"/>
  <c r="AE601" i="5"/>
  <c r="AF601" i="5"/>
  <c r="AG601" i="5"/>
  <c r="AH601" i="5"/>
  <c r="AI601" i="5"/>
  <c r="AJ601" i="5"/>
  <c r="AK601" i="5"/>
  <c r="AL601" i="5"/>
  <c r="AM601" i="5"/>
  <c r="AN601" i="5"/>
  <c r="AO601" i="5"/>
  <c r="AD602" i="5"/>
  <c r="AE602" i="5"/>
  <c r="AF602" i="5"/>
  <c r="AG602" i="5"/>
  <c r="AH602" i="5"/>
  <c r="AI602" i="5"/>
  <c r="AJ602" i="5"/>
  <c r="AK602" i="5"/>
  <c r="AL602" i="5"/>
  <c r="AM602" i="5"/>
  <c r="AN602" i="5"/>
  <c r="AO602" i="5"/>
  <c r="AD603" i="5"/>
  <c r="AE603" i="5"/>
  <c r="AF603" i="5"/>
  <c r="AG603" i="5"/>
  <c r="AH603" i="5"/>
  <c r="AI603" i="5"/>
  <c r="AJ603" i="5"/>
  <c r="AK603" i="5"/>
  <c r="AL603" i="5"/>
  <c r="AM603" i="5"/>
  <c r="AN603" i="5"/>
  <c r="AO603" i="5"/>
  <c r="AD604" i="5"/>
  <c r="AE604" i="5"/>
  <c r="AF604" i="5"/>
  <c r="AG604" i="5"/>
  <c r="AH604" i="5"/>
  <c r="AI604" i="5"/>
  <c r="AJ604" i="5"/>
  <c r="AK604" i="5"/>
  <c r="AL604" i="5"/>
  <c r="AM604" i="5"/>
  <c r="AN604" i="5"/>
  <c r="AO604" i="5"/>
  <c r="AD605" i="5"/>
  <c r="AE605" i="5"/>
  <c r="AF605" i="5"/>
  <c r="AG605" i="5"/>
  <c r="AH605" i="5"/>
  <c r="AI605" i="5"/>
  <c r="AJ605" i="5"/>
  <c r="AK605" i="5"/>
  <c r="AL605" i="5"/>
  <c r="AM605" i="5"/>
  <c r="AN605" i="5"/>
  <c r="AO605" i="5"/>
  <c r="AD606" i="5"/>
  <c r="AE606" i="5"/>
  <c r="AF606" i="5"/>
  <c r="AG606" i="5"/>
  <c r="AH606" i="5"/>
  <c r="AI606" i="5"/>
  <c r="AJ606" i="5"/>
  <c r="AK606" i="5"/>
  <c r="AL606" i="5"/>
  <c r="AM606" i="5"/>
  <c r="AN606" i="5"/>
  <c r="AO606" i="5"/>
  <c r="AD607" i="5"/>
  <c r="AE607" i="5"/>
  <c r="AF607" i="5"/>
  <c r="AG607" i="5"/>
  <c r="AH607" i="5"/>
  <c r="AI607" i="5"/>
  <c r="AJ607" i="5"/>
  <c r="AK607" i="5"/>
  <c r="AL607" i="5"/>
  <c r="AM607" i="5"/>
  <c r="AN607" i="5"/>
  <c r="AO607" i="5"/>
  <c r="AD608" i="5"/>
  <c r="AE608" i="5"/>
  <c r="AF608" i="5"/>
  <c r="AG608" i="5"/>
  <c r="AH608" i="5"/>
  <c r="AI608" i="5"/>
  <c r="AJ608" i="5"/>
  <c r="AK608" i="5"/>
  <c r="AL608" i="5"/>
  <c r="AM608" i="5"/>
  <c r="AN608" i="5"/>
  <c r="AO608" i="5"/>
  <c r="AD609" i="5"/>
  <c r="AE609" i="5"/>
  <c r="AF609" i="5"/>
  <c r="AG609" i="5"/>
  <c r="AH609" i="5"/>
  <c r="AI609" i="5"/>
  <c r="AJ609" i="5"/>
  <c r="AK609" i="5"/>
  <c r="AL609" i="5"/>
  <c r="AM609" i="5"/>
  <c r="AN609" i="5"/>
  <c r="AO609" i="5"/>
  <c r="AD610" i="5"/>
  <c r="AE610" i="5"/>
  <c r="AF610" i="5"/>
  <c r="AG610" i="5"/>
  <c r="AH610" i="5"/>
  <c r="AI610" i="5"/>
  <c r="AJ610" i="5"/>
  <c r="AK610" i="5"/>
  <c r="AL610" i="5"/>
  <c r="AM610" i="5"/>
  <c r="AN610" i="5"/>
  <c r="AO610" i="5"/>
  <c r="AD611" i="5"/>
  <c r="AE611" i="5"/>
  <c r="AF611" i="5"/>
  <c r="AG611" i="5"/>
  <c r="AH611" i="5"/>
  <c r="AI611" i="5"/>
  <c r="AJ611" i="5"/>
  <c r="AK611" i="5"/>
  <c r="AL611" i="5"/>
  <c r="AM611" i="5"/>
  <c r="AN611" i="5"/>
  <c r="AO611" i="5"/>
  <c r="AD612" i="5"/>
  <c r="AE612" i="5"/>
  <c r="AF612" i="5"/>
  <c r="AG612" i="5"/>
  <c r="AH612" i="5"/>
  <c r="AI612" i="5"/>
  <c r="AJ612" i="5"/>
  <c r="AK612" i="5"/>
  <c r="AL612" i="5"/>
  <c r="AM612" i="5"/>
  <c r="AN612" i="5"/>
  <c r="AO612" i="5"/>
  <c r="AD613" i="5"/>
  <c r="AE613" i="5"/>
  <c r="AF613" i="5"/>
  <c r="AG613" i="5"/>
  <c r="AH613" i="5"/>
  <c r="AI613" i="5"/>
  <c r="AJ613" i="5"/>
  <c r="AK613" i="5"/>
  <c r="AL613" i="5"/>
  <c r="AM613" i="5"/>
  <c r="AN613" i="5"/>
  <c r="AO613" i="5"/>
  <c r="AD614" i="5"/>
  <c r="AE614" i="5"/>
  <c r="AF614" i="5"/>
  <c r="AG614" i="5"/>
  <c r="AH614" i="5"/>
  <c r="AI614" i="5"/>
  <c r="AJ614" i="5"/>
  <c r="AK614" i="5"/>
  <c r="AL614" i="5"/>
  <c r="AM614" i="5"/>
  <c r="AN614" i="5"/>
  <c r="AO614" i="5"/>
  <c r="AD615" i="5"/>
  <c r="AE615" i="5"/>
  <c r="AF615" i="5"/>
  <c r="AG615" i="5"/>
  <c r="AH615" i="5"/>
  <c r="AI615" i="5"/>
  <c r="AJ615" i="5"/>
  <c r="AK615" i="5"/>
  <c r="AL615" i="5"/>
  <c r="AM615" i="5"/>
  <c r="AN615" i="5"/>
  <c r="AO615" i="5"/>
  <c r="AD616" i="5"/>
  <c r="AE616" i="5"/>
  <c r="AF616" i="5"/>
  <c r="AG616" i="5"/>
  <c r="AH616" i="5"/>
  <c r="AI616" i="5"/>
  <c r="AJ616" i="5"/>
  <c r="AK616" i="5"/>
  <c r="AL616" i="5"/>
  <c r="AM616" i="5"/>
  <c r="AN616" i="5"/>
  <c r="AO616" i="5"/>
  <c r="AD617" i="5"/>
  <c r="AE617" i="5"/>
  <c r="AF617" i="5"/>
  <c r="AG617" i="5"/>
  <c r="AH617" i="5"/>
  <c r="AI617" i="5"/>
  <c r="AJ617" i="5"/>
  <c r="AK617" i="5"/>
  <c r="AL617" i="5"/>
  <c r="AM617" i="5"/>
  <c r="AN617" i="5"/>
  <c r="AO617" i="5"/>
  <c r="AD618" i="5"/>
  <c r="AE618" i="5"/>
  <c r="AF618" i="5"/>
  <c r="AG618" i="5"/>
  <c r="AH618" i="5"/>
  <c r="AI618" i="5"/>
  <c r="AJ618" i="5"/>
  <c r="AK618" i="5"/>
  <c r="AL618" i="5"/>
  <c r="AM618" i="5"/>
  <c r="AN618" i="5"/>
  <c r="AO618" i="5"/>
  <c r="AD619" i="5"/>
  <c r="AE619" i="5"/>
  <c r="AF619" i="5"/>
  <c r="AG619" i="5"/>
  <c r="AH619" i="5"/>
  <c r="AI619" i="5"/>
  <c r="AJ619" i="5"/>
  <c r="AK619" i="5"/>
  <c r="AL619" i="5"/>
  <c r="AM619" i="5"/>
  <c r="AN619" i="5"/>
  <c r="AO619" i="5"/>
  <c r="AD620" i="5"/>
  <c r="AE620" i="5"/>
  <c r="AF620" i="5"/>
  <c r="AG620" i="5"/>
  <c r="AH620" i="5"/>
  <c r="AI620" i="5"/>
  <c r="AJ620" i="5"/>
  <c r="AK620" i="5"/>
  <c r="AL620" i="5"/>
  <c r="AM620" i="5"/>
  <c r="AN620" i="5"/>
  <c r="AO620" i="5"/>
  <c r="AD621" i="5"/>
  <c r="AE621" i="5"/>
  <c r="AF621" i="5"/>
  <c r="AG621" i="5"/>
  <c r="AH621" i="5"/>
  <c r="AI621" i="5"/>
  <c r="AJ621" i="5"/>
  <c r="AK621" i="5"/>
  <c r="AL621" i="5"/>
  <c r="AM621" i="5"/>
  <c r="AN621" i="5"/>
  <c r="AO621" i="5"/>
  <c r="AD622" i="5"/>
  <c r="AE622" i="5"/>
  <c r="AF622" i="5"/>
  <c r="AG622" i="5"/>
  <c r="AH622" i="5"/>
  <c r="AI622" i="5"/>
  <c r="AJ622" i="5"/>
  <c r="AK622" i="5"/>
  <c r="AL622" i="5"/>
  <c r="AM622" i="5"/>
  <c r="AN622" i="5"/>
  <c r="AO622" i="5"/>
  <c r="AD623" i="5"/>
  <c r="AE623" i="5"/>
  <c r="AF623" i="5"/>
  <c r="AG623" i="5"/>
  <c r="AH623" i="5"/>
  <c r="AI623" i="5"/>
  <c r="AJ623" i="5"/>
  <c r="AK623" i="5"/>
  <c r="AL623" i="5"/>
  <c r="AM623" i="5"/>
  <c r="AN623" i="5"/>
  <c r="AO623" i="5"/>
  <c r="AD624" i="5"/>
  <c r="AE624" i="5"/>
  <c r="AF624" i="5"/>
  <c r="AG624" i="5"/>
  <c r="AH624" i="5"/>
  <c r="AI624" i="5"/>
  <c r="AJ624" i="5"/>
  <c r="AK624" i="5"/>
  <c r="AL624" i="5"/>
  <c r="AM624" i="5"/>
  <c r="AN624" i="5"/>
  <c r="AO624" i="5"/>
  <c r="AD625" i="5"/>
  <c r="AE625" i="5"/>
  <c r="AF625" i="5"/>
  <c r="AG625" i="5"/>
  <c r="AH625" i="5"/>
  <c r="AI625" i="5"/>
  <c r="AJ625" i="5"/>
  <c r="AK625" i="5"/>
  <c r="AL625" i="5"/>
  <c r="AM625" i="5"/>
  <c r="AN625" i="5"/>
  <c r="AO625" i="5"/>
  <c r="AD626" i="5"/>
  <c r="AE626" i="5"/>
  <c r="AF626" i="5"/>
  <c r="AG626" i="5"/>
  <c r="AH626" i="5"/>
  <c r="AI626" i="5"/>
  <c r="AJ626" i="5"/>
  <c r="AK626" i="5"/>
  <c r="AL626" i="5"/>
  <c r="AM626" i="5"/>
  <c r="AN626" i="5"/>
  <c r="AO626" i="5"/>
  <c r="AD627" i="5"/>
  <c r="AE627" i="5"/>
  <c r="AF627" i="5"/>
  <c r="AG627" i="5"/>
  <c r="AH627" i="5"/>
  <c r="AI627" i="5"/>
  <c r="AJ627" i="5"/>
  <c r="AK627" i="5"/>
  <c r="AL627" i="5"/>
  <c r="AM627" i="5"/>
  <c r="AN627" i="5"/>
  <c r="AO627" i="5"/>
  <c r="AD628" i="5"/>
  <c r="AE628" i="5"/>
  <c r="AF628" i="5"/>
  <c r="AG628" i="5"/>
  <c r="AH628" i="5"/>
  <c r="AI628" i="5"/>
  <c r="AJ628" i="5"/>
  <c r="AK628" i="5"/>
  <c r="AL628" i="5"/>
  <c r="AM628" i="5"/>
  <c r="AN628" i="5"/>
  <c r="AO628" i="5"/>
  <c r="AD629" i="5"/>
  <c r="AE629" i="5"/>
  <c r="AF629" i="5"/>
  <c r="AG629" i="5"/>
  <c r="AH629" i="5"/>
  <c r="AI629" i="5"/>
  <c r="AJ629" i="5"/>
  <c r="AK629" i="5"/>
  <c r="AL629" i="5"/>
  <c r="AM629" i="5"/>
  <c r="AN629" i="5"/>
  <c r="AO629" i="5"/>
  <c r="AD630" i="5"/>
  <c r="AE630" i="5"/>
  <c r="AF630" i="5"/>
  <c r="AG630" i="5"/>
  <c r="AH630" i="5"/>
  <c r="AI630" i="5"/>
  <c r="AJ630" i="5"/>
  <c r="AK630" i="5"/>
  <c r="AL630" i="5"/>
  <c r="AM630" i="5"/>
  <c r="AN630" i="5"/>
  <c r="AO630" i="5"/>
  <c r="AD631" i="5"/>
  <c r="AE631" i="5"/>
  <c r="AF631" i="5"/>
  <c r="AG631" i="5"/>
  <c r="AH631" i="5"/>
  <c r="AI631" i="5"/>
  <c r="AJ631" i="5"/>
  <c r="AK631" i="5"/>
  <c r="AL631" i="5"/>
  <c r="AM631" i="5"/>
  <c r="AN631" i="5"/>
  <c r="AO631" i="5"/>
  <c r="AD632" i="5"/>
  <c r="AE632" i="5"/>
  <c r="AF632" i="5"/>
  <c r="AG632" i="5"/>
  <c r="AH632" i="5"/>
  <c r="AI632" i="5"/>
  <c r="AJ632" i="5"/>
  <c r="AK632" i="5"/>
  <c r="AL632" i="5"/>
  <c r="AM632" i="5"/>
  <c r="AN632" i="5"/>
  <c r="AO632" i="5"/>
  <c r="AD633" i="5"/>
  <c r="AE633" i="5"/>
  <c r="AF633" i="5"/>
  <c r="AG633" i="5"/>
  <c r="AH633" i="5"/>
  <c r="AI633" i="5"/>
  <c r="AJ633" i="5"/>
  <c r="AK633" i="5"/>
  <c r="AL633" i="5"/>
  <c r="AM633" i="5"/>
  <c r="AN633" i="5"/>
  <c r="AO633" i="5"/>
  <c r="AD634" i="5"/>
  <c r="AE634" i="5"/>
  <c r="AF634" i="5"/>
  <c r="AG634" i="5"/>
  <c r="AH634" i="5"/>
  <c r="AI634" i="5"/>
  <c r="AJ634" i="5"/>
  <c r="AK634" i="5"/>
  <c r="AL634" i="5"/>
  <c r="AM634" i="5"/>
  <c r="AN634" i="5"/>
  <c r="AO634" i="5"/>
  <c r="AD635" i="5"/>
  <c r="AE635" i="5"/>
  <c r="AF635" i="5"/>
  <c r="AG635" i="5"/>
  <c r="AH635" i="5"/>
  <c r="AI635" i="5"/>
  <c r="AJ635" i="5"/>
  <c r="AK635" i="5"/>
  <c r="AL635" i="5"/>
  <c r="AM635" i="5"/>
  <c r="AN635" i="5"/>
  <c r="AO635" i="5"/>
  <c r="AD636" i="5"/>
  <c r="AE636" i="5"/>
  <c r="AF636" i="5"/>
  <c r="AG636" i="5"/>
  <c r="AH636" i="5"/>
  <c r="AI636" i="5"/>
  <c r="AJ636" i="5"/>
  <c r="AK636" i="5"/>
  <c r="AL636" i="5"/>
  <c r="AM636" i="5"/>
  <c r="AN636" i="5"/>
  <c r="AO636" i="5"/>
  <c r="AD637" i="5"/>
  <c r="AE637" i="5"/>
  <c r="AF637" i="5"/>
  <c r="AG637" i="5"/>
  <c r="AH637" i="5"/>
  <c r="AI637" i="5"/>
  <c r="AJ637" i="5"/>
  <c r="AK637" i="5"/>
  <c r="AL637" i="5"/>
  <c r="AM637" i="5"/>
  <c r="AN637" i="5"/>
  <c r="AO637" i="5"/>
  <c r="AD638" i="5"/>
  <c r="AE638" i="5"/>
  <c r="AF638" i="5"/>
  <c r="AG638" i="5"/>
  <c r="AH638" i="5"/>
  <c r="AI638" i="5"/>
  <c r="AJ638" i="5"/>
  <c r="AK638" i="5"/>
  <c r="AL638" i="5"/>
  <c r="AM638" i="5"/>
  <c r="AN638" i="5"/>
  <c r="AO638" i="5"/>
  <c r="AD639" i="5"/>
  <c r="AE639" i="5"/>
  <c r="AF639" i="5"/>
  <c r="AG639" i="5"/>
  <c r="AH639" i="5"/>
  <c r="AI639" i="5"/>
  <c r="AJ639" i="5"/>
  <c r="AK639" i="5"/>
  <c r="AL639" i="5"/>
  <c r="AM639" i="5"/>
  <c r="AN639" i="5"/>
  <c r="AO639" i="5"/>
  <c r="AD640" i="5"/>
  <c r="AE640" i="5"/>
  <c r="AF640" i="5"/>
  <c r="AG640" i="5"/>
  <c r="AH640" i="5"/>
  <c r="AI640" i="5"/>
  <c r="AJ640" i="5"/>
  <c r="AK640" i="5"/>
  <c r="AL640" i="5"/>
  <c r="AM640" i="5"/>
  <c r="AN640" i="5"/>
  <c r="AO640" i="5"/>
  <c r="AD641" i="5"/>
  <c r="AE641" i="5"/>
  <c r="AF641" i="5"/>
  <c r="AG641" i="5"/>
  <c r="AH641" i="5"/>
  <c r="AI641" i="5"/>
  <c r="AJ641" i="5"/>
  <c r="AK641" i="5"/>
  <c r="AL641" i="5"/>
  <c r="AM641" i="5"/>
  <c r="AN641" i="5"/>
  <c r="AO641" i="5"/>
  <c r="AD642" i="5"/>
  <c r="AE642" i="5"/>
  <c r="AF642" i="5"/>
  <c r="AG642" i="5"/>
  <c r="AH642" i="5"/>
  <c r="AI642" i="5"/>
  <c r="AJ642" i="5"/>
  <c r="AK642" i="5"/>
  <c r="AL642" i="5"/>
  <c r="AM642" i="5"/>
  <c r="AN642" i="5"/>
  <c r="AO642" i="5"/>
  <c r="AD643" i="5"/>
  <c r="AE643" i="5"/>
  <c r="AF643" i="5"/>
  <c r="AG643" i="5"/>
  <c r="AH643" i="5"/>
  <c r="AI643" i="5"/>
  <c r="AJ643" i="5"/>
  <c r="AK643" i="5"/>
  <c r="AL643" i="5"/>
  <c r="AM643" i="5"/>
  <c r="AN643" i="5"/>
  <c r="AO643" i="5"/>
  <c r="AD644" i="5"/>
  <c r="AE644" i="5"/>
  <c r="AF644" i="5"/>
  <c r="AG644" i="5"/>
  <c r="AH644" i="5"/>
  <c r="AI644" i="5"/>
  <c r="AJ644" i="5"/>
  <c r="AK644" i="5"/>
  <c r="AL644" i="5"/>
  <c r="AM644" i="5"/>
  <c r="AN644" i="5"/>
  <c r="AO644" i="5"/>
  <c r="AD645" i="5"/>
  <c r="AE645" i="5"/>
  <c r="AF645" i="5"/>
  <c r="AG645" i="5"/>
  <c r="AH645" i="5"/>
  <c r="AI645" i="5"/>
  <c r="AJ645" i="5"/>
  <c r="AK645" i="5"/>
  <c r="AL645" i="5"/>
  <c r="AM645" i="5"/>
  <c r="AN645" i="5"/>
  <c r="AO645" i="5"/>
  <c r="AD646" i="5"/>
  <c r="AE646" i="5"/>
  <c r="AF646" i="5"/>
  <c r="AG646" i="5"/>
  <c r="AH646" i="5"/>
  <c r="AI646" i="5"/>
  <c r="AJ646" i="5"/>
  <c r="AK646" i="5"/>
  <c r="AL646" i="5"/>
  <c r="AM646" i="5"/>
  <c r="AN646" i="5"/>
  <c r="AO646" i="5"/>
  <c r="AD647" i="5"/>
  <c r="AE647" i="5"/>
  <c r="AF647" i="5"/>
  <c r="AG647" i="5"/>
  <c r="AH647" i="5"/>
  <c r="AI647" i="5"/>
  <c r="AJ647" i="5"/>
  <c r="AK647" i="5"/>
  <c r="AL647" i="5"/>
  <c r="AM647" i="5"/>
  <c r="AN647" i="5"/>
  <c r="AO647" i="5"/>
  <c r="AD648" i="5"/>
  <c r="AE648" i="5"/>
  <c r="AF648" i="5"/>
  <c r="AG648" i="5"/>
  <c r="AH648" i="5"/>
  <c r="AI648" i="5"/>
  <c r="AJ648" i="5"/>
  <c r="AK648" i="5"/>
  <c r="AL648" i="5"/>
  <c r="AM648" i="5"/>
  <c r="AN648" i="5"/>
  <c r="AO648" i="5"/>
  <c r="AD649" i="5"/>
  <c r="AE649" i="5"/>
  <c r="AF649" i="5"/>
  <c r="AG649" i="5"/>
  <c r="AH649" i="5"/>
  <c r="AI649" i="5"/>
  <c r="AJ649" i="5"/>
  <c r="AK649" i="5"/>
  <c r="AL649" i="5"/>
  <c r="AM649" i="5"/>
  <c r="AN649" i="5"/>
  <c r="AO649" i="5"/>
  <c r="AD650" i="5"/>
  <c r="AE650" i="5"/>
  <c r="AF650" i="5"/>
  <c r="AG650" i="5"/>
  <c r="AH650" i="5"/>
  <c r="AI650" i="5"/>
  <c r="AJ650" i="5"/>
  <c r="AK650" i="5"/>
  <c r="AL650" i="5"/>
  <c r="AM650" i="5"/>
  <c r="AN650" i="5"/>
  <c r="AO650" i="5"/>
  <c r="AD651" i="5"/>
  <c r="AE651" i="5"/>
  <c r="AF651" i="5"/>
  <c r="AG651" i="5"/>
  <c r="AH651" i="5"/>
  <c r="AI651" i="5"/>
  <c r="AJ651" i="5"/>
  <c r="AK651" i="5"/>
  <c r="AL651" i="5"/>
  <c r="AM651" i="5"/>
  <c r="AN651" i="5"/>
  <c r="AO651" i="5"/>
  <c r="AD652" i="5"/>
  <c r="AE652" i="5"/>
  <c r="AF652" i="5"/>
  <c r="AG652" i="5"/>
  <c r="AH652" i="5"/>
  <c r="AI652" i="5"/>
  <c r="AJ652" i="5"/>
  <c r="AK652" i="5"/>
  <c r="AL652" i="5"/>
  <c r="AM652" i="5"/>
  <c r="AN652" i="5"/>
  <c r="AO652" i="5"/>
  <c r="AD653" i="5"/>
  <c r="AE653" i="5"/>
  <c r="AF653" i="5"/>
  <c r="AG653" i="5"/>
  <c r="AH653" i="5"/>
  <c r="AI653" i="5"/>
  <c r="AJ653" i="5"/>
  <c r="AK653" i="5"/>
  <c r="AL653" i="5"/>
  <c r="AM653" i="5"/>
  <c r="AN653" i="5"/>
  <c r="AO653" i="5"/>
  <c r="AD654" i="5"/>
  <c r="AE654" i="5"/>
  <c r="AF654" i="5"/>
  <c r="AG654" i="5"/>
  <c r="AH654" i="5"/>
  <c r="AI654" i="5"/>
  <c r="AJ654" i="5"/>
  <c r="AK654" i="5"/>
  <c r="AL654" i="5"/>
  <c r="AM654" i="5"/>
  <c r="AN654" i="5"/>
  <c r="AO654" i="5"/>
  <c r="AD655" i="5"/>
  <c r="AE655" i="5"/>
  <c r="AF655" i="5"/>
  <c r="AG655" i="5"/>
  <c r="AH655" i="5"/>
  <c r="AI655" i="5"/>
  <c r="AJ655" i="5"/>
  <c r="AK655" i="5"/>
  <c r="AL655" i="5"/>
  <c r="AM655" i="5"/>
  <c r="AN655" i="5"/>
  <c r="AO655" i="5"/>
  <c r="AD656" i="5"/>
  <c r="AE656" i="5"/>
  <c r="AF656" i="5"/>
  <c r="AG656" i="5"/>
  <c r="AH656" i="5"/>
  <c r="AI656" i="5"/>
  <c r="AJ656" i="5"/>
  <c r="AK656" i="5"/>
  <c r="AL656" i="5"/>
  <c r="AM656" i="5"/>
  <c r="AN656" i="5"/>
  <c r="AO656" i="5"/>
  <c r="AD657" i="5"/>
  <c r="AE657" i="5"/>
  <c r="AF657" i="5"/>
  <c r="AG657" i="5"/>
  <c r="AH657" i="5"/>
  <c r="AI657" i="5"/>
  <c r="AJ657" i="5"/>
  <c r="AK657" i="5"/>
  <c r="AL657" i="5"/>
  <c r="AM657" i="5"/>
  <c r="AN657" i="5"/>
  <c r="AO657" i="5"/>
  <c r="AD658" i="5"/>
  <c r="AE658" i="5"/>
  <c r="AF658" i="5"/>
  <c r="AG658" i="5"/>
  <c r="AH658" i="5"/>
  <c r="AI658" i="5"/>
  <c r="AJ658" i="5"/>
  <c r="AK658" i="5"/>
  <c r="AL658" i="5"/>
  <c r="AM658" i="5"/>
  <c r="AN658" i="5"/>
  <c r="AO658" i="5"/>
  <c r="AD659" i="5"/>
  <c r="AE659" i="5"/>
  <c r="AF659" i="5"/>
  <c r="AG659" i="5"/>
  <c r="AH659" i="5"/>
  <c r="AI659" i="5"/>
  <c r="AJ659" i="5"/>
  <c r="AK659" i="5"/>
  <c r="AL659" i="5"/>
  <c r="AM659" i="5"/>
  <c r="AN659" i="5"/>
  <c r="AO659" i="5"/>
  <c r="AD660" i="5"/>
  <c r="AE660" i="5"/>
  <c r="AF660" i="5"/>
  <c r="AG660" i="5"/>
  <c r="AH660" i="5"/>
  <c r="AI660" i="5"/>
  <c r="AJ660" i="5"/>
  <c r="AK660" i="5"/>
  <c r="AL660" i="5"/>
  <c r="AM660" i="5"/>
  <c r="AN660" i="5"/>
  <c r="AO660" i="5"/>
  <c r="AD661" i="5"/>
  <c r="AE661" i="5"/>
  <c r="AF661" i="5"/>
  <c r="AG661" i="5"/>
  <c r="AH661" i="5"/>
  <c r="AI661" i="5"/>
  <c r="AJ661" i="5"/>
  <c r="AK661" i="5"/>
  <c r="AL661" i="5"/>
  <c r="AM661" i="5"/>
  <c r="AN661" i="5"/>
  <c r="AO661" i="5"/>
  <c r="AD662" i="5"/>
  <c r="AE662" i="5"/>
  <c r="AF662" i="5"/>
  <c r="AG662" i="5"/>
  <c r="AH662" i="5"/>
  <c r="AI662" i="5"/>
  <c r="AJ662" i="5"/>
  <c r="AK662" i="5"/>
  <c r="AL662" i="5"/>
  <c r="AM662" i="5"/>
  <c r="AN662" i="5"/>
  <c r="AO662" i="5"/>
  <c r="AD663" i="5"/>
  <c r="AE663" i="5"/>
  <c r="AF663" i="5"/>
  <c r="AG663" i="5"/>
  <c r="AH663" i="5"/>
  <c r="AI663" i="5"/>
  <c r="AJ663" i="5"/>
  <c r="AK663" i="5"/>
  <c r="AL663" i="5"/>
  <c r="AM663" i="5"/>
  <c r="AN663" i="5"/>
  <c r="AO663" i="5"/>
  <c r="AD664" i="5"/>
  <c r="AE664" i="5"/>
  <c r="AF664" i="5"/>
  <c r="AG664" i="5"/>
  <c r="AH664" i="5"/>
  <c r="AI664" i="5"/>
  <c r="AJ664" i="5"/>
  <c r="AK664" i="5"/>
  <c r="AL664" i="5"/>
  <c r="AM664" i="5"/>
  <c r="AN664" i="5"/>
  <c r="AO664" i="5"/>
  <c r="AD665" i="5"/>
  <c r="AE665" i="5"/>
  <c r="AF665" i="5"/>
  <c r="AG665" i="5"/>
  <c r="AH665" i="5"/>
  <c r="AI665" i="5"/>
  <c r="AJ665" i="5"/>
  <c r="AK665" i="5"/>
  <c r="AL665" i="5"/>
  <c r="AM665" i="5"/>
  <c r="AN665" i="5"/>
  <c r="AO665" i="5"/>
  <c r="AD666" i="5"/>
  <c r="AE666" i="5"/>
  <c r="AF666" i="5"/>
  <c r="AG666" i="5"/>
  <c r="AH666" i="5"/>
  <c r="AI666" i="5"/>
  <c r="AJ666" i="5"/>
  <c r="AK666" i="5"/>
  <c r="AL666" i="5"/>
  <c r="AM666" i="5"/>
  <c r="AN666" i="5"/>
  <c r="AO666" i="5"/>
  <c r="AD667" i="5"/>
  <c r="AE667" i="5"/>
  <c r="AF667" i="5"/>
  <c r="AG667" i="5"/>
  <c r="AH667" i="5"/>
  <c r="AI667" i="5"/>
  <c r="AJ667" i="5"/>
  <c r="AK667" i="5"/>
  <c r="AL667" i="5"/>
  <c r="AM667" i="5"/>
  <c r="AN667" i="5"/>
  <c r="AO667" i="5"/>
  <c r="AD668" i="5"/>
  <c r="AE668" i="5"/>
  <c r="AF668" i="5"/>
  <c r="AG668" i="5"/>
  <c r="AH668" i="5"/>
  <c r="AI668" i="5"/>
  <c r="AJ668" i="5"/>
  <c r="AK668" i="5"/>
  <c r="AL668" i="5"/>
  <c r="AM668" i="5"/>
  <c r="AN668" i="5"/>
  <c r="AO668" i="5"/>
  <c r="AD669" i="5"/>
  <c r="AE669" i="5"/>
  <c r="AF669" i="5"/>
  <c r="AG669" i="5"/>
  <c r="AH669" i="5"/>
  <c r="AI669" i="5"/>
  <c r="AJ669" i="5"/>
  <c r="AK669" i="5"/>
  <c r="AL669" i="5"/>
  <c r="AM669" i="5"/>
  <c r="AN669" i="5"/>
  <c r="AO669" i="5"/>
  <c r="AD670" i="5"/>
  <c r="AE670" i="5"/>
  <c r="AF670" i="5"/>
  <c r="AG670" i="5"/>
  <c r="AH670" i="5"/>
  <c r="AI670" i="5"/>
  <c r="AJ670" i="5"/>
  <c r="AK670" i="5"/>
  <c r="AL670" i="5"/>
  <c r="AM670" i="5"/>
  <c r="AN670" i="5"/>
  <c r="AO670" i="5"/>
  <c r="AD671" i="5"/>
  <c r="AE671" i="5"/>
  <c r="AF671" i="5"/>
  <c r="AG671" i="5"/>
  <c r="AH671" i="5"/>
  <c r="AI671" i="5"/>
  <c r="AJ671" i="5"/>
  <c r="AK671" i="5"/>
  <c r="AL671" i="5"/>
  <c r="AM671" i="5"/>
  <c r="AN671" i="5"/>
  <c r="AO671" i="5"/>
  <c r="AD672" i="5"/>
  <c r="AE672" i="5"/>
  <c r="AF672" i="5"/>
  <c r="AG672" i="5"/>
  <c r="AH672" i="5"/>
  <c r="AI672" i="5"/>
  <c r="AJ672" i="5"/>
  <c r="AK672" i="5"/>
  <c r="AL672" i="5"/>
  <c r="AM672" i="5"/>
  <c r="AN672" i="5"/>
  <c r="AO672" i="5"/>
  <c r="AD673" i="5"/>
  <c r="AE673" i="5"/>
  <c r="AF673" i="5"/>
  <c r="AG673" i="5"/>
  <c r="AH673" i="5"/>
  <c r="AI673" i="5"/>
  <c r="AJ673" i="5"/>
  <c r="AK673" i="5"/>
  <c r="AL673" i="5"/>
  <c r="AM673" i="5"/>
  <c r="AN673" i="5"/>
  <c r="AO673" i="5"/>
  <c r="AD674" i="5"/>
  <c r="AE674" i="5"/>
  <c r="AF674" i="5"/>
  <c r="AG674" i="5"/>
  <c r="AH674" i="5"/>
  <c r="AI674" i="5"/>
  <c r="AJ674" i="5"/>
  <c r="AK674" i="5"/>
  <c r="AL674" i="5"/>
  <c r="AM674" i="5"/>
  <c r="AN674" i="5"/>
  <c r="AO674" i="5"/>
  <c r="AD675" i="5"/>
  <c r="AE675" i="5"/>
  <c r="AF675" i="5"/>
  <c r="AG675" i="5"/>
  <c r="AH675" i="5"/>
  <c r="AI675" i="5"/>
  <c r="AJ675" i="5"/>
  <c r="AK675" i="5"/>
  <c r="AL675" i="5"/>
  <c r="AM675" i="5"/>
  <c r="AN675" i="5"/>
  <c r="AO675" i="5"/>
  <c r="AD676" i="5"/>
  <c r="AE676" i="5"/>
  <c r="AF676" i="5"/>
  <c r="AG676" i="5"/>
  <c r="AH676" i="5"/>
  <c r="AI676" i="5"/>
  <c r="AJ676" i="5"/>
  <c r="AK676" i="5"/>
  <c r="AL676" i="5"/>
  <c r="AM676" i="5"/>
  <c r="AN676" i="5"/>
  <c r="AO676" i="5"/>
  <c r="AD677" i="5"/>
  <c r="AE677" i="5"/>
  <c r="AF677" i="5"/>
  <c r="AG677" i="5"/>
  <c r="AH677" i="5"/>
  <c r="AI677" i="5"/>
  <c r="AJ677" i="5"/>
  <c r="AK677" i="5"/>
  <c r="AL677" i="5"/>
  <c r="AM677" i="5"/>
  <c r="AN677" i="5"/>
  <c r="AO677" i="5"/>
  <c r="AD678" i="5"/>
  <c r="AE678" i="5"/>
  <c r="AF678" i="5"/>
  <c r="AG678" i="5"/>
  <c r="AH678" i="5"/>
  <c r="AI678" i="5"/>
  <c r="AJ678" i="5"/>
  <c r="AK678" i="5"/>
  <c r="AL678" i="5"/>
  <c r="AM678" i="5"/>
  <c r="AN678" i="5"/>
  <c r="AO678" i="5"/>
  <c r="AD679" i="5"/>
  <c r="AE679" i="5"/>
  <c r="AF679" i="5"/>
  <c r="AG679" i="5"/>
  <c r="AH679" i="5"/>
  <c r="AI679" i="5"/>
  <c r="AJ679" i="5"/>
  <c r="AK679" i="5"/>
  <c r="AL679" i="5"/>
  <c r="AM679" i="5"/>
  <c r="AN679" i="5"/>
  <c r="AO679" i="5"/>
  <c r="AD680" i="5"/>
  <c r="AE680" i="5"/>
  <c r="AF680" i="5"/>
  <c r="AG680" i="5"/>
  <c r="AH680" i="5"/>
  <c r="AI680" i="5"/>
  <c r="AJ680" i="5"/>
  <c r="AK680" i="5"/>
  <c r="AL680" i="5"/>
  <c r="AM680" i="5"/>
  <c r="AN680" i="5"/>
  <c r="AO680" i="5"/>
  <c r="AD681" i="5"/>
  <c r="AE681" i="5"/>
  <c r="AF681" i="5"/>
  <c r="AG681" i="5"/>
  <c r="AH681" i="5"/>
  <c r="AI681" i="5"/>
  <c r="AJ681" i="5"/>
  <c r="AK681" i="5"/>
  <c r="AL681" i="5"/>
  <c r="AM681" i="5"/>
  <c r="AN681" i="5"/>
  <c r="AO681" i="5"/>
  <c r="AD682" i="5"/>
  <c r="AE682" i="5"/>
  <c r="AF682" i="5"/>
  <c r="AG682" i="5"/>
  <c r="AH682" i="5"/>
  <c r="AI682" i="5"/>
  <c r="AJ682" i="5"/>
  <c r="AK682" i="5"/>
  <c r="AL682" i="5"/>
  <c r="AM682" i="5"/>
  <c r="AN682" i="5"/>
  <c r="AO682" i="5"/>
  <c r="AD683" i="5"/>
  <c r="AE683" i="5"/>
  <c r="AF683" i="5"/>
  <c r="AG683" i="5"/>
  <c r="AH683" i="5"/>
  <c r="AI683" i="5"/>
  <c r="AJ683" i="5"/>
  <c r="AK683" i="5"/>
  <c r="AL683" i="5"/>
  <c r="AM683" i="5"/>
  <c r="AN683" i="5"/>
  <c r="AO683" i="5"/>
  <c r="AD684" i="5"/>
  <c r="AE684" i="5"/>
  <c r="AF684" i="5"/>
  <c r="AG684" i="5"/>
  <c r="AH684" i="5"/>
  <c r="AI684" i="5"/>
  <c r="AJ684" i="5"/>
  <c r="AK684" i="5"/>
  <c r="AL684" i="5"/>
  <c r="AM684" i="5"/>
  <c r="AN684" i="5"/>
  <c r="AO684" i="5"/>
  <c r="AD685" i="5"/>
  <c r="AE685" i="5"/>
  <c r="AF685" i="5"/>
  <c r="AG685" i="5"/>
  <c r="AH685" i="5"/>
  <c r="AI685" i="5"/>
  <c r="AJ685" i="5"/>
  <c r="AK685" i="5"/>
  <c r="AL685" i="5"/>
  <c r="AM685" i="5"/>
  <c r="AN685" i="5"/>
  <c r="AO685" i="5"/>
  <c r="AD686" i="5"/>
  <c r="AE686" i="5"/>
  <c r="AF686" i="5"/>
  <c r="AG686" i="5"/>
  <c r="AH686" i="5"/>
  <c r="AI686" i="5"/>
  <c r="AJ686" i="5"/>
  <c r="AK686" i="5"/>
  <c r="AL686" i="5"/>
  <c r="AM686" i="5"/>
  <c r="AN686" i="5"/>
  <c r="AO686" i="5"/>
  <c r="AD687" i="5"/>
  <c r="AE687" i="5"/>
  <c r="AF687" i="5"/>
  <c r="AG687" i="5"/>
  <c r="AH687" i="5"/>
  <c r="AI687" i="5"/>
  <c r="AJ687" i="5"/>
  <c r="AK687" i="5"/>
  <c r="AL687" i="5"/>
  <c r="AM687" i="5"/>
  <c r="AN687" i="5"/>
  <c r="AO687" i="5"/>
  <c r="AD688" i="5"/>
  <c r="AE688" i="5"/>
  <c r="AF688" i="5"/>
  <c r="AG688" i="5"/>
  <c r="AH688" i="5"/>
  <c r="AI688" i="5"/>
  <c r="AJ688" i="5"/>
  <c r="AK688" i="5"/>
  <c r="AL688" i="5"/>
  <c r="AM688" i="5"/>
  <c r="AN688" i="5"/>
  <c r="AO688" i="5"/>
  <c r="AD689" i="5"/>
  <c r="AE689" i="5"/>
  <c r="AF689" i="5"/>
  <c r="AG689" i="5"/>
  <c r="AH689" i="5"/>
  <c r="AI689" i="5"/>
  <c r="AJ689" i="5"/>
  <c r="AK689" i="5"/>
  <c r="AL689" i="5"/>
  <c r="AM689" i="5"/>
  <c r="AN689" i="5"/>
  <c r="AO689" i="5"/>
  <c r="AD690" i="5"/>
  <c r="AE690" i="5"/>
  <c r="AF690" i="5"/>
  <c r="AG690" i="5"/>
  <c r="AH690" i="5"/>
  <c r="AI690" i="5"/>
  <c r="AJ690" i="5"/>
  <c r="AK690" i="5"/>
  <c r="AL690" i="5"/>
  <c r="AM690" i="5"/>
  <c r="AN690" i="5"/>
  <c r="AO690" i="5"/>
  <c r="AD691" i="5"/>
  <c r="AE691" i="5"/>
  <c r="AF691" i="5"/>
  <c r="AG691" i="5"/>
  <c r="AH691" i="5"/>
  <c r="AI691" i="5"/>
  <c r="AJ691" i="5"/>
  <c r="AK691" i="5"/>
  <c r="AL691" i="5"/>
  <c r="AM691" i="5"/>
  <c r="AN691" i="5"/>
  <c r="AO691" i="5"/>
  <c r="AD692" i="5"/>
  <c r="AE692" i="5"/>
  <c r="AF692" i="5"/>
  <c r="AG692" i="5"/>
  <c r="AH692" i="5"/>
  <c r="AI692" i="5"/>
  <c r="AJ692" i="5"/>
  <c r="AK692" i="5"/>
  <c r="AL692" i="5"/>
  <c r="AM692" i="5"/>
  <c r="AN692" i="5"/>
  <c r="AO692" i="5"/>
  <c r="AD693" i="5"/>
  <c r="AE693" i="5"/>
  <c r="AF693" i="5"/>
  <c r="AG693" i="5"/>
  <c r="AH693" i="5"/>
  <c r="AI693" i="5"/>
  <c r="AJ693" i="5"/>
  <c r="AK693" i="5"/>
  <c r="AL693" i="5"/>
  <c r="AM693" i="5"/>
  <c r="AN693" i="5"/>
  <c r="AO693" i="5"/>
  <c r="AD694" i="5"/>
  <c r="AE694" i="5"/>
  <c r="AF694" i="5"/>
  <c r="AG694" i="5"/>
  <c r="AH694" i="5"/>
  <c r="AI694" i="5"/>
  <c r="AJ694" i="5"/>
  <c r="AK694" i="5"/>
  <c r="AL694" i="5"/>
  <c r="AM694" i="5"/>
  <c r="AN694" i="5"/>
  <c r="AO694" i="5"/>
  <c r="AD695" i="5"/>
  <c r="AE695" i="5"/>
  <c r="AF695" i="5"/>
  <c r="AG695" i="5"/>
  <c r="AH695" i="5"/>
  <c r="AI695" i="5"/>
  <c r="AJ695" i="5"/>
  <c r="AK695" i="5"/>
  <c r="AL695" i="5"/>
  <c r="AM695" i="5"/>
  <c r="AN695" i="5"/>
  <c r="AO695" i="5"/>
  <c r="AD696" i="5"/>
  <c r="AE696" i="5"/>
  <c r="AF696" i="5"/>
  <c r="AG696" i="5"/>
  <c r="AH696" i="5"/>
  <c r="AI696" i="5"/>
  <c r="AJ696" i="5"/>
  <c r="AK696" i="5"/>
  <c r="AL696" i="5"/>
  <c r="AM696" i="5"/>
  <c r="AN696" i="5"/>
  <c r="AO696" i="5"/>
  <c r="AD697" i="5"/>
  <c r="AE697" i="5"/>
  <c r="AF697" i="5"/>
  <c r="AG697" i="5"/>
  <c r="AH697" i="5"/>
  <c r="AI697" i="5"/>
  <c r="AJ697" i="5"/>
  <c r="AK697" i="5"/>
  <c r="AL697" i="5"/>
  <c r="AM697" i="5"/>
  <c r="AN697" i="5"/>
  <c r="AO697" i="5"/>
  <c r="AD698" i="5"/>
  <c r="AE698" i="5"/>
  <c r="AF698" i="5"/>
  <c r="AG698" i="5"/>
  <c r="AH698" i="5"/>
  <c r="AI698" i="5"/>
  <c r="AJ698" i="5"/>
  <c r="AK698" i="5"/>
  <c r="AL698" i="5"/>
  <c r="AM698" i="5"/>
  <c r="AN698" i="5"/>
  <c r="AO698" i="5"/>
  <c r="AD699" i="5"/>
  <c r="AE699" i="5"/>
  <c r="AF699" i="5"/>
  <c r="AG699" i="5"/>
  <c r="AH699" i="5"/>
  <c r="AI699" i="5"/>
  <c r="AJ699" i="5"/>
  <c r="AK699" i="5"/>
  <c r="AL699" i="5"/>
  <c r="AM699" i="5"/>
  <c r="AN699" i="5"/>
  <c r="AO699" i="5"/>
  <c r="AD700" i="5"/>
  <c r="AE700" i="5"/>
  <c r="AF700" i="5"/>
  <c r="AG700" i="5"/>
  <c r="AH700" i="5"/>
  <c r="AI700" i="5"/>
  <c r="AJ700" i="5"/>
  <c r="AK700" i="5"/>
  <c r="AL700" i="5"/>
  <c r="AM700" i="5"/>
  <c r="AN700" i="5"/>
  <c r="AO700" i="5"/>
  <c r="AD701" i="5"/>
  <c r="AE701" i="5"/>
  <c r="AF701" i="5"/>
  <c r="AG701" i="5"/>
  <c r="AH701" i="5"/>
  <c r="AI701" i="5"/>
  <c r="AJ701" i="5"/>
  <c r="AK701" i="5"/>
  <c r="AL701" i="5"/>
  <c r="AM701" i="5"/>
  <c r="AN701" i="5"/>
  <c r="AO701" i="5"/>
  <c r="AD702" i="5"/>
  <c r="AE702" i="5"/>
  <c r="AF702" i="5"/>
  <c r="AG702" i="5"/>
  <c r="AH702" i="5"/>
  <c r="AI702" i="5"/>
  <c r="AJ702" i="5"/>
  <c r="AK702" i="5"/>
  <c r="AL702" i="5"/>
  <c r="AM702" i="5"/>
  <c r="AN702" i="5"/>
  <c r="AO702" i="5"/>
  <c r="AD703" i="5"/>
  <c r="AE703" i="5"/>
  <c r="AF703" i="5"/>
  <c r="AG703" i="5"/>
  <c r="AH703" i="5"/>
  <c r="AI703" i="5"/>
  <c r="AJ703" i="5"/>
  <c r="AK703" i="5"/>
  <c r="AL703" i="5"/>
  <c r="AM703" i="5"/>
  <c r="AN703" i="5"/>
  <c r="AO703" i="5"/>
  <c r="AD704" i="5"/>
  <c r="AE704" i="5"/>
  <c r="AF704" i="5"/>
  <c r="AG704" i="5"/>
  <c r="AH704" i="5"/>
  <c r="AI704" i="5"/>
  <c r="AJ704" i="5"/>
  <c r="AK704" i="5"/>
  <c r="AL704" i="5"/>
  <c r="AM704" i="5"/>
  <c r="AN704" i="5"/>
  <c r="AO704" i="5"/>
  <c r="AD705" i="5"/>
  <c r="AE705" i="5"/>
  <c r="AF705" i="5"/>
  <c r="AG705" i="5"/>
  <c r="AH705" i="5"/>
  <c r="AI705" i="5"/>
  <c r="AJ705" i="5"/>
  <c r="AK705" i="5"/>
  <c r="AL705" i="5"/>
  <c r="AM705" i="5"/>
  <c r="AN705" i="5"/>
  <c r="AO705" i="5"/>
  <c r="AD706" i="5"/>
  <c r="AE706" i="5"/>
  <c r="AF706" i="5"/>
  <c r="AG706" i="5"/>
  <c r="AH706" i="5"/>
  <c r="AI706" i="5"/>
  <c r="AJ706" i="5"/>
  <c r="AK706" i="5"/>
  <c r="AL706" i="5"/>
  <c r="AM706" i="5"/>
  <c r="AN706" i="5"/>
  <c r="AO706" i="5"/>
  <c r="AD707" i="5"/>
  <c r="AE707" i="5"/>
  <c r="AF707" i="5"/>
  <c r="AG707" i="5"/>
  <c r="AH707" i="5"/>
  <c r="AI707" i="5"/>
  <c r="AJ707" i="5"/>
  <c r="AK707" i="5"/>
  <c r="AL707" i="5"/>
  <c r="AM707" i="5"/>
  <c r="AN707" i="5"/>
  <c r="AO707" i="5"/>
  <c r="AD708" i="5"/>
  <c r="AE708" i="5"/>
  <c r="AF708" i="5"/>
  <c r="AG708" i="5"/>
  <c r="AH708" i="5"/>
  <c r="AI708" i="5"/>
  <c r="AJ708" i="5"/>
  <c r="AK708" i="5"/>
  <c r="AL708" i="5"/>
  <c r="AM708" i="5"/>
  <c r="AN708" i="5"/>
  <c r="AO708" i="5"/>
  <c r="AD709" i="5"/>
  <c r="AE709" i="5"/>
  <c r="AF709" i="5"/>
  <c r="AG709" i="5"/>
  <c r="AH709" i="5"/>
  <c r="AI709" i="5"/>
  <c r="AJ709" i="5"/>
  <c r="AK709" i="5"/>
  <c r="AL709" i="5"/>
  <c r="AM709" i="5"/>
  <c r="AN709" i="5"/>
  <c r="AO709" i="5"/>
  <c r="AD710" i="5"/>
  <c r="AE710" i="5"/>
  <c r="AF710" i="5"/>
  <c r="AG710" i="5"/>
  <c r="AH710" i="5"/>
  <c r="AI710" i="5"/>
  <c r="AJ710" i="5"/>
  <c r="AK710" i="5"/>
  <c r="AL710" i="5"/>
  <c r="AM710" i="5"/>
  <c r="AN710" i="5"/>
  <c r="AO710" i="5"/>
  <c r="AD711" i="5"/>
  <c r="AE711" i="5"/>
  <c r="AF711" i="5"/>
  <c r="AG711" i="5"/>
  <c r="AH711" i="5"/>
  <c r="AI711" i="5"/>
  <c r="AJ711" i="5"/>
  <c r="AK711" i="5"/>
  <c r="AL711" i="5"/>
  <c r="AM711" i="5"/>
  <c r="AN711" i="5"/>
  <c r="AO711" i="5"/>
  <c r="AD712" i="5"/>
  <c r="AE712" i="5"/>
  <c r="AF712" i="5"/>
  <c r="AG712" i="5"/>
  <c r="AH712" i="5"/>
  <c r="AI712" i="5"/>
  <c r="AJ712" i="5"/>
  <c r="AK712" i="5"/>
  <c r="AL712" i="5"/>
  <c r="AM712" i="5"/>
  <c r="AN712" i="5"/>
  <c r="AO712" i="5"/>
  <c r="AD713" i="5"/>
  <c r="AE713" i="5"/>
  <c r="AF713" i="5"/>
  <c r="AG713" i="5"/>
  <c r="AH713" i="5"/>
  <c r="AI713" i="5"/>
  <c r="AJ713" i="5"/>
  <c r="AK713" i="5"/>
  <c r="AL713" i="5"/>
  <c r="AM713" i="5"/>
  <c r="AN713" i="5"/>
  <c r="AO713" i="5"/>
  <c r="AD714" i="5"/>
  <c r="AE714" i="5"/>
  <c r="AF714" i="5"/>
  <c r="AG714" i="5"/>
  <c r="AH714" i="5"/>
  <c r="AI714" i="5"/>
  <c r="AJ714" i="5"/>
  <c r="AK714" i="5"/>
  <c r="AL714" i="5"/>
  <c r="AM714" i="5"/>
  <c r="AN714" i="5"/>
  <c r="AO714" i="5"/>
  <c r="AD715" i="5"/>
  <c r="AE715" i="5"/>
  <c r="AF715" i="5"/>
  <c r="AG715" i="5"/>
  <c r="AH715" i="5"/>
  <c r="AI715" i="5"/>
  <c r="AJ715" i="5"/>
  <c r="AK715" i="5"/>
  <c r="AL715" i="5"/>
  <c r="AM715" i="5"/>
  <c r="AN715" i="5"/>
  <c r="AO715" i="5"/>
  <c r="AD716" i="5"/>
  <c r="AE716" i="5"/>
  <c r="AF716" i="5"/>
  <c r="AG716" i="5"/>
  <c r="AH716" i="5"/>
  <c r="AI716" i="5"/>
  <c r="AJ716" i="5"/>
  <c r="AK716" i="5"/>
  <c r="AL716" i="5"/>
  <c r="AM716" i="5"/>
  <c r="AN716" i="5"/>
  <c r="AO716" i="5"/>
  <c r="AD717" i="5"/>
  <c r="AE717" i="5"/>
  <c r="AF717" i="5"/>
  <c r="AG717" i="5"/>
  <c r="AH717" i="5"/>
  <c r="AI717" i="5"/>
  <c r="AJ717" i="5"/>
  <c r="AK717" i="5"/>
  <c r="AL717" i="5"/>
  <c r="AM717" i="5"/>
  <c r="AN717" i="5"/>
  <c r="AO717" i="5"/>
  <c r="AD718" i="5"/>
  <c r="AE718" i="5"/>
  <c r="AF718" i="5"/>
  <c r="AG718" i="5"/>
  <c r="AH718" i="5"/>
  <c r="AI718" i="5"/>
  <c r="AJ718" i="5"/>
  <c r="AK718" i="5"/>
  <c r="AL718" i="5"/>
  <c r="AM718" i="5"/>
  <c r="AN718" i="5"/>
  <c r="AO718" i="5"/>
  <c r="AD719" i="5"/>
  <c r="AE719" i="5"/>
  <c r="AF719" i="5"/>
  <c r="AG719" i="5"/>
  <c r="AH719" i="5"/>
  <c r="AI719" i="5"/>
  <c r="AJ719" i="5"/>
  <c r="AK719" i="5"/>
  <c r="AL719" i="5"/>
  <c r="AM719" i="5"/>
  <c r="AN719" i="5"/>
  <c r="AO719" i="5"/>
  <c r="AD720" i="5"/>
  <c r="AE720" i="5"/>
  <c r="AF720" i="5"/>
  <c r="AG720" i="5"/>
  <c r="AH720" i="5"/>
  <c r="AI720" i="5"/>
  <c r="AJ720" i="5"/>
  <c r="AK720" i="5"/>
  <c r="AL720" i="5"/>
  <c r="AM720" i="5"/>
  <c r="AN720" i="5"/>
  <c r="AO720" i="5"/>
  <c r="AD721" i="5"/>
  <c r="AE721" i="5"/>
  <c r="AF721" i="5"/>
  <c r="AG721" i="5"/>
  <c r="AH721" i="5"/>
  <c r="AI721" i="5"/>
  <c r="AJ721" i="5"/>
  <c r="AK721" i="5"/>
  <c r="AL721" i="5"/>
  <c r="AM721" i="5"/>
  <c r="AN721" i="5"/>
  <c r="AO721" i="5"/>
  <c r="AD722" i="5"/>
  <c r="AE722" i="5"/>
  <c r="AF722" i="5"/>
  <c r="AG722" i="5"/>
  <c r="AH722" i="5"/>
  <c r="AI722" i="5"/>
  <c r="AJ722" i="5"/>
  <c r="AK722" i="5"/>
  <c r="AL722" i="5"/>
  <c r="AM722" i="5"/>
  <c r="AN722" i="5"/>
  <c r="AO722" i="5"/>
  <c r="AD723" i="5"/>
  <c r="AE723" i="5"/>
  <c r="AF723" i="5"/>
  <c r="AG723" i="5"/>
  <c r="AH723" i="5"/>
  <c r="AI723" i="5"/>
  <c r="AJ723" i="5"/>
  <c r="AK723" i="5"/>
  <c r="AL723" i="5"/>
  <c r="AM723" i="5"/>
  <c r="AN723" i="5"/>
  <c r="AO723" i="5"/>
  <c r="AD724" i="5"/>
  <c r="AE724" i="5"/>
  <c r="AF724" i="5"/>
  <c r="AG724" i="5"/>
  <c r="AH724" i="5"/>
  <c r="AI724" i="5"/>
  <c r="AJ724" i="5"/>
  <c r="AK724" i="5"/>
  <c r="AL724" i="5"/>
  <c r="AM724" i="5"/>
  <c r="AN724" i="5"/>
  <c r="AO724" i="5"/>
  <c r="AD725" i="5"/>
  <c r="AE725" i="5"/>
  <c r="AF725" i="5"/>
  <c r="AG725" i="5"/>
  <c r="AH725" i="5"/>
  <c r="AI725" i="5"/>
  <c r="AJ725" i="5"/>
  <c r="AK725" i="5"/>
  <c r="AL725" i="5"/>
  <c r="AM725" i="5"/>
  <c r="AN725" i="5"/>
  <c r="AO725" i="5"/>
  <c r="AD726" i="5"/>
  <c r="AE726" i="5"/>
  <c r="AF726" i="5"/>
  <c r="AG726" i="5"/>
  <c r="AH726" i="5"/>
  <c r="AI726" i="5"/>
  <c r="AJ726" i="5"/>
  <c r="AK726" i="5"/>
  <c r="AL726" i="5"/>
  <c r="AM726" i="5"/>
  <c r="AN726" i="5"/>
  <c r="AO726" i="5"/>
  <c r="AD727" i="5"/>
  <c r="AE727" i="5"/>
  <c r="AF727" i="5"/>
  <c r="AG727" i="5"/>
  <c r="AH727" i="5"/>
  <c r="AI727" i="5"/>
  <c r="AJ727" i="5"/>
  <c r="AK727" i="5"/>
  <c r="AL727" i="5"/>
  <c r="AM727" i="5"/>
  <c r="AN727" i="5"/>
  <c r="AO727" i="5"/>
  <c r="AD728" i="5"/>
  <c r="AE728" i="5"/>
  <c r="AF728" i="5"/>
  <c r="AG728" i="5"/>
  <c r="AH728" i="5"/>
  <c r="AI728" i="5"/>
  <c r="AJ728" i="5"/>
  <c r="AK728" i="5"/>
  <c r="AL728" i="5"/>
  <c r="AM728" i="5"/>
  <c r="AN728" i="5"/>
  <c r="AO728" i="5"/>
  <c r="AD729" i="5"/>
  <c r="AE729" i="5"/>
  <c r="AF729" i="5"/>
  <c r="AG729" i="5"/>
  <c r="AH729" i="5"/>
  <c r="AI729" i="5"/>
  <c r="AJ729" i="5"/>
  <c r="AK729" i="5"/>
  <c r="AL729" i="5"/>
  <c r="AM729" i="5"/>
  <c r="AN729" i="5"/>
  <c r="AO729" i="5"/>
  <c r="AD730" i="5"/>
  <c r="AE730" i="5"/>
  <c r="AF730" i="5"/>
  <c r="AG730" i="5"/>
  <c r="AH730" i="5"/>
  <c r="AI730" i="5"/>
  <c r="AJ730" i="5"/>
  <c r="AK730" i="5"/>
  <c r="AL730" i="5"/>
  <c r="AM730" i="5"/>
  <c r="AN730" i="5"/>
  <c r="AO730" i="5"/>
  <c r="AD731" i="5"/>
  <c r="AE731" i="5"/>
  <c r="AF731" i="5"/>
  <c r="AG731" i="5"/>
  <c r="AH731" i="5"/>
  <c r="AI731" i="5"/>
  <c r="AJ731" i="5"/>
  <c r="AK731" i="5"/>
  <c r="AL731" i="5"/>
  <c r="AM731" i="5"/>
  <c r="AN731" i="5"/>
  <c r="AO731" i="5"/>
  <c r="AD732" i="5"/>
  <c r="AE732" i="5"/>
  <c r="AF732" i="5"/>
  <c r="AG732" i="5"/>
  <c r="AH732" i="5"/>
  <c r="AI732" i="5"/>
  <c r="AJ732" i="5"/>
  <c r="AK732" i="5"/>
  <c r="AL732" i="5"/>
  <c r="AM732" i="5"/>
  <c r="AN732" i="5"/>
  <c r="AO732" i="5"/>
  <c r="AD733" i="5"/>
  <c r="AE733" i="5"/>
  <c r="AF733" i="5"/>
  <c r="AG733" i="5"/>
  <c r="AH733" i="5"/>
  <c r="AI733" i="5"/>
  <c r="AJ733" i="5"/>
  <c r="AK733" i="5"/>
  <c r="AL733" i="5"/>
  <c r="AM733" i="5"/>
  <c r="AN733" i="5"/>
  <c r="AO733" i="5"/>
  <c r="AD734" i="5"/>
  <c r="AE734" i="5"/>
  <c r="AF734" i="5"/>
  <c r="AG734" i="5"/>
  <c r="AH734" i="5"/>
  <c r="AI734" i="5"/>
  <c r="AJ734" i="5"/>
  <c r="AK734" i="5"/>
  <c r="AL734" i="5"/>
  <c r="AM734" i="5"/>
  <c r="AN734" i="5"/>
  <c r="AO734" i="5"/>
  <c r="AD735" i="5"/>
  <c r="AE735" i="5"/>
  <c r="AF735" i="5"/>
  <c r="AG735" i="5"/>
  <c r="AH735" i="5"/>
  <c r="AI735" i="5"/>
  <c r="AJ735" i="5"/>
  <c r="AK735" i="5"/>
  <c r="AL735" i="5"/>
  <c r="AM735" i="5"/>
  <c r="AN735" i="5"/>
  <c r="AO735" i="5"/>
  <c r="AD736" i="5"/>
  <c r="AE736" i="5"/>
  <c r="AF736" i="5"/>
  <c r="AG736" i="5"/>
  <c r="AH736" i="5"/>
  <c r="AI736" i="5"/>
  <c r="AJ736" i="5"/>
  <c r="AK736" i="5"/>
  <c r="AL736" i="5"/>
  <c r="AM736" i="5"/>
  <c r="AN736" i="5"/>
  <c r="AO736" i="5"/>
  <c r="AD737" i="5"/>
  <c r="AE737" i="5"/>
  <c r="AF737" i="5"/>
  <c r="AG737" i="5"/>
  <c r="AH737" i="5"/>
  <c r="AI737" i="5"/>
  <c r="AJ737" i="5"/>
  <c r="AK737" i="5"/>
  <c r="AL737" i="5"/>
  <c r="AM737" i="5"/>
  <c r="AN737" i="5"/>
  <c r="AO737" i="5"/>
  <c r="AD738" i="5"/>
  <c r="AE738" i="5"/>
  <c r="AF738" i="5"/>
  <c r="AG738" i="5"/>
  <c r="AH738" i="5"/>
  <c r="AI738" i="5"/>
  <c r="AJ738" i="5"/>
  <c r="AK738" i="5"/>
  <c r="AL738" i="5"/>
  <c r="AM738" i="5"/>
  <c r="AN738" i="5"/>
  <c r="AO738" i="5"/>
  <c r="AD739" i="5"/>
  <c r="AE739" i="5"/>
  <c r="AF739" i="5"/>
  <c r="AG739" i="5"/>
  <c r="AH739" i="5"/>
  <c r="AI739" i="5"/>
  <c r="AJ739" i="5"/>
  <c r="AK739" i="5"/>
  <c r="AL739" i="5"/>
  <c r="AM739" i="5"/>
  <c r="AN739" i="5"/>
  <c r="AO739" i="5"/>
  <c r="AD740" i="5"/>
  <c r="AE740" i="5"/>
  <c r="AF740" i="5"/>
  <c r="AG740" i="5"/>
  <c r="AH740" i="5"/>
  <c r="AI740" i="5"/>
  <c r="AJ740" i="5"/>
  <c r="AK740" i="5"/>
  <c r="AL740" i="5"/>
  <c r="AM740" i="5"/>
  <c r="AN740" i="5"/>
  <c r="AO740" i="5"/>
  <c r="AD741" i="5"/>
  <c r="AE741" i="5"/>
  <c r="AF741" i="5"/>
  <c r="AG741" i="5"/>
  <c r="AH741" i="5"/>
  <c r="AI741" i="5"/>
  <c r="AJ741" i="5"/>
  <c r="AK741" i="5"/>
  <c r="AL741" i="5"/>
  <c r="AM741" i="5"/>
  <c r="AN741" i="5"/>
  <c r="AO741" i="5"/>
  <c r="AD742" i="5"/>
  <c r="AE742" i="5"/>
  <c r="AF742" i="5"/>
  <c r="AG742" i="5"/>
  <c r="AH742" i="5"/>
  <c r="AI742" i="5"/>
  <c r="AJ742" i="5"/>
  <c r="AK742" i="5"/>
  <c r="AL742" i="5"/>
  <c r="AM742" i="5"/>
  <c r="AN742" i="5"/>
  <c r="AO742" i="5"/>
  <c r="AD743" i="5"/>
  <c r="AE743" i="5"/>
  <c r="AF743" i="5"/>
  <c r="AG743" i="5"/>
  <c r="AH743" i="5"/>
  <c r="AI743" i="5"/>
  <c r="AJ743" i="5"/>
  <c r="AK743" i="5"/>
  <c r="AL743" i="5"/>
  <c r="AM743" i="5"/>
  <c r="AN743" i="5"/>
  <c r="AO743" i="5"/>
  <c r="AD744" i="5"/>
  <c r="AE744" i="5"/>
  <c r="AF744" i="5"/>
  <c r="AG744" i="5"/>
  <c r="AH744" i="5"/>
  <c r="AI744" i="5"/>
  <c r="AJ744" i="5"/>
  <c r="AK744" i="5"/>
  <c r="AL744" i="5"/>
  <c r="AM744" i="5"/>
  <c r="AN744" i="5"/>
  <c r="AO744" i="5"/>
  <c r="AD745" i="5"/>
  <c r="AE745" i="5"/>
  <c r="AF745" i="5"/>
  <c r="AG745" i="5"/>
  <c r="AH745" i="5"/>
  <c r="AI745" i="5"/>
  <c r="AJ745" i="5"/>
  <c r="AK745" i="5"/>
  <c r="AL745" i="5"/>
  <c r="AM745" i="5"/>
  <c r="AN745" i="5"/>
  <c r="AO745" i="5"/>
  <c r="AD746" i="5"/>
  <c r="AE746" i="5"/>
  <c r="AF746" i="5"/>
  <c r="AG746" i="5"/>
  <c r="AH746" i="5"/>
  <c r="AI746" i="5"/>
  <c r="AJ746" i="5"/>
  <c r="AK746" i="5"/>
  <c r="AL746" i="5"/>
  <c r="AM746" i="5"/>
  <c r="AN746" i="5"/>
  <c r="AO746" i="5"/>
  <c r="AD747" i="5"/>
  <c r="AE747" i="5"/>
  <c r="AF747" i="5"/>
  <c r="AG747" i="5"/>
  <c r="AH747" i="5"/>
  <c r="AI747" i="5"/>
  <c r="AJ747" i="5"/>
  <c r="AK747" i="5"/>
  <c r="AL747" i="5"/>
  <c r="AM747" i="5"/>
  <c r="AN747" i="5"/>
  <c r="AO747" i="5"/>
  <c r="AD748" i="5"/>
  <c r="AE748" i="5"/>
  <c r="AF748" i="5"/>
  <c r="AG748" i="5"/>
  <c r="AH748" i="5"/>
  <c r="AI748" i="5"/>
  <c r="AJ748" i="5"/>
  <c r="AK748" i="5"/>
  <c r="AL748" i="5"/>
  <c r="AM748" i="5"/>
  <c r="AN748" i="5"/>
  <c r="AO748" i="5"/>
  <c r="AD749" i="5"/>
  <c r="AE749" i="5"/>
  <c r="AF749" i="5"/>
  <c r="AG749" i="5"/>
  <c r="AH749" i="5"/>
  <c r="AI749" i="5"/>
  <c r="AJ749" i="5"/>
  <c r="AK749" i="5"/>
  <c r="AL749" i="5"/>
  <c r="AM749" i="5"/>
  <c r="AN749" i="5"/>
  <c r="AO749" i="5"/>
  <c r="AD750" i="5"/>
  <c r="AE750" i="5"/>
  <c r="AF750" i="5"/>
  <c r="AG750" i="5"/>
  <c r="AH750" i="5"/>
  <c r="AI750" i="5"/>
  <c r="AJ750" i="5"/>
  <c r="AK750" i="5"/>
  <c r="AL750" i="5"/>
  <c r="AM750" i="5"/>
  <c r="AN750" i="5"/>
  <c r="AO750" i="5"/>
  <c r="AD751" i="5"/>
  <c r="AE751" i="5"/>
  <c r="AF751" i="5"/>
  <c r="AG751" i="5"/>
  <c r="AH751" i="5"/>
  <c r="AI751" i="5"/>
  <c r="AJ751" i="5"/>
  <c r="AK751" i="5"/>
  <c r="AL751" i="5"/>
  <c r="AM751" i="5"/>
  <c r="AN751" i="5"/>
  <c r="AO751" i="5"/>
  <c r="AD752" i="5"/>
  <c r="AE752" i="5"/>
  <c r="AF752" i="5"/>
  <c r="AG752" i="5"/>
  <c r="AH752" i="5"/>
  <c r="AI752" i="5"/>
  <c r="AJ752" i="5"/>
  <c r="AK752" i="5"/>
  <c r="AL752" i="5"/>
  <c r="AM752" i="5"/>
  <c r="AN752" i="5"/>
  <c r="AO752" i="5"/>
  <c r="AD753" i="5"/>
  <c r="AE753" i="5"/>
  <c r="AF753" i="5"/>
  <c r="AG753" i="5"/>
  <c r="AH753" i="5"/>
  <c r="AI753" i="5"/>
  <c r="AJ753" i="5"/>
  <c r="AK753" i="5"/>
  <c r="AL753" i="5"/>
  <c r="AM753" i="5"/>
  <c r="AN753" i="5"/>
  <c r="AO753" i="5"/>
  <c r="AD754" i="5"/>
  <c r="AE754" i="5"/>
  <c r="AF754" i="5"/>
  <c r="AG754" i="5"/>
  <c r="AH754" i="5"/>
  <c r="AI754" i="5"/>
  <c r="AJ754" i="5"/>
  <c r="AK754" i="5"/>
  <c r="AL754" i="5"/>
  <c r="AM754" i="5"/>
  <c r="AN754" i="5"/>
  <c r="AO754" i="5"/>
  <c r="AD755" i="5"/>
  <c r="AE755" i="5"/>
  <c r="AF755" i="5"/>
  <c r="AG755" i="5"/>
  <c r="AH755" i="5"/>
  <c r="AI755" i="5"/>
  <c r="AJ755" i="5"/>
  <c r="AK755" i="5"/>
  <c r="AL755" i="5"/>
  <c r="AM755" i="5"/>
  <c r="AN755" i="5"/>
  <c r="AO755" i="5"/>
  <c r="AD756" i="5"/>
  <c r="AE756" i="5"/>
  <c r="AF756" i="5"/>
  <c r="AG756" i="5"/>
  <c r="AH756" i="5"/>
  <c r="AI756" i="5"/>
  <c r="AJ756" i="5"/>
  <c r="AK756" i="5"/>
  <c r="AL756" i="5"/>
  <c r="AM756" i="5"/>
  <c r="AN756" i="5"/>
  <c r="AO756" i="5"/>
  <c r="AD757" i="5"/>
  <c r="AE757" i="5"/>
  <c r="AF757" i="5"/>
  <c r="AG757" i="5"/>
  <c r="AH757" i="5"/>
  <c r="AI757" i="5"/>
  <c r="AJ757" i="5"/>
  <c r="AK757" i="5"/>
  <c r="AL757" i="5"/>
  <c r="AM757" i="5"/>
  <c r="AN757" i="5"/>
  <c r="AO757" i="5"/>
  <c r="AD758" i="5"/>
  <c r="AE758" i="5"/>
  <c r="AF758" i="5"/>
  <c r="AG758" i="5"/>
  <c r="AH758" i="5"/>
  <c r="AI758" i="5"/>
  <c r="AJ758" i="5"/>
  <c r="AK758" i="5"/>
  <c r="AL758" i="5"/>
  <c r="AM758" i="5"/>
  <c r="AN758" i="5"/>
  <c r="AO758" i="5"/>
  <c r="AD759" i="5"/>
  <c r="AE759" i="5"/>
  <c r="AF759" i="5"/>
  <c r="AG759" i="5"/>
  <c r="AH759" i="5"/>
  <c r="AI759" i="5"/>
  <c r="AJ759" i="5"/>
  <c r="AK759" i="5"/>
  <c r="AL759" i="5"/>
  <c r="AM759" i="5"/>
  <c r="AN759" i="5"/>
  <c r="AO759" i="5"/>
  <c r="AD760" i="5"/>
  <c r="AE760" i="5"/>
  <c r="AF760" i="5"/>
  <c r="AG760" i="5"/>
  <c r="AH760" i="5"/>
  <c r="AI760" i="5"/>
  <c r="AJ760" i="5"/>
  <c r="AK760" i="5"/>
  <c r="AL760" i="5"/>
  <c r="AM760" i="5"/>
  <c r="AN760" i="5"/>
  <c r="AO760" i="5"/>
  <c r="AD761" i="5"/>
  <c r="AE761" i="5"/>
  <c r="AF761" i="5"/>
  <c r="AG761" i="5"/>
  <c r="AH761" i="5"/>
  <c r="AI761" i="5"/>
  <c r="AJ761" i="5"/>
  <c r="AK761" i="5"/>
  <c r="AL761" i="5"/>
  <c r="AM761" i="5"/>
  <c r="AN761" i="5"/>
  <c r="AO761" i="5"/>
  <c r="AD762" i="5"/>
  <c r="AE762" i="5"/>
  <c r="AF762" i="5"/>
  <c r="AG762" i="5"/>
  <c r="AH762" i="5"/>
  <c r="AI762" i="5"/>
  <c r="AJ762" i="5"/>
  <c r="AK762" i="5"/>
  <c r="AL762" i="5"/>
  <c r="AM762" i="5"/>
  <c r="AN762" i="5"/>
  <c r="AO762" i="5"/>
  <c r="AD763" i="5"/>
  <c r="AE763" i="5"/>
  <c r="AF763" i="5"/>
  <c r="AG763" i="5"/>
  <c r="AH763" i="5"/>
  <c r="AI763" i="5"/>
  <c r="AJ763" i="5"/>
  <c r="AK763" i="5"/>
  <c r="AL763" i="5"/>
  <c r="AM763" i="5"/>
  <c r="AN763" i="5"/>
  <c r="AO763" i="5"/>
  <c r="AD764" i="5"/>
  <c r="AE764" i="5"/>
  <c r="AF764" i="5"/>
  <c r="AG764" i="5"/>
  <c r="AH764" i="5"/>
  <c r="AI764" i="5"/>
  <c r="AJ764" i="5"/>
  <c r="AK764" i="5"/>
  <c r="AL764" i="5"/>
  <c r="AM764" i="5"/>
  <c r="AN764" i="5"/>
  <c r="AO764" i="5"/>
  <c r="AD765" i="5"/>
  <c r="AE765" i="5"/>
  <c r="AF765" i="5"/>
  <c r="AG765" i="5"/>
  <c r="AH765" i="5"/>
  <c r="AI765" i="5"/>
  <c r="AJ765" i="5"/>
  <c r="AK765" i="5"/>
  <c r="AL765" i="5"/>
  <c r="AM765" i="5"/>
  <c r="AN765" i="5"/>
  <c r="AO765" i="5"/>
  <c r="AD766" i="5"/>
  <c r="AE766" i="5"/>
  <c r="AF766" i="5"/>
  <c r="AG766" i="5"/>
  <c r="AH766" i="5"/>
  <c r="AI766" i="5"/>
  <c r="AJ766" i="5"/>
  <c r="AK766" i="5"/>
  <c r="AL766" i="5"/>
  <c r="AM766" i="5"/>
  <c r="AN766" i="5"/>
  <c r="AO766" i="5"/>
  <c r="AD767" i="5"/>
  <c r="AE767" i="5"/>
  <c r="AF767" i="5"/>
  <c r="AG767" i="5"/>
  <c r="AH767" i="5"/>
  <c r="AI767" i="5"/>
  <c r="AJ767" i="5"/>
  <c r="AK767" i="5"/>
  <c r="AL767" i="5"/>
  <c r="AM767" i="5"/>
  <c r="AN767" i="5"/>
  <c r="AO767" i="5"/>
  <c r="AD768" i="5"/>
  <c r="AE768" i="5"/>
  <c r="AF768" i="5"/>
  <c r="AG768" i="5"/>
  <c r="AH768" i="5"/>
  <c r="AI768" i="5"/>
  <c r="AJ768" i="5"/>
  <c r="AK768" i="5"/>
  <c r="AL768" i="5"/>
  <c r="AM768" i="5"/>
  <c r="AN768" i="5"/>
  <c r="AO768" i="5"/>
  <c r="AD769" i="5"/>
  <c r="AE769" i="5"/>
  <c r="AF769" i="5"/>
  <c r="AG769" i="5"/>
  <c r="AH769" i="5"/>
  <c r="AI769" i="5"/>
  <c r="AJ769" i="5"/>
  <c r="AK769" i="5"/>
  <c r="AL769" i="5"/>
  <c r="AM769" i="5"/>
  <c r="AN769" i="5"/>
  <c r="AO769" i="5"/>
  <c r="AD770" i="5"/>
  <c r="AE770" i="5"/>
  <c r="AF770" i="5"/>
  <c r="AG770" i="5"/>
  <c r="AH770" i="5"/>
  <c r="AI770" i="5"/>
  <c r="AJ770" i="5"/>
  <c r="AK770" i="5"/>
  <c r="AL770" i="5"/>
  <c r="AM770" i="5"/>
  <c r="AN770" i="5"/>
  <c r="AO770" i="5"/>
  <c r="AD771" i="5"/>
  <c r="AE771" i="5"/>
  <c r="AF771" i="5"/>
  <c r="AG771" i="5"/>
  <c r="AH771" i="5"/>
  <c r="AI771" i="5"/>
  <c r="AJ771" i="5"/>
  <c r="AK771" i="5"/>
  <c r="AL771" i="5"/>
  <c r="AM771" i="5"/>
  <c r="AN771" i="5"/>
  <c r="AO771" i="5"/>
  <c r="AD772" i="5"/>
  <c r="AE772" i="5"/>
  <c r="AF772" i="5"/>
  <c r="AG772" i="5"/>
  <c r="AH772" i="5"/>
  <c r="AI772" i="5"/>
  <c r="AJ772" i="5"/>
  <c r="AK772" i="5"/>
  <c r="AL772" i="5"/>
  <c r="AM772" i="5"/>
  <c r="AN772" i="5"/>
  <c r="AO772" i="5"/>
  <c r="AD773" i="5"/>
  <c r="AE773" i="5"/>
  <c r="AF773" i="5"/>
  <c r="AG773" i="5"/>
  <c r="AH773" i="5"/>
  <c r="AI773" i="5"/>
  <c r="AJ773" i="5"/>
  <c r="AK773" i="5"/>
  <c r="AL773" i="5"/>
  <c r="AM773" i="5"/>
  <c r="AN773" i="5"/>
  <c r="AO773" i="5"/>
  <c r="AD774" i="5"/>
  <c r="AE774" i="5"/>
  <c r="AF774" i="5"/>
  <c r="AG774" i="5"/>
  <c r="AH774" i="5"/>
  <c r="AI774" i="5"/>
  <c r="AJ774" i="5"/>
  <c r="AK774" i="5"/>
  <c r="AL774" i="5"/>
  <c r="AM774" i="5"/>
  <c r="AN774" i="5"/>
  <c r="AO774" i="5"/>
  <c r="AD775" i="5"/>
  <c r="AE775" i="5"/>
  <c r="AF775" i="5"/>
  <c r="AG775" i="5"/>
  <c r="AH775" i="5"/>
  <c r="AI775" i="5"/>
  <c r="AJ775" i="5"/>
  <c r="AK775" i="5"/>
  <c r="AL775" i="5"/>
  <c r="AM775" i="5"/>
  <c r="AN775" i="5"/>
  <c r="AO775" i="5"/>
  <c r="AD776" i="5"/>
  <c r="AE776" i="5"/>
  <c r="AF776" i="5"/>
  <c r="AG776" i="5"/>
  <c r="AH776" i="5"/>
  <c r="AI776" i="5"/>
  <c r="AJ776" i="5"/>
  <c r="AK776" i="5"/>
  <c r="AL776" i="5"/>
  <c r="AM776" i="5"/>
  <c r="AN776" i="5"/>
  <c r="AO776" i="5"/>
  <c r="AD777" i="5"/>
  <c r="AE777" i="5"/>
  <c r="AF777" i="5"/>
  <c r="AG777" i="5"/>
  <c r="AH777" i="5"/>
  <c r="AI777" i="5"/>
  <c r="AJ777" i="5"/>
  <c r="AK777" i="5"/>
  <c r="AL777" i="5"/>
  <c r="AM777" i="5"/>
  <c r="AN777" i="5"/>
  <c r="AO777" i="5"/>
  <c r="AD778" i="5"/>
  <c r="AE778" i="5"/>
  <c r="AF778" i="5"/>
  <c r="AG778" i="5"/>
  <c r="AH778" i="5"/>
  <c r="AI778" i="5"/>
  <c r="AJ778" i="5"/>
  <c r="AK778" i="5"/>
  <c r="AL778" i="5"/>
  <c r="AM778" i="5"/>
  <c r="AN778" i="5"/>
  <c r="AO778" i="5"/>
  <c r="AD779" i="5"/>
  <c r="AE779" i="5"/>
  <c r="AF779" i="5"/>
  <c r="AG779" i="5"/>
  <c r="AH779" i="5"/>
  <c r="AI779" i="5"/>
  <c r="AJ779" i="5"/>
  <c r="AK779" i="5"/>
  <c r="AL779" i="5"/>
  <c r="AM779" i="5"/>
  <c r="AN779" i="5"/>
  <c r="AO779" i="5"/>
  <c r="AD780" i="5"/>
  <c r="AE780" i="5"/>
  <c r="AF780" i="5"/>
  <c r="AG780" i="5"/>
  <c r="AH780" i="5"/>
  <c r="AI780" i="5"/>
  <c r="AJ780" i="5"/>
  <c r="AK780" i="5"/>
  <c r="AL780" i="5"/>
  <c r="AM780" i="5"/>
  <c r="AN780" i="5"/>
  <c r="AO780" i="5"/>
  <c r="AD781" i="5"/>
  <c r="AE781" i="5"/>
  <c r="AF781" i="5"/>
  <c r="AG781" i="5"/>
  <c r="AH781" i="5"/>
  <c r="AI781" i="5"/>
  <c r="AJ781" i="5"/>
  <c r="AK781" i="5"/>
  <c r="AL781" i="5"/>
  <c r="AM781" i="5"/>
  <c r="AN781" i="5"/>
  <c r="AO781" i="5"/>
  <c r="AD782" i="5"/>
  <c r="AE782" i="5"/>
  <c r="AF782" i="5"/>
  <c r="AG782" i="5"/>
  <c r="AH782" i="5"/>
  <c r="AI782" i="5"/>
  <c r="AJ782" i="5"/>
  <c r="AK782" i="5"/>
  <c r="AL782" i="5"/>
  <c r="AM782" i="5"/>
  <c r="AN782" i="5"/>
  <c r="AO782" i="5"/>
  <c r="AD783" i="5"/>
  <c r="AE783" i="5"/>
  <c r="AF783" i="5"/>
  <c r="AG783" i="5"/>
  <c r="AH783" i="5"/>
  <c r="AI783" i="5"/>
  <c r="AJ783" i="5"/>
  <c r="AK783" i="5"/>
  <c r="AL783" i="5"/>
  <c r="AM783" i="5"/>
  <c r="AN783" i="5"/>
  <c r="AO783" i="5"/>
  <c r="AD784" i="5"/>
  <c r="AE784" i="5"/>
  <c r="AF784" i="5"/>
  <c r="AG784" i="5"/>
  <c r="AH784" i="5"/>
  <c r="AI784" i="5"/>
  <c r="AJ784" i="5"/>
  <c r="AK784" i="5"/>
  <c r="AL784" i="5"/>
  <c r="AM784" i="5"/>
  <c r="AN784" i="5"/>
  <c r="AO784" i="5"/>
  <c r="AD785" i="5"/>
  <c r="AE785" i="5"/>
  <c r="AF785" i="5"/>
  <c r="AG785" i="5"/>
  <c r="AH785" i="5"/>
  <c r="AI785" i="5"/>
  <c r="AJ785" i="5"/>
  <c r="AK785" i="5"/>
  <c r="AL785" i="5"/>
  <c r="AM785" i="5"/>
  <c r="AN785" i="5"/>
  <c r="AO785" i="5"/>
  <c r="AD786" i="5"/>
  <c r="AE786" i="5"/>
  <c r="AF786" i="5"/>
  <c r="AG786" i="5"/>
  <c r="AH786" i="5"/>
  <c r="AI786" i="5"/>
  <c r="AJ786" i="5"/>
  <c r="AK786" i="5"/>
  <c r="AL786" i="5"/>
  <c r="AM786" i="5"/>
  <c r="AN786" i="5"/>
  <c r="AO786" i="5"/>
  <c r="AD787" i="5"/>
  <c r="AE787" i="5"/>
  <c r="AF787" i="5"/>
  <c r="AG787" i="5"/>
  <c r="AH787" i="5"/>
  <c r="AI787" i="5"/>
  <c r="AJ787" i="5"/>
  <c r="AK787" i="5"/>
  <c r="AL787" i="5"/>
  <c r="AM787" i="5"/>
  <c r="AN787" i="5"/>
  <c r="AO787" i="5"/>
  <c r="AD788" i="5"/>
  <c r="AE788" i="5"/>
  <c r="AF788" i="5"/>
  <c r="AG788" i="5"/>
  <c r="AH788" i="5"/>
  <c r="AI788" i="5"/>
  <c r="AJ788" i="5"/>
  <c r="AK788" i="5"/>
  <c r="AL788" i="5"/>
  <c r="AM788" i="5"/>
  <c r="AN788" i="5"/>
  <c r="AO788" i="5"/>
  <c r="AD789" i="5"/>
  <c r="AE789" i="5"/>
  <c r="AF789" i="5"/>
  <c r="AG789" i="5"/>
  <c r="AH789" i="5"/>
  <c r="AI789" i="5"/>
  <c r="AJ789" i="5"/>
  <c r="AK789" i="5"/>
  <c r="AL789" i="5"/>
  <c r="AM789" i="5"/>
  <c r="AN789" i="5"/>
  <c r="AO789" i="5"/>
  <c r="AD790" i="5"/>
  <c r="AE790" i="5"/>
  <c r="AF790" i="5"/>
  <c r="AG790" i="5"/>
  <c r="AH790" i="5"/>
  <c r="AI790" i="5"/>
  <c r="AJ790" i="5"/>
  <c r="AK790" i="5"/>
  <c r="AL790" i="5"/>
  <c r="AM790" i="5"/>
  <c r="AN790" i="5"/>
  <c r="AO790" i="5"/>
  <c r="AD791" i="5"/>
  <c r="AE791" i="5"/>
  <c r="AF791" i="5"/>
  <c r="AG791" i="5"/>
  <c r="AH791" i="5"/>
  <c r="AI791" i="5"/>
  <c r="AJ791" i="5"/>
  <c r="AK791" i="5"/>
  <c r="AL791" i="5"/>
  <c r="AM791" i="5"/>
  <c r="AN791" i="5"/>
  <c r="AO791" i="5"/>
  <c r="AD792" i="5"/>
  <c r="AE792" i="5"/>
  <c r="AF792" i="5"/>
  <c r="AG792" i="5"/>
  <c r="AH792" i="5"/>
  <c r="AI792" i="5"/>
  <c r="AJ792" i="5"/>
  <c r="AK792" i="5"/>
  <c r="AL792" i="5"/>
  <c r="AM792" i="5"/>
  <c r="AN792" i="5"/>
  <c r="AO792" i="5"/>
  <c r="AD793" i="5"/>
  <c r="AE793" i="5"/>
  <c r="AF793" i="5"/>
  <c r="AG793" i="5"/>
  <c r="AH793" i="5"/>
  <c r="AI793" i="5"/>
  <c r="AJ793" i="5"/>
  <c r="AK793" i="5"/>
  <c r="AL793" i="5"/>
  <c r="AM793" i="5"/>
  <c r="AN793" i="5"/>
  <c r="AO793" i="5"/>
  <c r="AD794" i="5"/>
  <c r="AE794" i="5"/>
  <c r="AF794" i="5"/>
  <c r="AG794" i="5"/>
  <c r="AH794" i="5"/>
  <c r="AI794" i="5"/>
  <c r="AJ794" i="5"/>
  <c r="AK794" i="5"/>
  <c r="AL794" i="5"/>
  <c r="AM794" i="5"/>
  <c r="AN794" i="5"/>
  <c r="AO794" i="5"/>
  <c r="AD795" i="5"/>
  <c r="AE795" i="5"/>
  <c r="AF795" i="5"/>
  <c r="AG795" i="5"/>
  <c r="AH795" i="5"/>
  <c r="AI795" i="5"/>
  <c r="AJ795" i="5"/>
  <c r="AK795" i="5"/>
  <c r="AL795" i="5"/>
  <c r="AM795" i="5"/>
  <c r="AN795" i="5"/>
  <c r="AO795" i="5"/>
  <c r="AD796" i="5"/>
  <c r="AE796" i="5"/>
  <c r="AF796" i="5"/>
  <c r="AG796" i="5"/>
  <c r="AH796" i="5"/>
  <c r="AI796" i="5"/>
  <c r="AJ796" i="5"/>
  <c r="AK796" i="5"/>
  <c r="AL796" i="5"/>
  <c r="AM796" i="5"/>
  <c r="AN796" i="5"/>
  <c r="AO796" i="5"/>
  <c r="AD797" i="5"/>
  <c r="AE797" i="5"/>
  <c r="AF797" i="5"/>
  <c r="AG797" i="5"/>
  <c r="AH797" i="5"/>
  <c r="AI797" i="5"/>
  <c r="AJ797" i="5"/>
  <c r="AK797" i="5"/>
  <c r="AL797" i="5"/>
  <c r="AM797" i="5"/>
  <c r="AN797" i="5"/>
  <c r="AO797" i="5"/>
  <c r="AD798" i="5"/>
  <c r="AE798" i="5"/>
  <c r="AF798" i="5"/>
  <c r="AG798" i="5"/>
  <c r="AH798" i="5"/>
  <c r="AI798" i="5"/>
  <c r="AJ798" i="5"/>
  <c r="AK798" i="5"/>
  <c r="AL798" i="5"/>
  <c r="AM798" i="5"/>
  <c r="AN798" i="5"/>
  <c r="AO798" i="5"/>
  <c r="AD799" i="5"/>
  <c r="AE799" i="5"/>
  <c r="AF799" i="5"/>
  <c r="AG799" i="5"/>
  <c r="AH799" i="5"/>
  <c r="AI799" i="5"/>
  <c r="AJ799" i="5"/>
  <c r="AK799" i="5"/>
  <c r="AL799" i="5"/>
  <c r="AM799" i="5"/>
  <c r="AN799" i="5"/>
  <c r="AO799" i="5"/>
  <c r="AD800" i="5"/>
  <c r="AE800" i="5"/>
  <c r="AF800" i="5"/>
  <c r="AG800" i="5"/>
  <c r="AH800" i="5"/>
  <c r="AI800" i="5"/>
  <c r="AJ800" i="5"/>
  <c r="AK800" i="5"/>
  <c r="AL800" i="5"/>
  <c r="AM800" i="5"/>
  <c r="AN800" i="5"/>
  <c r="AO800" i="5"/>
  <c r="AD801" i="5"/>
  <c r="AE801" i="5"/>
  <c r="AF801" i="5"/>
  <c r="AG801" i="5"/>
  <c r="AH801" i="5"/>
  <c r="AI801" i="5"/>
  <c r="AJ801" i="5"/>
  <c r="AK801" i="5"/>
  <c r="AL801" i="5"/>
  <c r="AM801" i="5"/>
  <c r="AN801" i="5"/>
  <c r="AO801" i="5"/>
  <c r="AD802" i="5"/>
  <c r="AE802" i="5"/>
  <c r="AF802" i="5"/>
  <c r="AG802" i="5"/>
  <c r="AH802" i="5"/>
  <c r="AI802" i="5"/>
  <c r="AJ802" i="5"/>
  <c r="AK802" i="5"/>
  <c r="AL802" i="5"/>
  <c r="AM802" i="5"/>
  <c r="AN802" i="5"/>
  <c r="AO802" i="5"/>
  <c r="AD803" i="5"/>
  <c r="AE803" i="5"/>
  <c r="AF803" i="5"/>
  <c r="AG803" i="5"/>
  <c r="AH803" i="5"/>
  <c r="AI803" i="5"/>
  <c r="AJ803" i="5"/>
  <c r="AK803" i="5"/>
  <c r="AL803" i="5"/>
  <c r="AM803" i="5"/>
  <c r="AN803" i="5"/>
  <c r="AO803" i="5"/>
  <c r="AD804" i="5"/>
  <c r="AE804" i="5"/>
  <c r="AF804" i="5"/>
  <c r="AG804" i="5"/>
  <c r="AH804" i="5"/>
  <c r="AI804" i="5"/>
  <c r="AJ804" i="5"/>
  <c r="AK804" i="5"/>
  <c r="AL804" i="5"/>
  <c r="AM804" i="5"/>
  <c r="AN804" i="5"/>
  <c r="AO804" i="5"/>
  <c r="AD805" i="5"/>
  <c r="AE805" i="5"/>
  <c r="AF805" i="5"/>
  <c r="AG805" i="5"/>
  <c r="AH805" i="5"/>
  <c r="AI805" i="5"/>
  <c r="AJ805" i="5"/>
  <c r="AK805" i="5"/>
  <c r="AL805" i="5"/>
  <c r="AM805" i="5"/>
  <c r="AN805" i="5"/>
  <c r="AO805" i="5"/>
  <c r="AD806" i="5"/>
  <c r="AE806" i="5"/>
  <c r="AF806" i="5"/>
  <c r="AG806" i="5"/>
  <c r="AH806" i="5"/>
  <c r="AI806" i="5"/>
  <c r="AJ806" i="5"/>
  <c r="AK806" i="5"/>
  <c r="AL806" i="5"/>
  <c r="AM806" i="5"/>
  <c r="AN806" i="5"/>
  <c r="AO806" i="5"/>
  <c r="AD807" i="5"/>
  <c r="AE807" i="5"/>
  <c r="AF807" i="5"/>
  <c r="AG807" i="5"/>
  <c r="AH807" i="5"/>
  <c r="AI807" i="5"/>
  <c r="AJ807" i="5"/>
  <c r="AK807" i="5"/>
  <c r="AL807" i="5"/>
  <c r="AM807" i="5"/>
  <c r="AN807" i="5"/>
  <c r="AO807" i="5"/>
  <c r="AD808" i="5"/>
  <c r="AE808" i="5"/>
  <c r="AF808" i="5"/>
  <c r="AG808" i="5"/>
  <c r="AH808" i="5"/>
  <c r="AI808" i="5"/>
  <c r="AJ808" i="5"/>
  <c r="AK808" i="5"/>
  <c r="AL808" i="5"/>
  <c r="AM808" i="5"/>
  <c r="AN808" i="5"/>
  <c r="AO808" i="5"/>
  <c r="AD809" i="5"/>
  <c r="AE809" i="5"/>
  <c r="AF809" i="5"/>
  <c r="AG809" i="5"/>
  <c r="AH809" i="5"/>
  <c r="AI809" i="5"/>
  <c r="AJ809" i="5"/>
  <c r="AK809" i="5"/>
  <c r="AL809" i="5"/>
  <c r="AM809" i="5"/>
  <c r="AN809" i="5"/>
  <c r="AO809" i="5"/>
  <c r="AD810" i="5"/>
  <c r="AE810" i="5"/>
  <c r="AF810" i="5"/>
  <c r="AG810" i="5"/>
  <c r="AH810" i="5"/>
  <c r="AI810" i="5"/>
  <c r="AJ810" i="5"/>
  <c r="AK810" i="5"/>
  <c r="AL810" i="5"/>
  <c r="AM810" i="5"/>
  <c r="AN810" i="5"/>
  <c r="AO810" i="5"/>
  <c r="AD811" i="5"/>
  <c r="AE811" i="5"/>
  <c r="AF811" i="5"/>
  <c r="AG811" i="5"/>
  <c r="AH811" i="5"/>
  <c r="AI811" i="5"/>
  <c r="AJ811" i="5"/>
  <c r="AK811" i="5"/>
  <c r="AL811" i="5"/>
  <c r="AM811" i="5"/>
  <c r="AN811" i="5"/>
  <c r="AO811" i="5"/>
  <c r="AD812" i="5"/>
  <c r="AE812" i="5"/>
  <c r="AF812" i="5"/>
  <c r="AG812" i="5"/>
  <c r="AH812" i="5"/>
  <c r="AI812" i="5"/>
  <c r="AJ812" i="5"/>
  <c r="AK812" i="5"/>
  <c r="AL812" i="5"/>
  <c r="AM812" i="5"/>
  <c r="AN812" i="5"/>
  <c r="AO812" i="5"/>
  <c r="AD813" i="5"/>
  <c r="AE813" i="5"/>
  <c r="AF813" i="5"/>
  <c r="AG813" i="5"/>
  <c r="AH813" i="5"/>
  <c r="AI813" i="5"/>
  <c r="AJ813" i="5"/>
  <c r="AK813" i="5"/>
  <c r="AL813" i="5"/>
  <c r="AM813" i="5"/>
  <c r="AN813" i="5"/>
  <c r="AO813" i="5"/>
  <c r="AD814" i="5"/>
  <c r="AE814" i="5"/>
  <c r="AF814" i="5"/>
  <c r="AG814" i="5"/>
  <c r="AH814" i="5"/>
  <c r="AI814" i="5"/>
  <c r="AJ814" i="5"/>
  <c r="AK814" i="5"/>
  <c r="AL814" i="5"/>
  <c r="AM814" i="5"/>
  <c r="AN814" i="5"/>
  <c r="AO814" i="5"/>
  <c r="AD815" i="5"/>
  <c r="AE815" i="5"/>
  <c r="AF815" i="5"/>
  <c r="AG815" i="5"/>
  <c r="AH815" i="5"/>
  <c r="AI815" i="5"/>
  <c r="AJ815" i="5"/>
  <c r="AK815" i="5"/>
  <c r="AL815" i="5"/>
  <c r="AM815" i="5"/>
  <c r="AN815" i="5"/>
  <c r="AO815" i="5"/>
  <c r="AD816" i="5"/>
  <c r="AE816" i="5"/>
  <c r="AF816" i="5"/>
  <c r="AG816" i="5"/>
  <c r="AH816" i="5"/>
  <c r="AI816" i="5"/>
  <c r="AJ816" i="5"/>
  <c r="AK816" i="5"/>
  <c r="AL816" i="5"/>
  <c r="AM816" i="5"/>
  <c r="AN816" i="5"/>
  <c r="AO816" i="5"/>
  <c r="AD817" i="5"/>
  <c r="AE817" i="5"/>
  <c r="AF817" i="5"/>
  <c r="AG817" i="5"/>
  <c r="AH817" i="5"/>
  <c r="AI817" i="5"/>
  <c r="AJ817" i="5"/>
  <c r="AK817" i="5"/>
  <c r="AL817" i="5"/>
  <c r="AM817" i="5"/>
  <c r="AN817" i="5"/>
  <c r="AO817" i="5"/>
  <c r="AD818" i="5"/>
  <c r="AE818" i="5"/>
  <c r="AF818" i="5"/>
  <c r="AG818" i="5"/>
  <c r="AH818" i="5"/>
  <c r="AI818" i="5"/>
  <c r="AJ818" i="5"/>
  <c r="AK818" i="5"/>
  <c r="AL818" i="5"/>
  <c r="AM818" i="5"/>
  <c r="AN818" i="5"/>
  <c r="AO818" i="5"/>
  <c r="AD819" i="5"/>
  <c r="AE819" i="5"/>
  <c r="AF819" i="5"/>
  <c r="AG819" i="5"/>
  <c r="AH819" i="5"/>
  <c r="AI819" i="5"/>
  <c r="AJ819" i="5"/>
  <c r="AK819" i="5"/>
  <c r="AL819" i="5"/>
  <c r="AM819" i="5"/>
  <c r="AN819" i="5"/>
  <c r="AO819" i="5"/>
  <c r="AD820" i="5"/>
  <c r="AE820" i="5"/>
  <c r="AF820" i="5"/>
  <c r="AG820" i="5"/>
  <c r="AH820" i="5"/>
  <c r="AI820" i="5"/>
  <c r="AJ820" i="5"/>
  <c r="AK820" i="5"/>
  <c r="AL820" i="5"/>
  <c r="AM820" i="5"/>
  <c r="AN820" i="5"/>
  <c r="AO820" i="5"/>
  <c r="AD821" i="5"/>
  <c r="AE821" i="5"/>
  <c r="AF821" i="5"/>
  <c r="AG821" i="5"/>
  <c r="AH821" i="5"/>
  <c r="AI821" i="5"/>
  <c r="AJ821" i="5"/>
  <c r="AK821" i="5"/>
  <c r="AL821" i="5"/>
  <c r="AM821" i="5"/>
  <c r="AN821" i="5"/>
  <c r="AO821" i="5"/>
  <c r="AD822" i="5"/>
  <c r="AE822" i="5"/>
  <c r="AF822" i="5"/>
  <c r="AG822" i="5"/>
  <c r="AH822" i="5"/>
  <c r="AI822" i="5"/>
  <c r="AJ822" i="5"/>
  <c r="AK822" i="5"/>
  <c r="AL822" i="5"/>
  <c r="AM822" i="5"/>
  <c r="AN822" i="5"/>
  <c r="AO822" i="5"/>
  <c r="AD823" i="5"/>
  <c r="AE823" i="5"/>
  <c r="AF823" i="5"/>
  <c r="AG823" i="5"/>
  <c r="AH823" i="5"/>
  <c r="AI823" i="5"/>
  <c r="AJ823" i="5"/>
  <c r="AK823" i="5"/>
  <c r="AL823" i="5"/>
  <c r="AM823" i="5"/>
  <c r="AN823" i="5"/>
  <c r="AO823" i="5"/>
  <c r="AD824" i="5"/>
  <c r="AE824" i="5"/>
  <c r="AF824" i="5"/>
  <c r="AG824" i="5"/>
  <c r="AH824" i="5"/>
  <c r="AI824" i="5"/>
  <c r="AJ824" i="5"/>
  <c r="AK824" i="5"/>
  <c r="AL824" i="5"/>
  <c r="AM824" i="5"/>
  <c r="AN824" i="5"/>
  <c r="AO824" i="5"/>
  <c r="AD825" i="5"/>
  <c r="AE825" i="5"/>
  <c r="AF825" i="5"/>
  <c r="AG825" i="5"/>
  <c r="AH825" i="5"/>
  <c r="AI825" i="5"/>
  <c r="AJ825" i="5"/>
  <c r="AK825" i="5"/>
  <c r="AL825" i="5"/>
  <c r="AM825" i="5"/>
  <c r="AN825" i="5"/>
  <c r="AO825" i="5"/>
  <c r="AD826" i="5"/>
  <c r="AE826" i="5"/>
  <c r="AF826" i="5"/>
  <c r="AG826" i="5"/>
  <c r="AH826" i="5"/>
  <c r="AI826" i="5"/>
  <c r="AJ826" i="5"/>
  <c r="AK826" i="5"/>
  <c r="AL826" i="5"/>
  <c r="AM826" i="5"/>
  <c r="AN826" i="5"/>
  <c r="AO826" i="5"/>
  <c r="AD827" i="5"/>
  <c r="AE827" i="5"/>
  <c r="AF827" i="5"/>
  <c r="AG827" i="5"/>
  <c r="AH827" i="5"/>
  <c r="AI827" i="5"/>
  <c r="AJ827" i="5"/>
  <c r="AK827" i="5"/>
  <c r="AL827" i="5"/>
  <c r="AM827" i="5"/>
  <c r="AN827" i="5"/>
  <c r="AO827" i="5"/>
  <c r="AD828" i="5"/>
  <c r="AE828" i="5"/>
  <c r="AF828" i="5"/>
  <c r="AG828" i="5"/>
  <c r="AH828" i="5"/>
  <c r="AI828" i="5"/>
  <c r="AJ828" i="5"/>
  <c r="AK828" i="5"/>
  <c r="AL828" i="5"/>
  <c r="AM828" i="5"/>
  <c r="AN828" i="5"/>
  <c r="AO828" i="5"/>
  <c r="AD829" i="5"/>
  <c r="AE829" i="5"/>
  <c r="AF829" i="5"/>
  <c r="AG829" i="5"/>
  <c r="AH829" i="5"/>
  <c r="AI829" i="5"/>
  <c r="AJ829" i="5"/>
  <c r="AK829" i="5"/>
  <c r="AL829" i="5"/>
  <c r="AM829" i="5"/>
  <c r="AN829" i="5"/>
  <c r="AO829" i="5"/>
  <c r="AD830" i="5"/>
  <c r="AE830" i="5"/>
  <c r="AF830" i="5"/>
  <c r="AG830" i="5"/>
  <c r="AH830" i="5"/>
  <c r="AI830" i="5"/>
  <c r="AJ830" i="5"/>
  <c r="AK830" i="5"/>
  <c r="AL830" i="5"/>
  <c r="AM830" i="5"/>
  <c r="AN830" i="5"/>
  <c r="AO830" i="5"/>
  <c r="AD831" i="5"/>
  <c r="AE831" i="5"/>
  <c r="AF831" i="5"/>
  <c r="AG831" i="5"/>
  <c r="AH831" i="5"/>
  <c r="AI831" i="5"/>
  <c r="AJ831" i="5"/>
  <c r="AK831" i="5"/>
  <c r="AL831" i="5"/>
  <c r="AM831" i="5"/>
  <c r="AN831" i="5"/>
  <c r="AO831" i="5"/>
  <c r="AD832" i="5"/>
  <c r="AE832" i="5"/>
  <c r="AF832" i="5"/>
  <c r="AG832" i="5"/>
  <c r="AH832" i="5"/>
  <c r="AI832" i="5"/>
  <c r="AJ832" i="5"/>
  <c r="AK832" i="5"/>
  <c r="AL832" i="5"/>
  <c r="AM832" i="5"/>
  <c r="AN832" i="5"/>
  <c r="AO832" i="5"/>
  <c r="AD833" i="5"/>
  <c r="AE833" i="5"/>
  <c r="AF833" i="5"/>
  <c r="AG833" i="5"/>
  <c r="AH833" i="5"/>
  <c r="AI833" i="5"/>
  <c r="AJ833" i="5"/>
  <c r="AK833" i="5"/>
  <c r="AL833" i="5"/>
  <c r="AM833" i="5"/>
  <c r="AN833" i="5"/>
  <c r="AO833" i="5"/>
  <c r="AD834" i="5"/>
  <c r="AE834" i="5"/>
  <c r="AF834" i="5"/>
  <c r="AG834" i="5"/>
  <c r="AH834" i="5"/>
  <c r="AI834" i="5"/>
  <c r="AJ834" i="5"/>
  <c r="AK834" i="5"/>
  <c r="AL834" i="5"/>
  <c r="AM834" i="5"/>
  <c r="AN834" i="5"/>
  <c r="AO834" i="5"/>
  <c r="AD835" i="5"/>
  <c r="AE835" i="5"/>
  <c r="AF835" i="5"/>
  <c r="AG835" i="5"/>
  <c r="AH835" i="5"/>
  <c r="AI835" i="5"/>
  <c r="AJ835" i="5"/>
  <c r="AK835" i="5"/>
  <c r="AL835" i="5"/>
  <c r="AM835" i="5"/>
  <c r="AN835" i="5"/>
  <c r="AO835" i="5"/>
  <c r="AD836" i="5"/>
  <c r="AE836" i="5"/>
  <c r="AF836" i="5"/>
  <c r="AG836" i="5"/>
  <c r="AH836" i="5"/>
  <c r="AI836" i="5"/>
  <c r="AJ836" i="5"/>
  <c r="AK836" i="5"/>
  <c r="AL836" i="5"/>
  <c r="AM836" i="5"/>
  <c r="AN836" i="5"/>
  <c r="AO836" i="5"/>
  <c r="AD837" i="5"/>
  <c r="AE837" i="5"/>
  <c r="AF837" i="5"/>
  <c r="AG837" i="5"/>
  <c r="AH837" i="5"/>
  <c r="AI837" i="5"/>
  <c r="AJ837" i="5"/>
  <c r="AK837" i="5"/>
  <c r="AL837" i="5"/>
  <c r="AM837" i="5"/>
  <c r="AN837" i="5"/>
  <c r="AO837" i="5"/>
  <c r="AD838" i="5"/>
  <c r="AE838" i="5"/>
  <c r="AF838" i="5"/>
  <c r="AG838" i="5"/>
  <c r="AH838" i="5"/>
  <c r="AI838" i="5"/>
  <c r="AJ838" i="5"/>
  <c r="AK838" i="5"/>
  <c r="AL838" i="5"/>
  <c r="AM838" i="5"/>
  <c r="AN838" i="5"/>
  <c r="AO838" i="5"/>
  <c r="AD839" i="5"/>
  <c r="AE839" i="5"/>
  <c r="AF839" i="5"/>
  <c r="AG839" i="5"/>
  <c r="AH839" i="5"/>
  <c r="AI839" i="5"/>
  <c r="AJ839" i="5"/>
  <c r="AK839" i="5"/>
  <c r="AL839" i="5"/>
  <c r="AM839" i="5"/>
  <c r="AN839" i="5"/>
  <c r="AO839" i="5"/>
  <c r="AD840" i="5"/>
  <c r="AE840" i="5"/>
  <c r="AF840" i="5"/>
  <c r="AG840" i="5"/>
  <c r="AH840" i="5"/>
  <c r="AI840" i="5"/>
  <c r="AJ840" i="5"/>
  <c r="AK840" i="5"/>
  <c r="AL840" i="5"/>
  <c r="AM840" i="5"/>
  <c r="AN840" i="5"/>
  <c r="AO840" i="5"/>
  <c r="AD841" i="5"/>
  <c r="AE841" i="5"/>
  <c r="AF841" i="5"/>
  <c r="AG841" i="5"/>
  <c r="AH841" i="5"/>
  <c r="AI841" i="5"/>
  <c r="AJ841" i="5"/>
  <c r="AK841" i="5"/>
  <c r="AL841" i="5"/>
  <c r="AM841" i="5"/>
  <c r="AN841" i="5"/>
  <c r="AO841" i="5"/>
  <c r="AD842" i="5"/>
  <c r="AE842" i="5"/>
  <c r="AF842" i="5"/>
  <c r="AG842" i="5"/>
  <c r="AH842" i="5"/>
  <c r="AI842" i="5"/>
  <c r="AJ842" i="5"/>
  <c r="AK842" i="5"/>
  <c r="AL842" i="5"/>
  <c r="AM842" i="5"/>
  <c r="AN842" i="5"/>
  <c r="AO842" i="5"/>
  <c r="AD843" i="5"/>
  <c r="AE843" i="5"/>
  <c r="AF843" i="5"/>
  <c r="AG843" i="5"/>
  <c r="AH843" i="5"/>
  <c r="AI843" i="5"/>
  <c r="AJ843" i="5"/>
  <c r="AK843" i="5"/>
  <c r="AL843" i="5"/>
  <c r="AM843" i="5"/>
  <c r="AN843" i="5"/>
  <c r="AO843" i="5"/>
  <c r="AD844" i="5"/>
  <c r="AE844" i="5"/>
  <c r="AF844" i="5"/>
  <c r="AG844" i="5"/>
  <c r="AH844" i="5"/>
  <c r="AI844" i="5"/>
  <c r="AJ844" i="5"/>
  <c r="AK844" i="5"/>
  <c r="AL844" i="5"/>
  <c r="AM844" i="5"/>
  <c r="AN844" i="5"/>
  <c r="AO844" i="5"/>
  <c r="AD845" i="5"/>
  <c r="AE845" i="5"/>
  <c r="AF845" i="5"/>
  <c r="AG845" i="5"/>
  <c r="AH845" i="5"/>
  <c r="AI845" i="5"/>
  <c r="AJ845" i="5"/>
  <c r="AK845" i="5"/>
  <c r="AL845" i="5"/>
  <c r="AM845" i="5"/>
  <c r="AN845" i="5"/>
  <c r="AO845" i="5"/>
  <c r="AD846" i="5"/>
  <c r="AE846" i="5"/>
  <c r="AF846" i="5"/>
  <c r="AG846" i="5"/>
  <c r="AH846" i="5"/>
  <c r="AI846" i="5"/>
  <c r="AJ846" i="5"/>
  <c r="AK846" i="5"/>
  <c r="AL846" i="5"/>
  <c r="AM846" i="5"/>
  <c r="AN846" i="5"/>
  <c r="AO846" i="5"/>
  <c r="AD847" i="5"/>
  <c r="AE847" i="5"/>
  <c r="AF847" i="5"/>
  <c r="AG847" i="5"/>
  <c r="AH847" i="5"/>
  <c r="AI847" i="5"/>
  <c r="AJ847" i="5"/>
  <c r="AK847" i="5"/>
  <c r="AL847" i="5"/>
  <c r="AM847" i="5"/>
  <c r="AN847" i="5"/>
  <c r="AO847" i="5"/>
  <c r="AD848" i="5"/>
  <c r="AE848" i="5"/>
  <c r="AF848" i="5"/>
  <c r="AG848" i="5"/>
  <c r="AH848" i="5"/>
  <c r="AI848" i="5"/>
  <c r="AJ848" i="5"/>
  <c r="AK848" i="5"/>
  <c r="AL848" i="5"/>
  <c r="AM848" i="5"/>
  <c r="AN848" i="5"/>
  <c r="AO848" i="5"/>
  <c r="AD849" i="5"/>
  <c r="AE849" i="5"/>
  <c r="AF849" i="5"/>
  <c r="AG849" i="5"/>
  <c r="AH849" i="5"/>
  <c r="AI849" i="5"/>
  <c r="AJ849" i="5"/>
  <c r="AK849" i="5"/>
  <c r="AL849" i="5"/>
  <c r="AM849" i="5"/>
  <c r="AN849" i="5"/>
  <c r="AO849" i="5"/>
  <c r="AD850" i="5"/>
  <c r="AE850" i="5"/>
  <c r="AF850" i="5"/>
  <c r="AG850" i="5"/>
  <c r="AH850" i="5"/>
  <c r="AI850" i="5"/>
  <c r="AJ850" i="5"/>
  <c r="AK850" i="5"/>
  <c r="AL850" i="5"/>
  <c r="AM850" i="5"/>
  <c r="AN850" i="5"/>
  <c r="AO850" i="5"/>
  <c r="AD851" i="5"/>
  <c r="AE851" i="5"/>
  <c r="AF851" i="5"/>
  <c r="AG851" i="5"/>
  <c r="AH851" i="5"/>
  <c r="AI851" i="5"/>
  <c r="AJ851" i="5"/>
  <c r="AK851" i="5"/>
  <c r="AL851" i="5"/>
  <c r="AM851" i="5"/>
  <c r="AN851" i="5"/>
  <c r="AO851" i="5"/>
  <c r="AD852" i="5"/>
  <c r="AE852" i="5"/>
  <c r="AF852" i="5"/>
  <c r="AG852" i="5"/>
  <c r="AH852" i="5"/>
  <c r="AI852" i="5"/>
  <c r="AJ852" i="5"/>
  <c r="AK852" i="5"/>
  <c r="AL852" i="5"/>
  <c r="AM852" i="5"/>
  <c r="AN852" i="5"/>
  <c r="AO852" i="5"/>
  <c r="AD853" i="5"/>
  <c r="AE853" i="5"/>
  <c r="AF853" i="5"/>
  <c r="AG853" i="5"/>
  <c r="AH853" i="5"/>
  <c r="AI853" i="5"/>
  <c r="AJ853" i="5"/>
  <c r="AK853" i="5"/>
  <c r="AL853" i="5"/>
  <c r="AM853" i="5"/>
  <c r="AN853" i="5"/>
  <c r="AO853" i="5"/>
  <c r="AD854" i="5"/>
  <c r="AE854" i="5"/>
  <c r="AF854" i="5"/>
  <c r="AG854" i="5"/>
  <c r="AH854" i="5"/>
  <c r="AI854" i="5"/>
  <c r="AJ854" i="5"/>
  <c r="AK854" i="5"/>
  <c r="AL854" i="5"/>
  <c r="AM854" i="5"/>
  <c r="AN854" i="5"/>
  <c r="AO854" i="5"/>
  <c r="AD855" i="5"/>
  <c r="AE855" i="5"/>
  <c r="AF855" i="5"/>
  <c r="AG855" i="5"/>
  <c r="AH855" i="5"/>
  <c r="AI855" i="5"/>
  <c r="AJ855" i="5"/>
  <c r="AK855" i="5"/>
  <c r="AL855" i="5"/>
  <c r="AM855" i="5"/>
  <c r="AN855" i="5"/>
  <c r="AO855" i="5"/>
  <c r="AD856" i="5"/>
  <c r="AE856" i="5"/>
  <c r="AF856" i="5"/>
  <c r="AG856" i="5"/>
  <c r="AH856" i="5"/>
  <c r="AI856" i="5"/>
  <c r="AJ856" i="5"/>
  <c r="AK856" i="5"/>
  <c r="AL856" i="5"/>
  <c r="AM856" i="5"/>
  <c r="AN856" i="5"/>
  <c r="AO856" i="5"/>
  <c r="AD857" i="5"/>
  <c r="AE857" i="5"/>
  <c r="AF857" i="5"/>
  <c r="AG857" i="5"/>
  <c r="AH857" i="5"/>
  <c r="AI857" i="5"/>
  <c r="AJ857" i="5"/>
  <c r="AK857" i="5"/>
  <c r="AL857" i="5"/>
  <c r="AM857" i="5"/>
  <c r="AN857" i="5"/>
  <c r="AO857" i="5"/>
  <c r="AD858" i="5"/>
  <c r="AE858" i="5"/>
  <c r="AF858" i="5"/>
  <c r="AG858" i="5"/>
  <c r="AH858" i="5"/>
  <c r="AI858" i="5"/>
  <c r="AJ858" i="5"/>
  <c r="AK858" i="5"/>
  <c r="AL858" i="5"/>
  <c r="AM858" i="5"/>
  <c r="AN858" i="5"/>
  <c r="AO858" i="5"/>
  <c r="AD859" i="5"/>
  <c r="AE859" i="5"/>
  <c r="AF859" i="5"/>
  <c r="AG859" i="5"/>
  <c r="AH859" i="5"/>
  <c r="AI859" i="5"/>
  <c r="AJ859" i="5"/>
  <c r="AK859" i="5"/>
  <c r="AL859" i="5"/>
  <c r="AM859" i="5"/>
  <c r="AN859" i="5"/>
  <c r="AO859" i="5"/>
  <c r="AD860" i="5"/>
  <c r="AE860" i="5"/>
  <c r="AF860" i="5"/>
  <c r="AG860" i="5"/>
  <c r="AH860" i="5"/>
  <c r="AI860" i="5"/>
  <c r="AJ860" i="5"/>
  <c r="AK860" i="5"/>
  <c r="AL860" i="5"/>
  <c r="AM860" i="5"/>
  <c r="AN860" i="5"/>
  <c r="AO860" i="5"/>
  <c r="AD861" i="5"/>
  <c r="AE861" i="5"/>
  <c r="AF861" i="5"/>
  <c r="AG861" i="5"/>
  <c r="AH861" i="5"/>
  <c r="AI861" i="5"/>
  <c r="AJ861" i="5"/>
  <c r="AK861" i="5"/>
  <c r="AL861" i="5"/>
  <c r="AM861" i="5"/>
  <c r="AN861" i="5"/>
  <c r="AO861" i="5"/>
  <c r="AD862" i="5"/>
  <c r="AE862" i="5"/>
  <c r="AF862" i="5"/>
  <c r="AG862" i="5"/>
  <c r="AH862" i="5"/>
  <c r="AI862" i="5"/>
  <c r="AJ862" i="5"/>
  <c r="AK862" i="5"/>
  <c r="AL862" i="5"/>
  <c r="AM862" i="5"/>
  <c r="AN862" i="5"/>
  <c r="AO862" i="5"/>
  <c r="AD863" i="5"/>
  <c r="AE863" i="5"/>
  <c r="AF863" i="5"/>
  <c r="AG863" i="5"/>
  <c r="AH863" i="5"/>
  <c r="AI863" i="5"/>
  <c r="AJ863" i="5"/>
  <c r="AK863" i="5"/>
  <c r="AL863" i="5"/>
  <c r="AM863" i="5"/>
  <c r="AN863" i="5"/>
  <c r="AO863" i="5"/>
  <c r="AD864" i="5"/>
  <c r="AE864" i="5"/>
  <c r="AF864" i="5"/>
  <c r="AG864" i="5"/>
  <c r="AH864" i="5"/>
  <c r="AI864" i="5"/>
  <c r="AJ864" i="5"/>
  <c r="AK864" i="5"/>
  <c r="AL864" i="5"/>
  <c r="AM864" i="5"/>
  <c r="AN864" i="5"/>
  <c r="AO864" i="5"/>
  <c r="AD865" i="5"/>
  <c r="AE865" i="5"/>
  <c r="AF865" i="5"/>
  <c r="AG865" i="5"/>
  <c r="AH865" i="5"/>
  <c r="AI865" i="5"/>
  <c r="AJ865" i="5"/>
  <c r="AK865" i="5"/>
  <c r="AL865" i="5"/>
  <c r="AM865" i="5"/>
  <c r="AN865" i="5"/>
  <c r="AO865" i="5"/>
  <c r="AD866" i="5"/>
  <c r="AE866" i="5"/>
  <c r="AF866" i="5"/>
  <c r="AG866" i="5"/>
  <c r="AH866" i="5"/>
  <c r="AI866" i="5"/>
  <c r="AJ866" i="5"/>
  <c r="AK866" i="5"/>
  <c r="AL866" i="5"/>
  <c r="AM866" i="5"/>
  <c r="AN866" i="5"/>
  <c r="AO866" i="5"/>
  <c r="AD867" i="5"/>
  <c r="AE867" i="5"/>
  <c r="AF867" i="5"/>
  <c r="AG867" i="5"/>
  <c r="AH867" i="5"/>
  <c r="AI867" i="5"/>
  <c r="AJ867" i="5"/>
  <c r="AK867" i="5"/>
  <c r="AL867" i="5"/>
  <c r="AM867" i="5"/>
  <c r="AN867" i="5"/>
  <c r="AO867" i="5"/>
  <c r="AD868" i="5"/>
  <c r="AE868" i="5"/>
  <c r="AF868" i="5"/>
  <c r="AG868" i="5"/>
  <c r="AH868" i="5"/>
  <c r="AI868" i="5"/>
  <c r="AJ868" i="5"/>
  <c r="AK868" i="5"/>
  <c r="AL868" i="5"/>
  <c r="AM868" i="5"/>
  <c r="AN868" i="5"/>
  <c r="AO868" i="5"/>
  <c r="AD869" i="5"/>
  <c r="AE869" i="5"/>
  <c r="AF869" i="5"/>
  <c r="AG869" i="5"/>
  <c r="AH869" i="5"/>
  <c r="AI869" i="5"/>
  <c r="AJ869" i="5"/>
  <c r="AK869" i="5"/>
  <c r="AL869" i="5"/>
  <c r="AM869" i="5"/>
  <c r="AN869" i="5"/>
  <c r="AO869" i="5"/>
  <c r="AD870" i="5"/>
  <c r="AE870" i="5"/>
  <c r="AF870" i="5"/>
  <c r="AG870" i="5"/>
  <c r="AH870" i="5"/>
  <c r="AI870" i="5"/>
  <c r="AJ870" i="5"/>
  <c r="AK870" i="5"/>
  <c r="AL870" i="5"/>
  <c r="AM870" i="5"/>
  <c r="AN870" i="5"/>
  <c r="AO870" i="5"/>
  <c r="AD871" i="5"/>
  <c r="AE871" i="5"/>
  <c r="AF871" i="5"/>
  <c r="AG871" i="5"/>
  <c r="AH871" i="5"/>
  <c r="AI871" i="5"/>
  <c r="AJ871" i="5"/>
  <c r="AK871" i="5"/>
  <c r="AL871" i="5"/>
  <c r="AM871" i="5"/>
  <c r="AN871" i="5"/>
  <c r="AO871" i="5"/>
  <c r="AD872" i="5"/>
  <c r="AE872" i="5"/>
  <c r="AF872" i="5"/>
  <c r="AG872" i="5"/>
  <c r="AH872" i="5"/>
  <c r="AI872" i="5"/>
  <c r="AJ872" i="5"/>
  <c r="AK872" i="5"/>
  <c r="AL872" i="5"/>
  <c r="AM872" i="5"/>
  <c r="AN872" i="5"/>
  <c r="AO872" i="5"/>
  <c r="AD873" i="5"/>
  <c r="AE873" i="5"/>
  <c r="AF873" i="5"/>
  <c r="AG873" i="5"/>
  <c r="AH873" i="5"/>
  <c r="AI873" i="5"/>
  <c r="AJ873" i="5"/>
  <c r="AK873" i="5"/>
  <c r="AL873" i="5"/>
  <c r="AM873" i="5"/>
  <c r="AN873" i="5"/>
  <c r="AO873" i="5"/>
  <c r="AD874" i="5"/>
  <c r="AE874" i="5"/>
  <c r="AF874" i="5"/>
  <c r="AG874" i="5"/>
  <c r="AH874" i="5"/>
  <c r="AI874" i="5"/>
  <c r="AJ874" i="5"/>
  <c r="AK874" i="5"/>
  <c r="AL874" i="5"/>
  <c r="AM874" i="5"/>
  <c r="AN874" i="5"/>
  <c r="AO874" i="5"/>
  <c r="AD875" i="5"/>
  <c r="AE875" i="5"/>
  <c r="AF875" i="5"/>
  <c r="AG875" i="5"/>
  <c r="AH875" i="5"/>
  <c r="AI875" i="5"/>
  <c r="AJ875" i="5"/>
  <c r="AK875" i="5"/>
  <c r="AL875" i="5"/>
  <c r="AM875" i="5"/>
  <c r="AN875" i="5"/>
  <c r="AO875" i="5"/>
  <c r="AD876" i="5"/>
  <c r="AE876" i="5"/>
  <c r="AF876" i="5"/>
  <c r="AG876" i="5"/>
  <c r="AH876" i="5"/>
  <c r="AI876" i="5"/>
  <c r="AJ876" i="5"/>
  <c r="AK876" i="5"/>
  <c r="AL876" i="5"/>
  <c r="AM876" i="5"/>
  <c r="AN876" i="5"/>
  <c r="AO876" i="5"/>
  <c r="AD877" i="5"/>
  <c r="AE877" i="5"/>
  <c r="AF877" i="5"/>
  <c r="AG877" i="5"/>
  <c r="AH877" i="5"/>
  <c r="AI877" i="5"/>
  <c r="AJ877" i="5"/>
  <c r="AK877" i="5"/>
  <c r="AL877" i="5"/>
  <c r="AM877" i="5"/>
  <c r="AN877" i="5"/>
  <c r="AO877" i="5"/>
  <c r="AD878" i="5"/>
  <c r="AE878" i="5"/>
  <c r="AF878" i="5"/>
  <c r="AG878" i="5"/>
  <c r="AH878" i="5"/>
  <c r="AI878" i="5"/>
  <c r="AJ878" i="5"/>
  <c r="AK878" i="5"/>
  <c r="AL878" i="5"/>
  <c r="AM878" i="5"/>
  <c r="AN878" i="5"/>
  <c r="AO878" i="5"/>
  <c r="AD879" i="5"/>
  <c r="AE879" i="5"/>
  <c r="AF879" i="5"/>
  <c r="AG879" i="5"/>
  <c r="AH879" i="5"/>
  <c r="AI879" i="5"/>
  <c r="AJ879" i="5"/>
  <c r="AK879" i="5"/>
  <c r="AL879" i="5"/>
  <c r="AM879" i="5"/>
  <c r="AN879" i="5"/>
  <c r="AO879" i="5"/>
  <c r="AD880" i="5"/>
  <c r="AE880" i="5"/>
  <c r="AF880" i="5"/>
  <c r="AG880" i="5"/>
  <c r="AH880" i="5"/>
  <c r="AI880" i="5"/>
  <c r="AJ880" i="5"/>
  <c r="AK880" i="5"/>
  <c r="AL880" i="5"/>
  <c r="AM880" i="5"/>
  <c r="AN880" i="5"/>
  <c r="AO880" i="5"/>
  <c r="AD881" i="5"/>
  <c r="AE881" i="5"/>
  <c r="AF881" i="5"/>
  <c r="AG881" i="5"/>
  <c r="AH881" i="5"/>
  <c r="AI881" i="5"/>
  <c r="AJ881" i="5"/>
  <c r="AK881" i="5"/>
  <c r="AL881" i="5"/>
  <c r="AM881" i="5"/>
  <c r="AN881" i="5"/>
  <c r="AO881" i="5"/>
  <c r="AD882" i="5"/>
  <c r="AE882" i="5"/>
  <c r="AF882" i="5"/>
  <c r="AG882" i="5"/>
  <c r="AH882" i="5"/>
  <c r="AI882" i="5"/>
  <c r="AJ882" i="5"/>
  <c r="AK882" i="5"/>
  <c r="AL882" i="5"/>
  <c r="AM882" i="5"/>
  <c r="AN882" i="5"/>
  <c r="AO882" i="5"/>
  <c r="AD883" i="5"/>
  <c r="AE883" i="5"/>
  <c r="AF883" i="5"/>
  <c r="AG883" i="5"/>
  <c r="AH883" i="5"/>
  <c r="AI883" i="5"/>
  <c r="AJ883" i="5"/>
  <c r="AK883" i="5"/>
  <c r="AL883" i="5"/>
  <c r="AM883" i="5"/>
  <c r="AN883" i="5"/>
  <c r="AO883" i="5"/>
  <c r="AD884" i="5"/>
  <c r="AE884" i="5"/>
  <c r="AF884" i="5"/>
  <c r="AG884" i="5"/>
  <c r="AH884" i="5"/>
  <c r="AI884" i="5"/>
  <c r="AJ884" i="5"/>
  <c r="AK884" i="5"/>
  <c r="AL884" i="5"/>
  <c r="AM884" i="5"/>
  <c r="AN884" i="5"/>
  <c r="AO884" i="5"/>
  <c r="AD885" i="5"/>
  <c r="AE885" i="5"/>
  <c r="AF885" i="5"/>
  <c r="AG885" i="5"/>
  <c r="AH885" i="5"/>
  <c r="AI885" i="5"/>
  <c r="AJ885" i="5"/>
  <c r="AK885" i="5"/>
  <c r="AL885" i="5"/>
  <c r="AM885" i="5"/>
  <c r="AN885" i="5"/>
  <c r="AO885" i="5"/>
  <c r="AD886" i="5"/>
  <c r="AE886" i="5"/>
  <c r="AF886" i="5"/>
  <c r="AG886" i="5"/>
  <c r="AH886" i="5"/>
  <c r="AI886" i="5"/>
  <c r="AJ886" i="5"/>
  <c r="AK886" i="5"/>
  <c r="AL886" i="5"/>
  <c r="AM886" i="5"/>
  <c r="AN886" i="5"/>
  <c r="AO886" i="5"/>
  <c r="AD887" i="5"/>
  <c r="AE887" i="5"/>
  <c r="AF887" i="5"/>
  <c r="AG887" i="5"/>
  <c r="AH887" i="5"/>
  <c r="AI887" i="5"/>
  <c r="AJ887" i="5"/>
  <c r="AK887" i="5"/>
  <c r="AL887" i="5"/>
  <c r="AM887" i="5"/>
  <c r="AN887" i="5"/>
  <c r="AO887" i="5"/>
  <c r="AD888" i="5"/>
  <c r="AE888" i="5"/>
  <c r="AF888" i="5"/>
  <c r="AG888" i="5"/>
  <c r="AH888" i="5"/>
  <c r="AI888" i="5"/>
  <c r="AJ888" i="5"/>
  <c r="AK888" i="5"/>
  <c r="AL888" i="5"/>
  <c r="AM888" i="5"/>
  <c r="AN888" i="5"/>
  <c r="AO888" i="5"/>
  <c r="AD889" i="5"/>
  <c r="AE889" i="5"/>
  <c r="AF889" i="5"/>
  <c r="AG889" i="5"/>
  <c r="AH889" i="5"/>
  <c r="AI889" i="5"/>
  <c r="AJ889" i="5"/>
  <c r="AK889" i="5"/>
  <c r="AL889" i="5"/>
  <c r="AM889" i="5"/>
  <c r="AN889" i="5"/>
  <c r="AO889" i="5"/>
  <c r="AD890" i="5"/>
  <c r="AE890" i="5"/>
  <c r="AF890" i="5"/>
  <c r="AG890" i="5"/>
  <c r="AH890" i="5"/>
  <c r="AI890" i="5"/>
  <c r="AJ890" i="5"/>
  <c r="AK890" i="5"/>
  <c r="AL890" i="5"/>
  <c r="AM890" i="5"/>
  <c r="AN890" i="5"/>
  <c r="AO890" i="5"/>
  <c r="AD891" i="5"/>
  <c r="AE891" i="5"/>
  <c r="AF891" i="5"/>
  <c r="AG891" i="5"/>
  <c r="AH891" i="5"/>
  <c r="AI891" i="5"/>
  <c r="AJ891" i="5"/>
  <c r="AK891" i="5"/>
  <c r="AL891" i="5"/>
  <c r="AM891" i="5"/>
  <c r="AN891" i="5"/>
  <c r="AO891" i="5"/>
  <c r="AD892" i="5"/>
  <c r="AE892" i="5"/>
  <c r="AF892" i="5"/>
  <c r="AG892" i="5"/>
  <c r="AH892" i="5"/>
  <c r="AI892" i="5"/>
  <c r="AJ892" i="5"/>
  <c r="AK892" i="5"/>
  <c r="AL892" i="5"/>
  <c r="AM892" i="5"/>
  <c r="AN892" i="5"/>
  <c r="AO892" i="5"/>
  <c r="AD893" i="5"/>
  <c r="AE893" i="5"/>
  <c r="AF893" i="5"/>
  <c r="AG893" i="5"/>
  <c r="AH893" i="5"/>
  <c r="AI893" i="5"/>
  <c r="AJ893" i="5"/>
  <c r="AK893" i="5"/>
  <c r="AL893" i="5"/>
  <c r="AM893" i="5"/>
  <c r="AN893" i="5"/>
  <c r="AO893" i="5"/>
  <c r="AD894" i="5"/>
  <c r="AE894" i="5"/>
  <c r="AF894" i="5"/>
  <c r="AG894" i="5"/>
  <c r="AH894" i="5"/>
  <c r="AI894" i="5"/>
  <c r="AJ894" i="5"/>
  <c r="AK894" i="5"/>
  <c r="AL894" i="5"/>
  <c r="AM894" i="5"/>
  <c r="AN894" i="5"/>
  <c r="AO894" i="5"/>
  <c r="AD895" i="5"/>
  <c r="AE895" i="5"/>
  <c r="AF895" i="5"/>
  <c r="AG895" i="5"/>
  <c r="AH895" i="5"/>
  <c r="AI895" i="5"/>
  <c r="AJ895" i="5"/>
  <c r="AK895" i="5"/>
  <c r="AL895" i="5"/>
  <c r="AM895" i="5"/>
  <c r="AN895" i="5"/>
  <c r="AO895" i="5"/>
  <c r="AD896" i="5"/>
  <c r="AE896" i="5"/>
  <c r="AF896" i="5"/>
  <c r="AG896" i="5"/>
  <c r="AH896" i="5"/>
  <c r="AI896" i="5"/>
  <c r="AJ896" i="5"/>
  <c r="AK896" i="5"/>
  <c r="AL896" i="5"/>
  <c r="AM896" i="5"/>
  <c r="AN896" i="5"/>
  <c r="AO896" i="5"/>
  <c r="AD897" i="5"/>
  <c r="AE897" i="5"/>
  <c r="AF897" i="5"/>
  <c r="AG897" i="5"/>
  <c r="AH897" i="5"/>
  <c r="AI897" i="5"/>
  <c r="AJ897" i="5"/>
  <c r="AK897" i="5"/>
  <c r="AL897" i="5"/>
  <c r="AM897" i="5"/>
  <c r="AN897" i="5"/>
  <c r="AO897" i="5"/>
  <c r="AD898" i="5"/>
  <c r="AE898" i="5"/>
  <c r="AF898" i="5"/>
  <c r="AG898" i="5"/>
  <c r="AH898" i="5"/>
  <c r="AI898" i="5"/>
  <c r="AJ898" i="5"/>
  <c r="AK898" i="5"/>
  <c r="AL898" i="5"/>
  <c r="AM898" i="5"/>
  <c r="AN898" i="5"/>
  <c r="AO898" i="5"/>
  <c r="AD899" i="5"/>
  <c r="AE899" i="5"/>
  <c r="AF899" i="5"/>
  <c r="AG899" i="5"/>
  <c r="AH899" i="5"/>
  <c r="AI899" i="5"/>
  <c r="AJ899" i="5"/>
  <c r="AK899" i="5"/>
  <c r="AL899" i="5"/>
  <c r="AM899" i="5"/>
  <c r="AN899" i="5"/>
  <c r="AO899" i="5"/>
  <c r="AD900" i="5"/>
  <c r="AE900" i="5"/>
  <c r="AF900" i="5"/>
  <c r="AG900" i="5"/>
  <c r="AH900" i="5"/>
  <c r="AI900" i="5"/>
  <c r="AJ900" i="5"/>
  <c r="AK900" i="5"/>
  <c r="AL900" i="5"/>
  <c r="AM900" i="5"/>
  <c r="AN900" i="5"/>
  <c r="AO900" i="5"/>
  <c r="AD901" i="5"/>
  <c r="AE901" i="5"/>
  <c r="AF901" i="5"/>
  <c r="AG901" i="5"/>
  <c r="AH901" i="5"/>
  <c r="AI901" i="5"/>
  <c r="AJ901" i="5"/>
  <c r="AK901" i="5"/>
  <c r="AL901" i="5"/>
  <c r="AM901" i="5"/>
  <c r="AN901" i="5"/>
  <c r="AO901" i="5"/>
  <c r="AD902" i="5"/>
  <c r="AE902" i="5"/>
  <c r="AF902" i="5"/>
  <c r="AG902" i="5"/>
  <c r="AH902" i="5"/>
  <c r="AI902" i="5"/>
  <c r="AJ902" i="5"/>
  <c r="AK902" i="5"/>
  <c r="AL902" i="5"/>
  <c r="AM902" i="5"/>
  <c r="AN902" i="5"/>
  <c r="AO902" i="5"/>
  <c r="AD903" i="5"/>
  <c r="AE903" i="5"/>
  <c r="AF903" i="5"/>
  <c r="AG903" i="5"/>
  <c r="AH903" i="5"/>
  <c r="AI903" i="5"/>
  <c r="AJ903" i="5"/>
  <c r="AK903" i="5"/>
  <c r="AL903" i="5"/>
  <c r="AM903" i="5"/>
  <c r="AN903" i="5"/>
  <c r="AO903" i="5"/>
  <c r="AD904" i="5"/>
  <c r="AE904" i="5"/>
  <c r="AF904" i="5"/>
  <c r="AG904" i="5"/>
  <c r="AH904" i="5"/>
  <c r="AI904" i="5"/>
  <c r="AJ904" i="5"/>
  <c r="AK904" i="5"/>
  <c r="AL904" i="5"/>
  <c r="AM904" i="5"/>
  <c r="AN904" i="5"/>
  <c r="AO904" i="5"/>
  <c r="AD905" i="5"/>
  <c r="AE905" i="5"/>
  <c r="AF905" i="5"/>
  <c r="AG905" i="5"/>
  <c r="AH905" i="5"/>
  <c r="AI905" i="5"/>
  <c r="AJ905" i="5"/>
  <c r="AK905" i="5"/>
  <c r="AL905" i="5"/>
  <c r="AM905" i="5"/>
  <c r="AN905" i="5"/>
  <c r="AO905" i="5"/>
  <c r="AD906" i="5"/>
  <c r="AE906" i="5"/>
  <c r="AF906" i="5"/>
  <c r="AG906" i="5"/>
  <c r="AH906" i="5"/>
  <c r="AI906" i="5"/>
  <c r="AJ906" i="5"/>
  <c r="AK906" i="5"/>
  <c r="AL906" i="5"/>
  <c r="AM906" i="5"/>
  <c r="AN906" i="5"/>
  <c r="AO906" i="5"/>
  <c r="AD907" i="5"/>
  <c r="AE907" i="5"/>
  <c r="AF907" i="5"/>
  <c r="AG907" i="5"/>
  <c r="AH907" i="5"/>
  <c r="AI907" i="5"/>
  <c r="AJ907" i="5"/>
  <c r="AK907" i="5"/>
  <c r="AL907" i="5"/>
  <c r="AM907" i="5"/>
  <c r="AN907" i="5"/>
  <c r="AO907" i="5"/>
  <c r="AD908" i="5"/>
  <c r="AE908" i="5"/>
  <c r="AF908" i="5"/>
  <c r="AG908" i="5"/>
  <c r="AH908" i="5"/>
  <c r="AI908" i="5"/>
  <c r="AJ908" i="5"/>
  <c r="AK908" i="5"/>
  <c r="AL908" i="5"/>
  <c r="AM908" i="5"/>
  <c r="AN908" i="5"/>
  <c r="AO908" i="5"/>
  <c r="AD909" i="5"/>
  <c r="AE909" i="5"/>
  <c r="AF909" i="5"/>
  <c r="AG909" i="5"/>
  <c r="AH909" i="5"/>
  <c r="AI909" i="5"/>
  <c r="AJ909" i="5"/>
  <c r="AK909" i="5"/>
  <c r="AL909" i="5"/>
  <c r="AM909" i="5"/>
  <c r="AN909" i="5"/>
  <c r="AO909" i="5"/>
  <c r="AD910" i="5"/>
  <c r="AE910" i="5"/>
  <c r="AF910" i="5"/>
  <c r="AG910" i="5"/>
  <c r="AH910" i="5"/>
  <c r="AI910" i="5"/>
  <c r="AJ910" i="5"/>
  <c r="AK910" i="5"/>
  <c r="AL910" i="5"/>
  <c r="AM910" i="5"/>
  <c r="AN910" i="5"/>
  <c r="AO910" i="5"/>
  <c r="AD911" i="5"/>
  <c r="AE911" i="5"/>
  <c r="AF911" i="5"/>
  <c r="AG911" i="5"/>
  <c r="AH911" i="5"/>
  <c r="AI911" i="5"/>
  <c r="AJ911" i="5"/>
  <c r="AK911" i="5"/>
  <c r="AL911" i="5"/>
  <c r="AM911" i="5"/>
  <c r="AN911" i="5"/>
  <c r="AO911" i="5"/>
  <c r="AD912" i="5"/>
  <c r="AE912" i="5"/>
  <c r="AF912" i="5"/>
  <c r="AG912" i="5"/>
  <c r="AH912" i="5"/>
  <c r="AI912" i="5"/>
  <c r="AJ912" i="5"/>
  <c r="AK912" i="5"/>
  <c r="AL912" i="5"/>
  <c r="AM912" i="5"/>
  <c r="AN912" i="5"/>
  <c r="AO912" i="5"/>
  <c r="AD913" i="5"/>
  <c r="AE913" i="5"/>
  <c r="AF913" i="5"/>
  <c r="AG913" i="5"/>
  <c r="AH913" i="5"/>
  <c r="AI913" i="5"/>
  <c r="AJ913" i="5"/>
  <c r="AK913" i="5"/>
  <c r="AL913" i="5"/>
  <c r="AM913" i="5"/>
  <c r="AN913" i="5"/>
  <c r="AO913" i="5"/>
  <c r="AD914" i="5"/>
  <c r="AE914" i="5"/>
  <c r="AF914" i="5"/>
  <c r="AG914" i="5"/>
  <c r="AH914" i="5"/>
  <c r="AI914" i="5"/>
  <c r="AJ914" i="5"/>
  <c r="AK914" i="5"/>
  <c r="AL914" i="5"/>
  <c r="AM914" i="5"/>
  <c r="AN914" i="5"/>
  <c r="AO914" i="5"/>
  <c r="AD915" i="5"/>
  <c r="AE915" i="5"/>
  <c r="AF915" i="5"/>
  <c r="AG915" i="5"/>
  <c r="AH915" i="5"/>
  <c r="AI915" i="5"/>
  <c r="AJ915" i="5"/>
  <c r="AK915" i="5"/>
  <c r="AL915" i="5"/>
  <c r="AM915" i="5"/>
  <c r="AN915" i="5"/>
  <c r="AO915" i="5"/>
  <c r="AD916" i="5"/>
  <c r="AE916" i="5"/>
  <c r="AF916" i="5"/>
  <c r="AG916" i="5"/>
  <c r="AH916" i="5"/>
  <c r="AI916" i="5"/>
  <c r="AJ916" i="5"/>
  <c r="AK916" i="5"/>
  <c r="AL916" i="5"/>
  <c r="AM916" i="5"/>
  <c r="AN916" i="5"/>
  <c r="AO916" i="5"/>
  <c r="AD917" i="5"/>
  <c r="AE917" i="5"/>
  <c r="AF917" i="5"/>
  <c r="AG917" i="5"/>
  <c r="AH917" i="5"/>
  <c r="AI917" i="5"/>
  <c r="AJ917" i="5"/>
  <c r="AK917" i="5"/>
  <c r="AL917" i="5"/>
  <c r="AM917" i="5"/>
  <c r="AN917" i="5"/>
  <c r="AO917" i="5"/>
  <c r="AD918" i="5"/>
  <c r="AE918" i="5"/>
  <c r="AF918" i="5"/>
  <c r="AG918" i="5"/>
  <c r="AH918" i="5"/>
  <c r="AI918" i="5"/>
  <c r="AJ918" i="5"/>
  <c r="AK918" i="5"/>
  <c r="AL918" i="5"/>
  <c r="AM918" i="5"/>
  <c r="AN918" i="5"/>
  <c r="AO918" i="5"/>
  <c r="AD919" i="5"/>
  <c r="AE919" i="5"/>
  <c r="AF919" i="5"/>
  <c r="AG919" i="5"/>
  <c r="AH919" i="5"/>
  <c r="AI919" i="5"/>
  <c r="AJ919" i="5"/>
  <c r="AK919" i="5"/>
  <c r="AL919" i="5"/>
  <c r="AM919" i="5"/>
  <c r="AN919" i="5"/>
  <c r="AO919" i="5"/>
  <c r="AD920" i="5"/>
  <c r="AE920" i="5"/>
  <c r="AF920" i="5"/>
  <c r="AG920" i="5"/>
  <c r="AH920" i="5"/>
  <c r="AI920" i="5"/>
  <c r="AJ920" i="5"/>
  <c r="AK920" i="5"/>
  <c r="AL920" i="5"/>
  <c r="AM920" i="5"/>
  <c r="AN920" i="5"/>
  <c r="AO920" i="5"/>
  <c r="AD921" i="5"/>
  <c r="AE921" i="5"/>
  <c r="AF921" i="5"/>
  <c r="AG921" i="5"/>
  <c r="AH921" i="5"/>
  <c r="AI921" i="5"/>
  <c r="AJ921" i="5"/>
  <c r="AK921" i="5"/>
  <c r="AL921" i="5"/>
  <c r="AM921" i="5"/>
  <c r="AN921" i="5"/>
  <c r="AO921" i="5"/>
  <c r="AD922" i="5"/>
  <c r="AE922" i="5"/>
  <c r="AF922" i="5"/>
  <c r="AG922" i="5"/>
  <c r="AH922" i="5"/>
  <c r="AI922" i="5"/>
  <c r="AJ922" i="5"/>
  <c r="AK922" i="5"/>
  <c r="AL922" i="5"/>
  <c r="AM922" i="5"/>
  <c r="AN922" i="5"/>
  <c r="AO922" i="5"/>
  <c r="AD923" i="5"/>
  <c r="AE923" i="5"/>
  <c r="AF923" i="5"/>
  <c r="AG923" i="5"/>
  <c r="AH923" i="5"/>
  <c r="AI923" i="5"/>
  <c r="AJ923" i="5"/>
  <c r="AK923" i="5"/>
  <c r="AL923" i="5"/>
  <c r="AM923" i="5"/>
  <c r="AN923" i="5"/>
  <c r="AO923" i="5"/>
  <c r="AD924" i="5"/>
  <c r="AE924" i="5"/>
  <c r="AF924" i="5"/>
  <c r="AG924" i="5"/>
  <c r="AH924" i="5"/>
  <c r="AI924" i="5"/>
  <c r="AJ924" i="5"/>
  <c r="AK924" i="5"/>
  <c r="AL924" i="5"/>
  <c r="AM924" i="5"/>
  <c r="AN924" i="5"/>
  <c r="AO924" i="5"/>
  <c r="AD925" i="5"/>
  <c r="AE925" i="5"/>
  <c r="AF925" i="5"/>
  <c r="AG925" i="5"/>
  <c r="AH925" i="5"/>
  <c r="AI925" i="5"/>
  <c r="AJ925" i="5"/>
  <c r="AK925" i="5"/>
  <c r="AL925" i="5"/>
  <c r="AM925" i="5"/>
  <c r="AN925" i="5"/>
  <c r="AO925" i="5"/>
  <c r="AD926" i="5"/>
  <c r="AE926" i="5"/>
  <c r="AF926" i="5"/>
  <c r="AG926" i="5"/>
  <c r="AH926" i="5"/>
  <c r="AI926" i="5"/>
  <c r="AJ926" i="5"/>
  <c r="AK926" i="5"/>
  <c r="AL926" i="5"/>
  <c r="AM926" i="5"/>
  <c r="AN926" i="5"/>
  <c r="AO926" i="5"/>
  <c r="AD927" i="5"/>
  <c r="AE927" i="5"/>
  <c r="AF927" i="5"/>
  <c r="AG927" i="5"/>
  <c r="AH927" i="5"/>
  <c r="AI927" i="5"/>
  <c r="AJ927" i="5"/>
  <c r="AK927" i="5"/>
  <c r="AL927" i="5"/>
  <c r="AM927" i="5"/>
  <c r="AN927" i="5"/>
  <c r="AO927" i="5"/>
  <c r="AD928" i="5"/>
  <c r="AE928" i="5"/>
  <c r="AF928" i="5"/>
  <c r="AG928" i="5"/>
  <c r="AH928" i="5"/>
  <c r="AI928" i="5"/>
  <c r="AJ928" i="5"/>
  <c r="AK928" i="5"/>
  <c r="AL928" i="5"/>
  <c r="AM928" i="5"/>
  <c r="AN928" i="5"/>
  <c r="AO928" i="5"/>
  <c r="AD929" i="5"/>
  <c r="AE929" i="5"/>
  <c r="AF929" i="5"/>
  <c r="AG929" i="5"/>
  <c r="AH929" i="5"/>
  <c r="AI929" i="5"/>
  <c r="AJ929" i="5"/>
  <c r="AK929" i="5"/>
  <c r="AL929" i="5"/>
  <c r="AM929" i="5"/>
  <c r="AN929" i="5"/>
  <c r="AO929" i="5"/>
  <c r="AD930" i="5"/>
  <c r="AE930" i="5"/>
  <c r="AF930" i="5"/>
  <c r="AG930" i="5"/>
  <c r="AH930" i="5"/>
  <c r="AI930" i="5"/>
  <c r="AJ930" i="5"/>
  <c r="AK930" i="5"/>
  <c r="AL930" i="5"/>
  <c r="AM930" i="5"/>
  <c r="AN930" i="5"/>
  <c r="AO930" i="5"/>
  <c r="AD931" i="5"/>
  <c r="AE931" i="5"/>
  <c r="AF931" i="5"/>
  <c r="AG931" i="5"/>
  <c r="AH931" i="5"/>
  <c r="AI931" i="5"/>
  <c r="AJ931" i="5"/>
  <c r="AK931" i="5"/>
  <c r="AL931" i="5"/>
  <c r="AM931" i="5"/>
  <c r="AN931" i="5"/>
  <c r="AO931" i="5"/>
  <c r="AD932" i="5"/>
  <c r="AE932" i="5"/>
  <c r="AF932" i="5"/>
  <c r="AG932" i="5"/>
  <c r="AH932" i="5"/>
  <c r="AI932" i="5"/>
  <c r="AJ932" i="5"/>
  <c r="AK932" i="5"/>
  <c r="AL932" i="5"/>
  <c r="AM932" i="5"/>
  <c r="AN932" i="5"/>
  <c r="AO932" i="5"/>
  <c r="AD933" i="5"/>
  <c r="AE933" i="5"/>
  <c r="AF933" i="5"/>
  <c r="AG933" i="5"/>
  <c r="AH933" i="5"/>
  <c r="AI933" i="5"/>
  <c r="AJ933" i="5"/>
  <c r="AK933" i="5"/>
  <c r="AL933" i="5"/>
  <c r="AM933" i="5"/>
  <c r="AN933" i="5"/>
  <c r="AO933" i="5"/>
  <c r="AD934" i="5"/>
  <c r="AE934" i="5"/>
  <c r="AF934" i="5"/>
  <c r="AG934" i="5"/>
  <c r="AH934" i="5"/>
  <c r="AI934" i="5"/>
  <c r="AJ934" i="5"/>
  <c r="AK934" i="5"/>
  <c r="AL934" i="5"/>
  <c r="AM934" i="5"/>
  <c r="AN934" i="5"/>
  <c r="AO934" i="5"/>
  <c r="AD935" i="5"/>
  <c r="AE935" i="5"/>
  <c r="AF935" i="5"/>
  <c r="AG935" i="5"/>
  <c r="AH935" i="5"/>
  <c r="AI935" i="5"/>
  <c r="AJ935" i="5"/>
  <c r="AK935" i="5"/>
  <c r="AL935" i="5"/>
  <c r="AM935" i="5"/>
  <c r="AN935" i="5"/>
  <c r="AO935" i="5"/>
  <c r="AD936" i="5"/>
  <c r="AE936" i="5"/>
  <c r="AF936" i="5"/>
  <c r="AG936" i="5"/>
  <c r="AH936" i="5"/>
  <c r="AI936" i="5"/>
  <c r="AJ936" i="5"/>
  <c r="AK936" i="5"/>
  <c r="AL936" i="5"/>
  <c r="AM936" i="5"/>
  <c r="AN936" i="5"/>
  <c r="AO936" i="5"/>
  <c r="AD937" i="5"/>
  <c r="AE937" i="5"/>
  <c r="AF937" i="5"/>
  <c r="AG937" i="5"/>
  <c r="AH937" i="5"/>
  <c r="AI937" i="5"/>
  <c r="AJ937" i="5"/>
  <c r="AK937" i="5"/>
  <c r="AL937" i="5"/>
  <c r="AM937" i="5"/>
  <c r="AN937" i="5"/>
  <c r="AO937" i="5"/>
  <c r="AD938" i="5"/>
  <c r="AE938" i="5"/>
  <c r="AF938" i="5"/>
  <c r="AG938" i="5"/>
  <c r="AH938" i="5"/>
  <c r="AI938" i="5"/>
  <c r="AJ938" i="5"/>
  <c r="AK938" i="5"/>
  <c r="AL938" i="5"/>
  <c r="AM938" i="5"/>
  <c r="AN938" i="5"/>
  <c r="AO938" i="5"/>
  <c r="AD939" i="5"/>
  <c r="AE939" i="5"/>
  <c r="AF939" i="5"/>
  <c r="AG939" i="5"/>
  <c r="AH939" i="5"/>
  <c r="AI939" i="5"/>
  <c r="AJ939" i="5"/>
  <c r="AK939" i="5"/>
  <c r="AL939" i="5"/>
  <c r="AM939" i="5"/>
  <c r="AN939" i="5"/>
  <c r="AO939" i="5"/>
  <c r="AD940" i="5"/>
  <c r="AE940" i="5"/>
  <c r="AF940" i="5"/>
  <c r="AG940" i="5"/>
  <c r="AH940" i="5"/>
  <c r="AI940" i="5"/>
  <c r="AJ940" i="5"/>
  <c r="AK940" i="5"/>
  <c r="AL940" i="5"/>
  <c r="AM940" i="5"/>
  <c r="AN940" i="5"/>
  <c r="AO940" i="5"/>
  <c r="AD941" i="5"/>
  <c r="AE941" i="5"/>
  <c r="AF941" i="5"/>
  <c r="AG941" i="5"/>
  <c r="AH941" i="5"/>
  <c r="AI941" i="5"/>
  <c r="AJ941" i="5"/>
  <c r="AK941" i="5"/>
  <c r="AL941" i="5"/>
  <c r="AM941" i="5"/>
  <c r="AN941" i="5"/>
  <c r="AO941" i="5"/>
  <c r="AD942" i="5"/>
  <c r="AE942" i="5"/>
  <c r="AF942" i="5"/>
  <c r="AG942" i="5"/>
  <c r="AH942" i="5"/>
  <c r="AI942" i="5"/>
  <c r="AJ942" i="5"/>
  <c r="AK942" i="5"/>
  <c r="AL942" i="5"/>
  <c r="AM942" i="5"/>
  <c r="AN942" i="5"/>
  <c r="AO942" i="5"/>
  <c r="AD943" i="5"/>
  <c r="AE943" i="5"/>
  <c r="AF943" i="5"/>
  <c r="AG943" i="5"/>
  <c r="AH943" i="5"/>
  <c r="AI943" i="5"/>
  <c r="AJ943" i="5"/>
  <c r="AK943" i="5"/>
  <c r="AL943" i="5"/>
  <c r="AM943" i="5"/>
  <c r="AN943" i="5"/>
  <c r="AO943" i="5"/>
  <c r="AD944" i="5"/>
  <c r="AE944" i="5"/>
  <c r="AF944" i="5"/>
  <c r="AG944" i="5"/>
  <c r="AH944" i="5"/>
  <c r="AI944" i="5"/>
  <c r="AJ944" i="5"/>
  <c r="AK944" i="5"/>
  <c r="AL944" i="5"/>
  <c r="AM944" i="5"/>
  <c r="AN944" i="5"/>
  <c r="AO944" i="5"/>
  <c r="AD945" i="5"/>
  <c r="AE945" i="5"/>
  <c r="AF945" i="5"/>
  <c r="AG945" i="5"/>
  <c r="AH945" i="5"/>
  <c r="AI945" i="5"/>
  <c r="AJ945" i="5"/>
  <c r="AK945" i="5"/>
  <c r="AL945" i="5"/>
  <c r="AM945" i="5"/>
  <c r="AN945" i="5"/>
  <c r="AO945" i="5"/>
  <c r="AD946" i="5"/>
  <c r="AE946" i="5"/>
  <c r="AF946" i="5"/>
  <c r="AG946" i="5"/>
  <c r="AH946" i="5"/>
  <c r="AI946" i="5"/>
  <c r="AJ946" i="5"/>
  <c r="AK946" i="5"/>
  <c r="AL946" i="5"/>
  <c r="AM946" i="5"/>
  <c r="AN946" i="5"/>
  <c r="AO946" i="5"/>
  <c r="AD947" i="5"/>
  <c r="AE947" i="5"/>
  <c r="AF947" i="5"/>
  <c r="AG947" i="5"/>
  <c r="AH947" i="5"/>
  <c r="AI947" i="5"/>
  <c r="AJ947" i="5"/>
  <c r="AK947" i="5"/>
  <c r="AL947" i="5"/>
  <c r="AM947" i="5"/>
  <c r="AN947" i="5"/>
  <c r="AO947" i="5"/>
  <c r="AD948" i="5"/>
  <c r="AE948" i="5"/>
  <c r="AF948" i="5"/>
  <c r="AG948" i="5"/>
  <c r="AH948" i="5"/>
  <c r="AI948" i="5"/>
  <c r="AJ948" i="5"/>
  <c r="AK948" i="5"/>
  <c r="AL948" i="5"/>
  <c r="AM948" i="5"/>
  <c r="AN948" i="5"/>
  <c r="AO948" i="5"/>
  <c r="AD949" i="5"/>
  <c r="AE949" i="5"/>
  <c r="AF949" i="5"/>
  <c r="AG949" i="5"/>
  <c r="AH949" i="5"/>
  <c r="AI949" i="5"/>
  <c r="AJ949" i="5"/>
  <c r="AK949" i="5"/>
  <c r="AL949" i="5"/>
  <c r="AM949" i="5"/>
  <c r="AN949" i="5"/>
  <c r="AO949" i="5"/>
  <c r="AD950" i="5"/>
  <c r="AE950" i="5"/>
  <c r="AF950" i="5"/>
  <c r="AG950" i="5"/>
  <c r="AH950" i="5"/>
  <c r="AI950" i="5"/>
  <c r="AJ950" i="5"/>
  <c r="AK950" i="5"/>
  <c r="AL950" i="5"/>
  <c r="AM950" i="5"/>
  <c r="AN950" i="5"/>
  <c r="AO950" i="5"/>
  <c r="AD951" i="5"/>
  <c r="AE951" i="5"/>
  <c r="AF951" i="5"/>
  <c r="AG951" i="5"/>
  <c r="AH951" i="5"/>
  <c r="AI951" i="5"/>
  <c r="AJ951" i="5"/>
  <c r="AK951" i="5"/>
  <c r="AL951" i="5"/>
  <c r="AM951" i="5"/>
  <c r="AN951" i="5"/>
  <c r="AO951" i="5"/>
  <c r="AD952" i="5"/>
  <c r="AE952" i="5"/>
  <c r="AF952" i="5"/>
  <c r="AG952" i="5"/>
  <c r="AH952" i="5"/>
  <c r="AI952" i="5"/>
  <c r="AJ952" i="5"/>
  <c r="AK952" i="5"/>
  <c r="AL952" i="5"/>
  <c r="AM952" i="5"/>
  <c r="AN952" i="5"/>
  <c r="AO952" i="5"/>
  <c r="AD953" i="5"/>
  <c r="AE953" i="5"/>
  <c r="AF953" i="5"/>
  <c r="AG953" i="5"/>
  <c r="AH953" i="5"/>
  <c r="AI953" i="5"/>
  <c r="AJ953" i="5"/>
  <c r="AK953" i="5"/>
  <c r="AL953" i="5"/>
  <c r="AM953" i="5"/>
  <c r="AN953" i="5"/>
  <c r="AO953" i="5"/>
  <c r="AD954" i="5"/>
  <c r="AE954" i="5"/>
  <c r="AF954" i="5"/>
  <c r="AG954" i="5"/>
  <c r="AH954" i="5"/>
  <c r="AI954" i="5"/>
  <c r="AJ954" i="5"/>
  <c r="AK954" i="5"/>
  <c r="AL954" i="5"/>
  <c r="AM954" i="5"/>
  <c r="AN954" i="5"/>
  <c r="AO954" i="5"/>
  <c r="AD955" i="5"/>
  <c r="AE955" i="5"/>
  <c r="AF955" i="5"/>
  <c r="AG955" i="5"/>
  <c r="AH955" i="5"/>
  <c r="AI955" i="5"/>
  <c r="AJ955" i="5"/>
  <c r="AK955" i="5"/>
  <c r="AL955" i="5"/>
  <c r="AM955" i="5"/>
  <c r="AN955" i="5"/>
  <c r="AO955" i="5"/>
  <c r="AD956" i="5"/>
  <c r="AE956" i="5"/>
  <c r="AF956" i="5"/>
  <c r="AG956" i="5"/>
  <c r="AH956" i="5"/>
  <c r="AI956" i="5"/>
  <c r="AJ956" i="5"/>
  <c r="AK956" i="5"/>
  <c r="AL956" i="5"/>
  <c r="AM956" i="5"/>
  <c r="AN956" i="5"/>
  <c r="AO956" i="5"/>
  <c r="AD957" i="5"/>
  <c r="AE957" i="5"/>
  <c r="AF957" i="5"/>
  <c r="AG957" i="5"/>
  <c r="AH957" i="5"/>
  <c r="AI957" i="5"/>
  <c r="AJ957" i="5"/>
  <c r="AK957" i="5"/>
  <c r="AL957" i="5"/>
  <c r="AM957" i="5"/>
  <c r="AN957" i="5"/>
  <c r="AO957" i="5"/>
  <c r="AD958" i="5"/>
  <c r="AE958" i="5"/>
  <c r="AF958" i="5"/>
  <c r="AG958" i="5"/>
  <c r="AH958" i="5"/>
  <c r="AI958" i="5"/>
  <c r="AJ958" i="5"/>
  <c r="AK958" i="5"/>
  <c r="AL958" i="5"/>
  <c r="AM958" i="5"/>
  <c r="AN958" i="5"/>
  <c r="AO958" i="5"/>
  <c r="AD959" i="5"/>
  <c r="AE959" i="5"/>
  <c r="AF959" i="5"/>
  <c r="AG959" i="5"/>
  <c r="AH959" i="5"/>
  <c r="AI959" i="5"/>
  <c r="AJ959" i="5"/>
  <c r="AK959" i="5"/>
  <c r="AL959" i="5"/>
  <c r="AM959" i="5"/>
  <c r="AN959" i="5"/>
  <c r="AO959" i="5"/>
  <c r="AD960" i="5"/>
  <c r="AE960" i="5"/>
  <c r="AF960" i="5"/>
  <c r="AG960" i="5"/>
  <c r="AH960" i="5"/>
  <c r="AI960" i="5"/>
  <c r="AJ960" i="5"/>
  <c r="AK960" i="5"/>
  <c r="AL960" i="5"/>
  <c r="AM960" i="5"/>
  <c r="AN960" i="5"/>
  <c r="AO960" i="5"/>
  <c r="AD961" i="5"/>
  <c r="AE961" i="5"/>
  <c r="AF961" i="5"/>
  <c r="AG961" i="5"/>
  <c r="AH961" i="5"/>
  <c r="AI961" i="5"/>
  <c r="AJ961" i="5"/>
  <c r="AK961" i="5"/>
  <c r="AL961" i="5"/>
  <c r="AM961" i="5"/>
  <c r="AN961" i="5"/>
  <c r="AO961" i="5"/>
  <c r="AD962" i="5"/>
  <c r="AE962" i="5"/>
  <c r="AF962" i="5"/>
  <c r="AG962" i="5"/>
  <c r="AH962" i="5"/>
  <c r="AI962" i="5"/>
  <c r="AJ962" i="5"/>
  <c r="AK962" i="5"/>
  <c r="AL962" i="5"/>
  <c r="AM962" i="5"/>
  <c r="AN962" i="5"/>
  <c r="AO962" i="5"/>
  <c r="AD963" i="5"/>
  <c r="AE963" i="5"/>
  <c r="AF963" i="5"/>
  <c r="AG963" i="5"/>
  <c r="AH963" i="5"/>
  <c r="AI963" i="5"/>
  <c r="AJ963" i="5"/>
  <c r="AK963" i="5"/>
  <c r="AL963" i="5"/>
  <c r="AM963" i="5"/>
  <c r="AN963" i="5"/>
  <c r="AO963" i="5"/>
  <c r="AD964" i="5"/>
  <c r="AE964" i="5"/>
  <c r="AF964" i="5"/>
  <c r="AG964" i="5"/>
  <c r="AH964" i="5"/>
  <c r="AI964" i="5"/>
  <c r="AJ964" i="5"/>
  <c r="AK964" i="5"/>
  <c r="AL964" i="5"/>
  <c r="AM964" i="5"/>
  <c r="AN964" i="5"/>
  <c r="AO964" i="5"/>
  <c r="AD965" i="5"/>
  <c r="AE965" i="5"/>
  <c r="AF965" i="5"/>
  <c r="AG965" i="5"/>
  <c r="AH965" i="5"/>
  <c r="AI965" i="5"/>
  <c r="AJ965" i="5"/>
  <c r="AK965" i="5"/>
  <c r="AL965" i="5"/>
  <c r="AM965" i="5"/>
  <c r="AN965" i="5"/>
  <c r="AO965" i="5"/>
  <c r="AD966" i="5"/>
  <c r="AE966" i="5"/>
  <c r="AF966" i="5"/>
  <c r="AG966" i="5"/>
  <c r="AH966" i="5"/>
  <c r="AI966" i="5"/>
  <c r="AJ966" i="5"/>
  <c r="AK966" i="5"/>
  <c r="AL966" i="5"/>
  <c r="AM966" i="5"/>
  <c r="AN966" i="5"/>
  <c r="AO966" i="5"/>
  <c r="AD967" i="5"/>
  <c r="AE967" i="5"/>
  <c r="AF967" i="5"/>
  <c r="AG967" i="5"/>
  <c r="AH967" i="5"/>
  <c r="AI967" i="5"/>
  <c r="AJ967" i="5"/>
  <c r="AK967" i="5"/>
  <c r="AL967" i="5"/>
  <c r="AM967" i="5"/>
  <c r="AN967" i="5"/>
  <c r="AO967" i="5"/>
  <c r="AD968" i="5"/>
  <c r="AE968" i="5"/>
  <c r="AF968" i="5"/>
  <c r="AG968" i="5"/>
  <c r="AH968" i="5"/>
  <c r="AI968" i="5"/>
  <c r="AJ968" i="5"/>
  <c r="AK968" i="5"/>
  <c r="AL968" i="5"/>
  <c r="AM968" i="5"/>
  <c r="AN968" i="5"/>
  <c r="AO968" i="5"/>
  <c r="AD969" i="5"/>
  <c r="AE969" i="5"/>
  <c r="AF969" i="5"/>
  <c r="AG969" i="5"/>
  <c r="AH969" i="5"/>
  <c r="AI969" i="5"/>
  <c r="AJ969" i="5"/>
  <c r="AK969" i="5"/>
  <c r="AL969" i="5"/>
  <c r="AM969" i="5"/>
  <c r="AN969" i="5"/>
  <c r="AO969" i="5"/>
  <c r="AD970" i="5"/>
  <c r="AE970" i="5"/>
  <c r="AF970" i="5"/>
  <c r="AG970" i="5"/>
  <c r="AH970" i="5"/>
  <c r="AI970" i="5"/>
  <c r="AJ970" i="5"/>
  <c r="AK970" i="5"/>
  <c r="AL970" i="5"/>
  <c r="AM970" i="5"/>
  <c r="AN970" i="5"/>
  <c r="AO970" i="5"/>
  <c r="AD971" i="5"/>
  <c r="AE971" i="5"/>
  <c r="AF971" i="5"/>
  <c r="AG971" i="5"/>
  <c r="AH971" i="5"/>
  <c r="AI971" i="5"/>
  <c r="AJ971" i="5"/>
  <c r="AK971" i="5"/>
  <c r="AL971" i="5"/>
  <c r="AM971" i="5"/>
  <c r="AN971" i="5"/>
  <c r="AO971" i="5"/>
  <c r="AD972" i="5"/>
  <c r="AE972" i="5"/>
  <c r="AF972" i="5"/>
  <c r="AG972" i="5"/>
  <c r="AH972" i="5"/>
  <c r="AI972" i="5"/>
  <c r="AJ972" i="5"/>
  <c r="AK972" i="5"/>
  <c r="AL972" i="5"/>
  <c r="AM972" i="5"/>
  <c r="AN972" i="5"/>
  <c r="AO972" i="5"/>
  <c r="AD973" i="5"/>
  <c r="AE973" i="5"/>
  <c r="AF973" i="5"/>
  <c r="AG973" i="5"/>
  <c r="AH973" i="5"/>
  <c r="AI973" i="5"/>
  <c r="AJ973" i="5"/>
  <c r="AK973" i="5"/>
  <c r="AL973" i="5"/>
  <c r="AM973" i="5"/>
  <c r="AN973" i="5"/>
  <c r="AO973" i="5"/>
  <c r="AD974" i="5"/>
  <c r="AE974" i="5"/>
  <c r="AF974" i="5"/>
  <c r="AG974" i="5"/>
  <c r="AH974" i="5"/>
  <c r="AI974" i="5"/>
  <c r="AJ974" i="5"/>
  <c r="AK974" i="5"/>
  <c r="AL974" i="5"/>
  <c r="AM974" i="5"/>
  <c r="AN974" i="5"/>
  <c r="AO974" i="5"/>
  <c r="AD975" i="5"/>
  <c r="AE975" i="5"/>
  <c r="AF975" i="5"/>
  <c r="AG975" i="5"/>
  <c r="AH975" i="5"/>
  <c r="AI975" i="5"/>
  <c r="AJ975" i="5"/>
  <c r="AK975" i="5"/>
  <c r="AL975" i="5"/>
  <c r="AM975" i="5"/>
  <c r="AN975" i="5"/>
  <c r="AO975" i="5"/>
  <c r="AD976" i="5"/>
  <c r="AE976" i="5"/>
  <c r="AF976" i="5"/>
  <c r="AG976" i="5"/>
  <c r="AH976" i="5"/>
  <c r="AI976" i="5"/>
  <c r="AJ976" i="5"/>
  <c r="AK976" i="5"/>
  <c r="AL976" i="5"/>
  <c r="AM976" i="5"/>
  <c r="AN976" i="5"/>
  <c r="AO976" i="5"/>
  <c r="AD977" i="5"/>
  <c r="AE977" i="5"/>
  <c r="AF977" i="5"/>
  <c r="AG977" i="5"/>
  <c r="AH977" i="5"/>
  <c r="AI977" i="5"/>
  <c r="AJ977" i="5"/>
  <c r="AK977" i="5"/>
  <c r="AL977" i="5"/>
  <c r="AM977" i="5"/>
  <c r="AN977" i="5"/>
  <c r="AO977" i="5"/>
  <c r="AD978" i="5"/>
  <c r="AE978" i="5"/>
  <c r="AF978" i="5"/>
  <c r="AG978" i="5"/>
  <c r="AH978" i="5"/>
  <c r="AI978" i="5"/>
  <c r="AJ978" i="5"/>
  <c r="AK978" i="5"/>
  <c r="AL978" i="5"/>
  <c r="AM978" i="5"/>
  <c r="AN978" i="5"/>
  <c r="AO978" i="5"/>
  <c r="AD979" i="5"/>
  <c r="AE979" i="5"/>
  <c r="AF979" i="5"/>
  <c r="AG979" i="5"/>
  <c r="AH979" i="5"/>
  <c r="AI979" i="5"/>
  <c r="AJ979" i="5"/>
  <c r="AK979" i="5"/>
  <c r="AL979" i="5"/>
  <c r="AM979" i="5"/>
  <c r="AN979" i="5"/>
  <c r="AO979" i="5"/>
  <c r="AD980" i="5"/>
  <c r="AE980" i="5"/>
  <c r="AF980" i="5"/>
  <c r="AG980" i="5"/>
  <c r="AH980" i="5"/>
  <c r="AI980" i="5"/>
  <c r="AJ980" i="5"/>
  <c r="AK980" i="5"/>
  <c r="AL980" i="5"/>
  <c r="AM980" i="5"/>
  <c r="AN980" i="5"/>
  <c r="AO980" i="5"/>
  <c r="AD981" i="5"/>
  <c r="AE981" i="5"/>
  <c r="AF981" i="5"/>
  <c r="AG981" i="5"/>
  <c r="AH981" i="5"/>
  <c r="AI981" i="5"/>
  <c r="AJ981" i="5"/>
  <c r="AK981" i="5"/>
  <c r="AL981" i="5"/>
  <c r="AM981" i="5"/>
  <c r="AN981" i="5"/>
  <c r="AO981" i="5"/>
  <c r="AD982" i="5"/>
  <c r="AE982" i="5"/>
  <c r="AF982" i="5"/>
  <c r="AG982" i="5"/>
  <c r="AH982" i="5"/>
  <c r="AI982" i="5"/>
  <c r="AJ982" i="5"/>
  <c r="AK982" i="5"/>
  <c r="AL982" i="5"/>
  <c r="AM982" i="5"/>
  <c r="AN982" i="5"/>
  <c r="AO982" i="5"/>
  <c r="AD983" i="5"/>
  <c r="AE983" i="5"/>
  <c r="AF983" i="5"/>
  <c r="AG983" i="5"/>
  <c r="AH983" i="5"/>
  <c r="AI983" i="5"/>
  <c r="AJ983" i="5"/>
  <c r="AK983" i="5"/>
  <c r="AL983" i="5"/>
  <c r="AM983" i="5"/>
  <c r="AN983" i="5"/>
  <c r="AO983" i="5"/>
  <c r="AD984" i="5"/>
  <c r="AE984" i="5"/>
  <c r="AF984" i="5"/>
  <c r="AG984" i="5"/>
  <c r="AH984" i="5"/>
  <c r="AI984" i="5"/>
  <c r="AJ984" i="5"/>
  <c r="AK984" i="5"/>
  <c r="AL984" i="5"/>
  <c r="AM984" i="5"/>
  <c r="AN984" i="5"/>
  <c r="AO984" i="5"/>
  <c r="AD985" i="5"/>
  <c r="AE985" i="5"/>
  <c r="AF985" i="5"/>
  <c r="AG985" i="5"/>
  <c r="AH985" i="5"/>
  <c r="AI985" i="5"/>
  <c r="AJ985" i="5"/>
  <c r="AK985" i="5"/>
  <c r="AL985" i="5"/>
  <c r="AM985" i="5"/>
  <c r="AN985" i="5"/>
  <c r="AO985" i="5"/>
  <c r="AD986" i="5"/>
  <c r="AE986" i="5"/>
  <c r="AF986" i="5"/>
  <c r="AG986" i="5"/>
  <c r="AH986" i="5"/>
  <c r="AI986" i="5"/>
  <c r="AJ986" i="5"/>
  <c r="AK986" i="5"/>
  <c r="AL986" i="5"/>
  <c r="AM986" i="5"/>
  <c r="AN986" i="5"/>
  <c r="AO986" i="5"/>
  <c r="AD987" i="5"/>
  <c r="AE987" i="5"/>
  <c r="AF987" i="5"/>
  <c r="AG987" i="5"/>
  <c r="AH987" i="5"/>
  <c r="AI987" i="5"/>
  <c r="AJ987" i="5"/>
  <c r="AK987" i="5"/>
  <c r="AL987" i="5"/>
  <c r="AM987" i="5"/>
  <c r="AN987" i="5"/>
  <c r="AO987" i="5"/>
  <c r="AD988" i="5"/>
  <c r="AE988" i="5"/>
  <c r="AF988" i="5"/>
  <c r="AG988" i="5"/>
  <c r="AH988" i="5"/>
  <c r="AI988" i="5"/>
  <c r="AJ988" i="5"/>
  <c r="AK988" i="5"/>
  <c r="AL988" i="5"/>
  <c r="AM988" i="5"/>
  <c r="AN988" i="5"/>
  <c r="AO988" i="5"/>
  <c r="AD989" i="5"/>
  <c r="AE989" i="5"/>
  <c r="AF989" i="5"/>
  <c r="AG989" i="5"/>
  <c r="AH989" i="5"/>
  <c r="AI989" i="5"/>
  <c r="AJ989" i="5"/>
  <c r="AK989" i="5"/>
  <c r="AL989" i="5"/>
  <c r="AM989" i="5"/>
  <c r="AN989" i="5"/>
  <c r="AO989" i="5"/>
  <c r="AD990" i="5"/>
  <c r="AE990" i="5"/>
  <c r="AF990" i="5"/>
  <c r="AG990" i="5"/>
  <c r="AH990" i="5"/>
  <c r="AI990" i="5"/>
  <c r="AJ990" i="5"/>
  <c r="AK990" i="5"/>
  <c r="AL990" i="5"/>
  <c r="AM990" i="5"/>
  <c r="AN990" i="5"/>
  <c r="AO990" i="5"/>
  <c r="AD991" i="5"/>
  <c r="AE991" i="5"/>
  <c r="AF991" i="5"/>
  <c r="AG991" i="5"/>
  <c r="AH991" i="5"/>
  <c r="AI991" i="5"/>
  <c r="AJ991" i="5"/>
  <c r="AK991" i="5"/>
  <c r="AL991" i="5"/>
  <c r="AM991" i="5"/>
  <c r="AN991" i="5"/>
  <c r="AO991" i="5"/>
  <c r="AD992" i="5"/>
  <c r="AE992" i="5"/>
  <c r="AF992" i="5"/>
  <c r="AG992" i="5"/>
  <c r="AH992" i="5"/>
  <c r="AI992" i="5"/>
  <c r="AJ992" i="5"/>
  <c r="AK992" i="5"/>
  <c r="AL992" i="5"/>
  <c r="AM992" i="5"/>
  <c r="AN992" i="5"/>
  <c r="AO992" i="5"/>
  <c r="AD993" i="5"/>
  <c r="AE993" i="5"/>
  <c r="AF993" i="5"/>
  <c r="AG993" i="5"/>
  <c r="AH993" i="5"/>
  <c r="AI993" i="5"/>
  <c r="AJ993" i="5"/>
  <c r="AK993" i="5"/>
  <c r="AL993" i="5"/>
  <c r="AM993" i="5"/>
  <c r="AN993" i="5"/>
  <c r="AO993" i="5"/>
  <c r="AD994" i="5"/>
  <c r="AE994" i="5"/>
  <c r="AF994" i="5"/>
  <c r="AG994" i="5"/>
  <c r="AH994" i="5"/>
  <c r="AI994" i="5"/>
  <c r="AJ994" i="5"/>
  <c r="AK994" i="5"/>
  <c r="AL994" i="5"/>
  <c r="AM994" i="5"/>
  <c r="AN994" i="5"/>
  <c r="AO994" i="5"/>
  <c r="AD995" i="5"/>
  <c r="AE995" i="5"/>
  <c r="AF995" i="5"/>
  <c r="AG995" i="5"/>
  <c r="AH995" i="5"/>
  <c r="AI995" i="5"/>
  <c r="AJ995" i="5"/>
  <c r="AK995" i="5"/>
  <c r="AL995" i="5"/>
  <c r="AM995" i="5"/>
  <c r="AN995" i="5"/>
  <c r="AO995" i="5"/>
  <c r="AD996" i="5"/>
  <c r="AE996" i="5"/>
  <c r="AF996" i="5"/>
  <c r="AG996" i="5"/>
  <c r="AH996" i="5"/>
  <c r="AI996" i="5"/>
  <c r="AJ996" i="5"/>
  <c r="AK996" i="5"/>
  <c r="AL996" i="5"/>
  <c r="AM996" i="5"/>
  <c r="AN996" i="5"/>
  <c r="AO996" i="5"/>
  <c r="AH3" i="5"/>
  <c r="AI3" i="5"/>
  <c r="AJ3" i="5"/>
  <c r="AK3" i="5"/>
  <c r="AL3" i="5"/>
  <c r="AM3" i="5"/>
  <c r="AN3" i="5"/>
  <c r="AC997" i="5"/>
  <c r="P997" i="5"/>
  <c r="R4" i="5"/>
  <c r="T4" i="5"/>
  <c r="U4" i="5"/>
  <c r="AB4" i="5"/>
  <c r="R5" i="5"/>
  <c r="R6" i="5"/>
  <c r="T6" i="5"/>
  <c r="R9" i="5"/>
  <c r="T9" i="5"/>
  <c r="Y9" i="5"/>
  <c r="W10" i="5"/>
  <c r="AA10" i="5"/>
  <c r="R17" i="5"/>
  <c r="T17" i="5"/>
  <c r="V17" i="5"/>
  <c r="R18" i="5"/>
  <c r="R21" i="5"/>
  <c r="T21" i="5"/>
  <c r="X22" i="5"/>
  <c r="R28" i="5"/>
  <c r="AA28" i="5"/>
  <c r="AB28" i="5"/>
  <c r="R29" i="5"/>
  <c r="AA29" i="5"/>
  <c r="AB29" i="5"/>
  <c r="Z30" i="5"/>
  <c r="R34" i="5"/>
  <c r="Q40" i="5"/>
  <c r="R40" i="5"/>
  <c r="W40" i="5"/>
  <c r="Q42" i="5"/>
  <c r="R42" i="5"/>
  <c r="V43" i="5"/>
  <c r="R52" i="5"/>
  <c r="U52" i="5"/>
  <c r="R53" i="5"/>
  <c r="T53" i="5"/>
  <c r="U53" i="5"/>
  <c r="R54" i="5"/>
  <c r="AB54" i="5"/>
  <c r="R57" i="5"/>
  <c r="W58" i="5"/>
  <c r="AA58" i="5"/>
  <c r="AA64" i="5"/>
  <c r="R65" i="5"/>
  <c r="AB65" i="5"/>
  <c r="T66" i="5"/>
  <c r="Q69" i="5"/>
  <c r="Z69" i="5"/>
  <c r="AB69" i="5"/>
  <c r="Q70" i="5"/>
  <c r="W76" i="5"/>
  <c r="X76" i="5"/>
  <c r="R77" i="5"/>
  <c r="AA77" i="5"/>
  <c r="R78" i="5"/>
  <c r="U80" i="5"/>
  <c r="W80" i="5"/>
  <c r="Q81" i="5"/>
  <c r="R81" i="5"/>
  <c r="V81" i="5"/>
  <c r="Y82" i="5"/>
  <c r="R88" i="5"/>
  <c r="W88" i="5"/>
  <c r="W90" i="5"/>
  <c r="U91" i="5"/>
  <c r="V91" i="5"/>
  <c r="R93" i="5"/>
  <c r="Y94" i="5"/>
  <c r="R100" i="5"/>
  <c r="R101" i="5"/>
  <c r="U101" i="5"/>
  <c r="R102" i="5"/>
  <c r="W105" i="5"/>
  <c r="X105" i="5"/>
  <c r="Y105" i="5"/>
  <c r="U106" i="5"/>
  <c r="Q112" i="5"/>
  <c r="R112" i="5"/>
  <c r="Q113" i="5"/>
  <c r="R113" i="5"/>
  <c r="T113" i="5"/>
  <c r="Y114" i="5"/>
  <c r="R117" i="5"/>
  <c r="Y118" i="5"/>
  <c r="Q125" i="5"/>
  <c r="Z125" i="5"/>
  <c r="AA125" i="5"/>
  <c r="AB125" i="5"/>
  <c r="Q129" i="5"/>
  <c r="R129" i="5"/>
  <c r="V129" i="5"/>
  <c r="R130" i="5"/>
  <c r="T130" i="5"/>
  <c r="X137" i="5"/>
  <c r="R138" i="5"/>
  <c r="T138" i="5"/>
  <c r="T140" i="5"/>
  <c r="R141" i="5"/>
  <c r="Z141" i="5"/>
  <c r="Q142" i="5"/>
  <c r="R148" i="5"/>
  <c r="R149" i="5"/>
  <c r="Z149" i="5"/>
  <c r="R153" i="5"/>
  <c r="R154" i="5"/>
  <c r="Q160" i="5"/>
  <c r="R160" i="5"/>
  <c r="AA160" i="5"/>
  <c r="R165" i="5"/>
  <c r="T166" i="5"/>
  <c r="Z172" i="5"/>
  <c r="R173" i="5"/>
  <c r="AA173" i="5"/>
  <c r="Q174" i="5"/>
  <c r="U174" i="5"/>
  <c r="V174" i="5"/>
  <c r="T176" i="5"/>
  <c r="R177" i="5"/>
  <c r="R184" i="5"/>
  <c r="Y185" i="5"/>
  <c r="Z185" i="5"/>
  <c r="AA186" i="5"/>
  <c r="AB186" i="5"/>
  <c r="T187" i="5"/>
  <c r="R196" i="5"/>
  <c r="U196" i="5"/>
  <c r="Y196" i="5"/>
  <c r="R197" i="5"/>
  <c r="T197" i="5"/>
  <c r="AA197" i="5"/>
  <c r="AB198" i="5"/>
  <c r="R201" i="5"/>
  <c r="R202" i="5"/>
  <c r="V202" i="5"/>
  <c r="Q209" i="5"/>
  <c r="R209" i="5"/>
  <c r="T210" i="5"/>
  <c r="R213" i="5"/>
  <c r="T213" i="5"/>
  <c r="W213" i="5"/>
  <c r="Z213" i="5"/>
  <c r="X220" i="5"/>
  <c r="Y220" i="5"/>
  <c r="Z220" i="5"/>
  <c r="R221" i="5"/>
  <c r="Z221" i="5"/>
  <c r="W223" i="5"/>
  <c r="R225" i="5"/>
  <c r="T225" i="5"/>
  <c r="R226" i="5"/>
  <c r="T226" i="5"/>
  <c r="AA226" i="5"/>
  <c r="Q232" i="5"/>
  <c r="R232" i="5"/>
  <c r="W232" i="5"/>
  <c r="X232" i="5"/>
  <c r="X233" i="5"/>
  <c r="Y233" i="5"/>
  <c r="AB234" i="5"/>
  <c r="W238" i="5"/>
  <c r="V239" i="5"/>
  <c r="R244" i="5"/>
  <c r="Y244" i="5"/>
  <c r="T245" i="5"/>
  <c r="Y245" i="5"/>
  <c r="Y246" i="5"/>
  <c r="R249" i="5"/>
  <c r="X249" i="5"/>
  <c r="Y249" i="5"/>
  <c r="W250" i="5"/>
  <c r="Z250" i="5"/>
  <c r="R256" i="5"/>
  <c r="Q257" i="5"/>
  <c r="R257" i="5"/>
  <c r="V257" i="5"/>
  <c r="Y258" i="5"/>
  <c r="W259" i="5"/>
  <c r="AA259" i="5"/>
  <c r="R261" i="5"/>
  <c r="V261" i="5"/>
  <c r="S264" i="5"/>
  <c r="T264" i="5"/>
  <c r="R268" i="5"/>
  <c r="S268" i="5"/>
  <c r="U268" i="5"/>
  <c r="S269" i="5"/>
  <c r="V269" i="5"/>
  <c r="R270" i="5"/>
  <c r="S270" i="5"/>
  <c r="AA272" i="5"/>
  <c r="R273" i="5"/>
  <c r="U273" i="5"/>
  <c r="W273" i="5"/>
  <c r="U274" i="5"/>
  <c r="V274" i="5"/>
  <c r="R280" i="5"/>
  <c r="W280" i="5"/>
  <c r="X280" i="5"/>
  <c r="R281" i="5"/>
  <c r="T281" i="5"/>
  <c r="U281" i="5"/>
  <c r="R282" i="5"/>
  <c r="Y284" i="5"/>
  <c r="R285" i="5"/>
  <c r="X285" i="5"/>
  <c r="Z285" i="5"/>
  <c r="AB292" i="5"/>
  <c r="R293" i="5"/>
  <c r="AA293" i="5"/>
  <c r="R297" i="5"/>
  <c r="Z297" i="5"/>
  <c r="R298" i="5"/>
  <c r="X298" i="5"/>
  <c r="Y298" i="5"/>
  <c r="S299" i="5"/>
  <c r="R304" i="5"/>
  <c r="T304" i="5"/>
  <c r="U304" i="5"/>
  <c r="Y304" i="5"/>
  <c r="R306" i="5"/>
  <c r="AB306" i="5"/>
  <c r="Z307" i="5"/>
  <c r="R309" i="5"/>
  <c r="S309" i="5"/>
  <c r="X309" i="5"/>
  <c r="R316" i="5"/>
  <c r="AA316" i="5"/>
  <c r="R317" i="5"/>
  <c r="U317" i="5"/>
  <c r="R321" i="5"/>
  <c r="S321" i="5"/>
  <c r="R322" i="5"/>
  <c r="R328" i="5"/>
  <c r="AB328" i="5"/>
  <c r="R329" i="5"/>
  <c r="T329" i="5"/>
  <c r="AB329" i="5"/>
  <c r="U331" i="5"/>
  <c r="R333" i="5"/>
  <c r="T333" i="5"/>
  <c r="V333" i="5"/>
  <c r="Y333" i="5"/>
  <c r="AB333" i="5"/>
  <c r="R334" i="5"/>
  <c r="Z340" i="5"/>
  <c r="R341" i="5"/>
  <c r="Z341" i="5"/>
  <c r="AA341" i="5"/>
  <c r="AB341" i="5"/>
  <c r="R342" i="5"/>
  <c r="S342" i="5"/>
  <c r="W343" i="5"/>
  <c r="X343" i="5"/>
  <c r="R345" i="5"/>
  <c r="R346" i="5"/>
  <c r="U346" i="5"/>
  <c r="T348" i="5"/>
  <c r="R352" i="5"/>
  <c r="S352" i="5"/>
  <c r="X352" i="5"/>
  <c r="Y352" i="5"/>
  <c r="Z352" i="5"/>
  <c r="Y353" i="5"/>
  <c r="Z353" i="5"/>
  <c r="U356" i="5"/>
  <c r="R357" i="5"/>
  <c r="W357" i="5"/>
  <c r="X358" i="5"/>
  <c r="R364" i="5"/>
  <c r="W364" i="5"/>
  <c r="X364" i="5"/>
  <c r="R365" i="5"/>
  <c r="T365" i="5"/>
  <c r="Y365" i="5"/>
  <c r="T369" i="5"/>
  <c r="U369" i="5"/>
  <c r="X369" i="5"/>
  <c r="Y369" i="5"/>
  <c r="Y370" i="5"/>
  <c r="R376" i="5"/>
  <c r="T376" i="5"/>
  <c r="R377" i="5"/>
  <c r="Y378" i="5"/>
  <c r="R381" i="5"/>
  <c r="S381" i="5"/>
  <c r="T381" i="5"/>
  <c r="U381" i="5"/>
  <c r="U382" i="5"/>
  <c r="W382" i="5"/>
  <c r="AA388" i="5"/>
  <c r="AB388" i="5"/>
  <c r="X389" i="5"/>
  <c r="Z389" i="5"/>
  <c r="AA389" i="5"/>
  <c r="U391" i="5"/>
  <c r="V391" i="5"/>
  <c r="Y392" i="5"/>
  <c r="AB392" i="5"/>
  <c r="W393" i="5"/>
  <c r="Z393" i="5"/>
  <c r="Y394" i="5"/>
  <c r="S400" i="5"/>
  <c r="U400" i="5"/>
  <c r="Y400" i="5"/>
  <c r="AA400" i="5"/>
  <c r="AA401" i="5"/>
  <c r="Z402" i="5"/>
  <c r="T404" i="5"/>
  <c r="S405" i="5"/>
  <c r="Z405" i="5"/>
  <c r="S412" i="5"/>
  <c r="AA412" i="5"/>
  <c r="T413" i="5"/>
  <c r="U413" i="5"/>
  <c r="Z413" i="5"/>
  <c r="V414" i="5"/>
  <c r="AB414" i="5"/>
  <c r="R415" i="5"/>
  <c r="R417" i="5"/>
  <c r="S417" i="5"/>
  <c r="T417" i="5"/>
  <c r="W418" i="5"/>
  <c r="X418" i="5"/>
  <c r="X424" i="5"/>
  <c r="Y424" i="5"/>
  <c r="AA425" i="5"/>
  <c r="Z426" i="5"/>
  <c r="Z429" i="5"/>
  <c r="W430" i="5"/>
  <c r="X430" i="5"/>
  <c r="AB436" i="5"/>
  <c r="S437" i="5"/>
  <c r="T437" i="5"/>
  <c r="Z437" i="5"/>
  <c r="R441" i="5"/>
  <c r="W441" i="5"/>
  <c r="Z441" i="5"/>
  <c r="R442" i="5"/>
  <c r="Y442" i="5"/>
  <c r="T448" i="5"/>
  <c r="AA448" i="5"/>
  <c r="T449" i="5"/>
  <c r="U449" i="5"/>
  <c r="AB451" i="5"/>
  <c r="V453" i="5"/>
  <c r="S460" i="5"/>
  <c r="T460" i="5"/>
  <c r="U460" i="5"/>
  <c r="X460" i="5"/>
  <c r="AB460" i="5"/>
  <c r="Z461" i="5"/>
  <c r="V462" i="5"/>
  <c r="Z462" i="5"/>
  <c r="AB462" i="5"/>
  <c r="W464" i="5"/>
  <c r="R472" i="5"/>
  <c r="S472" i="5"/>
  <c r="AA472" i="5"/>
  <c r="T475" i="5"/>
  <c r="AB475" i="5"/>
  <c r="Z477" i="5"/>
  <c r="U478" i="5"/>
  <c r="V478" i="5"/>
  <c r="Z478" i="5"/>
  <c r="T484" i="5"/>
  <c r="AA484" i="5"/>
  <c r="S485" i="5"/>
  <c r="Z485" i="5"/>
  <c r="U486" i="5"/>
  <c r="V486" i="5"/>
  <c r="U487" i="5"/>
  <c r="V487" i="5"/>
  <c r="S489" i="5"/>
  <c r="W489" i="5"/>
  <c r="X489" i="5"/>
  <c r="Y489" i="5"/>
  <c r="X490" i="5"/>
  <c r="Z490" i="5"/>
  <c r="Z496" i="5"/>
  <c r="X497" i="5"/>
  <c r="Z497" i="5"/>
  <c r="AB499" i="5"/>
  <c r="T501" i="5"/>
  <c r="Y501" i="5"/>
  <c r="Z501" i="5"/>
  <c r="S508" i="5"/>
  <c r="T508" i="5"/>
  <c r="U508" i="5"/>
  <c r="Z509" i="5"/>
  <c r="AA509" i="5"/>
  <c r="Y510" i="5"/>
  <c r="Z510" i="5"/>
  <c r="T511" i="5"/>
  <c r="U511" i="5"/>
  <c r="Z513" i="5"/>
  <c r="T514" i="5"/>
  <c r="U514" i="5"/>
  <c r="W514" i="5"/>
  <c r="X514" i="5"/>
  <c r="Y514" i="5"/>
  <c r="Q516" i="5"/>
  <c r="R516" i="5"/>
  <c r="S516" i="5"/>
  <c r="T516" i="5"/>
  <c r="U516" i="5"/>
  <c r="V516" i="5"/>
  <c r="W516" i="5"/>
  <c r="X516" i="5"/>
  <c r="Y516" i="5"/>
  <c r="Z516" i="5"/>
  <c r="AA516" i="5"/>
  <c r="AB516" i="5"/>
  <c r="Q517" i="5"/>
  <c r="R517" i="5"/>
  <c r="S517" i="5"/>
  <c r="T517" i="5"/>
  <c r="U517" i="5"/>
  <c r="V517" i="5"/>
  <c r="W517" i="5"/>
  <c r="X517" i="5"/>
  <c r="Y517" i="5"/>
  <c r="Z517" i="5"/>
  <c r="AA517" i="5"/>
  <c r="AB517" i="5"/>
  <c r="Q518" i="5"/>
  <c r="R518" i="5"/>
  <c r="S518" i="5"/>
  <c r="T518" i="5"/>
  <c r="U518" i="5"/>
  <c r="V518" i="5"/>
  <c r="W518" i="5"/>
  <c r="X518" i="5"/>
  <c r="Y518" i="5"/>
  <c r="Z518" i="5"/>
  <c r="AA518" i="5"/>
  <c r="AB518" i="5"/>
  <c r="Q519" i="5"/>
  <c r="R519" i="5"/>
  <c r="S519" i="5"/>
  <c r="T519" i="5"/>
  <c r="U519" i="5"/>
  <c r="V519" i="5"/>
  <c r="W519" i="5"/>
  <c r="X519" i="5"/>
  <c r="Y519" i="5"/>
  <c r="Z519" i="5"/>
  <c r="AA519" i="5"/>
  <c r="AB519" i="5"/>
  <c r="Q520" i="5"/>
  <c r="R520" i="5"/>
  <c r="S520" i="5"/>
  <c r="T520" i="5"/>
  <c r="U520" i="5"/>
  <c r="V520" i="5"/>
  <c r="W520" i="5"/>
  <c r="X520" i="5"/>
  <c r="Y520" i="5"/>
  <c r="Z520" i="5"/>
  <c r="AA520" i="5"/>
  <c r="AB520" i="5"/>
  <c r="Q521" i="5"/>
  <c r="R521" i="5"/>
  <c r="S521" i="5"/>
  <c r="T521" i="5"/>
  <c r="U521" i="5"/>
  <c r="V521" i="5"/>
  <c r="W521" i="5"/>
  <c r="X521" i="5"/>
  <c r="Y521" i="5"/>
  <c r="Z521" i="5"/>
  <c r="AA521" i="5"/>
  <c r="AB521" i="5"/>
  <c r="Q522" i="5"/>
  <c r="R522" i="5"/>
  <c r="S522" i="5"/>
  <c r="T522" i="5"/>
  <c r="U522" i="5"/>
  <c r="V522" i="5"/>
  <c r="W522" i="5"/>
  <c r="X522" i="5"/>
  <c r="Y522" i="5"/>
  <c r="Z522" i="5"/>
  <c r="AA522" i="5"/>
  <c r="AB522" i="5"/>
  <c r="Q523" i="5"/>
  <c r="R523" i="5"/>
  <c r="S523" i="5"/>
  <c r="T523" i="5"/>
  <c r="U523" i="5"/>
  <c r="V523" i="5"/>
  <c r="W523" i="5"/>
  <c r="X523" i="5"/>
  <c r="Y523" i="5"/>
  <c r="Z523" i="5"/>
  <c r="AA523" i="5"/>
  <c r="AB523" i="5"/>
  <c r="Q524" i="5"/>
  <c r="R524" i="5"/>
  <c r="S524" i="5"/>
  <c r="T524" i="5"/>
  <c r="U524" i="5"/>
  <c r="V524" i="5"/>
  <c r="W524" i="5"/>
  <c r="X524" i="5"/>
  <c r="Y524" i="5"/>
  <c r="Z524" i="5"/>
  <c r="AA524" i="5"/>
  <c r="AB524" i="5"/>
  <c r="Q525" i="5"/>
  <c r="R525" i="5"/>
  <c r="S525" i="5"/>
  <c r="T525" i="5"/>
  <c r="U525" i="5"/>
  <c r="V525" i="5"/>
  <c r="W525" i="5"/>
  <c r="X525" i="5"/>
  <c r="Y525" i="5"/>
  <c r="Z525" i="5"/>
  <c r="AA525" i="5"/>
  <c r="AB525" i="5"/>
  <c r="Q526" i="5"/>
  <c r="R526" i="5"/>
  <c r="S526" i="5"/>
  <c r="T526" i="5"/>
  <c r="U526" i="5"/>
  <c r="V526" i="5"/>
  <c r="W526" i="5"/>
  <c r="X526" i="5"/>
  <c r="Y526" i="5"/>
  <c r="Z526" i="5"/>
  <c r="AA526" i="5"/>
  <c r="AB526" i="5"/>
  <c r="Q527" i="5"/>
  <c r="R527" i="5"/>
  <c r="S527" i="5"/>
  <c r="T527" i="5"/>
  <c r="U527" i="5"/>
  <c r="V527" i="5"/>
  <c r="W527" i="5"/>
  <c r="X527" i="5"/>
  <c r="Y527" i="5"/>
  <c r="Z527" i="5"/>
  <c r="AA527" i="5"/>
  <c r="AB527" i="5"/>
  <c r="Q528" i="5"/>
  <c r="R528" i="5"/>
  <c r="S528" i="5"/>
  <c r="T528" i="5"/>
  <c r="U528" i="5"/>
  <c r="V528" i="5"/>
  <c r="W528" i="5"/>
  <c r="X528" i="5"/>
  <c r="Y528" i="5"/>
  <c r="Z528" i="5"/>
  <c r="AA528" i="5"/>
  <c r="AB528" i="5"/>
  <c r="Q529" i="5"/>
  <c r="R529" i="5"/>
  <c r="S529" i="5"/>
  <c r="T529" i="5"/>
  <c r="U529" i="5"/>
  <c r="V529" i="5"/>
  <c r="W529" i="5"/>
  <c r="X529" i="5"/>
  <c r="Y529" i="5"/>
  <c r="Z529" i="5"/>
  <c r="AA529" i="5"/>
  <c r="AB529" i="5"/>
  <c r="Q530" i="5"/>
  <c r="R530" i="5"/>
  <c r="S530" i="5"/>
  <c r="T530" i="5"/>
  <c r="U530" i="5"/>
  <c r="V530" i="5"/>
  <c r="W530" i="5"/>
  <c r="X530" i="5"/>
  <c r="Y530" i="5"/>
  <c r="Z530" i="5"/>
  <c r="AA530" i="5"/>
  <c r="AB530" i="5"/>
  <c r="Q531" i="5"/>
  <c r="R531" i="5"/>
  <c r="S531" i="5"/>
  <c r="T531" i="5"/>
  <c r="U531" i="5"/>
  <c r="V531" i="5"/>
  <c r="W531" i="5"/>
  <c r="X531" i="5"/>
  <c r="Y531" i="5"/>
  <c r="Z531" i="5"/>
  <c r="AA531" i="5"/>
  <c r="AB531" i="5"/>
  <c r="Q532" i="5"/>
  <c r="R532" i="5"/>
  <c r="S532" i="5"/>
  <c r="T532" i="5"/>
  <c r="U532" i="5"/>
  <c r="V532" i="5"/>
  <c r="W532" i="5"/>
  <c r="X532" i="5"/>
  <c r="Y532" i="5"/>
  <c r="Z532" i="5"/>
  <c r="AA532" i="5"/>
  <c r="AB532" i="5"/>
  <c r="Q533" i="5"/>
  <c r="R533" i="5"/>
  <c r="S533" i="5"/>
  <c r="T533" i="5"/>
  <c r="U533" i="5"/>
  <c r="V533" i="5"/>
  <c r="W533" i="5"/>
  <c r="X533" i="5"/>
  <c r="Y533" i="5"/>
  <c r="Z533" i="5"/>
  <c r="AA533" i="5"/>
  <c r="AB533" i="5"/>
  <c r="Q534" i="5"/>
  <c r="R534" i="5"/>
  <c r="S534" i="5"/>
  <c r="T534" i="5"/>
  <c r="U534" i="5"/>
  <c r="V534" i="5"/>
  <c r="W534" i="5"/>
  <c r="X534" i="5"/>
  <c r="Y534" i="5"/>
  <c r="Z534" i="5"/>
  <c r="AA534" i="5"/>
  <c r="AB534" i="5"/>
  <c r="Q535" i="5"/>
  <c r="R535" i="5"/>
  <c r="S535" i="5"/>
  <c r="T535" i="5"/>
  <c r="U535" i="5"/>
  <c r="V535" i="5"/>
  <c r="W535" i="5"/>
  <c r="X535" i="5"/>
  <c r="Y535" i="5"/>
  <c r="Z535" i="5"/>
  <c r="AA535" i="5"/>
  <c r="AB535" i="5"/>
  <c r="Q536" i="5"/>
  <c r="R536" i="5"/>
  <c r="S536" i="5"/>
  <c r="T536" i="5"/>
  <c r="U536" i="5"/>
  <c r="V536" i="5"/>
  <c r="W536" i="5"/>
  <c r="X536" i="5"/>
  <c r="Y536" i="5"/>
  <c r="Z536" i="5"/>
  <c r="AA536" i="5"/>
  <c r="AB536" i="5"/>
  <c r="Q537" i="5"/>
  <c r="R537" i="5"/>
  <c r="S537" i="5"/>
  <c r="T537" i="5"/>
  <c r="U537" i="5"/>
  <c r="V537" i="5"/>
  <c r="W537" i="5"/>
  <c r="X537" i="5"/>
  <c r="Y537" i="5"/>
  <c r="Z537" i="5"/>
  <c r="AA537" i="5"/>
  <c r="AB537" i="5"/>
  <c r="Q538" i="5"/>
  <c r="R538" i="5"/>
  <c r="S538" i="5"/>
  <c r="T538" i="5"/>
  <c r="U538" i="5"/>
  <c r="V538" i="5"/>
  <c r="W538" i="5"/>
  <c r="X538" i="5"/>
  <c r="Y538" i="5"/>
  <c r="Z538" i="5"/>
  <c r="AA538" i="5"/>
  <c r="AB538" i="5"/>
  <c r="Q539" i="5"/>
  <c r="R539" i="5"/>
  <c r="S539" i="5"/>
  <c r="T539" i="5"/>
  <c r="U539" i="5"/>
  <c r="V539" i="5"/>
  <c r="W539" i="5"/>
  <c r="X539" i="5"/>
  <c r="Y539" i="5"/>
  <c r="Z539" i="5"/>
  <c r="AA539" i="5"/>
  <c r="AB539" i="5"/>
  <c r="Q540" i="5"/>
  <c r="R540" i="5"/>
  <c r="S540" i="5"/>
  <c r="T540" i="5"/>
  <c r="U540" i="5"/>
  <c r="V540" i="5"/>
  <c r="W540" i="5"/>
  <c r="X540" i="5"/>
  <c r="Y540" i="5"/>
  <c r="Z540" i="5"/>
  <c r="AA540" i="5"/>
  <c r="AB540" i="5"/>
  <c r="Q541" i="5"/>
  <c r="R541" i="5"/>
  <c r="S541" i="5"/>
  <c r="T541" i="5"/>
  <c r="U541" i="5"/>
  <c r="V541" i="5"/>
  <c r="W541" i="5"/>
  <c r="X541" i="5"/>
  <c r="Y541" i="5"/>
  <c r="Z541" i="5"/>
  <c r="AA541" i="5"/>
  <c r="AB541" i="5"/>
  <c r="Q542" i="5"/>
  <c r="R542" i="5"/>
  <c r="S542" i="5"/>
  <c r="T542" i="5"/>
  <c r="U542" i="5"/>
  <c r="V542" i="5"/>
  <c r="W542" i="5"/>
  <c r="X542" i="5"/>
  <c r="Y542" i="5"/>
  <c r="Z542" i="5"/>
  <c r="AA542" i="5"/>
  <c r="AB542" i="5"/>
  <c r="Q543" i="5"/>
  <c r="R543" i="5"/>
  <c r="S543" i="5"/>
  <c r="T543" i="5"/>
  <c r="U543" i="5"/>
  <c r="V543" i="5"/>
  <c r="W543" i="5"/>
  <c r="X543" i="5"/>
  <c r="Y543" i="5"/>
  <c r="Z543" i="5"/>
  <c r="AA543" i="5"/>
  <c r="AB543" i="5"/>
  <c r="Q544" i="5"/>
  <c r="R544" i="5"/>
  <c r="S544" i="5"/>
  <c r="T544" i="5"/>
  <c r="U544" i="5"/>
  <c r="V544" i="5"/>
  <c r="W544" i="5"/>
  <c r="X544" i="5"/>
  <c r="Y544" i="5"/>
  <c r="Z544" i="5"/>
  <c r="AA544" i="5"/>
  <c r="AB544" i="5"/>
  <c r="Q545" i="5"/>
  <c r="R545" i="5"/>
  <c r="S545" i="5"/>
  <c r="T545" i="5"/>
  <c r="U545" i="5"/>
  <c r="V545" i="5"/>
  <c r="W545" i="5"/>
  <c r="X545" i="5"/>
  <c r="Y545" i="5"/>
  <c r="Z545" i="5"/>
  <c r="AA545" i="5"/>
  <c r="AB545" i="5"/>
  <c r="Q546" i="5"/>
  <c r="R546" i="5"/>
  <c r="S546" i="5"/>
  <c r="T546" i="5"/>
  <c r="U546" i="5"/>
  <c r="V546" i="5"/>
  <c r="W546" i="5"/>
  <c r="X546" i="5"/>
  <c r="Y546" i="5"/>
  <c r="Z546" i="5"/>
  <c r="AA546" i="5"/>
  <c r="AB546" i="5"/>
  <c r="Q547" i="5"/>
  <c r="R547" i="5"/>
  <c r="S547" i="5"/>
  <c r="T547" i="5"/>
  <c r="U547" i="5"/>
  <c r="V547" i="5"/>
  <c r="W547" i="5"/>
  <c r="X547" i="5"/>
  <c r="Y547" i="5"/>
  <c r="Z547" i="5"/>
  <c r="AA547" i="5"/>
  <c r="AB547" i="5"/>
  <c r="Q548" i="5"/>
  <c r="R548" i="5"/>
  <c r="S548" i="5"/>
  <c r="T548" i="5"/>
  <c r="U548" i="5"/>
  <c r="V548" i="5"/>
  <c r="W548" i="5"/>
  <c r="X548" i="5"/>
  <c r="Y548" i="5"/>
  <c r="Z548" i="5"/>
  <c r="AA548" i="5"/>
  <c r="AB548" i="5"/>
  <c r="Q549" i="5"/>
  <c r="R549" i="5"/>
  <c r="S549" i="5"/>
  <c r="T549" i="5"/>
  <c r="U549" i="5"/>
  <c r="V549" i="5"/>
  <c r="W549" i="5"/>
  <c r="X549" i="5"/>
  <c r="Y549" i="5"/>
  <c r="Z549" i="5"/>
  <c r="AA549" i="5"/>
  <c r="AB549" i="5"/>
  <c r="Q550" i="5"/>
  <c r="R550" i="5"/>
  <c r="S550" i="5"/>
  <c r="T550" i="5"/>
  <c r="U550" i="5"/>
  <c r="V550" i="5"/>
  <c r="W550" i="5"/>
  <c r="X550" i="5"/>
  <c r="Y550" i="5"/>
  <c r="Z550" i="5"/>
  <c r="AA550" i="5"/>
  <c r="AB550" i="5"/>
  <c r="Q551" i="5"/>
  <c r="R551" i="5"/>
  <c r="S551" i="5"/>
  <c r="T551" i="5"/>
  <c r="U551" i="5"/>
  <c r="V551" i="5"/>
  <c r="W551" i="5"/>
  <c r="X551" i="5"/>
  <c r="Y551" i="5"/>
  <c r="Z551" i="5"/>
  <c r="AA551" i="5"/>
  <c r="AB551" i="5"/>
  <c r="Q552" i="5"/>
  <c r="R552" i="5"/>
  <c r="S552" i="5"/>
  <c r="T552" i="5"/>
  <c r="U552" i="5"/>
  <c r="V552" i="5"/>
  <c r="W552" i="5"/>
  <c r="X552" i="5"/>
  <c r="Y552" i="5"/>
  <c r="Z552" i="5"/>
  <c r="AA552" i="5"/>
  <c r="AB552" i="5"/>
  <c r="Q553" i="5"/>
  <c r="R553" i="5"/>
  <c r="S553" i="5"/>
  <c r="T553" i="5"/>
  <c r="U553" i="5"/>
  <c r="V553" i="5"/>
  <c r="W553" i="5"/>
  <c r="X553" i="5"/>
  <c r="Y553" i="5"/>
  <c r="Z553" i="5"/>
  <c r="AA553" i="5"/>
  <c r="AB553" i="5"/>
  <c r="Q554" i="5"/>
  <c r="R554" i="5"/>
  <c r="S554" i="5"/>
  <c r="T554" i="5"/>
  <c r="U554" i="5"/>
  <c r="V554" i="5"/>
  <c r="W554" i="5"/>
  <c r="X554" i="5"/>
  <c r="Y554" i="5"/>
  <c r="Z554" i="5"/>
  <c r="AA554" i="5"/>
  <c r="AB554" i="5"/>
  <c r="Q555" i="5"/>
  <c r="R555" i="5"/>
  <c r="S555" i="5"/>
  <c r="T555" i="5"/>
  <c r="U555" i="5"/>
  <c r="V555" i="5"/>
  <c r="W555" i="5"/>
  <c r="X555" i="5"/>
  <c r="Y555" i="5"/>
  <c r="Z555" i="5"/>
  <c r="AA555" i="5"/>
  <c r="AB555" i="5"/>
  <c r="Q556" i="5"/>
  <c r="R556" i="5"/>
  <c r="S556" i="5"/>
  <c r="T556" i="5"/>
  <c r="U556" i="5"/>
  <c r="V556" i="5"/>
  <c r="W556" i="5"/>
  <c r="X556" i="5"/>
  <c r="Y556" i="5"/>
  <c r="Z556" i="5"/>
  <c r="AA556" i="5"/>
  <c r="AB556" i="5"/>
  <c r="Q557" i="5"/>
  <c r="R557" i="5"/>
  <c r="S557" i="5"/>
  <c r="T557" i="5"/>
  <c r="U557" i="5"/>
  <c r="V557" i="5"/>
  <c r="W557" i="5"/>
  <c r="X557" i="5"/>
  <c r="Y557" i="5"/>
  <c r="Z557" i="5"/>
  <c r="AA557" i="5"/>
  <c r="AB557" i="5"/>
  <c r="Q558" i="5"/>
  <c r="R558" i="5"/>
  <c r="S558" i="5"/>
  <c r="T558" i="5"/>
  <c r="U558" i="5"/>
  <c r="V558" i="5"/>
  <c r="W558" i="5"/>
  <c r="X558" i="5"/>
  <c r="Y558" i="5"/>
  <c r="Z558" i="5"/>
  <c r="AA558" i="5"/>
  <c r="AB558" i="5"/>
  <c r="Q559" i="5"/>
  <c r="R559" i="5"/>
  <c r="S559" i="5"/>
  <c r="T559" i="5"/>
  <c r="U559" i="5"/>
  <c r="V559" i="5"/>
  <c r="W559" i="5"/>
  <c r="X559" i="5"/>
  <c r="Y559" i="5"/>
  <c r="Z559" i="5"/>
  <c r="AA559" i="5"/>
  <c r="AB559" i="5"/>
  <c r="Q560" i="5"/>
  <c r="R560" i="5"/>
  <c r="S560" i="5"/>
  <c r="T560" i="5"/>
  <c r="U560" i="5"/>
  <c r="V560" i="5"/>
  <c r="W560" i="5"/>
  <c r="X560" i="5"/>
  <c r="Y560" i="5"/>
  <c r="Z560" i="5"/>
  <c r="AA560" i="5"/>
  <c r="AB560" i="5"/>
  <c r="Q561" i="5"/>
  <c r="R561" i="5"/>
  <c r="S561" i="5"/>
  <c r="T561" i="5"/>
  <c r="U561" i="5"/>
  <c r="V561" i="5"/>
  <c r="W561" i="5"/>
  <c r="X561" i="5"/>
  <c r="Y561" i="5"/>
  <c r="Z561" i="5"/>
  <c r="AA561" i="5"/>
  <c r="AB561" i="5"/>
  <c r="Q562" i="5"/>
  <c r="R562" i="5"/>
  <c r="S562" i="5"/>
  <c r="T562" i="5"/>
  <c r="U562" i="5"/>
  <c r="V562" i="5"/>
  <c r="W562" i="5"/>
  <c r="X562" i="5"/>
  <c r="Y562" i="5"/>
  <c r="Z562" i="5"/>
  <c r="AA562" i="5"/>
  <c r="AB562" i="5"/>
  <c r="Q563" i="5"/>
  <c r="R563" i="5"/>
  <c r="S563" i="5"/>
  <c r="T563" i="5"/>
  <c r="U563" i="5"/>
  <c r="V563" i="5"/>
  <c r="W563" i="5"/>
  <c r="X563" i="5"/>
  <c r="Y563" i="5"/>
  <c r="Z563" i="5"/>
  <c r="AA563" i="5"/>
  <c r="AB563" i="5"/>
  <c r="Q564" i="5"/>
  <c r="R564" i="5"/>
  <c r="S564" i="5"/>
  <c r="T564" i="5"/>
  <c r="U564" i="5"/>
  <c r="V564" i="5"/>
  <c r="W564" i="5"/>
  <c r="X564" i="5"/>
  <c r="Y564" i="5"/>
  <c r="Z564" i="5"/>
  <c r="AA564" i="5"/>
  <c r="AB564" i="5"/>
  <c r="Q565" i="5"/>
  <c r="R565" i="5"/>
  <c r="S565" i="5"/>
  <c r="T565" i="5"/>
  <c r="U565" i="5"/>
  <c r="V565" i="5"/>
  <c r="W565" i="5"/>
  <c r="X565" i="5"/>
  <c r="Y565" i="5"/>
  <c r="Z565" i="5"/>
  <c r="AA565" i="5"/>
  <c r="AB565" i="5"/>
  <c r="Q566" i="5"/>
  <c r="R566" i="5"/>
  <c r="S566" i="5"/>
  <c r="T566" i="5"/>
  <c r="U566" i="5"/>
  <c r="V566" i="5"/>
  <c r="W566" i="5"/>
  <c r="X566" i="5"/>
  <c r="Y566" i="5"/>
  <c r="Z566" i="5"/>
  <c r="AA566" i="5"/>
  <c r="AB566" i="5"/>
  <c r="Q567" i="5"/>
  <c r="R567" i="5"/>
  <c r="S567" i="5"/>
  <c r="T567" i="5"/>
  <c r="U567" i="5"/>
  <c r="V567" i="5"/>
  <c r="W567" i="5"/>
  <c r="X567" i="5"/>
  <c r="Y567" i="5"/>
  <c r="Z567" i="5"/>
  <c r="AA567" i="5"/>
  <c r="AB567" i="5"/>
  <c r="Q568" i="5"/>
  <c r="R568" i="5"/>
  <c r="S568" i="5"/>
  <c r="T568" i="5"/>
  <c r="U568" i="5"/>
  <c r="V568" i="5"/>
  <c r="W568" i="5"/>
  <c r="X568" i="5"/>
  <c r="Y568" i="5"/>
  <c r="Z568" i="5"/>
  <c r="AA568" i="5"/>
  <c r="AB568" i="5"/>
  <c r="Q569" i="5"/>
  <c r="R569" i="5"/>
  <c r="S569" i="5"/>
  <c r="T569" i="5"/>
  <c r="U569" i="5"/>
  <c r="V569" i="5"/>
  <c r="W569" i="5"/>
  <c r="X569" i="5"/>
  <c r="Y569" i="5"/>
  <c r="Z569" i="5"/>
  <c r="AA569" i="5"/>
  <c r="AB569" i="5"/>
  <c r="Q570" i="5"/>
  <c r="R570" i="5"/>
  <c r="S570" i="5"/>
  <c r="T570" i="5"/>
  <c r="U570" i="5"/>
  <c r="V570" i="5"/>
  <c r="W570" i="5"/>
  <c r="X570" i="5"/>
  <c r="Y570" i="5"/>
  <c r="Z570" i="5"/>
  <c r="AA570" i="5"/>
  <c r="AB570" i="5"/>
  <c r="Q571" i="5"/>
  <c r="R571" i="5"/>
  <c r="S571" i="5"/>
  <c r="T571" i="5"/>
  <c r="U571" i="5"/>
  <c r="V571" i="5"/>
  <c r="W571" i="5"/>
  <c r="X571" i="5"/>
  <c r="Y571" i="5"/>
  <c r="Z571" i="5"/>
  <c r="AA571" i="5"/>
  <c r="AB571" i="5"/>
  <c r="Q572" i="5"/>
  <c r="R572" i="5"/>
  <c r="S572" i="5"/>
  <c r="T572" i="5"/>
  <c r="U572" i="5"/>
  <c r="V572" i="5"/>
  <c r="W572" i="5"/>
  <c r="X572" i="5"/>
  <c r="Y572" i="5"/>
  <c r="Z572" i="5"/>
  <c r="AA572" i="5"/>
  <c r="AB572" i="5"/>
  <c r="Q573" i="5"/>
  <c r="R573" i="5"/>
  <c r="S573" i="5"/>
  <c r="T573" i="5"/>
  <c r="U573" i="5"/>
  <c r="V573" i="5"/>
  <c r="W573" i="5"/>
  <c r="X573" i="5"/>
  <c r="Y573" i="5"/>
  <c r="Z573" i="5"/>
  <c r="AA573" i="5"/>
  <c r="AB573" i="5"/>
  <c r="Q574" i="5"/>
  <c r="R574" i="5"/>
  <c r="S574" i="5"/>
  <c r="T574" i="5"/>
  <c r="U574" i="5"/>
  <c r="V574" i="5"/>
  <c r="W574" i="5"/>
  <c r="X574" i="5"/>
  <c r="Y574" i="5"/>
  <c r="Z574" i="5"/>
  <c r="AA574" i="5"/>
  <c r="AB574" i="5"/>
  <c r="Q575" i="5"/>
  <c r="R575" i="5"/>
  <c r="S575" i="5"/>
  <c r="T575" i="5"/>
  <c r="U575" i="5"/>
  <c r="V575" i="5"/>
  <c r="W575" i="5"/>
  <c r="X575" i="5"/>
  <c r="Y575" i="5"/>
  <c r="Z575" i="5"/>
  <c r="AA575" i="5"/>
  <c r="AB575" i="5"/>
  <c r="Q576" i="5"/>
  <c r="R576" i="5"/>
  <c r="S576" i="5"/>
  <c r="T576" i="5"/>
  <c r="U576" i="5"/>
  <c r="V576" i="5"/>
  <c r="W576" i="5"/>
  <c r="X576" i="5"/>
  <c r="Y576" i="5"/>
  <c r="Z576" i="5"/>
  <c r="AA576" i="5"/>
  <c r="AB576" i="5"/>
  <c r="Q577" i="5"/>
  <c r="R577" i="5"/>
  <c r="S577" i="5"/>
  <c r="T577" i="5"/>
  <c r="U577" i="5"/>
  <c r="V577" i="5"/>
  <c r="W577" i="5"/>
  <c r="X577" i="5"/>
  <c r="Y577" i="5"/>
  <c r="Z577" i="5"/>
  <c r="AA577" i="5"/>
  <c r="AB577" i="5"/>
  <c r="Q578" i="5"/>
  <c r="R578" i="5"/>
  <c r="S578" i="5"/>
  <c r="T578" i="5"/>
  <c r="U578" i="5"/>
  <c r="V578" i="5"/>
  <c r="W578" i="5"/>
  <c r="X578" i="5"/>
  <c r="Y578" i="5"/>
  <c r="Z578" i="5"/>
  <c r="AA578" i="5"/>
  <c r="AB578" i="5"/>
  <c r="Q579" i="5"/>
  <c r="R579" i="5"/>
  <c r="S579" i="5"/>
  <c r="T579" i="5"/>
  <c r="U579" i="5"/>
  <c r="V579" i="5"/>
  <c r="W579" i="5"/>
  <c r="X579" i="5"/>
  <c r="Y579" i="5"/>
  <c r="Z579" i="5"/>
  <c r="AA579" i="5"/>
  <c r="AB579" i="5"/>
  <c r="Q580" i="5"/>
  <c r="R580" i="5"/>
  <c r="S580" i="5"/>
  <c r="T580" i="5"/>
  <c r="U580" i="5"/>
  <c r="V580" i="5"/>
  <c r="W580" i="5"/>
  <c r="X580" i="5"/>
  <c r="Y580" i="5"/>
  <c r="Z580" i="5"/>
  <c r="AA580" i="5"/>
  <c r="AB580" i="5"/>
  <c r="Q581" i="5"/>
  <c r="R581" i="5"/>
  <c r="S581" i="5"/>
  <c r="T581" i="5"/>
  <c r="U581" i="5"/>
  <c r="V581" i="5"/>
  <c r="W581" i="5"/>
  <c r="X581" i="5"/>
  <c r="Y581" i="5"/>
  <c r="Z581" i="5"/>
  <c r="AA581" i="5"/>
  <c r="AB581" i="5"/>
  <c r="Q582" i="5"/>
  <c r="R582" i="5"/>
  <c r="S582" i="5"/>
  <c r="T582" i="5"/>
  <c r="U582" i="5"/>
  <c r="V582" i="5"/>
  <c r="W582" i="5"/>
  <c r="X582" i="5"/>
  <c r="Y582" i="5"/>
  <c r="Z582" i="5"/>
  <c r="AA582" i="5"/>
  <c r="AB582" i="5"/>
  <c r="Q583" i="5"/>
  <c r="R583" i="5"/>
  <c r="S583" i="5"/>
  <c r="T583" i="5"/>
  <c r="U583" i="5"/>
  <c r="V583" i="5"/>
  <c r="W583" i="5"/>
  <c r="X583" i="5"/>
  <c r="Y583" i="5"/>
  <c r="Z583" i="5"/>
  <c r="AA583" i="5"/>
  <c r="AB583" i="5"/>
  <c r="Q584" i="5"/>
  <c r="R584" i="5"/>
  <c r="S584" i="5"/>
  <c r="T584" i="5"/>
  <c r="U584" i="5"/>
  <c r="V584" i="5"/>
  <c r="W584" i="5"/>
  <c r="X584" i="5"/>
  <c r="Y584" i="5"/>
  <c r="Z584" i="5"/>
  <c r="AA584" i="5"/>
  <c r="AB584" i="5"/>
  <c r="Q585" i="5"/>
  <c r="R585" i="5"/>
  <c r="S585" i="5"/>
  <c r="T585" i="5"/>
  <c r="U585" i="5"/>
  <c r="V585" i="5"/>
  <c r="W585" i="5"/>
  <c r="X585" i="5"/>
  <c r="Y585" i="5"/>
  <c r="Z585" i="5"/>
  <c r="AA585" i="5"/>
  <c r="AB585" i="5"/>
  <c r="Q586" i="5"/>
  <c r="R586" i="5"/>
  <c r="S586" i="5"/>
  <c r="T586" i="5"/>
  <c r="U586" i="5"/>
  <c r="V586" i="5"/>
  <c r="W586" i="5"/>
  <c r="X586" i="5"/>
  <c r="Y586" i="5"/>
  <c r="Z586" i="5"/>
  <c r="AA586" i="5"/>
  <c r="AB586" i="5"/>
  <c r="Q587" i="5"/>
  <c r="R587" i="5"/>
  <c r="S587" i="5"/>
  <c r="T587" i="5"/>
  <c r="U587" i="5"/>
  <c r="V587" i="5"/>
  <c r="W587" i="5"/>
  <c r="X587" i="5"/>
  <c r="Y587" i="5"/>
  <c r="Z587" i="5"/>
  <c r="AA587" i="5"/>
  <c r="AB587" i="5"/>
  <c r="Q588" i="5"/>
  <c r="R588" i="5"/>
  <c r="S588" i="5"/>
  <c r="T588" i="5"/>
  <c r="U588" i="5"/>
  <c r="V588" i="5"/>
  <c r="W588" i="5"/>
  <c r="X588" i="5"/>
  <c r="Y588" i="5"/>
  <c r="Z588" i="5"/>
  <c r="AA588" i="5"/>
  <c r="AB588" i="5"/>
  <c r="Q589" i="5"/>
  <c r="R589" i="5"/>
  <c r="S589" i="5"/>
  <c r="T589" i="5"/>
  <c r="U589" i="5"/>
  <c r="V589" i="5"/>
  <c r="W589" i="5"/>
  <c r="X589" i="5"/>
  <c r="Y589" i="5"/>
  <c r="Z589" i="5"/>
  <c r="AA589" i="5"/>
  <c r="AB589" i="5"/>
  <c r="Q590" i="5"/>
  <c r="R590" i="5"/>
  <c r="S590" i="5"/>
  <c r="T590" i="5"/>
  <c r="U590" i="5"/>
  <c r="V590" i="5"/>
  <c r="W590" i="5"/>
  <c r="X590" i="5"/>
  <c r="Y590" i="5"/>
  <c r="Z590" i="5"/>
  <c r="AA590" i="5"/>
  <c r="AB590" i="5"/>
  <c r="Q591" i="5"/>
  <c r="R591" i="5"/>
  <c r="S591" i="5"/>
  <c r="T591" i="5"/>
  <c r="U591" i="5"/>
  <c r="V591" i="5"/>
  <c r="W591" i="5"/>
  <c r="X591" i="5"/>
  <c r="Y591" i="5"/>
  <c r="Z591" i="5"/>
  <c r="AA591" i="5"/>
  <c r="AB591" i="5"/>
  <c r="Q592" i="5"/>
  <c r="R592" i="5"/>
  <c r="S592" i="5"/>
  <c r="T592" i="5"/>
  <c r="U592" i="5"/>
  <c r="V592" i="5"/>
  <c r="W592" i="5"/>
  <c r="X592" i="5"/>
  <c r="Y592" i="5"/>
  <c r="Z592" i="5"/>
  <c r="AA592" i="5"/>
  <c r="AB592" i="5"/>
  <c r="Q593" i="5"/>
  <c r="R593" i="5"/>
  <c r="S593" i="5"/>
  <c r="T593" i="5"/>
  <c r="U593" i="5"/>
  <c r="V593" i="5"/>
  <c r="W593" i="5"/>
  <c r="X593" i="5"/>
  <c r="Y593" i="5"/>
  <c r="Z593" i="5"/>
  <c r="AA593" i="5"/>
  <c r="AB593" i="5"/>
  <c r="Q594" i="5"/>
  <c r="R594" i="5"/>
  <c r="S594" i="5"/>
  <c r="T594" i="5"/>
  <c r="U594" i="5"/>
  <c r="V594" i="5"/>
  <c r="W594" i="5"/>
  <c r="X594" i="5"/>
  <c r="Y594" i="5"/>
  <c r="Z594" i="5"/>
  <c r="AA594" i="5"/>
  <c r="AB594" i="5"/>
  <c r="Q595" i="5"/>
  <c r="R595" i="5"/>
  <c r="S595" i="5"/>
  <c r="T595" i="5"/>
  <c r="U595" i="5"/>
  <c r="V595" i="5"/>
  <c r="W595" i="5"/>
  <c r="X595" i="5"/>
  <c r="Y595" i="5"/>
  <c r="Z595" i="5"/>
  <c r="AA595" i="5"/>
  <c r="AB595" i="5"/>
  <c r="Q596" i="5"/>
  <c r="R596" i="5"/>
  <c r="S596" i="5"/>
  <c r="T596" i="5"/>
  <c r="U596" i="5"/>
  <c r="V596" i="5"/>
  <c r="W596" i="5"/>
  <c r="X596" i="5"/>
  <c r="Y596" i="5"/>
  <c r="Z596" i="5"/>
  <c r="AA596" i="5"/>
  <c r="AB596" i="5"/>
  <c r="Q597" i="5"/>
  <c r="R597" i="5"/>
  <c r="S597" i="5"/>
  <c r="T597" i="5"/>
  <c r="U597" i="5"/>
  <c r="V597" i="5"/>
  <c r="W597" i="5"/>
  <c r="X597" i="5"/>
  <c r="Y597" i="5"/>
  <c r="Z597" i="5"/>
  <c r="AA597" i="5"/>
  <c r="AB597" i="5"/>
  <c r="Q598" i="5"/>
  <c r="R598" i="5"/>
  <c r="S598" i="5"/>
  <c r="T598" i="5"/>
  <c r="U598" i="5"/>
  <c r="V598" i="5"/>
  <c r="W598" i="5"/>
  <c r="X598" i="5"/>
  <c r="Y598" i="5"/>
  <c r="Z598" i="5"/>
  <c r="AA598" i="5"/>
  <c r="AB598" i="5"/>
  <c r="Q599" i="5"/>
  <c r="R599" i="5"/>
  <c r="S599" i="5"/>
  <c r="T599" i="5"/>
  <c r="U599" i="5"/>
  <c r="V599" i="5"/>
  <c r="W599" i="5"/>
  <c r="X599" i="5"/>
  <c r="Y599" i="5"/>
  <c r="Z599" i="5"/>
  <c r="AA599" i="5"/>
  <c r="AB599" i="5"/>
  <c r="Q600" i="5"/>
  <c r="R600" i="5"/>
  <c r="S600" i="5"/>
  <c r="T600" i="5"/>
  <c r="U600" i="5"/>
  <c r="V600" i="5"/>
  <c r="W600" i="5"/>
  <c r="X600" i="5"/>
  <c r="Y600" i="5"/>
  <c r="Z600" i="5"/>
  <c r="AA600" i="5"/>
  <c r="AB600" i="5"/>
  <c r="Q601" i="5"/>
  <c r="R601" i="5"/>
  <c r="S601" i="5"/>
  <c r="T601" i="5"/>
  <c r="U601" i="5"/>
  <c r="V601" i="5"/>
  <c r="W601" i="5"/>
  <c r="X601" i="5"/>
  <c r="Y601" i="5"/>
  <c r="Z601" i="5"/>
  <c r="AA601" i="5"/>
  <c r="AB601" i="5"/>
  <c r="Q602" i="5"/>
  <c r="R602" i="5"/>
  <c r="S602" i="5"/>
  <c r="T602" i="5"/>
  <c r="U602" i="5"/>
  <c r="V602" i="5"/>
  <c r="W602" i="5"/>
  <c r="X602" i="5"/>
  <c r="Y602" i="5"/>
  <c r="Z602" i="5"/>
  <c r="AA602" i="5"/>
  <c r="AB602" i="5"/>
  <c r="Q603" i="5"/>
  <c r="R603" i="5"/>
  <c r="S603" i="5"/>
  <c r="T603" i="5"/>
  <c r="U603" i="5"/>
  <c r="V603" i="5"/>
  <c r="W603" i="5"/>
  <c r="X603" i="5"/>
  <c r="Y603" i="5"/>
  <c r="Z603" i="5"/>
  <c r="AA603" i="5"/>
  <c r="AB603" i="5"/>
  <c r="Q604" i="5"/>
  <c r="R604" i="5"/>
  <c r="S604" i="5"/>
  <c r="T604" i="5"/>
  <c r="U604" i="5"/>
  <c r="V604" i="5"/>
  <c r="W604" i="5"/>
  <c r="X604" i="5"/>
  <c r="Y604" i="5"/>
  <c r="Z604" i="5"/>
  <c r="AA604" i="5"/>
  <c r="AB604" i="5"/>
  <c r="Q605" i="5"/>
  <c r="R605" i="5"/>
  <c r="S605" i="5"/>
  <c r="T605" i="5"/>
  <c r="U605" i="5"/>
  <c r="V605" i="5"/>
  <c r="W605" i="5"/>
  <c r="X605" i="5"/>
  <c r="Y605" i="5"/>
  <c r="Z605" i="5"/>
  <c r="AA605" i="5"/>
  <c r="AB605" i="5"/>
  <c r="Q606" i="5"/>
  <c r="R606" i="5"/>
  <c r="S606" i="5"/>
  <c r="T606" i="5"/>
  <c r="U606" i="5"/>
  <c r="V606" i="5"/>
  <c r="W606" i="5"/>
  <c r="X606" i="5"/>
  <c r="Y606" i="5"/>
  <c r="Z606" i="5"/>
  <c r="AA606" i="5"/>
  <c r="AB606" i="5"/>
  <c r="Q607" i="5"/>
  <c r="R607" i="5"/>
  <c r="S607" i="5"/>
  <c r="T607" i="5"/>
  <c r="U607" i="5"/>
  <c r="V607" i="5"/>
  <c r="W607" i="5"/>
  <c r="X607" i="5"/>
  <c r="Y607" i="5"/>
  <c r="Z607" i="5"/>
  <c r="AA607" i="5"/>
  <c r="AB607" i="5"/>
  <c r="Q608" i="5"/>
  <c r="R608" i="5"/>
  <c r="S608" i="5"/>
  <c r="T608" i="5"/>
  <c r="U608" i="5"/>
  <c r="V608" i="5"/>
  <c r="W608" i="5"/>
  <c r="X608" i="5"/>
  <c r="Y608" i="5"/>
  <c r="Z608" i="5"/>
  <c r="AA608" i="5"/>
  <c r="AB608" i="5"/>
  <c r="Q609" i="5"/>
  <c r="R609" i="5"/>
  <c r="S609" i="5"/>
  <c r="T609" i="5"/>
  <c r="U609" i="5"/>
  <c r="V609" i="5"/>
  <c r="W609" i="5"/>
  <c r="X609" i="5"/>
  <c r="Y609" i="5"/>
  <c r="Z609" i="5"/>
  <c r="AA609" i="5"/>
  <c r="AB609" i="5"/>
  <c r="Q610" i="5"/>
  <c r="R610" i="5"/>
  <c r="S610" i="5"/>
  <c r="T610" i="5"/>
  <c r="U610" i="5"/>
  <c r="V610" i="5"/>
  <c r="W610" i="5"/>
  <c r="X610" i="5"/>
  <c r="Y610" i="5"/>
  <c r="Z610" i="5"/>
  <c r="AA610" i="5"/>
  <c r="AB610" i="5"/>
  <c r="Q611" i="5"/>
  <c r="R611" i="5"/>
  <c r="S611" i="5"/>
  <c r="T611" i="5"/>
  <c r="U611" i="5"/>
  <c r="V611" i="5"/>
  <c r="W611" i="5"/>
  <c r="X611" i="5"/>
  <c r="Y611" i="5"/>
  <c r="Z611" i="5"/>
  <c r="AA611" i="5"/>
  <c r="AB611" i="5"/>
  <c r="Q612" i="5"/>
  <c r="R612" i="5"/>
  <c r="S612" i="5"/>
  <c r="T612" i="5"/>
  <c r="U612" i="5"/>
  <c r="V612" i="5"/>
  <c r="W612" i="5"/>
  <c r="X612" i="5"/>
  <c r="Y612" i="5"/>
  <c r="Z612" i="5"/>
  <c r="AA612" i="5"/>
  <c r="AB612" i="5"/>
  <c r="Q613" i="5"/>
  <c r="R613" i="5"/>
  <c r="S613" i="5"/>
  <c r="T613" i="5"/>
  <c r="U613" i="5"/>
  <c r="V613" i="5"/>
  <c r="W613" i="5"/>
  <c r="X613" i="5"/>
  <c r="Y613" i="5"/>
  <c r="Z613" i="5"/>
  <c r="AA613" i="5"/>
  <c r="AB613" i="5"/>
  <c r="Q614" i="5"/>
  <c r="R614" i="5"/>
  <c r="S614" i="5"/>
  <c r="T614" i="5"/>
  <c r="U614" i="5"/>
  <c r="V614" i="5"/>
  <c r="W614" i="5"/>
  <c r="X614" i="5"/>
  <c r="Y614" i="5"/>
  <c r="Z614" i="5"/>
  <c r="AA614" i="5"/>
  <c r="AB614" i="5"/>
  <c r="Q615" i="5"/>
  <c r="R615" i="5"/>
  <c r="S615" i="5"/>
  <c r="T615" i="5"/>
  <c r="U615" i="5"/>
  <c r="V615" i="5"/>
  <c r="W615" i="5"/>
  <c r="X615" i="5"/>
  <c r="Y615" i="5"/>
  <c r="Z615" i="5"/>
  <c r="AA615" i="5"/>
  <c r="AB615" i="5"/>
  <c r="Q616" i="5"/>
  <c r="R616" i="5"/>
  <c r="S616" i="5"/>
  <c r="T616" i="5"/>
  <c r="U616" i="5"/>
  <c r="V616" i="5"/>
  <c r="W616" i="5"/>
  <c r="X616" i="5"/>
  <c r="Y616" i="5"/>
  <c r="Z616" i="5"/>
  <c r="AA616" i="5"/>
  <c r="AB616" i="5"/>
  <c r="Q617" i="5"/>
  <c r="R617" i="5"/>
  <c r="S617" i="5"/>
  <c r="T617" i="5"/>
  <c r="U617" i="5"/>
  <c r="V617" i="5"/>
  <c r="W617" i="5"/>
  <c r="X617" i="5"/>
  <c r="Y617" i="5"/>
  <c r="Z617" i="5"/>
  <c r="AA617" i="5"/>
  <c r="AB617" i="5"/>
  <c r="Q618" i="5"/>
  <c r="R618" i="5"/>
  <c r="S618" i="5"/>
  <c r="T618" i="5"/>
  <c r="U618" i="5"/>
  <c r="V618" i="5"/>
  <c r="W618" i="5"/>
  <c r="X618" i="5"/>
  <c r="Y618" i="5"/>
  <c r="Z618" i="5"/>
  <c r="AA618" i="5"/>
  <c r="AB618" i="5"/>
  <c r="Q619" i="5"/>
  <c r="R619" i="5"/>
  <c r="S619" i="5"/>
  <c r="T619" i="5"/>
  <c r="U619" i="5"/>
  <c r="V619" i="5"/>
  <c r="W619" i="5"/>
  <c r="X619" i="5"/>
  <c r="Y619" i="5"/>
  <c r="Z619" i="5"/>
  <c r="AA619" i="5"/>
  <c r="AB619" i="5"/>
  <c r="Q620" i="5"/>
  <c r="R620" i="5"/>
  <c r="S620" i="5"/>
  <c r="T620" i="5"/>
  <c r="U620" i="5"/>
  <c r="V620" i="5"/>
  <c r="W620" i="5"/>
  <c r="X620" i="5"/>
  <c r="Y620" i="5"/>
  <c r="Z620" i="5"/>
  <c r="AA620" i="5"/>
  <c r="AB620" i="5"/>
  <c r="Q621" i="5"/>
  <c r="R621" i="5"/>
  <c r="S621" i="5"/>
  <c r="T621" i="5"/>
  <c r="U621" i="5"/>
  <c r="V621" i="5"/>
  <c r="W621" i="5"/>
  <c r="X621" i="5"/>
  <c r="Y621" i="5"/>
  <c r="Z621" i="5"/>
  <c r="AA621" i="5"/>
  <c r="AB621" i="5"/>
  <c r="Q622" i="5"/>
  <c r="R622" i="5"/>
  <c r="S622" i="5"/>
  <c r="T622" i="5"/>
  <c r="U622" i="5"/>
  <c r="V622" i="5"/>
  <c r="W622" i="5"/>
  <c r="X622" i="5"/>
  <c r="Y622" i="5"/>
  <c r="Z622" i="5"/>
  <c r="AA622" i="5"/>
  <c r="AB622" i="5"/>
  <c r="Q623" i="5"/>
  <c r="R623" i="5"/>
  <c r="S623" i="5"/>
  <c r="T623" i="5"/>
  <c r="U623" i="5"/>
  <c r="V623" i="5"/>
  <c r="W623" i="5"/>
  <c r="X623" i="5"/>
  <c r="Y623" i="5"/>
  <c r="Z623" i="5"/>
  <c r="AA623" i="5"/>
  <c r="AB623" i="5"/>
  <c r="Q624" i="5"/>
  <c r="R624" i="5"/>
  <c r="S624" i="5"/>
  <c r="T624" i="5"/>
  <c r="U624" i="5"/>
  <c r="V624" i="5"/>
  <c r="W624" i="5"/>
  <c r="X624" i="5"/>
  <c r="Y624" i="5"/>
  <c r="Z624" i="5"/>
  <c r="AA624" i="5"/>
  <c r="AB624" i="5"/>
  <c r="Q625" i="5"/>
  <c r="R625" i="5"/>
  <c r="S625" i="5"/>
  <c r="T625" i="5"/>
  <c r="U625" i="5"/>
  <c r="V625" i="5"/>
  <c r="W625" i="5"/>
  <c r="X625" i="5"/>
  <c r="Y625" i="5"/>
  <c r="Z625" i="5"/>
  <c r="AA625" i="5"/>
  <c r="AB625" i="5"/>
  <c r="Q626" i="5"/>
  <c r="R626" i="5"/>
  <c r="S626" i="5"/>
  <c r="T626" i="5"/>
  <c r="U626" i="5"/>
  <c r="V626" i="5"/>
  <c r="W626" i="5"/>
  <c r="X626" i="5"/>
  <c r="Y626" i="5"/>
  <c r="Z626" i="5"/>
  <c r="AA626" i="5"/>
  <c r="AB626" i="5"/>
  <c r="Q627" i="5"/>
  <c r="R627" i="5"/>
  <c r="S627" i="5"/>
  <c r="T627" i="5"/>
  <c r="U627" i="5"/>
  <c r="V627" i="5"/>
  <c r="W627" i="5"/>
  <c r="X627" i="5"/>
  <c r="Y627" i="5"/>
  <c r="Z627" i="5"/>
  <c r="AA627" i="5"/>
  <c r="AB627" i="5"/>
  <c r="Q628" i="5"/>
  <c r="R628" i="5"/>
  <c r="S628" i="5"/>
  <c r="T628" i="5"/>
  <c r="U628" i="5"/>
  <c r="V628" i="5"/>
  <c r="W628" i="5"/>
  <c r="X628" i="5"/>
  <c r="Y628" i="5"/>
  <c r="Z628" i="5"/>
  <c r="AA628" i="5"/>
  <c r="AB628" i="5"/>
  <c r="Q629" i="5"/>
  <c r="R629" i="5"/>
  <c r="S629" i="5"/>
  <c r="T629" i="5"/>
  <c r="U629" i="5"/>
  <c r="V629" i="5"/>
  <c r="W629" i="5"/>
  <c r="X629" i="5"/>
  <c r="Y629" i="5"/>
  <c r="Z629" i="5"/>
  <c r="AA629" i="5"/>
  <c r="AB629" i="5"/>
  <c r="Q630" i="5"/>
  <c r="R630" i="5"/>
  <c r="S630" i="5"/>
  <c r="T630" i="5"/>
  <c r="U630" i="5"/>
  <c r="V630" i="5"/>
  <c r="W630" i="5"/>
  <c r="X630" i="5"/>
  <c r="Y630" i="5"/>
  <c r="Z630" i="5"/>
  <c r="AA630" i="5"/>
  <c r="AB630" i="5"/>
  <c r="Q631" i="5"/>
  <c r="R631" i="5"/>
  <c r="S631" i="5"/>
  <c r="T631" i="5"/>
  <c r="U631" i="5"/>
  <c r="V631" i="5"/>
  <c r="W631" i="5"/>
  <c r="X631" i="5"/>
  <c r="Y631" i="5"/>
  <c r="Z631" i="5"/>
  <c r="AA631" i="5"/>
  <c r="AB631" i="5"/>
  <c r="Q632" i="5"/>
  <c r="R632" i="5"/>
  <c r="S632" i="5"/>
  <c r="T632" i="5"/>
  <c r="U632" i="5"/>
  <c r="V632" i="5"/>
  <c r="W632" i="5"/>
  <c r="X632" i="5"/>
  <c r="Y632" i="5"/>
  <c r="Z632" i="5"/>
  <c r="AA632" i="5"/>
  <c r="AB632" i="5"/>
  <c r="Q633" i="5"/>
  <c r="R633" i="5"/>
  <c r="S633" i="5"/>
  <c r="T633" i="5"/>
  <c r="U633" i="5"/>
  <c r="V633" i="5"/>
  <c r="W633" i="5"/>
  <c r="X633" i="5"/>
  <c r="Y633" i="5"/>
  <c r="Z633" i="5"/>
  <c r="AA633" i="5"/>
  <c r="AB633" i="5"/>
  <c r="Q634" i="5"/>
  <c r="R634" i="5"/>
  <c r="S634" i="5"/>
  <c r="T634" i="5"/>
  <c r="U634" i="5"/>
  <c r="V634" i="5"/>
  <c r="W634" i="5"/>
  <c r="X634" i="5"/>
  <c r="Y634" i="5"/>
  <c r="Z634" i="5"/>
  <c r="AA634" i="5"/>
  <c r="AB634" i="5"/>
  <c r="Q635" i="5"/>
  <c r="R635" i="5"/>
  <c r="S635" i="5"/>
  <c r="T635" i="5"/>
  <c r="U635" i="5"/>
  <c r="V635" i="5"/>
  <c r="W635" i="5"/>
  <c r="X635" i="5"/>
  <c r="Y635" i="5"/>
  <c r="Z635" i="5"/>
  <c r="AA635" i="5"/>
  <c r="AB635" i="5"/>
  <c r="Q636" i="5"/>
  <c r="R636" i="5"/>
  <c r="S636" i="5"/>
  <c r="T636" i="5"/>
  <c r="U636" i="5"/>
  <c r="V636" i="5"/>
  <c r="W636" i="5"/>
  <c r="X636" i="5"/>
  <c r="Y636" i="5"/>
  <c r="Z636" i="5"/>
  <c r="AA636" i="5"/>
  <c r="AB636" i="5"/>
  <c r="Q637" i="5"/>
  <c r="R637" i="5"/>
  <c r="S637" i="5"/>
  <c r="T637" i="5"/>
  <c r="U637" i="5"/>
  <c r="V637" i="5"/>
  <c r="W637" i="5"/>
  <c r="X637" i="5"/>
  <c r="Y637" i="5"/>
  <c r="Z637" i="5"/>
  <c r="AA637" i="5"/>
  <c r="AB637" i="5"/>
  <c r="Q638" i="5"/>
  <c r="R638" i="5"/>
  <c r="S638" i="5"/>
  <c r="T638" i="5"/>
  <c r="U638" i="5"/>
  <c r="V638" i="5"/>
  <c r="W638" i="5"/>
  <c r="X638" i="5"/>
  <c r="Y638" i="5"/>
  <c r="Z638" i="5"/>
  <c r="AA638" i="5"/>
  <c r="AB638" i="5"/>
  <c r="Q639" i="5"/>
  <c r="R639" i="5"/>
  <c r="S639" i="5"/>
  <c r="T639" i="5"/>
  <c r="U639" i="5"/>
  <c r="V639" i="5"/>
  <c r="W639" i="5"/>
  <c r="X639" i="5"/>
  <c r="Y639" i="5"/>
  <c r="Z639" i="5"/>
  <c r="AA639" i="5"/>
  <c r="AB639" i="5"/>
  <c r="Q640" i="5"/>
  <c r="R640" i="5"/>
  <c r="S640" i="5"/>
  <c r="T640" i="5"/>
  <c r="U640" i="5"/>
  <c r="V640" i="5"/>
  <c r="W640" i="5"/>
  <c r="X640" i="5"/>
  <c r="Y640" i="5"/>
  <c r="Z640" i="5"/>
  <c r="AA640" i="5"/>
  <c r="AB640" i="5"/>
  <c r="Q641" i="5"/>
  <c r="R641" i="5"/>
  <c r="S641" i="5"/>
  <c r="T641" i="5"/>
  <c r="U641" i="5"/>
  <c r="V641" i="5"/>
  <c r="W641" i="5"/>
  <c r="X641" i="5"/>
  <c r="Y641" i="5"/>
  <c r="Z641" i="5"/>
  <c r="AA641" i="5"/>
  <c r="AB641" i="5"/>
  <c r="Q642" i="5"/>
  <c r="R642" i="5"/>
  <c r="S642" i="5"/>
  <c r="T642" i="5"/>
  <c r="U642" i="5"/>
  <c r="V642" i="5"/>
  <c r="W642" i="5"/>
  <c r="X642" i="5"/>
  <c r="Y642" i="5"/>
  <c r="Z642" i="5"/>
  <c r="AA642" i="5"/>
  <c r="AB642" i="5"/>
  <c r="Q643" i="5"/>
  <c r="R643" i="5"/>
  <c r="S643" i="5"/>
  <c r="T643" i="5"/>
  <c r="U643" i="5"/>
  <c r="V643" i="5"/>
  <c r="W643" i="5"/>
  <c r="X643" i="5"/>
  <c r="Y643" i="5"/>
  <c r="Z643" i="5"/>
  <c r="AA643" i="5"/>
  <c r="AB643" i="5"/>
  <c r="Q644" i="5"/>
  <c r="R644" i="5"/>
  <c r="S644" i="5"/>
  <c r="T644" i="5"/>
  <c r="U644" i="5"/>
  <c r="V644" i="5"/>
  <c r="W644" i="5"/>
  <c r="X644" i="5"/>
  <c r="Y644" i="5"/>
  <c r="Z644" i="5"/>
  <c r="AA644" i="5"/>
  <c r="AB644" i="5"/>
  <c r="Q645" i="5"/>
  <c r="R645" i="5"/>
  <c r="S645" i="5"/>
  <c r="T645" i="5"/>
  <c r="U645" i="5"/>
  <c r="V645" i="5"/>
  <c r="W645" i="5"/>
  <c r="X645" i="5"/>
  <c r="Y645" i="5"/>
  <c r="Z645" i="5"/>
  <c r="AA645" i="5"/>
  <c r="AB645" i="5"/>
  <c r="Q646" i="5"/>
  <c r="R646" i="5"/>
  <c r="S646" i="5"/>
  <c r="T646" i="5"/>
  <c r="U646" i="5"/>
  <c r="V646" i="5"/>
  <c r="W646" i="5"/>
  <c r="X646" i="5"/>
  <c r="Y646" i="5"/>
  <c r="Z646" i="5"/>
  <c r="AA646" i="5"/>
  <c r="AB646" i="5"/>
  <c r="Q647" i="5"/>
  <c r="R647" i="5"/>
  <c r="S647" i="5"/>
  <c r="T647" i="5"/>
  <c r="U647" i="5"/>
  <c r="V647" i="5"/>
  <c r="W647" i="5"/>
  <c r="X647" i="5"/>
  <c r="Y647" i="5"/>
  <c r="Z647" i="5"/>
  <c r="AA647" i="5"/>
  <c r="AB647" i="5"/>
  <c r="Q648" i="5"/>
  <c r="R648" i="5"/>
  <c r="S648" i="5"/>
  <c r="T648" i="5"/>
  <c r="U648" i="5"/>
  <c r="V648" i="5"/>
  <c r="W648" i="5"/>
  <c r="X648" i="5"/>
  <c r="Y648" i="5"/>
  <c r="Z648" i="5"/>
  <c r="AA648" i="5"/>
  <c r="AB648" i="5"/>
  <c r="Q649" i="5"/>
  <c r="R649" i="5"/>
  <c r="S649" i="5"/>
  <c r="T649" i="5"/>
  <c r="U649" i="5"/>
  <c r="V649" i="5"/>
  <c r="W649" i="5"/>
  <c r="X649" i="5"/>
  <c r="Y649" i="5"/>
  <c r="Z649" i="5"/>
  <c r="AA649" i="5"/>
  <c r="AB649" i="5"/>
  <c r="Q650" i="5"/>
  <c r="R650" i="5"/>
  <c r="S650" i="5"/>
  <c r="T650" i="5"/>
  <c r="U650" i="5"/>
  <c r="V650" i="5"/>
  <c r="W650" i="5"/>
  <c r="X650" i="5"/>
  <c r="Y650" i="5"/>
  <c r="Z650" i="5"/>
  <c r="AA650" i="5"/>
  <c r="AB650" i="5"/>
  <c r="Q651" i="5"/>
  <c r="R651" i="5"/>
  <c r="S651" i="5"/>
  <c r="T651" i="5"/>
  <c r="U651" i="5"/>
  <c r="V651" i="5"/>
  <c r="W651" i="5"/>
  <c r="X651" i="5"/>
  <c r="Y651" i="5"/>
  <c r="Z651" i="5"/>
  <c r="AA651" i="5"/>
  <c r="AB651" i="5"/>
  <c r="Q652" i="5"/>
  <c r="R652" i="5"/>
  <c r="S652" i="5"/>
  <c r="T652" i="5"/>
  <c r="U652" i="5"/>
  <c r="V652" i="5"/>
  <c r="W652" i="5"/>
  <c r="X652" i="5"/>
  <c r="Y652" i="5"/>
  <c r="Z652" i="5"/>
  <c r="AA652" i="5"/>
  <c r="AB652" i="5"/>
  <c r="Q653" i="5"/>
  <c r="R653" i="5"/>
  <c r="S653" i="5"/>
  <c r="T653" i="5"/>
  <c r="U653" i="5"/>
  <c r="V653" i="5"/>
  <c r="W653" i="5"/>
  <c r="X653" i="5"/>
  <c r="Y653" i="5"/>
  <c r="Z653" i="5"/>
  <c r="AA653" i="5"/>
  <c r="AB653" i="5"/>
  <c r="Q654" i="5"/>
  <c r="R654" i="5"/>
  <c r="S654" i="5"/>
  <c r="T654" i="5"/>
  <c r="U654" i="5"/>
  <c r="V654" i="5"/>
  <c r="W654" i="5"/>
  <c r="X654" i="5"/>
  <c r="Y654" i="5"/>
  <c r="Z654" i="5"/>
  <c r="AA654" i="5"/>
  <c r="AB654" i="5"/>
  <c r="Q655" i="5"/>
  <c r="R655" i="5"/>
  <c r="S655" i="5"/>
  <c r="T655" i="5"/>
  <c r="U655" i="5"/>
  <c r="V655" i="5"/>
  <c r="W655" i="5"/>
  <c r="X655" i="5"/>
  <c r="Y655" i="5"/>
  <c r="Z655" i="5"/>
  <c r="AA655" i="5"/>
  <c r="AB655" i="5"/>
  <c r="Q656" i="5"/>
  <c r="R656" i="5"/>
  <c r="S656" i="5"/>
  <c r="T656" i="5"/>
  <c r="U656" i="5"/>
  <c r="V656" i="5"/>
  <c r="W656" i="5"/>
  <c r="X656" i="5"/>
  <c r="Y656" i="5"/>
  <c r="Z656" i="5"/>
  <c r="AA656" i="5"/>
  <c r="AB656" i="5"/>
  <c r="Q657" i="5"/>
  <c r="R657" i="5"/>
  <c r="S657" i="5"/>
  <c r="T657" i="5"/>
  <c r="U657" i="5"/>
  <c r="V657" i="5"/>
  <c r="W657" i="5"/>
  <c r="X657" i="5"/>
  <c r="Y657" i="5"/>
  <c r="Z657" i="5"/>
  <c r="AA657" i="5"/>
  <c r="AB657" i="5"/>
  <c r="Q658" i="5"/>
  <c r="R658" i="5"/>
  <c r="S658" i="5"/>
  <c r="T658" i="5"/>
  <c r="U658" i="5"/>
  <c r="V658" i="5"/>
  <c r="W658" i="5"/>
  <c r="X658" i="5"/>
  <c r="Y658" i="5"/>
  <c r="Z658" i="5"/>
  <c r="AA658" i="5"/>
  <c r="AB658" i="5"/>
  <c r="Q659" i="5"/>
  <c r="R659" i="5"/>
  <c r="S659" i="5"/>
  <c r="T659" i="5"/>
  <c r="U659" i="5"/>
  <c r="V659" i="5"/>
  <c r="W659" i="5"/>
  <c r="X659" i="5"/>
  <c r="Y659" i="5"/>
  <c r="Z659" i="5"/>
  <c r="AA659" i="5"/>
  <c r="AB659" i="5"/>
  <c r="Q660" i="5"/>
  <c r="R660" i="5"/>
  <c r="S660" i="5"/>
  <c r="T660" i="5"/>
  <c r="U660" i="5"/>
  <c r="V660" i="5"/>
  <c r="W660" i="5"/>
  <c r="X660" i="5"/>
  <c r="Y660" i="5"/>
  <c r="Z660" i="5"/>
  <c r="AA660" i="5"/>
  <c r="AB660" i="5"/>
  <c r="Q661" i="5"/>
  <c r="R661" i="5"/>
  <c r="S661" i="5"/>
  <c r="T661" i="5"/>
  <c r="U661" i="5"/>
  <c r="V661" i="5"/>
  <c r="W661" i="5"/>
  <c r="X661" i="5"/>
  <c r="Y661" i="5"/>
  <c r="Z661" i="5"/>
  <c r="AA661" i="5"/>
  <c r="AB661" i="5"/>
  <c r="Q662" i="5"/>
  <c r="R662" i="5"/>
  <c r="S662" i="5"/>
  <c r="T662" i="5"/>
  <c r="U662" i="5"/>
  <c r="V662" i="5"/>
  <c r="W662" i="5"/>
  <c r="X662" i="5"/>
  <c r="Y662" i="5"/>
  <c r="Z662" i="5"/>
  <c r="AA662" i="5"/>
  <c r="AB662" i="5"/>
  <c r="Q663" i="5"/>
  <c r="R663" i="5"/>
  <c r="S663" i="5"/>
  <c r="T663" i="5"/>
  <c r="U663" i="5"/>
  <c r="V663" i="5"/>
  <c r="W663" i="5"/>
  <c r="X663" i="5"/>
  <c r="Y663" i="5"/>
  <c r="Z663" i="5"/>
  <c r="AA663" i="5"/>
  <c r="AB663" i="5"/>
  <c r="Q664" i="5"/>
  <c r="R664" i="5"/>
  <c r="S664" i="5"/>
  <c r="T664" i="5"/>
  <c r="U664" i="5"/>
  <c r="V664" i="5"/>
  <c r="W664" i="5"/>
  <c r="X664" i="5"/>
  <c r="Y664" i="5"/>
  <c r="Z664" i="5"/>
  <c r="AA664" i="5"/>
  <c r="AB664" i="5"/>
  <c r="Q665" i="5"/>
  <c r="R665" i="5"/>
  <c r="S665" i="5"/>
  <c r="T665" i="5"/>
  <c r="U665" i="5"/>
  <c r="V665" i="5"/>
  <c r="W665" i="5"/>
  <c r="X665" i="5"/>
  <c r="Y665" i="5"/>
  <c r="Z665" i="5"/>
  <c r="AA665" i="5"/>
  <c r="AB665" i="5"/>
  <c r="Q666" i="5"/>
  <c r="R666" i="5"/>
  <c r="S666" i="5"/>
  <c r="T666" i="5"/>
  <c r="U666" i="5"/>
  <c r="V666" i="5"/>
  <c r="W666" i="5"/>
  <c r="X666" i="5"/>
  <c r="Y666" i="5"/>
  <c r="Z666" i="5"/>
  <c r="AA666" i="5"/>
  <c r="AB666" i="5"/>
  <c r="Q667" i="5"/>
  <c r="R667" i="5"/>
  <c r="S667" i="5"/>
  <c r="T667" i="5"/>
  <c r="U667" i="5"/>
  <c r="V667" i="5"/>
  <c r="W667" i="5"/>
  <c r="X667" i="5"/>
  <c r="Y667" i="5"/>
  <c r="Z667" i="5"/>
  <c r="AA667" i="5"/>
  <c r="AB667" i="5"/>
  <c r="Q668" i="5"/>
  <c r="R668" i="5"/>
  <c r="S668" i="5"/>
  <c r="T668" i="5"/>
  <c r="U668" i="5"/>
  <c r="V668" i="5"/>
  <c r="W668" i="5"/>
  <c r="X668" i="5"/>
  <c r="Y668" i="5"/>
  <c r="Z668" i="5"/>
  <c r="AA668" i="5"/>
  <c r="AB668" i="5"/>
  <c r="Q669" i="5"/>
  <c r="R669" i="5"/>
  <c r="S669" i="5"/>
  <c r="T669" i="5"/>
  <c r="U669" i="5"/>
  <c r="V669" i="5"/>
  <c r="W669" i="5"/>
  <c r="X669" i="5"/>
  <c r="Y669" i="5"/>
  <c r="Z669" i="5"/>
  <c r="AA669" i="5"/>
  <c r="AB669" i="5"/>
  <c r="Q670" i="5"/>
  <c r="R670" i="5"/>
  <c r="S670" i="5"/>
  <c r="T670" i="5"/>
  <c r="U670" i="5"/>
  <c r="V670" i="5"/>
  <c r="W670" i="5"/>
  <c r="X670" i="5"/>
  <c r="Y670" i="5"/>
  <c r="Z670" i="5"/>
  <c r="AA670" i="5"/>
  <c r="AB670" i="5"/>
  <c r="Q671" i="5"/>
  <c r="R671" i="5"/>
  <c r="S671" i="5"/>
  <c r="T671" i="5"/>
  <c r="U671" i="5"/>
  <c r="V671" i="5"/>
  <c r="W671" i="5"/>
  <c r="X671" i="5"/>
  <c r="Y671" i="5"/>
  <c r="Z671" i="5"/>
  <c r="AA671" i="5"/>
  <c r="AB671" i="5"/>
  <c r="Q672" i="5"/>
  <c r="R672" i="5"/>
  <c r="S672" i="5"/>
  <c r="T672" i="5"/>
  <c r="U672" i="5"/>
  <c r="V672" i="5"/>
  <c r="W672" i="5"/>
  <c r="X672" i="5"/>
  <c r="Y672" i="5"/>
  <c r="Z672" i="5"/>
  <c r="AA672" i="5"/>
  <c r="AB672" i="5"/>
  <c r="Q673" i="5"/>
  <c r="R673" i="5"/>
  <c r="S673" i="5"/>
  <c r="T673" i="5"/>
  <c r="U673" i="5"/>
  <c r="V673" i="5"/>
  <c r="W673" i="5"/>
  <c r="X673" i="5"/>
  <c r="Y673" i="5"/>
  <c r="Z673" i="5"/>
  <c r="AA673" i="5"/>
  <c r="AB673" i="5"/>
  <c r="Q674" i="5"/>
  <c r="R674" i="5"/>
  <c r="S674" i="5"/>
  <c r="T674" i="5"/>
  <c r="U674" i="5"/>
  <c r="V674" i="5"/>
  <c r="W674" i="5"/>
  <c r="X674" i="5"/>
  <c r="Y674" i="5"/>
  <c r="Z674" i="5"/>
  <c r="AA674" i="5"/>
  <c r="AB674" i="5"/>
  <c r="Q675" i="5"/>
  <c r="R675" i="5"/>
  <c r="S675" i="5"/>
  <c r="T675" i="5"/>
  <c r="U675" i="5"/>
  <c r="V675" i="5"/>
  <c r="W675" i="5"/>
  <c r="X675" i="5"/>
  <c r="Y675" i="5"/>
  <c r="Z675" i="5"/>
  <c r="AA675" i="5"/>
  <c r="AB675" i="5"/>
  <c r="Q676" i="5"/>
  <c r="R676" i="5"/>
  <c r="S676" i="5"/>
  <c r="T676" i="5"/>
  <c r="U676" i="5"/>
  <c r="V676" i="5"/>
  <c r="W676" i="5"/>
  <c r="X676" i="5"/>
  <c r="Y676" i="5"/>
  <c r="Z676" i="5"/>
  <c r="AA676" i="5"/>
  <c r="AB676" i="5"/>
  <c r="Q677" i="5"/>
  <c r="R677" i="5"/>
  <c r="S677" i="5"/>
  <c r="T677" i="5"/>
  <c r="U677" i="5"/>
  <c r="V677" i="5"/>
  <c r="W677" i="5"/>
  <c r="X677" i="5"/>
  <c r="Y677" i="5"/>
  <c r="Z677" i="5"/>
  <c r="AA677" i="5"/>
  <c r="AB677" i="5"/>
  <c r="Q678" i="5"/>
  <c r="R678" i="5"/>
  <c r="S678" i="5"/>
  <c r="T678" i="5"/>
  <c r="U678" i="5"/>
  <c r="V678" i="5"/>
  <c r="W678" i="5"/>
  <c r="X678" i="5"/>
  <c r="Y678" i="5"/>
  <c r="Z678" i="5"/>
  <c r="AA678" i="5"/>
  <c r="AB678" i="5"/>
  <c r="Q679" i="5"/>
  <c r="R679" i="5"/>
  <c r="S679" i="5"/>
  <c r="T679" i="5"/>
  <c r="U679" i="5"/>
  <c r="V679" i="5"/>
  <c r="W679" i="5"/>
  <c r="X679" i="5"/>
  <c r="Y679" i="5"/>
  <c r="Z679" i="5"/>
  <c r="AA679" i="5"/>
  <c r="AB679" i="5"/>
  <c r="Q680" i="5"/>
  <c r="R680" i="5"/>
  <c r="S680" i="5"/>
  <c r="T680" i="5"/>
  <c r="U680" i="5"/>
  <c r="V680" i="5"/>
  <c r="W680" i="5"/>
  <c r="X680" i="5"/>
  <c r="Y680" i="5"/>
  <c r="Z680" i="5"/>
  <c r="AA680" i="5"/>
  <c r="AB680" i="5"/>
  <c r="Q681" i="5"/>
  <c r="R681" i="5"/>
  <c r="S681" i="5"/>
  <c r="T681" i="5"/>
  <c r="U681" i="5"/>
  <c r="V681" i="5"/>
  <c r="W681" i="5"/>
  <c r="X681" i="5"/>
  <c r="Y681" i="5"/>
  <c r="Z681" i="5"/>
  <c r="AA681" i="5"/>
  <c r="AB681" i="5"/>
  <c r="Q682" i="5"/>
  <c r="R682" i="5"/>
  <c r="S682" i="5"/>
  <c r="T682" i="5"/>
  <c r="U682" i="5"/>
  <c r="V682" i="5"/>
  <c r="W682" i="5"/>
  <c r="X682" i="5"/>
  <c r="Y682" i="5"/>
  <c r="Z682" i="5"/>
  <c r="AA682" i="5"/>
  <c r="AB682" i="5"/>
  <c r="Q683" i="5"/>
  <c r="R683" i="5"/>
  <c r="S683" i="5"/>
  <c r="T683" i="5"/>
  <c r="U683" i="5"/>
  <c r="V683" i="5"/>
  <c r="W683" i="5"/>
  <c r="X683" i="5"/>
  <c r="Y683" i="5"/>
  <c r="Z683" i="5"/>
  <c r="AA683" i="5"/>
  <c r="AB683" i="5"/>
  <c r="Q684" i="5"/>
  <c r="R684" i="5"/>
  <c r="S684" i="5"/>
  <c r="T684" i="5"/>
  <c r="U684" i="5"/>
  <c r="V684" i="5"/>
  <c r="W684" i="5"/>
  <c r="X684" i="5"/>
  <c r="Y684" i="5"/>
  <c r="Z684" i="5"/>
  <c r="AA684" i="5"/>
  <c r="AB684" i="5"/>
  <c r="Q685" i="5"/>
  <c r="R685" i="5"/>
  <c r="S685" i="5"/>
  <c r="T685" i="5"/>
  <c r="U685" i="5"/>
  <c r="V685" i="5"/>
  <c r="W685" i="5"/>
  <c r="X685" i="5"/>
  <c r="Y685" i="5"/>
  <c r="Z685" i="5"/>
  <c r="AA685" i="5"/>
  <c r="AB685" i="5"/>
  <c r="Q686" i="5"/>
  <c r="R686" i="5"/>
  <c r="S686" i="5"/>
  <c r="T686" i="5"/>
  <c r="U686" i="5"/>
  <c r="V686" i="5"/>
  <c r="W686" i="5"/>
  <c r="X686" i="5"/>
  <c r="Y686" i="5"/>
  <c r="Z686" i="5"/>
  <c r="AA686" i="5"/>
  <c r="AB686" i="5"/>
  <c r="Q687" i="5"/>
  <c r="R687" i="5"/>
  <c r="S687" i="5"/>
  <c r="T687" i="5"/>
  <c r="U687" i="5"/>
  <c r="V687" i="5"/>
  <c r="W687" i="5"/>
  <c r="X687" i="5"/>
  <c r="Y687" i="5"/>
  <c r="Z687" i="5"/>
  <c r="AA687" i="5"/>
  <c r="AB687" i="5"/>
  <c r="Q688" i="5"/>
  <c r="R688" i="5"/>
  <c r="S688" i="5"/>
  <c r="T688" i="5"/>
  <c r="U688" i="5"/>
  <c r="V688" i="5"/>
  <c r="W688" i="5"/>
  <c r="X688" i="5"/>
  <c r="Y688" i="5"/>
  <c r="Z688" i="5"/>
  <c r="AA688" i="5"/>
  <c r="AB688" i="5"/>
  <c r="Q689" i="5"/>
  <c r="R689" i="5"/>
  <c r="S689" i="5"/>
  <c r="T689" i="5"/>
  <c r="U689" i="5"/>
  <c r="V689" i="5"/>
  <c r="W689" i="5"/>
  <c r="X689" i="5"/>
  <c r="Y689" i="5"/>
  <c r="Z689" i="5"/>
  <c r="AA689" i="5"/>
  <c r="AB689" i="5"/>
  <c r="Q690" i="5"/>
  <c r="R690" i="5"/>
  <c r="S690" i="5"/>
  <c r="T690" i="5"/>
  <c r="U690" i="5"/>
  <c r="V690" i="5"/>
  <c r="W690" i="5"/>
  <c r="X690" i="5"/>
  <c r="Y690" i="5"/>
  <c r="Z690" i="5"/>
  <c r="AA690" i="5"/>
  <c r="AB690" i="5"/>
  <c r="Q691" i="5"/>
  <c r="R691" i="5"/>
  <c r="S691" i="5"/>
  <c r="T691" i="5"/>
  <c r="U691" i="5"/>
  <c r="V691" i="5"/>
  <c r="W691" i="5"/>
  <c r="X691" i="5"/>
  <c r="Y691" i="5"/>
  <c r="Z691" i="5"/>
  <c r="AA691" i="5"/>
  <c r="AB691" i="5"/>
  <c r="Q692" i="5"/>
  <c r="R692" i="5"/>
  <c r="S692" i="5"/>
  <c r="T692" i="5"/>
  <c r="U692" i="5"/>
  <c r="V692" i="5"/>
  <c r="W692" i="5"/>
  <c r="X692" i="5"/>
  <c r="Y692" i="5"/>
  <c r="Z692" i="5"/>
  <c r="AA692" i="5"/>
  <c r="AB692" i="5"/>
  <c r="Q693" i="5"/>
  <c r="R693" i="5"/>
  <c r="S693" i="5"/>
  <c r="T693" i="5"/>
  <c r="U693" i="5"/>
  <c r="V693" i="5"/>
  <c r="W693" i="5"/>
  <c r="X693" i="5"/>
  <c r="Y693" i="5"/>
  <c r="Z693" i="5"/>
  <c r="AA693" i="5"/>
  <c r="AB693" i="5"/>
  <c r="Q694" i="5"/>
  <c r="R694" i="5"/>
  <c r="S694" i="5"/>
  <c r="T694" i="5"/>
  <c r="U694" i="5"/>
  <c r="V694" i="5"/>
  <c r="W694" i="5"/>
  <c r="X694" i="5"/>
  <c r="Y694" i="5"/>
  <c r="Z694" i="5"/>
  <c r="AA694" i="5"/>
  <c r="AB694" i="5"/>
  <c r="Q695" i="5"/>
  <c r="R695" i="5"/>
  <c r="S695" i="5"/>
  <c r="T695" i="5"/>
  <c r="U695" i="5"/>
  <c r="V695" i="5"/>
  <c r="W695" i="5"/>
  <c r="X695" i="5"/>
  <c r="Y695" i="5"/>
  <c r="Z695" i="5"/>
  <c r="AA695" i="5"/>
  <c r="AB695" i="5"/>
  <c r="Q696" i="5"/>
  <c r="R696" i="5"/>
  <c r="S696" i="5"/>
  <c r="T696" i="5"/>
  <c r="U696" i="5"/>
  <c r="V696" i="5"/>
  <c r="W696" i="5"/>
  <c r="X696" i="5"/>
  <c r="Y696" i="5"/>
  <c r="Z696" i="5"/>
  <c r="AA696" i="5"/>
  <c r="AB696" i="5"/>
  <c r="Q697" i="5"/>
  <c r="R697" i="5"/>
  <c r="S697" i="5"/>
  <c r="T697" i="5"/>
  <c r="U697" i="5"/>
  <c r="V697" i="5"/>
  <c r="W697" i="5"/>
  <c r="X697" i="5"/>
  <c r="Y697" i="5"/>
  <c r="Z697" i="5"/>
  <c r="AA697" i="5"/>
  <c r="AB697" i="5"/>
  <c r="Q698" i="5"/>
  <c r="R698" i="5"/>
  <c r="S698" i="5"/>
  <c r="T698" i="5"/>
  <c r="U698" i="5"/>
  <c r="V698" i="5"/>
  <c r="W698" i="5"/>
  <c r="X698" i="5"/>
  <c r="Y698" i="5"/>
  <c r="Z698" i="5"/>
  <c r="AA698" i="5"/>
  <c r="AB698" i="5"/>
  <c r="Q699" i="5"/>
  <c r="R699" i="5"/>
  <c r="S699" i="5"/>
  <c r="T699" i="5"/>
  <c r="U699" i="5"/>
  <c r="V699" i="5"/>
  <c r="W699" i="5"/>
  <c r="X699" i="5"/>
  <c r="Y699" i="5"/>
  <c r="Z699" i="5"/>
  <c r="AA699" i="5"/>
  <c r="AB699" i="5"/>
  <c r="Q700" i="5"/>
  <c r="R700" i="5"/>
  <c r="S700" i="5"/>
  <c r="T700" i="5"/>
  <c r="U700" i="5"/>
  <c r="V700" i="5"/>
  <c r="W700" i="5"/>
  <c r="X700" i="5"/>
  <c r="Y700" i="5"/>
  <c r="Z700" i="5"/>
  <c r="AA700" i="5"/>
  <c r="AB700" i="5"/>
  <c r="Q701" i="5"/>
  <c r="R701" i="5"/>
  <c r="S701" i="5"/>
  <c r="T701" i="5"/>
  <c r="U701" i="5"/>
  <c r="V701" i="5"/>
  <c r="W701" i="5"/>
  <c r="X701" i="5"/>
  <c r="Y701" i="5"/>
  <c r="Z701" i="5"/>
  <c r="AA701" i="5"/>
  <c r="AB701" i="5"/>
  <c r="Q702" i="5"/>
  <c r="R702" i="5"/>
  <c r="S702" i="5"/>
  <c r="T702" i="5"/>
  <c r="U702" i="5"/>
  <c r="V702" i="5"/>
  <c r="W702" i="5"/>
  <c r="X702" i="5"/>
  <c r="Y702" i="5"/>
  <c r="Z702" i="5"/>
  <c r="AA702" i="5"/>
  <c r="AB702" i="5"/>
  <c r="Q703" i="5"/>
  <c r="R703" i="5"/>
  <c r="S703" i="5"/>
  <c r="T703" i="5"/>
  <c r="U703" i="5"/>
  <c r="V703" i="5"/>
  <c r="W703" i="5"/>
  <c r="X703" i="5"/>
  <c r="Y703" i="5"/>
  <c r="Z703" i="5"/>
  <c r="AA703" i="5"/>
  <c r="AB703" i="5"/>
  <c r="Q704" i="5"/>
  <c r="R704" i="5"/>
  <c r="S704" i="5"/>
  <c r="T704" i="5"/>
  <c r="U704" i="5"/>
  <c r="V704" i="5"/>
  <c r="W704" i="5"/>
  <c r="X704" i="5"/>
  <c r="Y704" i="5"/>
  <c r="Z704" i="5"/>
  <c r="AA704" i="5"/>
  <c r="AB704" i="5"/>
  <c r="Q705" i="5"/>
  <c r="R705" i="5"/>
  <c r="S705" i="5"/>
  <c r="T705" i="5"/>
  <c r="U705" i="5"/>
  <c r="V705" i="5"/>
  <c r="W705" i="5"/>
  <c r="X705" i="5"/>
  <c r="Y705" i="5"/>
  <c r="Z705" i="5"/>
  <c r="AA705" i="5"/>
  <c r="AB705" i="5"/>
  <c r="Q706" i="5"/>
  <c r="R706" i="5"/>
  <c r="S706" i="5"/>
  <c r="T706" i="5"/>
  <c r="U706" i="5"/>
  <c r="V706" i="5"/>
  <c r="W706" i="5"/>
  <c r="X706" i="5"/>
  <c r="Y706" i="5"/>
  <c r="Z706" i="5"/>
  <c r="AA706" i="5"/>
  <c r="AB706" i="5"/>
  <c r="Q707" i="5"/>
  <c r="R707" i="5"/>
  <c r="S707" i="5"/>
  <c r="T707" i="5"/>
  <c r="U707" i="5"/>
  <c r="V707" i="5"/>
  <c r="W707" i="5"/>
  <c r="X707" i="5"/>
  <c r="Y707" i="5"/>
  <c r="Z707" i="5"/>
  <c r="AA707" i="5"/>
  <c r="AB707" i="5"/>
  <c r="Q708" i="5"/>
  <c r="R708" i="5"/>
  <c r="S708" i="5"/>
  <c r="T708" i="5"/>
  <c r="U708" i="5"/>
  <c r="V708" i="5"/>
  <c r="W708" i="5"/>
  <c r="X708" i="5"/>
  <c r="Y708" i="5"/>
  <c r="Z708" i="5"/>
  <c r="AA708" i="5"/>
  <c r="AB708" i="5"/>
  <c r="Q709" i="5"/>
  <c r="R709" i="5"/>
  <c r="S709" i="5"/>
  <c r="T709" i="5"/>
  <c r="U709" i="5"/>
  <c r="V709" i="5"/>
  <c r="W709" i="5"/>
  <c r="X709" i="5"/>
  <c r="Y709" i="5"/>
  <c r="Z709" i="5"/>
  <c r="AA709" i="5"/>
  <c r="AB709" i="5"/>
  <c r="Q710" i="5"/>
  <c r="R710" i="5"/>
  <c r="S710" i="5"/>
  <c r="T710" i="5"/>
  <c r="U710" i="5"/>
  <c r="V710" i="5"/>
  <c r="W710" i="5"/>
  <c r="X710" i="5"/>
  <c r="Y710" i="5"/>
  <c r="Z710" i="5"/>
  <c r="AA710" i="5"/>
  <c r="AB710" i="5"/>
  <c r="Q711" i="5"/>
  <c r="R711" i="5"/>
  <c r="S711" i="5"/>
  <c r="T711" i="5"/>
  <c r="U711" i="5"/>
  <c r="V711" i="5"/>
  <c r="W711" i="5"/>
  <c r="X711" i="5"/>
  <c r="Y711" i="5"/>
  <c r="Z711" i="5"/>
  <c r="AA711" i="5"/>
  <c r="AB711" i="5"/>
  <c r="Q712" i="5"/>
  <c r="R712" i="5"/>
  <c r="S712" i="5"/>
  <c r="T712" i="5"/>
  <c r="U712" i="5"/>
  <c r="V712" i="5"/>
  <c r="W712" i="5"/>
  <c r="X712" i="5"/>
  <c r="Y712" i="5"/>
  <c r="Z712" i="5"/>
  <c r="AA712" i="5"/>
  <c r="AB712" i="5"/>
  <c r="Q713" i="5"/>
  <c r="R713" i="5"/>
  <c r="S713" i="5"/>
  <c r="T713" i="5"/>
  <c r="U713" i="5"/>
  <c r="V713" i="5"/>
  <c r="W713" i="5"/>
  <c r="X713" i="5"/>
  <c r="Y713" i="5"/>
  <c r="Z713" i="5"/>
  <c r="AA713" i="5"/>
  <c r="AB713" i="5"/>
  <c r="Q714" i="5"/>
  <c r="R714" i="5"/>
  <c r="S714" i="5"/>
  <c r="T714" i="5"/>
  <c r="U714" i="5"/>
  <c r="V714" i="5"/>
  <c r="W714" i="5"/>
  <c r="X714" i="5"/>
  <c r="Y714" i="5"/>
  <c r="Z714" i="5"/>
  <c r="AA714" i="5"/>
  <c r="AB714" i="5"/>
  <c r="Q715" i="5"/>
  <c r="R715" i="5"/>
  <c r="S715" i="5"/>
  <c r="T715" i="5"/>
  <c r="U715" i="5"/>
  <c r="V715" i="5"/>
  <c r="W715" i="5"/>
  <c r="X715" i="5"/>
  <c r="Y715" i="5"/>
  <c r="Z715" i="5"/>
  <c r="AA715" i="5"/>
  <c r="AB715" i="5"/>
  <c r="Q716" i="5"/>
  <c r="R716" i="5"/>
  <c r="S716" i="5"/>
  <c r="T716" i="5"/>
  <c r="U716" i="5"/>
  <c r="V716" i="5"/>
  <c r="W716" i="5"/>
  <c r="X716" i="5"/>
  <c r="Y716" i="5"/>
  <c r="Z716" i="5"/>
  <c r="AA716" i="5"/>
  <c r="AB716" i="5"/>
  <c r="Q717" i="5"/>
  <c r="R717" i="5"/>
  <c r="S717" i="5"/>
  <c r="T717" i="5"/>
  <c r="U717" i="5"/>
  <c r="V717" i="5"/>
  <c r="W717" i="5"/>
  <c r="X717" i="5"/>
  <c r="Y717" i="5"/>
  <c r="Z717" i="5"/>
  <c r="AA717" i="5"/>
  <c r="AB717" i="5"/>
  <c r="Q718" i="5"/>
  <c r="R718" i="5"/>
  <c r="S718" i="5"/>
  <c r="T718" i="5"/>
  <c r="U718" i="5"/>
  <c r="V718" i="5"/>
  <c r="W718" i="5"/>
  <c r="X718" i="5"/>
  <c r="Y718" i="5"/>
  <c r="Z718" i="5"/>
  <c r="AA718" i="5"/>
  <c r="AB718" i="5"/>
  <c r="Q719" i="5"/>
  <c r="R719" i="5"/>
  <c r="S719" i="5"/>
  <c r="T719" i="5"/>
  <c r="U719" i="5"/>
  <c r="V719" i="5"/>
  <c r="W719" i="5"/>
  <c r="X719" i="5"/>
  <c r="Y719" i="5"/>
  <c r="Z719" i="5"/>
  <c r="AA719" i="5"/>
  <c r="AB719" i="5"/>
  <c r="Q720" i="5"/>
  <c r="R720" i="5"/>
  <c r="S720" i="5"/>
  <c r="T720" i="5"/>
  <c r="U720" i="5"/>
  <c r="V720" i="5"/>
  <c r="W720" i="5"/>
  <c r="X720" i="5"/>
  <c r="Y720" i="5"/>
  <c r="Z720" i="5"/>
  <c r="AA720" i="5"/>
  <c r="AB720" i="5"/>
  <c r="Q721" i="5"/>
  <c r="R721" i="5"/>
  <c r="S721" i="5"/>
  <c r="T721" i="5"/>
  <c r="U721" i="5"/>
  <c r="V721" i="5"/>
  <c r="W721" i="5"/>
  <c r="X721" i="5"/>
  <c r="Y721" i="5"/>
  <c r="Z721" i="5"/>
  <c r="AA721" i="5"/>
  <c r="AB721" i="5"/>
  <c r="Q722" i="5"/>
  <c r="R722" i="5"/>
  <c r="S722" i="5"/>
  <c r="T722" i="5"/>
  <c r="U722" i="5"/>
  <c r="V722" i="5"/>
  <c r="W722" i="5"/>
  <c r="X722" i="5"/>
  <c r="Y722" i="5"/>
  <c r="Z722" i="5"/>
  <c r="AA722" i="5"/>
  <c r="AB722" i="5"/>
  <c r="Q723" i="5"/>
  <c r="R723" i="5"/>
  <c r="S723" i="5"/>
  <c r="T723" i="5"/>
  <c r="U723" i="5"/>
  <c r="V723" i="5"/>
  <c r="W723" i="5"/>
  <c r="X723" i="5"/>
  <c r="Y723" i="5"/>
  <c r="Z723" i="5"/>
  <c r="AA723" i="5"/>
  <c r="AB723" i="5"/>
  <c r="Q724" i="5"/>
  <c r="R724" i="5"/>
  <c r="S724" i="5"/>
  <c r="T724" i="5"/>
  <c r="U724" i="5"/>
  <c r="V724" i="5"/>
  <c r="W724" i="5"/>
  <c r="X724" i="5"/>
  <c r="Y724" i="5"/>
  <c r="Z724" i="5"/>
  <c r="AA724" i="5"/>
  <c r="AB724" i="5"/>
  <c r="Q725" i="5"/>
  <c r="R725" i="5"/>
  <c r="S725" i="5"/>
  <c r="T725" i="5"/>
  <c r="U725" i="5"/>
  <c r="V725" i="5"/>
  <c r="W725" i="5"/>
  <c r="X725" i="5"/>
  <c r="Y725" i="5"/>
  <c r="Z725" i="5"/>
  <c r="AA725" i="5"/>
  <c r="AB725" i="5"/>
  <c r="Q726" i="5"/>
  <c r="R726" i="5"/>
  <c r="S726" i="5"/>
  <c r="T726" i="5"/>
  <c r="U726" i="5"/>
  <c r="V726" i="5"/>
  <c r="W726" i="5"/>
  <c r="X726" i="5"/>
  <c r="Y726" i="5"/>
  <c r="Z726" i="5"/>
  <c r="AA726" i="5"/>
  <c r="AB726" i="5"/>
  <c r="Q727" i="5"/>
  <c r="R727" i="5"/>
  <c r="S727" i="5"/>
  <c r="T727" i="5"/>
  <c r="U727" i="5"/>
  <c r="V727" i="5"/>
  <c r="W727" i="5"/>
  <c r="X727" i="5"/>
  <c r="Y727" i="5"/>
  <c r="Z727" i="5"/>
  <c r="AA727" i="5"/>
  <c r="AB727" i="5"/>
  <c r="Q728" i="5"/>
  <c r="R728" i="5"/>
  <c r="S728" i="5"/>
  <c r="T728" i="5"/>
  <c r="U728" i="5"/>
  <c r="V728" i="5"/>
  <c r="W728" i="5"/>
  <c r="X728" i="5"/>
  <c r="Y728" i="5"/>
  <c r="Z728" i="5"/>
  <c r="AA728" i="5"/>
  <c r="AB728" i="5"/>
  <c r="Q729" i="5"/>
  <c r="R729" i="5"/>
  <c r="S729" i="5"/>
  <c r="T729" i="5"/>
  <c r="U729" i="5"/>
  <c r="V729" i="5"/>
  <c r="W729" i="5"/>
  <c r="X729" i="5"/>
  <c r="Y729" i="5"/>
  <c r="Z729" i="5"/>
  <c r="AA729" i="5"/>
  <c r="AB729" i="5"/>
  <c r="Q730" i="5"/>
  <c r="R730" i="5"/>
  <c r="S730" i="5"/>
  <c r="T730" i="5"/>
  <c r="U730" i="5"/>
  <c r="V730" i="5"/>
  <c r="W730" i="5"/>
  <c r="X730" i="5"/>
  <c r="Y730" i="5"/>
  <c r="Z730" i="5"/>
  <c r="AA730" i="5"/>
  <c r="AB730" i="5"/>
  <c r="Q731" i="5"/>
  <c r="R731" i="5"/>
  <c r="S731" i="5"/>
  <c r="T731" i="5"/>
  <c r="U731" i="5"/>
  <c r="V731" i="5"/>
  <c r="W731" i="5"/>
  <c r="X731" i="5"/>
  <c r="Y731" i="5"/>
  <c r="Z731" i="5"/>
  <c r="AA731" i="5"/>
  <c r="AB731" i="5"/>
  <c r="Q732" i="5"/>
  <c r="R732" i="5"/>
  <c r="S732" i="5"/>
  <c r="T732" i="5"/>
  <c r="U732" i="5"/>
  <c r="V732" i="5"/>
  <c r="W732" i="5"/>
  <c r="X732" i="5"/>
  <c r="Y732" i="5"/>
  <c r="Z732" i="5"/>
  <c r="AA732" i="5"/>
  <c r="AB732" i="5"/>
  <c r="Q733" i="5"/>
  <c r="R733" i="5"/>
  <c r="S733" i="5"/>
  <c r="T733" i="5"/>
  <c r="U733" i="5"/>
  <c r="V733" i="5"/>
  <c r="W733" i="5"/>
  <c r="X733" i="5"/>
  <c r="Y733" i="5"/>
  <c r="Z733" i="5"/>
  <c r="AA733" i="5"/>
  <c r="AB733" i="5"/>
  <c r="Q734" i="5"/>
  <c r="R734" i="5"/>
  <c r="S734" i="5"/>
  <c r="T734" i="5"/>
  <c r="U734" i="5"/>
  <c r="V734" i="5"/>
  <c r="W734" i="5"/>
  <c r="X734" i="5"/>
  <c r="Y734" i="5"/>
  <c r="Z734" i="5"/>
  <c r="AA734" i="5"/>
  <c r="AB734" i="5"/>
  <c r="Q735" i="5"/>
  <c r="R735" i="5"/>
  <c r="S735" i="5"/>
  <c r="T735" i="5"/>
  <c r="U735" i="5"/>
  <c r="V735" i="5"/>
  <c r="W735" i="5"/>
  <c r="X735" i="5"/>
  <c r="Y735" i="5"/>
  <c r="Z735" i="5"/>
  <c r="AA735" i="5"/>
  <c r="AB735" i="5"/>
  <c r="Q736" i="5"/>
  <c r="R736" i="5"/>
  <c r="S736" i="5"/>
  <c r="T736" i="5"/>
  <c r="U736" i="5"/>
  <c r="V736" i="5"/>
  <c r="W736" i="5"/>
  <c r="X736" i="5"/>
  <c r="Y736" i="5"/>
  <c r="Z736" i="5"/>
  <c r="AA736" i="5"/>
  <c r="AB736" i="5"/>
  <c r="Q737" i="5"/>
  <c r="R737" i="5"/>
  <c r="S737" i="5"/>
  <c r="T737" i="5"/>
  <c r="U737" i="5"/>
  <c r="V737" i="5"/>
  <c r="W737" i="5"/>
  <c r="X737" i="5"/>
  <c r="Y737" i="5"/>
  <c r="Z737" i="5"/>
  <c r="AA737" i="5"/>
  <c r="AB737" i="5"/>
  <c r="Q738" i="5"/>
  <c r="R738" i="5"/>
  <c r="S738" i="5"/>
  <c r="T738" i="5"/>
  <c r="U738" i="5"/>
  <c r="V738" i="5"/>
  <c r="W738" i="5"/>
  <c r="X738" i="5"/>
  <c r="Y738" i="5"/>
  <c r="Z738" i="5"/>
  <c r="AA738" i="5"/>
  <c r="AB738" i="5"/>
  <c r="Q739" i="5"/>
  <c r="R739" i="5"/>
  <c r="S739" i="5"/>
  <c r="T739" i="5"/>
  <c r="U739" i="5"/>
  <c r="V739" i="5"/>
  <c r="W739" i="5"/>
  <c r="X739" i="5"/>
  <c r="Y739" i="5"/>
  <c r="Z739" i="5"/>
  <c r="AA739" i="5"/>
  <c r="AB739" i="5"/>
  <c r="Q740" i="5"/>
  <c r="R740" i="5"/>
  <c r="S740" i="5"/>
  <c r="T740" i="5"/>
  <c r="U740" i="5"/>
  <c r="V740" i="5"/>
  <c r="W740" i="5"/>
  <c r="X740" i="5"/>
  <c r="Y740" i="5"/>
  <c r="Z740" i="5"/>
  <c r="AA740" i="5"/>
  <c r="AB740" i="5"/>
  <c r="Q741" i="5"/>
  <c r="R741" i="5"/>
  <c r="S741" i="5"/>
  <c r="T741" i="5"/>
  <c r="U741" i="5"/>
  <c r="V741" i="5"/>
  <c r="W741" i="5"/>
  <c r="X741" i="5"/>
  <c r="Y741" i="5"/>
  <c r="Z741" i="5"/>
  <c r="AA741" i="5"/>
  <c r="AB741" i="5"/>
  <c r="Q742" i="5"/>
  <c r="R742" i="5"/>
  <c r="S742" i="5"/>
  <c r="T742" i="5"/>
  <c r="U742" i="5"/>
  <c r="V742" i="5"/>
  <c r="W742" i="5"/>
  <c r="X742" i="5"/>
  <c r="Y742" i="5"/>
  <c r="Z742" i="5"/>
  <c r="AA742" i="5"/>
  <c r="AB742" i="5"/>
  <c r="Q743" i="5"/>
  <c r="R743" i="5"/>
  <c r="S743" i="5"/>
  <c r="T743" i="5"/>
  <c r="U743" i="5"/>
  <c r="V743" i="5"/>
  <c r="W743" i="5"/>
  <c r="X743" i="5"/>
  <c r="Y743" i="5"/>
  <c r="Z743" i="5"/>
  <c r="AA743" i="5"/>
  <c r="AB743" i="5"/>
  <c r="Q744" i="5"/>
  <c r="R744" i="5"/>
  <c r="S744" i="5"/>
  <c r="T744" i="5"/>
  <c r="U744" i="5"/>
  <c r="V744" i="5"/>
  <c r="W744" i="5"/>
  <c r="X744" i="5"/>
  <c r="Y744" i="5"/>
  <c r="Z744" i="5"/>
  <c r="AA744" i="5"/>
  <c r="AB744" i="5"/>
  <c r="Q745" i="5"/>
  <c r="R745" i="5"/>
  <c r="S745" i="5"/>
  <c r="T745" i="5"/>
  <c r="U745" i="5"/>
  <c r="V745" i="5"/>
  <c r="W745" i="5"/>
  <c r="X745" i="5"/>
  <c r="Y745" i="5"/>
  <c r="Z745" i="5"/>
  <c r="AA745" i="5"/>
  <c r="AB745" i="5"/>
  <c r="Q746" i="5"/>
  <c r="R746" i="5"/>
  <c r="S746" i="5"/>
  <c r="T746" i="5"/>
  <c r="U746" i="5"/>
  <c r="V746" i="5"/>
  <c r="W746" i="5"/>
  <c r="X746" i="5"/>
  <c r="Y746" i="5"/>
  <c r="Z746" i="5"/>
  <c r="AA746" i="5"/>
  <c r="AB746" i="5"/>
  <c r="Q747" i="5"/>
  <c r="R747" i="5"/>
  <c r="S747" i="5"/>
  <c r="T747" i="5"/>
  <c r="U747" i="5"/>
  <c r="V747" i="5"/>
  <c r="W747" i="5"/>
  <c r="X747" i="5"/>
  <c r="Y747" i="5"/>
  <c r="Z747" i="5"/>
  <c r="AA747" i="5"/>
  <c r="AB747" i="5"/>
  <c r="Q748" i="5"/>
  <c r="R748" i="5"/>
  <c r="S748" i="5"/>
  <c r="T748" i="5"/>
  <c r="U748" i="5"/>
  <c r="V748" i="5"/>
  <c r="W748" i="5"/>
  <c r="X748" i="5"/>
  <c r="Y748" i="5"/>
  <c r="Z748" i="5"/>
  <c r="AA748" i="5"/>
  <c r="AB748" i="5"/>
  <c r="Q749" i="5"/>
  <c r="R749" i="5"/>
  <c r="S749" i="5"/>
  <c r="T749" i="5"/>
  <c r="U749" i="5"/>
  <c r="V749" i="5"/>
  <c r="W749" i="5"/>
  <c r="X749" i="5"/>
  <c r="Y749" i="5"/>
  <c r="Z749" i="5"/>
  <c r="AA749" i="5"/>
  <c r="AB749" i="5"/>
  <c r="Q750" i="5"/>
  <c r="R750" i="5"/>
  <c r="S750" i="5"/>
  <c r="T750" i="5"/>
  <c r="U750" i="5"/>
  <c r="V750" i="5"/>
  <c r="W750" i="5"/>
  <c r="X750" i="5"/>
  <c r="Y750" i="5"/>
  <c r="Z750" i="5"/>
  <c r="AA750" i="5"/>
  <c r="AB750" i="5"/>
  <c r="Q751" i="5"/>
  <c r="R751" i="5"/>
  <c r="S751" i="5"/>
  <c r="T751" i="5"/>
  <c r="U751" i="5"/>
  <c r="V751" i="5"/>
  <c r="W751" i="5"/>
  <c r="X751" i="5"/>
  <c r="Y751" i="5"/>
  <c r="Z751" i="5"/>
  <c r="AA751" i="5"/>
  <c r="AB751" i="5"/>
  <c r="Q752" i="5"/>
  <c r="R752" i="5"/>
  <c r="S752" i="5"/>
  <c r="T752" i="5"/>
  <c r="U752" i="5"/>
  <c r="V752" i="5"/>
  <c r="W752" i="5"/>
  <c r="X752" i="5"/>
  <c r="Y752" i="5"/>
  <c r="Z752" i="5"/>
  <c r="AA752" i="5"/>
  <c r="AB752" i="5"/>
  <c r="Q753" i="5"/>
  <c r="R753" i="5"/>
  <c r="S753" i="5"/>
  <c r="T753" i="5"/>
  <c r="U753" i="5"/>
  <c r="V753" i="5"/>
  <c r="W753" i="5"/>
  <c r="X753" i="5"/>
  <c r="Y753" i="5"/>
  <c r="Z753" i="5"/>
  <c r="AA753" i="5"/>
  <c r="AB753" i="5"/>
  <c r="Q754" i="5"/>
  <c r="R754" i="5"/>
  <c r="S754" i="5"/>
  <c r="T754" i="5"/>
  <c r="U754" i="5"/>
  <c r="V754" i="5"/>
  <c r="W754" i="5"/>
  <c r="X754" i="5"/>
  <c r="Y754" i="5"/>
  <c r="Z754" i="5"/>
  <c r="AA754" i="5"/>
  <c r="AB754" i="5"/>
  <c r="Q755" i="5"/>
  <c r="R755" i="5"/>
  <c r="S755" i="5"/>
  <c r="T755" i="5"/>
  <c r="U755" i="5"/>
  <c r="V755" i="5"/>
  <c r="W755" i="5"/>
  <c r="X755" i="5"/>
  <c r="Y755" i="5"/>
  <c r="Z755" i="5"/>
  <c r="AA755" i="5"/>
  <c r="AB755" i="5"/>
  <c r="Q756" i="5"/>
  <c r="R756" i="5"/>
  <c r="S756" i="5"/>
  <c r="T756" i="5"/>
  <c r="U756" i="5"/>
  <c r="V756" i="5"/>
  <c r="W756" i="5"/>
  <c r="X756" i="5"/>
  <c r="Y756" i="5"/>
  <c r="Z756" i="5"/>
  <c r="AA756" i="5"/>
  <c r="AB756" i="5"/>
  <c r="Q757" i="5"/>
  <c r="R757" i="5"/>
  <c r="S757" i="5"/>
  <c r="T757" i="5"/>
  <c r="U757" i="5"/>
  <c r="V757" i="5"/>
  <c r="W757" i="5"/>
  <c r="X757" i="5"/>
  <c r="Y757" i="5"/>
  <c r="Z757" i="5"/>
  <c r="AA757" i="5"/>
  <c r="AB757" i="5"/>
  <c r="Q758" i="5"/>
  <c r="R758" i="5"/>
  <c r="S758" i="5"/>
  <c r="T758" i="5"/>
  <c r="U758" i="5"/>
  <c r="V758" i="5"/>
  <c r="W758" i="5"/>
  <c r="X758" i="5"/>
  <c r="Y758" i="5"/>
  <c r="Z758" i="5"/>
  <c r="AA758" i="5"/>
  <c r="AB758" i="5"/>
  <c r="Q759" i="5"/>
  <c r="R759" i="5"/>
  <c r="S759" i="5"/>
  <c r="T759" i="5"/>
  <c r="U759" i="5"/>
  <c r="V759" i="5"/>
  <c r="W759" i="5"/>
  <c r="X759" i="5"/>
  <c r="Y759" i="5"/>
  <c r="Z759" i="5"/>
  <c r="AA759" i="5"/>
  <c r="AB759" i="5"/>
  <c r="Q760" i="5"/>
  <c r="R760" i="5"/>
  <c r="S760" i="5"/>
  <c r="T760" i="5"/>
  <c r="U760" i="5"/>
  <c r="V760" i="5"/>
  <c r="W760" i="5"/>
  <c r="X760" i="5"/>
  <c r="Y760" i="5"/>
  <c r="Z760" i="5"/>
  <c r="AA760" i="5"/>
  <c r="AB760" i="5"/>
  <c r="Q761" i="5"/>
  <c r="R761" i="5"/>
  <c r="S761" i="5"/>
  <c r="T761" i="5"/>
  <c r="U761" i="5"/>
  <c r="V761" i="5"/>
  <c r="W761" i="5"/>
  <c r="X761" i="5"/>
  <c r="Y761" i="5"/>
  <c r="Z761" i="5"/>
  <c r="AA761" i="5"/>
  <c r="AB761" i="5"/>
  <c r="Q762" i="5"/>
  <c r="R762" i="5"/>
  <c r="S762" i="5"/>
  <c r="T762" i="5"/>
  <c r="U762" i="5"/>
  <c r="V762" i="5"/>
  <c r="W762" i="5"/>
  <c r="X762" i="5"/>
  <c r="Y762" i="5"/>
  <c r="Z762" i="5"/>
  <c r="AA762" i="5"/>
  <c r="AB762" i="5"/>
  <c r="Q763" i="5"/>
  <c r="R763" i="5"/>
  <c r="S763" i="5"/>
  <c r="T763" i="5"/>
  <c r="U763" i="5"/>
  <c r="V763" i="5"/>
  <c r="W763" i="5"/>
  <c r="X763" i="5"/>
  <c r="Y763" i="5"/>
  <c r="Z763" i="5"/>
  <c r="AA763" i="5"/>
  <c r="AB763" i="5"/>
  <c r="Q764" i="5"/>
  <c r="R764" i="5"/>
  <c r="S764" i="5"/>
  <c r="T764" i="5"/>
  <c r="U764" i="5"/>
  <c r="V764" i="5"/>
  <c r="W764" i="5"/>
  <c r="X764" i="5"/>
  <c r="Y764" i="5"/>
  <c r="Z764" i="5"/>
  <c r="AA764" i="5"/>
  <c r="AB764" i="5"/>
  <c r="Q765" i="5"/>
  <c r="R765" i="5"/>
  <c r="S765" i="5"/>
  <c r="T765" i="5"/>
  <c r="U765" i="5"/>
  <c r="V765" i="5"/>
  <c r="W765" i="5"/>
  <c r="X765" i="5"/>
  <c r="Y765" i="5"/>
  <c r="Z765" i="5"/>
  <c r="AA765" i="5"/>
  <c r="AB765" i="5"/>
  <c r="Q766" i="5"/>
  <c r="R766" i="5"/>
  <c r="S766" i="5"/>
  <c r="T766" i="5"/>
  <c r="U766" i="5"/>
  <c r="V766" i="5"/>
  <c r="W766" i="5"/>
  <c r="X766" i="5"/>
  <c r="Y766" i="5"/>
  <c r="Z766" i="5"/>
  <c r="AA766" i="5"/>
  <c r="AB766" i="5"/>
  <c r="Q767" i="5"/>
  <c r="R767" i="5"/>
  <c r="S767" i="5"/>
  <c r="T767" i="5"/>
  <c r="U767" i="5"/>
  <c r="V767" i="5"/>
  <c r="W767" i="5"/>
  <c r="X767" i="5"/>
  <c r="Y767" i="5"/>
  <c r="Z767" i="5"/>
  <c r="AA767" i="5"/>
  <c r="AB767" i="5"/>
  <c r="Q768" i="5"/>
  <c r="R768" i="5"/>
  <c r="S768" i="5"/>
  <c r="T768" i="5"/>
  <c r="U768" i="5"/>
  <c r="V768" i="5"/>
  <c r="W768" i="5"/>
  <c r="X768" i="5"/>
  <c r="Y768" i="5"/>
  <c r="Z768" i="5"/>
  <c r="AA768" i="5"/>
  <c r="AB768" i="5"/>
  <c r="Q769" i="5"/>
  <c r="R769" i="5"/>
  <c r="S769" i="5"/>
  <c r="T769" i="5"/>
  <c r="U769" i="5"/>
  <c r="V769" i="5"/>
  <c r="W769" i="5"/>
  <c r="X769" i="5"/>
  <c r="Y769" i="5"/>
  <c r="Z769" i="5"/>
  <c r="AA769" i="5"/>
  <c r="AB769" i="5"/>
  <c r="Q770" i="5"/>
  <c r="R770" i="5"/>
  <c r="S770" i="5"/>
  <c r="T770" i="5"/>
  <c r="U770" i="5"/>
  <c r="V770" i="5"/>
  <c r="W770" i="5"/>
  <c r="X770" i="5"/>
  <c r="Y770" i="5"/>
  <c r="Z770" i="5"/>
  <c r="AA770" i="5"/>
  <c r="AB770" i="5"/>
  <c r="Q771" i="5"/>
  <c r="R771" i="5"/>
  <c r="S771" i="5"/>
  <c r="T771" i="5"/>
  <c r="U771" i="5"/>
  <c r="V771" i="5"/>
  <c r="W771" i="5"/>
  <c r="X771" i="5"/>
  <c r="Y771" i="5"/>
  <c r="Z771" i="5"/>
  <c r="AA771" i="5"/>
  <c r="AB771" i="5"/>
  <c r="Q772" i="5"/>
  <c r="R772" i="5"/>
  <c r="S772" i="5"/>
  <c r="T772" i="5"/>
  <c r="U772" i="5"/>
  <c r="V772" i="5"/>
  <c r="W772" i="5"/>
  <c r="X772" i="5"/>
  <c r="Y772" i="5"/>
  <c r="Z772" i="5"/>
  <c r="AA772" i="5"/>
  <c r="AB772" i="5"/>
  <c r="Q773" i="5"/>
  <c r="R773" i="5"/>
  <c r="S773" i="5"/>
  <c r="T773" i="5"/>
  <c r="U773" i="5"/>
  <c r="V773" i="5"/>
  <c r="W773" i="5"/>
  <c r="X773" i="5"/>
  <c r="Y773" i="5"/>
  <c r="Z773" i="5"/>
  <c r="AA773" i="5"/>
  <c r="AB773" i="5"/>
  <c r="Q774" i="5"/>
  <c r="R774" i="5"/>
  <c r="S774" i="5"/>
  <c r="T774" i="5"/>
  <c r="U774" i="5"/>
  <c r="V774" i="5"/>
  <c r="W774" i="5"/>
  <c r="X774" i="5"/>
  <c r="Y774" i="5"/>
  <c r="Z774" i="5"/>
  <c r="AA774" i="5"/>
  <c r="AB774" i="5"/>
  <c r="Q775" i="5"/>
  <c r="R775" i="5"/>
  <c r="S775" i="5"/>
  <c r="T775" i="5"/>
  <c r="U775" i="5"/>
  <c r="V775" i="5"/>
  <c r="W775" i="5"/>
  <c r="X775" i="5"/>
  <c r="Y775" i="5"/>
  <c r="Z775" i="5"/>
  <c r="AA775" i="5"/>
  <c r="AB775" i="5"/>
  <c r="Q776" i="5"/>
  <c r="R776" i="5"/>
  <c r="S776" i="5"/>
  <c r="T776" i="5"/>
  <c r="U776" i="5"/>
  <c r="V776" i="5"/>
  <c r="W776" i="5"/>
  <c r="X776" i="5"/>
  <c r="Y776" i="5"/>
  <c r="Z776" i="5"/>
  <c r="AA776" i="5"/>
  <c r="AB776" i="5"/>
  <c r="Q777" i="5"/>
  <c r="R777" i="5"/>
  <c r="S777" i="5"/>
  <c r="T777" i="5"/>
  <c r="U777" i="5"/>
  <c r="V777" i="5"/>
  <c r="W777" i="5"/>
  <c r="X777" i="5"/>
  <c r="Y777" i="5"/>
  <c r="Z777" i="5"/>
  <c r="AA777" i="5"/>
  <c r="AB777" i="5"/>
  <c r="Q778" i="5"/>
  <c r="R778" i="5"/>
  <c r="S778" i="5"/>
  <c r="T778" i="5"/>
  <c r="U778" i="5"/>
  <c r="V778" i="5"/>
  <c r="W778" i="5"/>
  <c r="X778" i="5"/>
  <c r="Y778" i="5"/>
  <c r="Z778" i="5"/>
  <c r="AA778" i="5"/>
  <c r="AB778" i="5"/>
  <c r="Q779" i="5"/>
  <c r="R779" i="5"/>
  <c r="S779" i="5"/>
  <c r="T779" i="5"/>
  <c r="U779" i="5"/>
  <c r="V779" i="5"/>
  <c r="W779" i="5"/>
  <c r="X779" i="5"/>
  <c r="Y779" i="5"/>
  <c r="Z779" i="5"/>
  <c r="AA779" i="5"/>
  <c r="AB779" i="5"/>
  <c r="Q780" i="5"/>
  <c r="R780" i="5"/>
  <c r="S780" i="5"/>
  <c r="T780" i="5"/>
  <c r="U780" i="5"/>
  <c r="V780" i="5"/>
  <c r="W780" i="5"/>
  <c r="X780" i="5"/>
  <c r="Y780" i="5"/>
  <c r="Z780" i="5"/>
  <c r="AA780" i="5"/>
  <c r="AB780" i="5"/>
  <c r="Q781" i="5"/>
  <c r="R781" i="5"/>
  <c r="S781" i="5"/>
  <c r="T781" i="5"/>
  <c r="U781" i="5"/>
  <c r="V781" i="5"/>
  <c r="W781" i="5"/>
  <c r="X781" i="5"/>
  <c r="Y781" i="5"/>
  <c r="Z781" i="5"/>
  <c r="AA781" i="5"/>
  <c r="AB781" i="5"/>
  <c r="Q782" i="5"/>
  <c r="R782" i="5"/>
  <c r="S782" i="5"/>
  <c r="T782" i="5"/>
  <c r="U782" i="5"/>
  <c r="V782" i="5"/>
  <c r="W782" i="5"/>
  <c r="X782" i="5"/>
  <c r="Y782" i="5"/>
  <c r="Z782" i="5"/>
  <c r="AA782" i="5"/>
  <c r="AB782" i="5"/>
  <c r="Q783" i="5"/>
  <c r="R783" i="5"/>
  <c r="S783" i="5"/>
  <c r="T783" i="5"/>
  <c r="U783" i="5"/>
  <c r="V783" i="5"/>
  <c r="W783" i="5"/>
  <c r="X783" i="5"/>
  <c r="Y783" i="5"/>
  <c r="Z783" i="5"/>
  <c r="AA783" i="5"/>
  <c r="AB783" i="5"/>
  <c r="Q784" i="5"/>
  <c r="R784" i="5"/>
  <c r="S784" i="5"/>
  <c r="T784" i="5"/>
  <c r="U784" i="5"/>
  <c r="V784" i="5"/>
  <c r="W784" i="5"/>
  <c r="X784" i="5"/>
  <c r="Y784" i="5"/>
  <c r="Z784" i="5"/>
  <c r="AA784" i="5"/>
  <c r="AB784" i="5"/>
  <c r="Q785" i="5"/>
  <c r="R785" i="5"/>
  <c r="S785" i="5"/>
  <c r="T785" i="5"/>
  <c r="U785" i="5"/>
  <c r="V785" i="5"/>
  <c r="W785" i="5"/>
  <c r="X785" i="5"/>
  <c r="Y785" i="5"/>
  <c r="Z785" i="5"/>
  <c r="AA785" i="5"/>
  <c r="AB785" i="5"/>
  <c r="Q786" i="5"/>
  <c r="R786" i="5"/>
  <c r="S786" i="5"/>
  <c r="T786" i="5"/>
  <c r="U786" i="5"/>
  <c r="V786" i="5"/>
  <c r="W786" i="5"/>
  <c r="X786" i="5"/>
  <c r="Y786" i="5"/>
  <c r="Z786" i="5"/>
  <c r="AA786" i="5"/>
  <c r="AB786" i="5"/>
  <c r="Q787" i="5"/>
  <c r="R787" i="5"/>
  <c r="S787" i="5"/>
  <c r="T787" i="5"/>
  <c r="U787" i="5"/>
  <c r="V787" i="5"/>
  <c r="W787" i="5"/>
  <c r="X787" i="5"/>
  <c r="Y787" i="5"/>
  <c r="Z787" i="5"/>
  <c r="AA787" i="5"/>
  <c r="AB787" i="5"/>
  <c r="Q788" i="5"/>
  <c r="R788" i="5"/>
  <c r="S788" i="5"/>
  <c r="T788" i="5"/>
  <c r="U788" i="5"/>
  <c r="V788" i="5"/>
  <c r="W788" i="5"/>
  <c r="X788" i="5"/>
  <c r="Y788" i="5"/>
  <c r="Z788" i="5"/>
  <c r="AA788" i="5"/>
  <c r="AB788" i="5"/>
  <c r="Q789" i="5"/>
  <c r="R789" i="5"/>
  <c r="S789" i="5"/>
  <c r="T789" i="5"/>
  <c r="U789" i="5"/>
  <c r="V789" i="5"/>
  <c r="W789" i="5"/>
  <c r="X789" i="5"/>
  <c r="Y789" i="5"/>
  <c r="Z789" i="5"/>
  <c r="AA789" i="5"/>
  <c r="AB789" i="5"/>
  <c r="Q790" i="5"/>
  <c r="R790" i="5"/>
  <c r="S790" i="5"/>
  <c r="T790" i="5"/>
  <c r="U790" i="5"/>
  <c r="V790" i="5"/>
  <c r="W790" i="5"/>
  <c r="X790" i="5"/>
  <c r="Y790" i="5"/>
  <c r="Z790" i="5"/>
  <c r="AA790" i="5"/>
  <c r="AB790" i="5"/>
  <c r="Q791" i="5"/>
  <c r="R791" i="5"/>
  <c r="S791" i="5"/>
  <c r="T791" i="5"/>
  <c r="U791" i="5"/>
  <c r="V791" i="5"/>
  <c r="W791" i="5"/>
  <c r="X791" i="5"/>
  <c r="Y791" i="5"/>
  <c r="Z791" i="5"/>
  <c r="AA791" i="5"/>
  <c r="AB791" i="5"/>
  <c r="Q792" i="5"/>
  <c r="R792" i="5"/>
  <c r="S792" i="5"/>
  <c r="T792" i="5"/>
  <c r="U792" i="5"/>
  <c r="V792" i="5"/>
  <c r="W792" i="5"/>
  <c r="X792" i="5"/>
  <c r="Y792" i="5"/>
  <c r="Z792" i="5"/>
  <c r="AA792" i="5"/>
  <c r="AB792" i="5"/>
  <c r="Q793" i="5"/>
  <c r="R793" i="5"/>
  <c r="S793" i="5"/>
  <c r="T793" i="5"/>
  <c r="U793" i="5"/>
  <c r="V793" i="5"/>
  <c r="W793" i="5"/>
  <c r="X793" i="5"/>
  <c r="Y793" i="5"/>
  <c r="Z793" i="5"/>
  <c r="AA793" i="5"/>
  <c r="AB793" i="5"/>
  <c r="Q794" i="5"/>
  <c r="R794" i="5"/>
  <c r="S794" i="5"/>
  <c r="T794" i="5"/>
  <c r="U794" i="5"/>
  <c r="V794" i="5"/>
  <c r="W794" i="5"/>
  <c r="X794" i="5"/>
  <c r="Y794" i="5"/>
  <c r="Z794" i="5"/>
  <c r="AA794" i="5"/>
  <c r="AB794" i="5"/>
  <c r="Q795" i="5"/>
  <c r="R795" i="5"/>
  <c r="S795" i="5"/>
  <c r="T795" i="5"/>
  <c r="U795" i="5"/>
  <c r="V795" i="5"/>
  <c r="W795" i="5"/>
  <c r="X795" i="5"/>
  <c r="Y795" i="5"/>
  <c r="Z795" i="5"/>
  <c r="AA795" i="5"/>
  <c r="AB795" i="5"/>
  <c r="Q796" i="5"/>
  <c r="R796" i="5"/>
  <c r="S796" i="5"/>
  <c r="T796" i="5"/>
  <c r="U796" i="5"/>
  <c r="V796" i="5"/>
  <c r="W796" i="5"/>
  <c r="X796" i="5"/>
  <c r="Y796" i="5"/>
  <c r="Z796" i="5"/>
  <c r="AA796" i="5"/>
  <c r="AB796" i="5"/>
  <c r="Q797" i="5"/>
  <c r="R797" i="5"/>
  <c r="S797" i="5"/>
  <c r="T797" i="5"/>
  <c r="U797" i="5"/>
  <c r="V797" i="5"/>
  <c r="W797" i="5"/>
  <c r="X797" i="5"/>
  <c r="Y797" i="5"/>
  <c r="Z797" i="5"/>
  <c r="AA797" i="5"/>
  <c r="AB797" i="5"/>
  <c r="Q798" i="5"/>
  <c r="R798" i="5"/>
  <c r="S798" i="5"/>
  <c r="T798" i="5"/>
  <c r="U798" i="5"/>
  <c r="V798" i="5"/>
  <c r="W798" i="5"/>
  <c r="X798" i="5"/>
  <c r="Y798" i="5"/>
  <c r="Z798" i="5"/>
  <c r="AA798" i="5"/>
  <c r="AB798" i="5"/>
  <c r="Q799" i="5"/>
  <c r="R799" i="5"/>
  <c r="S799" i="5"/>
  <c r="T799" i="5"/>
  <c r="U799" i="5"/>
  <c r="V799" i="5"/>
  <c r="W799" i="5"/>
  <c r="X799" i="5"/>
  <c r="Y799" i="5"/>
  <c r="Z799" i="5"/>
  <c r="AA799" i="5"/>
  <c r="AB799" i="5"/>
  <c r="Q800" i="5"/>
  <c r="R800" i="5"/>
  <c r="S800" i="5"/>
  <c r="T800" i="5"/>
  <c r="U800" i="5"/>
  <c r="V800" i="5"/>
  <c r="W800" i="5"/>
  <c r="X800" i="5"/>
  <c r="Y800" i="5"/>
  <c r="Z800" i="5"/>
  <c r="AA800" i="5"/>
  <c r="AB800" i="5"/>
  <c r="Q801" i="5"/>
  <c r="R801" i="5"/>
  <c r="S801" i="5"/>
  <c r="T801" i="5"/>
  <c r="U801" i="5"/>
  <c r="V801" i="5"/>
  <c r="W801" i="5"/>
  <c r="X801" i="5"/>
  <c r="Y801" i="5"/>
  <c r="Z801" i="5"/>
  <c r="AA801" i="5"/>
  <c r="AB801" i="5"/>
  <c r="Q802" i="5"/>
  <c r="R802" i="5"/>
  <c r="S802" i="5"/>
  <c r="T802" i="5"/>
  <c r="U802" i="5"/>
  <c r="V802" i="5"/>
  <c r="W802" i="5"/>
  <c r="X802" i="5"/>
  <c r="Y802" i="5"/>
  <c r="Z802" i="5"/>
  <c r="AA802" i="5"/>
  <c r="AB802" i="5"/>
  <c r="Q803" i="5"/>
  <c r="R803" i="5"/>
  <c r="S803" i="5"/>
  <c r="T803" i="5"/>
  <c r="U803" i="5"/>
  <c r="V803" i="5"/>
  <c r="W803" i="5"/>
  <c r="X803" i="5"/>
  <c r="Y803" i="5"/>
  <c r="Z803" i="5"/>
  <c r="AA803" i="5"/>
  <c r="AB803" i="5"/>
  <c r="Q804" i="5"/>
  <c r="R804" i="5"/>
  <c r="S804" i="5"/>
  <c r="T804" i="5"/>
  <c r="U804" i="5"/>
  <c r="V804" i="5"/>
  <c r="W804" i="5"/>
  <c r="X804" i="5"/>
  <c r="Y804" i="5"/>
  <c r="Z804" i="5"/>
  <c r="AA804" i="5"/>
  <c r="AB804" i="5"/>
  <c r="Q805" i="5"/>
  <c r="R805" i="5"/>
  <c r="S805" i="5"/>
  <c r="T805" i="5"/>
  <c r="U805" i="5"/>
  <c r="V805" i="5"/>
  <c r="W805" i="5"/>
  <c r="X805" i="5"/>
  <c r="Y805" i="5"/>
  <c r="Z805" i="5"/>
  <c r="AA805" i="5"/>
  <c r="AB805" i="5"/>
  <c r="Q806" i="5"/>
  <c r="R806" i="5"/>
  <c r="S806" i="5"/>
  <c r="T806" i="5"/>
  <c r="U806" i="5"/>
  <c r="V806" i="5"/>
  <c r="W806" i="5"/>
  <c r="X806" i="5"/>
  <c r="Y806" i="5"/>
  <c r="Z806" i="5"/>
  <c r="AA806" i="5"/>
  <c r="AB806" i="5"/>
  <c r="Q807" i="5"/>
  <c r="R807" i="5"/>
  <c r="S807" i="5"/>
  <c r="T807" i="5"/>
  <c r="U807" i="5"/>
  <c r="V807" i="5"/>
  <c r="W807" i="5"/>
  <c r="X807" i="5"/>
  <c r="Y807" i="5"/>
  <c r="Z807" i="5"/>
  <c r="AA807" i="5"/>
  <c r="AB807" i="5"/>
  <c r="Q808" i="5"/>
  <c r="R808" i="5"/>
  <c r="S808" i="5"/>
  <c r="T808" i="5"/>
  <c r="U808" i="5"/>
  <c r="V808" i="5"/>
  <c r="W808" i="5"/>
  <c r="X808" i="5"/>
  <c r="Y808" i="5"/>
  <c r="Z808" i="5"/>
  <c r="AA808" i="5"/>
  <c r="AB808" i="5"/>
  <c r="Q809" i="5"/>
  <c r="R809" i="5"/>
  <c r="S809" i="5"/>
  <c r="T809" i="5"/>
  <c r="U809" i="5"/>
  <c r="V809" i="5"/>
  <c r="W809" i="5"/>
  <c r="X809" i="5"/>
  <c r="Y809" i="5"/>
  <c r="Z809" i="5"/>
  <c r="AA809" i="5"/>
  <c r="AB809" i="5"/>
  <c r="Q810" i="5"/>
  <c r="R810" i="5"/>
  <c r="S810" i="5"/>
  <c r="T810" i="5"/>
  <c r="U810" i="5"/>
  <c r="V810" i="5"/>
  <c r="W810" i="5"/>
  <c r="X810" i="5"/>
  <c r="Y810" i="5"/>
  <c r="Z810" i="5"/>
  <c r="AA810" i="5"/>
  <c r="AB810" i="5"/>
  <c r="Q811" i="5"/>
  <c r="R811" i="5"/>
  <c r="S811" i="5"/>
  <c r="T811" i="5"/>
  <c r="U811" i="5"/>
  <c r="V811" i="5"/>
  <c r="W811" i="5"/>
  <c r="X811" i="5"/>
  <c r="Y811" i="5"/>
  <c r="Z811" i="5"/>
  <c r="AA811" i="5"/>
  <c r="AB811" i="5"/>
  <c r="Q812" i="5"/>
  <c r="R812" i="5"/>
  <c r="S812" i="5"/>
  <c r="T812" i="5"/>
  <c r="U812" i="5"/>
  <c r="V812" i="5"/>
  <c r="W812" i="5"/>
  <c r="X812" i="5"/>
  <c r="Y812" i="5"/>
  <c r="Z812" i="5"/>
  <c r="AA812" i="5"/>
  <c r="AB812" i="5"/>
  <c r="Q813" i="5"/>
  <c r="R813" i="5"/>
  <c r="S813" i="5"/>
  <c r="T813" i="5"/>
  <c r="U813" i="5"/>
  <c r="V813" i="5"/>
  <c r="W813" i="5"/>
  <c r="X813" i="5"/>
  <c r="Y813" i="5"/>
  <c r="Z813" i="5"/>
  <c r="AA813" i="5"/>
  <c r="AB813" i="5"/>
  <c r="Q814" i="5"/>
  <c r="R814" i="5"/>
  <c r="S814" i="5"/>
  <c r="T814" i="5"/>
  <c r="U814" i="5"/>
  <c r="V814" i="5"/>
  <c r="W814" i="5"/>
  <c r="X814" i="5"/>
  <c r="Y814" i="5"/>
  <c r="Z814" i="5"/>
  <c r="AA814" i="5"/>
  <c r="AB814" i="5"/>
  <c r="Q815" i="5"/>
  <c r="R815" i="5"/>
  <c r="S815" i="5"/>
  <c r="T815" i="5"/>
  <c r="U815" i="5"/>
  <c r="V815" i="5"/>
  <c r="W815" i="5"/>
  <c r="X815" i="5"/>
  <c r="Y815" i="5"/>
  <c r="Z815" i="5"/>
  <c r="AA815" i="5"/>
  <c r="AB815" i="5"/>
  <c r="Q816" i="5"/>
  <c r="R816" i="5"/>
  <c r="S816" i="5"/>
  <c r="T816" i="5"/>
  <c r="U816" i="5"/>
  <c r="V816" i="5"/>
  <c r="W816" i="5"/>
  <c r="X816" i="5"/>
  <c r="Y816" i="5"/>
  <c r="Z816" i="5"/>
  <c r="AA816" i="5"/>
  <c r="AB816" i="5"/>
  <c r="Q817" i="5"/>
  <c r="R817" i="5"/>
  <c r="S817" i="5"/>
  <c r="T817" i="5"/>
  <c r="U817" i="5"/>
  <c r="V817" i="5"/>
  <c r="W817" i="5"/>
  <c r="X817" i="5"/>
  <c r="Y817" i="5"/>
  <c r="Z817" i="5"/>
  <c r="AA817" i="5"/>
  <c r="AB817" i="5"/>
  <c r="Q818" i="5"/>
  <c r="R818" i="5"/>
  <c r="S818" i="5"/>
  <c r="T818" i="5"/>
  <c r="U818" i="5"/>
  <c r="V818" i="5"/>
  <c r="W818" i="5"/>
  <c r="X818" i="5"/>
  <c r="Y818" i="5"/>
  <c r="Z818" i="5"/>
  <c r="AA818" i="5"/>
  <c r="AB818" i="5"/>
  <c r="Q819" i="5"/>
  <c r="R819" i="5"/>
  <c r="S819" i="5"/>
  <c r="T819" i="5"/>
  <c r="U819" i="5"/>
  <c r="V819" i="5"/>
  <c r="W819" i="5"/>
  <c r="X819" i="5"/>
  <c r="Y819" i="5"/>
  <c r="Z819" i="5"/>
  <c r="AA819" i="5"/>
  <c r="AB819" i="5"/>
  <c r="Q820" i="5"/>
  <c r="R820" i="5"/>
  <c r="S820" i="5"/>
  <c r="T820" i="5"/>
  <c r="U820" i="5"/>
  <c r="V820" i="5"/>
  <c r="W820" i="5"/>
  <c r="X820" i="5"/>
  <c r="Y820" i="5"/>
  <c r="Z820" i="5"/>
  <c r="AA820" i="5"/>
  <c r="AB820" i="5"/>
  <c r="Q821" i="5"/>
  <c r="R821" i="5"/>
  <c r="S821" i="5"/>
  <c r="T821" i="5"/>
  <c r="U821" i="5"/>
  <c r="V821" i="5"/>
  <c r="W821" i="5"/>
  <c r="X821" i="5"/>
  <c r="Y821" i="5"/>
  <c r="Z821" i="5"/>
  <c r="AA821" i="5"/>
  <c r="AB821" i="5"/>
  <c r="Q822" i="5"/>
  <c r="R822" i="5"/>
  <c r="S822" i="5"/>
  <c r="T822" i="5"/>
  <c r="U822" i="5"/>
  <c r="V822" i="5"/>
  <c r="W822" i="5"/>
  <c r="X822" i="5"/>
  <c r="Y822" i="5"/>
  <c r="Z822" i="5"/>
  <c r="AA822" i="5"/>
  <c r="AB822" i="5"/>
  <c r="Q823" i="5"/>
  <c r="R823" i="5"/>
  <c r="S823" i="5"/>
  <c r="T823" i="5"/>
  <c r="U823" i="5"/>
  <c r="V823" i="5"/>
  <c r="W823" i="5"/>
  <c r="X823" i="5"/>
  <c r="Y823" i="5"/>
  <c r="Z823" i="5"/>
  <c r="AA823" i="5"/>
  <c r="AB823" i="5"/>
  <c r="Q824" i="5"/>
  <c r="R824" i="5"/>
  <c r="S824" i="5"/>
  <c r="T824" i="5"/>
  <c r="U824" i="5"/>
  <c r="V824" i="5"/>
  <c r="W824" i="5"/>
  <c r="X824" i="5"/>
  <c r="Y824" i="5"/>
  <c r="Z824" i="5"/>
  <c r="AA824" i="5"/>
  <c r="AB824" i="5"/>
  <c r="Q825" i="5"/>
  <c r="R825" i="5"/>
  <c r="S825" i="5"/>
  <c r="T825" i="5"/>
  <c r="U825" i="5"/>
  <c r="V825" i="5"/>
  <c r="W825" i="5"/>
  <c r="X825" i="5"/>
  <c r="Y825" i="5"/>
  <c r="Z825" i="5"/>
  <c r="AA825" i="5"/>
  <c r="AB825" i="5"/>
  <c r="Q826" i="5"/>
  <c r="R826" i="5"/>
  <c r="S826" i="5"/>
  <c r="T826" i="5"/>
  <c r="U826" i="5"/>
  <c r="V826" i="5"/>
  <c r="W826" i="5"/>
  <c r="X826" i="5"/>
  <c r="Y826" i="5"/>
  <c r="Z826" i="5"/>
  <c r="AA826" i="5"/>
  <c r="AB826" i="5"/>
  <c r="Q827" i="5"/>
  <c r="R827" i="5"/>
  <c r="S827" i="5"/>
  <c r="T827" i="5"/>
  <c r="U827" i="5"/>
  <c r="V827" i="5"/>
  <c r="W827" i="5"/>
  <c r="X827" i="5"/>
  <c r="Y827" i="5"/>
  <c r="Z827" i="5"/>
  <c r="AA827" i="5"/>
  <c r="AB827" i="5"/>
  <c r="Q828" i="5"/>
  <c r="R828" i="5"/>
  <c r="S828" i="5"/>
  <c r="T828" i="5"/>
  <c r="U828" i="5"/>
  <c r="V828" i="5"/>
  <c r="W828" i="5"/>
  <c r="X828" i="5"/>
  <c r="Y828" i="5"/>
  <c r="Z828" i="5"/>
  <c r="AA828" i="5"/>
  <c r="AB828" i="5"/>
  <c r="Q829" i="5"/>
  <c r="R829" i="5"/>
  <c r="S829" i="5"/>
  <c r="T829" i="5"/>
  <c r="U829" i="5"/>
  <c r="V829" i="5"/>
  <c r="W829" i="5"/>
  <c r="X829" i="5"/>
  <c r="Y829" i="5"/>
  <c r="Z829" i="5"/>
  <c r="AA829" i="5"/>
  <c r="AB829" i="5"/>
  <c r="Q830" i="5"/>
  <c r="R830" i="5"/>
  <c r="S830" i="5"/>
  <c r="T830" i="5"/>
  <c r="U830" i="5"/>
  <c r="V830" i="5"/>
  <c r="W830" i="5"/>
  <c r="X830" i="5"/>
  <c r="Y830" i="5"/>
  <c r="Z830" i="5"/>
  <c r="AA830" i="5"/>
  <c r="AB830" i="5"/>
  <c r="Q831" i="5"/>
  <c r="R831" i="5"/>
  <c r="S831" i="5"/>
  <c r="T831" i="5"/>
  <c r="U831" i="5"/>
  <c r="V831" i="5"/>
  <c r="W831" i="5"/>
  <c r="X831" i="5"/>
  <c r="Y831" i="5"/>
  <c r="Z831" i="5"/>
  <c r="AA831" i="5"/>
  <c r="AB831" i="5"/>
  <c r="Q832" i="5"/>
  <c r="R832" i="5"/>
  <c r="S832" i="5"/>
  <c r="T832" i="5"/>
  <c r="U832" i="5"/>
  <c r="V832" i="5"/>
  <c r="W832" i="5"/>
  <c r="X832" i="5"/>
  <c r="Y832" i="5"/>
  <c r="Z832" i="5"/>
  <c r="AA832" i="5"/>
  <c r="AB832" i="5"/>
  <c r="Q833" i="5"/>
  <c r="R833" i="5"/>
  <c r="S833" i="5"/>
  <c r="T833" i="5"/>
  <c r="U833" i="5"/>
  <c r="V833" i="5"/>
  <c r="W833" i="5"/>
  <c r="X833" i="5"/>
  <c r="Y833" i="5"/>
  <c r="Z833" i="5"/>
  <c r="AA833" i="5"/>
  <c r="AB833" i="5"/>
  <c r="Q834" i="5"/>
  <c r="R834" i="5"/>
  <c r="S834" i="5"/>
  <c r="T834" i="5"/>
  <c r="U834" i="5"/>
  <c r="V834" i="5"/>
  <c r="W834" i="5"/>
  <c r="X834" i="5"/>
  <c r="Y834" i="5"/>
  <c r="Z834" i="5"/>
  <c r="AA834" i="5"/>
  <c r="AB834" i="5"/>
  <c r="Q835" i="5"/>
  <c r="R835" i="5"/>
  <c r="S835" i="5"/>
  <c r="T835" i="5"/>
  <c r="U835" i="5"/>
  <c r="V835" i="5"/>
  <c r="W835" i="5"/>
  <c r="X835" i="5"/>
  <c r="Y835" i="5"/>
  <c r="Z835" i="5"/>
  <c r="AA835" i="5"/>
  <c r="AB835" i="5"/>
  <c r="Q836" i="5"/>
  <c r="R836" i="5"/>
  <c r="S836" i="5"/>
  <c r="T836" i="5"/>
  <c r="U836" i="5"/>
  <c r="V836" i="5"/>
  <c r="W836" i="5"/>
  <c r="X836" i="5"/>
  <c r="Y836" i="5"/>
  <c r="Z836" i="5"/>
  <c r="AA836" i="5"/>
  <c r="AB836" i="5"/>
  <c r="Q837" i="5"/>
  <c r="R837" i="5"/>
  <c r="S837" i="5"/>
  <c r="T837" i="5"/>
  <c r="U837" i="5"/>
  <c r="V837" i="5"/>
  <c r="W837" i="5"/>
  <c r="X837" i="5"/>
  <c r="Y837" i="5"/>
  <c r="Z837" i="5"/>
  <c r="AA837" i="5"/>
  <c r="AB837" i="5"/>
  <c r="Q838" i="5"/>
  <c r="R838" i="5"/>
  <c r="S838" i="5"/>
  <c r="T838" i="5"/>
  <c r="U838" i="5"/>
  <c r="V838" i="5"/>
  <c r="W838" i="5"/>
  <c r="X838" i="5"/>
  <c r="Y838" i="5"/>
  <c r="Z838" i="5"/>
  <c r="AA838" i="5"/>
  <c r="AB838" i="5"/>
  <c r="Q839" i="5"/>
  <c r="R839" i="5"/>
  <c r="S839" i="5"/>
  <c r="T839" i="5"/>
  <c r="U839" i="5"/>
  <c r="V839" i="5"/>
  <c r="W839" i="5"/>
  <c r="X839" i="5"/>
  <c r="Y839" i="5"/>
  <c r="Z839" i="5"/>
  <c r="AA839" i="5"/>
  <c r="AB839" i="5"/>
  <c r="Q840" i="5"/>
  <c r="R840" i="5"/>
  <c r="S840" i="5"/>
  <c r="T840" i="5"/>
  <c r="U840" i="5"/>
  <c r="V840" i="5"/>
  <c r="W840" i="5"/>
  <c r="X840" i="5"/>
  <c r="Y840" i="5"/>
  <c r="Z840" i="5"/>
  <c r="AA840" i="5"/>
  <c r="AB840" i="5"/>
  <c r="Q841" i="5"/>
  <c r="R841" i="5"/>
  <c r="S841" i="5"/>
  <c r="T841" i="5"/>
  <c r="U841" i="5"/>
  <c r="V841" i="5"/>
  <c r="W841" i="5"/>
  <c r="X841" i="5"/>
  <c r="Y841" i="5"/>
  <c r="Z841" i="5"/>
  <c r="AA841" i="5"/>
  <c r="AB841" i="5"/>
  <c r="Q842" i="5"/>
  <c r="R842" i="5"/>
  <c r="S842" i="5"/>
  <c r="T842" i="5"/>
  <c r="U842" i="5"/>
  <c r="V842" i="5"/>
  <c r="W842" i="5"/>
  <c r="X842" i="5"/>
  <c r="Y842" i="5"/>
  <c r="Z842" i="5"/>
  <c r="AA842" i="5"/>
  <c r="AB842" i="5"/>
  <c r="Q843" i="5"/>
  <c r="R843" i="5"/>
  <c r="S843" i="5"/>
  <c r="T843" i="5"/>
  <c r="U843" i="5"/>
  <c r="V843" i="5"/>
  <c r="W843" i="5"/>
  <c r="X843" i="5"/>
  <c r="Y843" i="5"/>
  <c r="Z843" i="5"/>
  <c r="AA843" i="5"/>
  <c r="AB843" i="5"/>
  <c r="Q844" i="5"/>
  <c r="R844" i="5"/>
  <c r="S844" i="5"/>
  <c r="T844" i="5"/>
  <c r="U844" i="5"/>
  <c r="V844" i="5"/>
  <c r="W844" i="5"/>
  <c r="X844" i="5"/>
  <c r="Y844" i="5"/>
  <c r="Z844" i="5"/>
  <c r="AA844" i="5"/>
  <c r="AB844" i="5"/>
  <c r="Q845" i="5"/>
  <c r="R845" i="5"/>
  <c r="S845" i="5"/>
  <c r="T845" i="5"/>
  <c r="U845" i="5"/>
  <c r="V845" i="5"/>
  <c r="W845" i="5"/>
  <c r="X845" i="5"/>
  <c r="Y845" i="5"/>
  <c r="Z845" i="5"/>
  <c r="AA845" i="5"/>
  <c r="AB845" i="5"/>
  <c r="Q846" i="5"/>
  <c r="R846" i="5"/>
  <c r="S846" i="5"/>
  <c r="T846" i="5"/>
  <c r="U846" i="5"/>
  <c r="V846" i="5"/>
  <c r="W846" i="5"/>
  <c r="X846" i="5"/>
  <c r="Y846" i="5"/>
  <c r="Z846" i="5"/>
  <c r="AA846" i="5"/>
  <c r="AB846" i="5"/>
  <c r="Q847" i="5"/>
  <c r="R847" i="5"/>
  <c r="S847" i="5"/>
  <c r="T847" i="5"/>
  <c r="U847" i="5"/>
  <c r="V847" i="5"/>
  <c r="W847" i="5"/>
  <c r="X847" i="5"/>
  <c r="Y847" i="5"/>
  <c r="Z847" i="5"/>
  <c r="AA847" i="5"/>
  <c r="AB847" i="5"/>
  <c r="Q848" i="5"/>
  <c r="R848" i="5"/>
  <c r="S848" i="5"/>
  <c r="T848" i="5"/>
  <c r="U848" i="5"/>
  <c r="V848" i="5"/>
  <c r="W848" i="5"/>
  <c r="X848" i="5"/>
  <c r="Y848" i="5"/>
  <c r="Z848" i="5"/>
  <c r="AA848" i="5"/>
  <c r="AB848" i="5"/>
  <c r="Q849" i="5"/>
  <c r="R849" i="5"/>
  <c r="S849" i="5"/>
  <c r="T849" i="5"/>
  <c r="U849" i="5"/>
  <c r="V849" i="5"/>
  <c r="W849" i="5"/>
  <c r="X849" i="5"/>
  <c r="Y849" i="5"/>
  <c r="Z849" i="5"/>
  <c r="AA849" i="5"/>
  <c r="AB849" i="5"/>
  <c r="Q850" i="5"/>
  <c r="R850" i="5"/>
  <c r="S850" i="5"/>
  <c r="T850" i="5"/>
  <c r="U850" i="5"/>
  <c r="V850" i="5"/>
  <c r="W850" i="5"/>
  <c r="X850" i="5"/>
  <c r="Y850" i="5"/>
  <c r="Z850" i="5"/>
  <c r="AA850" i="5"/>
  <c r="AB850" i="5"/>
  <c r="Q851" i="5"/>
  <c r="R851" i="5"/>
  <c r="S851" i="5"/>
  <c r="T851" i="5"/>
  <c r="U851" i="5"/>
  <c r="V851" i="5"/>
  <c r="W851" i="5"/>
  <c r="X851" i="5"/>
  <c r="Y851" i="5"/>
  <c r="Z851" i="5"/>
  <c r="AA851" i="5"/>
  <c r="AB851" i="5"/>
  <c r="Q852" i="5"/>
  <c r="R852" i="5"/>
  <c r="S852" i="5"/>
  <c r="T852" i="5"/>
  <c r="U852" i="5"/>
  <c r="V852" i="5"/>
  <c r="W852" i="5"/>
  <c r="X852" i="5"/>
  <c r="Y852" i="5"/>
  <c r="Z852" i="5"/>
  <c r="AA852" i="5"/>
  <c r="AB852" i="5"/>
  <c r="Q853" i="5"/>
  <c r="R853" i="5"/>
  <c r="S853" i="5"/>
  <c r="T853" i="5"/>
  <c r="U853" i="5"/>
  <c r="V853" i="5"/>
  <c r="W853" i="5"/>
  <c r="X853" i="5"/>
  <c r="Y853" i="5"/>
  <c r="Z853" i="5"/>
  <c r="AA853" i="5"/>
  <c r="AB853" i="5"/>
  <c r="Q854" i="5"/>
  <c r="R854" i="5"/>
  <c r="S854" i="5"/>
  <c r="T854" i="5"/>
  <c r="U854" i="5"/>
  <c r="V854" i="5"/>
  <c r="W854" i="5"/>
  <c r="X854" i="5"/>
  <c r="Y854" i="5"/>
  <c r="Z854" i="5"/>
  <c r="AA854" i="5"/>
  <c r="AB854" i="5"/>
  <c r="Q855" i="5"/>
  <c r="R855" i="5"/>
  <c r="S855" i="5"/>
  <c r="T855" i="5"/>
  <c r="U855" i="5"/>
  <c r="V855" i="5"/>
  <c r="W855" i="5"/>
  <c r="X855" i="5"/>
  <c r="Y855" i="5"/>
  <c r="Z855" i="5"/>
  <c r="AA855" i="5"/>
  <c r="AB855" i="5"/>
  <c r="Q856" i="5"/>
  <c r="R856" i="5"/>
  <c r="S856" i="5"/>
  <c r="T856" i="5"/>
  <c r="U856" i="5"/>
  <c r="V856" i="5"/>
  <c r="W856" i="5"/>
  <c r="X856" i="5"/>
  <c r="Y856" i="5"/>
  <c r="Z856" i="5"/>
  <c r="AA856" i="5"/>
  <c r="AB856" i="5"/>
  <c r="Q857" i="5"/>
  <c r="R857" i="5"/>
  <c r="S857" i="5"/>
  <c r="T857" i="5"/>
  <c r="U857" i="5"/>
  <c r="V857" i="5"/>
  <c r="W857" i="5"/>
  <c r="X857" i="5"/>
  <c r="Y857" i="5"/>
  <c r="Z857" i="5"/>
  <c r="AA857" i="5"/>
  <c r="AB857" i="5"/>
  <c r="Q858" i="5"/>
  <c r="R858" i="5"/>
  <c r="S858" i="5"/>
  <c r="T858" i="5"/>
  <c r="U858" i="5"/>
  <c r="V858" i="5"/>
  <c r="W858" i="5"/>
  <c r="X858" i="5"/>
  <c r="Y858" i="5"/>
  <c r="Z858" i="5"/>
  <c r="AA858" i="5"/>
  <c r="AB858" i="5"/>
  <c r="Q859" i="5"/>
  <c r="R859" i="5"/>
  <c r="S859" i="5"/>
  <c r="T859" i="5"/>
  <c r="U859" i="5"/>
  <c r="V859" i="5"/>
  <c r="W859" i="5"/>
  <c r="X859" i="5"/>
  <c r="Y859" i="5"/>
  <c r="Z859" i="5"/>
  <c r="AA859" i="5"/>
  <c r="AB859" i="5"/>
  <c r="Q860" i="5"/>
  <c r="R860" i="5"/>
  <c r="S860" i="5"/>
  <c r="T860" i="5"/>
  <c r="U860" i="5"/>
  <c r="V860" i="5"/>
  <c r="W860" i="5"/>
  <c r="X860" i="5"/>
  <c r="Y860" i="5"/>
  <c r="Z860" i="5"/>
  <c r="AA860" i="5"/>
  <c r="AB860" i="5"/>
  <c r="Q861" i="5"/>
  <c r="R861" i="5"/>
  <c r="S861" i="5"/>
  <c r="T861" i="5"/>
  <c r="U861" i="5"/>
  <c r="V861" i="5"/>
  <c r="W861" i="5"/>
  <c r="X861" i="5"/>
  <c r="Y861" i="5"/>
  <c r="Z861" i="5"/>
  <c r="AA861" i="5"/>
  <c r="AB861" i="5"/>
  <c r="Q862" i="5"/>
  <c r="R862" i="5"/>
  <c r="S862" i="5"/>
  <c r="T862" i="5"/>
  <c r="U862" i="5"/>
  <c r="V862" i="5"/>
  <c r="W862" i="5"/>
  <c r="X862" i="5"/>
  <c r="Y862" i="5"/>
  <c r="Z862" i="5"/>
  <c r="AA862" i="5"/>
  <c r="AB862" i="5"/>
  <c r="Q863" i="5"/>
  <c r="R863" i="5"/>
  <c r="S863" i="5"/>
  <c r="T863" i="5"/>
  <c r="U863" i="5"/>
  <c r="V863" i="5"/>
  <c r="W863" i="5"/>
  <c r="X863" i="5"/>
  <c r="Y863" i="5"/>
  <c r="Z863" i="5"/>
  <c r="AA863" i="5"/>
  <c r="AB863" i="5"/>
  <c r="Q864" i="5"/>
  <c r="R864" i="5"/>
  <c r="S864" i="5"/>
  <c r="T864" i="5"/>
  <c r="U864" i="5"/>
  <c r="V864" i="5"/>
  <c r="W864" i="5"/>
  <c r="X864" i="5"/>
  <c r="Y864" i="5"/>
  <c r="Z864" i="5"/>
  <c r="AA864" i="5"/>
  <c r="AB864" i="5"/>
  <c r="Q865" i="5"/>
  <c r="R865" i="5"/>
  <c r="S865" i="5"/>
  <c r="T865" i="5"/>
  <c r="U865" i="5"/>
  <c r="V865" i="5"/>
  <c r="W865" i="5"/>
  <c r="X865" i="5"/>
  <c r="Y865" i="5"/>
  <c r="Z865" i="5"/>
  <c r="AA865" i="5"/>
  <c r="AB865" i="5"/>
  <c r="Q866" i="5"/>
  <c r="R866" i="5"/>
  <c r="S866" i="5"/>
  <c r="T866" i="5"/>
  <c r="U866" i="5"/>
  <c r="V866" i="5"/>
  <c r="W866" i="5"/>
  <c r="X866" i="5"/>
  <c r="Y866" i="5"/>
  <c r="Z866" i="5"/>
  <c r="AA866" i="5"/>
  <c r="AB866" i="5"/>
  <c r="Q867" i="5"/>
  <c r="R867" i="5"/>
  <c r="S867" i="5"/>
  <c r="T867" i="5"/>
  <c r="U867" i="5"/>
  <c r="V867" i="5"/>
  <c r="W867" i="5"/>
  <c r="X867" i="5"/>
  <c r="Y867" i="5"/>
  <c r="Z867" i="5"/>
  <c r="AA867" i="5"/>
  <c r="AB867" i="5"/>
  <c r="Q868" i="5"/>
  <c r="R868" i="5"/>
  <c r="S868" i="5"/>
  <c r="T868" i="5"/>
  <c r="U868" i="5"/>
  <c r="V868" i="5"/>
  <c r="W868" i="5"/>
  <c r="X868" i="5"/>
  <c r="Y868" i="5"/>
  <c r="Z868" i="5"/>
  <c r="AA868" i="5"/>
  <c r="AB868" i="5"/>
  <c r="Q869" i="5"/>
  <c r="R869" i="5"/>
  <c r="S869" i="5"/>
  <c r="T869" i="5"/>
  <c r="U869" i="5"/>
  <c r="V869" i="5"/>
  <c r="W869" i="5"/>
  <c r="X869" i="5"/>
  <c r="Y869" i="5"/>
  <c r="Z869" i="5"/>
  <c r="AA869" i="5"/>
  <c r="AB869" i="5"/>
  <c r="Q870" i="5"/>
  <c r="R870" i="5"/>
  <c r="S870" i="5"/>
  <c r="T870" i="5"/>
  <c r="U870" i="5"/>
  <c r="V870" i="5"/>
  <c r="W870" i="5"/>
  <c r="X870" i="5"/>
  <c r="Y870" i="5"/>
  <c r="Z870" i="5"/>
  <c r="AA870" i="5"/>
  <c r="AB870" i="5"/>
  <c r="Q871" i="5"/>
  <c r="R871" i="5"/>
  <c r="S871" i="5"/>
  <c r="T871" i="5"/>
  <c r="U871" i="5"/>
  <c r="V871" i="5"/>
  <c r="W871" i="5"/>
  <c r="X871" i="5"/>
  <c r="Y871" i="5"/>
  <c r="Z871" i="5"/>
  <c r="AA871" i="5"/>
  <c r="AB871" i="5"/>
  <c r="Q872" i="5"/>
  <c r="R872" i="5"/>
  <c r="S872" i="5"/>
  <c r="T872" i="5"/>
  <c r="U872" i="5"/>
  <c r="V872" i="5"/>
  <c r="W872" i="5"/>
  <c r="X872" i="5"/>
  <c r="Y872" i="5"/>
  <c r="Z872" i="5"/>
  <c r="AA872" i="5"/>
  <c r="AB872" i="5"/>
  <c r="Q873" i="5"/>
  <c r="R873" i="5"/>
  <c r="S873" i="5"/>
  <c r="T873" i="5"/>
  <c r="U873" i="5"/>
  <c r="V873" i="5"/>
  <c r="W873" i="5"/>
  <c r="X873" i="5"/>
  <c r="Y873" i="5"/>
  <c r="Z873" i="5"/>
  <c r="AA873" i="5"/>
  <c r="AB873" i="5"/>
  <c r="Q874" i="5"/>
  <c r="R874" i="5"/>
  <c r="S874" i="5"/>
  <c r="T874" i="5"/>
  <c r="U874" i="5"/>
  <c r="V874" i="5"/>
  <c r="W874" i="5"/>
  <c r="X874" i="5"/>
  <c r="Y874" i="5"/>
  <c r="Z874" i="5"/>
  <c r="AA874" i="5"/>
  <c r="AB874" i="5"/>
  <c r="Q875" i="5"/>
  <c r="R875" i="5"/>
  <c r="S875" i="5"/>
  <c r="T875" i="5"/>
  <c r="U875" i="5"/>
  <c r="V875" i="5"/>
  <c r="W875" i="5"/>
  <c r="X875" i="5"/>
  <c r="Y875" i="5"/>
  <c r="Z875" i="5"/>
  <c r="AA875" i="5"/>
  <c r="AB875" i="5"/>
  <c r="Q876" i="5"/>
  <c r="R876" i="5"/>
  <c r="S876" i="5"/>
  <c r="T876" i="5"/>
  <c r="U876" i="5"/>
  <c r="V876" i="5"/>
  <c r="W876" i="5"/>
  <c r="X876" i="5"/>
  <c r="Y876" i="5"/>
  <c r="Z876" i="5"/>
  <c r="AA876" i="5"/>
  <c r="AB876" i="5"/>
  <c r="Q877" i="5"/>
  <c r="R877" i="5"/>
  <c r="S877" i="5"/>
  <c r="T877" i="5"/>
  <c r="U877" i="5"/>
  <c r="V877" i="5"/>
  <c r="W877" i="5"/>
  <c r="X877" i="5"/>
  <c r="Y877" i="5"/>
  <c r="Z877" i="5"/>
  <c r="AA877" i="5"/>
  <c r="AB877" i="5"/>
  <c r="Q878" i="5"/>
  <c r="R878" i="5"/>
  <c r="S878" i="5"/>
  <c r="T878" i="5"/>
  <c r="U878" i="5"/>
  <c r="V878" i="5"/>
  <c r="W878" i="5"/>
  <c r="X878" i="5"/>
  <c r="Y878" i="5"/>
  <c r="Z878" i="5"/>
  <c r="AA878" i="5"/>
  <c r="AB878" i="5"/>
  <c r="Q879" i="5"/>
  <c r="R879" i="5"/>
  <c r="S879" i="5"/>
  <c r="T879" i="5"/>
  <c r="U879" i="5"/>
  <c r="V879" i="5"/>
  <c r="W879" i="5"/>
  <c r="X879" i="5"/>
  <c r="Y879" i="5"/>
  <c r="Z879" i="5"/>
  <c r="AA879" i="5"/>
  <c r="AB879" i="5"/>
  <c r="Q880" i="5"/>
  <c r="R880" i="5"/>
  <c r="S880" i="5"/>
  <c r="T880" i="5"/>
  <c r="U880" i="5"/>
  <c r="V880" i="5"/>
  <c r="W880" i="5"/>
  <c r="X880" i="5"/>
  <c r="Y880" i="5"/>
  <c r="Z880" i="5"/>
  <c r="AA880" i="5"/>
  <c r="AB880" i="5"/>
  <c r="Q881" i="5"/>
  <c r="R881" i="5"/>
  <c r="S881" i="5"/>
  <c r="T881" i="5"/>
  <c r="U881" i="5"/>
  <c r="V881" i="5"/>
  <c r="W881" i="5"/>
  <c r="X881" i="5"/>
  <c r="Y881" i="5"/>
  <c r="Z881" i="5"/>
  <c r="AA881" i="5"/>
  <c r="AB881" i="5"/>
  <c r="Q882" i="5"/>
  <c r="R882" i="5"/>
  <c r="S882" i="5"/>
  <c r="T882" i="5"/>
  <c r="U882" i="5"/>
  <c r="V882" i="5"/>
  <c r="W882" i="5"/>
  <c r="X882" i="5"/>
  <c r="Y882" i="5"/>
  <c r="Z882" i="5"/>
  <c r="AA882" i="5"/>
  <c r="AB882" i="5"/>
  <c r="Q883" i="5"/>
  <c r="R883" i="5"/>
  <c r="S883" i="5"/>
  <c r="T883" i="5"/>
  <c r="U883" i="5"/>
  <c r="V883" i="5"/>
  <c r="W883" i="5"/>
  <c r="X883" i="5"/>
  <c r="Y883" i="5"/>
  <c r="Z883" i="5"/>
  <c r="AA883" i="5"/>
  <c r="AB883" i="5"/>
  <c r="Q884" i="5"/>
  <c r="R884" i="5"/>
  <c r="S884" i="5"/>
  <c r="T884" i="5"/>
  <c r="U884" i="5"/>
  <c r="V884" i="5"/>
  <c r="W884" i="5"/>
  <c r="X884" i="5"/>
  <c r="Y884" i="5"/>
  <c r="Z884" i="5"/>
  <c r="AA884" i="5"/>
  <c r="AB884" i="5"/>
  <c r="Q885" i="5"/>
  <c r="R885" i="5"/>
  <c r="S885" i="5"/>
  <c r="T885" i="5"/>
  <c r="U885" i="5"/>
  <c r="V885" i="5"/>
  <c r="W885" i="5"/>
  <c r="X885" i="5"/>
  <c r="Y885" i="5"/>
  <c r="Z885" i="5"/>
  <c r="AA885" i="5"/>
  <c r="AB885" i="5"/>
  <c r="Q886" i="5"/>
  <c r="R886" i="5"/>
  <c r="S886" i="5"/>
  <c r="T886" i="5"/>
  <c r="U886" i="5"/>
  <c r="V886" i="5"/>
  <c r="W886" i="5"/>
  <c r="X886" i="5"/>
  <c r="Y886" i="5"/>
  <c r="Z886" i="5"/>
  <c r="AA886" i="5"/>
  <c r="AB886" i="5"/>
  <c r="Q887" i="5"/>
  <c r="R887" i="5"/>
  <c r="S887" i="5"/>
  <c r="T887" i="5"/>
  <c r="U887" i="5"/>
  <c r="V887" i="5"/>
  <c r="W887" i="5"/>
  <c r="X887" i="5"/>
  <c r="Y887" i="5"/>
  <c r="Z887" i="5"/>
  <c r="AA887" i="5"/>
  <c r="AB887" i="5"/>
  <c r="Q888" i="5"/>
  <c r="R888" i="5"/>
  <c r="S888" i="5"/>
  <c r="T888" i="5"/>
  <c r="U888" i="5"/>
  <c r="V888" i="5"/>
  <c r="W888" i="5"/>
  <c r="X888" i="5"/>
  <c r="Y888" i="5"/>
  <c r="Z888" i="5"/>
  <c r="AA888" i="5"/>
  <c r="AB888" i="5"/>
  <c r="Q889" i="5"/>
  <c r="R889" i="5"/>
  <c r="S889" i="5"/>
  <c r="T889" i="5"/>
  <c r="U889" i="5"/>
  <c r="V889" i="5"/>
  <c r="W889" i="5"/>
  <c r="X889" i="5"/>
  <c r="Y889" i="5"/>
  <c r="Z889" i="5"/>
  <c r="AA889" i="5"/>
  <c r="AB889" i="5"/>
  <c r="Q890" i="5"/>
  <c r="R890" i="5"/>
  <c r="S890" i="5"/>
  <c r="T890" i="5"/>
  <c r="U890" i="5"/>
  <c r="V890" i="5"/>
  <c r="W890" i="5"/>
  <c r="X890" i="5"/>
  <c r="Y890" i="5"/>
  <c r="Z890" i="5"/>
  <c r="AA890" i="5"/>
  <c r="AB890" i="5"/>
  <c r="Q891" i="5"/>
  <c r="R891" i="5"/>
  <c r="S891" i="5"/>
  <c r="T891" i="5"/>
  <c r="U891" i="5"/>
  <c r="V891" i="5"/>
  <c r="W891" i="5"/>
  <c r="X891" i="5"/>
  <c r="Y891" i="5"/>
  <c r="Z891" i="5"/>
  <c r="AA891" i="5"/>
  <c r="AB891" i="5"/>
  <c r="Q892" i="5"/>
  <c r="R892" i="5"/>
  <c r="S892" i="5"/>
  <c r="T892" i="5"/>
  <c r="U892" i="5"/>
  <c r="V892" i="5"/>
  <c r="W892" i="5"/>
  <c r="X892" i="5"/>
  <c r="Y892" i="5"/>
  <c r="Z892" i="5"/>
  <c r="AA892" i="5"/>
  <c r="AB892" i="5"/>
  <c r="Q893" i="5"/>
  <c r="R893" i="5"/>
  <c r="S893" i="5"/>
  <c r="T893" i="5"/>
  <c r="U893" i="5"/>
  <c r="V893" i="5"/>
  <c r="W893" i="5"/>
  <c r="X893" i="5"/>
  <c r="Y893" i="5"/>
  <c r="Z893" i="5"/>
  <c r="AA893" i="5"/>
  <c r="AB893" i="5"/>
  <c r="Q894" i="5"/>
  <c r="R894" i="5"/>
  <c r="S894" i="5"/>
  <c r="T894" i="5"/>
  <c r="U894" i="5"/>
  <c r="V894" i="5"/>
  <c r="W894" i="5"/>
  <c r="X894" i="5"/>
  <c r="Y894" i="5"/>
  <c r="Z894" i="5"/>
  <c r="AA894" i="5"/>
  <c r="AB894" i="5"/>
  <c r="Q895" i="5"/>
  <c r="R895" i="5"/>
  <c r="S895" i="5"/>
  <c r="T895" i="5"/>
  <c r="U895" i="5"/>
  <c r="V895" i="5"/>
  <c r="W895" i="5"/>
  <c r="X895" i="5"/>
  <c r="Y895" i="5"/>
  <c r="Z895" i="5"/>
  <c r="AA895" i="5"/>
  <c r="AB895" i="5"/>
  <c r="Q896" i="5"/>
  <c r="R896" i="5"/>
  <c r="S896" i="5"/>
  <c r="T896" i="5"/>
  <c r="U896" i="5"/>
  <c r="V896" i="5"/>
  <c r="W896" i="5"/>
  <c r="X896" i="5"/>
  <c r="Y896" i="5"/>
  <c r="Z896" i="5"/>
  <c r="AA896" i="5"/>
  <c r="AB896" i="5"/>
  <c r="Q897" i="5"/>
  <c r="R897" i="5"/>
  <c r="S897" i="5"/>
  <c r="T897" i="5"/>
  <c r="U897" i="5"/>
  <c r="V897" i="5"/>
  <c r="W897" i="5"/>
  <c r="X897" i="5"/>
  <c r="Y897" i="5"/>
  <c r="Z897" i="5"/>
  <c r="AA897" i="5"/>
  <c r="AB897" i="5"/>
  <c r="Q898" i="5"/>
  <c r="R898" i="5"/>
  <c r="S898" i="5"/>
  <c r="T898" i="5"/>
  <c r="U898" i="5"/>
  <c r="V898" i="5"/>
  <c r="W898" i="5"/>
  <c r="X898" i="5"/>
  <c r="Y898" i="5"/>
  <c r="Z898" i="5"/>
  <c r="AA898" i="5"/>
  <c r="AB898" i="5"/>
  <c r="Q899" i="5"/>
  <c r="R899" i="5"/>
  <c r="S899" i="5"/>
  <c r="T899" i="5"/>
  <c r="U899" i="5"/>
  <c r="V899" i="5"/>
  <c r="W899" i="5"/>
  <c r="X899" i="5"/>
  <c r="Y899" i="5"/>
  <c r="Z899" i="5"/>
  <c r="AA899" i="5"/>
  <c r="AB899" i="5"/>
  <c r="Q900" i="5"/>
  <c r="R900" i="5"/>
  <c r="S900" i="5"/>
  <c r="T900" i="5"/>
  <c r="U900" i="5"/>
  <c r="V900" i="5"/>
  <c r="W900" i="5"/>
  <c r="X900" i="5"/>
  <c r="Y900" i="5"/>
  <c r="Z900" i="5"/>
  <c r="AA900" i="5"/>
  <c r="AB900" i="5"/>
  <c r="Q901" i="5"/>
  <c r="R901" i="5"/>
  <c r="S901" i="5"/>
  <c r="T901" i="5"/>
  <c r="U901" i="5"/>
  <c r="V901" i="5"/>
  <c r="W901" i="5"/>
  <c r="X901" i="5"/>
  <c r="Y901" i="5"/>
  <c r="Z901" i="5"/>
  <c r="AA901" i="5"/>
  <c r="AB901" i="5"/>
  <c r="Q902" i="5"/>
  <c r="R902" i="5"/>
  <c r="S902" i="5"/>
  <c r="T902" i="5"/>
  <c r="U902" i="5"/>
  <c r="V902" i="5"/>
  <c r="W902" i="5"/>
  <c r="X902" i="5"/>
  <c r="Y902" i="5"/>
  <c r="Z902" i="5"/>
  <c r="AA902" i="5"/>
  <c r="AB902" i="5"/>
  <c r="Q903" i="5"/>
  <c r="R903" i="5"/>
  <c r="S903" i="5"/>
  <c r="T903" i="5"/>
  <c r="U903" i="5"/>
  <c r="V903" i="5"/>
  <c r="W903" i="5"/>
  <c r="X903" i="5"/>
  <c r="Y903" i="5"/>
  <c r="Z903" i="5"/>
  <c r="AA903" i="5"/>
  <c r="AB903" i="5"/>
  <c r="Q904" i="5"/>
  <c r="R904" i="5"/>
  <c r="S904" i="5"/>
  <c r="T904" i="5"/>
  <c r="U904" i="5"/>
  <c r="V904" i="5"/>
  <c r="W904" i="5"/>
  <c r="X904" i="5"/>
  <c r="Y904" i="5"/>
  <c r="Z904" i="5"/>
  <c r="AA904" i="5"/>
  <c r="AB904" i="5"/>
  <c r="Q905" i="5"/>
  <c r="R905" i="5"/>
  <c r="S905" i="5"/>
  <c r="T905" i="5"/>
  <c r="U905" i="5"/>
  <c r="V905" i="5"/>
  <c r="W905" i="5"/>
  <c r="X905" i="5"/>
  <c r="Y905" i="5"/>
  <c r="Z905" i="5"/>
  <c r="AA905" i="5"/>
  <c r="AB905" i="5"/>
  <c r="Q906" i="5"/>
  <c r="R906" i="5"/>
  <c r="S906" i="5"/>
  <c r="T906" i="5"/>
  <c r="U906" i="5"/>
  <c r="V906" i="5"/>
  <c r="W906" i="5"/>
  <c r="X906" i="5"/>
  <c r="Y906" i="5"/>
  <c r="Z906" i="5"/>
  <c r="AA906" i="5"/>
  <c r="AB906" i="5"/>
  <c r="Q907" i="5"/>
  <c r="R907" i="5"/>
  <c r="S907" i="5"/>
  <c r="T907" i="5"/>
  <c r="U907" i="5"/>
  <c r="V907" i="5"/>
  <c r="W907" i="5"/>
  <c r="X907" i="5"/>
  <c r="Y907" i="5"/>
  <c r="Z907" i="5"/>
  <c r="AA907" i="5"/>
  <c r="AB907" i="5"/>
  <c r="Q908" i="5"/>
  <c r="R908" i="5"/>
  <c r="S908" i="5"/>
  <c r="T908" i="5"/>
  <c r="U908" i="5"/>
  <c r="V908" i="5"/>
  <c r="W908" i="5"/>
  <c r="X908" i="5"/>
  <c r="Y908" i="5"/>
  <c r="Z908" i="5"/>
  <c r="AA908" i="5"/>
  <c r="AB908" i="5"/>
  <c r="Q909" i="5"/>
  <c r="R909" i="5"/>
  <c r="S909" i="5"/>
  <c r="T909" i="5"/>
  <c r="U909" i="5"/>
  <c r="V909" i="5"/>
  <c r="W909" i="5"/>
  <c r="X909" i="5"/>
  <c r="Y909" i="5"/>
  <c r="Z909" i="5"/>
  <c r="AA909" i="5"/>
  <c r="AB909" i="5"/>
  <c r="Q910" i="5"/>
  <c r="R910" i="5"/>
  <c r="S910" i="5"/>
  <c r="T910" i="5"/>
  <c r="U910" i="5"/>
  <c r="V910" i="5"/>
  <c r="W910" i="5"/>
  <c r="X910" i="5"/>
  <c r="Y910" i="5"/>
  <c r="Z910" i="5"/>
  <c r="AA910" i="5"/>
  <c r="AB910" i="5"/>
  <c r="Q911" i="5"/>
  <c r="R911" i="5"/>
  <c r="S911" i="5"/>
  <c r="T911" i="5"/>
  <c r="U911" i="5"/>
  <c r="V911" i="5"/>
  <c r="W911" i="5"/>
  <c r="X911" i="5"/>
  <c r="Y911" i="5"/>
  <c r="Z911" i="5"/>
  <c r="AA911" i="5"/>
  <c r="AB911" i="5"/>
  <c r="Q912" i="5"/>
  <c r="R912" i="5"/>
  <c r="S912" i="5"/>
  <c r="T912" i="5"/>
  <c r="U912" i="5"/>
  <c r="V912" i="5"/>
  <c r="W912" i="5"/>
  <c r="X912" i="5"/>
  <c r="Y912" i="5"/>
  <c r="Z912" i="5"/>
  <c r="AA912" i="5"/>
  <c r="AB912" i="5"/>
  <c r="Q913" i="5"/>
  <c r="R913" i="5"/>
  <c r="S913" i="5"/>
  <c r="T913" i="5"/>
  <c r="U913" i="5"/>
  <c r="V913" i="5"/>
  <c r="W913" i="5"/>
  <c r="X913" i="5"/>
  <c r="Y913" i="5"/>
  <c r="Z913" i="5"/>
  <c r="AA913" i="5"/>
  <c r="AB913" i="5"/>
  <c r="Q914" i="5"/>
  <c r="R914" i="5"/>
  <c r="S914" i="5"/>
  <c r="T914" i="5"/>
  <c r="U914" i="5"/>
  <c r="V914" i="5"/>
  <c r="W914" i="5"/>
  <c r="X914" i="5"/>
  <c r="Y914" i="5"/>
  <c r="Z914" i="5"/>
  <c r="AA914" i="5"/>
  <c r="AB914" i="5"/>
  <c r="Q915" i="5"/>
  <c r="R915" i="5"/>
  <c r="S915" i="5"/>
  <c r="T915" i="5"/>
  <c r="U915" i="5"/>
  <c r="V915" i="5"/>
  <c r="W915" i="5"/>
  <c r="X915" i="5"/>
  <c r="Y915" i="5"/>
  <c r="Z915" i="5"/>
  <c r="AA915" i="5"/>
  <c r="AB915" i="5"/>
  <c r="Q916" i="5"/>
  <c r="R916" i="5"/>
  <c r="S916" i="5"/>
  <c r="T916" i="5"/>
  <c r="U916" i="5"/>
  <c r="V916" i="5"/>
  <c r="W916" i="5"/>
  <c r="X916" i="5"/>
  <c r="Y916" i="5"/>
  <c r="Z916" i="5"/>
  <c r="AA916" i="5"/>
  <c r="AB916" i="5"/>
  <c r="Q917" i="5"/>
  <c r="R917" i="5"/>
  <c r="S917" i="5"/>
  <c r="T917" i="5"/>
  <c r="U917" i="5"/>
  <c r="V917" i="5"/>
  <c r="W917" i="5"/>
  <c r="X917" i="5"/>
  <c r="Y917" i="5"/>
  <c r="Z917" i="5"/>
  <c r="AA917" i="5"/>
  <c r="AB917" i="5"/>
  <c r="Q918" i="5"/>
  <c r="R918" i="5"/>
  <c r="S918" i="5"/>
  <c r="T918" i="5"/>
  <c r="U918" i="5"/>
  <c r="V918" i="5"/>
  <c r="W918" i="5"/>
  <c r="X918" i="5"/>
  <c r="Y918" i="5"/>
  <c r="Z918" i="5"/>
  <c r="AA918" i="5"/>
  <c r="AB918" i="5"/>
  <c r="Q919" i="5"/>
  <c r="R919" i="5"/>
  <c r="S919" i="5"/>
  <c r="T919" i="5"/>
  <c r="U919" i="5"/>
  <c r="V919" i="5"/>
  <c r="W919" i="5"/>
  <c r="X919" i="5"/>
  <c r="Y919" i="5"/>
  <c r="Z919" i="5"/>
  <c r="AA919" i="5"/>
  <c r="AB919" i="5"/>
  <c r="Q920" i="5"/>
  <c r="R920" i="5"/>
  <c r="S920" i="5"/>
  <c r="T920" i="5"/>
  <c r="U920" i="5"/>
  <c r="V920" i="5"/>
  <c r="W920" i="5"/>
  <c r="X920" i="5"/>
  <c r="Y920" i="5"/>
  <c r="Z920" i="5"/>
  <c r="AA920" i="5"/>
  <c r="AB920" i="5"/>
  <c r="Q921" i="5"/>
  <c r="R921" i="5"/>
  <c r="S921" i="5"/>
  <c r="T921" i="5"/>
  <c r="U921" i="5"/>
  <c r="V921" i="5"/>
  <c r="W921" i="5"/>
  <c r="X921" i="5"/>
  <c r="Y921" i="5"/>
  <c r="Z921" i="5"/>
  <c r="AA921" i="5"/>
  <c r="AB921" i="5"/>
  <c r="Q922" i="5"/>
  <c r="R922" i="5"/>
  <c r="S922" i="5"/>
  <c r="T922" i="5"/>
  <c r="U922" i="5"/>
  <c r="V922" i="5"/>
  <c r="W922" i="5"/>
  <c r="X922" i="5"/>
  <c r="Y922" i="5"/>
  <c r="Z922" i="5"/>
  <c r="AA922" i="5"/>
  <c r="AB922" i="5"/>
  <c r="Q923" i="5"/>
  <c r="R923" i="5"/>
  <c r="S923" i="5"/>
  <c r="T923" i="5"/>
  <c r="U923" i="5"/>
  <c r="V923" i="5"/>
  <c r="W923" i="5"/>
  <c r="X923" i="5"/>
  <c r="Y923" i="5"/>
  <c r="Z923" i="5"/>
  <c r="AA923" i="5"/>
  <c r="AB923" i="5"/>
  <c r="Q924" i="5"/>
  <c r="R924" i="5"/>
  <c r="S924" i="5"/>
  <c r="T924" i="5"/>
  <c r="U924" i="5"/>
  <c r="V924" i="5"/>
  <c r="W924" i="5"/>
  <c r="X924" i="5"/>
  <c r="Y924" i="5"/>
  <c r="Z924" i="5"/>
  <c r="AA924" i="5"/>
  <c r="AB924" i="5"/>
  <c r="Q925" i="5"/>
  <c r="R925" i="5"/>
  <c r="S925" i="5"/>
  <c r="T925" i="5"/>
  <c r="U925" i="5"/>
  <c r="V925" i="5"/>
  <c r="W925" i="5"/>
  <c r="X925" i="5"/>
  <c r="Y925" i="5"/>
  <c r="Z925" i="5"/>
  <c r="AA925" i="5"/>
  <c r="AB925" i="5"/>
  <c r="Q926" i="5"/>
  <c r="R926" i="5"/>
  <c r="S926" i="5"/>
  <c r="T926" i="5"/>
  <c r="U926" i="5"/>
  <c r="V926" i="5"/>
  <c r="W926" i="5"/>
  <c r="X926" i="5"/>
  <c r="Y926" i="5"/>
  <c r="Z926" i="5"/>
  <c r="AA926" i="5"/>
  <c r="AB926" i="5"/>
  <c r="Q927" i="5"/>
  <c r="R927" i="5"/>
  <c r="S927" i="5"/>
  <c r="T927" i="5"/>
  <c r="U927" i="5"/>
  <c r="V927" i="5"/>
  <c r="W927" i="5"/>
  <c r="X927" i="5"/>
  <c r="Y927" i="5"/>
  <c r="Z927" i="5"/>
  <c r="AA927" i="5"/>
  <c r="AB927" i="5"/>
  <c r="Q928" i="5"/>
  <c r="R928" i="5"/>
  <c r="S928" i="5"/>
  <c r="T928" i="5"/>
  <c r="U928" i="5"/>
  <c r="V928" i="5"/>
  <c r="W928" i="5"/>
  <c r="X928" i="5"/>
  <c r="Y928" i="5"/>
  <c r="Z928" i="5"/>
  <c r="AA928" i="5"/>
  <c r="AB928" i="5"/>
  <c r="Q929" i="5"/>
  <c r="R929" i="5"/>
  <c r="S929" i="5"/>
  <c r="T929" i="5"/>
  <c r="U929" i="5"/>
  <c r="V929" i="5"/>
  <c r="W929" i="5"/>
  <c r="X929" i="5"/>
  <c r="Y929" i="5"/>
  <c r="Z929" i="5"/>
  <c r="AA929" i="5"/>
  <c r="AB929" i="5"/>
  <c r="Q930" i="5"/>
  <c r="R930" i="5"/>
  <c r="S930" i="5"/>
  <c r="T930" i="5"/>
  <c r="U930" i="5"/>
  <c r="V930" i="5"/>
  <c r="W930" i="5"/>
  <c r="X930" i="5"/>
  <c r="Y930" i="5"/>
  <c r="Z930" i="5"/>
  <c r="AA930" i="5"/>
  <c r="AB930" i="5"/>
  <c r="Q931" i="5"/>
  <c r="R931" i="5"/>
  <c r="S931" i="5"/>
  <c r="T931" i="5"/>
  <c r="U931" i="5"/>
  <c r="V931" i="5"/>
  <c r="W931" i="5"/>
  <c r="X931" i="5"/>
  <c r="Y931" i="5"/>
  <c r="Z931" i="5"/>
  <c r="AA931" i="5"/>
  <c r="AB931" i="5"/>
  <c r="Q932" i="5"/>
  <c r="R932" i="5"/>
  <c r="S932" i="5"/>
  <c r="T932" i="5"/>
  <c r="U932" i="5"/>
  <c r="V932" i="5"/>
  <c r="W932" i="5"/>
  <c r="X932" i="5"/>
  <c r="Y932" i="5"/>
  <c r="Z932" i="5"/>
  <c r="AA932" i="5"/>
  <c r="AB932" i="5"/>
  <c r="Q933" i="5"/>
  <c r="R933" i="5"/>
  <c r="S933" i="5"/>
  <c r="T933" i="5"/>
  <c r="U933" i="5"/>
  <c r="V933" i="5"/>
  <c r="W933" i="5"/>
  <c r="X933" i="5"/>
  <c r="Y933" i="5"/>
  <c r="Z933" i="5"/>
  <c r="AA933" i="5"/>
  <c r="AB933" i="5"/>
  <c r="Q934" i="5"/>
  <c r="R934" i="5"/>
  <c r="S934" i="5"/>
  <c r="T934" i="5"/>
  <c r="U934" i="5"/>
  <c r="V934" i="5"/>
  <c r="W934" i="5"/>
  <c r="X934" i="5"/>
  <c r="Y934" i="5"/>
  <c r="Z934" i="5"/>
  <c r="AA934" i="5"/>
  <c r="AB934" i="5"/>
  <c r="Q935" i="5"/>
  <c r="R935" i="5"/>
  <c r="S935" i="5"/>
  <c r="T935" i="5"/>
  <c r="U935" i="5"/>
  <c r="V935" i="5"/>
  <c r="W935" i="5"/>
  <c r="X935" i="5"/>
  <c r="Y935" i="5"/>
  <c r="Z935" i="5"/>
  <c r="AA935" i="5"/>
  <c r="AB935" i="5"/>
  <c r="Q936" i="5"/>
  <c r="R936" i="5"/>
  <c r="S936" i="5"/>
  <c r="T936" i="5"/>
  <c r="U936" i="5"/>
  <c r="V936" i="5"/>
  <c r="W936" i="5"/>
  <c r="X936" i="5"/>
  <c r="Y936" i="5"/>
  <c r="Z936" i="5"/>
  <c r="AA936" i="5"/>
  <c r="AB936" i="5"/>
  <c r="Q937" i="5"/>
  <c r="R937" i="5"/>
  <c r="S937" i="5"/>
  <c r="T937" i="5"/>
  <c r="U937" i="5"/>
  <c r="V937" i="5"/>
  <c r="W937" i="5"/>
  <c r="X937" i="5"/>
  <c r="Y937" i="5"/>
  <c r="Z937" i="5"/>
  <c r="AA937" i="5"/>
  <c r="AB937" i="5"/>
  <c r="Q938" i="5"/>
  <c r="R938" i="5"/>
  <c r="S938" i="5"/>
  <c r="T938" i="5"/>
  <c r="U938" i="5"/>
  <c r="V938" i="5"/>
  <c r="W938" i="5"/>
  <c r="X938" i="5"/>
  <c r="Y938" i="5"/>
  <c r="Z938" i="5"/>
  <c r="AA938" i="5"/>
  <c r="AB938" i="5"/>
  <c r="Q939" i="5"/>
  <c r="R939" i="5"/>
  <c r="S939" i="5"/>
  <c r="T939" i="5"/>
  <c r="U939" i="5"/>
  <c r="V939" i="5"/>
  <c r="W939" i="5"/>
  <c r="X939" i="5"/>
  <c r="Y939" i="5"/>
  <c r="Z939" i="5"/>
  <c r="AA939" i="5"/>
  <c r="AB939" i="5"/>
  <c r="Q940" i="5"/>
  <c r="R940" i="5"/>
  <c r="S940" i="5"/>
  <c r="T940" i="5"/>
  <c r="U940" i="5"/>
  <c r="V940" i="5"/>
  <c r="W940" i="5"/>
  <c r="X940" i="5"/>
  <c r="Y940" i="5"/>
  <c r="Z940" i="5"/>
  <c r="AA940" i="5"/>
  <c r="AB940" i="5"/>
  <c r="Q941" i="5"/>
  <c r="R941" i="5"/>
  <c r="S941" i="5"/>
  <c r="T941" i="5"/>
  <c r="U941" i="5"/>
  <c r="V941" i="5"/>
  <c r="W941" i="5"/>
  <c r="X941" i="5"/>
  <c r="Y941" i="5"/>
  <c r="Z941" i="5"/>
  <c r="AA941" i="5"/>
  <c r="AB941" i="5"/>
  <c r="Q942" i="5"/>
  <c r="R942" i="5"/>
  <c r="S942" i="5"/>
  <c r="T942" i="5"/>
  <c r="U942" i="5"/>
  <c r="V942" i="5"/>
  <c r="W942" i="5"/>
  <c r="X942" i="5"/>
  <c r="Y942" i="5"/>
  <c r="Z942" i="5"/>
  <c r="AA942" i="5"/>
  <c r="AB942" i="5"/>
  <c r="Q943" i="5"/>
  <c r="R943" i="5"/>
  <c r="S943" i="5"/>
  <c r="T943" i="5"/>
  <c r="U943" i="5"/>
  <c r="V943" i="5"/>
  <c r="W943" i="5"/>
  <c r="X943" i="5"/>
  <c r="Y943" i="5"/>
  <c r="Z943" i="5"/>
  <c r="AA943" i="5"/>
  <c r="AB943" i="5"/>
  <c r="Q944" i="5"/>
  <c r="R944" i="5"/>
  <c r="S944" i="5"/>
  <c r="T944" i="5"/>
  <c r="U944" i="5"/>
  <c r="V944" i="5"/>
  <c r="W944" i="5"/>
  <c r="X944" i="5"/>
  <c r="Y944" i="5"/>
  <c r="Z944" i="5"/>
  <c r="AA944" i="5"/>
  <c r="AB944" i="5"/>
  <c r="Q945" i="5"/>
  <c r="R945" i="5"/>
  <c r="S945" i="5"/>
  <c r="T945" i="5"/>
  <c r="U945" i="5"/>
  <c r="V945" i="5"/>
  <c r="W945" i="5"/>
  <c r="X945" i="5"/>
  <c r="Y945" i="5"/>
  <c r="Z945" i="5"/>
  <c r="AA945" i="5"/>
  <c r="AB945" i="5"/>
  <c r="Q946" i="5"/>
  <c r="R946" i="5"/>
  <c r="S946" i="5"/>
  <c r="T946" i="5"/>
  <c r="U946" i="5"/>
  <c r="V946" i="5"/>
  <c r="W946" i="5"/>
  <c r="X946" i="5"/>
  <c r="Y946" i="5"/>
  <c r="Z946" i="5"/>
  <c r="AA946" i="5"/>
  <c r="AB946" i="5"/>
  <c r="Q947" i="5"/>
  <c r="R947" i="5"/>
  <c r="S947" i="5"/>
  <c r="T947" i="5"/>
  <c r="U947" i="5"/>
  <c r="V947" i="5"/>
  <c r="W947" i="5"/>
  <c r="X947" i="5"/>
  <c r="Y947" i="5"/>
  <c r="Z947" i="5"/>
  <c r="AA947" i="5"/>
  <c r="AB947" i="5"/>
  <c r="Q948" i="5"/>
  <c r="R948" i="5"/>
  <c r="S948" i="5"/>
  <c r="T948" i="5"/>
  <c r="U948" i="5"/>
  <c r="V948" i="5"/>
  <c r="W948" i="5"/>
  <c r="X948" i="5"/>
  <c r="Y948" i="5"/>
  <c r="Z948" i="5"/>
  <c r="AA948" i="5"/>
  <c r="AB948" i="5"/>
  <c r="Q949" i="5"/>
  <c r="R949" i="5"/>
  <c r="S949" i="5"/>
  <c r="T949" i="5"/>
  <c r="U949" i="5"/>
  <c r="V949" i="5"/>
  <c r="W949" i="5"/>
  <c r="X949" i="5"/>
  <c r="Y949" i="5"/>
  <c r="Z949" i="5"/>
  <c r="AA949" i="5"/>
  <c r="AB949" i="5"/>
  <c r="Q950" i="5"/>
  <c r="R950" i="5"/>
  <c r="S950" i="5"/>
  <c r="T950" i="5"/>
  <c r="U950" i="5"/>
  <c r="V950" i="5"/>
  <c r="W950" i="5"/>
  <c r="X950" i="5"/>
  <c r="Y950" i="5"/>
  <c r="Z950" i="5"/>
  <c r="AA950" i="5"/>
  <c r="AB950" i="5"/>
  <c r="Q951" i="5"/>
  <c r="R951" i="5"/>
  <c r="S951" i="5"/>
  <c r="T951" i="5"/>
  <c r="U951" i="5"/>
  <c r="V951" i="5"/>
  <c r="W951" i="5"/>
  <c r="X951" i="5"/>
  <c r="Y951" i="5"/>
  <c r="Z951" i="5"/>
  <c r="AA951" i="5"/>
  <c r="AB951" i="5"/>
  <c r="Q952" i="5"/>
  <c r="R952" i="5"/>
  <c r="S952" i="5"/>
  <c r="T952" i="5"/>
  <c r="U952" i="5"/>
  <c r="V952" i="5"/>
  <c r="W952" i="5"/>
  <c r="X952" i="5"/>
  <c r="Y952" i="5"/>
  <c r="Z952" i="5"/>
  <c r="AA952" i="5"/>
  <c r="AB952" i="5"/>
  <c r="Q953" i="5"/>
  <c r="R953" i="5"/>
  <c r="S953" i="5"/>
  <c r="T953" i="5"/>
  <c r="U953" i="5"/>
  <c r="V953" i="5"/>
  <c r="W953" i="5"/>
  <c r="X953" i="5"/>
  <c r="Y953" i="5"/>
  <c r="Z953" i="5"/>
  <c r="AA953" i="5"/>
  <c r="AB953" i="5"/>
  <c r="Q954" i="5"/>
  <c r="R954" i="5"/>
  <c r="S954" i="5"/>
  <c r="T954" i="5"/>
  <c r="U954" i="5"/>
  <c r="V954" i="5"/>
  <c r="W954" i="5"/>
  <c r="X954" i="5"/>
  <c r="Y954" i="5"/>
  <c r="Z954" i="5"/>
  <c r="AA954" i="5"/>
  <c r="AB954" i="5"/>
  <c r="Q955" i="5"/>
  <c r="R955" i="5"/>
  <c r="S955" i="5"/>
  <c r="T955" i="5"/>
  <c r="U955" i="5"/>
  <c r="V955" i="5"/>
  <c r="W955" i="5"/>
  <c r="X955" i="5"/>
  <c r="Y955" i="5"/>
  <c r="Z955" i="5"/>
  <c r="AA955" i="5"/>
  <c r="AB955" i="5"/>
  <c r="Q956" i="5"/>
  <c r="R956" i="5"/>
  <c r="S956" i="5"/>
  <c r="T956" i="5"/>
  <c r="U956" i="5"/>
  <c r="V956" i="5"/>
  <c r="W956" i="5"/>
  <c r="X956" i="5"/>
  <c r="Y956" i="5"/>
  <c r="Z956" i="5"/>
  <c r="AA956" i="5"/>
  <c r="AB956" i="5"/>
  <c r="Q957" i="5"/>
  <c r="R957" i="5"/>
  <c r="S957" i="5"/>
  <c r="T957" i="5"/>
  <c r="U957" i="5"/>
  <c r="V957" i="5"/>
  <c r="W957" i="5"/>
  <c r="X957" i="5"/>
  <c r="Y957" i="5"/>
  <c r="Z957" i="5"/>
  <c r="AA957" i="5"/>
  <c r="AB957" i="5"/>
  <c r="Q958" i="5"/>
  <c r="R958" i="5"/>
  <c r="S958" i="5"/>
  <c r="T958" i="5"/>
  <c r="U958" i="5"/>
  <c r="V958" i="5"/>
  <c r="W958" i="5"/>
  <c r="X958" i="5"/>
  <c r="Y958" i="5"/>
  <c r="Z958" i="5"/>
  <c r="AA958" i="5"/>
  <c r="AB958" i="5"/>
  <c r="Q959" i="5"/>
  <c r="R959" i="5"/>
  <c r="S959" i="5"/>
  <c r="T959" i="5"/>
  <c r="U959" i="5"/>
  <c r="V959" i="5"/>
  <c r="W959" i="5"/>
  <c r="X959" i="5"/>
  <c r="Y959" i="5"/>
  <c r="Z959" i="5"/>
  <c r="AA959" i="5"/>
  <c r="AB959" i="5"/>
  <c r="Q960" i="5"/>
  <c r="R960" i="5"/>
  <c r="S960" i="5"/>
  <c r="T960" i="5"/>
  <c r="U960" i="5"/>
  <c r="V960" i="5"/>
  <c r="W960" i="5"/>
  <c r="X960" i="5"/>
  <c r="Y960" i="5"/>
  <c r="Z960" i="5"/>
  <c r="AA960" i="5"/>
  <c r="AB960" i="5"/>
  <c r="Q961" i="5"/>
  <c r="R961" i="5"/>
  <c r="S961" i="5"/>
  <c r="T961" i="5"/>
  <c r="U961" i="5"/>
  <c r="V961" i="5"/>
  <c r="W961" i="5"/>
  <c r="X961" i="5"/>
  <c r="Y961" i="5"/>
  <c r="Z961" i="5"/>
  <c r="AA961" i="5"/>
  <c r="AB961" i="5"/>
  <c r="Q962" i="5"/>
  <c r="R962" i="5"/>
  <c r="S962" i="5"/>
  <c r="T962" i="5"/>
  <c r="U962" i="5"/>
  <c r="V962" i="5"/>
  <c r="W962" i="5"/>
  <c r="X962" i="5"/>
  <c r="Y962" i="5"/>
  <c r="Z962" i="5"/>
  <c r="AA962" i="5"/>
  <c r="AB962" i="5"/>
  <c r="Q963" i="5"/>
  <c r="R963" i="5"/>
  <c r="S963" i="5"/>
  <c r="T963" i="5"/>
  <c r="U963" i="5"/>
  <c r="V963" i="5"/>
  <c r="W963" i="5"/>
  <c r="X963" i="5"/>
  <c r="Y963" i="5"/>
  <c r="Z963" i="5"/>
  <c r="AA963" i="5"/>
  <c r="AB963" i="5"/>
  <c r="Q964" i="5"/>
  <c r="R964" i="5"/>
  <c r="S964" i="5"/>
  <c r="T964" i="5"/>
  <c r="U964" i="5"/>
  <c r="V964" i="5"/>
  <c r="W964" i="5"/>
  <c r="X964" i="5"/>
  <c r="Y964" i="5"/>
  <c r="Z964" i="5"/>
  <c r="AA964" i="5"/>
  <c r="AB964" i="5"/>
  <c r="Q965" i="5"/>
  <c r="R965" i="5"/>
  <c r="S965" i="5"/>
  <c r="T965" i="5"/>
  <c r="U965" i="5"/>
  <c r="V965" i="5"/>
  <c r="W965" i="5"/>
  <c r="X965" i="5"/>
  <c r="Y965" i="5"/>
  <c r="Z965" i="5"/>
  <c r="AA965" i="5"/>
  <c r="AB965" i="5"/>
  <c r="Q966" i="5"/>
  <c r="R966" i="5"/>
  <c r="S966" i="5"/>
  <c r="T966" i="5"/>
  <c r="U966" i="5"/>
  <c r="V966" i="5"/>
  <c r="W966" i="5"/>
  <c r="X966" i="5"/>
  <c r="Y966" i="5"/>
  <c r="Z966" i="5"/>
  <c r="AA966" i="5"/>
  <c r="AB966" i="5"/>
  <c r="Q967" i="5"/>
  <c r="R967" i="5"/>
  <c r="S967" i="5"/>
  <c r="T967" i="5"/>
  <c r="U967" i="5"/>
  <c r="V967" i="5"/>
  <c r="W967" i="5"/>
  <c r="X967" i="5"/>
  <c r="Y967" i="5"/>
  <c r="Z967" i="5"/>
  <c r="AA967" i="5"/>
  <c r="AB967" i="5"/>
  <c r="Q968" i="5"/>
  <c r="R968" i="5"/>
  <c r="S968" i="5"/>
  <c r="T968" i="5"/>
  <c r="U968" i="5"/>
  <c r="V968" i="5"/>
  <c r="W968" i="5"/>
  <c r="X968" i="5"/>
  <c r="Y968" i="5"/>
  <c r="Z968" i="5"/>
  <c r="AA968" i="5"/>
  <c r="AB968" i="5"/>
  <c r="Q969" i="5"/>
  <c r="R969" i="5"/>
  <c r="S969" i="5"/>
  <c r="T969" i="5"/>
  <c r="U969" i="5"/>
  <c r="V969" i="5"/>
  <c r="W969" i="5"/>
  <c r="X969" i="5"/>
  <c r="Y969" i="5"/>
  <c r="Z969" i="5"/>
  <c r="AA969" i="5"/>
  <c r="AB969" i="5"/>
  <c r="Q970" i="5"/>
  <c r="R970" i="5"/>
  <c r="S970" i="5"/>
  <c r="T970" i="5"/>
  <c r="U970" i="5"/>
  <c r="V970" i="5"/>
  <c r="W970" i="5"/>
  <c r="X970" i="5"/>
  <c r="Y970" i="5"/>
  <c r="Z970" i="5"/>
  <c r="AA970" i="5"/>
  <c r="AB970" i="5"/>
  <c r="Q971" i="5"/>
  <c r="R971" i="5"/>
  <c r="S971" i="5"/>
  <c r="T971" i="5"/>
  <c r="U971" i="5"/>
  <c r="V971" i="5"/>
  <c r="W971" i="5"/>
  <c r="X971" i="5"/>
  <c r="Y971" i="5"/>
  <c r="Z971" i="5"/>
  <c r="AA971" i="5"/>
  <c r="AB971" i="5"/>
  <c r="Q972" i="5"/>
  <c r="R972" i="5"/>
  <c r="S972" i="5"/>
  <c r="T972" i="5"/>
  <c r="U972" i="5"/>
  <c r="V972" i="5"/>
  <c r="W972" i="5"/>
  <c r="X972" i="5"/>
  <c r="Y972" i="5"/>
  <c r="Z972" i="5"/>
  <c r="AA972" i="5"/>
  <c r="AB972" i="5"/>
  <c r="Q973" i="5"/>
  <c r="R973" i="5"/>
  <c r="S973" i="5"/>
  <c r="T973" i="5"/>
  <c r="U973" i="5"/>
  <c r="V973" i="5"/>
  <c r="W973" i="5"/>
  <c r="X973" i="5"/>
  <c r="Y973" i="5"/>
  <c r="Z973" i="5"/>
  <c r="AA973" i="5"/>
  <c r="AB973" i="5"/>
  <c r="Q974" i="5"/>
  <c r="R974" i="5"/>
  <c r="S974" i="5"/>
  <c r="T974" i="5"/>
  <c r="U974" i="5"/>
  <c r="V974" i="5"/>
  <c r="W974" i="5"/>
  <c r="X974" i="5"/>
  <c r="Y974" i="5"/>
  <c r="Z974" i="5"/>
  <c r="AA974" i="5"/>
  <c r="AB974" i="5"/>
  <c r="Q975" i="5"/>
  <c r="R975" i="5"/>
  <c r="S975" i="5"/>
  <c r="T975" i="5"/>
  <c r="U975" i="5"/>
  <c r="V975" i="5"/>
  <c r="W975" i="5"/>
  <c r="X975" i="5"/>
  <c r="Y975" i="5"/>
  <c r="Z975" i="5"/>
  <c r="AA975" i="5"/>
  <c r="AB975" i="5"/>
  <c r="Q976" i="5"/>
  <c r="R976" i="5"/>
  <c r="S976" i="5"/>
  <c r="T976" i="5"/>
  <c r="U976" i="5"/>
  <c r="V976" i="5"/>
  <c r="W976" i="5"/>
  <c r="X976" i="5"/>
  <c r="Y976" i="5"/>
  <c r="Z976" i="5"/>
  <c r="AA976" i="5"/>
  <c r="AB976" i="5"/>
  <c r="Q977" i="5"/>
  <c r="R977" i="5"/>
  <c r="S977" i="5"/>
  <c r="T977" i="5"/>
  <c r="U977" i="5"/>
  <c r="V977" i="5"/>
  <c r="W977" i="5"/>
  <c r="X977" i="5"/>
  <c r="Y977" i="5"/>
  <c r="Z977" i="5"/>
  <c r="AA977" i="5"/>
  <c r="AB977" i="5"/>
  <c r="Q978" i="5"/>
  <c r="R978" i="5"/>
  <c r="S978" i="5"/>
  <c r="T978" i="5"/>
  <c r="U978" i="5"/>
  <c r="V978" i="5"/>
  <c r="W978" i="5"/>
  <c r="X978" i="5"/>
  <c r="Y978" i="5"/>
  <c r="Z978" i="5"/>
  <c r="AA978" i="5"/>
  <c r="AB978" i="5"/>
  <c r="Q979" i="5"/>
  <c r="R979" i="5"/>
  <c r="S979" i="5"/>
  <c r="T979" i="5"/>
  <c r="U979" i="5"/>
  <c r="V979" i="5"/>
  <c r="W979" i="5"/>
  <c r="X979" i="5"/>
  <c r="Y979" i="5"/>
  <c r="Z979" i="5"/>
  <c r="AA979" i="5"/>
  <c r="AB979" i="5"/>
  <c r="Q980" i="5"/>
  <c r="R980" i="5"/>
  <c r="S980" i="5"/>
  <c r="T980" i="5"/>
  <c r="U980" i="5"/>
  <c r="V980" i="5"/>
  <c r="W980" i="5"/>
  <c r="X980" i="5"/>
  <c r="Y980" i="5"/>
  <c r="Z980" i="5"/>
  <c r="AA980" i="5"/>
  <c r="AB980" i="5"/>
  <c r="Q981" i="5"/>
  <c r="R981" i="5"/>
  <c r="S981" i="5"/>
  <c r="T981" i="5"/>
  <c r="U981" i="5"/>
  <c r="V981" i="5"/>
  <c r="W981" i="5"/>
  <c r="X981" i="5"/>
  <c r="Y981" i="5"/>
  <c r="Z981" i="5"/>
  <c r="AA981" i="5"/>
  <c r="AB981" i="5"/>
  <c r="Q982" i="5"/>
  <c r="R982" i="5"/>
  <c r="S982" i="5"/>
  <c r="T982" i="5"/>
  <c r="U982" i="5"/>
  <c r="V982" i="5"/>
  <c r="W982" i="5"/>
  <c r="X982" i="5"/>
  <c r="Y982" i="5"/>
  <c r="Z982" i="5"/>
  <c r="AA982" i="5"/>
  <c r="AB982" i="5"/>
  <c r="Q983" i="5"/>
  <c r="R983" i="5"/>
  <c r="S983" i="5"/>
  <c r="T983" i="5"/>
  <c r="U983" i="5"/>
  <c r="V983" i="5"/>
  <c r="W983" i="5"/>
  <c r="X983" i="5"/>
  <c r="Y983" i="5"/>
  <c r="Z983" i="5"/>
  <c r="AA983" i="5"/>
  <c r="AB983" i="5"/>
  <c r="Q984" i="5"/>
  <c r="R984" i="5"/>
  <c r="S984" i="5"/>
  <c r="T984" i="5"/>
  <c r="U984" i="5"/>
  <c r="V984" i="5"/>
  <c r="W984" i="5"/>
  <c r="X984" i="5"/>
  <c r="Y984" i="5"/>
  <c r="Z984" i="5"/>
  <c r="AA984" i="5"/>
  <c r="AB984" i="5"/>
  <c r="Q985" i="5"/>
  <c r="R985" i="5"/>
  <c r="S985" i="5"/>
  <c r="T985" i="5"/>
  <c r="U985" i="5"/>
  <c r="V985" i="5"/>
  <c r="W985" i="5"/>
  <c r="X985" i="5"/>
  <c r="Y985" i="5"/>
  <c r="Z985" i="5"/>
  <c r="AA985" i="5"/>
  <c r="AB985" i="5"/>
  <c r="Q986" i="5"/>
  <c r="R986" i="5"/>
  <c r="S986" i="5"/>
  <c r="T986" i="5"/>
  <c r="U986" i="5"/>
  <c r="V986" i="5"/>
  <c r="W986" i="5"/>
  <c r="X986" i="5"/>
  <c r="Y986" i="5"/>
  <c r="Z986" i="5"/>
  <c r="AA986" i="5"/>
  <c r="AB986" i="5"/>
  <c r="Q987" i="5"/>
  <c r="R987" i="5"/>
  <c r="S987" i="5"/>
  <c r="T987" i="5"/>
  <c r="U987" i="5"/>
  <c r="V987" i="5"/>
  <c r="W987" i="5"/>
  <c r="X987" i="5"/>
  <c r="Y987" i="5"/>
  <c r="Z987" i="5"/>
  <c r="AA987" i="5"/>
  <c r="AB987" i="5"/>
  <c r="Q988" i="5"/>
  <c r="R988" i="5"/>
  <c r="S988" i="5"/>
  <c r="T988" i="5"/>
  <c r="U988" i="5"/>
  <c r="V988" i="5"/>
  <c r="W988" i="5"/>
  <c r="X988" i="5"/>
  <c r="Y988" i="5"/>
  <c r="Z988" i="5"/>
  <c r="AA988" i="5"/>
  <c r="AB988" i="5"/>
  <c r="Q989" i="5"/>
  <c r="R989" i="5"/>
  <c r="S989" i="5"/>
  <c r="T989" i="5"/>
  <c r="U989" i="5"/>
  <c r="V989" i="5"/>
  <c r="W989" i="5"/>
  <c r="X989" i="5"/>
  <c r="Y989" i="5"/>
  <c r="Z989" i="5"/>
  <c r="AA989" i="5"/>
  <c r="AB989" i="5"/>
  <c r="Q990" i="5"/>
  <c r="R990" i="5"/>
  <c r="S990" i="5"/>
  <c r="T990" i="5"/>
  <c r="U990" i="5"/>
  <c r="V990" i="5"/>
  <c r="W990" i="5"/>
  <c r="X990" i="5"/>
  <c r="Y990" i="5"/>
  <c r="Z990" i="5"/>
  <c r="AA990" i="5"/>
  <c r="AB990" i="5"/>
  <c r="Q991" i="5"/>
  <c r="R991" i="5"/>
  <c r="S991" i="5"/>
  <c r="T991" i="5"/>
  <c r="U991" i="5"/>
  <c r="V991" i="5"/>
  <c r="W991" i="5"/>
  <c r="X991" i="5"/>
  <c r="Y991" i="5"/>
  <c r="Z991" i="5"/>
  <c r="AA991" i="5"/>
  <c r="AB991" i="5"/>
  <c r="Q992" i="5"/>
  <c r="R992" i="5"/>
  <c r="S992" i="5"/>
  <c r="T992" i="5"/>
  <c r="U992" i="5"/>
  <c r="V992" i="5"/>
  <c r="W992" i="5"/>
  <c r="X992" i="5"/>
  <c r="Y992" i="5"/>
  <c r="Z992" i="5"/>
  <c r="AA992" i="5"/>
  <c r="AB992" i="5"/>
  <c r="Q993" i="5"/>
  <c r="R993" i="5"/>
  <c r="S993" i="5"/>
  <c r="T993" i="5"/>
  <c r="U993" i="5"/>
  <c r="V993" i="5"/>
  <c r="W993" i="5"/>
  <c r="X993" i="5"/>
  <c r="Y993" i="5"/>
  <c r="Z993" i="5"/>
  <c r="AA993" i="5"/>
  <c r="AB993" i="5"/>
  <c r="Q994" i="5"/>
  <c r="R994" i="5"/>
  <c r="S994" i="5"/>
  <c r="T994" i="5"/>
  <c r="U994" i="5"/>
  <c r="V994" i="5"/>
  <c r="W994" i="5"/>
  <c r="X994" i="5"/>
  <c r="Y994" i="5"/>
  <c r="Z994" i="5"/>
  <c r="AA994" i="5"/>
  <c r="AB994" i="5"/>
  <c r="Q995" i="5"/>
  <c r="R995" i="5"/>
  <c r="S995" i="5"/>
  <c r="T995" i="5"/>
  <c r="U995" i="5"/>
  <c r="V995" i="5"/>
  <c r="W995" i="5"/>
  <c r="X995" i="5"/>
  <c r="Y995" i="5"/>
  <c r="Z995" i="5"/>
  <c r="AA995" i="5"/>
  <c r="AB995" i="5"/>
  <c r="Q996" i="5"/>
  <c r="R996" i="5"/>
  <c r="S996" i="5"/>
  <c r="T996" i="5"/>
  <c r="U996" i="5"/>
  <c r="V996" i="5"/>
  <c r="W996" i="5"/>
  <c r="X996" i="5"/>
  <c r="Y996" i="5"/>
  <c r="Z996" i="5"/>
  <c r="AA996" i="5"/>
  <c r="AB996" i="5"/>
  <c r="R3" i="5"/>
  <c r="S3" i="5"/>
  <c r="T3" i="5"/>
  <c r="U3" i="5"/>
  <c r="V3" i="5"/>
  <c r="Q3" i="5"/>
  <c r="E4" i="5"/>
  <c r="F4" i="5"/>
  <c r="L4" i="5"/>
  <c r="E5" i="5"/>
  <c r="G5" i="5"/>
  <c r="H5" i="5"/>
  <c r="O5" i="5"/>
  <c r="D6" i="5"/>
  <c r="G6" i="5"/>
  <c r="E9" i="5"/>
  <c r="G9" i="5"/>
  <c r="I9" i="5"/>
  <c r="L9" i="5"/>
  <c r="O9" i="5"/>
  <c r="E16" i="5"/>
  <c r="I16" i="5"/>
  <c r="E17" i="5"/>
  <c r="F17" i="5"/>
  <c r="J17" i="5"/>
  <c r="O17" i="5"/>
  <c r="G18" i="5"/>
  <c r="H18" i="5"/>
  <c r="F20" i="5"/>
  <c r="M20" i="5"/>
  <c r="E21" i="5"/>
  <c r="I21" i="5"/>
  <c r="L22" i="5"/>
  <c r="F23" i="5"/>
  <c r="H23" i="5"/>
  <c r="F28" i="5"/>
  <c r="J28" i="5"/>
  <c r="K28" i="5"/>
  <c r="L28" i="5"/>
  <c r="E29" i="5"/>
  <c r="F29" i="5"/>
  <c r="M29" i="5"/>
  <c r="O29" i="5"/>
  <c r="I31" i="5"/>
  <c r="M31" i="5"/>
  <c r="E33" i="5"/>
  <c r="F33" i="5"/>
  <c r="J33" i="5"/>
  <c r="K33" i="5"/>
  <c r="L33" i="5"/>
  <c r="M33" i="5"/>
  <c r="E40" i="5"/>
  <c r="J40" i="5"/>
  <c r="E41" i="5"/>
  <c r="J41" i="5"/>
  <c r="L41" i="5"/>
  <c r="M41" i="5"/>
  <c r="F42" i="5"/>
  <c r="G42" i="5"/>
  <c r="O43" i="5"/>
  <c r="D44" i="5"/>
  <c r="D45" i="5"/>
  <c r="E45" i="5"/>
  <c r="F45" i="5"/>
  <c r="J46" i="5"/>
  <c r="K46" i="5"/>
  <c r="E52" i="5"/>
  <c r="G52" i="5"/>
  <c r="J52" i="5"/>
  <c r="K52" i="5"/>
  <c r="L52" i="5"/>
  <c r="G53" i="5"/>
  <c r="H53" i="5"/>
  <c r="I53" i="5"/>
  <c r="J54" i="5"/>
  <c r="G55" i="5"/>
  <c r="O55" i="5"/>
  <c r="E57" i="5"/>
  <c r="I57" i="5"/>
  <c r="L57" i="5"/>
  <c r="O57" i="5"/>
  <c r="D58" i="5"/>
  <c r="J58" i="5"/>
  <c r="E64" i="5"/>
  <c r="G64" i="5"/>
  <c r="H64" i="5"/>
  <c r="I64" i="5"/>
  <c r="E65" i="5"/>
  <c r="J65" i="5"/>
  <c r="O65" i="5"/>
  <c r="G66" i="5"/>
  <c r="H66" i="5"/>
  <c r="I66" i="5"/>
  <c r="E69" i="5"/>
  <c r="I69" i="5"/>
  <c r="I72" i="5"/>
  <c r="E76" i="5"/>
  <c r="F76" i="5"/>
  <c r="E77" i="5"/>
  <c r="H77" i="5"/>
  <c r="I77" i="5"/>
  <c r="M77" i="5"/>
  <c r="O77" i="5"/>
  <c r="L80" i="5"/>
  <c r="E81" i="5"/>
  <c r="F81" i="5"/>
  <c r="K82" i="5"/>
  <c r="E88" i="5"/>
  <c r="H88" i="5"/>
  <c r="I88" i="5"/>
  <c r="J88" i="5"/>
  <c r="O88" i="5"/>
  <c r="E89" i="5"/>
  <c r="I89" i="5"/>
  <c r="J89" i="5"/>
  <c r="L89" i="5"/>
  <c r="M89" i="5"/>
  <c r="G91" i="5"/>
  <c r="E93" i="5"/>
  <c r="F93" i="5"/>
  <c r="G93" i="5"/>
  <c r="I93" i="5"/>
  <c r="K93" i="5"/>
  <c r="M93" i="5"/>
  <c r="G96" i="5"/>
  <c r="E100" i="5"/>
  <c r="G100" i="5"/>
  <c r="L100" i="5"/>
  <c r="M100" i="5"/>
  <c r="E101" i="5"/>
  <c r="G101" i="5"/>
  <c r="H101" i="5"/>
  <c r="I101" i="5"/>
  <c r="D102" i="5"/>
  <c r="J102" i="5"/>
  <c r="L103" i="5"/>
  <c r="M103" i="5"/>
  <c r="O103" i="5"/>
  <c r="D104" i="5"/>
  <c r="E105" i="5"/>
  <c r="J105" i="5"/>
  <c r="O105" i="5"/>
  <c r="D106" i="5"/>
  <c r="J106" i="5"/>
  <c r="F107" i="5"/>
  <c r="E112" i="5"/>
  <c r="G112" i="5"/>
  <c r="H112" i="5"/>
  <c r="I112" i="5"/>
  <c r="L112" i="5"/>
  <c r="M112" i="5"/>
  <c r="E113" i="5"/>
  <c r="G114" i="5"/>
  <c r="H114" i="5"/>
  <c r="I114" i="5"/>
  <c r="L115" i="5"/>
  <c r="E117" i="5"/>
  <c r="J117" i="5"/>
  <c r="K117" i="5"/>
  <c r="L117" i="5"/>
  <c r="D124" i="5"/>
  <c r="E124" i="5"/>
  <c r="F124" i="5"/>
  <c r="J124" i="5"/>
  <c r="K124" i="5"/>
  <c r="L124" i="5"/>
  <c r="M124" i="5"/>
  <c r="E125" i="5"/>
  <c r="M125" i="5"/>
  <c r="O125" i="5"/>
  <c r="D126" i="5"/>
  <c r="F126" i="5"/>
  <c r="E129" i="5"/>
  <c r="I129" i="5"/>
  <c r="E136" i="5"/>
  <c r="G136" i="5"/>
  <c r="J136" i="5"/>
  <c r="K136" i="5"/>
  <c r="O136" i="5"/>
  <c r="E137" i="5"/>
  <c r="I137" i="5"/>
  <c r="K137" i="5"/>
  <c r="O137" i="5"/>
  <c r="D140" i="5"/>
  <c r="D141" i="5"/>
  <c r="M141" i="5"/>
  <c r="E142" i="5"/>
  <c r="L142" i="5"/>
  <c r="M142" i="5"/>
  <c r="E148" i="5"/>
  <c r="H148" i="5"/>
  <c r="K148" i="5"/>
  <c r="L148" i="5"/>
  <c r="M148" i="5"/>
  <c r="E149" i="5"/>
  <c r="H149" i="5"/>
  <c r="J150" i="5"/>
  <c r="L150" i="5"/>
  <c r="E153" i="5"/>
  <c r="J153" i="5"/>
  <c r="M153" i="5"/>
  <c r="O153" i="5"/>
  <c r="D154" i="5"/>
  <c r="G154" i="5"/>
  <c r="M154" i="5"/>
  <c r="D160" i="5"/>
  <c r="E160" i="5"/>
  <c r="I160" i="5"/>
  <c r="E161" i="5"/>
  <c r="K161" i="5"/>
  <c r="L161" i="5"/>
  <c r="G162" i="5"/>
  <c r="H162" i="5"/>
  <c r="D165" i="5"/>
  <c r="E165" i="5"/>
  <c r="L165" i="5"/>
  <c r="O165" i="5"/>
  <c r="D172" i="5"/>
  <c r="F172" i="5"/>
  <c r="M172" i="5"/>
  <c r="O172" i="5"/>
  <c r="E173" i="5"/>
  <c r="J173" i="5"/>
  <c r="O173" i="5"/>
  <c r="D174" i="5"/>
  <c r="F174" i="5"/>
  <c r="H176" i="5"/>
  <c r="E177" i="5"/>
  <c r="I177" i="5"/>
  <c r="K178" i="5"/>
  <c r="L178" i="5"/>
  <c r="E184" i="5"/>
  <c r="I184" i="5"/>
  <c r="J184" i="5"/>
  <c r="K184" i="5"/>
  <c r="E185" i="5"/>
  <c r="I185" i="5"/>
  <c r="J185" i="5"/>
  <c r="L185" i="5"/>
  <c r="O185" i="5"/>
  <c r="J186" i="5"/>
  <c r="D188" i="5"/>
  <c r="E189" i="5"/>
  <c r="J189" i="5"/>
  <c r="K189" i="5"/>
  <c r="L189" i="5"/>
  <c r="M189" i="5"/>
  <c r="K190" i="5"/>
  <c r="L190" i="5"/>
  <c r="D196" i="5"/>
  <c r="E196" i="5"/>
  <c r="G196" i="5"/>
  <c r="H196" i="5"/>
  <c r="L196" i="5"/>
  <c r="M196" i="5"/>
  <c r="H197" i="5"/>
  <c r="I197" i="5"/>
  <c r="D198" i="5"/>
  <c r="F198" i="5"/>
  <c r="J198" i="5"/>
  <c r="K198" i="5"/>
  <c r="G199" i="5"/>
  <c r="D201" i="5"/>
  <c r="E201" i="5"/>
  <c r="G201" i="5"/>
  <c r="H201" i="5"/>
  <c r="L201" i="5"/>
  <c r="O201" i="5"/>
  <c r="J204" i="5"/>
  <c r="D208" i="5"/>
  <c r="E208" i="5"/>
  <c r="G208" i="5"/>
  <c r="E209" i="5"/>
  <c r="F209" i="5"/>
  <c r="H209" i="5"/>
  <c r="I209" i="5"/>
  <c r="E210" i="5"/>
  <c r="I210" i="5"/>
  <c r="L210" i="5"/>
  <c r="M210" i="5"/>
  <c r="E213" i="5"/>
  <c r="G213" i="5"/>
  <c r="J213" i="5"/>
  <c r="E214" i="5"/>
  <c r="G214" i="5"/>
  <c r="E220" i="5"/>
  <c r="L220" i="5"/>
  <c r="M220" i="5"/>
  <c r="E221" i="5"/>
  <c r="F221" i="5"/>
  <c r="O221" i="5"/>
  <c r="D222" i="5"/>
  <c r="E222" i="5"/>
  <c r="M222" i="5"/>
  <c r="D225" i="5"/>
  <c r="E225" i="5"/>
  <c r="F225" i="5"/>
  <c r="I225" i="5"/>
  <c r="J225" i="5"/>
  <c r="E226" i="5"/>
  <c r="O226" i="5"/>
  <c r="E232" i="5"/>
  <c r="H232" i="5"/>
  <c r="K232" i="5"/>
  <c r="E233" i="5"/>
  <c r="O233" i="5"/>
  <c r="D234" i="5"/>
  <c r="F234" i="5"/>
  <c r="J234" i="5"/>
  <c r="E237" i="5"/>
  <c r="H237" i="5"/>
  <c r="M237" i="5"/>
  <c r="O237" i="5"/>
  <c r="E238" i="5"/>
  <c r="F238" i="5"/>
  <c r="E244" i="5"/>
  <c r="G244" i="5"/>
  <c r="J244" i="5"/>
  <c r="K244" i="5"/>
  <c r="E245" i="5"/>
  <c r="I245" i="5"/>
  <c r="L245" i="5"/>
  <c r="M245" i="5"/>
  <c r="E246" i="5"/>
  <c r="K246" i="5"/>
  <c r="L247" i="5"/>
  <c r="I248" i="5"/>
  <c r="E249" i="5"/>
  <c r="M249" i="5"/>
  <c r="O249" i="5"/>
  <c r="E250" i="5"/>
  <c r="J250" i="5"/>
  <c r="D256" i="5"/>
  <c r="E256" i="5"/>
  <c r="D257" i="5"/>
  <c r="E257" i="5"/>
  <c r="L257" i="5"/>
  <c r="M257" i="5"/>
  <c r="E258" i="5"/>
  <c r="G258" i="5"/>
  <c r="E261" i="5"/>
  <c r="G261" i="5"/>
  <c r="H261" i="5"/>
  <c r="L261" i="5"/>
  <c r="M261" i="5"/>
  <c r="E262" i="5"/>
  <c r="D268" i="5"/>
  <c r="E268" i="5"/>
  <c r="J268" i="5"/>
  <c r="L268" i="5"/>
  <c r="O268" i="5"/>
  <c r="D269" i="5"/>
  <c r="E269" i="5"/>
  <c r="F269" i="5"/>
  <c r="E270" i="5"/>
  <c r="F270" i="5"/>
  <c r="L270" i="5"/>
  <c r="M270" i="5"/>
  <c r="E273" i="5"/>
  <c r="F273" i="5"/>
  <c r="G273" i="5"/>
  <c r="I273" i="5"/>
  <c r="H274" i="5"/>
  <c r="K275" i="5"/>
  <c r="E280" i="5"/>
  <c r="I280" i="5"/>
  <c r="K280" i="5"/>
  <c r="D281" i="5"/>
  <c r="E281" i="5"/>
  <c r="K281" i="5"/>
  <c r="M281" i="5"/>
  <c r="E282" i="5"/>
  <c r="G283" i="5"/>
  <c r="H283" i="5"/>
  <c r="J283" i="5"/>
  <c r="D285" i="5"/>
  <c r="E285" i="5"/>
  <c r="H285" i="5"/>
  <c r="M285" i="5"/>
  <c r="O285" i="5"/>
  <c r="H286" i="5"/>
  <c r="J286" i="5"/>
  <c r="E292" i="5"/>
  <c r="G292" i="5"/>
  <c r="K292" i="5"/>
  <c r="O292" i="5"/>
  <c r="D293" i="5"/>
  <c r="E293" i="5"/>
  <c r="J293" i="5"/>
  <c r="M293" i="5"/>
  <c r="E294" i="5"/>
  <c r="F294" i="5"/>
  <c r="L294" i="5"/>
  <c r="O295" i="5"/>
  <c r="F296" i="5"/>
  <c r="G296" i="5"/>
  <c r="O296" i="5"/>
  <c r="D297" i="5"/>
  <c r="E297" i="5"/>
  <c r="M297" i="5"/>
  <c r="I298" i="5"/>
  <c r="J298" i="5"/>
  <c r="E304" i="5"/>
  <c r="G304" i="5"/>
  <c r="L304" i="5"/>
  <c r="M304" i="5"/>
  <c r="E305" i="5"/>
  <c r="H305" i="5"/>
  <c r="I305" i="5"/>
  <c r="K305" i="5"/>
  <c r="L305" i="5"/>
  <c r="E306" i="5"/>
  <c r="O306" i="5"/>
  <c r="D307" i="5"/>
  <c r="M308" i="5"/>
  <c r="E309" i="5"/>
  <c r="G309" i="5"/>
  <c r="H309" i="5"/>
  <c r="L309" i="5"/>
  <c r="E310" i="5"/>
  <c r="O310" i="5"/>
  <c r="L311" i="5"/>
  <c r="E316" i="5"/>
  <c r="J316" i="5"/>
  <c r="E317" i="5"/>
  <c r="F317" i="5"/>
  <c r="H317" i="5"/>
  <c r="O319" i="5"/>
  <c r="E321" i="5"/>
  <c r="F321" i="5"/>
  <c r="G321" i="5"/>
  <c r="H321" i="5"/>
  <c r="D322" i="5"/>
  <c r="E322" i="5"/>
  <c r="I322" i="5"/>
  <c r="M322" i="5"/>
  <c r="E328" i="5"/>
  <c r="H328" i="5"/>
  <c r="D329" i="5"/>
  <c r="E329" i="5"/>
  <c r="F329" i="5"/>
  <c r="L329" i="5"/>
  <c r="M329" i="5"/>
  <c r="F330" i="5"/>
  <c r="E333" i="5"/>
  <c r="G333" i="5"/>
  <c r="H333" i="5"/>
  <c r="I333" i="5"/>
  <c r="M333" i="5"/>
  <c r="J334" i="5"/>
  <c r="E340" i="5"/>
  <c r="O340" i="5"/>
  <c r="D341" i="5"/>
  <c r="E341" i="5"/>
  <c r="M341" i="5"/>
  <c r="J343" i="5"/>
  <c r="D345" i="5"/>
  <c r="E345" i="5"/>
  <c r="M345" i="5"/>
  <c r="E346" i="5"/>
  <c r="H346" i="5"/>
  <c r="D352" i="5"/>
  <c r="E352" i="5"/>
  <c r="H352" i="5"/>
  <c r="I352" i="5"/>
  <c r="J352" i="5"/>
  <c r="M352" i="5"/>
  <c r="D353" i="5"/>
  <c r="E353" i="5"/>
  <c r="I353" i="5"/>
  <c r="L353" i="5"/>
  <c r="E354" i="5"/>
  <c r="I354" i="5"/>
  <c r="J354" i="5"/>
  <c r="O354" i="5"/>
  <c r="D357" i="5"/>
  <c r="E357" i="5"/>
  <c r="G357" i="5"/>
  <c r="J357" i="5"/>
  <c r="L357" i="5"/>
  <c r="E358" i="5"/>
  <c r="E364" i="5"/>
  <c r="I364" i="5"/>
  <c r="L364" i="5"/>
  <c r="E365" i="5"/>
  <c r="F365" i="5"/>
  <c r="I365" i="5"/>
  <c r="J365" i="5"/>
  <c r="E366" i="5"/>
  <c r="G366" i="5"/>
  <c r="L366" i="5"/>
  <c r="M366" i="5"/>
  <c r="E369" i="5"/>
  <c r="F369" i="5"/>
  <c r="I369" i="5"/>
  <c r="E370" i="5"/>
  <c r="I371" i="5"/>
  <c r="D376" i="5"/>
  <c r="E376" i="5"/>
  <c r="G376" i="5"/>
  <c r="H376" i="5"/>
  <c r="L376" i="5"/>
  <c r="E377" i="5"/>
  <c r="F377" i="5"/>
  <c r="H377" i="5"/>
  <c r="D378" i="5"/>
  <c r="F378" i="5"/>
  <c r="G378" i="5"/>
  <c r="L378" i="5"/>
  <c r="D381" i="5"/>
  <c r="E381" i="5"/>
  <c r="E382" i="5"/>
  <c r="G382" i="5"/>
  <c r="J382" i="5"/>
  <c r="K382" i="5"/>
  <c r="D383" i="5"/>
  <c r="G388" i="5"/>
  <c r="F389" i="5"/>
  <c r="M389" i="5"/>
  <c r="O389" i="5"/>
  <c r="E390" i="5"/>
  <c r="G390" i="5"/>
  <c r="I390" i="5"/>
  <c r="L393" i="5"/>
  <c r="M393" i="5"/>
  <c r="K394" i="5"/>
  <c r="O394" i="5"/>
  <c r="E395" i="5"/>
  <c r="D401" i="5"/>
  <c r="E401" i="5"/>
  <c r="H401" i="5"/>
  <c r="M401" i="5"/>
  <c r="D402" i="5"/>
  <c r="E402" i="5"/>
  <c r="K403" i="5"/>
  <c r="F405" i="5"/>
  <c r="M405" i="5"/>
  <c r="O405" i="5"/>
  <c r="E406" i="5"/>
  <c r="H406" i="5"/>
  <c r="I406" i="5"/>
  <c r="J406" i="5"/>
  <c r="M406" i="5"/>
  <c r="O406" i="5"/>
  <c r="M412" i="5"/>
  <c r="L413" i="5"/>
  <c r="M414" i="5"/>
  <c r="E416" i="5"/>
  <c r="G416" i="5"/>
  <c r="H416" i="5"/>
  <c r="M417" i="5"/>
  <c r="I418" i="5"/>
  <c r="K418" i="5"/>
  <c r="O418" i="5"/>
  <c r="D419" i="5"/>
  <c r="M424" i="5"/>
  <c r="J425" i="5"/>
  <c r="K425" i="5"/>
  <c r="M425" i="5"/>
  <c r="O425" i="5"/>
  <c r="K426" i="5"/>
  <c r="M426" i="5"/>
  <c r="G427" i="5"/>
  <c r="H427" i="5"/>
  <c r="I428" i="5"/>
  <c r="J429" i="5"/>
  <c r="H430" i="5"/>
  <c r="J430" i="5"/>
  <c r="K430" i="5"/>
  <c r="M436" i="5"/>
  <c r="H437" i="5"/>
  <c r="I437" i="5"/>
  <c r="M437" i="5"/>
  <c r="H439" i="5"/>
  <c r="L440" i="5"/>
  <c r="F441" i="5"/>
  <c r="J441" i="5"/>
  <c r="M441" i="5"/>
  <c r="M442" i="5"/>
  <c r="O442" i="5"/>
  <c r="D448" i="5"/>
  <c r="E448" i="5"/>
  <c r="G448" i="5"/>
  <c r="H448" i="5"/>
  <c r="I448" i="5"/>
  <c r="J448" i="5"/>
  <c r="M448" i="5"/>
  <c r="D449" i="5"/>
  <c r="H449" i="5"/>
  <c r="M449" i="5"/>
  <c r="I450" i="5"/>
  <c r="K450" i="5"/>
  <c r="L450" i="5"/>
  <c r="M450" i="5"/>
  <c r="O450" i="5"/>
  <c r="D453" i="5"/>
  <c r="F453" i="5"/>
  <c r="G454" i="5"/>
  <c r="M454" i="5"/>
  <c r="E460" i="5"/>
  <c r="G460" i="5"/>
  <c r="I460" i="5"/>
  <c r="M460" i="5"/>
  <c r="F461" i="5"/>
  <c r="H461" i="5"/>
  <c r="I461" i="5"/>
  <c r="K461" i="5"/>
  <c r="L461" i="5"/>
  <c r="M461" i="5"/>
  <c r="O461" i="5"/>
  <c r="M462" i="5"/>
  <c r="G463" i="5"/>
  <c r="D465" i="5"/>
  <c r="F465" i="5"/>
  <c r="G465" i="5"/>
  <c r="H465" i="5"/>
  <c r="I465" i="5"/>
  <c r="E466" i="5"/>
  <c r="H466" i="5"/>
  <c r="I466" i="5"/>
  <c r="J466" i="5"/>
  <c r="K466" i="5"/>
  <c r="M466" i="5"/>
  <c r="J472" i="5"/>
  <c r="K472" i="5"/>
  <c r="M472" i="5"/>
  <c r="F473" i="5"/>
  <c r="J473" i="5"/>
  <c r="K473" i="5"/>
  <c r="L473" i="5"/>
  <c r="M473" i="5"/>
  <c r="O473" i="5"/>
  <c r="D474" i="5"/>
  <c r="F477" i="5"/>
  <c r="G477" i="5"/>
  <c r="H477" i="5"/>
  <c r="I477" i="5"/>
  <c r="J477" i="5"/>
  <c r="E478" i="5"/>
  <c r="H478" i="5"/>
  <c r="I478" i="5"/>
  <c r="J478" i="5"/>
  <c r="K478" i="5"/>
  <c r="J479" i="5"/>
  <c r="L479" i="5"/>
  <c r="L484" i="5"/>
  <c r="E485" i="5"/>
  <c r="F485" i="5"/>
  <c r="M485" i="5"/>
  <c r="O485" i="5"/>
  <c r="G486" i="5"/>
  <c r="L486" i="5"/>
  <c r="M486" i="5"/>
  <c r="L488" i="5"/>
  <c r="F489" i="5"/>
  <c r="M489" i="5"/>
  <c r="O489" i="5"/>
  <c r="D490" i="5"/>
  <c r="H490" i="5"/>
  <c r="K490" i="5"/>
  <c r="D496" i="5"/>
  <c r="E496" i="5"/>
  <c r="F496" i="5"/>
  <c r="J496" i="5"/>
  <c r="K496" i="5"/>
  <c r="N496" i="5"/>
  <c r="O496" i="5"/>
  <c r="D497" i="5"/>
  <c r="F497" i="5"/>
  <c r="D498" i="5"/>
  <c r="E498" i="5"/>
  <c r="G498" i="5"/>
  <c r="H498" i="5"/>
  <c r="L498" i="5"/>
  <c r="O499" i="5"/>
  <c r="E500" i="5"/>
  <c r="D501" i="5"/>
  <c r="F501" i="5"/>
  <c r="J501" i="5"/>
  <c r="K501" i="5"/>
  <c r="D502" i="5"/>
  <c r="F508" i="5"/>
  <c r="J508" i="5"/>
  <c r="N508" i="5"/>
  <c r="F509" i="5"/>
  <c r="G509" i="5"/>
  <c r="K509" i="5"/>
  <c r="L509" i="5"/>
  <c r="H510" i="5"/>
  <c r="H511" i="5"/>
  <c r="D513" i="5"/>
  <c r="F513" i="5"/>
  <c r="G513" i="5"/>
  <c r="H513" i="5"/>
  <c r="D514" i="5"/>
  <c r="E514" i="5"/>
  <c r="G514" i="5"/>
  <c r="H514" i="5"/>
  <c r="I514" i="5"/>
  <c r="J514" i="5"/>
  <c r="K514" i="5"/>
  <c r="L514" i="5"/>
  <c r="D516" i="5"/>
  <c r="E516" i="5"/>
  <c r="F516" i="5"/>
  <c r="G516" i="5"/>
  <c r="H516" i="5"/>
  <c r="I516" i="5"/>
  <c r="J516" i="5"/>
  <c r="K516" i="5"/>
  <c r="L516" i="5"/>
  <c r="M516" i="5"/>
  <c r="N516" i="5"/>
  <c r="O516" i="5"/>
  <c r="D517" i="5"/>
  <c r="E517" i="5"/>
  <c r="F517" i="5"/>
  <c r="G517" i="5"/>
  <c r="H517" i="5"/>
  <c r="I517" i="5"/>
  <c r="J517" i="5"/>
  <c r="K517" i="5"/>
  <c r="L517" i="5"/>
  <c r="M517" i="5"/>
  <c r="N517" i="5"/>
  <c r="O517" i="5"/>
  <c r="D518" i="5"/>
  <c r="E518" i="5"/>
  <c r="F518" i="5"/>
  <c r="G518" i="5"/>
  <c r="H518" i="5"/>
  <c r="I518" i="5"/>
  <c r="J518" i="5"/>
  <c r="K518" i="5"/>
  <c r="L518" i="5"/>
  <c r="M518" i="5"/>
  <c r="N518" i="5"/>
  <c r="O518" i="5"/>
  <c r="D519" i="5"/>
  <c r="E519" i="5"/>
  <c r="F519" i="5"/>
  <c r="G519" i="5"/>
  <c r="H519" i="5"/>
  <c r="I519" i="5"/>
  <c r="J519" i="5"/>
  <c r="K519" i="5"/>
  <c r="L519" i="5"/>
  <c r="M519" i="5"/>
  <c r="N519" i="5"/>
  <c r="O519" i="5"/>
  <c r="D520" i="5"/>
  <c r="E520" i="5"/>
  <c r="F520" i="5"/>
  <c r="G520" i="5"/>
  <c r="H520" i="5"/>
  <c r="I520" i="5"/>
  <c r="J520" i="5"/>
  <c r="K520" i="5"/>
  <c r="L520" i="5"/>
  <c r="M520" i="5"/>
  <c r="N520" i="5"/>
  <c r="O520" i="5"/>
  <c r="D521" i="5"/>
  <c r="E521" i="5"/>
  <c r="F521" i="5"/>
  <c r="G521" i="5"/>
  <c r="H521" i="5"/>
  <c r="I521" i="5"/>
  <c r="J521" i="5"/>
  <c r="K521" i="5"/>
  <c r="L521" i="5"/>
  <c r="M521" i="5"/>
  <c r="N521" i="5"/>
  <c r="O521" i="5"/>
  <c r="D522" i="5"/>
  <c r="E522" i="5"/>
  <c r="F522" i="5"/>
  <c r="G522" i="5"/>
  <c r="H522" i="5"/>
  <c r="I522" i="5"/>
  <c r="J522" i="5"/>
  <c r="K522" i="5"/>
  <c r="L522" i="5"/>
  <c r="M522" i="5"/>
  <c r="N522" i="5"/>
  <c r="O522" i="5"/>
  <c r="D523" i="5"/>
  <c r="E523" i="5"/>
  <c r="F523" i="5"/>
  <c r="G523" i="5"/>
  <c r="H523" i="5"/>
  <c r="I523" i="5"/>
  <c r="J523" i="5"/>
  <c r="K523" i="5"/>
  <c r="L523" i="5"/>
  <c r="M523" i="5"/>
  <c r="N523" i="5"/>
  <c r="O523" i="5"/>
  <c r="D524" i="5"/>
  <c r="E524" i="5"/>
  <c r="F524" i="5"/>
  <c r="G524" i="5"/>
  <c r="H524" i="5"/>
  <c r="I524" i="5"/>
  <c r="J524" i="5"/>
  <c r="K524" i="5"/>
  <c r="L524" i="5"/>
  <c r="M524" i="5"/>
  <c r="N524" i="5"/>
  <c r="O524" i="5"/>
  <c r="D525" i="5"/>
  <c r="E525" i="5"/>
  <c r="F525" i="5"/>
  <c r="G525" i="5"/>
  <c r="H525" i="5"/>
  <c r="I525" i="5"/>
  <c r="J525" i="5"/>
  <c r="K525" i="5"/>
  <c r="L525" i="5"/>
  <c r="M525" i="5"/>
  <c r="N525" i="5"/>
  <c r="O525" i="5"/>
  <c r="D526" i="5"/>
  <c r="E526" i="5"/>
  <c r="F526" i="5"/>
  <c r="G526" i="5"/>
  <c r="H526" i="5"/>
  <c r="I526" i="5"/>
  <c r="J526" i="5"/>
  <c r="K526" i="5"/>
  <c r="L526" i="5"/>
  <c r="M526" i="5"/>
  <c r="N526" i="5"/>
  <c r="O526" i="5"/>
  <c r="D527" i="5"/>
  <c r="E527" i="5"/>
  <c r="F527" i="5"/>
  <c r="G527" i="5"/>
  <c r="H527" i="5"/>
  <c r="I527" i="5"/>
  <c r="J527" i="5"/>
  <c r="K527" i="5"/>
  <c r="L527" i="5"/>
  <c r="M527" i="5"/>
  <c r="N527" i="5"/>
  <c r="O527" i="5"/>
  <c r="D528" i="5"/>
  <c r="E528" i="5"/>
  <c r="F528" i="5"/>
  <c r="G528" i="5"/>
  <c r="H528" i="5"/>
  <c r="I528" i="5"/>
  <c r="J528" i="5"/>
  <c r="K528" i="5"/>
  <c r="L528" i="5"/>
  <c r="M528" i="5"/>
  <c r="N528" i="5"/>
  <c r="O528" i="5"/>
  <c r="D529" i="5"/>
  <c r="E529" i="5"/>
  <c r="F529" i="5"/>
  <c r="G529" i="5"/>
  <c r="H529" i="5"/>
  <c r="I529" i="5"/>
  <c r="J529" i="5"/>
  <c r="K529" i="5"/>
  <c r="L529" i="5"/>
  <c r="M529" i="5"/>
  <c r="N529" i="5"/>
  <c r="O529" i="5"/>
  <c r="D530" i="5"/>
  <c r="E530" i="5"/>
  <c r="F530" i="5"/>
  <c r="G530" i="5"/>
  <c r="H530" i="5"/>
  <c r="I530" i="5"/>
  <c r="J530" i="5"/>
  <c r="K530" i="5"/>
  <c r="L530" i="5"/>
  <c r="M530" i="5"/>
  <c r="N530" i="5"/>
  <c r="O530" i="5"/>
  <c r="D531" i="5"/>
  <c r="E531" i="5"/>
  <c r="F531" i="5"/>
  <c r="G531" i="5"/>
  <c r="H531" i="5"/>
  <c r="I531" i="5"/>
  <c r="J531" i="5"/>
  <c r="K531" i="5"/>
  <c r="L531" i="5"/>
  <c r="M531" i="5"/>
  <c r="N531" i="5"/>
  <c r="O531" i="5"/>
  <c r="D532" i="5"/>
  <c r="E532" i="5"/>
  <c r="F532" i="5"/>
  <c r="G532" i="5"/>
  <c r="H532" i="5"/>
  <c r="I532" i="5"/>
  <c r="J532" i="5"/>
  <c r="K532" i="5"/>
  <c r="L532" i="5"/>
  <c r="M532" i="5"/>
  <c r="N532" i="5"/>
  <c r="O532" i="5"/>
  <c r="D533" i="5"/>
  <c r="E533" i="5"/>
  <c r="F533" i="5"/>
  <c r="G533" i="5"/>
  <c r="H533" i="5"/>
  <c r="I533" i="5"/>
  <c r="J533" i="5"/>
  <c r="K533" i="5"/>
  <c r="L533" i="5"/>
  <c r="M533" i="5"/>
  <c r="N533" i="5"/>
  <c r="O533" i="5"/>
  <c r="D534" i="5"/>
  <c r="E534" i="5"/>
  <c r="F534" i="5"/>
  <c r="G534" i="5"/>
  <c r="H534" i="5"/>
  <c r="I534" i="5"/>
  <c r="J534" i="5"/>
  <c r="K534" i="5"/>
  <c r="L534" i="5"/>
  <c r="M534" i="5"/>
  <c r="N534" i="5"/>
  <c r="O534" i="5"/>
  <c r="D535" i="5"/>
  <c r="E535" i="5"/>
  <c r="F535" i="5"/>
  <c r="G535" i="5"/>
  <c r="H535" i="5"/>
  <c r="I535" i="5"/>
  <c r="J535" i="5"/>
  <c r="K535" i="5"/>
  <c r="L535" i="5"/>
  <c r="M535" i="5"/>
  <c r="N535" i="5"/>
  <c r="O535" i="5"/>
  <c r="D536" i="5"/>
  <c r="E536" i="5"/>
  <c r="F536" i="5"/>
  <c r="G536" i="5"/>
  <c r="H536" i="5"/>
  <c r="I536" i="5"/>
  <c r="J536" i="5"/>
  <c r="K536" i="5"/>
  <c r="L536" i="5"/>
  <c r="M536" i="5"/>
  <c r="N536" i="5"/>
  <c r="O536" i="5"/>
  <c r="D537" i="5"/>
  <c r="E537" i="5"/>
  <c r="F537" i="5"/>
  <c r="G537" i="5"/>
  <c r="H537" i="5"/>
  <c r="I537" i="5"/>
  <c r="J537" i="5"/>
  <c r="K537" i="5"/>
  <c r="L537" i="5"/>
  <c r="M537" i="5"/>
  <c r="N537" i="5"/>
  <c r="O537" i="5"/>
  <c r="D538" i="5"/>
  <c r="E538" i="5"/>
  <c r="F538" i="5"/>
  <c r="G538" i="5"/>
  <c r="H538" i="5"/>
  <c r="I538" i="5"/>
  <c r="J538" i="5"/>
  <c r="K538" i="5"/>
  <c r="L538" i="5"/>
  <c r="M538" i="5"/>
  <c r="N538" i="5"/>
  <c r="O538" i="5"/>
  <c r="D539" i="5"/>
  <c r="E539" i="5"/>
  <c r="F539" i="5"/>
  <c r="G539" i="5"/>
  <c r="H539" i="5"/>
  <c r="I539" i="5"/>
  <c r="J539" i="5"/>
  <c r="K539" i="5"/>
  <c r="L539" i="5"/>
  <c r="M539" i="5"/>
  <c r="N539" i="5"/>
  <c r="O539" i="5"/>
  <c r="D540" i="5"/>
  <c r="E540" i="5"/>
  <c r="F540" i="5"/>
  <c r="G540" i="5"/>
  <c r="H540" i="5"/>
  <c r="I540" i="5"/>
  <c r="J540" i="5"/>
  <c r="K540" i="5"/>
  <c r="L540" i="5"/>
  <c r="M540" i="5"/>
  <c r="N540" i="5"/>
  <c r="O540" i="5"/>
  <c r="D541" i="5"/>
  <c r="E541" i="5"/>
  <c r="F541" i="5"/>
  <c r="G541" i="5"/>
  <c r="H541" i="5"/>
  <c r="I541" i="5"/>
  <c r="J541" i="5"/>
  <c r="K541" i="5"/>
  <c r="L541" i="5"/>
  <c r="M541" i="5"/>
  <c r="N541" i="5"/>
  <c r="O541" i="5"/>
  <c r="D542" i="5"/>
  <c r="E542" i="5"/>
  <c r="F542" i="5"/>
  <c r="G542" i="5"/>
  <c r="H542" i="5"/>
  <c r="I542" i="5"/>
  <c r="J542" i="5"/>
  <c r="K542" i="5"/>
  <c r="L542" i="5"/>
  <c r="M542" i="5"/>
  <c r="N542" i="5"/>
  <c r="O542" i="5"/>
  <c r="D543" i="5"/>
  <c r="E543" i="5"/>
  <c r="F543" i="5"/>
  <c r="G543" i="5"/>
  <c r="H543" i="5"/>
  <c r="I543" i="5"/>
  <c r="J543" i="5"/>
  <c r="K543" i="5"/>
  <c r="L543" i="5"/>
  <c r="M543" i="5"/>
  <c r="N543" i="5"/>
  <c r="O543" i="5"/>
  <c r="D544" i="5"/>
  <c r="E544" i="5"/>
  <c r="F544" i="5"/>
  <c r="G544" i="5"/>
  <c r="H544" i="5"/>
  <c r="I544" i="5"/>
  <c r="J544" i="5"/>
  <c r="K544" i="5"/>
  <c r="L544" i="5"/>
  <c r="M544" i="5"/>
  <c r="N544" i="5"/>
  <c r="O544" i="5"/>
  <c r="D545" i="5"/>
  <c r="E545" i="5"/>
  <c r="F545" i="5"/>
  <c r="G545" i="5"/>
  <c r="H545" i="5"/>
  <c r="I545" i="5"/>
  <c r="J545" i="5"/>
  <c r="K545" i="5"/>
  <c r="L545" i="5"/>
  <c r="M545" i="5"/>
  <c r="N545" i="5"/>
  <c r="O545" i="5"/>
  <c r="D546" i="5"/>
  <c r="E546" i="5"/>
  <c r="F546" i="5"/>
  <c r="G546" i="5"/>
  <c r="H546" i="5"/>
  <c r="I546" i="5"/>
  <c r="J546" i="5"/>
  <c r="K546" i="5"/>
  <c r="L546" i="5"/>
  <c r="M546" i="5"/>
  <c r="N546" i="5"/>
  <c r="O546" i="5"/>
  <c r="D547" i="5"/>
  <c r="E547" i="5"/>
  <c r="F547" i="5"/>
  <c r="G547" i="5"/>
  <c r="H547" i="5"/>
  <c r="I547" i="5"/>
  <c r="J547" i="5"/>
  <c r="K547" i="5"/>
  <c r="L547" i="5"/>
  <c r="M547" i="5"/>
  <c r="N547" i="5"/>
  <c r="O547" i="5"/>
  <c r="D548" i="5"/>
  <c r="E548" i="5"/>
  <c r="F548" i="5"/>
  <c r="G548" i="5"/>
  <c r="H548" i="5"/>
  <c r="I548" i="5"/>
  <c r="J548" i="5"/>
  <c r="K548" i="5"/>
  <c r="L548" i="5"/>
  <c r="M548" i="5"/>
  <c r="N548" i="5"/>
  <c r="O548" i="5"/>
  <c r="D549" i="5"/>
  <c r="E549" i="5"/>
  <c r="F549" i="5"/>
  <c r="G549" i="5"/>
  <c r="H549" i="5"/>
  <c r="I549" i="5"/>
  <c r="J549" i="5"/>
  <c r="K549" i="5"/>
  <c r="L549" i="5"/>
  <c r="M549" i="5"/>
  <c r="N549" i="5"/>
  <c r="O549" i="5"/>
  <c r="D550" i="5"/>
  <c r="E550" i="5"/>
  <c r="F550" i="5"/>
  <c r="G550" i="5"/>
  <c r="H550" i="5"/>
  <c r="I550" i="5"/>
  <c r="J550" i="5"/>
  <c r="K550" i="5"/>
  <c r="L550" i="5"/>
  <c r="M550" i="5"/>
  <c r="N550" i="5"/>
  <c r="O550" i="5"/>
  <c r="D551" i="5"/>
  <c r="E551" i="5"/>
  <c r="F551" i="5"/>
  <c r="G551" i="5"/>
  <c r="H551" i="5"/>
  <c r="I551" i="5"/>
  <c r="J551" i="5"/>
  <c r="K551" i="5"/>
  <c r="L551" i="5"/>
  <c r="M551" i="5"/>
  <c r="N551" i="5"/>
  <c r="O551" i="5"/>
  <c r="D552" i="5"/>
  <c r="E552" i="5"/>
  <c r="F552" i="5"/>
  <c r="G552" i="5"/>
  <c r="H552" i="5"/>
  <c r="I552" i="5"/>
  <c r="J552" i="5"/>
  <c r="K552" i="5"/>
  <c r="L552" i="5"/>
  <c r="M552" i="5"/>
  <c r="N552" i="5"/>
  <c r="O552" i="5"/>
  <c r="D553" i="5"/>
  <c r="E553" i="5"/>
  <c r="F553" i="5"/>
  <c r="G553" i="5"/>
  <c r="H553" i="5"/>
  <c r="I553" i="5"/>
  <c r="J553" i="5"/>
  <c r="K553" i="5"/>
  <c r="L553" i="5"/>
  <c r="M553" i="5"/>
  <c r="N553" i="5"/>
  <c r="O553" i="5"/>
  <c r="D554" i="5"/>
  <c r="E554" i="5"/>
  <c r="F554" i="5"/>
  <c r="G554" i="5"/>
  <c r="H554" i="5"/>
  <c r="I554" i="5"/>
  <c r="J554" i="5"/>
  <c r="K554" i="5"/>
  <c r="L554" i="5"/>
  <c r="M554" i="5"/>
  <c r="N554" i="5"/>
  <c r="O554" i="5"/>
  <c r="D555" i="5"/>
  <c r="E555" i="5"/>
  <c r="F555" i="5"/>
  <c r="G555" i="5"/>
  <c r="H555" i="5"/>
  <c r="I555" i="5"/>
  <c r="J555" i="5"/>
  <c r="K555" i="5"/>
  <c r="L555" i="5"/>
  <c r="M555" i="5"/>
  <c r="N555" i="5"/>
  <c r="O555" i="5"/>
  <c r="D556" i="5"/>
  <c r="E556" i="5"/>
  <c r="F556" i="5"/>
  <c r="G556" i="5"/>
  <c r="H556" i="5"/>
  <c r="I556" i="5"/>
  <c r="J556" i="5"/>
  <c r="K556" i="5"/>
  <c r="L556" i="5"/>
  <c r="M556" i="5"/>
  <c r="N556" i="5"/>
  <c r="O556" i="5"/>
  <c r="D557" i="5"/>
  <c r="E557" i="5"/>
  <c r="F557" i="5"/>
  <c r="G557" i="5"/>
  <c r="H557" i="5"/>
  <c r="I557" i="5"/>
  <c r="J557" i="5"/>
  <c r="K557" i="5"/>
  <c r="L557" i="5"/>
  <c r="M557" i="5"/>
  <c r="N557" i="5"/>
  <c r="O557" i="5"/>
  <c r="D558" i="5"/>
  <c r="E558" i="5"/>
  <c r="F558" i="5"/>
  <c r="G558" i="5"/>
  <c r="H558" i="5"/>
  <c r="I558" i="5"/>
  <c r="J558" i="5"/>
  <c r="K558" i="5"/>
  <c r="L558" i="5"/>
  <c r="M558" i="5"/>
  <c r="N558" i="5"/>
  <c r="O558" i="5"/>
  <c r="D559" i="5"/>
  <c r="E559" i="5"/>
  <c r="F559" i="5"/>
  <c r="G559" i="5"/>
  <c r="H559" i="5"/>
  <c r="I559" i="5"/>
  <c r="J559" i="5"/>
  <c r="K559" i="5"/>
  <c r="L559" i="5"/>
  <c r="M559" i="5"/>
  <c r="N559" i="5"/>
  <c r="O559" i="5"/>
  <c r="D560" i="5"/>
  <c r="E560" i="5"/>
  <c r="F560" i="5"/>
  <c r="G560" i="5"/>
  <c r="H560" i="5"/>
  <c r="I560" i="5"/>
  <c r="J560" i="5"/>
  <c r="K560" i="5"/>
  <c r="L560" i="5"/>
  <c r="M560" i="5"/>
  <c r="N560" i="5"/>
  <c r="O560" i="5"/>
  <c r="D561" i="5"/>
  <c r="E561" i="5"/>
  <c r="F561" i="5"/>
  <c r="G561" i="5"/>
  <c r="H561" i="5"/>
  <c r="I561" i="5"/>
  <c r="J561" i="5"/>
  <c r="K561" i="5"/>
  <c r="L561" i="5"/>
  <c r="M561" i="5"/>
  <c r="N561" i="5"/>
  <c r="O561" i="5"/>
  <c r="D562" i="5"/>
  <c r="E562" i="5"/>
  <c r="F562" i="5"/>
  <c r="G562" i="5"/>
  <c r="H562" i="5"/>
  <c r="I562" i="5"/>
  <c r="J562" i="5"/>
  <c r="K562" i="5"/>
  <c r="L562" i="5"/>
  <c r="M562" i="5"/>
  <c r="N562" i="5"/>
  <c r="O562" i="5"/>
  <c r="D563" i="5"/>
  <c r="E563" i="5"/>
  <c r="F563" i="5"/>
  <c r="G563" i="5"/>
  <c r="H563" i="5"/>
  <c r="I563" i="5"/>
  <c r="J563" i="5"/>
  <c r="K563" i="5"/>
  <c r="L563" i="5"/>
  <c r="M563" i="5"/>
  <c r="N563" i="5"/>
  <c r="O563" i="5"/>
  <c r="D564" i="5"/>
  <c r="E564" i="5"/>
  <c r="F564" i="5"/>
  <c r="G564" i="5"/>
  <c r="H564" i="5"/>
  <c r="I564" i="5"/>
  <c r="J564" i="5"/>
  <c r="K564" i="5"/>
  <c r="L564" i="5"/>
  <c r="M564" i="5"/>
  <c r="N564" i="5"/>
  <c r="O564" i="5"/>
  <c r="D565" i="5"/>
  <c r="E565" i="5"/>
  <c r="F565" i="5"/>
  <c r="G565" i="5"/>
  <c r="H565" i="5"/>
  <c r="I565" i="5"/>
  <c r="J565" i="5"/>
  <c r="K565" i="5"/>
  <c r="L565" i="5"/>
  <c r="M565" i="5"/>
  <c r="N565" i="5"/>
  <c r="O565" i="5"/>
  <c r="D566" i="5"/>
  <c r="E566" i="5"/>
  <c r="F566" i="5"/>
  <c r="G566" i="5"/>
  <c r="H566" i="5"/>
  <c r="I566" i="5"/>
  <c r="J566" i="5"/>
  <c r="K566" i="5"/>
  <c r="L566" i="5"/>
  <c r="M566" i="5"/>
  <c r="N566" i="5"/>
  <c r="O566" i="5"/>
  <c r="D567" i="5"/>
  <c r="E567" i="5"/>
  <c r="F567" i="5"/>
  <c r="G567" i="5"/>
  <c r="H567" i="5"/>
  <c r="I567" i="5"/>
  <c r="J567" i="5"/>
  <c r="K567" i="5"/>
  <c r="L567" i="5"/>
  <c r="M567" i="5"/>
  <c r="N567" i="5"/>
  <c r="O567" i="5"/>
  <c r="D568" i="5"/>
  <c r="E568" i="5"/>
  <c r="F568" i="5"/>
  <c r="G568" i="5"/>
  <c r="H568" i="5"/>
  <c r="I568" i="5"/>
  <c r="J568" i="5"/>
  <c r="K568" i="5"/>
  <c r="L568" i="5"/>
  <c r="M568" i="5"/>
  <c r="N568" i="5"/>
  <c r="O568" i="5"/>
  <c r="D569" i="5"/>
  <c r="E569" i="5"/>
  <c r="F569" i="5"/>
  <c r="G569" i="5"/>
  <c r="H569" i="5"/>
  <c r="I569" i="5"/>
  <c r="J569" i="5"/>
  <c r="K569" i="5"/>
  <c r="L569" i="5"/>
  <c r="M569" i="5"/>
  <c r="N569" i="5"/>
  <c r="O569" i="5"/>
  <c r="D570" i="5"/>
  <c r="E570" i="5"/>
  <c r="F570" i="5"/>
  <c r="G570" i="5"/>
  <c r="H570" i="5"/>
  <c r="I570" i="5"/>
  <c r="J570" i="5"/>
  <c r="K570" i="5"/>
  <c r="L570" i="5"/>
  <c r="M570" i="5"/>
  <c r="N570" i="5"/>
  <c r="O570" i="5"/>
  <c r="D571" i="5"/>
  <c r="E571" i="5"/>
  <c r="F571" i="5"/>
  <c r="G571" i="5"/>
  <c r="H571" i="5"/>
  <c r="I571" i="5"/>
  <c r="J571" i="5"/>
  <c r="K571" i="5"/>
  <c r="L571" i="5"/>
  <c r="M571" i="5"/>
  <c r="N571" i="5"/>
  <c r="O571" i="5"/>
  <c r="D572" i="5"/>
  <c r="E572" i="5"/>
  <c r="F572" i="5"/>
  <c r="G572" i="5"/>
  <c r="H572" i="5"/>
  <c r="I572" i="5"/>
  <c r="J572" i="5"/>
  <c r="K572" i="5"/>
  <c r="L572" i="5"/>
  <c r="M572" i="5"/>
  <c r="N572" i="5"/>
  <c r="O572" i="5"/>
  <c r="D573" i="5"/>
  <c r="E573" i="5"/>
  <c r="F573" i="5"/>
  <c r="G573" i="5"/>
  <c r="H573" i="5"/>
  <c r="I573" i="5"/>
  <c r="J573" i="5"/>
  <c r="K573" i="5"/>
  <c r="L573" i="5"/>
  <c r="M573" i="5"/>
  <c r="N573" i="5"/>
  <c r="O573" i="5"/>
  <c r="D574" i="5"/>
  <c r="E574" i="5"/>
  <c r="F574" i="5"/>
  <c r="G574" i="5"/>
  <c r="H574" i="5"/>
  <c r="I574" i="5"/>
  <c r="J574" i="5"/>
  <c r="K574" i="5"/>
  <c r="L574" i="5"/>
  <c r="M574" i="5"/>
  <c r="N574" i="5"/>
  <c r="O574" i="5"/>
  <c r="D575" i="5"/>
  <c r="E575" i="5"/>
  <c r="F575" i="5"/>
  <c r="G575" i="5"/>
  <c r="H575" i="5"/>
  <c r="I575" i="5"/>
  <c r="J575" i="5"/>
  <c r="K575" i="5"/>
  <c r="L575" i="5"/>
  <c r="M575" i="5"/>
  <c r="N575" i="5"/>
  <c r="O575" i="5"/>
  <c r="D576" i="5"/>
  <c r="E576" i="5"/>
  <c r="F576" i="5"/>
  <c r="G576" i="5"/>
  <c r="H576" i="5"/>
  <c r="I576" i="5"/>
  <c r="J576" i="5"/>
  <c r="K576" i="5"/>
  <c r="L576" i="5"/>
  <c r="M576" i="5"/>
  <c r="N576" i="5"/>
  <c r="O576" i="5"/>
  <c r="D577" i="5"/>
  <c r="E577" i="5"/>
  <c r="F577" i="5"/>
  <c r="G577" i="5"/>
  <c r="H577" i="5"/>
  <c r="I577" i="5"/>
  <c r="J577" i="5"/>
  <c r="K577" i="5"/>
  <c r="L577" i="5"/>
  <c r="M577" i="5"/>
  <c r="N577" i="5"/>
  <c r="O577" i="5"/>
  <c r="D578" i="5"/>
  <c r="E578" i="5"/>
  <c r="F578" i="5"/>
  <c r="G578" i="5"/>
  <c r="H578" i="5"/>
  <c r="I578" i="5"/>
  <c r="J578" i="5"/>
  <c r="K578" i="5"/>
  <c r="L578" i="5"/>
  <c r="M578" i="5"/>
  <c r="N578" i="5"/>
  <c r="O578" i="5"/>
  <c r="D579" i="5"/>
  <c r="E579" i="5"/>
  <c r="F579" i="5"/>
  <c r="G579" i="5"/>
  <c r="H579" i="5"/>
  <c r="I579" i="5"/>
  <c r="J579" i="5"/>
  <c r="K579" i="5"/>
  <c r="L579" i="5"/>
  <c r="M579" i="5"/>
  <c r="N579" i="5"/>
  <c r="O579" i="5"/>
  <c r="D580" i="5"/>
  <c r="E580" i="5"/>
  <c r="F580" i="5"/>
  <c r="G580" i="5"/>
  <c r="H580" i="5"/>
  <c r="I580" i="5"/>
  <c r="J580" i="5"/>
  <c r="K580" i="5"/>
  <c r="L580" i="5"/>
  <c r="M580" i="5"/>
  <c r="N580" i="5"/>
  <c r="O580" i="5"/>
  <c r="D581" i="5"/>
  <c r="E581" i="5"/>
  <c r="F581" i="5"/>
  <c r="G581" i="5"/>
  <c r="H581" i="5"/>
  <c r="I581" i="5"/>
  <c r="J581" i="5"/>
  <c r="K581" i="5"/>
  <c r="L581" i="5"/>
  <c r="M581" i="5"/>
  <c r="N581" i="5"/>
  <c r="O581" i="5"/>
  <c r="D582" i="5"/>
  <c r="E582" i="5"/>
  <c r="F582" i="5"/>
  <c r="G582" i="5"/>
  <c r="H582" i="5"/>
  <c r="I582" i="5"/>
  <c r="J582" i="5"/>
  <c r="K582" i="5"/>
  <c r="L582" i="5"/>
  <c r="M582" i="5"/>
  <c r="N582" i="5"/>
  <c r="O582" i="5"/>
  <c r="D583" i="5"/>
  <c r="E583" i="5"/>
  <c r="F583" i="5"/>
  <c r="G583" i="5"/>
  <c r="H583" i="5"/>
  <c r="I583" i="5"/>
  <c r="J583" i="5"/>
  <c r="K583" i="5"/>
  <c r="L583" i="5"/>
  <c r="M583" i="5"/>
  <c r="N583" i="5"/>
  <c r="O583" i="5"/>
  <c r="D584" i="5"/>
  <c r="E584" i="5"/>
  <c r="F584" i="5"/>
  <c r="G584" i="5"/>
  <c r="H584" i="5"/>
  <c r="I584" i="5"/>
  <c r="J584" i="5"/>
  <c r="K584" i="5"/>
  <c r="L584" i="5"/>
  <c r="M584" i="5"/>
  <c r="N584" i="5"/>
  <c r="O584" i="5"/>
  <c r="D585" i="5"/>
  <c r="E585" i="5"/>
  <c r="F585" i="5"/>
  <c r="G585" i="5"/>
  <c r="H585" i="5"/>
  <c r="I585" i="5"/>
  <c r="J585" i="5"/>
  <c r="K585" i="5"/>
  <c r="L585" i="5"/>
  <c r="M585" i="5"/>
  <c r="N585" i="5"/>
  <c r="O585" i="5"/>
  <c r="D586" i="5"/>
  <c r="E586" i="5"/>
  <c r="F586" i="5"/>
  <c r="G586" i="5"/>
  <c r="H586" i="5"/>
  <c r="I586" i="5"/>
  <c r="J586" i="5"/>
  <c r="K586" i="5"/>
  <c r="L586" i="5"/>
  <c r="M586" i="5"/>
  <c r="N586" i="5"/>
  <c r="O586" i="5"/>
  <c r="D587" i="5"/>
  <c r="E587" i="5"/>
  <c r="F587" i="5"/>
  <c r="G587" i="5"/>
  <c r="H587" i="5"/>
  <c r="I587" i="5"/>
  <c r="J587" i="5"/>
  <c r="K587" i="5"/>
  <c r="L587" i="5"/>
  <c r="M587" i="5"/>
  <c r="N587" i="5"/>
  <c r="O587" i="5"/>
  <c r="D588" i="5"/>
  <c r="E588" i="5"/>
  <c r="F588" i="5"/>
  <c r="G588" i="5"/>
  <c r="H588" i="5"/>
  <c r="I588" i="5"/>
  <c r="J588" i="5"/>
  <c r="K588" i="5"/>
  <c r="L588" i="5"/>
  <c r="M588" i="5"/>
  <c r="N588" i="5"/>
  <c r="O588" i="5"/>
  <c r="D589" i="5"/>
  <c r="E589" i="5"/>
  <c r="F589" i="5"/>
  <c r="G589" i="5"/>
  <c r="H589" i="5"/>
  <c r="I589" i="5"/>
  <c r="J589" i="5"/>
  <c r="K589" i="5"/>
  <c r="L589" i="5"/>
  <c r="M589" i="5"/>
  <c r="N589" i="5"/>
  <c r="O589" i="5"/>
  <c r="D590" i="5"/>
  <c r="E590" i="5"/>
  <c r="F590" i="5"/>
  <c r="G590" i="5"/>
  <c r="H590" i="5"/>
  <c r="I590" i="5"/>
  <c r="J590" i="5"/>
  <c r="K590" i="5"/>
  <c r="L590" i="5"/>
  <c r="M590" i="5"/>
  <c r="N590" i="5"/>
  <c r="O590" i="5"/>
  <c r="D591" i="5"/>
  <c r="E591" i="5"/>
  <c r="F591" i="5"/>
  <c r="G591" i="5"/>
  <c r="H591" i="5"/>
  <c r="I591" i="5"/>
  <c r="J591" i="5"/>
  <c r="K591" i="5"/>
  <c r="L591" i="5"/>
  <c r="M591" i="5"/>
  <c r="N591" i="5"/>
  <c r="O591" i="5"/>
  <c r="D592" i="5"/>
  <c r="E592" i="5"/>
  <c r="F592" i="5"/>
  <c r="G592" i="5"/>
  <c r="H592" i="5"/>
  <c r="I592" i="5"/>
  <c r="J592" i="5"/>
  <c r="K592" i="5"/>
  <c r="L592" i="5"/>
  <c r="M592" i="5"/>
  <c r="N592" i="5"/>
  <c r="O592" i="5"/>
  <c r="D593" i="5"/>
  <c r="E593" i="5"/>
  <c r="F593" i="5"/>
  <c r="G593" i="5"/>
  <c r="H593" i="5"/>
  <c r="I593" i="5"/>
  <c r="J593" i="5"/>
  <c r="K593" i="5"/>
  <c r="L593" i="5"/>
  <c r="M593" i="5"/>
  <c r="N593" i="5"/>
  <c r="O593" i="5"/>
  <c r="D594" i="5"/>
  <c r="E594" i="5"/>
  <c r="F594" i="5"/>
  <c r="G594" i="5"/>
  <c r="H594" i="5"/>
  <c r="I594" i="5"/>
  <c r="J594" i="5"/>
  <c r="K594" i="5"/>
  <c r="L594" i="5"/>
  <c r="M594" i="5"/>
  <c r="N594" i="5"/>
  <c r="O594" i="5"/>
  <c r="D595" i="5"/>
  <c r="E595" i="5"/>
  <c r="F595" i="5"/>
  <c r="G595" i="5"/>
  <c r="H595" i="5"/>
  <c r="I595" i="5"/>
  <c r="J595" i="5"/>
  <c r="K595" i="5"/>
  <c r="L595" i="5"/>
  <c r="M595" i="5"/>
  <c r="N595" i="5"/>
  <c r="O595" i="5"/>
  <c r="D596" i="5"/>
  <c r="E596" i="5"/>
  <c r="F596" i="5"/>
  <c r="G596" i="5"/>
  <c r="H596" i="5"/>
  <c r="I596" i="5"/>
  <c r="J596" i="5"/>
  <c r="K596" i="5"/>
  <c r="L596" i="5"/>
  <c r="M596" i="5"/>
  <c r="N596" i="5"/>
  <c r="O596" i="5"/>
  <c r="D597" i="5"/>
  <c r="E597" i="5"/>
  <c r="F597" i="5"/>
  <c r="G597" i="5"/>
  <c r="H597" i="5"/>
  <c r="I597" i="5"/>
  <c r="J597" i="5"/>
  <c r="K597" i="5"/>
  <c r="L597" i="5"/>
  <c r="M597" i="5"/>
  <c r="N597" i="5"/>
  <c r="O597" i="5"/>
  <c r="D598" i="5"/>
  <c r="E598" i="5"/>
  <c r="F598" i="5"/>
  <c r="G598" i="5"/>
  <c r="H598" i="5"/>
  <c r="I598" i="5"/>
  <c r="J598" i="5"/>
  <c r="K598" i="5"/>
  <c r="L598" i="5"/>
  <c r="M598" i="5"/>
  <c r="N598" i="5"/>
  <c r="O598" i="5"/>
  <c r="D599" i="5"/>
  <c r="E599" i="5"/>
  <c r="F599" i="5"/>
  <c r="G599" i="5"/>
  <c r="H599" i="5"/>
  <c r="I599" i="5"/>
  <c r="J599" i="5"/>
  <c r="K599" i="5"/>
  <c r="L599" i="5"/>
  <c r="M599" i="5"/>
  <c r="N599" i="5"/>
  <c r="O599" i="5"/>
  <c r="D600" i="5"/>
  <c r="E600" i="5"/>
  <c r="F600" i="5"/>
  <c r="G600" i="5"/>
  <c r="H600" i="5"/>
  <c r="I600" i="5"/>
  <c r="J600" i="5"/>
  <c r="K600" i="5"/>
  <c r="L600" i="5"/>
  <c r="M600" i="5"/>
  <c r="N600" i="5"/>
  <c r="O600" i="5"/>
  <c r="D601" i="5"/>
  <c r="E601" i="5"/>
  <c r="F601" i="5"/>
  <c r="G601" i="5"/>
  <c r="H601" i="5"/>
  <c r="I601" i="5"/>
  <c r="J601" i="5"/>
  <c r="K601" i="5"/>
  <c r="L601" i="5"/>
  <c r="M601" i="5"/>
  <c r="N601" i="5"/>
  <c r="O601" i="5"/>
  <c r="D602" i="5"/>
  <c r="E602" i="5"/>
  <c r="F602" i="5"/>
  <c r="G602" i="5"/>
  <c r="H602" i="5"/>
  <c r="I602" i="5"/>
  <c r="J602" i="5"/>
  <c r="K602" i="5"/>
  <c r="L602" i="5"/>
  <c r="M602" i="5"/>
  <c r="N602" i="5"/>
  <c r="O602" i="5"/>
  <c r="D603" i="5"/>
  <c r="E603" i="5"/>
  <c r="F603" i="5"/>
  <c r="G603" i="5"/>
  <c r="H603" i="5"/>
  <c r="I603" i="5"/>
  <c r="J603" i="5"/>
  <c r="K603" i="5"/>
  <c r="L603" i="5"/>
  <c r="M603" i="5"/>
  <c r="N603" i="5"/>
  <c r="O603" i="5"/>
  <c r="D604" i="5"/>
  <c r="E604" i="5"/>
  <c r="F604" i="5"/>
  <c r="G604" i="5"/>
  <c r="H604" i="5"/>
  <c r="I604" i="5"/>
  <c r="J604" i="5"/>
  <c r="K604" i="5"/>
  <c r="L604" i="5"/>
  <c r="M604" i="5"/>
  <c r="N604" i="5"/>
  <c r="O604" i="5"/>
  <c r="D605" i="5"/>
  <c r="E605" i="5"/>
  <c r="F605" i="5"/>
  <c r="G605" i="5"/>
  <c r="H605" i="5"/>
  <c r="I605" i="5"/>
  <c r="J605" i="5"/>
  <c r="K605" i="5"/>
  <c r="L605" i="5"/>
  <c r="M605" i="5"/>
  <c r="N605" i="5"/>
  <c r="O605" i="5"/>
  <c r="D606" i="5"/>
  <c r="E606" i="5"/>
  <c r="F606" i="5"/>
  <c r="G606" i="5"/>
  <c r="H606" i="5"/>
  <c r="I606" i="5"/>
  <c r="J606" i="5"/>
  <c r="K606" i="5"/>
  <c r="L606" i="5"/>
  <c r="M606" i="5"/>
  <c r="N606" i="5"/>
  <c r="O606" i="5"/>
  <c r="D607" i="5"/>
  <c r="E607" i="5"/>
  <c r="F607" i="5"/>
  <c r="G607" i="5"/>
  <c r="H607" i="5"/>
  <c r="I607" i="5"/>
  <c r="J607" i="5"/>
  <c r="K607" i="5"/>
  <c r="L607" i="5"/>
  <c r="M607" i="5"/>
  <c r="N607" i="5"/>
  <c r="O607" i="5"/>
  <c r="D608" i="5"/>
  <c r="E608" i="5"/>
  <c r="F608" i="5"/>
  <c r="G608" i="5"/>
  <c r="H608" i="5"/>
  <c r="I608" i="5"/>
  <c r="J608" i="5"/>
  <c r="K608" i="5"/>
  <c r="L608" i="5"/>
  <c r="M608" i="5"/>
  <c r="N608" i="5"/>
  <c r="O608" i="5"/>
  <c r="D609" i="5"/>
  <c r="E609" i="5"/>
  <c r="F609" i="5"/>
  <c r="G609" i="5"/>
  <c r="H609" i="5"/>
  <c r="I609" i="5"/>
  <c r="J609" i="5"/>
  <c r="K609" i="5"/>
  <c r="L609" i="5"/>
  <c r="M609" i="5"/>
  <c r="N609" i="5"/>
  <c r="O609" i="5"/>
  <c r="D610" i="5"/>
  <c r="E610" i="5"/>
  <c r="F610" i="5"/>
  <c r="G610" i="5"/>
  <c r="H610" i="5"/>
  <c r="I610" i="5"/>
  <c r="J610" i="5"/>
  <c r="K610" i="5"/>
  <c r="L610" i="5"/>
  <c r="M610" i="5"/>
  <c r="N610" i="5"/>
  <c r="O610" i="5"/>
  <c r="D611" i="5"/>
  <c r="E611" i="5"/>
  <c r="F611" i="5"/>
  <c r="G611" i="5"/>
  <c r="H611" i="5"/>
  <c r="I611" i="5"/>
  <c r="J611" i="5"/>
  <c r="K611" i="5"/>
  <c r="L611" i="5"/>
  <c r="M611" i="5"/>
  <c r="N611" i="5"/>
  <c r="O611" i="5"/>
  <c r="D612" i="5"/>
  <c r="E612" i="5"/>
  <c r="F612" i="5"/>
  <c r="G612" i="5"/>
  <c r="H612" i="5"/>
  <c r="I612" i="5"/>
  <c r="J612" i="5"/>
  <c r="K612" i="5"/>
  <c r="L612" i="5"/>
  <c r="M612" i="5"/>
  <c r="N612" i="5"/>
  <c r="O612" i="5"/>
  <c r="D613" i="5"/>
  <c r="E613" i="5"/>
  <c r="F613" i="5"/>
  <c r="G613" i="5"/>
  <c r="H613" i="5"/>
  <c r="I613" i="5"/>
  <c r="J613" i="5"/>
  <c r="K613" i="5"/>
  <c r="L613" i="5"/>
  <c r="M613" i="5"/>
  <c r="N613" i="5"/>
  <c r="O613" i="5"/>
  <c r="D614" i="5"/>
  <c r="E614" i="5"/>
  <c r="F614" i="5"/>
  <c r="G614" i="5"/>
  <c r="H614" i="5"/>
  <c r="I614" i="5"/>
  <c r="J614" i="5"/>
  <c r="K614" i="5"/>
  <c r="L614" i="5"/>
  <c r="M614" i="5"/>
  <c r="N614" i="5"/>
  <c r="O614" i="5"/>
  <c r="D615" i="5"/>
  <c r="E615" i="5"/>
  <c r="F615" i="5"/>
  <c r="G615" i="5"/>
  <c r="H615" i="5"/>
  <c r="I615" i="5"/>
  <c r="J615" i="5"/>
  <c r="K615" i="5"/>
  <c r="L615" i="5"/>
  <c r="M615" i="5"/>
  <c r="N615" i="5"/>
  <c r="O615" i="5"/>
  <c r="D616" i="5"/>
  <c r="E616" i="5"/>
  <c r="F616" i="5"/>
  <c r="G616" i="5"/>
  <c r="H616" i="5"/>
  <c r="I616" i="5"/>
  <c r="J616" i="5"/>
  <c r="K616" i="5"/>
  <c r="L616" i="5"/>
  <c r="M616" i="5"/>
  <c r="N616" i="5"/>
  <c r="O616" i="5"/>
  <c r="D617" i="5"/>
  <c r="E617" i="5"/>
  <c r="F617" i="5"/>
  <c r="G617" i="5"/>
  <c r="H617" i="5"/>
  <c r="I617" i="5"/>
  <c r="J617" i="5"/>
  <c r="K617" i="5"/>
  <c r="L617" i="5"/>
  <c r="M617" i="5"/>
  <c r="N617" i="5"/>
  <c r="O617" i="5"/>
  <c r="D618" i="5"/>
  <c r="E618" i="5"/>
  <c r="F618" i="5"/>
  <c r="G618" i="5"/>
  <c r="H618" i="5"/>
  <c r="I618" i="5"/>
  <c r="J618" i="5"/>
  <c r="K618" i="5"/>
  <c r="L618" i="5"/>
  <c r="M618" i="5"/>
  <c r="N618" i="5"/>
  <c r="O618" i="5"/>
  <c r="D619" i="5"/>
  <c r="E619" i="5"/>
  <c r="F619" i="5"/>
  <c r="G619" i="5"/>
  <c r="H619" i="5"/>
  <c r="I619" i="5"/>
  <c r="J619" i="5"/>
  <c r="K619" i="5"/>
  <c r="L619" i="5"/>
  <c r="M619" i="5"/>
  <c r="N619" i="5"/>
  <c r="O619" i="5"/>
  <c r="D620" i="5"/>
  <c r="E620" i="5"/>
  <c r="F620" i="5"/>
  <c r="G620" i="5"/>
  <c r="H620" i="5"/>
  <c r="I620" i="5"/>
  <c r="J620" i="5"/>
  <c r="K620" i="5"/>
  <c r="L620" i="5"/>
  <c r="M620" i="5"/>
  <c r="N620" i="5"/>
  <c r="O620" i="5"/>
  <c r="D621" i="5"/>
  <c r="E621" i="5"/>
  <c r="F621" i="5"/>
  <c r="G621" i="5"/>
  <c r="H621" i="5"/>
  <c r="I621" i="5"/>
  <c r="J621" i="5"/>
  <c r="K621" i="5"/>
  <c r="L621" i="5"/>
  <c r="M621" i="5"/>
  <c r="N621" i="5"/>
  <c r="O621" i="5"/>
  <c r="D622" i="5"/>
  <c r="E622" i="5"/>
  <c r="F622" i="5"/>
  <c r="G622" i="5"/>
  <c r="H622" i="5"/>
  <c r="I622" i="5"/>
  <c r="J622" i="5"/>
  <c r="K622" i="5"/>
  <c r="L622" i="5"/>
  <c r="M622" i="5"/>
  <c r="N622" i="5"/>
  <c r="O622" i="5"/>
  <c r="D623" i="5"/>
  <c r="E623" i="5"/>
  <c r="F623" i="5"/>
  <c r="G623" i="5"/>
  <c r="H623" i="5"/>
  <c r="I623" i="5"/>
  <c r="J623" i="5"/>
  <c r="K623" i="5"/>
  <c r="L623" i="5"/>
  <c r="M623" i="5"/>
  <c r="N623" i="5"/>
  <c r="O623" i="5"/>
  <c r="D624" i="5"/>
  <c r="E624" i="5"/>
  <c r="F624" i="5"/>
  <c r="G624" i="5"/>
  <c r="H624" i="5"/>
  <c r="I624" i="5"/>
  <c r="J624" i="5"/>
  <c r="K624" i="5"/>
  <c r="L624" i="5"/>
  <c r="M624" i="5"/>
  <c r="N624" i="5"/>
  <c r="O624" i="5"/>
  <c r="D625" i="5"/>
  <c r="E625" i="5"/>
  <c r="F625" i="5"/>
  <c r="G625" i="5"/>
  <c r="H625" i="5"/>
  <c r="I625" i="5"/>
  <c r="J625" i="5"/>
  <c r="K625" i="5"/>
  <c r="L625" i="5"/>
  <c r="M625" i="5"/>
  <c r="N625" i="5"/>
  <c r="O625" i="5"/>
  <c r="D626" i="5"/>
  <c r="E626" i="5"/>
  <c r="F626" i="5"/>
  <c r="G626" i="5"/>
  <c r="H626" i="5"/>
  <c r="I626" i="5"/>
  <c r="J626" i="5"/>
  <c r="K626" i="5"/>
  <c r="L626" i="5"/>
  <c r="M626" i="5"/>
  <c r="N626" i="5"/>
  <c r="O626" i="5"/>
  <c r="D627" i="5"/>
  <c r="E627" i="5"/>
  <c r="F627" i="5"/>
  <c r="G627" i="5"/>
  <c r="H627" i="5"/>
  <c r="I627" i="5"/>
  <c r="J627" i="5"/>
  <c r="K627" i="5"/>
  <c r="L627" i="5"/>
  <c r="M627" i="5"/>
  <c r="N627" i="5"/>
  <c r="O627" i="5"/>
  <c r="D628" i="5"/>
  <c r="E628" i="5"/>
  <c r="F628" i="5"/>
  <c r="G628" i="5"/>
  <c r="H628" i="5"/>
  <c r="I628" i="5"/>
  <c r="J628" i="5"/>
  <c r="K628" i="5"/>
  <c r="L628" i="5"/>
  <c r="M628" i="5"/>
  <c r="N628" i="5"/>
  <c r="O628" i="5"/>
  <c r="D629" i="5"/>
  <c r="E629" i="5"/>
  <c r="F629" i="5"/>
  <c r="G629" i="5"/>
  <c r="H629" i="5"/>
  <c r="I629" i="5"/>
  <c r="J629" i="5"/>
  <c r="K629" i="5"/>
  <c r="L629" i="5"/>
  <c r="M629" i="5"/>
  <c r="N629" i="5"/>
  <c r="O629" i="5"/>
  <c r="D630" i="5"/>
  <c r="E630" i="5"/>
  <c r="F630" i="5"/>
  <c r="G630" i="5"/>
  <c r="H630" i="5"/>
  <c r="I630" i="5"/>
  <c r="J630" i="5"/>
  <c r="K630" i="5"/>
  <c r="L630" i="5"/>
  <c r="M630" i="5"/>
  <c r="N630" i="5"/>
  <c r="O630" i="5"/>
  <c r="D631" i="5"/>
  <c r="E631" i="5"/>
  <c r="F631" i="5"/>
  <c r="G631" i="5"/>
  <c r="H631" i="5"/>
  <c r="I631" i="5"/>
  <c r="J631" i="5"/>
  <c r="K631" i="5"/>
  <c r="L631" i="5"/>
  <c r="M631" i="5"/>
  <c r="N631" i="5"/>
  <c r="O631" i="5"/>
  <c r="D632" i="5"/>
  <c r="E632" i="5"/>
  <c r="F632" i="5"/>
  <c r="G632" i="5"/>
  <c r="H632" i="5"/>
  <c r="I632" i="5"/>
  <c r="J632" i="5"/>
  <c r="K632" i="5"/>
  <c r="L632" i="5"/>
  <c r="M632" i="5"/>
  <c r="N632" i="5"/>
  <c r="O632" i="5"/>
  <c r="D633" i="5"/>
  <c r="E633" i="5"/>
  <c r="F633" i="5"/>
  <c r="G633" i="5"/>
  <c r="H633" i="5"/>
  <c r="I633" i="5"/>
  <c r="J633" i="5"/>
  <c r="K633" i="5"/>
  <c r="L633" i="5"/>
  <c r="M633" i="5"/>
  <c r="N633" i="5"/>
  <c r="O633" i="5"/>
  <c r="D634" i="5"/>
  <c r="E634" i="5"/>
  <c r="F634" i="5"/>
  <c r="G634" i="5"/>
  <c r="H634" i="5"/>
  <c r="I634" i="5"/>
  <c r="J634" i="5"/>
  <c r="K634" i="5"/>
  <c r="L634" i="5"/>
  <c r="M634" i="5"/>
  <c r="N634" i="5"/>
  <c r="O634" i="5"/>
  <c r="D635" i="5"/>
  <c r="E635" i="5"/>
  <c r="F635" i="5"/>
  <c r="G635" i="5"/>
  <c r="H635" i="5"/>
  <c r="I635" i="5"/>
  <c r="J635" i="5"/>
  <c r="K635" i="5"/>
  <c r="L635" i="5"/>
  <c r="M635" i="5"/>
  <c r="N635" i="5"/>
  <c r="O635" i="5"/>
  <c r="D636" i="5"/>
  <c r="E636" i="5"/>
  <c r="F636" i="5"/>
  <c r="G636" i="5"/>
  <c r="H636" i="5"/>
  <c r="I636" i="5"/>
  <c r="J636" i="5"/>
  <c r="K636" i="5"/>
  <c r="L636" i="5"/>
  <c r="M636" i="5"/>
  <c r="N636" i="5"/>
  <c r="O636" i="5"/>
  <c r="D637" i="5"/>
  <c r="E637" i="5"/>
  <c r="F637" i="5"/>
  <c r="G637" i="5"/>
  <c r="H637" i="5"/>
  <c r="I637" i="5"/>
  <c r="J637" i="5"/>
  <c r="K637" i="5"/>
  <c r="L637" i="5"/>
  <c r="M637" i="5"/>
  <c r="N637" i="5"/>
  <c r="O637" i="5"/>
  <c r="D638" i="5"/>
  <c r="E638" i="5"/>
  <c r="F638" i="5"/>
  <c r="G638" i="5"/>
  <c r="H638" i="5"/>
  <c r="I638" i="5"/>
  <c r="J638" i="5"/>
  <c r="K638" i="5"/>
  <c r="L638" i="5"/>
  <c r="M638" i="5"/>
  <c r="N638" i="5"/>
  <c r="O638" i="5"/>
  <c r="D639" i="5"/>
  <c r="E639" i="5"/>
  <c r="F639" i="5"/>
  <c r="G639" i="5"/>
  <c r="H639" i="5"/>
  <c r="I639" i="5"/>
  <c r="J639" i="5"/>
  <c r="K639" i="5"/>
  <c r="L639" i="5"/>
  <c r="M639" i="5"/>
  <c r="N639" i="5"/>
  <c r="O639" i="5"/>
  <c r="D640" i="5"/>
  <c r="E640" i="5"/>
  <c r="F640" i="5"/>
  <c r="G640" i="5"/>
  <c r="H640" i="5"/>
  <c r="I640" i="5"/>
  <c r="J640" i="5"/>
  <c r="K640" i="5"/>
  <c r="L640" i="5"/>
  <c r="M640" i="5"/>
  <c r="N640" i="5"/>
  <c r="O640" i="5"/>
  <c r="D641" i="5"/>
  <c r="E641" i="5"/>
  <c r="F641" i="5"/>
  <c r="G641" i="5"/>
  <c r="H641" i="5"/>
  <c r="I641" i="5"/>
  <c r="J641" i="5"/>
  <c r="K641" i="5"/>
  <c r="L641" i="5"/>
  <c r="M641" i="5"/>
  <c r="N641" i="5"/>
  <c r="O641" i="5"/>
  <c r="D642" i="5"/>
  <c r="E642" i="5"/>
  <c r="F642" i="5"/>
  <c r="G642" i="5"/>
  <c r="H642" i="5"/>
  <c r="I642" i="5"/>
  <c r="J642" i="5"/>
  <c r="K642" i="5"/>
  <c r="L642" i="5"/>
  <c r="M642" i="5"/>
  <c r="N642" i="5"/>
  <c r="O642" i="5"/>
  <c r="D643" i="5"/>
  <c r="E643" i="5"/>
  <c r="F643" i="5"/>
  <c r="G643" i="5"/>
  <c r="H643" i="5"/>
  <c r="I643" i="5"/>
  <c r="J643" i="5"/>
  <c r="K643" i="5"/>
  <c r="L643" i="5"/>
  <c r="M643" i="5"/>
  <c r="N643" i="5"/>
  <c r="O643" i="5"/>
  <c r="D644" i="5"/>
  <c r="E644" i="5"/>
  <c r="F644" i="5"/>
  <c r="G644" i="5"/>
  <c r="H644" i="5"/>
  <c r="I644" i="5"/>
  <c r="J644" i="5"/>
  <c r="K644" i="5"/>
  <c r="L644" i="5"/>
  <c r="M644" i="5"/>
  <c r="N644" i="5"/>
  <c r="O644" i="5"/>
  <c r="D645" i="5"/>
  <c r="E645" i="5"/>
  <c r="F645" i="5"/>
  <c r="G645" i="5"/>
  <c r="H645" i="5"/>
  <c r="I645" i="5"/>
  <c r="J645" i="5"/>
  <c r="K645" i="5"/>
  <c r="L645" i="5"/>
  <c r="M645" i="5"/>
  <c r="N645" i="5"/>
  <c r="O645" i="5"/>
  <c r="D646" i="5"/>
  <c r="E646" i="5"/>
  <c r="F646" i="5"/>
  <c r="G646" i="5"/>
  <c r="H646" i="5"/>
  <c r="I646" i="5"/>
  <c r="J646" i="5"/>
  <c r="K646" i="5"/>
  <c r="L646" i="5"/>
  <c r="M646" i="5"/>
  <c r="N646" i="5"/>
  <c r="O646" i="5"/>
  <c r="D647" i="5"/>
  <c r="E647" i="5"/>
  <c r="F647" i="5"/>
  <c r="G647" i="5"/>
  <c r="H647" i="5"/>
  <c r="I647" i="5"/>
  <c r="J647" i="5"/>
  <c r="K647" i="5"/>
  <c r="L647" i="5"/>
  <c r="M647" i="5"/>
  <c r="N647" i="5"/>
  <c r="O647" i="5"/>
  <c r="D648" i="5"/>
  <c r="E648" i="5"/>
  <c r="F648" i="5"/>
  <c r="G648" i="5"/>
  <c r="H648" i="5"/>
  <c r="I648" i="5"/>
  <c r="J648" i="5"/>
  <c r="K648" i="5"/>
  <c r="L648" i="5"/>
  <c r="M648" i="5"/>
  <c r="N648" i="5"/>
  <c r="O648" i="5"/>
  <c r="D649" i="5"/>
  <c r="E649" i="5"/>
  <c r="F649" i="5"/>
  <c r="G649" i="5"/>
  <c r="H649" i="5"/>
  <c r="I649" i="5"/>
  <c r="J649" i="5"/>
  <c r="K649" i="5"/>
  <c r="L649" i="5"/>
  <c r="M649" i="5"/>
  <c r="N649" i="5"/>
  <c r="O649" i="5"/>
  <c r="D650" i="5"/>
  <c r="E650" i="5"/>
  <c r="F650" i="5"/>
  <c r="G650" i="5"/>
  <c r="H650" i="5"/>
  <c r="I650" i="5"/>
  <c r="J650" i="5"/>
  <c r="K650" i="5"/>
  <c r="L650" i="5"/>
  <c r="M650" i="5"/>
  <c r="N650" i="5"/>
  <c r="O650" i="5"/>
  <c r="D651" i="5"/>
  <c r="E651" i="5"/>
  <c r="F651" i="5"/>
  <c r="G651" i="5"/>
  <c r="H651" i="5"/>
  <c r="I651" i="5"/>
  <c r="J651" i="5"/>
  <c r="K651" i="5"/>
  <c r="L651" i="5"/>
  <c r="M651" i="5"/>
  <c r="N651" i="5"/>
  <c r="O651" i="5"/>
  <c r="D652" i="5"/>
  <c r="E652" i="5"/>
  <c r="F652" i="5"/>
  <c r="G652" i="5"/>
  <c r="H652" i="5"/>
  <c r="I652" i="5"/>
  <c r="J652" i="5"/>
  <c r="K652" i="5"/>
  <c r="L652" i="5"/>
  <c r="M652" i="5"/>
  <c r="N652" i="5"/>
  <c r="O652" i="5"/>
  <c r="D653" i="5"/>
  <c r="E653" i="5"/>
  <c r="F653" i="5"/>
  <c r="G653" i="5"/>
  <c r="H653" i="5"/>
  <c r="I653" i="5"/>
  <c r="J653" i="5"/>
  <c r="K653" i="5"/>
  <c r="L653" i="5"/>
  <c r="M653" i="5"/>
  <c r="N653" i="5"/>
  <c r="O653" i="5"/>
  <c r="D654" i="5"/>
  <c r="E654" i="5"/>
  <c r="F654" i="5"/>
  <c r="G654" i="5"/>
  <c r="H654" i="5"/>
  <c r="I654" i="5"/>
  <c r="J654" i="5"/>
  <c r="K654" i="5"/>
  <c r="L654" i="5"/>
  <c r="M654" i="5"/>
  <c r="N654" i="5"/>
  <c r="O654" i="5"/>
  <c r="D655" i="5"/>
  <c r="E655" i="5"/>
  <c r="F655" i="5"/>
  <c r="G655" i="5"/>
  <c r="H655" i="5"/>
  <c r="I655" i="5"/>
  <c r="J655" i="5"/>
  <c r="K655" i="5"/>
  <c r="L655" i="5"/>
  <c r="M655" i="5"/>
  <c r="N655" i="5"/>
  <c r="O655" i="5"/>
  <c r="D656" i="5"/>
  <c r="E656" i="5"/>
  <c r="F656" i="5"/>
  <c r="G656" i="5"/>
  <c r="H656" i="5"/>
  <c r="I656" i="5"/>
  <c r="J656" i="5"/>
  <c r="K656" i="5"/>
  <c r="L656" i="5"/>
  <c r="M656" i="5"/>
  <c r="N656" i="5"/>
  <c r="O656" i="5"/>
  <c r="D657" i="5"/>
  <c r="E657" i="5"/>
  <c r="F657" i="5"/>
  <c r="G657" i="5"/>
  <c r="H657" i="5"/>
  <c r="I657" i="5"/>
  <c r="J657" i="5"/>
  <c r="K657" i="5"/>
  <c r="L657" i="5"/>
  <c r="M657" i="5"/>
  <c r="N657" i="5"/>
  <c r="O657" i="5"/>
  <c r="D658" i="5"/>
  <c r="E658" i="5"/>
  <c r="F658" i="5"/>
  <c r="G658" i="5"/>
  <c r="H658" i="5"/>
  <c r="I658" i="5"/>
  <c r="J658" i="5"/>
  <c r="K658" i="5"/>
  <c r="L658" i="5"/>
  <c r="M658" i="5"/>
  <c r="N658" i="5"/>
  <c r="O658" i="5"/>
  <c r="D659" i="5"/>
  <c r="E659" i="5"/>
  <c r="F659" i="5"/>
  <c r="G659" i="5"/>
  <c r="H659" i="5"/>
  <c r="I659" i="5"/>
  <c r="J659" i="5"/>
  <c r="K659" i="5"/>
  <c r="L659" i="5"/>
  <c r="M659" i="5"/>
  <c r="N659" i="5"/>
  <c r="O659" i="5"/>
  <c r="D660" i="5"/>
  <c r="E660" i="5"/>
  <c r="F660" i="5"/>
  <c r="G660" i="5"/>
  <c r="H660" i="5"/>
  <c r="I660" i="5"/>
  <c r="J660" i="5"/>
  <c r="K660" i="5"/>
  <c r="L660" i="5"/>
  <c r="M660" i="5"/>
  <c r="N660" i="5"/>
  <c r="O660" i="5"/>
  <c r="D661" i="5"/>
  <c r="E661" i="5"/>
  <c r="F661" i="5"/>
  <c r="G661" i="5"/>
  <c r="H661" i="5"/>
  <c r="I661" i="5"/>
  <c r="J661" i="5"/>
  <c r="K661" i="5"/>
  <c r="L661" i="5"/>
  <c r="M661" i="5"/>
  <c r="N661" i="5"/>
  <c r="O661" i="5"/>
  <c r="D662" i="5"/>
  <c r="E662" i="5"/>
  <c r="F662" i="5"/>
  <c r="G662" i="5"/>
  <c r="H662" i="5"/>
  <c r="I662" i="5"/>
  <c r="J662" i="5"/>
  <c r="K662" i="5"/>
  <c r="L662" i="5"/>
  <c r="M662" i="5"/>
  <c r="N662" i="5"/>
  <c r="O662" i="5"/>
  <c r="D663" i="5"/>
  <c r="E663" i="5"/>
  <c r="F663" i="5"/>
  <c r="G663" i="5"/>
  <c r="H663" i="5"/>
  <c r="I663" i="5"/>
  <c r="J663" i="5"/>
  <c r="K663" i="5"/>
  <c r="L663" i="5"/>
  <c r="M663" i="5"/>
  <c r="N663" i="5"/>
  <c r="O663" i="5"/>
  <c r="D664" i="5"/>
  <c r="E664" i="5"/>
  <c r="F664" i="5"/>
  <c r="G664" i="5"/>
  <c r="H664" i="5"/>
  <c r="I664" i="5"/>
  <c r="J664" i="5"/>
  <c r="K664" i="5"/>
  <c r="L664" i="5"/>
  <c r="M664" i="5"/>
  <c r="N664" i="5"/>
  <c r="O664" i="5"/>
  <c r="D665" i="5"/>
  <c r="E665" i="5"/>
  <c r="F665" i="5"/>
  <c r="G665" i="5"/>
  <c r="H665" i="5"/>
  <c r="I665" i="5"/>
  <c r="J665" i="5"/>
  <c r="K665" i="5"/>
  <c r="L665" i="5"/>
  <c r="M665" i="5"/>
  <c r="N665" i="5"/>
  <c r="O665" i="5"/>
  <c r="D666" i="5"/>
  <c r="E666" i="5"/>
  <c r="F666" i="5"/>
  <c r="G666" i="5"/>
  <c r="H666" i="5"/>
  <c r="I666" i="5"/>
  <c r="J666" i="5"/>
  <c r="K666" i="5"/>
  <c r="L666" i="5"/>
  <c r="M666" i="5"/>
  <c r="N666" i="5"/>
  <c r="O666" i="5"/>
  <c r="D667" i="5"/>
  <c r="E667" i="5"/>
  <c r="F667" i="5"/>
  <c r="G667" i="5"/>
  <c r="H667" i="5"/>
  <c r="I667" i="5"/>
  <c r="J667" i="5"/>
  <c r="K667" i="5"/>
  <c r="L667" i="5"/>
  <c r="M667" i="5"/>
  <c r="N667" i="5"/>
  <c r="O667" i="5"/>
  <c r="D668" i="5"/>
  <c r="E668" i="5"/>
  <c r="F668" i="5"/>
  <c r="G668" i="5"/>
  <c r="H668" i="5"/>
  <c r="I668" i="5"/>
  <c r="J668" i="5"/>
  <c r="K668" i="5"/>
  <c r="L668" i="5"/>
  <c r="M668" i="5"/>
  <c r="N668" i="5"/>
  <c r="O668" i="5"/>
  <c r="D669" i="5"/>
  <c r="E669" i="5"/>
  <c r="F669" i="5"/>
  <c r="G669" i="5"/>
  <c r="H669" i="5"/>
  <c r="I669" i="5"/>
  <c r="J669" i="5"/>
  <c r="K669" i="5"/>
  <c r="L669" i="5"/>
  <c r="M669" i="5"/>
  <c r="N669" i="5"/>
  <c r="O669" i="5"/>
  <c r="D670" i="5"/>
  <c r="E670" i="5"/>
  <c r="F670" i="5"/>
  <c r="G670" i="5"/>
  <c r="H670" i="5"/>
  <c r="I670" i="5"/>
  <c r="J670" i="5"/>
  <c r="K670" i="5"/>
  <c r="L670" i="5"/>
  <c r="M670" i="5"/>
  <c r="N670" i="5"/>
  <c r="O670" i="5"/>
  <c r="D671" i="5"/>
  <c r="E671" i="5"/>
  <c r="F671" i="5"/>
  <c r="G671" i="5"/>
  <c r="H671" i="5"/>
  <c r="I671" i="5"/>
  <c r="J671" i="5"/>
  <c r="K671" i="5"/>
  <c r="L671" i="5"/>
  <c r="M671" i="5"/>
  <c r="N671" i="5"/>
  <c r="O671" i="5"/>
  <c r="D672" i="5"/>
  <c r="E672" i="5"/>
  <c r="F672" i="5"/>
  <c r="G672" i="5"/>
  <c r="H672" i="5"/>
  <c r="I672" i="5"/>
  <c r="J672" i="5"/>
  <c r="K672" i="5"/>
  <c r="L672" i="5"/>
  <c r="M672" i="5"/>
  <c r="N672" i="5"/>
  <c r="O672" i="5"/>
  <c r="D673" i="5"/>
  <c r="E673" i="5"/>
  <c r="F673" i="5"/>
  <c r="G673" i="5"/>
  <c r="H673" i="5"/>
  <c r="I673" i="5"/>
  <c r="J673" i="5"/>
  <c r="K673" i="5"/>
  <c r="L673" i="5"/>
  <c r="M673" i="5"/>
  <c r="N673" i="5"/>
  <c r="O673" i="5"/>
  <c r="D674" i="5"/>
  <c r="E674" i="5"/>
  <c r="F674" i="5"/>
  <c r="G674" i="5"/>
  <c r="H674" i="5"/>
  <c r="I674" i="5"/>
  <c r="J674" i="5"/>
  <c r="K674" i="5"/>
  <c r="L674" i="5"/>
  <c r="M674" i="5"/>
  <c r="N674" i="5"/>
  <c r="O674" i="5"/>
  <c r="D675" i="5"/>
  <c r="E675" i="5"/>
  <c r="F675" i="5"/>
  <c r="G675" i="5"/>
  <c r="H675" i="5"/>
  <c r="I675" i="5"/>
  <c r="J675" i="5"/>
  <c r="K675" i="5"/>
  <c r="L675" i="5"/>
  <c r="M675" i="5"/>
  <c r="N675" i="5"/>
  <c r="O675" i="5"/>
  <c r="D676" i="5"/>
  <c r="E676" i="5"/>
  <c r="F676" i="5"/>
  <c r="G676" i="5"/>
  <c r="H676" i="5"/>
  <c r="I676" i="5"/>
  <c r="J676" i="5"/>
  <c r="K676" i="5"/>
  <c r="L676" i="5"/>
  <c r="M676" i="5"/>
  <c r="N676" i="5"/>
  <c r="O676" i="5"/>
  <c r="D677" i="5"/>
  <c r="E677" i="5"/>
  <c r="F677" i="5"/>
  <c r="G677" i="5"/>
  <c r="H677" i="5"/>
  <c r="I677" i="5"/>
  <c r="J677" i="5"/>
  <c r="K677" i="5"/>
  <c r="L677" i="5"/>
  <c r="M677" i="5"/>
  <c r="N677" i="5"/>
  <c r="O677" i="5"/>
  <c r="D678" i="5"/>
  <c r="E678" i="5"/>
  <c r="F678" i="5"/>
  <c r="G678" i="5"/>
  <c r="H678" i="5"/>
  <c r="I678" i="5"/>
  <c r="J678" i="5"/>
  <c r="K678" i="5"/>
  <c r="L678" i="5"/>
  <c r="M678" i="5"/>
  <c r="N678" i="5"/>
  <c r="O678" i="5"/>
  <c r="D679" i="5"/>
  <c r="E679" i="5"/>
  <c r="F679" i="5"/>
  <c r="G679" i="5"/>
  <c r="H679" i="5"/>
  <c r="I679" i="5"/>
  <c r="J679" i="5"/>
  <c r="K679" i="5"/>
  <c r="L679" i="5"/>
  <c r="M679" i="5"/>
  <c r="N679" i="5"/>
  <c r="O679" i="5"/>
  <c r="D680" i="5"/>
  <c r="E680" i="5"/>
  <c r="F680" i="5"/>
  <c r="G680" i="5"/>
  <c r="H680" i="5"/>
  <c r="I680" i="5"/>
  <c r="J680" i="5"/>
  <c r="K680" i="5"/>
  <c r="L680" i="5"/>
  <c r="M680" i="5"/>
  <c r="N680" i="5"/>
  <c r="O680" i="5"/>
  <c r="D681" i="5"/>
  <c r="E681" i="5"/>
  <c r="F681" i="5"/>
  <c r="G681" i="5"/>
  <c r="H681" i="5"/>
  <c r="I681" i="5"/>
  <c r="J681" i="5"/>
  <c r="K681" i="5"/>
  <c r="L681" i="5"/>
  <c r="M681" i="5"/>
  <c r="N681" i="5"/>
  <c r="O681" i="5"/>
  <c r="D682" i="5"/>
  <c r="E682" i="5"/>
  <c r="F682" i="5"/>
  <c r="G682" i="5"/>
  <c r="H682" i="5"/>
  <c r="I682" i="5"/>
  <c r="J682" i="5"/>
  <c r="K682" i="5"/>
  <c r="L682" i="5"/>
  <c r="M682" i="5"/>
  <c r="N682" i="5"/>
  <c r="O682" i="5"/>
  <c r="D683" i="5"/>
  <c r="E683" i="5"/>
  <c r="F683" i="5"/>
  <c r="G683" i="5"/>
  <c r="H683" i="5"/>
  <c r="I683" i="5"/>
  <c r="J683" i="5"/>
  <c r="K683" i="5"/>
  <c r="L683" i="5"/>
  <c r="M683" i="5"/>
  <c r="N683" i="5"/>
  <c r="O683" i="5"/>
  <c r="D684" i="5"/>
  <c r="E684" i="5"/>
  <c r="F684" i="5"/>
  <c r="G684" i="5"/>
  <c r="H684" i="5"/>
  <c r="I684" i="5"/>
  <c r="J684" i="5"/>
  <c r="K684" i="5"/>
  <c r="L684" i="5"/>
  <c r="M684" i="5"/>
  <c r="N684" i="5"/>
  <c r="O684" i="5"/>
  <c r="D685" i="5"/>
  <c r="E685" i="5"/>
  <c r="F685" i="5"/>
  <c r="G685" i="5"/>
  <c r="H685" i="5"/>
  <c r="I685" i="5"/>
  <c r="J685" i="5"/>
  <c r="K685" i="5"/>
  <c r="L685" i="5"/>
  <c r="M685" i="5"/>
  <c r="N685" i="5"/>
  <c r="O685" i="5"/>
  <c r="D686" i="5"/>
  <c r="E686" i="5"/>
  <c r="F686" i="5"/>
  <c r="G686" i="5"/>
  <c r="H686" i="5"/>
  <c r="I686" i="5"/>
  <c r="J686" i="5"/>
  <c r="K686" i="5"/>
  <c r="L686" i="5"/>
  <c r="M686" i="5"/>
  <c r="N686" i="5"/>
  <c r="O686" i="5"/>
  <c r="D687" i="5"/>
  <c r="E687" i="5"/>
  <c r="F687" i="5"/>
  <c r="G687" i="5"/>
  <c r="H687" i="5"/>
  <c r="I687" i="5"/>
  <c r="J687" i="5"/>
  <c r="K687" i="5"/>
  <c r="L687" i="5"/>
  <c r="M687" i="5"/>
  <c r="N687" i="5"/>
  <c r="O687" i="5"/>
  <c r="D688" i="5"/>
  <c r="E688" i="5"/>
  <c r="F688" i="5"/>
  <c r="G688" i="5"/>
  <c r="H688" i="5"/>
  <c r="I688" i="5"/>
  <c r="J688" i="5"/>
  <c r="K688" i="5"/>
  <c r="L688" i="5"/>
  <c r="M688" i="5"/>
  <c r="N688" i="5"/>
  <c r="O688" i="5"/>
  <c r="D689" i="5"/>
  <c r="E689" i="5"/>
  <c r="F689" i="5"/>
  <c r="G689" i="5"/>
  <c r="H689" i="5"/>
  <c r="I689" i="5"/>
  <c r="J689" i="5"/>
  <c r="K689" i="5"/>
  <c r="L689" i="5"/>
  <c r="M689" i="5"/>
  <c r="N689" i="5"/>
  <c r="O689" i="5"/>
  <c r="D690" i="5"/>
  <c r="E690" i="5"/>
  <c r="F690" i="5"/>
  <c r="G690" i="5"/>
  <c r="H690" i="5"/>
  <c r="I690" i="5"/>
  <c r="J690" i="5"/>
  <c r="K690" i="5"/>
  <c r="L690" i="5"/>
  <c r="M690" i="5"/>
  <c r="N690" i="5"/>
  <c r="O690" i="5"/>
  <c r="D691" i="5"/>
  <c r="E691" i="5"/>
  <c r="F691" i="5"/>
  <c r="G691" i="5"/>
  <c r="H691" i="5"/>
  <c r="I691" i="5"/>
  <c r="J691" i="5"/>
  <c r="K691" i="5"/>
  <c r="L691" i="5"/>
  <c r="M691" i="5"/>
  <c r="N691" i="5"/>
  <c r="O691" i="5"/>
  <c r="D692" i="5"/>
  <c r="E692" i="5"/>
  <c r="F692" i="5"/>
  <c r="G692" i="5"/>
  <c r="H692" i="5"/>
  <c r="I692" i="5"/>
  <c r="J692" i="5"/>
  <c r="K692" i="5"/>
  <c r="L692" i="5"/>
  <c r="M692" i="5"/>
  <c r="N692" i="5"/>
  <c r="O692" i="5"/>
  <c r="D693" i="5"/>
  <c r="E693" i="5"/>
  <c r="F693" i="5"/>
  <c r="G693" i="5"/>
  <c r="H693" i="5"/>
  <c r="I693" i="5"/>
  <c r="J693" i="5"/>
  <c r="K693" i="5"/>
  <c r="L693" i="5"/>
  <c r="M693" i="5"/>
  <c r="N693" i="5"/>
  <c r="O693" i="5"/>
  <c r="D694" i="5"/>
  <c r="E694" i="5"/>
  <c r="F694" i="5"/>
  <c r="G694" i="5"/>
  <c r="H694" i="5"/>
  <c r="I694" i="5"/>
  <c r="J694" i="5"/>
  <c r="K694" i="5"/>
  <c r="L694" i="5"/>
  <c r="M694" i="5"/>
  <c r="N694" i="5"/>
  <c r="O694" i="5"/>
  <c r="D695" i="5"/>
  <c r="E695" i="5"/>
  <c r="F695" i="5"/>
  <c r="G695" i="5"/>
  <c r="H695" i="5"/>
  <c r="I695" i="5"/>
  <c r="J695" i="5"/>
  <c r="K695" i="5"/>
  <c r="L695" i="5"/>
  <c r="M695" i="5"/>
  <c r="N695" i="5"/>
  <c r="O695" i="5"/>
  <c r="D696" i="5"/>
  <c r="E696" i="5"/>
  <c r="F696" i="5"/>
  <c r="G696" i="5"/>
  <c r="H696" i="5"/>
  <c r="I696" i="5"/>
  <c r="J696" i="5"/>
  <c r="K696" i="5"/>
  <c r="L696" i="5"/>
  <c r="M696" i="5"/>
  <c r="N696" i="5"/>
  <c r="O696" i="5"/>
  <c r="D697" i="5"/>
  <c r="E697" i="5"/>
  <c r="F697" i="5"/>
  <c r="G697" i="5"/>
  <c r="H697" i="5"/>
  <c r="I697" i="5"/>
  <c r="J697" i="5"/>
  <c r="K697" i="5"/>
  <c r="L697" i="5"/>
  <c r="M697" i="5"/>
  <c r="N697" i="5"/>
  <c r="O697" i="5"/>
  <c r="D698" i="5"/>
  <c r="E698" i="5"/>
  <c r="F698" i="5"/>
  <c r="G698" i="5"/>
  <c r="H698" i="5"/>
  <c r="I698" i="5"/>
  <c r="J698" i="5"/>
  <c r="K698" i="5"/>
  <c r="L698" i="5"/>
  <c r="M698" i="5"/>
  <c r="N698" i="5"/>
  <c r="O698" i="5"/>
  <c r="D699" i="5"/>
  <c r="E699" i="5"/>
  <c r="F699" i="5"/>
  <c r="G699" i="5"/>
  <c r="H699" i="5"/>
  <c r="I699" i="5"/>
  <c r="J699" i="5"/>
  <c r="K699" i="5"/>
  <c r="L699" i="5"/>
  <c r="M699" i="5"/>
  <c r="N699" i="5"/>
  <c r="O699" i="5"/>
  <c r="D700" i="5"/>
  <c r="E700" i="5"/>
  <c r="F700" i="5"/>
  <c r="G700" i="5"/>
  <c r="H700" i="5"/>
  <c r="I700" i="5"/>
  <c r="J700" i="5"/>
  <c r="K700" i="5"/>
  <c r="L700" i="5"/>
  <c r="M700" i="5"/>
  <c r="N700" i="5"/>
  <c r="O700" i="5"/>
  <c r="D701" i="5"/>
  <c r="E701" i="5"/>
  <c r="F701" i="5"/>
  <c r="G701" i="5"/>
  <c r="H701" i="5"/>
  <c r="I701" i="5"/>
  <c r="J701" i="5"/>
  <c r="K701" i="5"/>
  <c r="L701" i="5"/>
  <c r="M701" i="5"/>
  <c r="N701" i="5"/>
  <c r="O701" i="5"/>
  <c r="D702" i="5"/>
  <c r="E702" i="5"/>
  <c r="F702" i="5"/>
  <c r="G702" i="5"/>
  <c r="H702" i="5"/>
  <c r="I702" i="5"/>
  <c r="J702" i="5"/>
  <c r="K702" i="5"/>
  <c r="L702" i="5"/>
  <c r="M702" i="5"/>
  <c r="N702" i="5"/>
  <c r="O702" i="5"/>
  <c r="D703" i="5"/>
  <c r="E703" i="5"/>
  <c r="F703" i="5"/>
  <c r="G703" i="5"/>
  <c r="H703" i="5"/>
  <c r="I703" i="5"/>
  <c r="J703" i="5"/>
  <c r="K703" i="5"/>
  <c r="L703" i="5"/>
  <c r="M703" i="5"/>
  <c r="N703" i="5"/>
  <c r="O703" i="5"/>
  <c r="D704" i="5"/>
  <c r="E704" i="5"/>
  <c r="F704" i="5"/>
  <c r="G704" i="5"/>
  <c r="H704" i="5"/>
  <c r="I704" i="5"/>
  <c r="J704" i="5"/>
  <c r="K704" i="5"/>
  <c r="L704" i="5"/>
  <c r="M704" i="5"/>
  <c r="N704" i="5"/>
  <c r="O704" i="5"/>
  <c r="D705" i="5"/>
  <c r="E705" i="5"/>
  <c r="F705" i="5"/>
  <c r="G705" i="5"/>
  <c r="H705" i="5"/>
  <c r="I705" i="5"/>
  <c r="J705" i="5"/>
  <c r="K705" i="5"/>
  <c r="L705" i="5"/>
  <c r="M705" i="5"/>
  <c r="N705" i="5"/>
  <c r="O705" i="5"/>
  <c r="D706" i="5"/>
  <c r="E706" i="5"/>
  <c r="F706" i="5"/>
  <c r="G706" i="5"/>
  <c r="H706" i="5"/>
  <c r="I706" i="5"/>
  <c r="J706" i="5"/>
  <c r="K706" i="5"/>
  <c r="L706" i="5"/>
  <c r="M706" i="5"/>
  <c r="N706" i="5"/>
  <c r="O706" i="5"/>
  <c r="D707" i="5"/>
  <c r="E707" i="5"/>
  <c r="F707" i="5"/>
  <c r="G707" i="5"/>
  <c r="H707" i="5"/>
  <c r="I707" i="5"/>
  <c r="J707" i="5"/>
  <c r="K707" i="5"/>
  <c r="L707" i="5"/>
  <c r="M707" i="5"/>
  <c r="N707" i="5"/>
  <c r="O707" i="5"/>
  <c r="D708" i="5"/>
  <c r="E708" i="5"/>
  <c r="F708" i="5"/>
  <c r="G708" i="5"/>
  <c r="H708" i="5"/>
  <c r="I708" i="5"/>
  <c r="J708" i="5"/>
  <c r="K708" i="5"/>
  <c r="L708" i="5"/>
  <c r="M708" i="5"/>
  <c r="N708" i="5"/>
  <c r="O708" i="5"/>
  <c r="D709" i="5"/>
  <c r="E709" i="5"/>
  <c r="F709" i="5"/>
  <c r="G709" i="5"/>
  <c r="H709" i="5"/>
  <c r="I709" i="5"/>
  <c r="J709" i="5"/>
  <c r="K709" i="5"/>
  <c r="L709" i="5"/>
  <c r="M709" i="5"/>
  <c r="N709" i="5"/>
  <c r="O709" i="5"/>
  <c r="D710" i="5"/>
  <c r="E710" i="5"/>
  <c r="F710" i="5"/>
  <c r="G710" i="5"/>
  <c r="H710" i="5"/>
  <c r="I710" i="5"/>
  <c r="J710" i="5"/>
  <c r="K710" i="5"/>
  <c r="L710" i="5"/>
  <c r="M710" i="5"/>
  <c r="N710" i="5"/>
  <c r="O710" i="5"/>
  <c r="D711" i="5"/>
  <c r="E711" i="5"/>
  <c r="F711" i="5"/>
  <c r="G711" i="5"/>
  <c r="H711" i="5"/>
  <c r="I711" i="5"/>
  <c r="J711" i="5"/>
  <c r="K711" i="5"/>
  <c r="L711" i="5"/>
  <c r="M711" i="5"/>
  <c r="N711" i="5"/>
  <c r="O711" i="5"/>
  <c r="D712" i="5"/>
  <c r="E712" i="5"/>
  <c r="F712" i="5"/>
  <c r="G712" i="5"/>
  <c r="H712" i="5"/>
  <c r="I712" i="5"/>
  <c r="J712" i="5"/>
  <c r="K712" i="5"/>
  <c r="L712" i="5"/>
  <c r="M712" i="5"/>
  <c r="N712" i="5"/>
  <c r="O712" i="5"/>
  <c r="D713" i="5"/>
  <c r="E713" i="5"/>
  <c r="F713" i="5"/>
  <c r="G713" i="5"/>
  <c r="H713" i="5"/>
  <c r="I713" i="5"/>
  <c r="J713" i="5"/>
  <c r="K713" i="5"/>
  <c r="L713" i="5"/>
  <c r="M713" i="5"/>
  <c r="N713" i="5"/>
  <c r="O713" i="5"/>
  <c r="D714" i="5"/>
  <c r="E714" i="5"/>
  <c r="F714" i="5"/>
  <c r="G714" i="5"/>
  <c r="H714" i="5"/>
  <c r="I714" i="5"/>
  <c r="J714" i="5"/>
  <c r="K714" i="5"/>
  <c r="L714" i="5"/>
  <c r="M714" i="5"/>
  <c r="N714" i="5"/>
  <c r="O714" i="5"/>
  <c r="D715" i="5"/>
  <c r="E715" i="5"/>
  <c r="F715" i="5"/>
  <c r="G715" i="5"/>
  <c r="H715" i="5"/>
  <c r="I715" i="5"/>
  <c r="J715" i="5"/>
  <c r="K715" i="5"/>
  <c r="L715" i="5"/>
  <c r="M715" i="5"/>
  <c r="N715" i="5"/>
  <c r="O715" i="5"/>
  <c r="D716" i="5"/>
  <c r="E716" i="5"/>
  <c r="F716" i="5"/>
  <c r="G716" i="5"/>
  <c r="H716" i="5"/>
  <c r="I716" i="5"/>
  <c r="J716" i="5"/>
  <c r="K716" i="5"/>
  <c r="L716" i="5"/>
  <c r="M716" i="5"/>
  <c r="N716" i="5"/>
  <c r="O716" i="5"/>
  <c r="D717" i="5"/>
  <c r="E717" i="5"/>
  <c r="F717" i="5"/>
  <c r="G717" i="5"/>
  <c r="H717" i="5"/>
  <c r="I717" i="5"/>
  <c r="J717" i="5"/>
  <c r="K717" i="5"/>
  <c r="L717" i="5"/>
  <c r="M717" i="5"/>
  <c r="N717" i="5"/>
  <c r="O717" i="5"/>
  <c r="D718" i="5"/>
  <c r="E718" i="5"/>
  <c r="F718" i="5"/>
  <c r="G718" i="5"/>
  <c r="H718" i="5"/>
  <c r="I718" i="5"/>
  <c r="J718" i="5"/>
  <c r="K718" i="5"/>
  <c r="L718" i="5"/>
  <c r="M718" i="5"/>
  <c r="N718" i="5"/>
  <c r="O718" i="5"/>
  <c r="D719" i="5"/>
  <c r="E719" i="5"/>
  <c r="F719" i="5"/>
  <c r="G719" i="5"/>
  <c r="H719" i="5"/>
  <c r="I719" i="5"/>
  <c r="J719" i="5"/>
  <c r="K719" i="5"/>
  <c r="L719" i="5"/>
  <c r="M719" i="5"/>
  <c r="N719" i="5"/>
  <c r="O719" i="5"/>
  <c r="D720" i="5"/>
  <c r="E720" i="5"/>
  <c r="F720" i="5"/>
  <c r="G720" i="5"/>
  <c r="H720" i="5"/>
  <c r="I720" i="5"/>
  <c r="J720" i="5"/>
  <c r="K720" i="5"/>
  <c r="L720" i="5"/>
  <c r="M720" i="5"/>
  <c r="N720" i="5"/>
  <c r="O720" i="5"/>
  <c r="D721" i="5"/>
  <c r="E721" i="5"/>
  <c r="F721" i="5"/>
  <c r="G721" i="5"/>
  <c r="H721" i="5"/>
  <c r="I721" i="5"/>
  <c r="J721" i="5"/>
  <c r="K721" i="5"/>
  <c r="L721" i="5"/>
  <c r="M721" i="5"/>
  <c r="N721" i="5"/>
  <c r="O721" i="5"/>
  <c r="D722" i="5"/>
  <c r="E722" i="5"/>
  <c r="F722" i="5"/>
  <c r="G722" i="5"/>
  <c r="H722" i="5"/>
  <c r="I722" i="5"/>
  <c r="J722" i="5"/>
  <c r="K722" i="5"/>
  <c r="L722" i="5"/>
  <c r="M722" i="5"/>
  <c r="N722" i="5"/>
  <c r="O722" i="5"/>
  <c r="D723" i="5"/>
  <c r="E723" i="5"/>
  <c r="F723" i="5"/>
  <c r="G723" i="5"/>
  <c r="H723" i="5"/>
  <c r="I723" i="5"/>
  <c r="J723" i="5"/>
  <c r="K723" i="5"/>
  <c r="L723" i="5"/>
  <c r="M723" i="5"/>
  <c r="N723" i="5"/>
  <c r="O723" i="5"/>
  <c r="D724" i="5"/>
  <c r="E724" i="5"/>
  <c r="F724" i="5"/>
  <c r="G724" i="5"/>
  <c r="H724" i="5"/>
  <c r="I724" i="5"/>
  <c r="J724" i="5"/>
  <c r="K724" i="5"/>
  <c r="L724" i="5"/>
  <c r="M724" i="5"/>
  <c r="N724" i="5"/>
  <c r="O724" i="5"/>
  <c r="D725" i="5"/>
  <c r="E725" i="5"/>
  <c r="F725" i="5"/>
  <c r="G725" i="5"/>
  <c r="H725" i="5"/>
  <c r="I725" i="5"/>
  <c r="J725" i="5"/>
  <c r="K725" i="5"/>
  <c r="L725" i="5"/>
  <c r="M725" i="5"/>
  <c r="N725" i="5"/>
  <c r="O725" i="5"/>
  <c r="D726" i="5"/>
  <c r="E726" i="5"/>
  <c r="F726" i="5"/>
  <c r="G726" i="5"/>
  <c r="H726" i="5"/>
  <c r="I726" i="5"/>
  <c r="J726" i="5"/>
  <c r="K726" i="5"/>
  <c r="L726" i="5"/>
  <c r="M726" i="5"/>
  <c r="N726" i="5"/>
  <c r="O726" i="5"/>
  <c r="D727" i="5"/>
  <c r="E727" i="5"/>
  <c r="F727" i="5"/>
  <c r="G727" i="5"/>
  <c r="H727" i="5"/>
  <c r="I727" i="5"/>
  <c r="J727" i="5"/>
  <c r="K727" i="5"/>
  <c r="L727" i="5"/>
  <c r="M727" i="5"/>
  <c r="N727" i="5"/>
  <c r="O727" i="5"/>
  <c r="D728" i="5"/>
  <c r="E728" i="5"/>
  <c r="F728" i="5"/>
  <c r="G728" i="5"/>
  <c r="H728" i="5"/>
  <c r="I728" i="5"/>
  <c r="J728" i="5"/>
  <c r="K728" i="5"/>
  <c r="L728" i="5"/>
  <c r="M728" i="5"/>
  <c r="N728" i="5"/>
  <c r="O728" i="5"/>
  <c r="D729" i="5"/>
  <c r="E729" i="5"/>
  <c r="F729" i="5"/>
  <c r="G729" i="5"/>
  <c r="H729" i="5"/>
  <c r="I729" i="5"/>
  <c r="J729" i="5"/>
  <c r="K729" i="5"/>
  <c r="L729" i="5"/>
  <c r="M729" i="5"/>
  <c r="N729" i="5"/>
  <c r="O729" i="5"/>
  <c r="D730" i="5"/>
  <c r="E730" i="5"/>
  <c r="F730" i="5"/>
  <c r="G730" i="5"/>
  <c r="H730" i="5"/>
  <c r="I730" i="5"/>
  <c r="J730" i="5"/>
  <c r="K730" i="5"/>
  <c r="L730" i="5"/>
  <c r="M730" i="5"/>
  <c r="N730" i="5"/>
  <c r="O730" i="5"/>
  <c r="D731" i="5"/>
  <c r="E731" i="5"/>
  <c r="F731" i="5"/>
  <c r="G731" i="5"/>
  <c r="H731" i="5"/>
  <c r="I731" i="5"/>
  <c r="J731" i="5"/>
  <c r="K731" i="5"/>
  <c r="L731" i="5"/>
  <c r="M731" i="5"/>
  <c r="N731" i="5"/>
  <c r="O731" i="5"/>
  <c r="D732" i="5"/>
  <c r="E732" i="5"/>
  <c r="F732" i="5"/>
  <c r="G732" i="5"/>
  <c r="H732" i="5"/>
  <c r="I732" i="5"/>
  <c r="J732" i="5"/>
  <c r="K732" i="5"/>
  <c r="L732" i="5"/>
  <c r="M732" i="5"/>
  <c r="N732" i="5"/>
  <c r="O732" i="5"/>
  <c r="D733" i="5"/>
  <c r="E733" i="5"/>
  <c r="F733" i="5"/>
  <c r="G733" i="5"/>
  <c r="H733" i="5"/>
  <c r="I733" i="5"/>
  <c r="J733" i="5"/>
  <c r="K733" i="5"/>
  <c r="L733" i="5"/>
  <c r="M733" i="5"/>
  <c r="N733" i="5"/>
  <c r="O733" i="5"/>
  <c r="D734" i="5"/>
  <c r="E734" i="5"/>
  <c r="F734" i="5"/>
  <c r="G734" i="5"/>
  <c r="H734" i="5"/>
  <c r="I734" i="5"/>
  <c r="J734" i="5"/>
  <c r="K734" i="5"/>
  <c r="L734" i="5"/>
  <c r="M734" i="5"/>
  <c r="N734" i="5"/>
  <c r="O734" i="5"/>
  <c r="D735" i="5"/>
  <c r="E735" i="5"/>
  <c r="F735" i="5"/>
  <c r="G735" i="5"/>
  <c r="H735" i="5"/>
  <c r="I735" i="5"/>
  <c r="J735" i="5"/>
  <c r="K735" i="5"/>
  <c r="L735" i="5"/>
  <c r="M735" i="5"/>
  <c r="N735" i="5"/>
  <c r="O735" i="5"/>
  <c r="D736" i="5"/>
  <c r="E736" i="5"/>
  <c r="F736" i="5"/>
  <c r="G736" i="5"/>
  <c r="H736" i="5"/>
  <c r="I736" i="5"/>
  <c r="J736" i="5"/>
  <c r="K736" i="5"/>
  <c r="L736" i="5"/>
  <c r="M736" i="5"/>
  <c r="N736" i="5"/>
  <c r="O736" i="5"/>
  <c r="D737" i="5"/>
  <c r="E737" i="5"/>
  <c r="F737" i="5"/>
  <c r="G737" i="5"/>
  <c r="H737" i="5"/>
  <c r="I737" i="5"/>
  <c r="J737" i="5"/>
  <c r="K737" i="5"/>
  <c r="L737" i="5"/>
  <c r="M737" i="5"/>
  <c r="N737" i="5"/>
  <c r="O737" i="5"/>
  <c r="D738" i="5"/>
  <c r="E738" i="5"/>
  <c r="F738" i="5"/>
  <c r="G738" i="5"/>
  <c r="H738" i="5"/>
  <c r="I738" i="5"/>
  <c r="J738" i="5"/>
  <c r="K738" i="5"/>
  <c r="L738" i="5"/>
  <c r="M738" i="5"/>
  <c r="N738" i="5"/>
  <c r="O738" i="5"/>
  <c r="D739" i="5"/>
  <c r="E739" i="5"/>
  <c r="F739" i="5"/>
  <c r="G739" i="5"/>
  <c r="H739" i="5"/>
  <c r="I739" i="5"/>
  <c r="J739" i="5"/>
  <c r="K739" i="5"/>
  <c r="L739" i="5"/>
  <c r="M739" i="5"/>
  <c r="N739" i="5"/>
  <c r="O739" i="5"/>
  <c r="D740" i="5"/>
  <c r="E740" i="5"/>
  <c r="F740" i="5"/>
  <c r="G740" i="5"/>
  <c r="H740" i="5"/>
  <c r="I740" i="5"/>
  <c r="J740" i="5"/>
  <c r="K740" i="5"/>
  <c r="L740" i="5"/>
  <c r="M740" i="5"/>
  <c r="N740" i="5"/>
  <c r="O740" i="5"/>
  <c r="D741" i="5"/>
  <c r="E741" i="5"/>
  <c r="F741" i="5"/>
  <c r="G741" i="5"/>
  <c r="H741" i="5"/>
  <c r="I741" i="5"/>
  <c r="J741" i="5"/>
  <c r="K741" i="5"/>
  <c r="L741" i="5"/>
  <c r="M741" i="5"/>
  <c r="N741" i="5"/>
  <c r="O741" i="5"/>
  <c r="D742" i="5"/>
  <c r="E742" i="5"/>
  <c r="F742" i="5"/>
  <c r="G742" i="5"/>
  <c r="H742" i="5"/>
  <c r="I742" i="5"/>
  <c r="J742" i="5"/>
  <c r="K742" i="5"/>
  <c r="L742" i="5"/>
  <c r="M742" i="5"/>
  <c r="N742" i="5"/>
  <c r="O742" i="5"/>
  <c r="D743" i="5"/>
  <c r="E743" i="5"/>
  <c r="F743" i="5"/>
  <c r="G743" i="5"/>
  <c r="H743" i="5"/>
  <c r="I743" i="5"/>
  <c r="J743" i="5"/>
  <c r="K743" i="5"/>
  <c r="L743" i="5"/>
  <c r="M743" i="5"/>
  <c r="N743" i="5"/>
  <c r="O743" i="5"/>
  <c r="D744" i="5"/>
  <c r="E744" i="5"/>
  <c r="F744" i="5"/>
  <c r="G744" i="5"/>
  <c r="H744" i="5"/>
  <c r="I744" i="5"/>
  <c r="J744" i="5"/>
  <c r="K744" i="5"/>
  <c r="L744" i="5"/>
  <c r="M744" i="5"/>
  <c r="N744" i="5"/>
  <c r="O744" i="5"/>
  <c r="D745" i="5"/>
  <c r="E745" i="5"/>
  <c r="F745" i="5"/>
  <c r="G745" i="5"/>
  <c r="H745" i="5"/>
  <c r="I745" i="5"/>
  <c r="J745" i="5"/>
  <c r="K745" i="5"/>
  <c r="L745" i="5"/>
  <c r="M745" i="5"/>
  <c r="N745" i="5"/>
  <c r="O745" i="5"/>
  <c r="D746" i="5"/>
  <c r="E746" i="5"/>
  <c r="F746" i="5"/>
  <c r="G746" i="5"/>
  <c r="H746" i="5"/>
  <c r="I746" i="5"/>
  <c r="J746" i="5"/>
  <c r="K746" i="5"/>
  <c r="L746" i="5"/>
  <c r="M746" i="5"/>
  <c r="N746" i="5"/>
  <c r="O746" i="5"/>
  <c r="D747" i="5"/>
  <c r="E747" i="5"/>
  <c r="F747" i="5"/>
  <c r="G747" i="5"/>
  <c r="H747" i="5"/>
  <c r="I747" i="5"/>
  <c r="J747" i="5"/>
  <c r="K747" i="5"/>
  <c r="L747" i="5"/>
  <c r="M747" i="5"/>
  <c r="N747" i="5"/>
  <c r="O747" i="5"/>
  <c r="D748" i="5"/>
  <c r="E748" i="5"/>
  <c r="F748" i="5"/>
  <c r="G748" i="5"/>
  <c r="H748" i="5"/>
  <c r="I748" i="5"/>
  <c r="J748" i="5"/>
  <c r="K748" i="5"/>
  <c r="L748" i="5"/>
  <c r="M748" i="5"/>
  <c r="N748" i="5"/>
  <c r="O748" i="5"/>
  <c r="D749" i="5"/>
  <c r="E749" i="5"/>
  <c r="F749" i="5"/>
  <c r="G749" i="5"/>
  <c r="H749" i="5"/>
  <c r="I749" i="5"/>
  <c r="J749" i="5"/>
  <c r="K749" i="5"/>
  <c r="L749" i="5"/>
  <c r="M749" i="5"/>
  <c r="N749" i="5"/>
  <c r="O749" i="5"/>
  <c r="D750" i="5"/>
  <c r="E750" i="5"/>
  <c r="F750" i="5"/>
  <c r="G750" i="5"/>
  <c r="H750" i="5"/>
  <c r="I750" i="5"/>
  <c r="J750" i="5"/>
  <c r="K750" i="5"/>
  <c r="L750" i="5"/>
  <c r="M750" i="5"/>
  <c r="N750" i="5"/>
  <c r="O750" i="5"/>
  <c r="D751" i="5"/>
  <c r="E751" i="5"/>
  <c r="F751" i="5"/>
  <c r="G751" i="5"/>
  <c r="H751" i="5"/>
  <c r="I751" i="5"/>
  <c r="J751" i="5"/>
  <c r="K751" i="5"/>
  <c r="L751" i="5"/>
  <c r="M751" i="5"/>
  <c r="N751" i="5"/>
  <c r="O751" i="5"/>
  <c r="D752" i="5"/>
  <c r="E752" i="5"/>
  <c r="F752" i="5"/>
  <c r="G752" i="5"/>
  <c r="H752" i="5"/>
  <c r="I752" i="5"/>
  <c r="J752" i="5"/>
  <c r="K752" i="5"/>
  <c r="L752" i="5"/>
  <c r="M752" i="5"/>
  <c r="N752" i="5"/>
  <c r="O752" i="5"/>
  <c r="D753" i="5"/>
  <c r="E753" i="5"/>
  <c r="F753" i="5"/>
  <c r="G753" i="5"/>
  <c r="H753" i="5"/>
  <c r="I753" i="5"/>
  <c r="J753" i="5"/>
  <c r="K753" i="5"/>
  <c r="L753" i="5"/>
  <c r="M753" i="5"/>
  <c r="N753" i="5"/>
  <c r="O753" i="5"/>
  <c r="D754" i="5"/>
  <c r="E754" i="5"/>
  <c r="F754" i="5"/>
  <c r="G754" i="5"/>
  <c r="H754" i="5"/>
  <c r="I754" i="5"/>
  <c r="J754" i="5"/>
  <c r="K754" i="5"/>
  <c r="L754" i="5"/>
  <c r="M754" i="5"/>
  <c r="N754" i="5"/>
  <c r="O754" i="5"/>
  <c r="D755" i="5"/>
  <c r="E755" i="5"/>
  <c r="F755" i="5"/>
  <c r="G755" i="5"/>
  <c r="H755" i="5"/>
  <c r="I755" i="5"/>
  <c r="J755" i="5"/>
  <c r="K755" i="5"/>
  <c r="L755" i="5"/>
  <c r="M755" i="5"/>
  <c r="N755" i="5"/>
  <c r="O755" i="5"/>
  <c r="D756" i="5"/>
  <c r="E756" i="5"/>
  <c r="F756" i="5"/>
  <c r="G756" i="5"/>
  <c r="H756" i="5"/>
  <c r="I756" i="5"/>
  <c r="J756" i="5"/>
  <c r="K756" i="5"/>
  <c r="L756" i="5"/>
  <c r="M756" i="5"/>
  <c r="N756" i="5"/>
  <c r="O756" i="5"/>
  <c r="D757" i="5"/>
  <c r="E757" i="5"/>
  <c r="F757" i="5"/>
  <c r="G757" i="5"/>
  <c r="H757" i="5"/>
  <c r="I757" i="5"/>
  <c r="J757" i="5"/>
  <c r="K757" i="5"/>
  <c r="L757" i="5"/>
  <c r="M757" i="5"/>
  <c r="N757" i="5"/>
  <c r="O757" i="5"/>
  <c r="D758" i="5"/>
  <c r="E758" i="5"/>
  <c r="F758" i="5"/>
  <c r="G758" i="5"/>
  <c r="H758" i="5"/>
  <c r="I758" i="5"/>
  <c r="J758" i="5"/>
  <c r="K758" i="5"/>
  <c r="L758" i="5"/>
  <c r="M758" i="5"/>
  <c r="N758" i="5"/>
  <c r="O758" i="5"/>
  <c r="D759" i="5"/>
  <c r="E759" i="5"/>
  <c r="F759" i="5"/>
  <c r="G759" i="5"/>
  <c r="H759" i="5"/>
  <c r="I759" i="5"/>
  <c r="J759" i="5"/>
  <c r="K759" i="5"/>
  <c r="L759" i="5"/>
  <c r="M759" i="5"/>
  <c r="N759" i="5"/>
  <c r="O759" i="5"/>
  <c r="D760" i="5"/>
  <c r="E760" i="5"/>
  <c r="F760" i="5"/>
  <c r="G760" i="5"/>
  <c r="H760" i="5"/>
  <c r="I760" i="5"/>
  <c r="J760" i="5"/>
  <c r="K760" i="5"/>
  <c r="L760" i="5"/>
  <c r="M760" i="5"/>
  <c r="N760" i="5"/>
  <c r="O760" i="5"/>
  <c r="D761" i="5"/>
  <c r="E761" i="5"/>
  <c r="F761" i="5"/>
  <c r="G761" i="5"/>
  <c r="H761" i="5"/>
  <c r="I761" i="5"/>
  <c r="J761" i="5"/>
  <c r="K761" i="5"/>
  <c r="L761" i="5"/>
  <c r="M761" i="5"/>
  <c r="N761" i="5"/>
  <c r="O761" i="5"/>
  <c r="D762" i="5"/>
  <c r="E762" i="5"/>
  <c r="F762" i="5"/>
  <c r="G762" i="5"/>
  <c r="H762" i="5"/>
  <c r="I762" i="5"/>
  <c r="J762" i="5"/>
  <c r="K762" i="5"/>
  <c r="L762" i="5"/>
  <c r="M762" i="5"/>
  <c r="N762" i="5"/>
  <c r="O762" i="5"/>
  <c r="D763" i="5"/>
  <c r="E763" i="5"/>
  <c r="F763" i="5"/>
  <c r="G763" i="5"/>
  <c r="H763" i="5"/>
  <c r="I763" i="5"/>
  <c r="J763" i="5"/>
  <c r="K763" i="5"/>
  <c r="L763" i="5"/>
  <c r="M763" i="5"/>
  <c r="N763" i="5"/>
  <c r="O763" i="5"/>
  <c r="D764" i="5"/>
  <c r="E764" i="5"/>
  <c r="F764" i="5"/>
  <c r="G764" i="5"/>
  <c r="H764" i="5"/>
  <c r="I764" i="5"/>
  <c r="J764" i="5"/>
  <c r="K764" i="5"/>
  <c r="L764" i="5"/>
  <c r="M764" i="5"/>
  <c r="N764" i="5"/>
  <c r="O764" i="5"/>
  <c r="D765" i="5"/>
  <c r="E765" i="5"/>
  <c r="F765" i="5"/>
  <c r="G765" i="5"/>
  <c r="H765" i="5"/>
  <c r="I765" i="5"/>
  <c r="J765" i="5"/>
  <c r="K765" i="5"/>
  <c r="L765" i="5"/>
  <c r="M765" i="5"/>
  <c r="N765" i="5"/>
  <c r="O765" i="5"/>
  <c r="D766" i="5"/>
  <c r="E766" i="5"/>
  <c r="F766" i="5"/>
  <c r="G766" i="5"/>
  <c r="H766" i="5"/>
  <c r="I766" i="5"/>
  <c r="J766" i="5"/>
  <c r="K766" i="5"/>
  <c r="L766" i="5"/>
  <c r="M766" i="5"/>
  <c r="N766" i="5"/>
  <c r="O766" i="5"/>
  <c r="D767" i="5"/>
  <c r="E767" i="5"/>
  <c r="F767" i="5"/>
  <c r="G767" i="5"/>
  <c r="H767" i="5"/>
  <c r="I767" i="5"/>
  <c r="J767" i="5"/>
  <c r="K767" i="5"/>
  <c r="L767" i="5"/>
  <c r="M767" i="5"/>
  <c r="N767" i="5"/>
  <c r="O767" i="5"/>
  <c r="D768" i="5"/>
  <c r="E768" i="5"/>
  <c r="F768" i="5"/>
  <c r="G768" i="5"/>
  <c r="H768" i="5"/>
  <c r="I768" i="5"/>
  <c r="J768" i="5"/>
  <c r="K768" i="5"/>
  <c r="L768" i="5"/>
  <c r="M768" i="5"/>
  <c r="N768" i="5"/>
  <c r="O768" i="5"/>
  <c r="D769" i="5"/>
  <c r="E769" i="5"/>
  <c r="F769" i="5"/>
  <c r="G769" i="5"/>
  <c r="H769" i="5"/>
  <c r="I769" i="5"/>
  <c r="J769" i="5"/>
  <c r="K769" i="5"/>
  <c r="L769" i="5"/>
  <c r="M769" i="5"/>
  <c r="N769" i="5"/>
  <c r="O769" i="5"/>
  <c r="D770" i="5"/>
  <c r="E770" i="5"/>
  <c r="F770" i="5"/>
  <c r="G770" i="5"/>
  <c r="H770" i="5"/>
  <c r="I770" i="5"/>
  <c r="J770" i="5"/>
  <c r="K770" i="5"/>
  <c r="L770" i="5"/>
  <c r="M770" i="5"/>
  <c r="N770" i="5"/>
  <c r="O770" i="5"/>
  <c r="D771" i="5"/>
  <c r="E771" i="5"/>
  <c r="F771" i="5"/>
  <c r="G771" i="5"/>
  <c r="H771" i="5"/>
  <c r="I771" i="5"/>
  <c r="J771" i="5"/>
  <c r="K771" i="5"/>
  <c r="L771" i="5"/>
  <c r="M771" i="5"/>
  <c r="N771" i="5"/>
  <c r="O771" i="5"/>
  <c r="D772" i="5"/>
  <c r="E772" i="5"/>
  <c r="F772" i="5"/>
  <c r="G772" i="5"/>
  <c r="H772" i="5"/>
  <c r="I772" i="5"/>
  <c r="J772" i="5"/>
  <c r="K772" i="5"/>
  <c r="L772" i="5"/>
  <c r="M772" i="5"/>
  <c r="N772" i="5"/>
  <c r="O772" i="5"/>
  <c r="D773" i="5"/>
  <c r="E773" i="5"/>
  <c r="F773" i="5"/>
  <c r="G773" i="5"/>
  <c r="H773" i="5"/>
  <c r="I773" i="5"/>
  <c r="J773" i="5"/>
  <c r="K773" i="5"/>
  <c r="L773" i="5"/>
  <c r="M773" i="5"/>
  <c r="N773" i="5"/>
  <c r="O773" i="5"/>
  <c r="D774" i="5"/>
  <c r="E774" i="5"/>
  <c r="F774" i="5"/>
  <c r="G774" i="5"/>
  <c r="H774" i="5"/>
  <c r="I774" i="5"/>
  <c r="J774" i="5"/>
  <c r="K774" i="5"/>
  <c r="L774" i="5"/>
  <c r="M774" i="5"/>
  <c r="N774" i="5"/>
  <c r="O774" i="5"/>
  <c r="D775" i="5"/>
  <c r="E775" i="5"/>
  <c r="F775" i="5"/>
  <c r="G775" i="5"/>
  <c r="H775" i="5"/>
  <c r="I775" i="5"/>
  <c r="J775" i="5"/>
  <c r="K775" i="5"/>
  <c r="L775" i="5"/>
  <c r="M775" i="5"/>
  <c r="N775" i="5"/>
  <c r="O775" i="5"/>
  <c r="D776" i="5"/>
  <c r="E776" i="5"/>
  <c r="F776" i="5"/>
  <c r="G776" i="5"/>
  <c r="H776" i="5"/>
  <c r="I776" i="5"/>
  <c r="J776" i="5"/>
  <c r="K776" i="5"/>
  <c r="L776" i="5"/>
  <c r="M776" i="5"/>
  <c r="N776" i="5"/>
  <c r="O776" i="5"/>
  <c r="D777" i="5"/>
  <c r="E777" i="5"/>
  <c r="F777" i="5"/>
  <c r="G777" i="5"/>
  <c r="H777" i="5"/>
  <c r="I777" i="5"/>
  <c r="J777" i="5"/>
  <c r="K777" i="5"/>
  <c r="L777" i="5"/>
  <c r="M777" i="5"/>
  <c r="N777" i="5"/>
  <c r="O777" i="5"/>
  <c r="D778" i="5"/>
  <c r="E778" i="5"/>
  <c r="F778" i="5"/>
  <c r="G778" i="5"/>
  <c r="H778" i="5"/>
  <c r="I778" i="5"/>
  <c r="J778" i="5"/>
  <c r="K778" i="5"/>
  <c r="L778" i="5"/>
  <c r="M778" i="5"/>
  <c r="N778" i="5"/>
  <c r="O778" i="5"/>
  <c r="D779" i="5"/>
  <c r="E779" i="5"/>
  <c r="F779" i="5"/>
  <c r="G779" i="5"/>
  <c r="H779" i="5"/>
  <c r="I779" i="5"/>
  <c r="J779" i="5"/>
  <c r="K779" i="5"/>
  <c r="L779" i="5"/>
  <c r="M779" i="5"/>
  <c r="N779" i="5"/>
  <c r="O779" i="5"/>
  <c r="D780" i="5"/>
  <c r="E780" i="5"/>
  <c r="F780" i="5"/>
  <c r="G780" i="5"/>
  <c r="H780" i="5"/>
  <c r="I780" i="5"/>
  <c r="J780" i="5"/>
  <c r="K780" i="5"/>
  <c r="L780" i="5"/>
  <c r="M780" i="5"/>
  <c r="N780" i="5"/>
  <c r="O780" i="5"/>
  <c r="D781" i="5"/>
  <c r="E781" i="5"/>
  <c r="F781" i="5"/>
  <c r="G781" i="5"/>
  <c r="H781" i="5"/>
  <c r="I781" i="5"/>
  <c r="J781" i="5"/>
  <c r="K781" i="5"/>
  <c r="L781" i="5"/>
  <c r="M781" i="5"/>
  <c r="N781" i="5"/>
  <c r="O781" i="5"/>
  <c r="D782" i="5"/>
  <c r="E782" i="5"/>
  <c r="F782" i="5"/>
  <c r="G782" i="5"/>
  <c r="H782" i="5"/>
  <c r="I782" i="5"/>
  <c r="J782" i="5"/>
  <c r="K782" i="5"/>
  <c r="L782" i="5"/>
  <c r="M782" i="5"/>
  <c r="N782" i="5"/>
  <c r="O782" i="5"/>
  <c r="D783" i="5"/>
  <c r="E783" i="5"/>
  <c r="F783" i="5"/>
  <c r="G783" i="5"/>
  <c r="H783" i="5"/>
  <c r="I783" i="5"/>
  <c r="J783" i="5"/>
  <c r="K783" i="5"/>
  <c r="L783" i="5"/>
  <c r="M783" i="5"/>
  <c r="N783" i="5"/>
  <c r="O783" i="5"/>
  <c r="D784" i="5"/>
  <c r="E784" i="5"/>
  <c r="F784" i="5"/>
  <c r="G784" i="5"/>
  <c r="H784" i="5"/>
  <c r="I784" i="5"/>
  <c r="J784" i="5"/>
  <c r="K784" i="5"/>
  <c r="L784" i="5"/>
  <c r="M784" i="5"/>
  <c r="N784" i="5"/>
  <c r="O784" i="5"/>
  <c r="D785" i="5"/>
  <c r="E785" i="5"/>
  <c r="F785" i="5"/>
  <c r="G785" i="5"/>
  <c r="H785" i="5"/>
  <c r="I785" i="5"/>
  <c r="J785" i="5"/>
  <c r="K785" i="5"/>
  <c r="L785" i="5"/>
  <c r="M785" i="5"/>
  <c r="N785" i="5"/>
  <c r="O785" i="5"/>
  <c r="D786" i="5"/>
  <c r="E786" i="5"/>
  <c r="F786" i="5"/>
  <c r="G786" i="5"/>
  <c r="H786" i="5"/>
  <c r="I786" i="5"/>
  <c r="J786" i="5"/>
  <c r="K786" i="5"/>
  <c r="L786" i="5"/>
  <c r="M786" i="5"/>
  <c r="N786" i="5"/>
  <c r="O786" i="5"/>
  <c r="D787" i="5"/>
  <c r="E787" i="5"/>
  <c r="F787" i="5"/>
  <c r="G787" i="5"/>
  <c r="H787" i="5"/>
  <c r="I787" i="5"/>
  <c r="J787" i="5"/>
  <c r="K787" i="5"/>
  <c r="L787" i="5"/>
  <c r="M787" i="5"/>
  <c r="N787" i="5"/>
  <c r="O787" i="5"/>
  <c r="D788" i="5"/>
  <c r="E788" i="5"/>
  <c r="F788" i="5"/>
  <c r="G788" i="5"/>
  <c r="H788" i="5"/>
  <c r="I788" i="5"/>
  <c r="J788" i="5"/>
  <c r="K788" i="5"/>
  <c r="L788" i="5"/>
  <c r="M788" i="5"/>
  <c r="N788" i="5"/>
  <c r="O788" i="5"/>
  <c r="D789" i="5"/>
  <c r="E789" i="5"/>
  <c r="F789" i="5"/>
  <c r="G789" i="5"/>
  <c r="H789" i="5"/>
  <c r="I789" i="5"/>
  <c r="J789" i="5"/>
  <c r="K789" i="5"/>
  <c r="L789" i="5"/>
  <c r="M789" i="5"/>
  <c r="N789" i="5"/>
  <c r="O789" i="5"/>
  <c r="D790" i="5"/>
  <c r="E790" i="5"/>
  <c r="F790" i="5"/>
  <c r="G790" i="5"/>
  <c r="H790" i="5"/>
  <c r="I790" i="5"/>
  <c r="J790" i="5"/>
  <c r="K790" i="5"/>
  <c r="L790" i="5"/>
  <c r="M790" i="5"/>
  <c r="N790" i="5"/>
  <c r="O790" i="5"/>
  <c r="D791" i="5"/>
  <c r="E791" i="5"/>
  <c r="F791" i="5"/>
  <c r="G791" i="5"/>
  <c r="H791" i="5"/>
  <c r="I791" i="5"/>
  <c r="J791" i="5"/>
  <c r="K791" i="5"/>
  <c r="L791" i="5"/>
  <c r="M791" i="5"/>
  <c r="N791" i="5"/>
  <c r="O791" i="5"/>
  <c r="D792" i="5"/>
  <c r="E792" i="5"/>
  <c r="F792" i="5"/>
  <c r="G792" i="5"/>
  <c r="H792" i="5"/>
  <c r="I792" i="5"/>
  <c r="J792" i="5"/>
  <c r="K792" i="5"/>
  <c r="L792" i="5"/>
  <c r="M792" i="5"/>
  <c r="N792" i="5"/>
  <c r="O792" i="5"/>
  <c r="D793" i="5"/>
  <c r="E793" i="5"/>
  <c r="F793" i="5"/>
  <c r="G793" i="5"/>
  <c r="H793" i="5"/>
  <c r="I793" i="5"/>
  <c r="J793" i="5"/>
  <c r="K793" i="5"/>
  <c r="L793" i="5"/>
  <c r="M793" i="5"/>
  <c r="N793" i="5"/>
  <c r="O793" i="5"/>
  <c r="D794" i="5"/>
  <c r="E794" i="5"/>
  <c r="F794" i="5"/>
  <c r="G794" i="5"/>
  <c r="H794" i="5"/>
  <c r="I794" i="5"/>
  <c r="J794" i="5"/>
  <c r="K794" i="5"/>
  <c r="L794" i="5"/>
  <c r="M794" i="5"/>
  <c r="N794" i="5"/>
  <c r="O794" i="5"/>
  <c r="D795" i="5"/>
  <c r="E795" i="5"/>
  <c r="F795" i="5"/>
  <c r="G795" i="5"/>
  <c r="H795" i="5"/>
  <c r="I795" i="5"/>
  <c r="J795" i="5"/>
  <c r="K795" i="5"/>
  <c r="L795" i="5"/>
  <c r="M795" i="5"/>
  <c r="N795" i="5"/>
  <c r="O795" i="5"/>
  <c r="D796" i="5"/>
  <c r="E796" i="5"/>
  <c r="F796" i="5"/>
  <c r="G796" i="5"/>
  <c r="H796" i="5"/>
  <c r="I796" i="5"/>
  <c r="J796" i="5"/>
  <c r="K796" i="5"/>
  <c r="L796" i="5"/>
  <c r="M796" i="5"/>
  <c r="N796" i="5"/>
  <c r="O796" i="5"/>
  <c r="D797" i="5"/>
  <c r="E797" i="5"/>
  <c r="F797" i="5"/>
  <c r="G797" i="5"/>
  <c r="H797" i="5"/>
  <c r="I797" i="5"/>
  <c r="J797" i="5"/>
  <c r="K797" i="5"/>
  <c r="L797" i="5"/>
  <c r="M797" i="5"/>
  <c r="N797" i="5"/>
  <c r="O797" i="5"/>
  <c r="D798" i="5"/>
  <c r="E798" i="5"/>
  <c r="F798" i="5"/>
  <c r="G798" i="5"/>
  <c r="H798" i="5"/>
  <c r="I798" i="5"/>
  <c r="J798" i="5"/>
  <c r="K798" i="5"/>
  <c r="L798" i="5"/>
  <c r="M798" i="5"/>
  <c r="N798" i="5"/>
  <c r="O798" i="5"/>
  <c r="D799" i="5"/>
  <c r="E799" i="5"/>
  <c r="F799" i="5"/>
  <c r="G799" i="5"/>
  <c r="H799" i="5"/>
  <c r="I799" i="5"/>
  <c r="J799" i="5"/>
  <c r="K799" i="5"/>
  <c r="L799" i="5"/>
  <c r="M799" i="5"/>
  <c r="N799" i="5"/>
  <c r="O799" i="5"/>
  <c r="D800" i="5"/>
  <c r="E800" i="5"/>
  <c r="F800" i="5"/>
  <c r="G800" i="5"/>
  <c r="H800" i="5"/>
  <c r="I800" i="5"/>
  <c r="J800" i="5"/>
  <c r="K800" i="5"/>
  <c r="L800" i="5"/>
  <c r="M800" i="5"/>
  <c r="N800" i="5"/>
  <c r="O800" i="5"/>
  <c r="D801" i="5"/>
  <c r="E801" i="5"/>
  <c r="F801" i="5"/>
  <c r="G801" i="5"/>
  <c r="H801" i="5"/>
  <c r="I801" i="5"/>
  <c r="J801" i="5"/>
  <c r="K801" i="5"/>
  <c r="L801" i="5"/>
  <c r="M801" i="5"/>
  <c r="N801" i="5"/>
  <c r="O801" i="5"/>
  <c r="D802" i="5"/>
  <c r="E802" i="5"/>
  <c r="F802" i="5"/>
  <c r="G802" i="5"/>
  <c r="H802" i="5"/>
  <c r="I802" i="5"/>
  <c r="J802" i="5"/>
  <c r="K802" i="5"/>
  <c r="L802" i="5"/>
  <c r="M802" i="5"/>
  <c r="N802" i="5"/>
  <c r="O802" i="5"/>
  <c r="D803" i="5"/>
  <c r="E803" i="5"/>
  <c r="F803" i="5"/>
  <c r="G803" i="5"/>
  <c r="H803" i="5"/>
  <c r="I803" i="5"/>
  <c r="J803" i="5"/>
  <c r="K803" i="5"/>
  <c r="L803" i="5"/>
  <c r="M803" i="5"/>
  <c r="N803" i="5"/>
  <c r="O803" i="5"/>
  <c r="D804" i="5"/>
  <c r="E804" i="5"/>
  <c r="F804" i="5"/>
  <c r="G804" i="5"/>
  <c r="H804" i="5"/>
  <c r="I804" i="5"/>
  <c r="J804" i="5"/>
  <c r="K804" i="5"/>
  <c r="L804" i="5"/>
  <c r="M804" i="5"/>
  <c r="N804" i="5"/>
  <c r="O804" i="5"/>
  <c r="D805" i="5"/>
  <c r="E805" i="5"/>
  <c r="F805" i="5"/>
  <c r="G805" i="5"/>
  <c r="H805" i="5"/>
  <c r="I805" i="5"/>
  <c r="J805" i="5"/>
  <c r="K805" i="5"/>
  <c r="L805" i="5"/>
  <c r="M805" i="5"/>
  <c r="N805" i="5"/>
  <c r="O805" i="5"/>
  <c r="D806" i="5"/>
  <c r="E806" i="5"/>
  <c r="F806" i="5"/>
  <c r="G806" i="5"/>
  <c r="H806" i="5"/>
  <c r="I806" i="5"/>
  <c r="J806" i="5"/>
  <c r="K806" i="5"/>
  <c r="L806" i="5"/>
  <c r="M806" i="5"/>
  <c r="N806" i="5"/>
  <c r="O806" i="5"/>
  <c r="D807" i="5"/>
  <c r="E807" i="5"/>
  <c r="F807" i="5"/>
  <c r="G807" i="5"/>
  <c r="H807" i="5"/>
  <c r="I807" i="5"/>
  <c r="J807" i="5"/>
  <c r="K807" i="5"/>
  <c r="L807" i="5"/>
  <c r="M807" i="5"/>
  <c r="N807" i="5"/>
  <c r="O807" i="5"/>
  <c r="D808" i="5"/>
  <c r="E808" i="5"/>
  <c r="F808" i="5"/>
  <c r="G808" i="5"/>
  <c r="H808" i="5"/>
  <c r="I808" i="5"/>
  <c r="J808" i="5"/>
  <c r="K808" i="5"/>
  <c r="L808" i="5"/>
  <c r="M808" i="5"/>
  <c r="N808" i="5"/>
  <c r="O808" i="5"/>
  <c r="D809" i="5"/>
  <c r="E809" i="5"/>
  <c r="F809" i="5"/>
  <c r="G809" i="5"/>
  <c r="H809" i="5"/>
  <c r="I809" i="5"/>
  <c r="J809" i="5"/>
  <c r="K809" i="5"/>
  <c r="L809" i="5"/>
  <c r="M809" i="5"/>
  <c r="N809" i="5"/>
  <c r="O809" i="5"/>
  <c r="D810" i="5"/>
  <c r="E810" i="5"/>
  <c r="F810" i="5"/>
  <c r="G810" i="5"/>
  <c r="H810" i="5"/>
  <c r="I810" i="5"/>
  <c r="J810" i="5"/>
  <c r="K810" i="5"/>
  <c r="L810" i="5"/>
  <c r="M810" i="5"/>
  <c r="N810" i="5"/>
  <c r="O810" i="5"/>
  <c r="D811" i="5"/>
  <c r="E811" i="5"/>
  <c r="F811" i="5"/>
  <c r="G811" i="5"/>
  <c r="H811" i="5"/>
  <c r="I811" i="5"/>
  <c r="J811" i="5"/>
  <c r="K811" i="5"/>
  <c r="L811" i="5"/>
  <c r="M811" i="5"/>
  <c r="N811" i="5"/>
  <c r="O811" i="5"/>
  <c r="D812" i="5"/>
  <c r="E812" i="5"/>
  <c r="F812" i="5"/>
  <c r="G812" i="5"/>
  <c r="H812" i="5"/>
  <c r="I812" i="5"/>
  <c r="J812" i="5"/>
  <c r="K812" i="5"/>
  <c r="L812" i="5"/>
  <c r="M812" i="5"/>
  <c r="N812" i="5"/>
  <c r="O812" i="5"/>
  <c r="D813" i="5"/>
  <c r="E813" i="5"/>
  <c r="F813" i="5"/>
  <c r="G813" i="5"/>
  <c r="H813" i="5"/>
  <c r="I813" i="5"/>
  <c r="J813" i="5"/>
  <c r="K813" i="5"/>
  <c r="L813" i="5"/>
  <c r="M813" i="5"/>
  <c r="N813" i="5"/>
  <c r="O813" i="5"/>
  <c r="D814" i="5"/>
  <c r="E814" i="5"/>
  <c r="F814" i="5"/>
  <c r="G814" i="5"/>
  <c r="H814" i="5"/>
  <c r="I814" i="5"/>
  <c r="J814" i="5"/>
  <c r="K814" i="5"/>
  <c r="L814" i="5"/>
  <c r="M814" i="5"/>
  <c r="N814" i="5"/>
  <c r="O814" i="5"/>
  <c r="D815" i="5"/>
  <c r="E815" i="5"/>
  <c r="F815" i="5"/>
  <c r="G815" i="5"/>
  <c r="H815" i="5"/>
  <c r="I815" i="5"/>
  <c r="J815" i="5"/>
  <c r="K815" i="5"/>
  <c r="L815" i="5"/>
  <c r="M815" i="5"/>
  <c r="N815" i="5"/>
  <c r="O815" i="5"/>
  <c r="D816" i="5"/>
  <c r="E816" i="5"/>
  <c r="F816" i="5"/>
  <c r="G816" i="5"/>
  <c r="H816" i="5"/>
  <c r="I816" i="5"/>
  <c r="J816" i="5"/>
  <c r="K816" i="5"/>
  <c r="L816" i="5"/>
  <c r="M816" i="5"/>
  <c r="N816" i="5"/>
  <c r="O816" i="5"/>
  <c r="D817" i="5"/>
  <c r="E817" i="5"/>
  <c r="F817" i="5"/>
  <c r="G817" i="5"/>
  <c r="H817" i="5"/>
  <c r="I817" i="5"/>
  <c r="J817" i="5"/>
  <c r="K817" i="5"/>
  <c r="L817" i="5"/>
  <c r="M817" i="5"/>
  <c r="N817" i="5"/>
  <c r="O817" i="5"/>
  <c r="D818" i="5"/>
  <c r="E818" i="5"/>
  <c r="F818" i="5"/>
  <c r="G818" i="5"/>
  <c r="H818" i="5"/>
  <c r="I818" i="5"/>
  <c r="J818" i="5"/>
  <c r="K818" i="5"/>
  <c r="L818" i="5"/>
  <c r="M818" i="5"/>
  <c r="N818" i="5"/>
  <c r="O818" i="5"/>
  <c r="D819" i="5"/>
  <c r="E819" i="5"/>
  <c r="F819" i="5"/>
  <c r="G819" i="5"/>
  <c r="H819" i="5"/>
  <c r="I819" i="5"/>
  <c r="J819" i="5"/>
  <c r="K819" i="5"/>
  <c r="L819" i="5"/>
  <c r="M819" i="5"/>
  <c r="N819" i="5"/>
  <c r="O819" i="5"/>
  <c r="D820" i="5"/>
  <c r="E820" i="5"/>
  <c r="F820" i="5"/>
  <c r="G820" i="5"/>
  <c r="H820" i="5"/>
  <c r="I820" i="5"/>
  <c r="J820" i="5"/>
  <c r="K820" i="5"/>
  <c r="L820" i="5"/>
  <c r="M820" i="5"/>
  <c r="N820" i="5"/>
  <c r="O820" i="5"/>
  <c r="D821" i="5"/>
  <c r="E821" i="5"/>
  <c r="F821" i="5"/>
  <c r="G821" i="5"/>
  <c r="H821" i="5"/>
  <c r="I821" i="5"/>
  <c r="J821" i="5"/>
  <c r="K821" i="5"/>
  <c r="L821" i="5"/>
  <c r="M821" i="5"/>
  <c r="N821" i="5"/>
  <c r="O821" i="5"/>
  <c r="D822" i="5"/>
  <c r="E822" i="5"/>
  <c r="F822" i="5"/>
  <c r="G822" i="5"/>
  <c r="H822" i="5"/>
  <c r="I822" i="5"/>
  <c r="J822" i="5"/>
  <c r="K822" i="5"/>
  <c r="L822" i="5"/>
  <c r="M822" i="5"/>
  <c r="N822" i="5"/>
  <c r="O822" i="5"/>
  <c r="D823" i="5"/>
  <c r="E823" i="5"/>
  <c r="F823" i="5"/>
  <c r="G823" i="5"/>
  <c r="H823" i="5"/>
  <c r="I823" i="5"/>
  <c r="J823" i="5"/>
  <c r="K823" i="5"/>
  <c r="L823" i="5"/>
  <c r="M823" i="5"/>
  <c r="N823" i="5"/>
  <c r="O823" i="5"/>
  <c r="D824" i="5"/>
  <c r="E824" i="5"/>
  <c r="F824" i="5"/>
  <c r="G824" i="5"/>
  <c r="H824" i="5"/>
  <c r="I824" i="5"/>
  <c r="J824" i="5"/>
  <c r="K824" i="5"/>
  <c r="L824" i="5"/>
  <c r="M824" i="5"/>
  <c r="N824" i="5"/>
  <c r="O824" i="5"/>
  <c r="D825" i="5"/>
  <c r="E825" i="5"/>
  <c r="F825" i="5"/>
  <c r="G825" i="5"/>
  <c r="H825" i="5"/>
  <c r="I825" i="5"/>
  <c r="J825" i="5"/>
  <c r="K825" i="5"/>
  <c r="L825" i="5"/>
  <c r="M825" i="5"/>
  <c r="N825" i="5"/>
  <c r="O825" i="5"/>
  <c r="D826" i="5"/>
  <c r="E826" i="5"/>
  <c r="F826" i="5"/>
  <c r="G826" i="5"/>
  <c r="H826" i="5"/>
  <c r="I826" i="5"/>
  <c r="J826" i="5"/>
  <c r="K826" i="5"/>
  <c r="L826" i="5"/>
  <c r="M826" i="5"/>
  <c r="N826" i="5"/>
  <c r="O826" i="5"/>
  <c r="D827" i="5"/>
  <c r="E827" i="5"/>
  <c r="F827" i="5"/>
  <c r="G827" i="5"/>
  <c r="H827" i="5"/>
  <c r="I827" i="5"/>
  <c r="J827" i="5"/>
  <c r="K827" i="5"/>
  <c r="L827" i="5"/>
  <c r="M827" i="5"/>
  <c r="N827" i="5"/>
  <c r="O827" i="5"/>
  <c r="D828" i="5"/>
  <c r="E828" i="5"/>
  <c r="F828" i="5"/>
  <c r="G828" i="5"/>
  <c r="H828" i="5"/>
  <c r="I828" i="5"/>
  <c r="J828" i="5"/>
  <c r="K828" i="5"/>
  <c r="L828" i="5"/>
  <c r="M828" i="5"/>
  <c r="N828" i="5"/>
  <c r="O828" i="5"/>
  <c r="D829" i="5"/>
  <c r="E829" i="5"/>
  <c r="F829" i="5"/>
  <c r="G829" i="5"/>
  <c r="H829" i="5"/>
  <c r="I829" i="5"/>
  <c r="J829" i="5"/>
  <c r="K829" i="5"/>
  <c r="L829" i="5"/>
  <c r="M829" i="5"/>
  <c r="N829" i="5"/>
  <c r="O829" i="5"/>
  <c r="D830" i="5"/>
  <c r="E830" i="5"/>
  <c r="F830" i="5"/>
  <c r="G830" i="5"/>
  <c r="H830" i="5"/>
  <c r="I830" i="5"/>
  <c r="J830" i="5"/>
  <c r="K830" i="5"/>
  <c r="L830" i="5"/>
  <c r="M830" i="5"/>
  <c r="N830" i="5"/>
  <c r="O830" i="5"/>
  <c r="D831" i="5"/>
  <c r="E831" i="5"/>
  <c r="F831" i="5"/>
  <c r="G831" i="5"/>
  <c r="H831" i="5"/>
  <c r="I831" i="5"/>
  <c r="J831" i="5"/>
  <c r="K831" i="5"/>
  <c r="L831" i="5"/>
  <c r="M831" i="5"/>
  <c r="N831" i="5"/>
  <c r="O831" i="5"/>
  <c r="D832" i="5"/>
  <c r="E832" i="5"/>
  <c r="F832" i="5"/>
  <c r="G832" i="5"/>
  <c r="H832" i="5"/>
  <c r="I832" i="5"/>
  <c r="J832" i="5"/>
  <c r="K832" i="5"/>
  <c r="L832" i="5"/>
  <c r="M832" i="5"/>
  <c r="N832" i="5"/>
  <c r="O832" i="5"/>
  <c r="D833" i="5"/>
  <c r="E833" i="5"/>
  <c r="F833" i="5"/>
  <c r="G833" i="5"/>
  <c r="H833" i="5"/>
  <c r="I833" i="5"/>
  <c r="J833" i="5"/>
  <c r="K833" i="5"/>
  <c r="L833" i="5"/>
  <c r="M833" i="5"/>
  <c r="N833" i="5"/>
  <c r="O833" i="5"/>
  <c r="D834" i="5"/>
  <c r="E834" i="5"/>
  <c r="F834" i="5"/>
  <c r="G834" i="5"/>
  <c r="H834" i="5"/>
  <c r="I834" i="5"/>
  <c r="J834" i="5"/>
  <c r="K834" i="5"/>
  <c r="L834" i="5"/>
  <c r="M834" i="5"/>
  <c r="N834" i="5"/>
  <c r="O834" i="5"/>
  <c r="D835" i="5"/>
  <c r="E835" i="5"/>
  <c r="F835" i="5"/>
  <c r="G835" i="5"/>
  <c r="H835" i="5"/>
  <c r="I835" i="5"/>
  <c r="J835" i="5"/>
  <c r="K835" i="5"/>
  <c r="L835" i="5"/>
  <c r="M835" i="5"/>
  <c r="N835" i="5"/>
  <c r="O835" i="5"/>
  <c r="D836" i="5"/>
  <c r="E836" i="5"/>
  <c r="F836" i="5"/>
  <c r="G836" i="5"/>
  <c r="H836" i="5"/>
  <c r="I836" i="5"/>
  <c r="J836" i="5"/>
  <c r="K836" i="5"/>
  <c r="L836" i="5"/>
  <c r="M836" i="5"/>
  <c r="N836" i="5"/>
  <c r="O836" i="5"/>
  <c r="D837" i="5"/>
  <c r="E837" i="5"/>
  <c r="F837" i="5"/>
  <c r="G837" i="5"/>
  <c r="H837" i="5"/>
  <c r="I837" i="5"/>
  <c r="J837" i="5"/>
  <c r="K837" i="5"/>
  <c r="L837" i="5"/>
  <c r="M837" i="5"/>
  <c r="N837" i="5"/>
  <c r="O837" i="5"/>
  <c r="D838" i="5"/>
  <c r="E838" i="5"/>
  <c r="F838" i="5"/>
  <c r="G838" i="5"/>
  <c r="H838" i="5"/>
  <c r="I838" i="5"/>
  <c r="J838" i="5"/>
  <c r="K838" i="5"/>
  <c r="L838" i="5"/>
  <c r="M838" i="5"/>
  <c r="N838" i="5"/>
  <c r="O838" i="5"/>
  <c r="D839" i="5"/>
  <c r="E839" i="5"/>
  <c r="F839" i="5"/>
  <c r="G839" i="5"/>
  <c r="H839" i="5"/>
  <c r="I839" i="5"/>
  <c r="J839" i="5"/>
  <c r="K839" i="5"/>
  <c r="L839" i="5"/>
  <c r="M839" i="5"/>
  <c r="N839" i="5"/>
  <c r="O839" i="5"/>
  <c r="D840" i="5"/>
  <c r="E840" i="5"/>
  <c r="F840" i="5"/>
  <c r="G840" i="5"/>
  <c r="H840" i="5"/>
  <c r="I840" i="5"/>
  <c r="J840" i="5"/>
  <c r="K840" i="5"/>
  <c r="L840" i="5"/>
  <c r="M840" i="5"/>
  <c r="N840" i="5"/>
  <c r="O840" i="5"/>
  <c r="D841" i="5"/>
  <c r="E841" i="5"/>
  <c r="F841" i="5"/>
  <c r="G841" i="5"/>
  <c r="H841" i="5"/>
  <c r="I841" i="5"/>
  <c r="J841" i="5"/>
  <c r="K841" i="5"/>
  <c r="L841" i="5"/>
  <c r="M841" i="5"/>
  <c r="N841" i="5"/>
  <c r="O841" i="5"/>
  <c r="D842" i="5"/>
  <c r="E842" i="5"/>
  <c r="F842" i="5"/>
  <c r="G842" i="5"/>
  <c r="H842" i="5"/>
  <c r="I842" i="5"/>
  <c r="J842" i="5"/>
  <c r="K842" i="5"/>
  <c r="L842" i="5"/>
  <c r="M842" i="5"/>
  <c r="N842" i="5"/>
  <c r="O842" i="5"/>
  <c r="D843" i="5"/>
  <c r="E843" i="5"/>
  <c r="F843" i="5"/>
  <c r="G843" i="5"/>
  <c r="H843" i="5"/>
  <c r="I843" i="5"/>
  <c r="J843" i="5"/>
  <c r="K843" i="5"/>
  <c r="L843" i="5"/>
  <c r="M843" i="5"/>
  <c r="N843" i="5"/>
  <c r="O843" i="5"/>
  <c r="D844" i="5"/>
  <c r="E844" i="5"/>
  <c r="F844" i="5"/>
  <c r="G844" i="5"/>
  <c r="H844" i="5"/>
  <c r="I844" i="5"/>
  <c r="J844" i="5"/>
  <c r="K844" i="5"/>
  <c r="L844" i="5"/>
  <c r="M844" i="5"/>
  <c r="N844" i="5"/>
  <c r="O844" i="5"/>
  <c r="D845" i="5"/>
  <c r="E845" i="5"/>
  <c r="F845" i="5"/>
  <c r="G845" i="5"/>
  <c r="H845" i="5"/>
  <c r="I845" i="5"/>
  <c r="J845" i="5"/>
  <c r="K845" i="5"/>
  <c r="L845" i="5"/>
  <c r="M845" i="5"/>
  <c r="N845" i="5"/>
  <c r="O845" i="5"/>
  <c r="D846" i="5"/>
  <c r="E846" i="5"/>
  <c r="F846" i="5"/>
  <c r="G846" i="5"/>
  <c r="H846" i="5"/>
  <c r="I846" i="5"/>
  <c r="J846" i="5"/>
  <c r="K846" i="5"/>
  <c r="L846" i="5"/>
  <c r="M846" i="5"/>
  <c r="N846" i="5"/>
  <c r="O846" i="5"/>
  <c r="D847" i="5"/>
  <c r="E847" i="5"/>
  <c r="F847" i="5"/>
  <c r="G847" i="5"/>
  <c r="H847" i="5"/>
  <c r="I847" i="5"/>
  <c r="J847" i="5"/>
  <c r="K847" i="5"/>
  <c r="L847" i="5"/>
  <c r="M847" i="5"/>
  <c r="N847" i="5"/>
  <c r="O847" i="5"/>
  <c r="D848" i="5"/>
  <c r="E848" i="5"/>
  <c r="F848" i="5"/>
  <c r="G848" i="5"/>
  <c r="H848" i="5"/>
  <c r="I848" i="5"/>
  <c r="J848" i="5"/>
  <c r="K848" i="5"/>
  <c r="L848" i="5"/>
  <c r="M848" i="5"/>
  <c r="N848" i="5"/>
  <c r="O848" i="5"/>
  <c r="D849" i="5"/>
  <c r="E849" i="5"/>
  <c r="F849" i="5"/>
  <c r="G849" i="5"/>
  <c r="H849" i="5"/>
  <c r="I849" i="5"/>
  <c r="J849" i="5"/>
  <c r="K849" i="5"/>
  <c r="L849" i="5"/>
  <c r="M849" i="5"/>
  <c r="N849" i="5"/>
  <c r="O849" i="5"/>
  <c r="D850" i="5"/>
  <c r="E850" i="5"/>
  <c r="F850" i="5"/>
  <c r="G850" i="5"/>
  <c r="H850" i="5"/>
  <c r="I850" i="5"/>
  <c r="J850" i="5"/>
  <c r="K850" i="5"/>
  <c r="L850" i="5"/>
  <c r="M850" i="5"/>
  <c r="N850" i="5"/>
  <c r="O850" i="5"/>
  <c r="D851" i="5"/>
  <c r="E851" i="5"/>
  <c r="F851" i="5"/>
  <c r="G851" i="5"/>
  <c r="H851" i="5"/>
  <c r="I851" i="5"/>
  <c r="J851" i="5"/>
  <c r="K851" i="5"/>
  <c r="L851" i="5"/>
  <c r="M851" i="5"/>
  <c r="N851" i="5"/>
  <c r="O851" i="5"/>
  <c r="D852" i="5"/>
  <c r="E852" i="5"/>
  <c r="F852" i="5"/>
  <c r="G852" i="5"/>
  <c r="H852" i="5"/>
  <c r="I852" i="5"/>
  <c r="J852" i="5"/>
  <c r="K852" i="5"/>
  <c r="L852" i="5"/>
  <c r="M852" i="5"/>
  <c r="N852" i="5"/>
  <c r="O852" i="5"/>
  <c r="D853" i="5"/>
  <c r="E853" i="5"/>
  <c r="F853" i="5"/>
  <c r="G853" i="5"/>
  <c r="H853" i="5"/>
  <c r="I853" i="5"/>
  <c r="J853" i="5"/>
  <c r="K853" i="5"/>
  <c r="L853" i="5"/>
  <c r="M853" i="5"/>
  <c r="N853" i="5"/>
  <c r="O853" i="5"/>
  <c r="D854" i="5"/>
  <c r="E854" i="5"/>
  <c r="F854" i="5"/>
  <c r="G854" i="5"/>
  <c r="H854" i="5"/>
  <c r="I854" i="5"/>
  <c r="J854" i="5"/>
  <c r="K854" i="5"/>
  <c r="L854" i="5"/>
  <c r="M854" i="5"/>
  <c r="N854" i="5"/>
  <c r="O854" i="5"/>
  <c r="D855" i="5"/>
  <c r="E855" i="5"/>
  <c r="F855" i="5"/>
  <c r="G855" i="5"/>
  <c r="H855" i="5"/>
  <c r="I855" i="5"/>
  <c r="J855" i="5"/>
  <c r="K855" i="5"/>
  <c r="L855" i="5"/>
  <c r="M855" i="5"/>
  <c r="N855" i="5"/>
  <c r="O855" i="5"/>
  <c r="D856" i="5"/>
  <c r="E856" i="5"/>
  <c r="F856" i="5"/>
  <c r="G856" i="5"/>
  <c r="H856" i="5"/>
  <c r="I856" i="5"/>
  <c r="J856" i="5"/>
  <c r="K856" i="5"/>
  <c r="L856" i="5"/>
  <c r="M856" i="5"/>
  <c r="N856" i="5"/>
  <c r="O856" i="5"/>
  <c r="D857" i="5"/>
  <c r="E857" i="5"/>
  <c r="F857" i="5"/>
  <c r="G857" i="5"/>
  <c r="H857" i="5"/>
  <c r="I857" i="5"/>
  <c r="J857" i="5"/>
  <c r="K857" i="5"/>
  <c r="L857" i="5"/>
  <c r="M857" i="5"/>
  <c r="N857" i="5"/>
  <c r="O857" i="5"/>
  <c r="D858" i="5"/>
  <c r="E858" i="5"/>
  <c r="F858" i="5"/>
  <c r="G858" i="5"/>
  <c r="H858" i="5"/>
  <c r="I858" i="5"/>
  <c r="J858" i="5"/>
  <c r="K858" i="5"/>
  <c r="L858" i="5"/>
  <c r="M858" i="5"/>
  <c r="N858" i="5"/>
  <c r="O858" i="5"/>
  <c r="D859" i="5"/>
  <c r="E859" i="5"/>
  <c r="F859" i="5"/>
  <c r="G859" i="5"/>
  <c r="H859" i="5"/>
  <c r="I859" i="5"/>
  <c r="J859" i="5"/>
  <c r="K859" i="5"/>
  <c r="L859" i="5"/>
  <c r="M859" i="5"/>
  <c r="N859" i="5"/>
  <c r="O859" i="5"/>
  <c r="D860" i="5"/>
  <c r="E860" i="5"/>
  <c r="F860" i="5"/>
  <c r="G860" i="5"/>
  <c r="H860" i="5"/>
  <c r="I860" i="5"/>
  <c r="J860" i="5"/>
  <c r="K860" i="5"/>
  <c r="L860" i="5"/>
  <c r="M860" i="5"/>
  <c r="N860" i="5"/>
  <c r="O860" i="5"/>
  <c r="D861" i="5"/>
  <c r="E861" i="5"/>
  <c r="F861" i="5"/>
  <c r="G861" i="5"/>
  <c r="H861" i="5"/>
  <c r="I861" i="5"/>
  <c r="J861" i="5"/>
  <c r="K861" i="5"/>
  <c r="L861" i="5"/>
  <c r="M861" i="5"/>
  <c r="N861" i="5"/>
  <c r="O861" i="5"/>
  <c r="D862" i="5"/>
  <c r="E862" i="5"/>
  <c r="F862" i="5"/>
  <c r="G862" i="5"/>
  <c r="H862" i="5"/>
  <c r="I862" i="5"/>
  <c r="J862" i="5"/>
  <c r="K862" i="5"/>
  <c r="L862" i="5"/>
  <c r="M862" i="5"/>
  <c r="N862" i="5"/>
  <c r="O862" i="5"/>
  <c r="D863" i="5"/>
  <c r="E863" i="5"/>
  <c r="F863" i="5"/>
  <c r="G863" i="5"/>
  <c r="H863" i="5"/>
  <c r="I863" i="5"/>
  <c r="J863" i="5"/>
  <c r="K863" i="5"/>
  <c r="L863" i="5"/>
  <c r="M863" i="5"/>
  <c r="N863" i="5"/>
  <c r="O863" i="5"/>
  <c r="D864" i="5"/>
  <c r="E864" i="5"/>
  <c r="F864" i="5"/>
  <c r="G864" i="5"/>
  <c r="H864" i="5"/>
  <c r="I864" i="5"/>
  <c r="J864" i="5"/>
  <c r="K864" i="5"/>
  <c r="L864" i="5"/>
  <c r="M864" i="5"/>
  <c r="N864" i="5"/>
  <c r="O864" i="5"/>
  <c r="D865" i="5"/>
  <c r="E865" i="5"/>
  <c r="F865" i="5"/>
  <c r="G865" i="5"/>
  <c r="H865" i="5"/>
  <c r="I865" i="5"/>
  <c r="J865" i="5"/>
  <c r="K865" i="5"/>
  <c r="L865" i="5"/>
  <c r="M865" i="5"/>
  <c r="N865" i="5"/>
  <c r="O865" i="5"/>
  <c r="D866" i="5"/>
  <c r="E866" i="5"/>
  <c r="F866" i="5"/>
  <c r="G866" i="5"/>
  <c r="H866" i="5"/>
  <c r="I866" i="5"/>
  <c r="J866" i="5"/>
  <c r="K866" i="5"/>
  <c r="L866" i="5"/>
  <c r="M866" i="5"/>
  <c r="N866" i="5"/>
  <c r="O866" i="5"/>
  <c r="D867" i="5"/>
  <c r="E867" i="5"/>
  <c r="F867" i="5"/>
  <c r="G867" i="5"/>
  <c r="H867" i="5"/>
  <c r="I867" i="5"/>
  <c r="J867" i="5"/>
  <c r="K867" i="5"/>
  <c r="L867" i="5"/>
  <c r="M867" i="5"/>
  <c r="N867" i="5"/>
  <c r="O867" i="5"/>
  <c r="D868" i="5"/>
  <c r="E868" i="5"/>
  <c r="F868" i="5"/>
  <c r="G868" i="5"/>
  <c r="H868" i="5"/>
  <c r="I868" i="5"/>
  <c r="J868" i="5"/>
  <c r="K868" i="5"/>
  <c r="L868" i="5"/>
  <c r="M868" i="5"/>
  <c r="N868" i="5"/>
  <c r="O868" i="5"/>
  <c r="D869" i="5"/>
  <c r="E869" i="5"/>
  <c r="F869" i="5"/>
  <c r="G869" i="5"/>
  <c r="H869" i="5"/>
  <c r="I869" i="5"/>
  <c r="J869" i="5"/>
  <c r="K869" i="5"/>
  <c r="L869" i="5"/>
  <c r="M869" i="5"/>
  <c r="N869" i="5"/>
  <c r="O869" i="5"/>
  <c r="D870" i="5"/>
  <c r="E870" i="5"/>
  <c r="F870" i="5"/>
  <c r="G870" i="5"/>
  <c r="H870" i="5"/>
  <c r="I870" i="5"/>
  <c r="J870" i="5"/>
  <c r="K870" i="5"/>
  <c r="L870" i="5"/>
  <c r="M870" i="5"/>
  <c r="N870" i="5"/>
  <c r="O870" i="5"/>
  <c r="D871" i="5"/>
  <c r="E871" i="5"/>
  <c r="F871" i="5"/>
  <c r="G871" i="5"/>
  <c r="H871" i="5"/>
  <c r="I871" i="5"/>
  <c r="J871" i="5"/>
  <c r="K871" i="5"/>
  <c r="L871" i="5"/>
  <c r="M871" i="5"/>
  <c r="N871" i="5"/>
  <c r="O871" i="5"/>
  <c r="D872" i="5"/>
  <c r="E872" i="5"/>
  <c r="F872" i="5"/>
  <c r="G872" i="5"/>
  <c r="H872" i="5"/>
  <c r="I872" i="5"/>
  <c r="J872" i="5"/>
  <c r="K872" i="5"/>
  <c r="L872" i="5"/>
  <c r="M872" i="5"/>
  <c r="N872" i="5"/>
  <c r="O872" i="5"/>
  <c r="D873" i="5"/>
  <c r="E873" i="5"/>
  <c r="F873" i="5"/>
  <c r="G873" i="5"/>
  <c r="H873" i="5"/>
  <c r="I873" i="5"/>
  <c r="J873" i="5"/>
  <c r="K873" i="5"/>
  <c r="L873" i="5"/>
  <c r="M873" i="5"/>
  <c r="N873" i="5"/>
  <c r="O873" i="5"/>
  <c r="D874" i="5"/>
  <c r="E874" i="5"/>
  <c r="F874" i="5"/>
  <c r="G874" i="5"/>
  <c r="H874" i="5"/>
  <c r="I874" i="5"/>
  <c r="J874" i="5"/>
  <c r="K874" i="5"/>
  <c r="L874" i="5"/>
  <c r="M874" i="5"/>
  <c r="N874" i="5"/>
  <c r="O874" i="5"/>
  <c r="D875" i="5"/>
  <c r="E875" i="5"/>
  <c r="F875" i="5"/>
  <c r="G875" i="5"/>
  <c r="H875" i="5"/>
  <c r="I875" i="5"/>
  <c r="J875" i="5"/>
  <c r="K875" i="5"/>
  <c r="L875" i="5"/>
  <c r="M875" i="5"/>
  <c r="N875" i="5"/>
  <c r="O875" i="5"/>
  <c r="D876" i="5"/>
  <c r="E876" i="5"/>
  <c r="F876" i="5"/>
  <c r="G876" i="5"/>
  <c r="H876" i="5"/>
  <c r="I876" i="5"/>
  <c r="J876" i="5"/>
  <c r="K876" i="5"/>
  <c r="L876" i="5"/>
  <c r="M876" i="5"/>
  <c r="N876" i="5"/>
  <c r="O876" i="5"/>
  <c r="D877" i="5"/>
  <c r="E877" i="5"/>
  <c r="F877" i="5"/>
  <c r="G877" i="5"/>
  <c r="H877" i="5"/>
  <c r="I877" i="5"/>
  <c r="J877" i="5"/>
  <c r="K877" i="5"/>
  <c r="L877" i="5"/>
  <c r="M877" i="5"/>
  <c r="N877" i="5"/>
  <c r="O877" i="5"/>
  <c r="D878" i="5"/>
  <c r="E878" i="5"/>
  <c r="F878" i="5"/>
  <c r="G878" i="5"/>
  <c r="H878" i="5"/>
  <c r="I878" i="5"/>
  <c r="J878" i="5"/>
  <c r="K878" i="5"/>
  <c r="L878" i="5"/>
  <c r="M878" i="5"/>
  <c r="N878" i="5"/>
  <c r="O878" i="5"/>
  <c r="D879" i="5"/>
  <c r="E879" i="5"/>
  <c r="F879" i="5"/>
  <c r="G879" i="5"/>
  <c r="H879" i="5"/>
  <c r="I879" i="5"/>
  <c r="J879" i="5"/>
  <c r="K879" i="5"/>
  <c r="L879" i="5"/>
  <c r="M879" i="5"/>
  <c r="N879" i="5"/>
  <c r="O879" i="5"/>
  <c r="D880" i="5"/>
  <c r="E880" i="5"/>
  <c r="F880" i="5"/>
  <c r="G880" i="5"/>
  <c r="H880" i="5"/>
  <c r="I880" i="5"/>
  <c r="J880" i="5"/>
  <c r="K880" i="5"/>
  <c r="L880" i="5"/>
  <c r="M880" i="5"/>
  <c r="N880" i="5"/>
  <c r="O880" i="5"/>
  <c r="D881" i="5"/>
  <c r="E881" i="5"/>
  <c r="F881" i="5"/>
  <c r="G881" i="5"/>
  <c r="H881" i="5"/>
  <c r="I881" i="5"/>
  <c r="J881" i="5"/>
  <c r="K881" i="5"/>
  <c r="L881" i="5"/>
  <c r="M881" i="5"/>
  <c r="N881" i="5"/>
  <c r="O881" i="5"/>
  <c r="D882" i="5"/>
  <c r="E882" i="5"/>
  <c r="F882" i="5"/>
  <c r="G882" i="5"/>
  <c r="H882" i="5"/>
  <c r="I882" i="5"/>
  <c r="J882" i="5"/>
  <c r="K882" i="5"/>
  <c r="L882" i="5"/>
  <c r="M882" i="5"/>
  <c r="N882" i="5"/>
  <c r="O882" i="5"/>
  <c r="D883" i="5"/>
  <c r="E883" i="5"/>
  <c r="F883" i="5"/>
  <c r="G883" i="5"/>
  <c r="H883" i="5"/>
  <c r="I883" i="5"/>
  <c r="J883" i="5"/>
  <c r="K883" i="5"/>
  <c r="L883" i="5"/>
  <c r="M883" i="5"/>
  <c r="N883" i="5"/>
  <c r="O883" i="5"/>
  <c r="D884" i="5"/>
  <c r="E884" i="5"/>
  <c r="F884" i="5"/>
  <c r="G884" i="5"/>
  <c r="H884" i="5"/>
  <c r="I884" i="5"/>
  <c r="J884" i="5"/>
  <c r="K884" i="5"/>
  <c r="L884" i="5"/>
  <c r="M884" i="5"/>
  <c r="N884" i="5"/>
  <c r="O884" i="5"/>
  <c r="D885" i="5"/>
  <c r="E885" i="5"/>
  <c r="F885" i="5"/>
  <c r="G885" i="5"/>
  <c r="H885" i="5"/>
  <c r="I885" i="5"/>
  <c r="J885" i="5"/>
  <c r="K885" i="5"/>
  <c r="L885" i="5"/>
  <c r="M885" i="5"/>
  <c r="N885" i="5"/>
  <c r="O885" i="5"/>
  <c r="D886" i="5"/>
  <c r="E886" i="5"/>
  <c r="F886" i="5"/>
  <c r="G886" i="5"/>
  <c r="H886" i="5"/>
  <c r="I886" i="5"/>
  <c r="J886" i="5"/>
  <c r="K886" i="5"/>
  <c r="L886" i="5"/>
  <c r="M886" i="5"/>
  <c r="N886" i="5"/>
  <c r="O886" i="5"/>
  <c r="D887" i="5"/>
  <c r="E887" i="5"/>
  <c r="F887" i="5"/>
  <c r="G887" i="5"/>
  <c r="H887" i="5"/>
  <c r="I887" i="5"/>
  <c r="J887" i="5"/>
  <c r="K887" i="5"/>
  <c r="L887" i="5"/>
  <c r="M887" i="5"/>
  <c r="N887" i="5"/>
  <c r="O887" i="5"/>
  <c r="D888" i="5"/>
  <c r="E888" i="5"/>
  <c r="F888" i="5"/>
  <c r="G888" i="5"/>
  <c r="H888" i="5"/>
  <c r="I888" i="5"/>
  <c r="J888" i="5"/>
  <c r="K888" i="5"/>
  <c r="L888" i="5"/>
  <c r="M888" i="5"/>
  <c r="N888" i="5"/>
  <c r="O888" i="5"/>
  <c r="D889" i="5"/>
  <c r="E889" i="5"/>
  <c r="F889" i="5"/>
  <c r="G889" i="5"/>
  <c r="H889" i="5"/>
  <c r="I889" i="5"/>
  <c r="J889" i="5"/>
  <c r="K889" i="5"/>
  <c r="L889" i="5"/>
  <c r="M889" i="5"/>
  <c r="N889" i="5"/>
  <c r="O889" i="5"/>
  <c r="D890" i="5"/>
  <c r="E890" i="5"/>
  <c r="F890" i="5"/>
  <c r="G890" i="5"/>
  <c r="H890" i="5"/>
  <c r="I890" i="5"/>
  <c r="J890" i="5"/>
  <c r="K890" i="5"/>
  <c r="L890" i="5"/>
  <c r="M890" i="5"/>
  <c r="N890" i="5"/>
  <c r="O890" i="5"/>
  <c r="D891" i="5"/>
  <c r="E891" i="5"/>
  <c r="F891" i="5"/>
  <c r="G891" i="5"/>
  <c r="H891" i="5"/>
  <c r="I891" i="5"/>
  <c r="J891" i="5"/>
  <c r="K891" i="5"/>
  <c r="L891" i="5"/>
  <c r="M891" i="5"/>
  <c r="N891" i="5"/>
  <c r="O891" i="5"/>
  <c r="D892" i="5"/>
  <c r="E892" i="5"/>
  <c r="F892" i="5"/>
  <c r="G892" i="5"/>
  <c r="H892" i="5"/>
  <c r="I892" i="5"/>
  <c r="J892" i="5"/>
  <c r="K892" i="5"/>
  <c r="L892" i="5"/>
  <c r="M892" i="5"/>
  <c r="N892" i="5"/>
  <c r="O892" i="5"/>
  <c r="D893" i="5"/>
  <c r="E893" i="5"/>
  <c r="F893" i="5"/>
  <c r="G893" i="5"/>
  <c r="H893" i="5"/>
  <c r="I893" i="5"/>
  <c r="J893" i="5"/>
  <c r="K893" i="5"/>
  <c r="L893" i="5"/>
  <c r="M893" i="5"/>
  <c r="N893" i="5"/>
  <c r="O893" i="5"/>
  <c r="D894" i="5"/>
  <c r="E894" i="5"/>
  <c r="F894" i="5"/>
  <c r="G894" i="5"/>
  <c r="H894" i="5"/>
  <c r="I894" i="5"/>
  <c r="J894" i="5"/>
  <c r="K894" i="5"/>
  <c r="L894" i="5"/>
  <c r="M894" i="5"/>
  <c r="N894" i="5"/>
  <c r="O894" i="5"/>
  <c r="D895" i="5"/>
  <c r="E895" i="5"/>
  <c r="F895" i="5"/>
  <c r="G895" i="5"/>
  <c r="H895" i="5"/>
  <c r="I895" i="5"/>
  <c r="J895" i="5"/>
  <c r="K895" i="5"/>
  <c r="L895" i="5"/>
  <c r="M895" i="5"/>
  <c r="N895" i="5"/>
  <c r="O895" i="5"/>
  <c r="D896" i="5"/>
  <c r="E896" i="5"/>
  <c r="F896" i="5"/>
  <c r="G896" i="5"/>
  <c r="H896" i="5"/>
  <c r="I896" i="5"/>
  <c r="J896" i="5"/>
  <c r="K896" i="5"/>
  <c r="L896" i="5"/>
  <c r="M896" i="5"/>
  <c r="N896" i="5"/>
  <c r="O896" i="5"/>
  <c r="D897" i="5"/>
  <c r="E897" i="5"/>
  <c r="F897" i="5"/>
  <c r="G897" i="5"/>
  <c r="H897" i="5"/>
  <c r="I897" i="5"/>
  <c r="J897" i="5"/>
  <c r="K897" i="5"/>
  <c r="L897" i="5"/>
  <c r="M897" i="5"/>
  <c r="N897" i="5"/>
  <c r="O897" i="5"/>
  <c r="D898" i="5"/>
  <c r="E898" i="5"/>
  <c r="F898" i="5"/>
  <c r="G898" i="5"/>
  <c r="H898" i="5"/>
  <c r="I898" i="5"/>
  <c r="J898" i="5"/>
  <c r="K898" i="5"/>
  <c r="L898" i="5"/>
  <c r="M898" i="5"/>
  <c r="N898" i="5"/>
  <c r="O898" i="5"/>
  <c r="D899" i="5"/>
  <c r="E899" i="5"/>
  <c r="F899" i="5"/>
  <c r="G899" i="5"/>
  <c r="H899" i="5"/>
  <c r="I899" i="5"/>
  <c r="J899" i="5"/>
  <c r="K899" i="5"/>
  <c r="L899" i="5"/>
  <c r="M899" i="5"/>
  <c r="N899" i="5"/>
  <c r="O899" i="5"/>
  <c r="D900" i="5"/>
  <c r="E900" i="5"/>
  <c r="F900" i="5"/>
  <c r="G900" i="5"/>
  <c r="H900" i="5"/>
  <c r="I900" i="5"/>
  <c r="J900" i="5"/>
  <c r="K900" i="5"/>
  <c r="L900" i="5"/>
  <c r="M900" i="5"/>
  <c r="N900" i="5"/>
  <c r="O900" i="5"/>
  <c r="D901" i="5"/>
  <c r="E901" i="5"/>
  <c r="F901" i="5"/>
  <c r="G901" i="5"/>
  <c r="H901" i="5"/>
  <c r="I901" i="5"/>
  <c r="J901" i="5"/>
  <c r="K901" i="5"/>
  <c r="L901" i="5"/>
  <c r="M901" i="5"/>
  <c r="N901" i="5"/>
  <c r="O901" i="5"/>
  <c r="D902" i="5"/>
  <c r="E902" i="5"/>
  <c r="F902" i="5"/>
  <c r="G902" i="5"/>
  <c r="H902" i="5"/>
  <c r="I902" i="5"/>
  <c r="J902" i="5"/>
  <c r="K902" i="5"/>
  <c r="L902" i="5"/>
  <c r="M902" i="5"/>
  <c r="N902" i="5"/>
  <c r="O902" i="5"/>
  <c r="D903" i="5"/>
  <c r="E903" i="5"/>
  <c r="F903" i="5"/>
  <c r="G903" i="5"/>
  <c r="H903" i="5"/>
  <c r="I903" i="5"/>
  <c r="J903" i="5"/>
  <c r="K903" i="5"/>
  <c r="L903" i="5"/>
  <c r="M903" i="5"/>
  <c r="N903" i="5"/>
  <c r="O903" i="5"/>
  <c r="D904" i="5"/>
  <c r="E904" i="5"/>
  <c r="F904" i="5"/>
  <c r="G904" i="5"/>
  <c r="H904" i="5"/>
  <c r="I904" i="5"/>
  <c r="J904" i="5"/>
  <c r="K904" i="5"/>
  <c r="L904" i="5"/>
  <c r="M904" i="5"/>
  <c r="N904" i="5"/>
  <c r="O904" i="5"/>
  <c r="D905" i="5"/>
  <c r="E905" i="5"/>
  <c r="F905" i="5"/>
  <c r="G905" i="5"/>
  <c r="H905" i="5"/>
  <c r="I905" i="5"/>
  <c r="J905" i="5"/>
  <c r="K905" i="5"/>
  <c r="L905" i="5"/>
  <c r="M905" i="5"/>
  <c r="N905" i="5"/>
  <c r="O905" i="5"/>
  <c r="D906" i="5"/>
  <c r="E906" i="5"/>
  <c r="F906" i="5"/>
  <c r="G906" i="5"/>
  <c r="H906" i="5"/>
  <c r="I906" i="5"/>
  <c r="J906" i="5"/>
  <c r="K906" i="5"/>
  <c r="L906" i="5"/>
  <c r="M906" i="5"/>
  <c r="N906" i="5"/>
  <c r="O906" i="5"/>
  <c r="D907" i="5"/>
  <c r="E907" i="5"/>
  <c r="F907" i="5"/>
  <c r="G907" i="5"/>
  <c r="H907" i="5"/>
  <c r="I907" i="5"/>
  <c r="J907" i="5"/>
  <c r="K907" i="5"/>
  <c r="L907" i="5"/>
  <c r="M907" i="5"/>
  <c r="N907" i="5"/>
  <c r="O907" i="5"/>
  <c r="D908" i="5"/>
  <c r="E908" i="5"/>
  <c r="F908" i="5"/>
  <c r="G908" i="5"/>
  <c r="H908" i="5"/>
  <c r="I908" i="5"/>
  <c r="J908" i="5"/>
  <c r="K908" i="5"/>
  <c r="L908" i="5"/>
  <c r="M908" i="5"/>
  <c r="N908" i="5"/>
  <c r="O908" i="5"/>
  <c r="D909" i="5"/>
  <c r="E909" i="5"/>
  <c r="F909" i="5"/>
  <c r="G909" i="5"/>
  <c r="H909" i="5"/>
  <c r="I909" i="5"/>
  <c r="J909" i="5"/>
  <c r="K909" i="5"/>
  <c r="L909" i="5"/>
  <c r="M909" i="5"/>
  <c r="N909" i="5"/>
  <c r="O909" i="5"/>
  <c r="D910" i="5"/>
  <c r="E910" i="5"/>
  <c r="F910" i="5"/>
  <c r="G910" i="5"/>
  <c r="H910" i="5"/>
  <c r="I910" i="5"/>
  <c r="J910" i="5"/>
  <c r="K910" i="5"/>
  <c r="L910" i="5"/>
  <c r="M910" i="5"/>
  <c r="N910" i="5"/>
  <c r="O910" i="5"/>
  <c r="D911" i="5"/>
  <c r="E911" i="5"/>
  <c r="F911" i="5"/>
  <c r="G911" i="5"/>
  <c r="H911" i="5"/>
  <c r="I911" i="5"/>
  <c r="J911" i="5"/>
  <c r="K911" i="5"/>
  <c r="L911" i="5"/>
  <c r="M911" i="5"/>
  <c r="N911" i="5"/>
  <c r="O911" i="5"/>
  <c r="D912" i="5"/>
  <c r="E912" i="5"/>
  <c r="F912" i="5"/>
  <c r="G912" i="5"/>
  <c r="H912" i="5"/>
  <c r="I912" i="5"/>
  <c r="J912" i="5"/>
  <c r="K912" i="5"/>
  <c r="L912" i="5"/>
  <c r="M912" i="5"/>
  <c r="N912" i="5"/>
  <c r="O912" i="5"/>
  <c r="D913" i="5"/>
  <c r="E913" i="5"/>
  <c r="F913" i="5"/>
  <c r="G913" i="5"/>
  <c r="H913" i="5"/>
  <c r="I913" i="5"/>
  <c r="J913" i="5"/>
  <c r="K913" i="5"/>
  <c r="L913" i="5"/>
  <c r="M913" i="5"/>
  <c r="N913" i="5"/>
  <c r="O913" i="5"/>
  <c r="D914" i="5"/>
  <c r="E914" i="5"/>
  <c r="F914" i="5"/>
  <c r="G914" i="5"/>
  <c r="H914" i="5"/>
  <c r="I914" i="5"/>
  <c r="J914" i="5"/>
  <c r="K914" i="5"/>
  <c r="L914" i="5"/>
  <c r="M914" i="5"/>
  <c r="N914" i="5"/>
  <c r="O914" i="5"/>
  <c r="D915" i="5"/>
  <c r="E915" i="5"/>
  <c r="F915" i="5"/>
  <c r="G915" i="5"/>
  <c r="H915" i="5"/>
  <c r="I915" i="5"/>
  <c r="J915" i="5"/>
  <c r="K915" i="5"/>
  <c r="L915" i="5"/>
  <c r="M915" i="5"/>
  <c r="N915" i="5"/>
  <c r="O915" i="5"/>
  <c r="D916" i="5"/>
  <c r="E916" i="5"/>
  <c r="F916" i="5"/>
  <c r="G916" i="5"/>
  <c r="H916" i="5"/>
  <c r="I916" i="5"/>
  <c r="J916" i="5"/>
  <c r="K916" i="5"/>
  <c r="L916" i="5"/>
  <c r="M916" i="5"/>
  <c r="N916" i="5"/>
  <c r="O916" i="5"/>
  <c r="D917" i="5"/>
  <c r="E917" i="5"/>
  <c r="F917" i="5"/>
  <c r="G917" i="5"/>
  <c r="H917" i="5"/>
  <c r="I917" i="5"/>
  <c r="J917" i="5"/>
  <c r="K917" i="5"/>
  <c r="L917" i="5"/>
  <c r="M917" i="5"/>
  <c r="N917" i="5"/>
  <c r="O917" i="5"/>
  <c r="D918" i="5"/>
  <c r="E918" i="5"/>
  <c r="F918" i="5"/>
  <c r="G918" i="5"/>
  <c r="H918" i="5"/>
  <c r="I918" i="5"/>
  <c r="J918" i="5"/>
  <c r="K918" i="5"/>
  <c r="L918" i="5"/>
  <c r="M918" i="5"/>
  <c r="N918" i="5"/>
  <c r="O918" i="5"/>
  <c r="D919" i="5"/>
  <c r="E919" i="5"/>
  <c r="F919" i="5"/>
  <c r="G919" i="5"/>
  <c r="H919" i="5"/>
  <c r="I919" i="5"/>
  <c r="J919" i="5"/>
  <c r="K919" i="5"/>
  <c r="L919" i="5"/>
  <c r="M919" i="5"/>
  <c r="N919" i="5"/>
  <c r="O919" i="5"/>
  <c r="D920" i="5"/>
  <c r="E920" i="5"/>
  <c r="F920" i="5"/>
  <c r="G920" i="5"/>
  <c r="H920" i="5"/>
  <c r="I920" i="5"/>
  <c r="J920" i="5"/>
  <c r="K920" i="5"/>
  <c r="L920" i="5"/>
  <c r="M920" i="5"/>
  <c r="N920" i="5"/>
  <c r="O920" i="5"/>
  <c r="D921" i="5"/>
  <c r="E921" i="5"/>
  <c r="F921" i="5"/>
  <c r="G921" i="5"/>
  <c r="H921" i="5"/>
  <c r="I921" i="5"/>
  <c r="J921" i="5"/>
  <c r="K921" i="5"/>
  <c r="L921" i="5"/>
  <c r="M921" i="5"/>
  <c r="N921" i="5"/>
  <c r="O921" i="5"/>
  <c r="D922" i="5"/>
  <c r="E922" i="5"/>
  <c r="F922" i="5"/>
  <c r="G922" i="5"/>
  <c r="H922" i="5"/>
  <c r="I922" i="5"/>
  <c r="J922" i="5"/>
  <c r="K922" i="5"/>
  <c r="L922" i="5"/>
  <c r="M922" i="5"/>
  <c r="N922" i="5"/>
  <c r="O922" i="5"/>
  <c r="D923" i="5"/>
  <c r="E923" i="5"/>
  <c r="F923" i="5"/>
  <c r="G923" i="5"/>
  <c r="H923" i="5"/>
  <c r="I923" i="5"/>
  <c r="J923" i="5"/>
  <c r="K923" i="5"/>
  <c r="L923" i="5"/>
  <c r="M923" i="5"/>
  <c r="N923" i="5"/>
  <c r="O923" i="5"/>
  <c r="D924" i="5"/>
  <c r="E924" i="5"/>
  <c r="F924" i="5"/>
  <c r="G924" i="5"/>
  <c r="H924" i="5"/>
  <c r="I924" i="5"/>
  <c r="J924" i="5"/>
  <c r="K924" i="5"/>
  <c r="L924" i="5"/>
  <c r="M924" i="5"/>
  <c r="N924" i="5"/>
  <c r="O924" i="5"/>
  <c r="D925" i="5"/>
  <c r="E925" i="5"/>
  <c r="F925" i="5"/>
  <c r="G925" i="5"/>
  <c r="H925" i="5"/>
  <c r="I925" i="5"/>
  <c r="J925" i="5"/>
  <c r="K925" i="5"/>
  <c r="L925" i="5"/>
  <c r="M925" i="5"/>
  <c r="N925" i="5"/>
  <c r="O925" i="5"/>
  <c r="D926" i="5"/>
  <c r="E926" i="5"/>
  <c r="F926" i="5"/>
  <c r="G926" i="5"/>
  <c r="H926" i="5"/>
  <c r="I926" i="5"/>
  <c r="J926" i="5"/>
  <c r="K926" i="5"/>
  <c r="L926" i="5"/>
  <c r="M926" i="5"/>
  <c r="N926" i="5"/>
  <c r="O926" i="5"/>
  <c r="D927" i="5"/>
  <c r="E927" i="5"/>
  <c r="F927" i="5"/>
  <c r="G927" i="5"/>
  <c r="H927" i="5"/>
  <c r="I927" i="5"/>
  <c r="J927" i="5"/>
  <c r="K927" i="5"/>
  <c r="L927" i="5"/>
  <c r="M927" i="5"/>
  <c r="N927" i="5"/>
  <c r="O927" i="5"/>
  <c r="D928" i="5"/>
  <c r="E928" i="5"/>
  <c r="F928" i="5"/>
  <c r="G928" i="5"/>
  <c r="H928" i="5"/>
  <c r="I928" i="5"/>
  <c r="J928" i="5"/>
  <c r="K928" i="5"/>
  <c r="L928" i="5"/>
  <c r="M928" i="5"/>
  <c r="N928" i="5"/>
  <c r="O928" i="5"/>
  <c r="D929" i="5"/>
  <c r="E929" i="5"/>
  <c r="F929" i="5"/>
  <c r="G929" i="5"/>
  <c r="H929" i="5"/>
  <c r="I929" i="5"/>
  <c r="J929" i="5"/>
  <c r="K929" i="5"/>
  <c r="L929" i="5"/>
  <c r="M929" i="5"/>
  <c r="N929" i="5"/>
  <c r="O929" i="5"/>
  <c r="D930" i="5"/>
  <c r="E930" i="5"/>
  <c r="F930" i="5"/>
  <c r="G930" i="5"/>
  <c r="H930" i="5"/>
  <c r="I930" i="5"/>
  <c r="J930" i="5"/>
  <c r="K930" i="5"/>
  <c r="L930" i="5"/>
  <c r="M930" i="5"/>
  <c r="N930" i="5"/>
  <c r="O930" i="5"/>
  <c r="D931" i="5"/>
  <c r="E931" i="5"/>
  <c r="F931" i="5"/>
  <c r="G931" i="5"/>
  <c r="H931" i="5"/>
  <c r="I931" i="5"/>
  <c r="J931" i="5"/>
  <c r="K931" i="5"/>
  <c r="L931" i="5"/>
  <c r="M931" i="5"/>
  <c r="N931" i="5"/>
  <c r="O931" i="5"/>
  <c r="D932" i="5"/>
  <c r="E932" i="5"/>
  <c r="F932" i="5"/>
  <c r="G932" i="5"/>
  <c r="H932" i="5"/>
  <c r="I932" i="5"/>
  <c r="J932" i="5"/>
  <c r="K932" i="5"/>
  <c r="L932" i="5"/>
  <c r="M932" i="5"/>
  <c r="N932" i="5"/>
  <c r="O932" i="5"/>
  <c r="D933" i="5"/>
  <c r="E933" i="5"/>
  <c r="F933" i="5"/>
  <c r="G933" i="5"/>
  <c r="H933" i="5"/>
  <c r="I933" i="5"/>
  <c r="J933" i="5"/>
  <c r="K933" i="5"/>
  <c r="L933" i="5"/>
  <c r="M933" i="5"/>
  <c r="N933" i="5"/>
  <c r="O933" i="5"/>
  <c r="D934" i="5"/>
  <c r="E934" i="5"/>
  <c r="F934" i="5"/>
  <c r="G934" i="5"/>
  <c r="H934" i="5"/>
  <c r="I934" i="5"/>
  <c r="J934" i="5"/>
  <c r="K934" i="5"/>
  <c r="L934" i="5"/>
  <c r="M934" i="5"/>
  <c r="N934" i="5"/>
  <c r="O934" i="5"/>
  <c r="D935" i="5"/>
  <c r="E935" i="5"/>
  <c r="F935" i="5"/>
  <c r="G935" i="5"/>
  <c r="H935" i="5"/>
  <c r="I935" i="5"/>
  <c r="J935" i="5"/>
  <c r="K935" i="5"/>
  <c r="L935" i="5"/>
  <c r="M935" i="5"/>
  <c r="N935" i="5"/>
  <c r="O935" i="5"/>
  <c r="D936" i="5"/>
  <c r="E936" i="5"/>
  <c r="F936" i="5"/>
  <c r="G936" i="5"/>
  <c r="H936" i="5"/>
  <c r="I936" i="5"/>
  <c r="J936" i="5"/>
  <c r="K936" i="5"/>
  <c r="L936" i="5"/>
  <c r="M936" i="5"/>
  <c r="N936" i="5"/>
  <c r="O936" i="5"/>
  <c r="D937" i="5"/>
  <c r="E937" i="5"/>
  <c r="F937" i="5"/>
  <c r="G937" i="5"/>
  <c r="H937" i="5"/>
  <c r="I937" i="5"/>
  <c r="J937" i="5"/>
  <c r="K937" i="5"/>
  <c r="L937" i="5"/>
  <c r="M937" i="5"/>
  <c r="N937" i="5"/>
  <c r="O937" i="5"/>
  <c r="D938" i="5"/>
  <c r="E938" i="5"/>
  <c r="F938" i="5"/>
  <c r="G938" i="5"/>
  <c r="H938" i="5"/>
  <c r="I938" i="5"/>
  <c r="J938" i="5"/>
  <c r="K938" i="5"/>
  <c r="L938" i="5"/>
  <c r="M938" i="5"/>
  <c r="N938" i="5"/>
  <c r="O938" i="5"/>
  <c r="D939" i="5"/>
  <c r="E939" i="5"/>
  <c r="F939" i="5"/>
  <c r="G939" i="5"/>
  <c r="H939" i="5"/>
  <c r="I939" i="5"/>
  <c r="J939" i="5"/>
  <c r="K939" i="5"/>
  <c r="L939" i="5"/>
  <c r="M939" i="5"/>
  <c r="N939" i="5"/>
  <c r="O939" i="5"/>
  <c r="D940" i="5"/>
  <c r="E940" i="5"/>
  <c r="F940" i="5"/>
  <c r="G940" i="5"/>
  <c r="H940" i="5"/>
  <c r="I940" i="5"/>
  <c r="J940" i="5"/>
  <c r="K940" i="5"/>
  <c r="L940" i="5"/>
  <c r="M940" i="5"/>
  <c r="N940" i="5"/>
  <c r="O940" i="5"/>
  <c r="D941" i="5"/>
  <c r="E941" i="5"/>
  <c r="F941" i="5"/>
  <c r="G941" i="5"/>
  <c r="H941" i="5"/>
  <c r="I941" i="5"/>
  <c r="J941" i="5"/>
  <c r="K941" i="5"/>
  <c r="L941" i="5"/>
  <c r="M941" i="5"/>
  <c r="N941" i="5"/>
  <c r="O941" i="5"/>
  <c r="D942" i="5"/>
  <c r="E942" i="5"/>
  <c r="F942" i="5"/>
  <c r="G942" i="5"/>
  <c r="H942" i="5"/>
  <c r="I942" i="5"/>
  <c r="J942" i="5"/>
  <c r="K942" i="5"/>
  <c r="L942" i="5"/>
  <c r="M942" i="5"/>
  <c r="N942" i="5"/>
  <c r="O942" i="5"/>
  <c r="D943" i="5"/>
  <c r="E943" i="5"/>
  <c r="F943" i="5"/>
  <c r="G943" i="5"/>
  <c r="H943" i="5"/>
  <c r="I943" i="5"/>
  <c r="J943" i="5"/>
  <c r="K943" i="5"/>
  <c r="L943" i="5"/>
  <c r="M943" i="5"/>
  <c r="N943" i="5"/>
  <c r="O943" i="5"/>
  <c r="D944" i="5"/>
  <c r="E944" i="5"/>
  <c r="F944" i="5"/>
  <c r="G944" i="5"/>
  <c r="H944" i="5"/>
  <c r="I944" i="5"/>
  <c r="J944" i="5"/>
  <c r="K944" i="5"/>
  <c r="L944" i="5"/>
  <c r="M944" i="5"/>
  <c r="N944" i="5"/>
  <c r="O944" i="5"/>
  <c r="D945" i="5"/>
  <c r="E945" i="5"/>
  <c r="F945" i="5"/>
  <c r="G945" i="5"/>
  <c r="H945" i="5"/>
  <c r="I945" i="5"/>
  <c r="J945" i="5"/>
  <c r="K945" i="5"/>
  <c r="L945" i="5"/>
  <c r="M945" i="5"/>
  <c r="N945" i="5"/>
  <c r="O945" i="5"/>
  <c r="D946" i="5"/>
  <c r="E946" i="5"/>
  <c r="F946" i="5"/>
  <c r="G946" i="5"/>
  <c r="H946" i="5"/>
  <c r="I946" i="5"/>
  <c r="J946" i="5"/>
  <c r="K946" i="5"/>
  <c r="L946" i="5"/>
  <c r="M946" i="5"/>
  <c r="N946" i="5"/>
  <c r="O946" i="5"/>
  <c r="D947" i="5"/>
  <c r="E947" i="5"/>
  <c r="F947" i="5"/>
  <c r="G947" i="5"/>
  <c r="H947" i="5"/>
  <c r="I947" i="5"/>
  <c r="J947" i="5"/>
  <c r="K947" i="5"/>
  <c r="L947" i="5"/>
  <c r="M947" i="5"/>
  <c r="N947" i="5"/>
  <c r="O947" i="5"/>
  <c r="D948" i="5"/>
  <c r="E948" i="5"/>
  <c r="F948" i="5"/>
  <c r="G948" i="5"/>
  <c r="H948" i="5"/>
  <c r="I948" i="5"/>
  <c r="J948" i="5"/>
  <c r="K948" i="5"/>
  <c r="L948" i="5"/>
  <c r="M948" i="5"/>
  <c r="N948" i="5"/>
  <c r="O948" i="5"/>
  <c r="D949" i="5"/>
  <c r="E949" i="5"/>
  <c r="F949" i="5"/>
  <c r="G949" i="5"/>
  <c r="H949" i="5"/>
  <c r="I949" i="5"/>
  <c r="J949" i="5"/>
  <c r="K949" i="5"/>
  <c r="L949" i="5"/>
  <c r="M949" i="5"/>
  <c r="N949" i="5"/>
  <c r="O949" i="5"/>
  <c r="D950" i="5"/>
  <c r="E950" i="5"/>
  <c r="F950" i="5"/>
  <c r="G950" i="5"/>
  <c r="H950" i="5"/>
  <c r="I950" i="5"/>
  <c r="J950" i="5"/>
  <c r="K950" i="5"/>
  <c r="L950" i="5"/>
  <c r="M950" i="5"/>
  <c r="N950" i="5"/>
  <c r="O950" i="5"/>
  <c r="D951" i="5"/>
  <c r="E951" i="5"/>
  <c r="F951" i="5"/>
  <c r="G951" i="5"/>
  <c r="H951" i="5"/>
  <c r="I951" i="5"/>
  <c r="J951" i="5"/>
  <c r="K951" i="5"/>
  <c r="L951" i="5"/>
  <c r="M951" i="5"/>
  <c r="N951" i="5"/>
  <c r="O951" i="5"/>
  <c r="D952" i="5"/>
  <c r="E952" i="5"/>
  <c r="F952" i="5"/>
  <c r="G952" i="5"/>
  <c r="H952" i="5"/>
  <c r="I952" i="5"/>
  <c r="J952" i="5"/>
  <c r="K952" i="5"/>
  <c r="L952" i="5"/>
  <c r="M952" i="5"/>
  <c r="N952" i="5"/>
  <c r="O952" i="5"/>
  <c r="D953" i="5"/>
  <c r="E953" i="5"/>
  <c r="F953" i="5"/>
  <c r="G953" i="5"/>
  <c r="H953" i="5"/>
  <c r="I953" i="5"/>
  <c r="J953" i="5"/>
  <c r="K953" i="5"/>
  <c r="L953" i="5"/>
  <c r="M953" i="5"/>
  <c r="N953" i="5"/>
  <c r="O953" i="5"/>
  <c r="D954" i="5"/>
  <c r="E954" i="5"/>
  <c r="F954" i="5"/>
  <c r="G954" i="5"/>
  <c r="H954" i="5"/>
  <c r="I954" i="5"/>
  <c r="J954" i="5"/>
  <c r="K954" i="5"/>
  <c r="L954" i="5"/>
  <c r="M954" i="5"/>
  <c r="N954" i="5"/>
  <c r="O954" i="5"/>
  <c r="D955" i="5"/>
  <c r="E955" i="5"/>
  <c r="F955" i="5"/>
  <c r="G955" i="5"/>
  <c r="H955" i="5"/>
  <c r="I955" i="5"/>
  <c r="J955" i="5"/>
  <c r="K955" i="5"/>
  <c r="L955" i="5"/>
  <c r="M955" i="5"/>
  <c r="N955" i="5"/>
  <c r="O955" i="5"/>
  <c r="D956" i="5"/>
  <c r="E956" i="5"/>
  <c r="F956" i="5"/>
  <c r="G956" i="5"/>
  <c r="H956" i="5"/>
  <c r="I956" i="5"/>
  <c r="J956" i="5"/>
  <c r="K956" i="5"/>
  <c r="L956" i="5"/>
  <c r="M956" i="5"/>
  <c r="N956" i="5"/>
  <c r="O956" i="5"/>
  <c r="D957" i="5"/>
  <c r="E957" i="5"/>
  <c r="F957" i="5"/>
  <c r="G957" i="5"/>
  <c r="H957" i="5"/>
  <c r="I957" i="5"/>
  <c r="J957" i="5"/>
  <c r="K957" i="5"/>
  <c r="L957" i="5"/>
  <c r="M957" i="5"/>
  <c r="N957" i="5"/>
  <c r="O957" i="5"/>
  <c r="D958" i="5"/>
  <c r="E958" i="5"/>
  <c r="F958" i="5"/>
  <c r="G958" i="5"/>
  <c r="H958" i="5"/>
  <c r="I958" i="5"/>
  <c r="J958" i="5"/>
  <c r="K958" i="5"/>
  <c r="L958" i="5"/>
  <c r="M958" i="5"/>
  <c r="N958" i="5"/>
  <c r="O958" i="5"/>
  <c r="D959" i="5"/>
  <c r="E959" i="5"/>
  <c r="F959" i="5"/>
  <c r="G959" i="5"/>
  <c r="H959" i="5"/>
  <c r="I959" i="5"/>
  <c r="J959" i="5"/>
  <c r="K959" i="5"/>
  <c r="L959" i="5"/>
  <c r="M959" i="5"/>
  <c r="N959" i="5"/>
  <c r="O959" i="5"/>
  <c r="D960" i="5"/>
  <c r="E960" i="5"/>
  <c r="F960" i="5"/>
  <c r="G960" i="5"/>
  <c r="H960" i="5"/>
  <c r="I960" i="5"/>
  <c r="J960" i="5"/>
  <c r="K960" i="5"/>
  <c r="L960" i="5"/>
  <c r="M960" i="5"/>
  <c r="N960" i="5"/>
  <c r="O960" i="5"/>
  <c r="D961" i="5"/>
  <c r="E961" i="5"/>
  <c r="F961" i="5"/>
  <c r="G961" i="5"/>
  <c r="H961" i="5"/>
  <c r="I961" i="5"/>
  <c r="J961" i="5"/>
  <c r="K961" i="5"/>
  <c r="L961" i="5"/>
  <c r="M961" i="5"/>
  <c r="N961" i="5"/>
  <c r="O961" i="5"/>
  <c r="D962" i="5"/>
  <c r="E962" i="5"/>
  <c r="F962" i="5"/>
  <c r="G962" i="5"/>
  <c r="H962" i="5"/>
  <c r="I962" i="5"/>
  <c r="J962" i="5"/>
  <c r="K962" i="5"/>
  <c r="L962" i="5"/>
  <c r="M962" i="5"/>
  <c r="N962" i="5"/>
  <c r="O962" i="5"/>
  <c r="D963" i="5"/>
  <c r="E963" i="5"/>
  <c r="F963" i="5"/>
  <c r="G963" i="5"/>
  <c r="H963" i="5"/>
  <c r="I963" i="5"/>
  <c r="J963" i="5"/>
  <c r="K963" i="5"/>
  <c r="L963" i="5"/>
  <c r="M963" i="5"/>
  <c r="N963" i="5"/>
  <c r="O963" i="5"/>
  <c r="D964" i="5"/>
  <c r="E964" i="5"/>
  <c r="F964" i="5"/>
  <c r="G964" i="5"/>
  <c r="H964" i="5"/>
  <c r="I964" i="5"/>
  <c r="J964" i="5"/>
  <c r="K964" i="5"/>
  <c r="L964" i="5"/>
  <c r="M964" i="5"/>
  <c r="N964" i="5"/>
  <c r="O964" i="5"/>
  <c r="D965" i="5"/>
  <c r="E965" i="5"/>
  <c r="F965" i="5"/>
  <c r="G965" i="5"/>
  <c r="H965" i="5"/>
  <c r="I965" i="5"/>
  <c r="J965" i="5"/>
  <c r="K965" i="5"/>
  <c r="L965" i="5"/>
  <c r="M965" i="5"/>
  <c r="N965" i="5"/>
  <c r="O965" i="5"/>
  <c r="D966" i="5"/>
  <c r="E966" i="5"/>
  <c r="F966" i="5"/>
  <c r="G966" i="5"/>
  <c r="H966" i="5"/>
  <c r="I966" i="5"/>
  <c r="J966" i="5"/>
  <c r="K966" i="5"/>
  <c r="L966" i="5"/>
  <c r="M966" i="5"/>
  <c r="N966" i="5"/>
  <c r="O966" i="5"/>
  <c r="D967" i="5"/>
  <c r="E967" i="5"/>
  <c r="F967" i="5"/>
  <c r="G967" i="5"/>
  <c r="H967" i="5"/>
  <c r="I967" i="5"/>
  <c r="J967" i="5"/>
  <c r="K967" i="5"/>
  <c r="L967" i="5"/>
  <c r="M967" i="5"/>
  <c r="N967" i="5"/>
  <c r="O967" i="5"/>
  <c r="D968" i="5"/>
  <c r="E968" i="5"/>
  <c r="F968" i="5"/>
  <c r="G968" i="5"/>
  <c r="H968" i="5"/>
  <c r="I968" i="5"/>
  <c r="J968" i="5"/>
  <c r="K968" i="5"/>
  <c r="L968" i="5"/>
  <c r="M968" i="5"/>
  <c r="N968" i="5"/>
  <c r="O968" i="5"/>
  <c r="D969" i="5"/>
  <c r="E969" i="5"/>
  <c r="F969" i="5"/>
  <c r="G969" i="5"/>
  <c r="H969" i="5"/>
  <c r="I969" i="5"/>
  <c r="J969" i="5"/>
  <c r="K969" i="5"/>
  <c r="L969" i="5"/>
  <c r="M969" i="5"/>
  <c r="N969" i="5"/>
  <c r="O969" i="5"/>
  <c r="D970" i="5"/>
  <c r="E970" i="5"/>
  <c r="F970" i="5"/>
  <c r="G970" i="5"/>
  <c r="H970" i="5"/>
  <c r="I970" i="5"/>
  <c r="J970" i="5"/>
  <c r="K970" i="5"/>
  <c r="L970" i="5"/>
  <c r="M970" i="5"/>
  <c r="N970" i="5"/>
  <c r="O970" i="5"/>
  <c r="D971" i="5"/>
  <c r="E971" i="5"/>
  <c r="F971" i="5"/>
  <c r="G971" i="5"/>
  <c r="H971" i="5"/>
  <c r="I971" i="5"/>
  <c r="J971" i="5"/>
  <c r="K971" i="5"/>
  <c r="L971" i="5"/>
  <c r="M971" i="5"/>
  <c r="N971" i="5"/>
  <c r="O971" i="5"/>
  <c r="D972" i="5"/>
  <c r="E972" i="5"/>
  <c r="F972" i="5"/>
  <c r="G972" i="5"/>
  <c r="H972" i="5"/>
  <c r="I972" i="5"/>
  <c r="J972" i="5"/>
  <c r="K972" i="5"/>
  <c r="L972" i="5"/>
  <c r="M972" i="5"/>
  <c r="N972" i="5"/>
  <c r="O972" i="5"/>
  <c r="D973" i="5"/>
  <c r="E973" i="5"/>
  <c r="F973" i="5"/>
  <c r="G973" i="5"/>
  <c r="H973" i="5"/>
  <c r="I973" i="5"/>
  <c r="J973" i="5"/>
  <c r="K973" i="5"/>
  <c r="L973" i="5"/>
  <c r="M973" i="5"/>
  <c r="N973" i="5"/>
  <c r="O973" i="5"/>
  <c r="D974" i="5"/>
  <c r="E974" i="5"/>
  <c r="F974" i="5"/>
  <c r="G974" i="5"/>
  <c r="H974" i="5"/>
  <c r="I974" i="5"/>
  <c r="J974" i="5"/>
  <c r="K974" i="5"/>
  <c r="L974" i="5"/>
  <c r="M974" i="5"/>
  <c r="N974" i="5"/>
  <c r="O974" i="5"/>
  <c r="D975" i="5"/>
  <c r="E975" i="5"/>
  <c r="F975" i="5"/>
  <c r="G975" i="5"/>
  <c r="H975" i="5"/>
  <c r="I975" i="5"/>
  <c r="J975" i="5"/>
  <c r="K975" i="5"/>
  <c r="L975" i="5"/>
  <c r="M975" i="5"/>
  <c r="N975" i="5"/>
  <c r="O975" i="5"/>
  <c r="D976" i="5"/>
  <c r="E976" i="5"/>
  <c r="F976" i="5"/>
  <c r="G976" i="5"/>
  <c r="H976" i="5"/>
  <c r="I976" i="5"/>
  <c r="J976" i="5"/>
  <c r="K976" i="5"/>
  <c r="L976" i="5"/>
  <c r="M976" i="5"/>
  <c r="N976" i="5"/>
  <c r="O976" i="5"/>
  <c r="D977" i="5"/>
  <c r="E977" i="5"/>
  <c r="F977" i="5"/>
  <c r="G977" i="5"/>
  <c r="H977" i="5"/>
  <c r="I977" i="5"/>
  <c r="J977" i="5"/>
  <c r="K977" i="5"/>
  <c r="L977" i="5"/>
  <c r="M977" i="5"/>
  <c r="N977" i="5"/>
  <c r="O977" i="5"/>
  <c r="D978" i="5"/>
  <c r="E978" i="5"/>
  <c r="F978" i="5"/>
  <c r="G978" i="5"/>
  <c r="H978" i="5"/>
  <c r="I978" i="5"/>
  <c r="J978" i="5"/>
  <c r="K978" i="5"/>
  <c r="L978" i="5"/>
  <c r="M978" i="5"/>
  <c r="N978" i="5"/>
  <c r="O978" i="5"/>
  <c r="D979" i="5"/>
  <c r="E979" i="5"/>
  <c r="F979" i="5"/>
  <c r="G979" i="5"/>
  <c r="H979" i="5"/>
  <c r="I979" i="5"/>
  <c r="J979" i="5"/>
  <c r="K979" i="5"/>
  <c r="L979" i="5"/>
  <c r="M979" i="5"/>
  <c r="N979" i="5"/>
  <c r="O979" i="5"/>
  <c r="D980" i="5"/>
  <c r="E980" i="5"/>
  <c r="F980" i="5"/>
  <c r="G980" i="5"/>
  <c r="H980" i="5"/>
  <c r="I980" i="5"/>
  <c r="J980" i="5"/>
  <c r="K980" i="5"/>
  <c r="L980" i="5"/>
  <c r="M980" i="5"/>
  <c r="N980" i="5"/>
  <c r="O980" i="5"/>
  <c r="D981" i="5"/>
  <c r="E981" i="5"/>
  <c r="F981" i="5"/>
  <c r="G981" i="5"/>
  <c r="H981" i="5"/>
  <c r="I981" i="5"/>
  <c r="J981" i="5"/>
  <c r="K981" i="5"/>
  <c r="L981" i="5"/>
  <c r="M981" i="5"/>
  <c r="N981" i="5"/>
  <c r="O981" i="5"/>
  <c r="D982" i="5"/>
  <c r="E982" i="5"/>
  <c r="F982" i="5"/>
  <c r="G982" i="5"/>
  <c r="H982" i="5"/>
  <c r="I982" i="5"/>
  <c r="J982" i="5"/>
  <c r="K982" i="5"/>
  <c r="L982" i="5"/>
  <c r="M982" i="5"/>
  <c r="N982" i="5"/>
  <c r="O982" i="5"/>
  <c r="D983" i="5"/>
  <c r="E983" i="5"/>
  <c r="F983" i="5"/>
  <c r="G983" i="5"/>
  <c r="H983" i="5"/>
  <c r="I983" i="5"/>
  <c r="J983" i="5"/>
  <c r="K983" i="5"/>
  <c r="L983" i="5"/>
  <c r="M983" i="5"/>
  <c r="N983" i="5"/>
  <c r="O983" i="5"/>
  <c r="D984" i="5"/>
  <c r="E984" i="5"/>
  <c r="F984" i="5"/>
  <c r="G984" i="5"/>
  <c r="H984" i="5"/>
  <c r="I984" i="5"/>
  <c r="J984" i="5"/>
  <c r="K984" i="5"/>
  <c r="L984" i="5"/>
  <c r="M984" i="5"/>
  <c r="N984" i="5"/>
  <c r="O984" i="5"/>
  <c r="D985" i="5"/>
  <c r="E985" i="5"/>
  <c r="F985" i="5"/>
  <c r="G985" i="5"/>
  <c r="H985" i="5"/>
  <c r="I985" i="5"/>
  <c r="J985" i="5"/>
  <c r="K985" i="5"/>
  <c r="L985" i="5"/>
  <c r="M985" i="5"/>
  <c r="N985" i="5"/>
  <c r="O985" i="5"/>
  <c r="D986" i="5"/>
  <c r="E986" i="5"/>
  <c r="F986" i="5"/>
  <c r="G986" i="5"/>
  <c r="H986" i="5"/>
  <c r="I986" i="5"/>
  <c r="J986" i="5"/>
  <c r="K986" i="5"/>
  <c r="L986" i="5"/>
  <c r="M986" i="5"/>
  <c r="N986" i="5"/>
  <c r="O986" i="5"/>
  <c r="D987" i="5"/>
  <c r="E987" i="5"/>
  <c r="F987" i="5"/>
  <c r="G987" i="5"/>
  <c r="H987" i="5"/>
  <c r="I987" i="5"/>
  <c r="J987" i="5"/>
  <c r="K987" i="5"/>
  <c r="L987" i="5"/>
  <c r="M987" i="5"/>
  <c r="N987" i="5"/>
  <c r="O987" i="5"/>
  <c r="D988" i="5"/>
  <c r="E988" i="5"/>
  <c r="F988" i="5"/>
  <c r="G988" i="5"/>
  <c r="H988" i="5"/>
  <c r="I988" i="5"/>
  <c r="J988" i="5"/>
  <c r="K988" i="5"/>
  <c r="L988" i="5"/>
  <c r="M988" i="5"/>
  <c r="N988" i="5"/>
  <c r="O988" i="5"/>
  <c r="D989" i="5"/>
  <c r="E989" i="5"/>
  <c r="F989" i="5"/>
  <c r="G989" i="5"/>
  <c r="H989" i="5"/>
  <c r="I989" i="5"/>
  <c r="J989" i="5"/>
  <c r="K989" i="5"/>
  <c r="L989" i="5"/>
  <c r="M989" i="5"/>
  <c r="N989" i="5"/>
  <c r="O989" i="5"/>
  <c r="D990" i="5"/>
  <c r="E990" i="5"/>
  <c r="F990" i="5"/>
  <c r="G990" i="5"/>
  <c r="H990" i="5"/>
  <c r="I990" i="5"/>
  <c r="J990" i="5"/>
  <c r="K990" i="5"/>
  <c r="L990" i="5"/>
  <c r="M990" i="5"/>
  <c r="N990" i="5"/>
  <c r="O990" i="5"/>
  <c r="D991" i="5"/>
  <c r="E991" i="5"/>
  <c r="F991" i="5"/>
  <c r="G991" i="5"/>
  <c r="H991" i="5"/>
  <c r="I991" i="5"/>
  <c r="J991" i="5"/>
  <c r="K991" i="5"/>
  <c r="L991" i="5"/>
  <c r="M991" i="5"/>
  <c r="N991" i="5"/>
  <c r="O991" i="5"/>
  <c r="D992" i="5"/>
  <c r="E992" i="5"/>
  <c r="F992" i="5"/>
  <c r="G992" i="5"/>
  <c r="H992" i="5"/>
  <c r="I992" i="5"/>
  <c r="J992" i="5"/>
  <c r="K992" i="5"/>
  <c r="L992" i="5"/>
  <c r="M992" i="5"/>
  <c r="N992" i="5"/>
  <c r="O992" i="5"/>
  <c r="D993" i="5"/>
  <c r="E993" i="5"/>
  <c r="F993" i="5"/>
  <c r="G993" i="5"/>
  <c r="H993" i="5"/>
  <c r="I993" i="5"/>
  <c r="J993" i="5"/>
  <c r="K993" i="5"/>
  <c r="L993" i="5"/>
  <c r="M993" i="5"/>
  <c r="N993" i="5"/>
  <c r="O993" i="5"/>
  <c r="D994" i="5"/>
  <c r="E994" i="5"/>
  <c r="F994" i="5"/>
  <c r="G994" i="5"/>
  <c r="H994" i="5"/>
  <c r="I994" i="5"/>
  <c r="J994" i="5"/>
  <c r="K994" i="5"/>
  <c r="L994" i="5"/>
  <c r="M994" i="5"/>
  <c r="N994" i="5"/>
  <c r="O994" i="5"/>
  <c r="D995" i="5"/>
  <c r="E995" i="5"/>
  <c r="F995" i="5"/>
  <c r="G995" i="5"/>
  <c r="H995" i="5"/>
  <c r="I995" i="5"/>
  <c r="J995" i="5"/>
  <c r="K995" i="5"/>
  <c r="L995" i="5"/>
  <c r="M995" i="5"/>
  <c r="N995" i="5"/>
  <c r="O995" i="5"/>
  <c r="D996" i="5"/>
  <c r="E996" i="5"/>
  <c r="F996" i="5"/>
  <c r="G996" i="5"/>
  <c r="H996" i="5"/>
  <c r="I996" i="5"/>
  <c r="J996" i="5"/>
  <c r="K996" i="5"/>
  <c r="L996" i="5"/>
  <c r="M996" i="5"/>
  <c r="N996" i="5"/>
  <c r="O996" i="5"/>
  <c r="C997" i="5"/>
  <c r="C998" i="5" s="1"/>
  <c r="E3" i="5"/>
  <c r="F3" i="5"/>
  <c r="G3" i="5"/>
  <c r="H3" i="5"/>
  <c r="I3" i="5"/>
  <c r="J3" i="5"/>
  <c r="D3" i="5"/>
  <c r="S4" i="5"/>
  <c r="AE5" i="5"/>
  <c r="AG6" i="5"/>
  <c r="J6" i="5"/>
  <c r="L7" i="5"/>
  <c r="AD8" i="5"/>
  <c r="AE9" i="5"/>
  <c r="AG9" i="5"/>
  <c r="AL9" i="5"/>
  <c r="AJ10" i="5"/>
  <c r="AE16" i="5"/>
  <c r="G16" i="5"/>
  <c r="Y16" i="5"/>
  <c r="AE17" i="5"/>
  <c r="AE21" i="5"/>
  <c r="V21" i="5"/>
  <c r="W21" i="5"/>
  <c r="L21" i="5"/>
  <c r="E28" i="5"/>
  <c r="Q29" i="5"/>
  <c r="AO29" i="5"/>
  <c r="D30" i="5"/>
  <c r="AK33" i="5"/>
  <c r="AL33" i="5"/>
  <c r="AM33" i="5"/>
  <c r="O35" i="5"/>
  <c r="AE40" i="5"/>
  <c r="H40" i="5"/>
  <c r="I40" i="5"/>
  <c r="AJ40" i="5"/>
  <c r="R41" i="5"/>
  <c r="K41" i="5"/>
  <c r="AL41" i="5"/>
  <c r="S42" i="5"/>
  <c r="M42" i="5"/>
  <c r="AD44" i="5"/>
  <c r="G45" i="5"/>
  <c r="I45" i="5"/>
  <c r="AJ45" i="5"/>
  <c r="AK45" i="5"/>
  <c r="Y45" i="5"/>
  <c r="AB45" i="5"/>
  <c r="AK46" i="5"/>
  <c r="Y46" i="5"/>
  <c r="AE52" i="5"/>
  <c r="E53" i="5"/>
  <c r="AG53" i="5"/>
  <c r="AH53" i="5"/>
  <c r="O53" i="5"/>
  <c r="W54" i="5"/>
  <c r="Z55" i="5"/>
  <c r="Q57" i="5"/>
  <c r="AE57" i="5"/>
  <c r="AJ58" i="5"/>
  <c r="Z58" i="5"/>
  <c r="I59" i="5"/>
  <c r="D64" i="5"/>
  <c r="Y64" i="5"/>
  <c r="AE65" i="5"/>
  <c r="AO65" i="5"/>
  <c r="AG66" i="5"/>
  <c r="AH66" i="5"/>
  <c r="AI66" i="5"/>
  <c r="L67" i="5"/>
  <c r="AE69" i="5"/>
  <c r="K69" i="5"/>
  <c r="AO69" i="5"/>
  <c r="AD70" i="5"/>
  <c r="G72" i="5"/>
  <c r="AJ76" i="5"/>
  <c r="AK76" i="5"/>
  <c r="AB76" i="5"/>
  <c r="AE77" i="5"/>
  <c r="V77" i="5"/>
  <c r="AE81" i="5"/>
  <c r="T82" i="5"/>
  <c r="Q83" i="5"/>
  <c r="AE88" i="5"/>
  <c r="AJ88" i="5"/>
  <c r="X88" i="5"/>
  <c r="Y88" i="5"/>
  <c r="R89" i="5"/>
  <c r="K89" i="5"/>
  <c r="AM89" i="5"/>
  <c r="Q90" i="5"/>
  <c r="AM90" i="5"/>
  <c r="S93" i="5"/>
  <c r="X93" i="5"/>
  <c r="Q100" i="5"/>
  <c r="F100" i="5"/>
  <c r="AH101" i="5"/>
  <c r="Q104" i="5"/>
  <c r="AE105" i="5"/>
  <c r="AJ105" i="5"/>
  <c r="M106" i="5"/>
  <c r="AD112" i="5"/>
  <c r="D113" i="5"/>
  <c r="AG113" i="5"/>
  <c r="W113" i="5"/>
  <c r="M116" i="5"/>
  <c r="AE117" i="5"/>
  <c r="W117" i="5"/>
  <c r="F119" i="5"/>
  <c r="D121" i="5"/>
  <c r="S124" i="5"/>
  <c r="AO124" i="5"/>
  <c r="R125" i="5"/>
  <c r="AM125" i="5"/>
  <c r="AO125" i="5"/>
  <c r="AJ127" i="5"/>
  <c r="D129" i="5"/>
  <c r="AI129" i="5"/>
  <c r="M129" i="5"/>
  <c r="O129" i="5"/>
  <c r="R136" i="5"/>
  <c r="AJ136" i="5"/>
  <c r="AK136" i="5"/>
  <c r="R137" i="5"/>
  <c r="AK137" i="5"/>
  <c r="Y137" i="5"/>
  <c r="AG138" i="5"/>
  <c r="U140" i="5"/>
  <c r="W140" i="5"/>
  <c r="AE141" i="5"/>
  <c r="U141" i="5"/>
  <c r="AM141" i="5"/>
  <c r="AO141" i="5"/>
  <c r="X142" i="5"/>
  <c r="G149" i="5"/>
  <c r="M149" i="5"/>
  <c r="AJ150" i="5"/>
  <c r="G151" i="5"/>
  <c r="AE153" i="5"/>
  <c r="Y153" i="5"/>
  <c r="Z154" i="5"/>
  <c r="AD160" i="5"/>
  <c r="V160" i="5"/>
  <c r="AE161" i="5"/>
  <c r="AK161" i="5"/>
  <c r="I163" i="5"/>
  <c r="AM172" i="5"/>
  <c r="Z173" i="5"/>
  <c r="AD174" i="5"/>
  <c r="K174" i="5"/>
  <c r="AA176" i="5"/>
  <c r="AO176" i="5"/>
  <c r="F177" i="5"/>
  <c r="V177" i="5"/>
  <c r="I179" i="5"/>
  <c r="AE184" i="5"/>
  <c r="R185" i="5"/>
  <c r="K185" i="5"/>
  <c r="AL185" i="5"/>
  <c r="AM185" i="5"/>
  <c r="AB185" i="5"/>
  <c r="O186" i="5"/>
  <c r="AD188" i="5"/>
  <c r="R189" i="5"/>
  <c r="Y189" i="5"/>
  <c r="T196" i="5"/>
  <c r="AL196" i="5"/>
  <c r="AE197" i="5"/>
  <c r="AG197" i="5"/>
  <c r="AM199" i="5"/>
  <c r="O199" i="5"/>
  <c r="AE201" i="5"/>
  <c r="AL201" i="5"/>
  <c r="AI202" i="5"/>
  <c r="Z202" i="5"/>
  <c r="W204" i="5"/>
  <c r="AI206" i="5"/>
  <c r="AD208" i="5"/>
  <c r="R208" i="5"/>
  <c r="AD209" i="5"/>
  <c r="AE209" i="5"/>
  <c r="S209" i="5"/>
  <c r="AI210" i="5"/>
  <c r="AE213" i="5"/>
  <c r="AJ213" i="5"/>
  <c r="F214" i="5"/>
  <c r="F215" i="5"/>
  <c r="R220" i="5"/>
  <c r="AL220" i="5"/>
  <c r="AM220" i="5"/>
  <c r="AE221" i="5"/>
  <c r="I221" i="5"/>
  <c r="AJ223" i="5"/>
  <c r="L223" i="5"/>
  <c r="AE225" i="5"/>
  <c r="V225" i="5"/>
  <c r="AJ225" i="5"/>
  <c r="AG226" i="5"/>
  <c r="AE232" i="5"/>
  <c r="AK232" i="5"/>
  <c r="L232" i="5"/>
  <c r="R233" i="5"/>
  <c r="H233" i="5"/>
  <c r="Z233" i="5"/>
  <c r="AB233" i="5"/>
  <c r="AG236" i="5"/>
  <c r="AH236" i="5"/>
  <c r="R237" i="5"/>
  <c r="Z237" i="5"/>
  <c r="AB237" i="5"/>
  <c r="Z238" i="5"/>
  <c r="AL244" i="5"/>
  <c r="AE245" i="5"/>
  <c r="AH245" i="5"/>
  <c r="Z245" i="5"/>
  <c r="J246" i="5"/>
  <c r="O246" i="5"/>
  <c r="AO247" i="5"/>
  <c r="AE249" i="5"/>
  <c r="AL249" i="5"/>
  <c r="AJ250" i="5"/>
  <c r="AM256" i="5"/>
  <c r="AD257" i="5"/>
  <c r="I258" i="5"/>
  <c r="N259" i="5"/>
  <c r="J262" i="5"/>
  <c r="F268" i="5"/>
  <c r="M268" i="5"/>
  <c r="AO268" i="5"/>
  <c r="R269" i="5"/>
  <c r="AF269" i="5"/>
  <c r="O269" i="5"/>
  <c r="AF270" i="5"/>
  <c r="H272" i="5"/>
  <c r="K272" i="5"/>
  <c r="AF273" i="5"/>
  <c r="AG273" i="5"/>
  <c r="AJ273" i="5"/>
  <c r="AH274" i="5"/>
  <c r="AE280" i="5"/>
  <c r="AK280" i="5"/>
  <c r="AL280" i="5"/>
  <c r="M280" i="5"/>
  <c r="X281" i="5"/>
  <c r="AN282" i="5"/>
  <c r="AL284" i="5"/>
  <c r="S285" i="5"/>
  <c r="AM285" i="5"/>
  <c r="AF286" i="5"/>
  <c r="K286" i="5"/>
  <c r="M286" i="5"/>
  <c r="R292" i="5"/>
  <c r="AG292" i="5"/>
  <c r="AH292" i="5"/>
  <c r="AJ292" i="5"/>
  <c r="AO292" i="5"/>
  <c r="I293" i="5"/>
  <c r="Y294" i="5"/>
  <c r="AF296" i="5"/>
  <c r="AM297" i="5"/>
  <c r="AG299" i="5"/>
  <c r="AG304" i="5"/>
  <c r="AL304" i="5"/>
  <c r="AE305" i="5"/>
  <c r="AG305" i="5"/>
  <c r="U305" i="5"/>
  <c r="AI305" i="5"/>
  <c r="J306" i="5"/>
  <c r="AO306" i="5"/>
  <c r="S307" i="5"/>
  <c r="Y309" i="5"/>
  <c r="AH310" i="5"/>
  <c r="AL311" i="5"/>
  <c r="AE316" i="5"/>
  <c r="T316" i="5"/>
  <c r="N316" i="5"/>
  <c r="AF317" i="5"/>
  <c r="T317" i="5"/>
  <c r="AH317" i="5"/>
  <c r="L317" i="5"/>
  <c r="AM317" i="5"/>
  <c r="AF321" i="5"/>
  <c r="AJ321" i="5"/>
  <c r="X321" i="5"/>
  <c r="L322" i="5"/>
  <c r="Q328" i="5"/>
  <c r="T328" i="5"/>
  <c r="O329" i="5"/>
  <c r="AH331" i="5"/>
  <c r="AG333" i="5"/>
  <c r="AI333" i="5"/>
  <c r="L333" i="5"/>
  <c r="AO333" i="5"/>
  <c r="H335" i="5"/>
  <c r="R340" i="5"/>
  <c r="AE341" i="5"/>
  <c r="AM341" i="5"/>
  <c r="AJ343" i="5"/>
  <c r="G345" i="5"/>
  <c r="AH346" i="5"/>
  <c r="V346" i="5"/>
  <c r="AG348" i="5"/>
  <c r="L348" i="5"/>
  <c r="K352" i="5"/>
  <c r="AM352" i="5"/>
  <c r="R353" i="5"/>
  <c r="K353" i="5"/>
  <c r="AL353" i="5"/>
  <c r="AJ354" i="5"/>
  <c r="AA354" i="5"/>
  <c r="U355" i="5"/>
  <c r="AJ357" i="5"/>
  <c r="W358" i="5"/>
  <c r="AM358" i="5"/>
  <c r="AE364" i="5"/>
  <c r="N364" i="5"/>
  <c r="O364" i="5"/>
  <c r="H365" i="5"/>
  <c r="AM365" i="5"/>
  <c r="AM366" i="5"/>
  <c r="AH368" i="5"/>
  <c r="K369" i="5"/>
  <c r="L369" i="5"/>
  <c r="AK376" i="5"/>
  <c r="O377" i="5"/>
  <c r="AL378" i="5"/>
  <c r="U380" i="5"/>
  <c r="AH381" i="5"/>
  <c r="L381" i="5"/>
  <c r="H382" i="5"/>
  <c r="AJ382" i="5"/>
  <c r="I383" i="5"/>
  <c r="AB385" i="5"/>
  <c r="AG388" i="5"/>
  <c r="U388" i="5"/>
  <c r="Z388" i="5"/>
  <c r="N388" i="5"/>
  <c r="AO388" i="5"/>
  <c r="E389" i="5"/>
  <c r="S389" i="5"/>
  <c r="AM389" i="5"/>
  <c r="AO389" i="5"/>
  <c r="R390" i="5"/>
  <c r="U390" i="5"/>
  <c r="H391" i="5"/>
  <c r="X391" i="5"/>
  <c r="G392" i="5"/>
  <c r="F393" i="5"/>
  <c r="AM393" i="5"/>
  <c r="AM400" i="5"/>
  <c r="R401" i="5"/>
  <c r="S401" i="5"/>
  <c r="AH401" i="5"/>
  <c r="AK401" i="5"/>
  <c r="R402" i="5"/>
  <c r="AG405" i="5"/>
  <c r="AM405" i="5"/>
  <c r="AB405" i="5"/>
  <c r="AD406" i="5"/>
  <c r="AE406" i="5"/>
  <c r="AI406" i="5"/>
  <c r="L407" i="5"/>
  <c r="T408" i="5"/>
  <c r="AJ412" i="5"/>
  <c r="S413" i="5"/>
  <c r="G413" i="5"/>
  <c r="AI414" i="5"/>
  <c r="W415" i="5"/>
  <c r="AG416" i="5"/>
  <c r="AE417" i="5"/>
  <c r="AF417" i="5"/>
  <c r="AG417" i="5"/>
  <c r="X417" i="5"/>
  <c r="Z417" i="5"/>
  <c r="J418" i="5"/>
  <c r="AK418" i="5"/>
  <c r="R424" i="5"/>
  <c r="AM424" i="5"/>
  <c r="O424" i="5"/>
  <c r="AD425" i="5"/>
  <c r="X425" i="5"/>
  <c r="E427" i="5"/>
  <c r="K428" i="5"/>
  <c r="AL428" i="5"/>
  <c r="AF429" i="5"/>
  <c r="L429" i="5"/>
  <c r="AM429" i="5"/>
  <c r="AD430" i="5"/>
  <c r="U430" i="5"/>
  <c r="AJ430" i="5"/>
  <c r="AK430" i="5"/>
  <c r="E436" i="5"/>
  <c r="Z436" i="5"/>
  <c r="V437" i="5"/>
  <c r="AM437" i="5"/>
  <c r="D438" i="5"/>
  <c r="E438" i="5"/>
  <c r="AJ439" i="5"/>
  <c r="S441" i="5"/>
  <c r="G441" i="5"/>
  <c r="I441" i="5"/>
  <c r="AJ441" i="5"/>
  <c r="AM441" i="5"/>
  <c r="O441" i="5"/>
  <c r="E442" i="5"/>
  <c r="AG448" i="5"/>
  <c r="Z448" i="5"/>
  <c r="N448" i="5"/>
  <c r="O448" i="5"/>
  <c r="Q449" i="5"/>
  <c r="AH449" i="5"/>
  <c r="AI449" i="5"/>
  <c r="G450" i="5"/>
  <c r="AL450" i="5"/>
  <c r="K451" i="5"/>
  <c r="AO451" i="5"/>
  <c r="D452" i="5"/>
  <c r="H453" i="5"/>
  <c r="E454" i="5"/>
  <c r="K454" i="5"/>
  <c r="O454" i="5"/>
  <c r="AL455" i="5"/>
  <c r="T457" i="5"/>
  <c r="AG460" i="5"/>
  <c r="AK460" i="5"/>
  <c r="L460" i="5"/>
  <c r="S461" i="5"/>
  <c r="U461" i="5"/>
  <c r="AI461" i="5"/>
  <c r="AM461" i="5"/>
  <c r="L462" i="5"/>
  <c r="AO462" i="5"/>
  <c r="D463" i="5"/>
  <c r="E464" i="5"/>
  <c r="G464" i="5"/>
  <c r="AB464" i="5"/>
  <c r="AG465" i="5"/>
  <c r="AH465" i="5"/>
  <c r="AM465" i="5"/>
  <c r="G466" i="5"/>
  <c r="AH466" i="5"/>
  <c r="G467" i="5"/>
  <c r="G468" i="5"/>
  <c r="AE472" i="5"/>
  <c r="AM472" i="5"/>
  <c r="N472" i="5"/>
  <c r="E473" i="5"/>
  <c r="S473" i="5"/>
  <c r="AO473" i="5"/>
  <c r="R474" i="5"/>
  <c r="O474" i="5"/>
  <c r="D475" i="5"/>
  <c r="Y476" i="5"/>
  <c r="AF477" i="5"/>
  <c r="T477" i="5"/>
  <c r="AI477" i="5"/>
  <c r="AM477" i="5"/>
  <c r="AH478" i="5"/>
  <c r="AI478" i="5"/>
  <c r="X478" i="5"/>
  <c r="AG484" i="5"/>
  <c r="AM484" i="5"/>
  <c r="N484" i="5"/>
  <c r="AE485" i="5"/>
  <c r="AN485" i="5"/>
  <c r="AI486" i="5"/>
  <c r="H487" i="5"/>
  <c r="I487" i="5"/>
  <c r="AK487" i="5"/>
  <c r="AL488" i="5"/>
  <c r="Z489" i="5"/>
  <c r="G490" i="5"/>
  <c r="AK490" i="5"/>
  <c r="I491" i="5"/>
  <c r="AJ491" i="5"/>
  <c r="R497" i="5"/>
  <c r="S497" i="5"/>
  <c r="G497" i="5"/>
  <c r="AK497" i="5"/>
  <c r="M497" i="5"/>
  <c r="N497" i="5"/>
  <c r="AE498" i="5"/>
  <c r="T498" i="5"/>
  <c r="AO499" i="5"/>
  <c r="Q501" i="5"/>
  <c r="S501" i="5"/>
  <c r="AG501" i="5"/>
  <c r="AG502" i="5"/>
  <c r="AH502" i="5"/>
  <c r="I502" i="5"/>
  <c r="AL503" i="5"/>
  <c r="AF508" i="5"/>
  <c r="AJ508" i="5"/>
  <c r="AA508" i="5"/>
  <c r="H509" i="5"/>
  <c r="AK509" i="5"/>
  <c r="AN509" i="5"/>
  <c r="AL510" i="5"/>
  <c r="Q511" i="5"/>
  <c r="AH511" i="5"/>
  <c r="E512" i="5"/>
  <c r="AG512" i="5"/>
  <c r="AH512" i="5"/>
  <c r="AF513" i="5"/>
  <c r="AH513" i="5"/>
  <c r="AK513" i="5"/>
  <c r="AG514" i="5"/>
  <c r="AH514" i="5"/>
  <c r="AJ514" i="5"/>
  <c r="AK514" i="5"/>
  <c r="AL514" i="5"/>
  <c r="E515" i="5"/>
  <c r="AE3" i="5"/>
  <c r="AF3" i="5"/>
  <c r="AG3" i="5"/>
  <c r="W3" i="5"/>
  <c r="K3" i="5"/>
  <c r="L3" i="5"/>
  <c r="M3" i="5"/>
  <c r="N3" i="5"/>
  <c r="AO3" i="5"/>
  <c r="AD3" i="5"/>
  <c r="W2" i="1"/>
  <c r="AG185" i="1"/>
  <c r="AH162" i="1"/>
  <c r="AG162" i="1"/>
  <c r="AF162" i="1"/>
  <c r="AE162" i="1"/>
  <c r="AD162" i="1"/>
  <c r="AD160" i="1" s="1"/>
  <c r="AC162" i="1"/>
  <c r="AB162" i="1"/>
  <c r="AA162" i="1"/>
  <c r="Z162" i="1"/>
  <c r="Y162" i="1"/>
  <c r="X162" i="1"/>
  <c r="W162" i="1"/>
  <c r="AH161" i="1"/>
  <c r="AG161" i="1"/>
  <c r="AF161" i="1"/>
  <c r="AE161" i="1"/>
  <c r="AE160" i="1" s="1"/>
  <c r="AD161" i="1"/>
  <c r="AC161" i="1"/>
  <c r="AC160" i="1" s="1"/>
  <c r="AB161" i="1"/>
  <c r="AB160" i="1" s="1"/>
  <c r="AA161" i="1"/>
  <c r="Z161" i="1"/>
  <c r="Y161" i="1"/>
  <c r="X161" i="1"/>
  <c r="W161" i="1"/>
  <c r="W160" i="1" s="1"/>
  <c r="AH160" i="1"/>
  <c r="AG160" i="1"/>
  <c r="AF160" i="1"/>
  <c r="AA160" i="1"/>
  <c r="Z160" i="1"/>
  <c r="Y160" i="1"/>
  <c r="X160" i="1"/>
  <c r="AH159" i="1"/>
  <c r="AG159" i="1"/>
  <c r="AF159" i="1"/>
  <c r="AE159" i="1"/>
  <c r="AD159" i="1"/>
  <c r="AC159" i="1"/>
  <c r="AB159" i="1"/>
  <c r="AA159" i="1"/>
  <c r="Z159" i="1"/>
  <c r="Y159" i="1"/>
  <c r="X159" i="1"/>
  <c r="W159" i="1"/>
  <c r="U159" i="1" s="1"/>
  <c r="AH158" i="1"/>
  <c r="AG158" i="1"/>
  <c r="AF158" i="1"/>
  <c r="AE158" i="1"/>
  <c r="AD158" i="1"/>
  <c r="AC158" i="1"/>
  <c r="AB158" i="1"/>
  <c r="AA158" i="1"/>
  <c r="Z158" i="1"/>
  <c r="Y158" i="1"/>
  <c r="X158" i="1"/>
  <c r="W158" i="1"/>
  <c r="U158" i="1" s="1"/>
  <c r="AH157" i="1"/>
  <c r="AG157" i="1"/>
  <c r="AF157" i="1"/>
  <c r="AE157" i="1"/>
  <c r="AD157" i="1"/>
  <c r="AC157" i="1"/>
  <c r="AB157" i="1"/>
  <c r="AA157" i="1"/>
  <c r="Z157" i="1"/>
  <c r="Y157" i="1"/>
  <c r="X157" i="1"/>
  <c r="W157" i="1"/>
  <c r="U157" i="1" s="1"/>
  <c r="AH156" i="1"/>
  <c r="AG156" i="1"/>
  <c r="AF156" i="1"/>
  <c r="AE156" i="1"/>
  <c r="AD156" i="1"/>
  <c r="AC156" i="1"/>
  <c r="AB156" i="1"/>
  <c r="AA156" i="1"/>
  <c r="Z156" i="1"/>
  <c r="Y156" i="1"/>
  <c r="X156" i="1"/>
  <c r="W156" i="1"/>
  <c r="U156" i="1" s="1"/>
  <c r="AH155" i="1"/>
  <c r="AG155" i="1"/>
  <c r="AF155" i="1"/>
  <c r="AE155" i="1"/>
  <c r="AD155" i="1"/>
  <c r="AC155" i="1"/>
  <c r="AB155" i="1"/>
  <c r="AA155" i="1"/>
  <c r="Z155" i="1"/>
  <c r="Y155" i="1"/>
  <c r="X155" i="1"/>
  <c r="W155" i="1"/>
  <c r="U155" i="1" s="1"/>
  <c r="AH154" i="1"/>
  <c r="AG154" i="1"/>
  <c r="AF154" i="1"/>
  <c r="AE154" i="1"/>
  <c r="AD154" i="1"/>
  <c r="AD153" i="1" s="1"/>
  <c r="AC154" i="1"/>
  <c r="AC153" i="1" s="1"/>
  <c r="AB154" i="1"/>
  <c r="AB153" i="1" s="1"/>
  <c r="AA154" i="1"/>
  <c r="AA153" i="1" s="1"/>
  <c r="Z154" i="1"/>
  <c r="Z153" i="1" s="1"/>
  <c r="Y154" i="1"/>
  <c r="Y153" i="1" s="1"/>
  <c r="X154" i="1"/>
  <c r="X153" i="1" s="1"/>
  <c r="W154" i="1"/>
  <c r="U154" i="1" s="1"/>
  <c r="AH153" i="1"/>
  <c r="AG153" i="1"/>
  <c r="AF153" i="1"/>
  <c r="AH152" i="1"/>
  <c r="AG152" i="1"/>
  <c r="AF152" i="1"/>
  <c r="AE152" i="1"/>
  <c r="AD152" i="1"/>
  <c r="AC152" i="1"/>
  <c r="AB152" i="1"/>
  <c r="AA152" i="1"/>
  <c r="Z152" i="1"/>
  <c r="Y152" i="1"/>
  <c r="X152" i="1"/>
  <c r="W152" i="1"/>
  <c r="U152" i="1" s="1"/>
  <c r="AH151" i="1"/>
  <c r="AG151" i="1"/>
  <c r="AF151" i="1"/>
  <c r="AE151" i="1"/>
  <c r="AD151" i="1"/>
  <c r="AC151" i="1"/>
  <c r="AB151" i="1"/>
  <c r="AA151" i="1"/>
  <c r="Z151" i="1"/>
  <c r="Y151" i="1"/>
  <c r="X151" i="1"/>
  <c r="W151" i="1"/>
  <c r="U151" i="1" s="1"/>
  <c r="AH150" i="1"/>
  <c r="AG150" i="1"/>
  <c r="AF150" i="1"/>
  <c r="AE150" i="1"/>
  <c r="AD150" i="1"/>
  <c r="AC150" i="1"/>
  <c r="AB150" i="1"/>
  <c r="AA150" i="1"/>
  <c r="Z150" i="1"/>
  <c r="Y150" i="1"/>
  <c r="X150" i="1"/>
  <c r="W150" i="1"/>
  <c r="U150" i="1" s="1"/>
  <c r="AH149" i="1"/>
  <c r="AG149" i="1"/>
  <c r="AF149" i="1"/>
  <c r="AE149" i="1"/>
  <c r="AD149" i="1"/>
  <c r="AC149" i="1"/>
  <c r="AB149" i="1"/>
  <c r="AA149" i="1"/>
  <c r="Z149" i="1"/>
  <c r="Y149" i="1"/>
  <c r="X149" i="1"/>
  <c r="W149" i="1"/>
  <c r="U149" i="1" s="1"/>
  <c r="AH148" i="1"/>
  <c r="AG148" i="1"/>
  <c r="AF148" i="1"/>
  <c r="AE148" i="1"/>
  <c r="AD148" i="1"/>
  <c r="AC148" i="1"/>
  <c r="AB148" i="1"/>
  <c r="AA148" i="1"/>
  <c r="Z148" i="1"/>
  <c r="Y148" i="1"/>
  <c r="X148" i="1"/>
  <c r="W148" i="1"/>
  <c r="U148" i="1" s="1"/>
  <c r="AH147" i="1"/>
  <c r="AG147" i="1"/>
  <c r="AF147" i="1"/>
  <c r="AF146" i="1" s="1"/>
  <c r="AF185" i="1" s="1"/>
  <c r="AE147" i="1"/>
  <c r="AD147" i="1"/>
  <c r="AD146" i="1" s="1"/>
  <c r="AD185" i="1" s="1"/>
  <c r="AC147" i="1"/>
  <c r="AC146" i="1" s="1"/>
  <c r="AC185" i="1" s="1"/>
  <c r="AB147" i="1"/>
  <c r="AB146" i="1" s="1"/>
  <c r="AB185" i="1" s="1"/>
  <c r="AA147" i="1"/>
  <c r="AA146" i="1" s="1"/>
  <c r="AA185" i="1" s="1"/>
  <c r="Z147" i="1"/>
  <c r="Z146" i="1" s="1"/>
  <c r="Z185" i="1" s="1"/>
  <c r="Y147" i="1"/>
  <c r="Y146" i="1" s="1"/>
  <c r="Y185" i="1" s="1"/>
  <c r="X147" i="1"/>
  <c r="X146" i="1" s="1"/>
  <c r="X185" i="1" s="1"/>
  <c r="W147" i="1"/>
  <c r="U147" i="1" s="1"/>
  <c r="AH146" i="1"/>
  <c r="AH185" i="1" s="1"/>
  <c r="AG146" i="1"/>
  <c r="AB137" i="1"/>
  <c r="AA137" i="1"/>
  <c r="Y137" i="1"/>
  <c r="AD137" i="1"/>
  <c r="AC137" i="1"/>
  <c r="AI138" i="1"/>
  <c r="AH137" i="1"/>
  <c r="AG137" i="1"/>
  <c r="AF137" i="1"/>
  <c r="AE137" i="1"/>
  <c r="Z137" i="1"/>
  <c r="X137" i="1"/>
  <c r="AG132" i="1"/>
  <c r="AI134" i="1"/>
  <c r="AH132" i="1"/>
  <c r="AF132" i="1"/>
  <c r="AD132" i="1"/>
  <c r="X132" i="1"/>
  <c r="U132" i="1" s="1"/>
  <c r="W132" i="1"/>
  <c r="AE132" i="1"/>
  <c r="AC132" i="1"/>
  <c r="AB132" i="1"/>
  <c r="AA132" i="1"/>
  <c r="Z132" i="1"/>
  <c r="Y132" i="1"/>
  <c r="AI131" i="1"/>
  <c r="AI130" i="1"/>
  <c r="AI129" i="1"/>
  <c r="AH128" i="1"/>
  <c r="AG128" i="1"/>
  <c r="AF128" i="1"/>
  <c r="AE128" i="1"/>
  <c r="AD128" i="1"/>
  <c r="AC128" i="1"/>
  <c r="AB128" i="1"/>
  <c r="AA128" i="1"/>
  <c r="Z128" i="1"/>
  <c r="Y128" i="1"/>
  <c r="X128" i="1"/>
  <c r="W128" i="1"/>
  <c r="AI128" i="1" s="1"/>
  <c r="AI127" i="1"/>
  <c r="AI126" i="1"/>
  <c r="AG122" i="1"/>
  <c r="AF122" i="1"/>
  <c r="AD122" i="1"/>
  <c r="AB122" i="1"/>
  <c r="AH122" i="1"/>
  <c r="AC122" i="1"/>
  <c r="AA122" i="1"/>
  <c r="Z122" i="1"/>
  <c r="Y122" i="1"/>
  <c r="X122" i="1"/>
  <c r="W122" i="1"/>
  <c r="AI107" i="1"/>
  <c r="AI93" i="1"/>
  <c r="AI62" i="1"/>
  <c r="AI45" i="1"/>
  <c r="X27" i="1"/>
  <c r="AG27" i="1"/>
  <c r="AG183" i="1" s="1"/>
  <c r="AF27" i="1"/>
  <c r="AF183" i="1" s="1"/>
  <c r="AH23" i="1"/>
  <c r="AG23" i="1"/>
  <c r="AF23" i="1"/>
  <c r="AE23" i="1"/>
  <c r="AD23" i="1"/>
  <c r="AC23" i="1"/>
  <c r="AB23" i="1"/>
  <c r="AA23" i="1"/>
  <c r="Z23" i="1"/>
  <c r="Y23" i="1"/>
  <c r="X23" i="1"/>
  <c r="W23" i="1"/>
  <c r="AI14" i="1"/>
  <c r="AI12" i="1"/>
  <c r="AI11" i="1"/>
  <c r="AI10" i="1"/>
  <c r="AH9" i="1"/>
  <c r="U9" i="1" s="1"/>
  <c r="AG9" i="1"/>
  <c r="AF9" i="1"/>
  <c r="AE9" i="1"/>
  <c r="AD9" i="1"/>
  <c r="AC9" i="1"/>
  <c r="AB9" i="1"/>
  <c r="AA9" i="1"/>
  <c r="Z9" i="1"/>
  <c r="Y9" i="1"/>
  <c r="X9" i="1"/>
  <c r="W9" i="1"/>
  <c r="AI8" i="1"/>
  <c r="AI7" i="1"/>
  <c r="AI6" i="1"/>
  <c r="AH5" i="1"/>
  <c r="AH179" i="1" s="1"/>
  <c r="AG5" i="1"/>
  <c r="AG179" i="1" s="1"/>
  <c r="AF5" i="1"/>
  <c r="AF179" i="1" s="1"/>
  <c r="AE5" i="1"/>
  <c r="AE179" i="1" s="1"/>
  <c r="AD5" i="1"/>
  <c r="AD179" i="1" s="1"/>
  <c r="AC5" i="1"/>
  <c r="AC179" i="1" s="1"/>
  <c r="AB5" i="1"/>
  <c r="AB179" i="1" s="1"/>
  <c r="AA5" i="1"/>
  <c r="AA179" i="1" s="1"/>
  <c r="Z5" i="1"/>
  <c r="Z179" i="1" s="1"/>
  <c r="Y5" i="1"/>
  <c r="Y179" i="1" s="1"/>
  <c r="X5" i="1"/>
  <c r="X179" i="1" s="1"/>
  <c r="W5" i="1"/>
  <c r="W179" i="1" s="1"/>
  <c r="AH4" i="1"/>
  <c r="AH178" i="1" s="1"/>
  <c r="AG4" i="1"/>
  <c r="AG178" i="1" s="1"/>
  <c r="AF4" i="1"/>
  <c r="AF178" i="1" s="1"/>
  <c r="AE4" i="1"/>
  <c r="AE178" i="1" s="1"/>
  <c r="AD4" i="1"/>
  <c r="AD178" i="1" s="1"/>
  <c r="AC4" i="1"/>
  <c r="AC2" i="1" s="1"/>
  <c r="AB4" i="1"/>
  <c r="AB178" i="1" s="1"/>
  <c r="AA4" i="1"/>
  <c r="AA178" i="1" s="1"/>
  <c r="Z4" i="1"/>
  <c r="Z178" i="1" s="1"/>
  <c r="Y4" i="1"/>
  <c r="Y178" i="1" s="1"/>
  <c r="X4" i="1"/>
  <c r="X178" i="1" s="1"/>
  <c r="W4" i="1"/>
  <c r="U4" i="1" s="1"/>
  <c r="AH2" i="1" l="1"/>
  <c r="AB2" i="1"/>
  <c r="U5" i="1"/>
  <c r="Y2" i="1"/>
  <c r="X2" i="1"/>
  <c r="U2" i="1" s="1"/>
  <c r="AE2" i="1"/>
  <c r="AF2" i="1"/>
  <c r="S177" i="9"/>
  <c r="S176" i="9" s="1"/>
  <c r="G25" i="9"/>
  <c r="E56" i="9"/>
  <c r="E63" i="9"/>
  <c r="G69" i="9"/>
  <c r="E82" i="9"/>
  <c r="G115" i="9"/>
  <c r="E133" i="9"/>
  <c r="G169" i="9"/>
  <c r="AD2" i="9"/>
  <c r="AF177" i="9" s="1"/>
  <c r="G29" i="9"/>
  <c r="G39" i="9"/>
  <c r="E65" i="9"/>
  <c r="G70" i="9"/>
  <c r="E124" i="9"/>
  <c r="G127" i="9"/>
  <c r="G79" i="9"/>
  <c r="G64" i="9"/>
  <c r="E72" i="9"/>
  <c r="G22" i="9"/>
  <c r="G132" i="9"/>
  <c r="G36" i="9"/>
  <c r="E9" i="9"/>
  <c r="E169" i="9"/>
  <c r="E10" i="9"/>
  <c r="E16" i="9"/>
  <c r="G23" i="9"/>
  <c r="E32" i="9"/>
  <c r="G76" i="9"/>
  <c r="G82" i="9"/>
  <c r="G118" i="9"/>
  <c r="G59" i="9"/>
  <c r="E113" i="9"/>
  <c r="E98" i="9"/>
  <c r="E168" i="9"/>
  <c r="E164" i="9"/>
  <c r="X2" i="9"/>
  <c r="Q2" i="9"/>
  <c r="G16" i="9"/>
  <c r="G20" i="9"/>
  <c r="E109" i="9"/>
  <c r="G122" i="9"/>
  <c r="E142" i="9"/>
  <c r="E18" i="9"/>
  <c r="E68" i="9"/>
  <c r="E129" i="9"/>
  <c r="E151" i="9"/>
  <c r="G2" i="9"/>
  <c r="G68" i="9"/>
  <c r="G151" i="9"/>
  <c r="G158" i="9"/>
  <c r="G52" i="9"/>
  <c r="E4" i="9"/>
  <c r="E11" i="9"/>
  <c r="E36" i="9"/>
  <c r="E81" i="9"/>
  <c r="E105" i="9"/>
  <c r="E55" i="9"/>
  <c r="E15" i="9"/>
  <c r="E29" i="9"/>
  <c r="E31" i="9"/>
  <c r="G106" i="9"/>
  <c r="E137" i="9"/>
  <c r="S2" i="9"/>
  <c r="AH2" i="9"/>
  <c r="E14" i="9"/>
  <c r="G17" i="9"/>
  <c r="G24" i="9"/>
  <c r="E42" i="9"/>
  <c r="E59" i="9"/>
  <c r="G83" i="9"/>
  <c r="E90" i="9"/>
  <c r="E96" i="9"/>
  <c r="G125" i="9"/>
  <c r="E172" i="9"/>
  <c r="AC177" i="9"/>
  <c r="AC176" i="9" s="1"/>
  <c r="AA22" i="9"/>
  <c r="AD177" i="9"/>
  <c r="AD176" i="9" s="1"/>
  <c r="AB22" i="9"/>
  <c r="U23" i="9"/>
  <c r="P31" i="9"/>
  <c r="T109" i="9"/>
  <c r="M2" i="9"/>
  <c r="O177" i="9" s="1"/>
  <c r="O176" i="9" s="1"/>
  <c r="AE177" i="9"/>
  <c r="AE176" i="9" s="1"/>
  <c r="T5" i="9"/>
  <c r="AA37" i="9"/>
  <c r="AA184" i="9" s="1"/>
  <c r="I42" i="9"/>
  <c r="O42" i="9"/>
  <c r="H42" i="9"/>
  <c r="Q42" i="9"/>
  <c r="Q37" i="9" s="1"/>
  <c r="Q184" i="9" s="1"/>
  <c r="P42" i="9"/>
  <c r="N42" i="9"/>
  <c r="M42" i="9"/>
  <c r="L42" i="9"/>
  <c r="K42" i="9"/>
  <c r="J42" i="9"/>
  <c r="S42" i="9"/>
  <c r="T55" i="9"/>
  <c r="H58" i="9"/>
  <c r="S58" i="9"/>
  <c r="G58" i="9"/>
  <c r="O58" i="9"/>
  <c r="I58" i="9"/>
  <c r="J58" i="9"/>
  <c r="R58" i="9"/>
  <c r="Q58" i="9"/>
  <c r="P58" i="9"/>
  <c r="N58" i="9"/>
  <c r="L58" i="9"/>
  <c r="M58" i="9"/>
  <c r="K58" i="9"/>
  <c r="T106" i="9"/>
  <c r="AI34" i="9"/>
  <c r="AI16" i="9"/>
  <c r="AI28" i="9"/>
  <c r="AI31" i="9"/>
  <c r="Y37" i="9"/>
  <c r="Y184" i="9" s="1"/>
  <c r="G42" i="9"/>
  <c r="AG37" i="9"/>
  <c r="AG184" i="9" s="1"/>
  <c r="AI61" i="9"/>
  <c r="H31" i="9"/>
  <c r="G31" i="9"/>
  <c r="O31" i="9"/>
  <c r="O27" i="9" s="1"/>
  <c r="O183" i="9" s="1"/>
  <c r="N31" i="9"/>
  <c r="M31" i="9"/>
  <c r="L31" i="9"/>
  <c r="K31" i="9"/>
  <c r="K27" i="9" s="1"/>
  <c r="K183" i="9" s="1"/>
  <c r="J31" i="9"/>
  <c r="I31" i="9"/>
  <c r="F27" i="9"/>
  <c r="G27" i="9" s="1"/>
  <c r="R31" i="9"/>
  <c r="R27" i="9" s="1"/>
  <c r="R183" i="9" s="1"/>
  <c r="S31" i="9"/>
  <c r="U16" i="9"/>
  <c r="R42" i="9"/>
  <c r="AI45" i="9"/>
  <c r="AI50" i="9"/>
  <c r="T56" i="9"/>
  <c r="Y185" i="9"/>
  <c r="Y169" i="9"/>
  <c r="AI9" i="9"/>
  <c r="T17" i="9"/>
  <c r="AI17" i="9"/>
  <c r="AI42" i="9"/>
  <c r="AI51" i="9"/>
  <c r="G12" i="9"/>
  <c r="G10" i="9"/>
  <c r="G11" i="9"/>
  <c r="G7" i="9"/>
  <c r="G6" i="9"/>
  <c r="G3" i="9"/>
  <c r="G8" i="9"/>
  <c r="AE2" i="9"/>
  <c r="U9" i="9"/>
  <c r="Z13" i="9"/>
  <c r="Z136" i="9" s="1"/>
  <c r="I33" i="9"/>
  <c r="K33" i="9"/>
  <c r="R33" i="9"/>
  <c r="Q33" i="9"/>
  <c r="Q27" i="9" s="1"/>
  <c r="Q183" i="9" s="1"/>
  <c r="P33" i="9"/>
  <c r="O33" i="9"/>
  <c r="J33" i="9"/>
  <c r="J27" i="9" s="1"/>
  <c r="J183" i="9" s="1"/>
  <c r="H33" i="9"/>
  <c r="G33" i="9"/>
  <c r="N33" i="9"/>
  <c r="S33" i="9"/>
  <c r="M33" i="9"/>
  <c r="F37" i="9"/>
  <c r="G37" i="9" s="1"/>
  <c r="AI57" i="9"/>
  <c r="AI92" i="9"/>
  <c r="AF178" i="9"/>
  <c r="AF2" i="9"/>
  <c r="N34" i="9"/>
  <c r="R34" i="9"/>
  <c r="L34" i="9"/>
  <c r="K34" i="9"/>
  <c r="J34" i="9"/>
  <c r="I34" i="9"/>
  <c r="O34" i="9"/>
  <c r="M34" i="9"/>
  <c r="H34" i="9"/>
  <c r="T34" i="9" s="1"/>
  <c r="S34" i="9"/>
  <c r="Q34" i="9"/>
  <c r="AH37" i="9"/>
  <c r="AH184" i="9" s="1"/>
  <c r="AE37" i="9"/>
  <c r="AE184" i="9" s="1"/>
  <c r="AI59" i="9"/>
  <c r="M66" i="9"/>
  <c r="J66" i="9"/>
  <c r="I66" i="9"/>
  <c r="N66" i="9"/>
  <c r="H66" i="9"/>
  <c r="S66" i="9"/>
  <c r="R66" i="9"/>
  <c r="Q66" i="9"/>
  <c r="P66" i="9"/>
  <c r="L66" i="9"/>
  <c r="K66" i="9"/>
  <c r="G66" i="9"/>
  <c r="I81" i="9"/>
  <c r="P81" i="9"/>
  <c r="H81" i="9"/>
  <c r="G81" i="9"/>
  <c r="Q81" i="9"/>
  <c r="M81" i="9"/>
  <c r="N81" i="9"/>
  <c r="L81" i="9"/>
  <c r="K81" i="9"/>
  <c r="J81" i="9"/>
  <c r="S81" i="9"/>
  <c r="R81" i="9"/>
  <c r="O81" i="9"/>
  <c r="N2" i="9"/>
  <c r="L177" i="9"/>
  <c r="L176" i="9" s="1"/>
  <c r="R178" i="9"/>
  <c r="R2" i="9"/>
  <c r="F13" i="9"/>
  <c r="G13" i="9" s="1"/>
  <c r="G15" i="9"/>
  <c r="AI30" i="9"/>
  <c r="G34" i="9"/>
  <c r="O66" i="9"/>
  <c r="P91" i="9"/>
  <c r="K91" i="9"/>
  <c r="R91" i="9"/>
  <c r="Q91" i="9"/>
  <c r="L91" i="9"/>
  <c r="I91" i="9"/>
  <c r="N91" i="9"/>
  <c r="M91" i="9"/>
  <c r="J91" i="9"/>
  <c r="H91" i="9"/>
  <c r="S91" i="9"/>
  <c r="O91" i="9"/>
  <c r="G91" i="9"/>
  <c r="R177" i="9"/>
  <c r="Y2" i="9"/>
  <c r="AA177" i="9" s="1"/>
  <c r="AA176" i="9" s="1"/>
  <c r="G4" i="9"/>
  <c r="T15" i="9"/>
  <c r="U15" i="9"/>
  <c r="W13" i="9"/>
  <c r="AI15" i="9"/>
  <c r="AI25" i="9"/>
  <c r="U25" i="9"/>
  <c r="P34" i="9"/>
  <c r="K40" i="9"/>
  <c r="K37" i="9" s="1"/>
  <c r="K184" i="9" s="1"/>
  <c r="Q40" i="9"/>
  <c r="S40" i="9"/>
  <c r="M40" i="9"/>
  <c r="M37" i="9" s="1"/>
  <c r="M184" i="9" s="1"/>
  <c r="L40" i="9"/>
  <c r="J40" i="9"/>
  <c r="I40" i="9"/>
  <c r="N40" i="9"/>
  <c r="H40" i="9"/>
  <c r="G40" i="9"/>
  <c r="R40" i="9"/>
  <c r="P40" i="9"/>
  <c r="AI87" i="9"/>
  <c r="AI43" i="9"/>
  <c r="AI53" i="9"/>
  <c r="H65" i="9"/>
  <c r="T65" i="9" s="1"/>
  <c r="P65" i="9"/>
  <c r="O65" i="9"/>
  <c r="Q65" i="9"/>
  <c r="I65" i="9"/>
  <c r="J65" i="9"/>
  <c r="S65" i="9"/>
  <c r="R65" i="9"/>
  <c r="N65" i="9"/>
  <c r="AI74" i="9"/>
  <c r="P80" i="9"/>
  <c r="K80" i="9"/>
  <c r="N80" i="9"/>
  <c r="M80" i="9"/>
  <c r="H80" i="9"/>
  <c r="O80" i="9"/>
  <c r="L80" i="9"/>
  <c r="J80" i="9"/>
  <c r="I80" i="9"/>
  <c r="G80" i="9"/>
  <c r="AI101" i="9"/>
  <c r="O102" i="9"/>
  <c r="K102" i="9"/>
  <c r="R102" i="9"/>
  <c r="M102" i="9"/>
  <c r="J102" i="9"/>
  <c r="I102" i="9"/>
  <c r="L102" i="9"/>
  <c r="N102" i="9"/>
  <c r="AG169" i="9"/>
  <c r="AD22" i="9"/>
  <c r="AI66" i="9"/>
  <c r="N94" i="9"/>
  <c r="J94" i="9"/>
  <c r="Q94" i="9"/>
  <c r="P94" i="9"/>
  <c r="I94" i="9"/>
  <c r="K94" i="9"/>
  <c r="H94" i="9"/>
  <c r="L94" i="9"/>
  <c r="S94" i="9"/>
  <c r="R94" i="9"/>
  <c r="O94" i="9"/>
  <c r="AI96" i="9"/>
  <c r="H102" i="9"/>
  <c r="M104" i="9"/>
  <c r="I104" i="9"/>
  <c r="P104" i="9"/>
  <c r="K104" i="9"/>
  <c r="H104" i="9"/>
  <c r="G104" i="9"/>
  <c r="S104" i="9"/>
  <c r="J104" i="9"/>
  <c r="Q104" i="9"/>
  <c r="O104" i="9"/>
  <c r="N104" i="9"/>
  <c r="L104" i="9"/>
  <c r="G18" i="9"/>
  <c r="O19" i="9"/>
  <c r="AG20" i="9"/>
  <c r="AG13" i="9" s="1"/>
  <c r="I20" i="9"/>
  <c r="T20" i="9" s="1"/>
  <c r="X20" i="9"/>
  <c r="AI20" i="9" s="1"/>
  <c r="K20" i="9"/>
  <c r="AE20" i="9"/>
  <c r="R20" i="9"/>
  <c r="AD20" i="9"/>
  <c r="Q20" i="9"/>
  <c r="AC20" i="9"/>
  <c r="P20" i="9"/>
  <c r="AB20" i="9"/>
  <c r="O20" i="9"/>
  <c r="Z20" i="9"/>
  <c r="Q21" i="9"/>
  <c r="X27" i="9"/>
  <c r="X183" i="9" s="1"/>
  <c r="AI44" i="9"/>
  <c r="K65" i="9"/>
  <c r="R80" i="9"/>
  <c r="N82" i="9"/>
  <c r="I82" i="9"/>
  <c r="R82" i="9"/>
  <c r="Q82" i="9"/>
  <c r="L82" i="9"/>
  <c r="K82" i="9"/>
  <c r="O82" i="9"/>
  <c r="M82" i="9"/>
  <c r="J82" i="9"/>
  <c r="H82" i="9"/>
  <c r="G94" i="9"/>
  <c r="P102" i="9"/>
  <c r="R104" i="9"/>
  <c r="P117" i="9"/>
  <c r="L117" i="9"/>
  <c r="S117" i="9"/>
  <c r="G117" i="9"/>
  <c r="R117" i="9"/>
  <c r="K117" i="9"/>
  <c r="M117" i="9"/>
  <c r="J117" i="9"/>
  <c r="O117" i="9"/>
  <c r="Q117" i="9"/>
  <c r="N117" i="9"/>
  <c r="I117" i="9"/>
  <c r="H117" i="9"/>
  <c r="G133" i="9"/>
  <c r="G148" i="9"/>
  <c r="S146" i="9"/>
  <c r="S185" i="9" s="1"/>
  <c r="U157" i="9"/>
  <c r="E158" i="9"/>
  <c r="L13" i="9"/>
  <c r="Y18" i="9"/>
  <c r="AI18" i="9" s="1"/>
  <c r="M18" i="9"/>
  <c r="I18" i="9"/>
  <c r="AD18" i="9"/>
  <c r="AD13" i="9" s="1"/>
  <c r="Q18" i="9"/>
  <c r="Q13" i="9" s="1"/>
  <c r="AC18" i="9"/>
  <c r="P18" i="9"/>
  <c r="P13" i="9" s="1"/>
  <c r="AB18" i="9"/>
  <c r="O18" i="9"/>
  <c r="O13" i="9" s="1"/>
  <c r="K70" i="9"/>
  <c r="L70" i="9"/>
  <c r="J70" i="9"/>
  <c r="S70" i="9"/>
  <c r="M70" i="9"/>
  <c r="P70" i="9"/>
  <c r="O70" i="9"/>
  <c r="N70" i="9"/>
  <c r="I70" i="9"/>
  <c r="M176" i="9"/>
  <c r="AI5" i="9"/>
  <c r="T16" i="9"/>
  <c r="H18" i="9"/>
  <c r="AA18" i="9"/>
  <c r="AA13" i="9" s="1"/>
  <c r="R19" i="9"/>
  <c r="S21" i="9"/>
  <c r="S22" i="9"/>
  <c r="Y27" i="9"/>
  <c r="Y183" i="9" s="1"/>
  <c r="AI35" i="9"/>
  <c r="T39" i="9"/>
  <c r="L65" i="9"/>
  <c r="H70" i="9"/>
  <c r="AI71" i="9"/>
  <c r="S80" i="9"/>
  <c r="M94" i="9"/>
  <c r="Q102" i="9"/>
  <c r="AI104" i="9"/>
  <c r="H132" i="9"/>
  <c r="T133" i="9"/>
  <c r="P132" i="9"/>
  <c r="H139" i="9"/>
  <c r="J146" i="9"/>
  <c r="J185" i="9" s="1"/>
  <c r="AH185" i="9"/>
  <c r="AH169" i="9"/>
  <c r="AD153" i="9"/>
  <c r="U161" i="9"/>
  <c r="H2" i="9"/>
  <c r="W183" i="9"/>
  <c r="Q80" i="9"/>
  <c r="J18" i="9"/>
  <c r="J13" i="9" s="1"/>
  <c r="AE18" i="9"/>
  <c r="AE13" i="9" s="1"/>
  <c r="AF182" i="9" s="1"/>
  <c r="AF181" i="9" s="1"/>
  <c r="T23" i="9"/>
  <c r="I27" i="9"/>
  <c r="I183" i="9" s="1"/>
  <c r="Z37" i="9"/>
  <c r="Z184" i="9" s="1"/>
  <c r="AI41" i="9"/>
  <c r="Q43" i="9"/>
  <c r="O43" i="9"/>
  <c r="O37" i="9" s="1"/>
  <c r="O184" i="9" s="1"/>
  <c r="I43" i="9"/>
  <c r="T43" i="9" s="1"/>
  <c r="M43" i="9"/>
  <c r="L43" i="9"/>
  <c r="K43" i="9"/>
  <c r="J43" i="9"/>
  <c r="P53" i="9"/>
  <c r="R53" i="9"/>
  <c r="K53" i="9"/>
  <c r="Q53" i="9"/>
  <c r="J53" i="9"/>
  <c r="I53" i="9"/>
  <c r="H53" i="9"/>
  <c r="H37" i="9" s="1"/>
  <c r="G53" i="9"/>
  <c r="M65" i="9"/>
  <c r="AI67" i="9"/>
  <c r="Q70" i="9"/>
  <c r="AI77" i="9"/>
  <c r="R78" i="9"/>
  <c r="M78" i="9"/>
  <c r="K78" i="9"/>
  <c r="J78" i="9"/>
  <c r="L78" i="9"/>
  <c r="P78" i="9"/>
  <c r="O78" i="9"/>
  <c r="N78" i="9"/>
  <c r="I78" i="9"/>
  <c r="S102" i="9"/>
  <c r="I139" i="9"/>
  <c r="I137" i="9" s="1"/>
  <c r="U158" i="9"/>
  <c r="U160" i="9"/>
  <c r="X18" i="9"/>
  <c r="G65" i="9"/>
  <c r="AC13" i="9"/>
  <c r="AC136" i="9" s="1"/>
  <c r="K18" i="9"/>
  <c r="K13" i="9" s="1"/>
  <c r="L182" i="9" s="1"/>
  <c r="AF18" i="9"/>
  <c r="AF13" i="9" s="1"/>
  <c r="J20" i="9"/>
  <c r="AH20" i="9"/>
  <c r="U27" i="9"/>
  <c r="X37" i="9"/>
  <c r="X184" i="9" s="1"/>
  <c r="G43" i="9"/>
  <c r="L53" i="9"/>
  <c r="O64" i="9"/>
  <c r="I64" i="9"/>
  <c r="H64" i="9"/>
  <c r="S64" i="9"/>
  <c r="L64" i="9"/>
  <c r="J64" i="9"/>
  <c r="R64" i="9"/>
  <c r="Q64" i="9"/>
  <c r="P64" i="9"/>
  <c r="R70" i="9"/>
  <c r="S74" i="9"/>
  <c r="G74" i="9"/>
  <c r="M74" i="9"/>
  <c r="L74" i="9"/>
  <c r="H74" i="9"/>
  <c r="K74" i="9"/>
  <c r="O74" i="9"/>
  <c r="H78" i="9"/>
  <c r="S82" i="9"/>
  <c r="E95" i="9"/>
  <c r="T105" i="9"/>
  <c r="E111" i="9"/>
  <c r="G119" i="9"/>
  <c r="T125" i="9"/>
  <c r="G128" i="9"/>
  <c r="U137" i="9"/>
  <c r="Q153" i="9"/>
  <c r="T4" i="9"/>
  <c r="G9" i="9"/>
  <c r="M21" i="9"/>
  <c r="R21" i="9"/>
  <c r="R13" i="9" s="1"/>
  <c r="S182" i="9" s="1"/>
  <c r="L21" i="9"/>
  <c r="K21" i="9"/>
  <c r="J21" i="9"/>
  <c r="I21" i="9"/>
  <c r="AI46" i="9"/>
  <c r="AI70" i="9"/>
  <c r="AI76" i="9"/>
  <c r="W153" i="9"/>
  <c r="U154" i="9"/>
  <c r="AG2" i="9"/>
  <c r="T9" i="9"/>
  <c r="S18" i="9"/>
  <c r="S13" i="9" s="1"/>
  <c r="AC19" i="9"/>
  <c r="Q19" i="9"/>
  <c r="AD19" i="9"/>
  <c r="P19" i="9"/>
  <c r="X19" i="9"/>
  <c r="X13" i="9" s="1"/>
  <c r="K19" i="9"/>
  <c r="W19" i="9"/>
  <c r="J19" i="9"/>
  <c r="I19" i="9"/>
  <c r="AH19" i="9"/>
  <c r="AH13" i="9" s="1"/>
  <c r="H19" i="9"/>
  <c r="H13" i="9" s="1"/>
  <c r="AB19" i="9"/>
  <c r="G21" i="9"/>
  <c r="AE27" i="9"/>
  <c r="AE183" i="9" s="1"/>
  <c r="J63" i="9"/>
  <c r="O63" i="9"/>
  <c r="N63" i="9"/>
  <c r="G63" i="9"/>
  <c r="P63" i="9"/>
  <c r="K63" i="9"/>
  <c r="S63" i="9"/>
  <c r="R63" i="9"/>
  <c r="P71" i="9"/>
  <c r="R71" i="9"/>
  <c r="Q71" i="9"/>
  <c r="M71" i="9"/>
  <c r="G71" i="9"/>
  <c r="L71" i="9"/>
  <c r="K71" i="9"/>
  <c r="J71" i="9"/>
  <c r="I71" i="9"/>
  <c r="T107" i="9"/>
  <c r="AI113" i="9"/>
  <c r="N139" i="9"/>
  <c r="N137" i="9" s="1"/>
  <c r="W169" i="9"/>
  <c r="W185" i="9"/>
  <c r="G172" i="9"/>
  <c r="E170" i="9"/>
  <c r="E163" i="9"/>
  <c r="E156" i="9"/>
  <c r="G143" i="9"/>
  <c r="E139" i="9"/>
  <c r="G134" i="9"/>
  <c r="G129" i="9"/>
  <c r="G124" i="9"/>
  <c r="G113" i="9"/>
  <c r="G111" i="9"/>
  <c r="G109" i="9"/>
  <c r="G107" i="9"/>
  <c r="G105" i="9"/>
  <c r="G101" i="9"/>
  <c r="G99" i="9"/>
  <c r="E167" i="9"/>
  <c r="G162" i="9"/>
  <c r="E160" i="9"/>
  <c r="G155" i="9"/>
  <c r="E153" i="9"/>
  <c r="E150" i="9"/>
  <c r="E140" i="9"/>
  <c r="E132" i="9"/>
  <c r="E127" i="9"/>
  <c r="E122" i="9"/>
  <c r="E118" i="9"/>
  <c r="E166" i="9"/>
  <c r="G161" i="9"/>
  <c r="E159" i="9"/>
  <c r="G154" i="9"/>
  <c r="E149" i="9"/>
  <c r="E128" i="9"/>
  <c r="G121" i="9"/>
  <c r="E119" i="9"/>
  <c r="E94" i="9"/>
  <c r="G159" i="9"/>
  <c r="E146" i="9"/>
  <c r="G138" i="9"/>
  <c r="G108" i="9"/>
  <c r="E87" i="9"/>
  <c r="E76" i="9"/>
  <c r="G67" i="9"/>
  <c r="G168" i="9"/>
  <c r="G142" i="9"/>
  <c r="E136" i="9"/>
  <c r="E115" i="9"/>
  <c r="E107" i="9"/>
  <c r="E104" i="9"/>
  <c r="G100" i="9"/>
  <c r="E88" i="9"/>
  <c r="E77" i="9"/>
  <c r="E157" i="9"/>
  <c r="G144" i="9"/>
  <c r="E173" i="9"/>
  <c r="E154" i="9"/>
  <c r="G141" i="9"/>
  <c r="E135" i="9"/>
  <c r="G130" i="9"/>
  <c r="G123" i="9"/>
  <c r="E71" i="9"/>
  <c r="E69" i="9"/>
  <c r="G60" i="9"/>
  <c r="E43" i="9"/>
  <c r="G164" i="9"/>
  <c r="E144" i="9"/>
  <c r="E141" i="9"/>
  <c r="E130" i="9"/>
  <c r="E123" i="9"/>
  <c r="E99" i="9"/>
  <c r="G98" i="9"/>
  <c r="G84" i="9"/>
  <c r="E79" i="9"/>
  <c r="E73" i="9"/>
  <c r="E60" i="9"/>
  <c r="G166" i="9"/>
  <c r="G163" i="9"/>
  <c r="G156" i="9"/>
  <c r="G153" i="9"/>
  <c r="E143" i="9"/>
  <c r="G140" i="9"/>
  <c r="E134" i="9"/>
  <c r="G131" i="9"/>
  <c r="E117" i="9"/>
  <c r="E101" i="9"/>
  <c r="E86" i="9"/>
  <c r="E116" i="9"/>
  <c r="E112" i="9"/>
  <c r="E84" i="9"/>
  <c r="G55" i="9"/>
  <c r="E53" i="9"/>
  <c r="E51" i="9"/>
  <c r="E39" i="9"/>
  <c r="E37" i="9"/>
  <c r="E28" i="9"/>
  <c r="E22" i="9"/>
  <c r="E19" i="9"/>
  <c r="G165" i="9"/>
  <c r="E161" i="9"/>
  <c r="E148" i="9"/>
  <c r="G173" i="9"/>
  <c r="E165" i="9"/>
  <c r="G160" i="9"/>
  <c r="G146" i="9"/>
  <c r="E138" i="9"/>
  <c r="E121" i="9"/>
  <c r="E114" i="9"/>
  <c r="E110" i="9"/>
  <c r="G90" i="9"/>
  <c r="E80" i="9"/>
  <c r="E66" i="9"/>
  <c r="E62" i="9"/>
  <c r="G56" i="9"/>
  <c r="E54" i="9"/>
  <c r="E52" i="9"/>
  <c r="E50" i="9"/>
  <c r="E40" i="9"/>
  <c r="G145" i="9"/>
  <c r="E125" i="9"/>
  <c r="G110" i="9"/>
  <c r="E106" i="9"/>
  <c r="E83" i="9"/>
  <c r="E70" i="9"/>
  <c r="G50" i="9"/>
  <c r="E34" i="9"/>
  <c r="E25" i="9"/>
  <c r="E23" i="9"/>
  <c r="E21" i="9"/>
  <c r="E17" i="9"/>
  <c r="E2" i="9"/>
  <c r="G171" i="9"/>
  <c r="G157" i="9"/>
  <c r="G150" i="9"/>
  <c r="E131" i="9"/>
  <c r="E74" i="9"/>
  <c r="G54" i="9"/>
  <c r="G41" i="9"/>
  <c r="E33" i="9"/>
  <c r="G28" i="9"/>
  <c r="E20" i="9"/>
  <c r="E5" i="9"/>
  <c r="E3" i="9"/>
  <c r="E171" i="9"/>
  <c r="G135" i="9"/>
  <c r="G126" i="9"/>
  <c r="E108" i="9"/>
  <c r="E103" i="9"/>
  <c r="E100" i="9"/>
  <c r="E85" i="9"/>
  <c r="E75" i="9"/>
  <c r="G57" i="9"/>
  <c r="E26" i="9"/>
  <c r="E24" i="9"/>
  <c r="E174" i="9"/>
  <c r="G167" i="9"/>
  <c r="G149" i="9"/>
  <c r="E126" i="9"/>
  <c r="G112" i="9"/>
  <c r="G73" i="9"/>
  <c r="G62" i="9"/>
  <c r="E57" i="9"/>
  <c r="G51" i="9"/>
  <c r="E41" i="9"/>
  <c r="E35" i="9"/>
  <c r="E13" i="9"/>
  <c r="E162" i="9"/>
  <c r="G72" i="9"/>
  <c r="G32" i="9"/>
  <c r="E30" i="9"/>
  <c r="E12" i="9"/>
  <c r="G19" i="9"/>
  <c r="AE19" i="9"/>
  <c r="H21" i="9"/>
  <c r="G26" i="9"/>
  <c r="AF37" i="9"/>
  <c r="AF184" i="9" s="1"/>
  <c r="S43" i="9"/>
  <c r="T51" i="9"/>
  <c r="AI54" i="9"/>
  <c r="E58" i="9"/>
  <c r="H63" i="9"/>
  <c r="AI64" i="9"/>
  <c r="H71" i="9"/>
  <c r="T71" i="9" s="1"/>
  <c r="Q74" i="9"/>
  <c r="AI88" i="9"/>
  <c r="R89" i="9"/>
  <c r="M89" i="9"/>
  <c r="O89" i="9"/>
  <c r="N89" i="9"/>
  <c r="I89" i="9"/>
  <c r="T89" i="9" s="1"/>
  <c r="J89" i="9"/>
  <c r="S89" i="9"/>
  <c r="Q89" i="9"/>
  <c r="P89" i="9"/>
  <c r="L89" i="9"/>
  <c r="AI100" i="9"/>
  <c r="G114" i="9"/>
  <c r="G137" i="9"/>
  <c r="AE169" i="9"/>
  <c r="R139" i="9"/>
  <c r="R137" i="9" s="1"/>
  <c r="R169" i="9" s="1"/>
  <c r="Q146" i="9"/>
  <c r="Q185" i="9" s="1"/>
  <c r="O61" i="9"/>
  <c r="N61" i="9"/>
  <c r="R61" i="9"/>
  <c r="J61" i="9"/>
  <c r="T84" i="9"/>
  <c r="J88" i="9"/>
  <c r="Q88" i="9"/>
  <c r="P88" i="9"/>
  <c r="O88" i="9"/>
  <c r="K88" i="9"/>
  <c r="R88" i="9"/>
  <c r="G88" i="9"/>
  <c r="T99" i="9"/>
  <c r="T111" i="9"/>
  <c r="AI111" i="9"/>
  <c r="K146" i="9"/>
  <c r="K185" i="9" s="1"/>
  <c r="Z153" i="9"/>
  <c r="S30" i="9"/>
  <c r="H61" i="9"/>
  <c r="T61" i="9" s="1"/>
  <c r="L86" i="9"/>
  <c r="S86" i="9"/>
  <c r="G86" i="9"/>
  <c r="K86" i="9"/>
  <c r="J86" i="9"/>
  <c r="R86" i="9"/>
  <c r="I86" i="9"/>
  <c r="H88" i="9"/>
  <c r="AI99" i="9"/>
  <c r="AI107" i="9"/>
  <c r="AI120" i="9"/>
  <c r="T123" i="9"/>
  <c r="L146" i="9"/>
  <c r="L185" i="9" s="1"/>
  <c r="N177" i="9"/>
  <c r="N176" i="9" s="1"/>
  <c r="R24" i="9"/>
  <c r="R22" i="9" s="1"/>
  <c r="R26" i="9"/>
  <c r="S28" i="9"/>
  <c r="S27" i="9" s="1"/>
  <c r="S183" i="9" s="1"/>
  <c r="G30" i="9"/>
  <c r="S35" i="9"/>
  <c r="G35" i="9"/>
  <c r="M35" i="9"/>
  <c r="T35" i="9" s="1"/>
  <c r="W37" i="9"/>
  <c r="AI38" i="9"/>
  <c r="P41" i="9"/>
  <c r="J41" i="9"/>
  <c r="T41" i="9" s="1"/>
  <c r="I54" i="9"/>
  <c r="T54" i="9" s="1"/>
  <c r="L54" i="9"/>
  <c r="R54" i="9"/>
  <c r="I61" i="9"/>
  <c r="T62" i="9"/>
  <c r="AI68" i="9"/>
  <c r="AI73" i="9"/>
  <c r="AI75" i="9"/>
  <c r="J77" i="9"/>
  <c r="Q77" i="9"/>
  <c r="M77" i="9"/>
  <c r="L77" i="9"/>
  <c r="G77" i="9"/>
  <c r="R77" i="9"/>
  <c r="H77" i="9"/>
  <c r="H86" i="9"/>
  <c r="I88" i="9"/>
  <c r="T112" i="9"/>
  <c r="T121" i="9"/>
  <c r="I122" i="9"/>
  <c r="T128" i="9"/>
  <c r="U128" i="9"/>
  <c r="AB146" i="9"/>
  <c r="M153" i="9"/>
  <c r="U156" i="9"/>
  <c r="Z24" i="9"/>
  <c r="Z22" i="9" s="1"/>
  <c r="N24" i="9"/>
  <c r="N22" i="9" s="1"/>
  <c r="S24" i="9"/>
  <c r="AF24" i="9"/>
  <c r="AF22" i="9" s="1"/>
  <c r="AH26" i="9"/>
  <c r="AH22" i="9" s="1"/>
  <c r="J26" i="9"/>
  <c r="J22" i="9" s="1"/>
  <c r="S26" i="9"/>
  <c r="AF26" i="9"/>
  <c r="H30" i="9"/>
  <c r="AI48" i="9"/>
  <c r="T57" i="9"/>
  <c r="K61" i="9"/>
  <c r="Q76" i="9"/>
  <c r="L76" i="9"/>
  <c r="R76" i="9"/>
  <c r="P76" i="9"/>
  <c r="K76" i="9"/>
  <c r="S76" i="9"/>
  <c r="H76" i="9"/>
  <c r="S85" i="9"/>
  <c r="G85" i="9"/>
  <c r="N85" i="9"/>
  <c r="P85" i="9"/>
  <c r="O85" i="9"/>
  <c r="J85" i="9"/>
  <c r="I85" i="9"/>
  <c r="T85" i="9" s="1"/>
  <c r="M86" i="9"/>
  <c r="L88" i="9"/>
  <c r="T100" i="9"/>
  <c r="H103" i="9"/>
  <c r="P103" i="9"/>
  <c r="K103" i="9"/>
  <c r="O103" i="9"/>
  <c r="I103" i="9"/>
  <c r="J103" i="9"/>
  <c r="G103" i="9"/>
  <c r="Q103" i="9"/>
  <c r="T108" i="9"/>
  <c r="AI108" i="9"/>
  <c r="AI121" i="9"/>
  <c r="T135" i="9"/>
  <c r="M139" i="9"/>
  <c r="M137" i="9" s="1"/>
  <c r="M169" i="9" s="1"/>
  <c r="K24" i="9"/>
  <c r="K22" i="9" s="1"/>
  <c r="X24" i="9"/>
  <c r="U24" i="9" s="1"/>
  <c r="L26" i="9"/>
  <c r="L22" i="9" s="1"/>
  <c r="Y26" i="9"/>
  <c r="L28" i="9"/>
  <c r="L27" i="9" s="1"/>
  <c r="L183" i="9" s="1"/>
  <c r="S29" i="9"/>
  <c r="T29" i="9" s="1"/>
  <c r="M30" i="9"/>
  <c r="M27" i="9" s="1"/>
  <c r="M183" i="9" s="1"/>
  <c r="N35" i="9"/>
  <c r="AC37" i="9"/>
  <c r="AC184" i="9" s="1"/>
  <c r="M41" i="9"/>
  <c r="N54" i="9"/>
  <c r="M59" i="9"/>
  <c r="L59" i="9"/>
  <c r="J59" i="9"/>
  <c r="T59" i="9" s="1"/>
  <c r="R59" i="9"/>
  <c r="S61" i="9"/>
  <c r="N76" i="9"/>
  <c r="S77" i="9"/>
  <c r="Q85" i="9"/>
  <c r="AI90" i="9"/>
  <c r="AI93" i="9"/>
  <c r="S103" i="9"/>
  <c r="U152" i="9"/>
  <c r="AA153" i="9"/>
  <c r="AA169" i="9" s="1"/>
  <c r="R36" i="9"/>
  <c r="T36" i="9" s="1"/>
  <c r="AI80" i="9"/>
  <c r="AI81" i="9"/>
  <c r="AI94" i="9"/>
  <c r="H97" i="9"/>
  <c r="T97" i="9" s="1"/>
  <c r="P97" i="9"/>
  <c r="K97" i="9"/>
  <c r="J97" i="9"/>
  <c r="S97" i="9"/>
  <c r="L97" i="9"/>
  <c r="I97" i="9"/>
  <c r="AI102" i="9"/>
  <c r="U122" i="9"/>
  <c r="AI122" i="9"/>
  <c r="I132" i="9"/>
  <c r="X169" i="9"/>
  <c r="X146" i="9"/>
  <c r="X185" i="9" s="1"/>
  <c r="U147" i="9"/>
  <c r="O153" i="9"/>
  <c r="L153" i="9"/>
  <c r="L169" i="9" s="1"/>
  <c r="Y153" i="9"/>
  <c r="R25" i="9"/>
  <c r="T25" i="9" s="1"/>
  <c r="AI63" i="9"/>
  <c r="I118" i="9"/>
  <c r="Q118" i="9"/>
  <c r="L118" i="9"/>
  <c r="O118" i="9"/>
  <c r="H118" i="9"/>
  <c r="T118" i="9" s="1"/>
  <c r="M118" i="9"/>
  <c r="K118" i="9"/>
  <c r="L122" i="9"/>
  <c r="T124" i="9"/>
  <c r="N146" i="9"/>
  <c r="N185" i="9" s="1"/>
  <c r="U149" i="9"/>
  <c r="U162" i="9"/>
  <c r="S72" i="9"/>
  <c r="T83" i="9"/>
  <c r="H93" i="9"/>
  <c r="O93" i="9"/>
  <c r="AI119" i="9"/>
  <c r="J120" i="9"/>
  <c r="T120" i="9" s="1"/>
  <c r="R120" i="9"/>
  <c r="M120" i="9"/>
  <c r="L120" i="9"/>
  <c r="G139" i="9"/>
  <c r="S139" i="9"/>
  <c r="S137" i="9" s="1"/>
  <c r="S169" i="9" s="1"/>
  <c r="O146" i="9"/>
  <c r="O185" i="9" s="1"/>
  <c r="K72" i="9"/>
  <c r="T72" i="9" s="1"/>
  <c r="L75" i="9"/>
  <c r="S75" i="9"/>
  <c r="G75" i="9"/>
  <c r="Q87" i="9"/>
  <c r="L87" i="9"/>
  <c r="T87" i="9" s="1"/>
  <c r="L93" i="9"/>
  <c r="L96" i="9"/>
  <c r="H96" i="9"/>
  <c r="O96" i="9"/>
  <c r="J96" i="9"/>
  <c r="S96" i="9"/>
  <c r="N120" i="9"/>
  <c r="Z146" i="9"/>
  <c r="Z185" i="9" s="1"/>
  <c r="I146" i="9"/>
  <c r="I185" i="9" s="1"/>
  <c r="L72" i="9"/>
  <c r="S73" i="9"/>
  <c r="T73" i="9" s="1"/>
  <c r="H75" i="9"/>
  <c r="T75" i="9" s="1"/>
  <c r="G87" i="9"/>
  <c r="M93" i="9"/>
  <c r="G96" i="9"/>
  <c r="AI105" i="9"/>
  <c r="O120" i="9"/>
  <c r="S122" i="9"/>
  <c r="AI137" i="9"/>
  <c r="AD146" i="9"/>
  <c r="AC153" i="9"/>
  <c r="AC169" i="9" s="1"/>
  <c r="U148" i="9"/>
  <c r="U151" i="9"/>
  <c r="I160" i="9"/>
  <c r="AH160" i="9"/>
  <c r="R79" i="9"/>
  <c r="T79" i="9" s="1"/>
  <c r="R90" i="9"/>
  <c r="T90" i="9" s="1"/>
  <c r="S92" i="9"/>
  <c r="T92" i="9" s="1"/>
  <c r="S95" i="9"/>
  <c r="G95" i="9"/>
  <c r="O95" i="9"/>
  <c r="J95" i="9"/>
  <c r="T95" i="9" s="1"/>
  <c r="AI95" i="9"/>
  <c r="AI109" i="9"/>
  <c r="N119" i="9"/>
  <c r="J119" i="9"/>
  <c r="Q119" i="9"/>
  <c r="AF169" i="9"/>
  <c r="Q139" i="9"/>
  <c r="Q137" i="9" s="1"/>
  <c r="I153" i="9"/>
  <c r="AH153" i="9"/>
  <c r="M95" i="9"/>
  <c r="M98" i="9"/>
  <c r="I98" i="9"/>
  <c r="P98" i="9"/>
  <c r="K116" i="9"/>
  <c r="T116" i="9" s="1"/>
  <c r="S116" i="9"/>
  <c r="G116" i="9"/>
  <c r="N116" i="9"/>
  <c r="L119" i="9"/>
  <c r="U132" i="9"/>
  <c r="AI132" i="9"/>
  <c r="Q160" i="9"/>
  <c r="AD160" i="9"/>
  <c r="I115" i="9"/>
  <c r="T115" i="9" s="1"/>
  <c r="W153" i="1"/>
  <c r="AE153" i="1"/>
  <c r="AD169" i="1"/>
  <c r="AA169" i="1"/>
  <c r="W146" i="1"/>
  <c r="Z169" i="1"/>
  <c r="AG169" i="1"/>
  <c r="AE146" i="1"/>
  <c r="AE185" i="1" s="1"/>
  <c r="X169" i="1"/>
  <c r="AH169" i="1"/>
  <c r="Y169" i="1"/>
  <c r="U23" i="1"/>
  <c r="AI23" i="1"/>
  <c r="Z2" i="1"/>
  <c r="AG2" i="1"/>
  <c r="AC178" i="1"/>
  <c r="AA2" i="1"/>
  <c r="AY1000" i="5"/>
  <c r="AT3" i="5"/>
  <c r="AS3" i="5"/>
  <c r="AW3" i="5"/>
  <c r="AR3" i="5"/>
  <c r="AV3" i="5"/>
  <c r="AU3" i="5"/>
  <c r="AQ3" i="5"/>
  <c r="AO507" i="5"/>
  <c r="AB507" i="5"/>
  <c r="O507" i="5"/>
  <c r="Q423" i="5"/>
  <c r="AD423" i="5"/>
  <c r="D423" i="5"/>
  <c r="Q279" i="5"/>
  <c r="AD279" i="5"/>
  <c r="D279" i="5"/>
  <c r="AG159" i="5"/>
  <c r="T159" i="5"/>
  <c r="G159" i="5"/>
  <c r="Q123" i="5"/>
  <c r="D123" i="5"/>
  <c r="AD123" i="5"/>
  <c r="AD27" i="5"/>
  <c r="Q27" i="5"/>
  <c r="D27" i="5"/>
  <c r="AO470" i="5"/>
  <c r="AB470" i="5"/>
  <c r="O470" i="5"/>
  <c r="T398" i="5"/>
  <c r="AG398" i="5"/>
  <c r="G398" i="5"/>
  <c r="Q350" i="5"/>
  <c r="D350" i="5"/>
  <c r="AD350" i="5"/>
  <c r="AL302" i="5"/>
  <c r="Y302" i="5"/>
  <c r="L302" i="5"/>
  <c r="AF206" i="5"/>
  <c r="S206" i="5"/>
  <c r="F206" i="5"/>
  <c r="S170" i="5"/>
  <c r="AF170" i="5"/>
  <c r="F170" i="5"/>
  <c r="AI14" i="5"/>
  <c r="V14" i="5"/>
  <c r="I14" i="5"/>
  <c r="T483" i="5"/>
  <c r="AG483" i="5"/>
  <c r="G483" i="5"/>
  <c r="AK399" i="5"/>
  <c r="X399" i="5"/>
  <c r="K399" i="5"/>
  <c r="AM327" i="5"/>
  <c r="Z327" i="5"/>
  <c r="M327" i="5"/>
  <c r="W171" i="5"/>
  <c r="AJ171" i="5"/>
  <c r="J171" i="5"/>
  <c r="AG135" i="5"/>
  <c r="G135" i="5"/>
  <c r="T135" i="5"/>
  <c r="AH39" i="5"/>
  <c r="U39" i="5"/>
  <c r="H39" i="5"/>
  <c r="AG494" i="5"/>
  <c r="T494" i="5"/>
  <c r="G494" i="5"/>
  <c r="AG446" i="5"/>
  <c r="T446" i="5"/>
  <c r="G446" i="5"/>
  <c r="Q374" i="5"/>
  <c r="D374" i="5"/>
  <c r="AD374" i="5"/>
  <c r="AI326" i="5"/>
  <c r="V326" i="5"/>
  <c r="I326" i="5"/>
  <c r="N278" i="5"/>
  <c r="AN278" i="5"/>
  <c r="AA278" i="5"/>
  <c r="U182" i="5"/>
  <c r="H182" i="5"/>
  <c r="AH182" i="5"/>
  <c r="AM158" i="5"/>
  <c r="M158" i="5"/>
  <c r="Z158" i="5"/>
  <c r="AD134" i="5"/>
  <c r="D134" i="5"/>
  <c r="Q134" i="5"/>
  <c r="AF110" i="5"/>
  <c r="S110" i="5"/>
  <c r="F110" i="5"/>
  <c r="AL86" i="5"/>
  <c r="L86" i="5"/>
  <c r="Y86" i="5"/>
  <c r="AF25" i="5"/>
  <c r="S25" i="5"/>
  <c r="F25" i="5"/>
  <c r="AD38" i="5"/>
  <c r="Q38" i="5"/>
  <c r="D38" i="5"/>
  <c r="X447" i="5"/>
  <c r="AK447" i="5"/>
  <c r="K447" i="5"/>
  <c r="N375" i="5"/>
  <c r="AN375" i="5"/>
  <c r="AA375" i="5"/>
  <c r="Y207" i="5"/>
  <c r="AL207" i="5"/>
  <c r="L207" i="5"/>
  <c r="AO147" i="5"/>
  <c r="O147" i="5"/>
  <c r="AB147" i="5"/>
  <c r="O111" i="5"/>
  <c r="AO111" i="5"/>
  <c r="AB111" i="5"/>
  <c r="AD99" i="5"/>
  <c r="Q99" i="5"/>
  <c r="D99" i="5"/>
  <c r="AH63" i="5"/>
  <c r="U63" i="5"/>
  <c r="H63" i="5"/>
  <c r="W50" i="5"/>
  <c r="AJ50" i="5"/>
  <c r="J50" i="5"/>
  <c r="AG504" i="5"/>
  <c r="G504" i="5"/>
  <c r="AE499" i="5"/>
  <c r="E499" i="5"/>
  <c r="R499" i="5"/>
  <c r="L495" i="5"/>
  <c r="AL495" i="5"/>
  <c r="Y495" i="5"/>
  <c r="AK486" i="5"/>
  <c r="X486" i="5"/>
  <c r="K486" i="5"/>
  <c r="W484" i="5"/>
  <c r="AJ484" i="5"/>
  <c r="J484" i="5"/>
  <c r="AL469" i="5"/>
  <c r="Y469" i="5"/>
  <c r="L469" i="5"/>
  <c r="AH457" i="5"/>
  <c r="U457" i="5"/>
  <c r="H457" i="5"/>
  <c r="AO438" i="5"/>
  <c r="AB438" i="5"/>
  <c r="O438" i="5"/>
  <c r="AL436" i="5"/>
  <c r="Y436" i="5"/>
  <c r="L436" i="5"/>
  <c r="K421" i="5"/>
  <c r="AK421" i="5"/>
  <c r="X421" i="5"/>
  <c r="E403" i="5"/>
  <c r="AE403" i="5"/>
  <c r="R403" i="5"/>
  <c r="AJ395" i="5"/>
  <c r="W395" i="5"/>
  <c r="J395" i="5"/>
  <c r="AJ389" i="5"/>
  <c r="W389" i="5"/>
  <c r="J389" i="5"/>
  <c r="AJ388" i="5"/>
  <c r="W388" i="5"/>
  <c r="J388" i="5"/>
  <c r="Q369" i="5"/>
  <c r="AD369" i="5"/>
  <c r="D369" i="5"/>
  <c r="AG339" i="5"/>
  <c r="T339" i="5"/>
  <c r="AM331" i="5"/>
  <c r="Z331" i="5"/>
  <c r="M331" i="5"/>
  <c r="H323" i="5"/>
  <c r="AH323" i="5"/>
  <c r="U323" i="5"/>
  <c r="AL320" i="5"/>
  <c r="Y320" i="5"/>
  <c r="L320" i="5"/>
  <c r="AF312" i="5"/>
  <c r="S312" i="5"/>
  <c r="F312" i="5"/>
  <c r="AI299" i="5"/>
  <c r="V299" i="5"/>
  <c r="I299" i="5"/>
  <c r="AJ296" i="5"/>
  <c r="J296" i="5"/>
  <c r="W296" i="5"/>
  <c r="X253" i="5"/>
  <c r="K253" i="5"/>
  <c r="AK253" i="5"/>
  <c r="AO245" i="5"/>
  <c r="AB245" i="5"/>
  <c r="O245" i="5"/>
  <c r="AO243" i="5"/>
  <c r="AB243" i="5"/>
  <c r="O243" i="5"/>
  <c r="AL237" i="5"/>
  <c r="Y237" i="5"/>
  <c r="L237" i="5"/>
  <c r="AK222" i="5"/>
  <c r="X222" i="5"/>
  <c r="K222" i="5"/>
  <c r="AI220" i="5"/>
  <c r="V220" i="5"/>
  <c r="I220" i="5"/>
  <c r="AD214" i="5"/>
  <c r="Q214" i="5"/>
  <c r="D214" i="5"/>
  <c r="T168" i="5"/>
  <c r="AG168" i="5"/>
  <c r="G168" i="5"/>
  <c r="AI162" i="5"/>
  <c r="V162" i="5"/>
  <c r="I162" i="5"/>
  <c r="AN133" i="5"/>
  <c r="N133" i="5"/>
  <c r="AA133" i="5"/>
  <c r="AI110" i="5"/>
  <c r="V110" i="5"/>
  <c r="I110" i="5"/>
  <c r="AK99" i="5"/>
  <c r="K99" i="5"/>
  <c r="X99" i="5"/>
  <c r="AO91" i="5"/>
  <c r="AB91" i="5"/>
  <c r="O91" i="5"/>
  <c r="AG89" i="5"/>
  <c r="T89" i="5"/>
  <c r="G89" i="5"/>
  <c r="AI83" i="5"/>
  <c r="I83" i="5"/>
  <c r="V83" i="5"/>
  <c r="AM80" i="5"/>
  <c r="Z80" i="5"/>
  <c r="M80" i="5"/>
  <c r="T504" i="5"/>
  <c r="Q499" i="5"/>
  <c r="AD499" i="5"/>
  <c r="D499" i="5"/>
  <c r="AJ486" i="5"/>
  <c r="W486" i="5"/>
  <c r="J486" i="5"/>
  <c r="AI484" i="5"/>
  <c r="V484" i="5"/>
  <c r="I484" i="5"/>
  <c r="AO475" i="5"/>
  <c r="O475" i="5"/>
  <c r="AJ474" i="5"/>
  <c r="W474" i="5"/>
  <c r="AI472" i="5"/>
  <c r="V472" i="5"/>
  <c r="AK469" i="5"/>
  <c r="X469" i="5"/>
  <c r="K469" i="5"/>
  <c r="AO449" i="5"/>
  <c r="AB449" i="5"/>
  <c r="O449" i="5"/>
  <c r="AK437" i="5"/>
  <c r="K437" i="5"/>
  <c r="X437" i="5"/>
  <c r="AK436" i="5"/>
  <c r="X436" i="5"/>
  <c r="K436" i="5"/>
  <c r="AE408" i="5"/>
  <c r="R408" i="5"/>
  <c r="E408" i="5"/>
  <c r="AJ390" i="5"/>
  <c r="J390" i="5"/>
  <c r="W390" i="5"/>
  <c r="V388" i="5"/>
  <c r="AI388" i="5"/>
  <c r="I388" i="5"/>
  <c r="AK371" i="5"/>
  <c r="K371" i="5"/>
  <c r="X371" i="5"/>
  <c r="AO368" i="5"/>
  <c r="AB368" i="5"/>
  <c r="O368" i="5"/>
  <c r="K362" i="5"/>
  <c r="X362" i="5"/>
  <c r="AK362" i="5"/>
  <c r="N346" i="5"/>
  <c r="AA346" i="5"/>
  <c r="AN346" i="5"/>
  <c r="X320" i="5"/>
  <c r="AK320" i="5"/>
  <c r="K320" i="5"/>
  <c r="AD312" i="5"/>
  <c r="Q312" i="5"/>
  <c r="D312" i="5"/>
  <c r="T306" i="5"/>
  <c r="AG306" i="5"/>
  <c r="G306" i="5"/>
  <c r="AI296" i="5"/>
  <c r="V296" i="5"/>
  <c r="I296" i="5"/>
  <c r="AG277" i="5"/>
  <c r="T277" i="5"/>
  <c r="G277" i="5"/>
  <c r="AI250" i="5"/>
  <c r="V250" i="5"/>
  <c r="AM242" i="5"/>
  <c r="Z242" i="5"/>
  <c r="AB227" i="5"/>
  <c r="AO227" i="5"/>
  <c r="O227" i="5"/>
  <c r="AJ222" i="5"/>
  <c r="W222" i="5"/>
  <c r="J222" i="5"/>
  <c r="AH221" i="5"/>
  <c r="U221" i="5"/>
  <c r="H221" i="5"/>
  <c r="AH220" i="5"/>
  <c r="U220" i="5"/>
  <c r="H220" i="5"/>
  <c r="AO213" i="5"/>
  <c r="O213" i="5"/>
  <c r="AB212" i="5"/>
  <c r="AO212" i="5"/>
  <c r="O212" i="5"/>
  <c r="S168" i="5"/>
  <c r="AF168" i="5"/>
  <c r="F168" i="5"/>
  <c r="AO151" i="5"/>
  <c r="AB151" i="5"/>
  <c r="AF149" i="5"/>
  <c r="S149" i="5"/>
  <c r="F149" i="5"/>
  <c r="S143" i="5"/>
  <c r="AF143" i="5"/>
  <c r="F143" i="5"/>
  <c r="AI140" i="5"/>
  <c r="V140" i="5"/>
  <c r="I140" i="5"/>
  <c r="AG110" i="5"/>
  <c r="T110" i="5"/>
  <c r="AG90" i="5"/>
  <c r="T90" i="5"/>
  <c r="G90" i="5"/>
  <c r="S88" i="5"/>
  <c r="AF88" i="5"/>
  <c r="F88" i="5"/>
  <c r="AJ12" i="5"/>
  <c r="W12" i="5"/>
  <c r="J12" i="5"/>
  <c r="W5" i="5"/>
  <c r="AJ5" i="5"/>
  <c r="J5" i="5"/>
  <c r="AJ500" i="5"/>
  <c r="W500" i="5"/>
  <c r="J500" i="5"/>
  <c r="Y496" i="5"/>
  <c r="L496" i="5"/>
  <c r="AL496" i="5"/>
  <c r="AE488" i="5"/>
  <c r="R488" i="5"/>
  <c r="E488" i="5"/>
  <c r="AO480" i="5"/>
  <c r="O480" i="5"/>
  <c r="AB480" i="5"/>
  <c r="AI474" i="5"/>
  <c r="V474" i="5"/>
  <c r="AH473" i="5"/>
  <c r="U473" i="5"/>
  <c r="H473" i="5"/>
  <c r="AJ469" i="5"/>
  <c r="J469" i="5"/>
  <c r="W469" i="5"/>
  <c r="AE451" i="5"/>
  <c r="E451" i="5"/>
  <c r="R451" i="5"/>
  <c r="AO433" i="5"/>
  <c r="O433" i="5"/>
  <c r="AB433" i="5"/>
  <c r="AO427" i="5"/>
  <c r="O427" i="5"/>
  <c r="AB427" i="5"/>
  <c r="AI425" i="5"/>
  <c r="V425" i="5"/>
  <c r="I425" i="5"/>
  <c r="T414" i="5"/>
  <c r="AG414" i="5"/>
  <c r="G414" i="5"/>
  <c r="Q408" i="5"/>
  <c r="AD408" i="5"/>
  <c r="D408" i="5"/>
  <c r="AO402" i="5"/>
  <c r="O402" i="5"/>
  <c r="AB402" i="5"/>
  <c r="AL400" i="5"/>
  <c r="L400" i="5"/>
  <c r="AE392" i="5"/>
  <c r="R392" i="5"/>
  <c r="E392" i="5"/>
  <c r="AO384" i="5"/>
  <c r="O384" i="5"/>
  <c r="AB384" i="5"/>
  <c r="AJ371" i="5"/>
  <c r="W371" i="5"/>
  <c r="Q361" i="5"/>
  <c r="AD361" i="5"/>
  <c r="D361" i="5"/>
  <c r="N353" i="5"/>
  <c r="AN353" i="5"/>
  <c r="AA353" i="5"/>
  <c r="AM346" i="5"/>
  <c r="Z346" i="5"/>
  <c r="M346" i="5"/>
  <c r="AK331" i="5"/>
  <c r="X331" i="5"/>
  <c r="K331" i="5"/>
  <c r="S323" i="5"/>
  <c r="AF323" i="5"/>
  <c r="F323" i="5"/>
  <c r="T320" i="5"/>
  <c r="AG320" i="5"/>
  <c r="G320" i="5"/>
  <c r="AF306" i="5"/>
  <c r="F306" i="5"/>
  <c r="S306" i="5"/>
  <c r="AI253" i="5"/>
  <c r="V253" i="5"/>
  <c r="T249" i="5"/>
  <c r="AG249" i="5"/>
  <c r="G249" i="5"/>
  <c r="AI222" i="5"/>
  <c r="V222" i="5"/>
  <c r="I222" i="5"/>
  <c r="T220" i="5"/>
  <c r="AG220" i="5"/>
  <c r="G220" i="5"/>
  <c r="AN213" i="5"/>
  <c r="AA213" i="5"/>
  <c r="N213" i="5"/>
  <c r="AK165" i="5"/>
  <c r="X165" i="5"/>
  <c r="S150" i="5"/>
  <c r="AF150" i="5"/>
  <c r="F150" i="5"/>
  <c r="S118" i="5"/>
  <c r="AF118" i="5"/>
  <c r="F118" i="5"/>
  <c r="AN31" i="5"/>
  <c r="N31" i="5"/>
  <c r="AA31" i="5"/>
  <c r="O151" i="5"/>
  <c r="M55" i="5"/>
  <c r="V511" i="5"/>
  <c r="AI511" i="5"/>
  <c r="AE510" i="5"/>
  <c r="R510" i="5"/>
  <c r="AE509" i="5"/>
  <c r="R509" i="5"/>
  <c r="E509" i="5"/>
  <c r="R508" i="5"/>
  <c r="AE508" i="5"/>
  <c r="AO503" i="5"/>
  <c r="AB503" i="5"/>
  <c r="O503" i="5"/>
  <c r="V500" i="5"/>
  <c r="I500" i="5"/>
  <c r="AI500" i="5"/>
  <c r="Q488" i="5"/>
  <c r="AD488" i="5"/>
  <c r="D488" i="5"/>
  <c r="AL480" i="5"/>
  <c r="Y480" i="5"/>
  <c r="L480" i="5"/>
  <c r="AK475" i="5"/>
  <c r="X475" i="5"/>
  <c r="K475" i="5"/>
  <c r="H474" i="5"/>
  <c r="AH474" i="5"/>
  <c r="U474" i="5"/>
  <c r="G473" i="5"/>
  <c r="T473" i="5"/>
  <c r="AG473" i="5"/>
  <c r="AG472" i="5"/>
  <c r="T472" i="5"/>
  <c r="G472" i="5"/>
  <c r="W468" i="5"/>
  <c r="AJ468" i="5"/>
  <c r="J468" i="5"/>
  <c r="AJ463" i="5"/>
  <c r="W463" i="5"/>
  <c r="J463" i="5"/>
  <c r="AG462" i="5"/>
  <c r="G462" i="5"/>
  <c r="T462" i="5"/>
  <c r="AE456" i="5"/>
  <c r="R456" i="5"/>
  <c r="E456" i="5"/>
  <c r="Q451" i="5"/>
  <c r="AD451" i="5"/>
  <c r="AO432" i="5"/>
  <c r="O432" i="5"/>
  <c r="AB432" i="5"/>
  <c r="AL427" i="5"/>
  <c r="Y427" i="5"/>
  <c r="L427" i="5"/>
  <c r="AI426" i="5"/>
  <c r="I426" i="5"/>
  <c r="V426" i="5"/>
  <c r="AH425" i="5"/>
  <c r="H425" i="5"/>
  <c r="U425" i="5"/>
  <c r="U424" i="5"/>
  <c r="AH424" i="5"/>
  <c r="H424" i="5"/>
  <c r="AI420" i="5"/>
  <c r="V420" i="5"/>
  <c r="I420" i="5"/>
  <c r="V415" i="5"/>
  <c r="I415" i="5"/>
  <c r="AI415" i="5"/>
  <c r="AE414" i="5"/>
  <c r="R414" i="5"/>
  <c r="R413" i="5"/>
  <c r="AE413" i="5"/>
  <c r="E413" i="5"/>
  <c r="AE412" i="5"/>
  <c r="E412" i="5"/>
  <c r="R412" i="5"/>
  <c r="AO407" i="5"/>
  <c r="AB407" i="5"/>
  <c r="O407" i="5"/>
  <c r="AI404" i="5"/>
  <c r="V404" i="5"/>
  <c r="I404" i="5"/>
  <c r="Q392" i="5"/>
  <c r="D392" i="5"/>
  <c r="AD392" i="5"/>
  <c r="AL384" i="5"/>
  <c r="Y384" i="5"/>
  <c r="L384" i="5"/>
  <c r="U379" i="5"/>
  <c r="H379" i="5"/>
  <c r="AO376" i="5"/>
  <c r="O376" i="5"/>
  <c r="AB376" i="5"/>
  <c r="O360" i="5"/>
  <c r="AO360" i="5"/>
  <c r="AB360" i="5"/>
  <c r="T355" i="5"/>
  <c r="G355" i="5"/>
  <c r="AG355" i="5"/>
  <c r="AI331" i="5"/>
  <c r="I331" i="5"/>
  <c r="N329" i="5"/>
  <c r="AN329" i="5"/>
  <c r="AA329" i="5"/>
  <c r="N328" i="5"/>
  <c r="AN328" i="5"/>
  <c r="AA328" i="5"/>
  <c r="Q323" i="5"/>
  <c r="AD323" i="5"/>
  <c r="D323" i="5"/>
  <c r="L321" i="5"/>
  <c r="AL321" i="5"/>
  <c r="AL307" i="5"/>
  <c r="Y307" i="5"/>
  <c r="L307" i="5"/>
  <c r="Q306" i="5"/>
  <c r="AD306" i="5"/>
  <c r="D306" i="5"/>
  <c r="Q305" i="5"/>
  <c r="AD305" i="5"/>
  <c r="D305" i="5"/>
  <c r="Q304" i="5"/>
  <c r="AD304" i="5"/>
  <c r="D304" i="5"/>
  <c r="AG250" i="5"/>
  <c r="G250" i="5"/>
  <c r="T250" i="5"/>
  <c r="S249" i="5"/>
  <c r="AF249" i="5"/>
  <c r="F249" i="5"/>
  <c r="N223" i="5"/>
  <c r="AN223" i="5"/>
  <c r="AA223" i="5"/>
  <c r="AH222" i="5"/>
  <c r="H222" i="5"/>
  <c r="U222" i="5"/>
  <c r="AH190" i="5"/>
  <c r="U190" i="5"/>
  <c r="H190" i="5"/>
  <c r="N166" i="5"/>
  <c r="AA166" i="5"/>
  <c r="AN166" i="5"/>
  <c r="AJ165" i="5"/>
  <c r="W165" i="5"/>
  <c r="J165" i="5"/>
  <c r="Y151" i="5"/>
  <c r="AL151" i="5"/>
  <c r="L151" i="5"/>
  <c r="AD150" i="5"/>
  <c r="Q150" i="5"/>
  <c r="D150" i="5"/>
  <c r="D149" i="5"/>
  <c r="AD149" i="5"/>
  <c r="Q149" i="5"/>
  <c r="AD148" i="5"/>
  <c r="Q148" i="5"/>
  <c r="D148" i="5"/>
  <c r="AM119" i="5"/>
  <c r="Z119" i="5"/>
  <c r="M119" i="5"/>
  <c r="AD118" i="5"/>
  <c r="Q118" i="5"/>
  <c r="AD117" i="5"/>
  <c r="Q117" i="5"/>
  <c r="D117" i="5"/>
  <c r="L108" i="5"/>
  <c r="Y108" i="5"/>
  <c r="AL108" i="5"/>
  <c r="AD103" i="5"/>
  <c r="D103" i="5"/>
  <c r="AK94" i="5"/>
  <c r="K94" i="5"/>
  <c r="X94" i="5"/>
  <c r="AI93" i="5"/>
  <c r="V93" i="5"/>
  <c r="AN70" i="5"/>
  <c r="N70" i="5"/>
  <c r="AA70" i="5"/>
  <c r="AJ69" i="5"/>
  <c r="W69" i="5"/>
  <c r="AO48" i="5"/>
  <c r="AB48" i="5"/>
  <c r="O48" i="5"/>
  <c r="AG11" i="5"/>
  <c r="T11" i="5"/>
  <c r="G11" i="5"/>
  <c r="AA9" i="5"/>
  <c r="N9" i="5"/>
  <c r="AN9" i="5"/>
  <c r="AI8" i="5"/>
  <c r="V8" i="5"/>
  <c r="I8" i="5"/>
  <c r="J371" i="5"/>
  <c r="I253" i="5"/>
  <c r="Q510" i="5"/>
  <c r="AD510" i="5"/>
  <c r="D510" i="5"/>
  <c r="Q509" i="5"/>
  <c r="AD509" i="5"/>
  <c r="D509" i="5"/>
  <c r="Q508" i="5"/>
  <c r="AD508" i="5"/>
  <c r="D508" i="5"/>
  <c r="H500" i="5"/>
  <c r="AH500" i="5"/>
  <c r="U500" i="5"/>
  <c r="AO487" i="5"/>
  <c r="AB487" i="5"/>
  <c r="O487" i="5"/>
  <c r="AK480" i="5"/>
  <c r="K480" i="5"/>
  <c r="J475" i="5"/>
  <c r="AJ475" i="5"/>
  <c r="W475" i="5"/>
  <c r="T474" i="5"/>
  <c r="G474" i="5"/>
  <c r="AG474" i="5"/>
  <c r="AI468" i="5"/>
  <c r="V468" i="5"/>
  <c r="I468" i="5"/>
  <c r="V463" i="5"/>
  <c r="I463" i="5"/>
  <c r="AI463" i="5"/>
  <c r="R462" i="5"/>
  <c r="AE462" i="5"/>
  <c r="E462" i="5"/>
  <c r="AE461" i="5"/>
  <c r="R461" i="5"/>
  <c r="E461" i="5"/>
  <c r="AE460" i="5"/>
  <c r="R460" i="5"/>
  <c r="R440" i="5"/>
  <c r="E440" i="5"/>
  <c r="AE440" i="5"/>
  <c r="AL432" i="5"/>
  <c r="Y432" i="5"/>
  <c r="L432" i="5"/>
  <c r="AK427" i="5"/>
  <c r="X427" i="5"/>
  <c r="K427" i="5"/>
  <c r="H426" i="5"/>
  <c r="AH426" i="5"/>
  <c r="U426" i="5"/>
  <c r="G425" i="5"/>
  <c r="AG425" i="5"/>
  <c r="T425" i="5"/>
  <c r="AG424" i="5"/>
  <c r="T424" i="5"/>
  <c r="G424" i="5"/>
  <c r="U420" i="5"/>
  <c r="H420" i="5"/>
  <c r="U415" i="5"/>
  <c r="AH415" i="5"/>
  <c r="H415" i="5"/>
  <c r="Q414" i="5"/>
  <c r="AD414" i="5"/>
  <c r="D414" i="5"/>
  <c r="Q413" i="5"/>
  <c r="AD413" i="5"/>
  <c r="D413" i="5"/>
  <c r="Q412" i="5"/>
  <c r="D412" i="5"/>
  <c r="U404" i="5"/>
  <c r="AH404" i="5"/>
  <c r="AB391" i="5"/>
  <c r="O391" i="5"/>
  <c r="AO391" i="5"/>
  <c r="AK384" i="5"/>
  <c r="K384" i="5"/>
  <c r="X384" i="5"/>
  <c r="AG379" i="5"/>
  <c r="G379" i="5"/>
  <c r="T379" i="5"/>
  <c r="N377" i="5"/>
  <c r="AN377" i="5"/>
  <c r="AA377" i="5"/>
  <c r="N376" i="5"/>
  <c r="AN376" i="5"/>
  <c r="AA376" i="5"/>
  <c r="N360" i="5"/>
  <c r="AA360" i="5"/>
  <c r="AN360" i="5"/>
  <c r="U358" i="5"/>
  <c r="H358" i="5"/>
  <c r="AH358" i="5"/>
  <c r="S357" i="5"/>
  <c r="AF357" i="5"/>
  <c r="F357" i="5"/>
  <c r="AM342" i="5"/>
  <c r="Z342" i="5"/>
  <c r="M342" i="5"/>
  <c r="AK341" i="5"/>
  <c r="X341" i="5"/>
  <c r="K341" i="5"/>
  <c r="X340" i="5"/>
  <c r="K340" i="5"/>
  <c r="AK340" i="5"/>
  <c r="AJ309" i="5"/>
  <c r="W309" i="5"/>
  <c r="J309" i="5"/>
  <c r="AD252" i="5"/>
  <c r="Q252" i="5"/>
  <c r="D252" i="5"/>
  <c r="S250" i="5"/>
  <c r="AF250" i="5"/>
  <c r="F250" i="5"/>
  <c r="AM223" i="5"/>
  <c r="Z223" i="5"/>
  <c r="M223" i="5"/>
  <c r="W175" i="5"/>
  <c r="J175" i="5"/>
  <c r="AJ175" i="5"/>
  <c r="AL166" i="5"/>
  <c r="L166" i="5"/>
  <c r="Y166" i="5"/>
  <c r="U151" i="5"/>
  <c r="AH151" i="5"/>
  <c r="H151" i="5"/>
  <c r="O149" i="5"/>
  <c r="AO149" i="5"/>
  <c r="AO148" i="5"/>
  <c r="O148" i="5"/>
  <c r="AB148" i="5"/>
  <c r="AL119" i="5"/>
  <c r="L119" i="5"/>
  <c r="Y119" i="5"/>
  <c r="AO117" i="5"/>
  <c r="AB117" i="5"/>
  <c r="AO116" i="5"/>
  <c r="AB116" i="5"/>
  <c r="O116" i="5"/>
  <c r="K108" i="5"/>
  <c r="X108" i="5"/>
  <c r="AK108" i="5"/>
  <c r="AO102" i="5"/>
  <c r="AB102" i="5"/>
  <c r="O102" i="5"/>
  <c r="AK101" i="5"/>
  <c r="K101" i="5"/>
  <c r="X101" i="5"/>
  <c r="AK100" i="5"/>
  <c r="K100" i="5"/>
  <c r="X100" i="5"/>
  <c r="AJ94" i="5"/>
  <c r="W94" i="5"/>
  <c r="J94" i="5"/>
  <c r="AH93" i="5"/>
  <c r="H93" i="5"/>
  <c r="U93" i="5"/>
  <c r="AH58" i="5"/>
  <c r="U58" i="5"/>
  <c r="H58" i="5"/>
  <c r="AG57" i="5"/>
  <c r="T57" i="5"/>
  <c r="G57" i="5"/>
  <c r="AN48" i="5"/>
  <c r="N48" i="5"/>
  <c r="AA48" i="5"/>
  <c r="AG43" i="5"/>
  <c r="T43" i="5"/>
  <c r="G43" i="5"/>
  <c r="N41" i="5"/>
  <c r="AN41" i="5"/>
  <c r="AA41" i="5"/>
  <c r="AN40" i="5"/>
  <c r="N40" i="5"/>
  <c r="AA40" i="5"/>
  <c r="AM34" i="5"/>
  <c r="Z34" i="5"/>
  <c r="M34" i="5"/>
  <c r="S11" i="5"/>
  <c r="F11" i="5"/>
  <c r="AM9" i="5"/>
  <c r="Z9" i="5"/>
  <c r="M9" i="5"/>
  <c r="AH8" i="5"/>
  <c r="U8" i="5"/>
  <c r="H8" i="5"/>
  <c r="J474" i="5"/>
  <c r="I472" i="5"/>
  <c r="G110" i="5"/>
  <c r="X480" i="5"/>
  <c r="Q103" i="5"/>
  <c r="E503" i="5"/>
  <c r="R503" i="5"/>
  <c r="AE503" i="5"/>
  <c r="Y479" i="5"/>
  <c r="AL479" i="5"/>
  <c r="AE455" i="5"/>
  <c r="R455" i="5"/>
  <c r="E455" i="5"/>
  <c r="AD443" i="5"/>
  <c r="Q443" i="5"/>
  <c r="D443" i="5"/>
  <c r="AI419" i="5"/>
  <c r="V419" i="5"/>
  <c r="I419" i="5"/>
  <c r="AE395" i="5"/>
  <c r="R395" i="5"/>
  <c r="AM371" i="5"/>
  <c r="M371" i="5"/>
  <c r="Z371" i="5"/>
  <c r="AJ347" i="5"/>
  <c r="W347" i="5"/>
  <c r="J347" i="5"/>
  <c r="Q311" i="5"/>
  <c r="AD311" i="5"/>
  <c r="D311" i="5"/>
  <c r="AO275" i="5"/>
  <c r="AB275" i="5"/>
  <c r="S251" i="5"/>
  <c r="AF251" i="5"/>
  <c r="F251" i="5"/>
  <c r="Q215" i="5"/>
  <c r="AD215" i="5"/>
  <c r="D215" i="5"/>
  <c r="AI191" i="5"/>
  <c r="V191" i="5"/>
  <c r="I191" i="5"/>
  <c r="N179" i="5"/>
  <c r="AA179" i="5"/>
  <c r="AN179" i="5"/>
  <c r="S155" i="5"/>
  <c r="AF155" i="5"/>
  <c r="F155" i="5"/>
  <c r="AL143" i="5"/>
  <c r="Y143" i="5"/>
  <c r="L143" i="5"/>
  <c r="AI131" i="5"/>
  <c r="V131" i="5"/>
  <c r="I131" i="5"/>
  <c r="AI107" i="5"/>
  <c r="V107" i="5"/>
  <c r="AG95" i="5"/>
  <c r="G95" i="5"/>
  <c r="T95" i="5"/>
  <c r="N83" i="5"/>
  <c r="AA83" i="5"/>
  <c r="AN83" i="5"/>
  <c r="S71" i="5"/>
  <c r="AF71" i="5"/>
  <c r="F71" i="5"/>
  <c r="AF59" i="5"/>
  <c r="S59" i="5"/>
  <c r="F59" i="5"/>
  <c r="AL47" i="5"/>
  <c r="L47" i="5"/>
  <c r="Y47" i="5"/>
  <c r="AD35" i="5"/>
  <c r="Q35" i="5"/>
  <c r="D35" i="5"/>
  <c r="AI11" i="5"/>
  <c r="V11" i="5"/>
  <c r="I11" i="5"/>
  <c r="AG511" i="5"/>
  <c r="G511" i="5"/>
  <c r="AO509" i="5"/>
  <c r="AB509" i="5"/>
  <c r="O509" i="5"/>
  <c r="AO508" i="5"/>
  <c r="AB508" i="5"/>
  <c r="O508" i="5"/>
  <c r="AO502" i="5"/>
  <c r="AB502" i="5"/>
  <c r="O502" i="5"/>
  <c r="AL501" i="5"/>
  <c r="L501" i="5"/>
  <c r="AG500" i="5"/>
  <c r="T500" i="5"/>
  <c r="G500" i="5"/>
  <c r="W490" i="5"/>
  <c r="AJ490" i="5"/>
  <c r="J490" i="5"/>
  <c r="AI489" i="5"/>
  <c r="I489" i="5"/>
  <c r="V489" i="5"/>
  <c r="Q440" i="5"/>
  <c r="AD440" i="5"/>
  <c r="D440" i="5"/>
  <c r="K432" i="5"/>
  <c r="X432" i="5"/>
  <c r="AK432" i="5"/>
  <c r="AJ427" i="5"/>
  <c r="J427" i="5"/>
  <c r="W427" i="5"/>
  <c r="G426" i="5"/>
  <c r="AG426" i="5"/>
  <c r="T426" i="5"/>
  <c r="T420" i="5"/>
  <c r="G420" i="5"/>
  <c r="AG415" i="5"/>
  <c r="T415" i="5"/>
  <c r="G415" i="5"/>
  <c r="AO413" i="5"/>
  <c r="AB413" i="5"/>
  <c r="AO412" i="5"/>
  <c r="AB412" i="5"/>
  <c r="O412" i="5"/>
  <c r="AO406" i="5"/>
  <c r="AB406" i="5"/>
  <c r="AL405" i="5"/>
  <c r="L405" i="5"/>
  <c r="Y405" i="5"/>
  <c r="AG404" i="5"/>
  <c r="G404" i="5"/>
  <c r="AJ394" i="5"/>
  <c r="W394" i="5"/>
  <c r="J394" i="5"/>
  <c r="V393" i="5"/>
  <c r="AI393" i="5"/>
  <c r="I393" i="5"/>
  <c r="AM359" i="5"/>
  <c r="M359" i="5"/>
  <c r="Z359" i="5"/>
  <c r="AG358" i="5"/>
  <c r="T358" i="5"/>
  <c r="G358" i="5"/>
  <c r="AL342" i="5"/>
  <c r="Y342" i="5"/>
  <c r="L342" i="5"/>
  <c r="AJ341" i="5"/>
  <c r="W341" i="5"/>
  <c r="J341" i="5"/>
  <c r="AJ340" i="5"/>
  <c r="W340" i="5"/>
  <c r="J340" i="5"/>
  <c r="AG334" i="5"/>
  <c r="T334" i="5"/>
  <c r="G334" i="5"/>
  <c r="AF333" i="5"/>
  <c r="S333" i="5"/>
  <c r="F333" i="5"/>
  <c r="AK310" i="5"/>
  <c r="K310" i="5"/>
  <c r="X310" i="5"/>
  <c r="AI309" i="5"/>
  <c r="I309" i="5"/>
  <c r="V309" i="5"/>
  <c r="AK275" i="5"/>
  <c r="X275" i="5"/>
  <c r="AB273" i="5"/>
  <c r="AO273" i="5"/>
  <c r="O273" i="5"/>
  <c r="N272" i="5"/>
  <c r="AN272" i="5"/>
  <c r="AM258" i="5"/>
  <c r="Z258" i="5"/>
  <c r="M258" i="5"/>
  <c r="AB251" i="5"/>
  <c r="AO251" i="5"/>
  <c r="O251" i="5"/>
  <c r="AB240" i="5"/>
  <c r="AO240" i="5"/>
  <c r="O240" i="5"/>
  <c r="U192" i="5"/>
  <c r="AH192" i="5"/>
  <c r="H192" i="5"/>
  <c r="AO180" i="5"/>
  <c r="O180" i="5"/>
  <c r="AB180" i="5"/>
  <c r="V175" i="5"/>
  <c r="I175" i="5"/>
  <c r="AI175" i="5"/>
  <c r="AK166" i="5"/>
  <c r="X166" i="5"/>
  <c r="K166" i="5"/>
  <c r="AB131" i="5"/>
  <c r="AO131" i="5"/>
  <c r="O131" i="5"/>
  <c r="AH128" i="5"/>
  <c r="U128" i="5"/>
  <c r="H128" i="5"/>
  <c r="W126" i="5"/>
  <c r="AJ126" i="5"/>
  <c r="J126" i="5"/>
  <c r="U125" i="5"/>
  <c r="AH125" i="5"/>
  <c r="H125" i="5"/>
  <c r="AH124" i="5"/>
  <c r="H124" i="5"/>
  <c r="AH119" i="5"/>
  <c r="U119" i="5"/>
  <c r="H119" i="5"/>
  <c r="AA117" i="5"/>
  <c r="N117" i="5"/>
  <c r="AN117" i="5"/>
  <c r="AN116" i="5"/>
  <c r="N116" i="5"/>
  <c r="AA116" i="5"/>
  <c r="AJ108" i="5"/>
  <c r="W108" i="5"/>
  <c r="J108" i="5"/>
  <c r="N102" i="5"/>
  <c r="AN102" i="5"/>
  <c r="W101" i="5"/>
  <c r="AJ101" i="5"/>
  <c r="J101" i="5"/>
  <c r="AJ100" i="5"/>
  <c r="W100" i="5"/>
  <c r="J100" i="5"/>
  <c r="I94" i="5"/>
  <c r="AI94" i="5"/>
  <c r="V94" i="5"/>
  <c r="AG93" i="5"/>
  <c r="T93" i="5"/>
  <c r="AG58" i="5"/>
  <c r="T58" i="5"/>
  <c r="G58" i="5"/>
  <c r="AF57" i="5"/>
  <c r="S57" i="5"/>
  <c r="F57" i="5"/>
  <c r="AM48" i="5"/>
  <c r="Z48" i="5"/>
  <c r="M48" i="5"/>
  <c r="S43" i="5"/>
  <c r="F43" i="5"/>
  <c r="AF43" i="5"/>
  <c r="AM41" i="5"/>
  <c r="Z41" i="5"/>
  <c r="AM40" i="5"/>
  <c r="M40" i="5"/>
  <c r="Z40" i="5"/>
  <c r="AL34" i="5"/>
  <c r="L34" i="5"/>
  <c r="Y34" i="5"/>
  <c r="AH33" i="5"/>
  <c r="H33" i="5"/>
  <c r="U33" i="5"/>
  <c r="AO10" i="5"/>
  <c r="AB10" i="5"/>
  <c r="O10" i="5"/>
  <c r="E508" i="5"/>
  <c r="I474" i="5"/>
  <c r="E414" i="5"/>
  <c r="G299" i="5"/>
  <c r="J69" i="5"/>
  <c r="AB377" i="5"/>
  <c r="AB213" i="5"/>
  <c r="AB176" i="5"/>
  <c r="AB149" i="5"/>
  <c r="AA102" i="5"/>
  <c r="T515" i="5"/>
  <c r="G515" i="5"/>
  <c r="AG515" i="5"/>
  <c r="AO513" i="5"/>
  <c r="AB513" i="5"/>
  <c r="O513" i="5"/>
  <c r="AO512" i="5"/>
  <c r="AB512" i="5"/>
  <c r="O512" i="5"/>
  <c r="AL502" i="5"/>
  <c r="Y502" i="5"/>
  <c r="L502" i="5"/>
  <c r="AK501" i="5"/>
  <c r="X501" i="5"/>
  <c r="AH452" i="5"/>
  <c r="U452" i="5"/>
  <c r="H452" i="5"/>
  <c r="AO439" i="5"/>
  <c r="AB439" i="5"/>
  <c r="O439" i="5"/>
  <c r="AJ432" i="5"/>
  <c r="J432" i="5"/>
  <c r="W432" i="5"/>
  <c r="AG430" i="5"/>
  <c r="G430" i="5"/>
  <c r="T419" i="5"/>
  <c r="AG419" i="5"/>
  <c r="G419" i="5"/>
  <c r="AO417" i="5"/>
  <c r="AB417" i="5"/>
  <c r="O417" i="5"/>
  <c r="AO416" i="5"/>
  <c r="O416" i="5"/>
  <c r="AB416" i="5"/>
  <c r="L406" i="5"/>
  <c r="AL406" i="5"/>
  <c r="Y406" i="5"/>
  <c r="AK405" i="5"/>
  <c r="K405" i="5"/>
  <c r="X405" i="5"/>
  <c r="AL359" i="5"/>
  <c r="Y359" i="5"/>
  <c r="L359" i="5"/>
  <c r="AF358" i="5"/>
  <c r="S358" i="5"/>
  <c r="F358" i="5"/>
  <c r="AM356" i="5"/>
  <c r="Z356" i="5"/>
  <c r="M356" i="5"/>
  <c r="AK342" i="5"/>
  <c r="X342" i="5"/>
  <c r="K342" i="5"/>
  <c r="AI341" i="5"/>
  <c r="V341" i="5"/>
  <c r="I341" i="5"/>
  <c r="V340" i="5"/>
  <c r="I340" i="5"/>
  <c r="AI340" i="5"/>
  <c r="AF334" i="5"/>
  <c r="F334" i="5"/>
  <c r="S334" i="5"/>
  <c r="Q333" i="5"/>
  <c r="D333" i="5"/>
  <c r="AD333" i="5"/>
  <c r="AL283" i="5"/>
  <c r="Y283" i="5"/>
  <c r="L283" i="5"/>
  <c r="H282" i="5"/>
  <c r="U282" i="5"/>
  <c r="AH282" i="5"/>
  <c r="AF281" i="5"/>
  <c r="F281" i="5"/>
  <c r="S281" i="5"/>
  <c r="AF280" i="5"/>
  <c r="F280" i="5"/>
  <c r="S280" i="5"/>
  <c r="AJ275" i="5"/>
  <c r="W275" i="5"/>
  <c r="J275" i="5"/>
  <c r="AN273" i="5"/>
  <c r="N273" i="5"/>
  <c r="AA273" i="5"/>
  <c r="AM272" i="5"/>
  <c r="Z272" i="5"/>
  <c r="M272" i="5"/>
  <c r="AI264" i="5"/>
  <c r="V264" i="5"/>
  <c r="I264" i="5"/>
  <c r="AJ260" i="5"/>
  <c r="W260" i="5"/>
  <c r="J260" i="5"/>
  <c r="L258" i="5"/>
  <c r="AL258" i="5"/>
  <c r="H257" i="5"/>
  <c r="U257" i="5"/>
  <c r="AH256" i="5"/>
  <c r="U256" i="5"/>
  <c r="H256" i="5"/>
  <c r="K251" i="5"/>
  <c r="X251" i="5"/>
  <c r="AK251" i="5"/>
  <c r="N240" i="5"/>
  <c r="AA240" i="5"/>
  <c r="AN240" i="5"/>
  <c r="AG235" i="5"/>
  <c r="G235" i="5"/>
  <c r="T235" i="5"/>
  <c r="N233" i="5"/>
  <c r="AN233" i="5"/>
  <c r="AA233" i="5"/>
  <c r="N232" i="5"/>
  <c r="AN232" i="5"/>
  <c r="AA232" i="5"/>
  <c r="AI204" i="5"/>
  <c r="V204" i="5"/>
  <c r="I204" i="5"/>
  <c r="Z200" i="5"/>
  <c r="M200" i="5"/>
  <c r="AM200" i="5"/>
  <c r="Y198" i="5"/>
  <c r="AL198" i="5"/>
  <c r="L198" i="5"/>
  <c r="AG192" i="5"/>
  <c r="T192" i="5"/>
  <c r="G192" i="5"/>
  <c r="N180" i="5"/>
  <c r="AA180" i="5"/>
  <c r="AN180" i="5"/>
  <c r="AG175" i="5"/>
  <c r="T175" i="5"/>
  <c r="G175" i="5"/>
  <c r="AO144" i="5"/>
  <c r="O144" i="5"/>
  <c r="G128" i="5"/>
  <c r="AG128" i="5"/>
  <c r="T128" i="5"/>
  <c r="V126" i="5"/>
  <c r="I126" i="5"/>
  <c r="AI126" i="5"/>
  <c r="AG125" i="5"/>
  <c r="T125" i="5"/>
  <c r="G125" i="5"/>
  <c r="AG124" i="5"/>
  <c r="G124" i="5"/>
  <c r="AG119" i="5"/>
  <c r="T119" i="5"/>
  <c r="G119" i="5"/>
  <c r="AI108" i="5"/>
  <c r="V108" i="5"/>
  <c r="I108" i="5"/>
  <c r="AM104" i="5"/>
  <c r="Z104" i="5"/>
  <c r="M104" i="5"/>
  <c r="AL102" i="5"/>
  <c r="Y102" i="5"/>
  <c r="L102" i="5"/>
  <c r="Q60" i="5"/>
  <c r="AD60" i="5"/>
  <c r="D60" i="5"/>
  <c r="AO42" i="5"/>
  <c r="O42" i="5"/>
  <c r="AB42" i="5"/>
  <c r="AK34" i="5"/>
  <c r="X34" i="5"/>
  <c r="K34" i="5"/>
  <c r="AG33" i="5"/>
  <c r="T33" i="5"/>
  <c r="G33" i="5"/>
  <c r="AL19" i="5"/>
  <c r="Y19" i="5"/>
  <c r="L19" i="5"/>
  <c r="AO17" i="5"/>
  <c r="AB17" i="5"/>
  <c r="AO16" i="5"/>
  <c r="AB16" i="5"/>
  <c r="O16" i="5"/>
  <c r="I511" i="5"/>
  <c r="O413" i="5"/>
  <c r="O275" i="5"/>
  <c r="K165" i="5"/>
  <c r="I107" i="5"/>
  <c r="Q188" i="5"/>
  <c r="AJ511" i="5"/>
  <c r="W511" i="5"/>
  <c r="J511" i="5"/>
  <c r="Q504" i="5"/>
  <c r="D504" i="5"/>
  <c r="AD504" i="5"/>
  <c r="AL497" i="5"/>
  <c r="L497" i="5"/>
  <c r="AI424" i="5"/>
  <c r="V424" i="5"/>
  <c r="I424" i="5"/>
  <c r="N352" i="5"/>
  <c r="AA352" i="5"/>
  <c r="AN352" i="5"/>
  <c r="AM55" i="5"/>
  <c r="AE515" i="5"/>
  <c r="R515" i="5"/>
  <c r="AL512" i="5"/>
  <c r="Y512" i="5"/>
  <c r="L512" i="5"/>
  <c r="X502" i="5"/>
  <c r="AK502" i="5"/>
  <c r="K502" i="5"/>
  <c r="AJ501" i="5"/>
  <c r="W501" i="5"/>
  <c r="AI479" i="5"/>
  <c r="V479" i="5"/>
  <c r="I479" i="5"/>
  <c r="Q477" i="5"/>
  <c r="D477" i="5"/>
  <c r="AD477" i="5"/>
  <c r="AO465" i="5"/>
  <c r="AB465" i="5"/>
  <c r="O465" i="5"/>
  <c r="AO454" i="5"/>
  <c r="AB454" i="5"/>
  <c r="AG452" i="5"/>
  <c r="T452" i="5"/>
  <c r="G452" i="5"/>
  <c r="AJ442" i="5"/>
  <c r="W442" i="5"/>
  <c r="J442" i="5"/>
  <c r="E430" i="5"/>
  <c r="AE430" i="5"/>
  <c r="R430" i="5"/>
  <c r="R419" i="5"/>
  <c r="AE419" i="5"/>
  <c r="E419" i="5"/>
  <c r="AF175" i="5"/>
  <c r="S175" i="5"/>
  <c r="F175" i="5"/>
  <c r="AD515" i="5"/>
  <c r="Q515" i="5"/>
  <c r="D515" i="5"/>
  <c r="K512" i="5"/>
  <c r="AK512" i="5"/>
  <c r="X512" i="5"/>
  <c r="AO492" i="5"/>
  <c r="AB492" i="5"/>
  <c r="O492" i="5"/>
  <c r="AO477" i="5"/>
  <c r="O477" i="5"/>
  <c r="AB477" i="5"/>
  <c r="AO476" i="5"/>
  <c r="AB476" i="5"/>
  <c r="O476" i="5"/>
  <c r="E467" i="5"/>
  <c r="AE467" i="5"/>
  <c r="R467" i="5"/>
  <c r="AK453" i="5"/>
  <c r="K453" i="5"/>
  <c r="AH441" i="5"/>
  <c r="U441" i="5"/>
  <c r="H441" i="5"/>
  <c r="V431" i="5"/>
  <c r="AI431" i="5"/>
  <c r="I431" i="5"/>
  <c r="Q429" i="5"/>
  <c r="AD429" i="5"/>
  <c r="D429" i="5"/>
  <c r="AD419" i="5"/>
  <c r="Q419" i="5"/>
  <c r="AK416" i="5"/>
  <c r="X416" i="5"/>
  <c r="K416" i="5"/>
  <c r="O396" i="5"/>
  <c r="AO396" i="5"/>
  <c r="AB396" i="5"/>
  <c r="U383" i="5"/>
  <c r="AH383" i="5"/>
  <c r="H383" i="5"/>
  <c r="AL380" i="5"/>
  <c r="Y380" i="5"/>
  <c r="L380" i="5"/>
  <c r="AF366" i="5"/>
  <c r="F366" i="5"/>
  <c r="S366" i="5"/>
  <c r="AL348" i="5"/>
  <c r="Y348" i="5"/>
  <c r="AJ344" i="5"/>
  <c r="J344" i="5"/>
  <c r="W344" i="5"/>
  <c r="Q319" i="5"/>
  <c r="D319" i="5"/>
  <c r="AD319" i="5"/>
  <c r="Y316" i="5"/>
  <c r="L316" i="5"/>
  <c r="AL316" i="5"/>
  <c r="AM293" i="5"/>
  <c r="Z293" i="5"/>
  <c r="X453" i="5"/>
  <c r="T299" i="5"/>
  <c r="AD412" i="5"/>
  <c r="AL511" i="5"/>
  <c r="Y511" i="5"/>
  <c r="L511" i="5"/>
  <c r="V499" i="5"/>
  <c r="AI499" i="5"/>
  <c r="I499" i="5"/>
  <c r="AE487" i="5"/>
  <c r="R487" i="5"/>
  <c r="E487" i="5"/>
  <c r="AL463" i="5"/>
  <c r="Y463" i="5"/>
  <c r="I451" i="5"/>
  <c r="V451" i="5"/>
  <c r="AI451" i="5"/>
  <c r="AE439" i="5"/>
  <c r="R439" i="5"/>
  <c r="E439" i="5"/>
  <c r="AL415" i="5"/>
  <c r="Y415" i="5"/>
  <c r="L415" i="5"/>
  <c r="AI403" i="5"/>
  <c r="I403" i="5"/>
  <c r="V403" i="5"/>
  <c r="AE391" i="5"/>
  <c r="R391" i="5"/>
  <c r="E391" i="5"/>
  <c r="AL379" i="5"/>
  <c r="Y379" i="5"/>
  <c r="L379" i="5"/>
  <c r="N367" i="5"/>
  <c r="AA367" i="5"/>
  <c r="AN367" i="5"/>
  <c r="AL355" i="5"/>
  <c r="Y355" i="5"/>
  <c r="L355" i="5"/>
  <c r="AG343" i="5"/>
  <c r="T343" i="5"/>
  <c r="G343" i="5"/>
  <c r="AB331" i="5"/>
  <c r="O331" i="5"/>
  <c r="AO331" i="5"/>
  <c r="AJ319" i="5"/>
  <c r="W319" i="5"/>
  <c r="J319" i="5"/>
  <c r="I295" i="5"/>
  <c r="AI295" i="5"/>
  <c r="V295" i="5"/>
  <c r="AL271" i="5"/>
  <c r="Y271" i="5"/>
  <c r="L271" i="5"/>
  <c r="Q259" i="5"/>
  <c r="D259" i="5"/>
  <c r="AD259" i="5"/>
  <c r="AI235" i="5"/>
  <c r="I235" i="5"/>
  <c r="V235" i="5"/>
  <c r="S223" i="5"/>
  <c r="AF223" i="5"/>
  <c r="F223" i="5"/>
  <c r="N211" i="5"/>
  <c r="AN211" i="5"/>
  <c r="AA211" i="5"/>
  <c r="AG199" i="5"/>
  <c r="T199" i="5"/>
  <c r="AL175" i="5"/>
  <c r="Y175" i="5"/>
  <c r="L175" i="5"/>
  <c r="AI139" i="5"/>
  <c r="I139" i="5"/>
  <c r="V139" i="5"/>
  <c r="AF127" i="5"/>
  <c r="S127" i="5"/>
  <c r="F127" i="5"/>
  <c r="N115" i="5"/>
  <c r="AA115" i="5"/>
  <c r="AN115" i="5"/>
  <c r="AG103" i="5"/>
  <c r="T103" i="5"/>
  <c r="G103" i="5"/>
  <c r="Y79" i="5"/>
  <c r="AL79" i="5"/>
  <c r="L79" i="5"/>
  <c r="AD67" i="5"/>
  <c r="Q67" i="5"/>
  <c r="D67" i="5"/>
  <c r="AI43" i="5"/>
  <c r="I43" i="5"/>
  <c r="AG7" i="5"/>
  <c r="T7" i="5"/>
  <c r="G7" i="5"/>
  <c r="AO514" i="5"/>
  <c r="AB514" i="5"/>
  <c r="O514" i="5"/>
  <c r="AL513" i="5"/>
  <c r="L513" i="5"/>
  <c r="Y513" i="5"/>
  <c r="J512" i="5"/>
  <c r="W512" i="5"/>
  <c r="AO491" i="5"/>
  <c r="O491" i="5"/>
  <c r="AB491" i="5"/>
  <c r="AG479" i="5"/>
  <c r="T479" i="5"/>
  <c r="G479" i="5"/>
  <c r="AD467" i="5"/>
  <c r="Q467" i="5"/>
  <c r="D467" i="5"/>
  <c r="X464" i="5"/>
  <c r="K464" i="5"/>
  <c r="AK464" i="5"/>
  <c r="AK454" i="5"/>
  <c r="X454" i="5"/>
  <c r="W453" i="5"/>
  <c r="AJ453" i="5"/>
  <c r="J453" i="5"/>
  <c r="AH442" i="5"/>
  <c r="H442" i="5"/>
  <c r="U442" i="5"/>
  <c r="T441" i="5"/>
  <c r="AG441" i="5"/>
  <c r="AH431" i="5"/>
  <c r="U431" i="5"/>
  <c r="H431" i="5"/>
  <c r="AO429" i="5"/>
  <c r="AB429" i="5"/>
  <c r="O429" i="5"/>
  <c r="AO428" i="5"/>
  <c r="O428" i="5"/>
  <c r="AB428" i="5"/>
  <c r="AO418" i="5"/>
  <c r="AB418" i="5"/>
  <c r="AL417" i="5"/>
  <c r="L417" i="5"/>
  <c r="Y417" i="5"/>
  <c r="AJ416" i="5"/>
  <c r="W416" i="5"/>
  <c r="J416" i="5"/>
  <c r="AO395" i="5"/>
  <c r="O395" i="5"/>
  <c r="AB395" i="5"/>
  <c r="AG383" i="5"/>
  <c r="G383" i="5"/>
  <c r="T383" i="5"/>
  <c r="Z381" i="5"/>
  <c r="AM381" i="5"/>
  <c r="M381" i="5"/>
  <c r="AI380" i="5"/>
  <c r="I380" i="5"/>
  <c r="V380" i="5"/>
  <c r="O372" i="5"/>
  <c r="AO372" i="5"/>
  <c r="AB372" i="5"/>
  <c r="AI367" i="5"/>
  <c r="I367" i="5"/>
  <c r="V367" i="5"/>
  <c r="Q366" i="5"/>
  <c r="AD366" i="5"/>
  <c r="D366" i="5"/>
  <c r="Q365" i="5"/>
  <c r="AD365" i="5"/>
  <c r="D365" i="5"/>
  <c r="Q364" i="5"/>
  <c r="AD364" i="5"/>
  <c r="D364" i="5"/>
  <c r="AK348" i="5"/>
  <c r="X348" i="5"/>
  <c r="K348" i="5"/>
  <c r="H344" i="5"/>
  <c r="U344" i="5"/>
  <c r="AH344" i="5"/>
  <c r="AM300" i="5"/>
  <c r="Z300" i="5"/>
  <c r="M300" i="5"/>
  <c r="Q295" i="5"/>
  <c r="AD295" i="5"/>
  <c r="D295" i="5"/>
  <c r="AL293" i="5"/>
  <c r="Y293" i="5"/>
  <c r="L293" i="5"/>
  <c r="AL292" i="5"/>
  <c r="Y292" i="5"/>
  <c r="L292" i="5"/>
  <c r="Y286" i="5"/>
  <c r="L286" i="5"/>
  <c r="AL286" i="5"/>
  <c r="V285" i="5"/>
  <c r="AI285" i="5"/>
  <c r="I285" i="5"/>
  <c r="AF264" i="5"/>
  <c r="F264" i="5"/>
  <c r="AO259" i="5"/>
  <c r="O259" i="5"/>
  <c r="AB259" i="5"/>
  <c r="I211" i="5"/>
  <c r="V211" i="5"/>
  <c r="AI211" i="5"/>
  <c r="Z209" i="5"/>
  <c r="AM209" i="5"/>
  <c r="M209" i="5"/>
  <c r="AM208" i="5"/>
  <c r="Z208" i="5"/>
  <c r="M208" i="5"/>
  <c r="AO202" i="5"/>
  <c r="AB202" i="5"/>
  <c r="O202" i="5"/>
  <c r="G200" i="5"/>
  <c r="T200" i="5"/>
  <c r="AG200" i="5"/>
  <c r="AB187" i="5"/>
  <c r="O187" i="5"/>
  <c r="AO187" i="5"/>
  <c r="AH186" i="5"/>
  <c r="U186" i="5"/>
  <c r="H186" i="5"/>
  <c r="AG185" i="5"/>
  <c r="T185" i="5"/>
  <c r="G185" i="5"/>
  <c r="AG184" i="5"/>
  <c r="T184" i="5"/>
  <c r="G184" i="5"/>
  <c r="AI179" i="5"/>
  <c r="V179" i="5"/>
  <c r="AM177" i="5"/>
  <c r="Z177" i="5"/>
  <c r="M177" i="5"/>
  <c r="Z176" i="5"/>
  <c r="M176" i="5"/>
  <c r="AM176" i="5"/>
  <c r="AO155" i="5"/>
  <c r="AB155" i="5"/>
  <c r="O155" i="5"/>
  <c r="L144" i="5"/>
  <c r="AL144" i="5"/>
  <c r="AO138" i="5"/>
  <c r="O138" i="5"/>
  <c r="AB138" i="5"/>
  <c r="Z130" i="5"/>
  <c r="AM130" i="5"/>
  <c r="M130" i="5"/>
  <c r="AM66" i="5"/>
  <c r="Z66" i="5"/>
  <c r="M66" i="5"/>
  <c r="AG47" i="5"/>
  <c r="T47" i="5"/>
  <c r="G47" i="5"/>
  <c r="AJ44" i="5"/>
  <c r="W44" i="5"/>
  <c r="J44" i="5"/>
  <c r="W36" i="5"/>
  <c r="AJ36" i="5"/>
  <c r="J36" i="5"/>
  <c r="E510" i="5"/>
  <c r="O117" i="5"/>
  <c r="U124" i="5"/>
  <c r="AL491" i="5"/>
  <c r="Y491" i="5"/>
  <c r="L491" i="5"/>
  <c r="AO486" i="5"/>
  <c r="AB486" i="5"/>
  <c r="O486" i="5"/>
  <c r="AL485" i="5"/>
  <c r="L485" i="5"/>
  <c r="Y485" i="5"/>
  <c r="AL484" i="5"/>
  <c r="Y484" i="5"/>
  <c r="AO466" i="5"/>
  <c r="AB466" i="5"/>
  <c r="AL465" i="5"/>
  <c r="Y465" i="5"/>
  <c r="L465" i="5"/>
  <c r="J464" i="5"/>
  <c r="AJ464" i="5"/>
  <c r="AJ454" i="5"/>
  <c r="W454" i="5"/>
  <c r="J454" i="5"/>
  <c r="AI453" i="5"/>
  <c r="I453" i="5"/>
  <c r="AO444" i="5"/>
  <c r="O444" i="5"/>
  <c r="AB444" i="5"/>
  <c r="AG442" i="5"/>
  <c r="T442" i="5"/>
  <c r="G442" i="5"/>
  <c r="AG431" i="5"/>
  <c r="T431" i="5"/>
  <c r="G431" i="5"/>
  <c r="AL395" i="5"/>
  <c r="Y395" i="5"/>
  <c r="L395" i="5"/>
  <c r="AO390" i="5"/>
  <c r="AB390" i="5"/>
  <c r="O390" i="5"/>
  <c r="L389" i="5"/>
  <c r="Y389" i="5"/>
  <c r="AL389" i="5"/>
  <c r="AL388" i="5"/>
  <c r="Y388" i="5"/>
  <c r="L388" i="5"/>
  <c r="N372" i="5"/>
  <c r="AN372" i="5"/>
  <c r="AA372" i="5"/>
  <c r="AH367" i="5"/>
  <c r="U367" i="5"/>
  <c r="H367" i="5"/>
  <c r="AO365" i="5"/>
  <c r="AB365" i="5"/>
  <c r="O365" i="5"/>
  <c r="AB364" i="5"/>
  <c r="AO364" i="5"/>
  <c r="AI312" i="5"/>
  <c r="V312" i="5"/>
  <c r="I312" i="5"/>
  <c r="AK299" i="5"/>
  <c r="X299" i="5"/>
  <c r="K299" i="5"/>
  <c r="Q298" i="5"/>
  <c r="AD298" i="5"/>
  <c r="D298" i="5"/>
  <c r="AO296" i="5"/>
  <c r="AB296" i="5"/>
  <c r="N294" i="5"/>
  <c r="AN294" i="5"/>
  <c r="AA294" i="5"/>
  <c r="AK286" i="5"/>
  <c r="X286" i="5"/>
  <c r="AO262" i="5"/>
  <c r="AB262" i="5"/>
  <c r="O262" i="5"/>
  <c r="AK261" i="5"/>
  <c r="K261" i="5"/>
  <c r="X261" i="5"/>
  <c r="AJ228" i="5"/>
  <c r="W228" i="5"/>
  <c r="J228" i="5"/>
  <c r="Q211" i="5"/>
  <c r="AD211" i="5"/>
  <c r="D211" i="5"/>
  <c r="AL209" i="5"/>
  <c r="Y209" i="5"/>
  <c r="L209" i="5"/>
  <c r="L208" i="5"/>
  <c r="AL208" i="5"/>
  <c r="Y208" i="5"/>
  <c r="N202" i="5"/>
  <c r="AN202" i="5"/>
  <c r="AA202" i="5"/>
  <c r="AK187" i="5"/>
  <c r="X187" i="5"/>
  <c r="K187" i="5"/>
  <c r="AG186" i="5"/>
  <c r="T186" i="5"/>
  <c r="G186" i="5"/>
  <c r="AF185" i="5"/>
  <c r="S185" i="5"/>
  <c r="F185" i="5"/>
  <c r="S184" i="5"/>
  <c r="AF184" i="5"/>
  <c r="F184" i="5"/>
  <c r="AK155" i="5"/>
  <c r="X155" i="5"/>
  <c r="K155" i="5"/>
  <c r="AJ143" i="5"/>
  <c r="J143" i="5"/>
  <c r="W143" i="5"/>
  <c r="Y140" i="5"/>
  <c r="AL140" i="5"/>
  <c r="L140" i="5"/>
  <c r="AN138" i="5"/>
  <c r="N138" i="5"/>
  <c r="AA138" i="5"/>
  <c r="AL130" i="5"/>
  <c r="L130" i="5"/>
  <c r="Y130" i="5"/>
  <c r="H129" i="5"/>
  <c r="U129" i="5"/>
  <c r="AH129" i="5"/>
  <c r="Y115" i="5"/>
  <c r="AL115" i="5"/>
  <c r="AO113" i="5"/>
  <c r="AB113" i="5"/>
  <c r="O113" i="5"/>
  <c r="AO112" i="5"/>
  <c r="AB112" i="5"/>
  <c r="O112" i="5"/>
  <c r="AL83" i="5"/>
  <c r="Y83" i="5"/>
  <c r="L83" i="5"/>
  <c r="AO81" i="5"/>
  <c r="AB81" i="5"/>
  <c r="O81" i="5"/>
  <c r="AO80" i="5"/>
  <c r="O80" i="5"/>
  <c r="AB80" i="5"/>
  <c r="AI72" i="5"/>
  <c r="V72" i="5"/>
  <c r="AJ68" i="5"/>
  <c r="J68" i="5"/>
  <c r="W68" i="5"/>
  <c r="AL66" i="5"/>
  <c r="Y66" i="5"/>
  <c r="L66" i="5"/>
  <c r="AH65" i="5"/>
  <c r="U65" i="5"/>
  <c r="H65" i="5"/>
  <c r="AH64" i="5"/>
  <c r="U64" i="5"/>
  <c r="AF36" i="5"/>
  <c r="S36" i="5"/>
  <c r="F36" i="5"/>
  <c r="S22" i="5"/>
  <c r="AF22" i="5"/>
  <c r="F22" i="5"/>
  <c r="O466" i="5"/>
  <c r="H355" i="5"/>
  <c r="G339" i="5"/>
  <c r="T430" i="5"/>
  <c r="AB144" i="5"/>
  <c r="T124" i="5"/>
  <c r="AJ512" i="5"/>
  <c r="J491" i="5"/>
  <c r="W491" i="5"/>
  <c r="AJ485" i="5"/>
  <c r="W485" i="5"/>
  <c r="J485" i="5"/>
  <c r="Q482" i="5"/>
  <c r="D482" i="5"/>
  <c r="AD482" i="5"/>
  <c r="AL443" i="5"/>
  <c r="Y443" i="5"/>
  <c r="L443" i="5"/>
  <c r="Y437" i="5"/>
  <c r="AL437" i="5"/>
  <c r="L437" i="5"/>
  <c r="AG435" i="5"/>
  <c r="G435" i="5"/>
  <c r="T435" i="5"/>
  <c r="AG408" i="5"/>
  <c r="G408" i="5"/>
  <c r="AL399" i="5"/>
  <c r="Y399" i="5"/>
  <c r="L399" i="5"/>
  <c r="AK390" i="5"/>
  <c r="X390" i="5"/>
  <c r="K390" i="5"/>
  <c r="Q386" i="5"/>
  <c r="AD386" i="5"/>
  <c r="D386" i="5"/>
  <c r="Y372" i="5"/>
  <c r="AL372" i="5"/>
  <c r="L372" i="5"/>
  <c r="AF370" i="5"/>
  <c r="S370" i="5"/>
  <c r="F370" i="5"/>
  <c r="AL362" i="5"/>
  <c r="Y362" i="5"/>
  <c r="L362" i="5"/>
  <c r="AG330" i="5"/>
  <c r="G330" i="5"/>
  <c r="T330" i="5"/>
  <c r="AB321" i="5"/>
  <c r="AO321" i="5"/>
  <c r="O321" i="5"/>
  <c r="Q308" i="5"/>
  <c r="AD308" i="5"/>
  <c r="D308" i="5"/>
  <c r="AM289" i="5"/>
  <c r="M289" i="5"/>
  <c r="Z289" i="5"/>
  <c r="AI278" i="5"/>
  <c r="V278" i="5"/>
  <c r="I278" i="5"/>
  <c r="AH247" i="5"/>
  <c r="U247" i="5"/>
  <c r="H247" i="5"/>
  <c r="AB244" i="5"/>
  <c r="O244" i="5"/>
  <c r="AO244" i="5"/>
  <c r="S239" i="5"/>
  <c r="AF239" i="5"/>
  <c r="F239" i="5"/>
  <c r="AI236" i="5"/>
  <c r="I236" i="5"/>
  <c r="V236" i="5"/>
  <c r="AD228" i="5"/>
  <c r="Q228" i="5"/>
  <c r="D228" i="5"/>
  <c r="AI221" i="5"/>
  <c r="V221" i="5"/>
  <c r="M215" i="5"/>
  <c r="AM215" i="5"/>
  <c r="Z215" i="5"/>
  <c r="D213" i="5"/>
  <c r="Q213" i="5"/>
  <c r="AD213" i="5"/>
  <c r="V206" i="5"/>
  <c r="I206" i="5"/>
  <c r="AK195" i="5"/>
  <c r="X195" i="5"/>
  <c r="K195" i="5"/>
  <c r="Q164" i="5"/>
  <c r="AD164" i="5"/>
  <c r="D164" i="5"/>
  <c r="AG143" i="5"/>
  <c r="T143" i="5"/>
  <c r="G143" i="5"/>
  <c r="J140" i="5"/>
  <c r="AJ140" i="5"/>
  <c r="AI130" i="5"/>
  <c r="I130" i="5"/>
  <c r="V130" i="5"/>
  <c r="AK122" i="5"/>
  <c r="X122" i="5"/>
  <c r="K122" i="5"/>
  <c r="U90" i="5"/>
  <c r="AH90" i="5"/>
  <c r="H90" i="5"/>
  <c r="AG88" i="5"/>
  <c r="T88" i="5"/>
  <c r="G88" i="5"/>
  <c r="AM81" i="5"/>
  <c r="Z81" i="5"/>
  <c r="M81" i="5"/>
  <c r="AG72" i="5"/>
  <c r="T72" i="5"/>
  <c r="AD68" i="5"/>
  <c r="D68" i="5"/>
  <c r="Q68" i="5"/>
  <c r="S54" i="5"/>
  <c r="AF54" i="5"/>
  <c r="F54" i="5"/>
  <c r="AE504" i="5"/>
  <c r="R504" i="5"/>
  <c r="E504" i="5"/>
  <c r="T488" i="5"/>
  <c r="AG488" i="5"/>
  <c r="G488" i="5"/>
  <c r="AI485" i="5"/>
  <c r="V485" i="5"/>
  <c r="I485" i="5"/>
  <c r="AO481" i="5"/>
  <c r="AB481" i="5"/>
  <c r="O481" i="5"/>
  <c r="AI473" i="5"/>
  <c r="V473" i="5"/>
  <c r="I473" i="5"/>
  <c r="G457" i="5"/>
  <c r="AG457" i="5"/>
  <c r="AG451" i="5"/>
  <c r="G451" i="5"/>
  <c r="T451" i="5"/>
  <c r="AO448" i="5"/>
  <c r="AB448" i="5"/>
  <c r="AK443" i="5"/>
  <c r="K443" i="5"/>
  <c r="X443" i="5"/>
  <c r="Y438" i="5"/>
  <c r="AL438" i="5"/>
  <c r="L438" i="5"/>
  <c r="AG434" i="5"/>
  <c r="T434" i="5"/>
  <c r="G434" i="5"/>
  <c r="AJ421" i="5"/>
  <c r="W421" i="5"/>
  <c r="J421" i="5"/>
  <c r="Q403" i="5"/>
  <c r="AD403" i="5"/>
  <c r="D403" i="5"/>
  <c r="AG392" i="5"/>
  <c r="T392" i="5"/>
  <c r="AI389" i="5"/>
  <c r="V389" i="5"/>
  <c r="I389" i="5"/>
  <c r="AO385" i="5"/>
  <c r="O385" i="5"/>
  <c r="Q370" i="5"/>
  <c r="D370" i="5"/>
  <c r="AD370" i="5"/>
  <c r="AL331" i="5"/>
  <c r="Y331" i="5"/>
  <c r="L331" i="5"/>
  <c r="T323" i="5"/>
  <c r="G323" i="5"/>
  <c r="AG323" i="5"/>
  <c r="AO307" i="5"/>
  <c r="AB307" i="5"/>
  <c r="O307" i="5"/>
  <c r="AF305" i="5"/>
  <c r="S305" i="5"/>
  <c r="F305" i="5"/>
  <c r="AF304" i="5"/>
  <c r="F304" i="5"/>
  <c r="S304" i="5"/>
  <c r="AJ288" i="5"/>
  <c r="J288" i="5"/>
  <c r="W288" i="5"/>
  <c r="AJ271" i="5"/>
  <c r="W271" i="5"/>
  <c r="J271" i="5"/>
  <c r="AJ253" i="5"/>
  <c r="W253" i="5"/>
  <c r="U249" i="5"/>
  <c r="AH249" i="5"/>
  <c r="H249" i="5"/>
  <c r="AH224" i="5"/>
  <c r="H224" i="5"/>
  <c r="U224" i="5"/>
  <c r="Y215" i="5"/>
  <c r="L215" i="5"/>
  <c r="AL215" i="5"/>
  <c r="T206" i="5"/>
  <c r="AG206" i="5"/>
  <c r="G206" i="5"/>
  <c r="AL182" i="5"/>
  <c r="L182" i="5"/>
  <c r="Y182" i="5"/>
  <c r="AO163" i="5"/>
  <c r="AB163" i="5"/>
  <c r="O163" i="5"/>
  <c r="AG150" i="5"/>
  <c r="T150" i="5"/>
  <c r="G150" i="5"/>
  <c r="S148" i="5"/>
  <c r="AF148" i="5"/>
  <c r="F148" i="5"/>
  <c r="Y141" i="5"/>
  <c r="AL141" i="5"/>
  <c r="L141" i="5"/>
  <c r="AL133" i="5"/>
  <c r="L133" i="5"/>
  <c r="Y133" i="5"/>
  <c r="W122" i="5"/>
  <c r="AJ122" i="5"/>
  <c r="J122" i="5"/>
  <c r="AK91" i="5"/>
  <c r="X91" i="5"/>
  <c r="K91" i="5"/>
  <c r="S89" i="5"/>
  <c r="AF89" i="5"/>
  <c r="F89" i="5"/>
  <c r="AN6" i="5"/>
  <c r="N6" i="5"/>
  <c r="AA6" i="5"/>
  <c r="AJ4" i="5"/>
  <c r="W4" i="5"/>
  <c r="J4" i="5"/>
  <c r="AG510" i="5"/>
  <c r="T510" i="5"/>
  <c r="G510" i="5"/>
  <c r="AO498" i="5"/>
  <c r="O498" i="5"/>
  <c r="AB498" i="5"/>
  <c r="AL475" i="5"/>
  <c r="Y475" i="5"/>
  <c r="L475" i="5"/>
  <c r="AH472" i="5"/>
  <c r="U472" i="5"/>
  <c r="H472" i="5"/>
  <c r="G456" i="5"/>
  <c r="AG456" i="5"/>
  <c r="AJ426" i="5"/>
  <c r="J426" i="5"/>
  <c r="W426" i="5"/>
  <c r="W420" i="5"/>
  <c r="AJ420" i="5"/>
  <c r="J420" i="5"/>
  <c r="AJ415" i="5"/>
  <c r="J415" i="5"/>
  <c r="AJ404" i="5"/>
  <c r="J404" i="5"/>
  <c r="W404" i="5"/>
  <c r="AL401" i="5"/>
  <c r="Y401" i="5"/>
  <c r="L401" i="5"/>
  <c r="AO369" i="5"/>
  <c r="AB369" i="5"/>
  <c r="O369" i="5"/>
  <c r="AI345" i="5"/>
  <c r="I345" i="5"/>
  <c r="V345" i="5"/>
  <c r="Z321" i="5"/>
  <c r="M321" i="5"/>
  <c r="AM321" i="5"/>
  <c r="AM307" i="5"/>
  <c r="M307" i="5"/>
  <c r="AI288" i="5"/>
  <c r="I288" i="5"/>
  <c r="V288" i="5"/>
  <c r="S277" i="5"/>
  <c r="AF277" i="5"/>
  <c r="F277" i="5"/>
  <c r="AH250" i="5"/>
  <c r="H250" i="5"/>
  <c r="U250" i="5"/>
  <c r="AG224" i="5"/>
  <c r="G224" i="5"/>
  <c r="T224" i="5"/>
  <c r="T221" i="5"/>
  <c r="G221" i="5"/>
  <c r="AG221" i="5"/>
  <c r="AH215" i="5"/>
  <c r="U215" i="5"/>
  <c r="H215" i="5"/>
  <c r="N212" i="5"/>
  <c r="AA212" i="5"/>
  <c r="AN212" i="5"/>
  <c r="AB166" i="5"/>
  <c r="AO166" i="5"/>
  <c r="O166" i="5"/>
  <c r="AM151" i="5"/>
  <c r="Z151" i="5"/>
  <c r="M151" i="5"/>
  <c r="AD121" i="5"/>
  <c r="Q121" i="5"/>
  <c r="AB70" i="5"/>
  <c r="O70" i="5"/>
  <c r="AO70" i="5"/>
  <c r="X69" i="5"/>
  <c r="AK69" i="5"/>
  <c r="AM8" i="5"/>
  <c r="Z8" i="5"/>
  <c r="M8" i="5"/>
  <c r="J253" i="5"/>
  <c r="M242" i="5"/>
  <c r="Q478" i="5"/>
  <c r="AD478" i="5"/>
  <c r="D478" i="5"/>
  <c r="T467" i="5"/>
  <c r="AG467" i="5"/>
  <c r="AO464" i="5"/>
  <c r="O464" i="5"/>
  <c r="AL453" i="5"/>
  <c r="Y453" i="5"/>
  <c r="L453" i="5"/>
  <c r="AI441" i="5"/>
  <c r="V441" i="5"/>
  <c r="AJ431" i="5"/>
  <c r="J431" i="5"/>
  <c r="W431" i="5"/>
  <c r="AE429" i="5"/>
  <c r="R429" i="5"/>
  <c r="E429" i="5"/>
  <c r="Y416" i="5"/>
  <c r="L416" i="5"/>
  <c r="AL416" i="5"/>
  <c r="AK406" i="5"/>
  <c r="K406" i="5"/>
  <c r="X406" i="5"/>
  <c r="AJ405" i="5"/>
  <c r="W405" i="5"/>
  <c r="J405" i="5"/>
  <c r="AI383" i="5"/>
  <c r="V383" i="5"/>
  <c r="AB381" i="5"/>
  <c r="AO381" i="5"/>
  <c r="O381" i="5"/>
  <c r="AM380" i="5"/>
  <c r="Z380" i="5"/>
  <c r="M380" i="5"/>
  <c r="X359" i="5"/>
  <c r="AK359" i="5"/>
  <c r="K359" i="5"/>
  <c r="AL356" i="5"/>
  <c r="L356" i="5"/>
  <c r="Y356" i="5"/>
  <c r="N348" i="5"/>
  <c r="AN348" i="5"/>
  <c r="AA348" i="5"/>
  <c r="AK344" i="5"/>
  <c r="X344" i="5"/>
  <c r="K344" i="5"/>
  <c r="AJ342" i="5"/>
  <c r="W342" i="5"/>
  <c r="J342" i="5"/>
  <c r="U341" i="5"/>
  <c r="AH341" i="5"/>
  <c r="H341" i="5"/>
  <c r="AH340" i="5"/>
  <c r="U340" i="5"/>
  <c r="H340" i="5"/>
  <c r="AD336" i="5"/>
  <c r="Q336" i="5"/>
  <c r="D336" i="5"/>
  <c r="Q334" i="5"/>
  <c r="AD334" i="5"/>
  <c r="D334" i="5"/>
  <c r="AO332" i="5"/>
  <c r="O332" i="5"/>
  <c r="AB332" i="5"/>
  <c r="AB300" i="5"/>
  <c r="O300" i="5"/>
  <c r="AO300" i="5"/>
  <c r="AG295" i="5"/>
  <c r="T295" i="5"/>
  <c r="G295" i="5"/>
  <c r="AK283" i="5"/>
  <c r="K283" i="5"/>
  <c r="X283" i="5"/>
  <c r="AG282" i="5"/>
  <c r="G282" i="5"/>
  <c r="T282" i="5"/>
  <c r="S275" i="5"/>
  <c r="AF275" i="5"/>
  <c r="F275" i="5"/>
  <c r="Z273" i="5"/>
  <c r="M273" i="5"/>
  <c r="AM273" i="5"/>
  <c r="AL272" i="5"/>
  <c r="L272" i="5"/>
  <c r="Y272" i="5"/>
  <c r="U264" i="5"/>
  <c r="AH264" i="5"/>
  <c r="H264" i="5"/>
  <c r="S260" i="5"/>
  <c r="AF260" i="5"/>
  <c r="F260" i="5"/>
  <c r="AK258" i="5"/>
  <c r="X258" i="5"/>
  <c r="K258" i="5"/>
  <c r="G257" i="5"/>
  <c r="AG257" i="5"/>
  <c r="T257" i="5"/>
  <c r="AG256" i="5"/>
  <c r="T256" i="5"/>
  <c r="G256" i="5"/>
  <c r="AJ251" i="5"/>
  <c r="W251" i="5"/>
  <c r="J251" i="5"/>
  <c r="AM240" i="5"/>
  <c r="Z240" i="5"/>
  <c r="M240" i="5"/>
  <c r="S235" i="5"/>
  <c r="AF235" i="5"/>
  <c r="F235" i="5"/>
  <c r="M233" i="5"/>
  <c r="AM233" i="5"/>
  <c r="Z232" i="5"/>
  <c r="AM232" i="5"/>
  <c r="M232" i="5"/>
  <c r="AL211" i="5"/>
  <c r="Y211" i="5"/>
  <c r="L211" i="5"/>
  <c r="AO209" i="5"/>
  <c r="O209" i="5"/>
  <c r="AB208" i="5"/>
  <c r="O208" i="5"/>
  <c r="AO208" i="5"/>
  <c r="T203" i="5"/>
  <c r="AG203" i="5"/>
  <c r="G203" i="5"/>
  <c r="AN201" i="5"/>
  <c r="AA201" i="5"/>
  <c r="N201" i="5"/>
  <c r="AI200" i="5"/>
  <c r="I200" i="5"/>
  <c r="V200" i="5"/>
  <c r="AN191" i="5"/>
  <c r="N191" i="5"/>
  <c r="AA191" i="5"/>
  <c r="AL179" i="5"/>
  <c r="Y179" i="5"/>
  <c r="L179" i="5"/>
  <c r="AO177" i="5"/>
  <c r="AB177" i="5"/>
  <c r="O177" i="5"/>
  <c r="Y173" i="5"/>
  <c r="AL173" i="5"/>
  <c r="L173" i="5"/>
  <c r="AL172" i="5"/>
  <c r="Y172" i="5"/>
  <c r="L172" i="5"/>
  <c r="N144" i="5"/>
  <c r="AN144" i="5"/>
  <c r="AA144" i="5"/>
  <c r="AG139" i="5"/>
  <c r="T139" i="5"/>
  <c r="G139" i="5"/>
  <c r="N137" i="5"/>
  <c r="AN137" i="5"/>
  <c r="AA137" i="5"/>
  <c r="N136" i="5"/>
  <c r="AA136" i="5"/>
  <c r="AN136" i="5"/>
  <c r="N127" i="5"/>
  <c r="AN127" i="5"/>
  <c r="AA127" i="5"/>
  <c r="AH126" i="5"/>
  <c r="H126" i="5"/>
  <c r="U126" i="5"/>
  <c r="T107" i="5"/>
  <c r="AG107" i="5"/>
  <c r="AA105" i="5"/>
  <c r="N105" i="5"/>
  <c r="AN105" i="5"/>
  <c r="I104" i="5"/>
  <c r="V104" i="5"/>
  <c r="AI104" i="5"/>
  <c r="AO59" i="5"/>
  <c r="O59" i="5"/>
  <c r="W47" i="5"/>
  <c r="J47" i="5"/>
  <c r="AJ47" i="5"/>
  <c r="AL44" i="5"/>
  <c r="L44" i="5"/>
  <c r="Y44" i="5"/>
  <c r="AJ19" i="5"/>
  <c r="W19" i="5"/>
  <c r="J19" i="5"/>
  <c r="N17" i="5"/>
  <c r="AA17" i="5"/>
  <c r="AN17" i="5"/>
  <c r="N16" i="5"/>
  <c r="AN16" i="5"/>
  <c r="AA16" i="5"/>
  <c r="I250" i="5"/>
  <c r="G107" i="5"/>
  <c r="Y497" i="5"/>
  <c r="T456" i="5"/>
  <c r="AH355" i="5"/>
  <c r="AG490" i="5"/>
  <c r="T490" i="5"/>
  <c r="AH479" i="5"/>
  <c r="U479" i="5"/>
  <c r="H479" i="5"/>
  <c r="Y464" i="5"/>
  <c r="AL464" i="5"/>
  <c r="L464" i="5"/>
  <c r="Y454" i="5"/>
  <c r="L454" i="5"/>
  <c r="AL454" i="5"/>
  <c r="AI442" i="5"/>
  <c r="V442" i="5"/>
  <c r="I442" i="5"/>
  <c r="Q430" i="5"/>
  <c r="D430" i="5"/>
  <c r="AG394" i="5"/>
  <c r="G394" i="5"/>
  <c r="T394" i="5"/>
  <c r="AN381" i="5"/>
  <c r="N381" i="5"/>
  <c r="AA381" i="5"/>
  <c r="AJ367" i="5"/>
  <c r="W367" i="5"/>
  <c r="J367" i="5"/>
  <c r="V359" i="5"/>
  <c r="AI359" i="5"/>
  <c r="I359" i="5"/>
  <c r="AO335" i="5"/>
  <c r="O335" i="5"/>
  <c r="AB335" i="5"/>
  <c r="AL317" i="5"/>
  <c r="Y317" i="5"/>
  <c r="N300" i="5"/>
  <c r="AN300" i="5"/>
  <c r="AA300" i="5"/>
  <c r="AF295" i="5"/>
  <c r="S295" i="5"/>
  <c r="F295" i="5"/>
  <c r="AM292" i="5"/>
  <c r="Z292" i="5"/>
  <c r="M292" i="5"/>
  <c r="AM286" i="5"/>
  <c r="Z286" i="5"/>
  <c r="AJ285" i="5"/>
  <c r="W285" i="5"/>
  <c r="J285" i="5"/>
  <c r="G264" i="5"/>
  <c r="AG264" i="5"/>
  <c r="AD260" i="5"/>
  <c r="Q260" i="5"/>
  <c r="D260" i="5"/>
  <c r="AI258" i="5"/>
  <c r="V258" i="5"/>
  <c r="AI226" i="5"/>
  <c r="V226" i="5"/>
  <c r="I226" i="5"/>
  <c r="W211" i="5"/>
  <c r="J211" i="5"/>
  <c r="AJ211" i="5"/>
  <c r="N209" i="5"/>
  <c r="AN209" i="5"/>
  <c r="AA209" i="5"/>
  <c r="N208" i="5"/>
  <c r="AN208" i="5"/>
  <c r="AA208" i="5"/>
  <c r="S203" i="5"/>
  <c r="F203" i="5"/>
  <c r="AF203" i="5"/>
  <c r="AM201" i="5"/>
  <c r="Z201" i="5"/>
  <c r="M201" i="5"/>
  <c r="AH200" i="5"/>
  <c r="U200" i="5"/>
  <c r="H200" i="5"/>
  <c r="AM191" i="5"/>
  <c r="M191" i="5"/>
  <c r="Z191" i="5"/>
  <c r="V186" i="5"/>
  <c r="AI186" i="5"/>
  <c r="I186" i="5"/>
  <c r="U185" i="5"/>
  <c r="H185" i="5"/>
  <c r="AH185" i="5"/>
  <c r="U184" i="5"/>
  <c r="AH184" i="5"/>
  <c r="H184" i="5"/>
  <c r="J179" i="5"/>
  <c r="AJ179" i="5"/>
  <c r="W179" i="5"/>
  <c r="AA177" i="5"/>
  <c r="N177" i="5"/>
  <c r="AN177" i="5"/>
  <c r="AN176" i="5"/>
  <c r="N176" i="5"/>
  <c r="Q156" i="5"/>
  <c r="AD156" i="5"/>
  <c r="D156" i="5"/>
  <c r="AF154" i="5"/>
  <c r="S154" i="5"/>
  <c r="F154" i="5"/>
  <c r="AM144" i="5"/>
  <c r="Z144" i="5"/>
  <c r="M144" i="5"/>
  <c r="S139" i="5"/>
  <c r="F139" i="5"/>
  <c r="AF139" i="5"/>
  <c r="Z137" i="5"/>
  <c r="AM137" i="5"/>
  <c r="M137" i="5"/>
  <c r="Z136" i="5"/>
  <c r="AM136" i="5"/>
  <c r="M136" i="5"/>
  <c r="AM127" i="5"/>
  <c r="Z127" i="5"/>
  <c r="M127" i="5"/>
  <c r="AK59" i="5"/>
  <c r="X59" i="5"/>
  <c r="K59" i="5"/>
  <c r="V47" i="5"/>
  <c r="AI47" i="5"/>
  <c r="I47" i="5"/>
  <c r="AK44" i="5"/>
  <c r="X44" i="5"/>
  <c r="K44" i="5"/>
  <c r="AI19" i="5"/>
  <c r="V19" i="5"/>
  <c r="I19" i="5"/>
  <c r="Z17" i="5"/>
  <c r="M17" i="5"/>
  <c r="AM17" i="5"/>
  <c r="AM16" i="5"/>
  <c r="M16" i="5"/>
  <c r="Z16" i="5"/>
  <c r="D118" i="5"/>
  <c r="AG499" i="5"/>
  <c r="T499" i="5"/>
  <c r="G499" i="5"/>
  <c r="AO497" i="5"/>
  <c r="AB497" i="5"/>
  <c r="O497" i="5"/>
  <c r="AO496" i="5"/>
  <c r="AB496" i="5"/>
  <c r="X491" i="5"/>
  <c r="K491" i="5"/>
  <c r="AL486" i="5"/>
  <c r="Y486" i="5"/>
  <c r="AK485" i="5"/>
  <c r="X485" i="5"/>
  <c r="K485" i="5"/>
  <c r="X484" i="5"/>
  <c r="AK484" i="5"/>
  <c r="K484" i="5"/>
  <c r="AO443" i="5"/>
  <c r="AB443" i="5"/>
  <c r="O443" i="5"/>
  <c r="AG403" i="5"/>
  <c r="T403" i="5"/>
  <c r="G403" i="5"/>
  <c r="AO401" i="5"/>
  <c r="O401" i="5"/>
  <c r="AB401" i="5"/>
  <c r="AB400" i="5"/>
  <c r="O400" i="5"/>
  <c r="AO400" i="5"/>
  <c r="AK395" i="5"/>
  <c r="X395" i="5"/>
  <c r="K395" i="5"/>
  <c r="Y390" i="5"/>
  <c r="L390" i="5"/>
  <c r="AL390" i="5"/>
  <c r="K389" i="5"/>
  <c r="AK389" i="5"/>
  <c r="AK388" i="5"/>
  <c r="X388" i="5"/>
  <c r="K388" i="5"/>
  <c r="M372" i="5"/>
  <c r="Z372" i="5"/>
  <c r="AM372" i="5"/>
  <c r="T367" i="5"/>
  <c r="AG367" i="5"/>
  <c r="G367" i="5"/>
  <c r="H312" i="5"/>
  <c r="AH312" i="5"/>
  <c r="U312" i="5"/>
  <c r="AJ299" i="5"/>
  <c r="W299" i="5"/>
  <c r="J299" i="5"/>
  <c r="AK296" i="5"/>
  <c r="K296" i="5"/>
  <c r="X296" i="5"/>
  <c r="AJ286" i="5"/>
  <c r="W286" i="5"/>
  <c r="G285" i="5"/>
  <c r="T285" i="5"/>
  <c r="AL247" i="5"/>
  <c r="Y247" i="5"/>
  <c r="AD246" i="5"/>
  <c r="D246" i="5"/>
  <c r="Q246" i="5"/>
  <c r="Q245" i="5"/>
  <c r="D245" i="5"/>
  <c r="AD245" i="5"/>
  <c r="AD244" i="5"/>
  <c r="Q244" i="5"/>
  <c r="D244" i="5"/>
  <c r="AG239" i="5"/>
  <c r="T239" i="5"/>
  <c r="G239" i="5"/>
  <c r="AJ236" i="5"/>
  <c r="J236" i="5"/>
  <c r="W236" i="5"/>
  <c r="S228" i="5"/>
  <c r="F228" i="5"/>
  <c r="AF228" i="5"/>
  <c r="S214" i="5"/>
  <c r="AF214" i="5"/>
  <c r="AJ187" i="5"/>
  <c r="W187" i="5"/>
  <c r="J187" i="5"/>
  <c r="S186" i="5"/>
  <c r="AF186" i="5"/>
  <c r="F186" i="5"/>
  <c r="U168" i="5"/>
  <c r="AH168" i="5"/>
  <c r="H168" i="5"/>
  <c r="AF164" i="5"/>
  <c r="S164" i="5"/>
  <c r="F164" i="5"/>
  <c r="AK162" i="5"/>
  <c r="X162" i="5"/>
  <c r="K162" i="5"/>
  <c r="AG161" i="5"/>
  <c r="G161" i="5"/>
  <c r="T161" i="5"/>
  <c r="T160" i="5"/>
  <c r="G160" i="5"/>
  <c r="AG160" i="5"/>
  <c r="J155" i="5"/>
  <c r="AJ155" i="5"/>
  <c r="W155" i="5"/>
  <c r="AI143" i="5"/>
  <c r="I143" i="5"/>
  <c r="V143" i="5"/>
  <c r="AK140" i="5"/>
  <c r="K140" i="5"/>
  <c r="X140" i="5"/>
  <c r="AK130" i="5"/>
  <c r="X130" i="5"/>
  <c r="K130" i="5"/>
  <c r="AG129" i="5"/>
  <c r="T129" i="5"/>
  <c r="G129" i="5"/>
  <c r="AM95" i="5"/>
  <c r="Z95" i="5"/>
  <c r="M95" i="5"/>
  <c r="AD92" i="5"/>
  <c r="Q92" i="5"/>
  <c r="D92" i="5"/>
  <c r="V90" i="5"/>
  <c r="AI90" i="5"/>
  <c r="I90" i="5"/>
  <c r="AH89" i="5"/>
  <c r="U89" i="5"/>
  <c r="H89" i="5"/>
  <c r="AH88" i="5"/>
  <c r="U88" i="5"/>
  <c r="AJ83" i="5"/>
  <c r="J83" i="5"/>
  <c r="W83" i="5"/>
  <c r="AA81" i="5"/>
  <c r="N81" i="5"/>
  <c r="AN81" i="5"/>
  <c r="AN80" i="5"/>
  <c r="N80" i="5"/>
  <c r="AA80" i="5"/>
  <c r="AH72" i="5"/>
  <c r="U72" i="5"/>
  <c r="H72" i="5"/>
  <c r="S68" i="5"/>
  <c r="AF68" i="5"/>
  <c r="F68" i="5"/>
  <c r="X66" i="5"/>
  <c r="K66" i="5"/>
  <c r="AK66" i="5"/>
  <c r="AG65" i="5"/>
  <c r="T65" i="5"/>
  <c r="G65" i="5"/>
  <c r="AG64" i="5"/>
  <c r="T64" i="5"/>
  <c r="AO55" i="5"/>
  <c r="AB55" i="5"/>
  <c r="AG54" i="5"/>
  <c r="G54" i="5"/>
  <c r="T54" i="5"/>
  <c r="S53" i="5"/>
  <c r="F53" i="5"/>
  <c r="S52" i="5"/>
  <c r="AF52" i="5"/>
  <c r="F52" i="5"/>
  <c r="L463" i="5"/>
  <c r="D451" i="5"/>
  <c r="H404" i="5"/>
  <c r="O176" i="5"/>
  <c r="V331" i="5"/>
  <c r="Y321" i="5"/>
  <c r="AB209" i="5"/>
  <c r="Y144" i="5"/>
  <c r="AB59" i="5"/>
  <c r="N368" i="5"/>
  <c r="AN368" i="5"/>
  <c r="AA368" i="5"/>
  <c r="T344" i="5"/>
  <c r="G344" i="5"/>
  <c r="AG344" i="5"/>
  <c r="M335" i="5"/>
  <c r="Z335" i="5"/>
  <c r="AM335" i="5"/>
  <c r="AB324" i="5"/>
  <c r="AO324" i="5"/>
  <c r="O324" i="5"/>
  <c r="AO318" i="5"/>
  <c r="AB318" i="5"/>
  <c r="O318" i="5"/>
  <c r="AK317" i="5"/>
  <c r="X317" i="5"/>
  <c r="K317" i="5"/>
  <c r="AK316" i="5"/>
  <c r="X316" i="5"/>
  <c r="K316" i="5"/>
  <c r="AJ310" i="5"/>
  <c r="J310" i="5"/>
  <c r="W310" i="5"/>
  <c r="AH309" i="5"/>
  <c r="U309" i="5"/>
  <c r="AD288" i="5"/>
  <c r="Q288" i="5"/>
  <c r="D288" i="5"/>
  <c r="V271" i="5"/>
  <c r="I271" i="5"/>
  <c r="AI271" i="5"/>
  <c r="N262" i="5"/>
  <c r="AA262" i="5"/>
  <c r="AN262" i="5"/>
  <c r="AJ261" i="5"/>
  <c r="W261" i="5"/>
  <c r="J261" i="5"/>
  <c r="AL240" i="5"/>
  <c r="Y240" i="5"/>
  <c r="L240" i="5"/>
  <c r="AO234" i="5"/>
  <c r="O234" i="5"/>
  <c r="AM226" i="5"/>
  <c r="Z226" i="5"/>
  <c r="M226" i="5"/>
  <c r="AG215" i="5"/>
  <c r="T215" i="5"/>
  <c r="G215" i="5"/>
  <c r="Y204" i="5"/>
  <c r="AL204" i="5"/>
  <c r="L204" i="5"/>
  <c r="AD199" i="5"/>
  <c r="D199" i="5"/>
  <c r="Q199" i="5"/>
  <c r="AK190" i="5"/>
  <c r="X190" i="5"/>
  <c r="AI189" i="5"/>
  <c r="V189" i="5"/>
  <c r="I189" i="5"/>
  <c r="AD179" i="5"/>
  <c r="Q179" i="5"/>
  <c r="D179" i="5"/>
  <c r="AL177" i="5"/>
  <c r="Y177" i="5"/>
  <c r="L177" i="5"/>
  <c r="AL176" i="5"/>
  <c r="Y176" i="5"/>
  <c r="L176" i="5"/>
  <c r="AI154" i="5"/>
  <c r="I154" i="5"/>
  <c r="V154" i="5"/>
  <c r="AH153" i="5"/>
  <c r="H153" i="5"/>
  <c r="U153" i="5"/>
  <c r="AJ132" i="5"/>
  <c r="J132" i="5"/>
  <c r="W132" i="5"/>
  <c r="AJ115" i="5"/>
  <c r="W115" i="5"/>
  <c r="J115" i="5"/>
  <c r="N113" i="5"/>
  <c r="AN113" i="5"/>
  <c r="AA113" i="5"/>
  <c r="AN112" i="5"/>
  <c r="N112" i="5"/>
  <c r="AA112" i="5"/>
  <c r="AF107" i="5"/>
  <c r="S107" i="5"/>
  <c r="AM105" i="5"/>
  <c r="Z105" i="5"/>
  <c r="M105" i="5"/>
  <c r="AH104" i="5"/>
  <c r="H104" i="5"/>
  <c r="U104" i="5"/>
  <c r="U96" i="5"/>
  <c r="AH96" i="5"/>
  <c r="H96" i="5"/>
  <c r="AJ79" i="5"/>
  <c r="J79" i="5"/>
  <c r="W79" i="5"/>
  <c r="AL70" i="5"/>
  <c r="Y70" i="5"/>
  <c r="L70" i="5"/>
  <c r="Y55" i="5"/>
  <c r="AL55" i="5"/>
  <c r="AD54" i="5"/>
  <c r="Q54" i="5"/>
  <c r="D54" i="5"/>
  <c r="D53" i="5"/>
  <c r="AD53" i="5"/>
  <c r="Q53" i="5"/>
  <c r="AD52" i="5"/>
  <c r="Q52" i="5"/>
  <c r="D52" i="5"/>
  <c r="Q36" i="5"/>
  <c r="D36" i="5"/>
  <c r="AD36" i="5"/>
  <c r="AK30" i="5"/>
  <c r="X30" i="5"/>
  <c r="K30" i="5"/>
  <c r="AI29" i="5"/>
  <c r="V29" i="5"/>
  <c r="I29" i="5"/>
  <c r="AI28" i="5"/>
  <c r="V28" i="5"/>
  <c r="I28" i="5"/>
  <c r="AM23" i="5"/>
  <c r="Z23" i="5"/>
  <c r="M23" i="5"/>
  <c r="AD22" i="5"/>
  <c r="Q22" i="5"/>
  <c r="D22" i="5"/>
  <c r="AD21" i="5"/>
  <c r="D21" i="5"/>
  <c r="Q21" i="5"/>
  <c r="G348" i="5"/>
  <c r="L55" i="5"/>
  <c r="AJ502" i="5"/>
  <c r="W502" i="5"/>
  <c r="J502" i="5"/>
  <c r="AI501" i="5"/>
  <c r="V501" i="5"/>
  <c r="I501" i="5"/>
  <c r="AI490" i="5"/>
  <c r="V490" i="5"/>
  <c r="I490" i="5"/>
  <c r="AH489" i="5"/>
  <c r="H489" i="5"/>
  <c r="U489" i="5"/>
  <c r="W480" i="5"/>
  <c r="J480" i="5"/>
  <c r="AJ480" i="5"/>
  <c r="AG478" i="5"/>
  <c r="G478" i="5"/>
  <c r="T478" i="5"/>
  <c r="AH468" i="5"/>
  <c r="U468" i="5"/>
  <c r="H468" i="5"/>
  <c r="U463" i="5"/>
  <c r="H463" i="5"/>
  <c r="AH463" i="5"/>
  <c r="Q462" i="5"/>
  <c r="AD462" i="5"/>
  <c r="D462" i="5"/>
  <c r="Q461" i="5"/>
  <c r="D461" i="5"/>
  <c r="AD461" i="5"/>
  <c r="Q460" i="5"/>
  <c r="AD460" i="5"/>
  <c r="D460" i="5"/>
  <c r="Q456" i="5"/>
  <c r="AD456" i="5"/>
  <c r="D456" i="5"/>
  <c r="J452" i="5"/>
  <c r="AJ452" i="5"/>
  <c r="W452" i="5"/>
  <c r="AO450" i="5"/>
  <c r="AB450" i="5"/>
  <c r="AL449" i="5"/>
  <c r="Y449" i="5"/>
  <c r="L449" i="5"/>
  <c r="Y448" i="5"/>
  <c r="L448" i="5"/>
  <c r="AL448" i="5"/>
  <c r="AJ443" i="5"/>
  <c r="W443" i="5"/>
  <c r="J443" i="5"/>
  <c r="AK438" i="5"/>
  <c r="X438" i="5"/>
  <c r="K438" i="5"/>
  <c r="AJ437" i="5"/>
  <c r="W437" i="5"/>
  <c r="J437" i="5"/>
  <c r="AJ436" i="5"/>
  <c r="W436" i="5"/>
  <c r="J436" i="5"/>
  <c r="AJ406" i="5"/>
  <c r="W406" i="5"/>
  <c r="AI405" i="5"/>
  <c r="I405" i="5"/>
  <c r="V405" i="5"/>
  <c r="AI394" i="5"/>
  <c r="I394" i="5"/>
  <c r="V394" i="5"/>
  <c r="U393" i="5"/>
  <c r="H393" i="5"/>
  <c r="AH393" i="5"/>
  <c r="AJ384" i="5"/>
  <c r="W384" i="5"/>
  <c r="J384" i="5"/>
  <c r="AF379" i="5"/>
  <c r="S379" i="5"/>
  <c r="F379" i="5"/>
  <c r="Z377" i="5"/>
  <c r="M377" i="5"/>
  <c r="AM376" i="5"/>
  <c r="Z376" i="5"/>
  <c r="M376" i="5"/>
  <c r="V371" i="5"/>
  <c r="AI371" i="5"/>
  <c r="X368" i="5"/>
  <c r="K368" i="5"/>
  <c r="AK368" i="5"/>
  <c r="AJ355" i="5"/>
  <c r="W355" i="5"/>
  <c r="J355" i="5"/>
  <c r="AF354" i="5"/>
  <c r="S354" i="5"/>
  <c r="F354" i="5"/>
  <c r="Q347" i="5"/>
  <c r="AD347" i="5"/>
  <c r="D347" i="5"/>
  <c r="AL345" i="5"/>
  <c r="Y345" i="5"/>
  <c r="L345" i="5"/>
  <c r="Y335" i="5"/>
  <c r="L335" i="5"/>
  <c r="AL335" i="5"/>
  <c r="X324" i="5"/>
  <c r="AK324" i="5"/>
  <c r="K324" i="5"/>
  <c r="N318" i="5"/>
  <c r="AN318" i="5"/>
  <c r="AA318" i="5"/>
  <c r="V310" i="5"/>
  <c r="I310" i="5"/>
  <c r="AI310" i="5"/>
  <c r="AG309" i="5"/>
  <c r="T309" i="5"/>
  <c r="AO287" i="5"/>
  <c r="AB287" i="5"/>
  <c r="O287" i="5"/>
  <c r="S284" i="5"/>
  <c r="AF284" i="5"/>
  <c r="F284" i="5"/>
  <c r="AJ282" i="5"/>
  <c r="J282" i="5"/>
  <c r="W282" i="5"/>
  <c r="AH281" i="5"/>
  <c r="H281" i="5"/>
  <c r="AH280" i="5"/>
  <c r="U280" i="5"/>
  <c r="H280" i="5"/>
  <c r="AO276" i="5"/>
  <c r="O276" i="5"/>
  <c r="AB276" i="5"/>
  <c r="AG271" i="5"/>
  <c r="T271" i="5"/>
  <c r="G271" i="5"/>
  <c r="AL262" i="5"/>
  <c r="L262" i="5"/>
  <c r="Y262" i="5"/>
  <c r="AB247" i="5"/>
  <c r="O247" i="5"/>
  <c r="AG246" i="5"/>
  <c r="T246" i="5"/>
  <c r="G246" i="5"/>
  <c r="S245" i="5"/>
  <c r="AF245" i="5"/>
  <c r="F245" i="5"/>
  <c r="S244" i="5"/>
  <c r="F244" i="5"/>
  <c r="AF244" i="5"/>
  <c r="AJ239" i="5"/>
  <c r="W239" i="5"/>
  <c r="J239" i="5"/>
  <c r="AL236" i="5"/>
  <c r="Y236" i="5"/>
  <c r="L236" i="5"/>
  <c r="N234" i="5"/>
  <c r="AN234" i="5"/>
  <c r="AA234" i="5"/>
  <c r="Y226" i="5"/>
  <c r="L226" i="5"/>
  <c r="AL226" i="5"/>
  <c r="U225" i="5"/>
  <c r="H225" i="5"/>
  <c r="AH225" i="5"/>
  <c r="X204" i="5"/>
  <c r="AK204" i="5"/>
  <c r="K204" i="5"/>
  <c r="AO198" i="5"/>
  <c r="O198" i="5"/>
  <c r="AK197" i="5"/>
  <c r="X197" i="5"/>
  <c r="K197" i="5"/>
  <c r="AK196" i="5"/>
  <c r="K196" i="5"/>
  <c r="X196" i="5"/>
  <c r="AJ190" i="5"/>
  <c r="J190" i="5"/>
  <c r="W190" i="5"/>
  <c r="H189" i="5"/>
  <c r="AH189" i="5"/>
  <c r="U189" i="5"/>
  <c r="AM162" i="5"/>
  <c r="M162" i="5"/>
  <c r="Z162" i="5"/>
  <c r="AH154" i="5"/>
  <c r="H154" i="5"/>
  <c r="U154" i="5"/>
  <c r="AG153" i="5"/>
  <c r="T153" i="5"/>
  <c r="G153" i="5"/>
  <c r="S132" i="5"/>
  <c r="F132" i="5"/>
  <c r="AF132" i="5"/>
  <c r="AI115" i="5"/>
  <c r="V115" i="5"/>
  <c r="I115" i="5"/>
  <c r="AM113" i="5"/>
  <c r="Z113" i="5"/>
  <c r="M113" i="5"/>
  <c r="Z112" i="5"/>
  <c r="AM112" i="5"/>
  <c r="AB106" i="5"/>
  <c r="AO106" i="5"/>
  <c r="O106" i="5"/>
  <c r="G104" i="5"/>
  <c r="AG104" i="5"/>
  <c r="T104" i="5"/>
  <c r="AG96" i="5"/>
  <c r="T96" i="5"/>
  <c r="AO84" i="5"/>
  <c r="O84" i="5"/>
  <c r="AB84" i="5"/>
  <c r="AI79" i="5"/>
  <c r="I79" i="5"/>
  <c r="V79" i="5"/>
  <c r="AH32" i="5"/>
  <c r="U32" i="5"/>
  <c r="H32" i="5"/>
  <c r="AJ30" i="5"/>
  <c r="W30" i="5"/>
  <c r="J30" i="5"/>
  <c r="AH29" i="5"/>
  <c r="U29" i="5"/>
  <c r="H29" i="5"/>
  <c r="AH28" i="5"/>
  <c r="U28" i="5"/>
  <c r="H28" i="5"/>
  <c r="AL23" i="5"/>
  <c r="Y23" i="5"/>
  <c r="L23" i="5"/>
  <c r="AO21" i="5"/>
  <c r="AB21" i="5"/>
  <c r="O21" i="5"/>
  <c r="AB20" i="5"/>
  <c r="O20" i="5"/>
  <c r="AO20" i="5"/>
  <c r="AL12" i="5"/>
  <c r="Y12" i="5"/>
  <c r="L12" i="5"/>
  <c r="Q7" i="5"/>
  <c r="AD7" i="5"/>
  <c r="D7" i="5"/>
  <c r="AJ204" i="5"/>
  <c r="AH490" i="5"/>
  <c r="U490" i="5"/>
  <c r="AG489" i="5"/>
  <c r="T489" i="5"/>
  <c r="G489" i="5"/>
  <c r="AJ479" i="5"/>
  <c r="W479" i="5"/>
  <c r="R478" i="5"/>
  <c r="AE478" i="5"/>
  <c r="AE477" i="5"/>
  <c r="R477" i="5"/>
  <c r="E477" i="5"/>
  <c r="T463" i="5"/>
  <c r="AG463" i="5"/>
  <c r="AO461" i="5"/>
  <c r="AB461" i="5"/>
  <c r="AO460" i="5"/>
  <c r="O460" i="5"/>
  <c r="AO455" i="5"/>
  <c r="O455" i="5"/>
  <c r="AB455" i="5"/>
  <c r="AI452" i="5"/>
  <c r="I452" i="5"/>
  <c r="V452" i="5"/>
  <c r="AG440" i="5"/>
  <c r="T440" i="5"/>
  <c r="G440" i="5"/>
  <c r="AJ438" i="5"/>
  <c r="W438" i="5"/>
  <c r="J438" i="5"/>
  <c r="AI436" i="5"/>
  <c r="V436" i="5"/>
  <c r="I436" i="5"/>
  <c r="AH394" i="5"/>
  <c r="H394" i="5"/>
  <c r="U394" i="5"/>
  <c r="T393" i="5"/>
  <c r="AG393" i="5"/>
  <c r="G393" i="5"/>
  <c r="AJ383" i="5"/>
  <c r="W383" i="5"/>
  <c r="J383" i="5"/>
  <c r="AF382" i="5"/>
  <c r="S382" i="5"/>
  <c r="F382" i="5"/>
  <c r="AN380" i="5"/>
  <c r="N380" i="5"/>
  <c r="AA380" i="5"/>
  <c r="Q379" i="5"/>
  <c r="AD379" i="5"/>
  <c r="D379" i="5"/>
  <c r="AG371" i="5"/>
  <c r="T371" i="5"/>
  <c r="G371" i="5"/>
  <c r="I355" i="5"/>
  <c r="V355" i="5"/>
  <c r="AO353" i="5"/>
  <c r="AB353" i="5"/>
  <c r="O353" i="5"/>
  <c r="AO352" i="5"/>
  <c r="AB352" i="5"/>
  <c r="O352" i="5"/>
  <c r="AO346" i="5"/>
  <c r="AB346" i="5"/>
  <c r="O346" i="5"/>
  <c r="AK345" i="5"/>
  <c r="K345" i="5"/>
  <c r="X345" i="5"/>
  <c r="AJ324" i="5"/>
  <c r="W324" i="5"/>
  <c r="J324" i="5"/>
  <c r="N320" i="5"/>
  <c r="AN320" i="5"/>
  <c r="AA320" i="5"/>
  <c r="AM318" i="5"/>
  <c r="Z318" i="5"/>
  <c r="M318" i="5"/>
  <c r="AI317" i="5"/>
  <c r="V317" i="5"/>
  <c r="I317" i="5"/>
  <c r="V316" i="5"/>
  <c r="AI316" i="5"/>
  <c r="I316" i="5"/>
  <c r="Q284" i="5"/>
  <c r="AD284" i="5"/>
  <c r="D284" i="5"/>
  <c r="I282" i="5"/>
  <c r="AI282" i="5"/>
  <c r="V282" i="5"/>
  <c r="G281" i="5"/>
  <c r="AG281" i="5"/>
  <c r="AG280" i="5"/>
  <c r="T280" i="5"/>
  <c r="G280" i="5"/>
  <c r="AM275" i="5"/>
  <c r="M275" i="5"/>
  <c r="Z275" i="5"/>
  <c r="Q274" i="5"/>
  <c r="AD274" i="5"/>
  <c r="D274" i="5"/>
  <c r="AO272" i="5"/>
  <c r="AB272" i="5"/>
  <c r="O272" i="5"/>
  <c r="S271" i="5"/>
  <c r="AF271" i="5"/>
  <c r="F271" i="5"/>
  <c r="L269" i="5"/>
  <c r="AL269" i="5"/>
  <c r="Y269" i="5"/>
  <c r="Y268" i="5"/>
  <c r="AL268" i="5"/>
  <c r="AK262" i="5"/>
  <c r="K262" i="5"/>
  <c r="X262" i="5"/>
  <c r="AM247" i="5"/>
  <c r="Z247" i="5"/>
  <c r="M247" i="5"/>
  <c r="S246" i="5"/>
  <c r="AF246" i="5"/>
  <c r="F246" i="5"/>
  <c r="AI239" i="5"/>
  <c r="I239" i="5"/>
  <c r="AK236" i="5"/>
  <c r="X236" i="5"/>
  <c r="K236" i="5"/>
  <c r="X226" i="5"/>
  <c r="AK226" i="5"/>
  <c r="K226" i="5"/>
  <c r="AG225" i="5"/>
  <c r="G225" i="5"/>
  <c r="N198" i="5"/>
  <c r="AN198" i="5"/>
  <c r="AA198" i="5"/>
  <c r="AJ197" i="5"/>
  <c r="W197" i="5"/>
  <c r="J197" i="5"/>
  <c r="AJ196" i="5"/>
  <c r="W196" i="5"/>
  <c r="J196" i="5"/>
  <c r="AI190" i="5"/>
  <c r="I190" i="5"/>
  <c r="V190" i="5"/>
  <c r="AG189" i="5"/>
  <c r="T189" i="5"/>
  <c r="G189" i="5"/>
  <c r="AI168" i="5"/>
  <c r="I168" i="5"/>
  <c r="V168" i="5"/>
  <c r="J164" i="5"/>
  <c r="AJ164" i="5"/>
  <c r="W164" i="5"/>
  <c r="AL162" i="5"/>
  <c r="Y162" i="5"/>
  <c r="L162" i="5"/>
  <c r="AH161" i="5"/>
  <c r="H161" i="5"/>
  <c r="U161" i="5"/>
  <c r="U160" i="5"/>
  <c r="H160" i="5"/>
  <c r="AH160" i="5"/>
  <c r="AG154" i="5"/>
  <c r="T154" i="5"/>
  <c r="S153" i="5"/>
  <c r="F153" i="5"/>
  <c r="AF153" i="5"/>
  <c r="Q132" i="5"/>
  <c r="AD132" i="5"/>
  <c r="D132" i="5"/>
  <c r="AK126" i="5"/>
  <c r="X126" i="5"/>
  <c r="K126" i="5"/>
  <c r="AI125" i="5"/>
  <c r="V125" i="5"/>
  <c r="I125" i="5"/>
  <c r="AI124" i="5"/>
  <c r="V124" i="5"/>
  <c r="I124" i="5"/>
  <c r="Q115" i="5"/>
  <c r="AD115" i="5"/>
  <c r="D115" i="5"/>
  <c r="Y113" i="5"/>
  <c r="L113" i="5"/>
  <c r="AL113" i="5"/>
  <c r="AL112" i="5"/>
  <c r="Y112" i="5"/>
  <c r="N106" i="5"/>
  <c r="AN106" i="5"/>
  <c r="AA106" i="5"/>
  <c r="AN95" i="5"/>
  <c r="N95" i="5"/>
  <c r="AA95" i="5"/>
  <c r="AG79" i="5"/>
  <c r="G79" i="5"/>
  <c r="T79" i="5"/>
  <c r="AI58" i="5"/>
  <c r="I58" i="5"/>
  <c r="V58" i="5"/>
  <c r="AH57" i="5"/>
  <c r="H57" i="5"/>
  <c r="U57" i="5"/>
  <c r="AG32" i="5"/>
  <c r="G32" i="5"/>
  <c r="T32" i="5"/>
  <c r="AI30" i="5"/>
  <c r="I30" i="5"/>
  <c r="V30" i="5"/>
  <c r="AG29" i="5"/>
  <c r="T29" i="5"/>
  <c r="G29" i="5"/>
  <c r="AG28" i="5"/>
  <c r="T28" i="5"/>
  <c r="G28" i="5"/>
  <c r="AH23" i="5"/>
  <c r="U23" i="5"/>
  <c r="K12" i="5"/>
  <c r="AK12" i="5"/>
  <c r="X12" i="5"/>
  <c r="AO6" i="5"/>
  <c r="AB6" i="5"/>
  <c r="O6" i="5"/>
  <c r="AK5" i="5"/>
  <c r="K5" i="5"/>
  <c r="X5" i="5"/>
  <c r="AK4" i="5"/>
  <c r="X4" i="5"/>
  <c r="K4" i="5"/>
  <c r="T468" i="5"/>
  <c r="AI355" i="5"/>
  <c r="AH94" i="5"/>
  <c r="U94" i="5"/>
  <c r="H94" i="5"/>
  <c r="S90" i="5"/>
  <c r="AF90" i="5"/>
  <c r="F90" i="5"/>
  <c r="N84" i="5"/>
  <c r="AN84" i="5"/>
  <c r="AL81" i="5"/>
  <c r="Y81" i="5"/>
  <c r="AL80" i="5"/>
  <c r="Y80" i="5"/>
  <c r="AL77" i="5"/>
  <c r="Y77" i="5"/>
  <c r="L77" i="5"/>
  <c r="AH55" i="5"/>
  <c r="U55" i="5"/>
  <c r="H55" i="5"/>
  <c r="AL17" i="5"/>
  <c r="Y17" i="5"/>
  <c r="L17" i="5"/>
  <c r="AI512" i="5"/>
  <c r="V512" i="5"/>
  <c r="AE511" i="5"/>
  <c r="R511" i="5"/>
  <c r="AH501" i="5"/>
  <c r="U501" i="5"/>
  <c r="AL498" i="5"/>
  <c r="Y498" i="5"/>
  <c r="AK496" i="5"/>
  <c r="X496" i="5"/>
  <c r="AE489" i="5"/>
  <c r="R489" i="5"/>
  <c r="AH484" i="5"/>
  <c r="U484" i="5"/>
  <c r="I475" i="5"/>
  <c r="V475" i="5"/>
  <c r="AI475" i="5"/>
  <c r="AI464" i="5"/>
  <c r="V464" i="5"/>
  <c r="AI454" i="5"/>
  <c r="V454" i="5"/>
  <c r="AE452" i="5"/>
  <c r="R452" i="5"/>
  <c r="AK449" i="5"/>
  <c r="X449" i="5"/>
  <c r="AE441" i="5"/>
  <c r="E441" i="5"/>
  <c r="AI438" i="5"/>
  <c r="I438" i="5"/>
  <c r="V438" i="5"/>
  <c r="AH436" i="5"/>
  <c r="U436" i="5"/>
  <c r="I427" i="5"/>
  <c r="V427" i="5"/>
  <c r="AE425" i="5"/>
  <c r="R425" i="5"/>
  <c r="AL418" i="5"/>
  <c r="L418" i="5"/>
  <c r="Y418" i="5"/>
  <c r="AI416" i="5"/>
  <c r="I416" i="5"/>
  <c r="R404" i="5"/>
  <c r="AE404" i="5"/>
  <c r="E404" i="5"/>
  <c r="X400" i="5"/>
  <c r="K400" i="5"/>
  <c r="I395" i="5"/>
  <c r="V395" i="5"/>
  <c r="AE394" i="5"/>
  <c r="R394" i="5"/>
  <c r="AL391" i="5"/>
  <c r="Y391" i="5"/>
  <c r="L391" i="5"/>
  <c r="V390" i="5"/>
  <c r="AI390" i="5"/>
  <c r="AH389" i="5"/>
  <c r="U389" i="5"/>
  <c r="AB378" i="5"/>
  <c r="AO378" i="5"/>
  <c r="O378" i="5"/>
  <c r="S371" i="5"/>
  <c r="AF371" i="5"/>
  <c r="F371" i="5"/>
  <c r="AJ368" i="5"/>
  <c r="W368" i="5"/>
  <c r="J368" i="5"/>
  <c r="AF367" i="5"/>
  <c r="S367" i="5"/>
  <c r="Z364" i="5"/>
  <c r="M364" i="5"/>
  <c r="AM364" i="5"/>
  <c r="AN357" i="5"/>
  <c r="N357" i="5"/>
  <c r="AA357" i="5"/>
  <c r="AK356" i="5"/>
  <c r="X356" i="5"/>
  <c r="Q355" i="5"/>
  <c r="AD355" i="5"/>
  <c r="D355" i="5"/>
  <c r="L346" i="5"/>
  <c r="Y346" i="5"/>
  <c r="AH345" i="5"/>
  <c r="U345" i="5"/>
  <c r="H345" i="5"/>
  <c r="N343" i="5"/>
  <c r="AA343" i="5"/>
  <c r="AN343" i="5"/>
  <c r="AI342" i="5"/>
  <c r="V342" i="5"/>
  <c r="I342" i="5"/>
  <c r="AG340" i="5"/>
  <c r="T340" i="5"/>
  <c r="N332" i="5"/>
  <c r="AN332" i="5"/>
  <c r="Z329" i="5"/>
  <c r="AM329" i="5"/>
  <c r="N322" i="5"/>
  <c r="AN322" i="5"/>
  <c r="S320" i="5"/>
  <c r="F320" i="5"/>
  <c r="AL318" i="5"/>
  <c r="Y318" i="5"/>
  <c r="L318" i="5"/>
  <c r="AH316" i="5"/>
  <c r="U316" i="5"/>
  <c r="AF309" i="5"/>
  <c r="F309" i="5"/>
  <c r="AH307" i="5"/>
  <c r="H307" i="5"/>
  <c r="AB305" i="5"/>
  <c r="AO305" i="5"/>
  <c r="O305" i="5"/>
  <c r="AL297" i="5"/>
  <c r="Y297" i="5"/>
  <c r="U296" i="5"/>
  <c r="H296" i="5"/>
  <c r="M294" i="5"/>
  <c r="Z294" i="5"/>
  <c r="N287" i="5"/>
  <c r="AA287" i="5"/>
  <c r="AN287" i="5"/>
  <c r="AJ283" i="5"/>
  <c r="W283" i="5"/>
  <c r="AF282" i="5"/>
  <c r="S282" i="5"/>
  <c r="F282" i="5"/>
  <c r="Q275" i="5"/>
  <c r="AD275" i="5"/>
  <c r="AL273" i="5"/>
  <c r="Y273" i="5"/>
  <c r="L273" i="5"/>
  <c r="AM270" i="5"/>
  <c r="Z270" i="5"/>
  <c r="AK269" i="5"/>
  <c r="X269" i="5"/>
  <c r="X268" i="5"/>
  <c r="AK268" i="5"/>
  <c r="K268" i="5"/>
  <c r="AH258" i="5"/>
  <c r="H258" i="5"/>
  <c r="Q250" i="5"/>
  <c r="AD250" i="5"/>
  <c r="D250" i="5"/>
  <c r="AD249" i="5"/>
  <c r="Q249" i="5"/>
  <c r="AG247" i="5"/>
  <c r="T247" i="5"/>
  <c r="N245" i="5"/>
  <c r="AN245" i="5"/>
  <c r="AA245" i="5"/>
  <c r="N244" i="5"/>
  <c r="AA244" i="5"/>
  <c r="AN244" i="5"/>
  <c r="K237" i="5"/>
  <c r="AK237" i="5"/>
  <c r="X237" i="5"/>
  <c r="N227" i="5"/>
  <c r="AA227" i="5"/>
  <c r="AN227" i="5"/>
  <c r="AH226" i="5"/>
  <c r="U226" i="5"/>
  <c r="H226" i="5"/>
  <c r="S222" i="5"/>
  <c r="AF222" i="5"/>
  <c r="F222" i="5"/>
  <c r="AM213" i="5"/>
  <c r="M213" i="5"/>
  <c r="AM212" i="5"/>
  <c r="Z212" i="5"/>
  <c r="AO210" i="5"/>
  <c r="AB210" i="5"/>
  <c r="AK209" i="5"/>
  <c r="X209" i="5"/>
  <c r="AF200" i="5"/>
  <c r="S200" i="5"/>
  <c r="AK198" i="5"/>
  <c r="X198" i="5"/>
  <c r="Y191" i="5"/>
  <c r="AL191" i="5"/>
  <c r="S190" i="5"/>
  <c r="AF190" i="5"/>
  <c r="F190" i="5"/>
  <c r="AD186" i="5"/>
  <c r="Q186" i="5"/>
  <c r="D186" i="5"/>
  <c r="D185" i="5"/>
  <c r="Q185" i="5"/>
  <c r="AD185" i="5"/>
  <c r="AD184" i="5"/>
  <c r="D184" i="5"/>
  <c r="AB178" i="5"/>
  <c r="AO178" i="5"/>
  <c r="O178" i="5"/>
  <c r="AK177" i="5"/>
  <c r="X177" i="5"/>
  <c r="AK176" i="5"/>
  <c r="X176" i="5"/>
  <c r="K176" i="5"/>
  <c r="AK173" i="5"/>
  <c r="X173" i="5"/>
  <c r="K173" i="5"/>
  <c r="AK172" i="5"/>
  <c r="X172" i="5"/>
  <c r="N163" i="5"/>
  <c r="AA163" i="5"/>
  <c r="AH162" i="5"/>
  <c r="U162" i="5"/>
  <c r="AI155" i="5"/>
  <c r="I155" i="5"/>
  <c r="V155" i="5"/>
  <c r="AD154" i="5"/>
  <c r="Q154" i="5"/>
  <c r="AD153" i="5"/>
  <c r="D153" i="5"/>
  <c r="N149" i="5"/>
  <c r="AA149" i="5"/>
  <c r="AN149" i="5"/>
  <c r="N148" i="5"/>
  <c r="AA148" i="5"/>
  <c r="AM142" i="5"/>
  <c r="Z142" i="5"/>
  <c r="AK141" i="5"/>
  <c r="X141" i="5"/>
  <c r="AH130" i="5"/>
  <c r="H130" i="5"/>
  <c r="U130" i="5"/>
  <c r="AM117" i="5"/>
  <c r="M117" i="5"/>
  <c r="AK113" i="5"/>
  <c r="X113" i="5"/>
  <c r="K113" i="5"/>
  <c r="S104" i="5"/>
  <c r="F104" i="5"/>
  <c r="AL95" i="5"/>
  <c r="Y95" i="5"/>
  <c r="L95" i="5"/>
  <c r="AI91" i="5"/>
  <c r="I91" i="5"/>
  <c r="D89" i="5"/>
  <c r="Q89" i="5"/>
  <c r="AD89" i="5"/>
  <c r="AK77" i="5"/>
  <c r="X77" i="5"/>
  <c r="K77" i="5"/>
  <c r="X16" i="5"/>
  <c r="AK16" i="5"/>
  <c r="H501" i="5"/>
  <c r="I486" i="5"/>
  <c r="E472" i="5"/>
  <c r="I454" i="5"/>
  <c r="K401" i="5"/>
  <c r="E394" i="5"/>
  <c r="H380" i="5"/>
  <c r="O333" i="5"/>
  <c r="O210" i="5"/>
  <c r="U307" i="5"/>
  <c r="U258" i="5"/>
  <c r="AJ513" i="5"/>
  <c r="W513" i="5"/>
  <c r="AK498" i="5"/>
  <c r="X498" i="5"/>
  <c r="K498" i="5"/>
  <c r="AJ496" i="5"/>
  <c r="W496" i="5"/>
  <c r="Q489" i="5"/>
  <c r="AD489" i="5"/>
  <c r="G485" i="5"/>
  <c r="AG485" i="5"/>
  <c r="T485" i="5"/>
  <c r="AK476" i="5"/>
  <c r="X476" i="5"/>
  <c r="K476" i="5"/>
  <c r="U475" i="5"/>
  <c r="AH475" i="5"/>
  <c r="H475" i="5"/>
  <c r="Q473" i="5"/>
  <c r="AD473" i="5"/>
  <c r="D473" i="5"/>
  <c r="Q472" i="5"/>
  <c r="AD472" i="5"/>
  <c r="AJ465" i="5"/>
  <c r="W465" i="5"/>
  <c r="AH464" i="5"/>
  <c r="U464" i="5"/>
  <c r="U454" i="5"/>
  <c r="AH454" i="5"/>
  <c r="H454" i="5"/>
  <c r="AJ449" i="5"/>
  <c r="W449" i="5"/>
  <c r="Q442" i="5"/>
  <c r="D442" i="5"/>
  <c r="AD442" i="5"/>
  <c r="X439" i="5"/>
  <c r="K439" i="5"/>
  <c r="H438" i="5"/>
  <c r="U438" i="5"/>
  <c r="AH438" i="5"/>
  <c r="G437" i="5"/>
  <c r="AG437" i="5"/>
  <c r="U427" i="5"/>
  <c r="AH427" i="5"/>
  <c r="Q426" i="5"/>
  <c r="AD426" i="5"/>
  <c r="D426" i="5"/>
  <c r="Q424" i="5"/>
  <c r="D424" i="5"/>
  <c r="AD424" i="5"/>
  <c r="AJ417" i="5"/>
  <c r="W417" i="5"/>
  <c r="AH416" i="5"/>
  <c r="U416" i="5"/>
  <c r="Q415" i="5"/>
  <c r="AD415" i="5"/>
  <c r="D415" i="5"/>
  <c r="AH406" i="5"/>
  <c r="U406" i="5"/>
  <c r="Q404" i="5"/>
  <c r="D404" i="5"/>
  <c r="AK402" i="5"/>
  <c r="X402" i="5"/>
  <c r="K402" i="5"/>
  <c r="AJ400" i="5"/>
  <c r="W400" i="5"/>
  <c r="Q394" i="5"/>
  <c r="AD394" i="5"/>
  <c r="Q393" i="5"/>
  <c r="AD393" i="5"/>
  <c r="AG389" i="5"/>
  <c r="T389" i="5"/>
  <c r="G389" i="5"/>
  <c r="AO382" i="5"/>
  <c r="AB382" i="5"/>
  <c r="O382" i="5"/>
  <c r="T380" i="5"/>
  <c r="AG380" i="5"/>
  <c r="G380" i="5"/>
  <c r="N378" i="5"/>
  <c r="AN378" i="5"/>
  <c r="AJ377" i="5"/>
  <c r="W377" i="5"/>
  <c r="AI368" i="5"/>
  <c r="V368" i="5"/>
  <c r="Q367" i="5"/>
  <c r="D367" i="5"/>
  <c r="AD367" i="5"/>
  <c r="Y364" i="5"/>
  <c r="AL364" i="5"/>
  <c r="AM357" i="5"/>
  <c r="Z357" i="5"/>
  <c r="M357" i="5"/>
  <c r="AJ356" i="5"/>
  <c r="J356" i="5"/>
  <c r="W356" i="5"/>
  <c r="AO354" i="5"/>
  <c r="AB354" i="5"/>
  <c r="AJ346" i="5"/>
  <c r="W346" i="5"/>
  <c r="AM343" i="5"/>
  <c r="M343" i="5"/>
  <c r="Z343" i="5"/>
  <c r="H342" i="5"/>
  <c r="U342" i="5"/>
  <c r="AH342" i="5"/>
  <c r="AN333" i="5"/>
  <c r="N333" i="5"/>
  <c r="AA333" i="5"/>
  <c r="AB330" i="5"/>
  <c r="O330" i="5"/>
  <c r="AL329" i="5"/>
  <c r="Y329" i="5"/>
  <c r="AL328" i="5"/>
  <c r="Y328" i="5"/>
  <c r="Z322" i="5"/>
  <c r="AM322" i="5"/>
  <c r="Q320" i="5"/>
  <c r="D320" i="5"/>
  <c r="AJ318" i="5"/>
  <c r="J318" i="5"/>
  <c r="Q309" i="5"/>
  <c r="AD309" i="5"/>
  <c r="D309" i="5"/>
  <c r="AG307" i="5"/>
  <c r="T307" i="5"/>
  <c r="G307" i="5"/>
  <c r="AN305" i="5"/>
  <c r="N305" i="5"/>
  <c r="AA305" i="5"/>
  <c r="N304" i="5"/>
  <c r="AN304" i="5"/>
  <c r="Z298" i="5"/>
  <c r="AM298" i="5"/>
  <c r="M298" i="5"/>
  <c r="X297" i="5"/>
  <c r="K297" i="5"/>
  <c r="AK297" i="5"/>
  <c r="AG296" i="5"/>
  <c r="T296" i="5"/>
  <c r="T286" i="5"/>
  <c r="G286" i="5"/>
  <c r="AO281" i="5"/>
  <c r="AB281" i="5"/>
  <c r="AO280" i="5"/>
  <c r="AB280" i="5"/>
  <c r="O280" i="5"/>
  <c r="AO274" i="5"/>
  <c r="AB274" i="5"/>
  <c r="K273" i="5"/>
  <c r="AK273" i="5"/>
  <c r="X273" i="5"/>
  <c r="AJ272" i="5"/>
  <c r="W272" i="5"/>
  <c r="J272" i="5"/>
  <c r="AJ269" i="5"/>
  <c r="W269" i="5"/>
  <c r="AJ268" i="5"/>
  <c r="W268" i="5"/>
  <c r="AG262" i="5"/>
  <c r="G262" i="5"/>
  <c r="T262" i="5"/>
  <c r="S261" i="5"/>
  <c r="AF261" i="5"/>
  <c r="F261" i="5"/>
  <c r="Z259" i="5"/>
  <c r="AM259" i="5"/>
  <c r="M259" i="5"/>
  <c r="N248" i="5"/>
  <c r="AA248" i="5"/>
  <c r="S247" i="5"/>
  <c r="AF247" i="5"/>
  <c r="F247" i="5"/>
  <c r="AM244" i="5"/>
  <c r="Z244" i="5"/>
  <c r="M244" i="5"/>
  <c r="AJ237" i="5"/>
  <c r="W237" i="5"/>
  <c r="J237" i="5"/>
  <c r="AJ234" i="5"/>
  <c r="W234" i="5"/>
  <c r="AI233" i="5"/>
  <c r="V233" i="5"/>
  <c r="V232" i="5"/>
  <c r="I232" i="5"/>
  <c r="AI232" i="5"/>
  <c r="X223" i="5"/>
  <c r="AK223" i="5"/>
  <c r="AD222" i="5"/>
  <c r="Q222" i="5"/>
  <c r="AD221" i="5"/>
  <c r="D221" i="5"/>
  <c r="Q220" i="5"/>
  <c r="D220" i="5"/>
  <c r="AK212" i="5"/>
  <c r="X212" i="5"/>
  <c r="N210" i="5"/>
  <c r="AN210" i="5"/>
  <c r="AA210" i="5"/>
  <c r="AJ208" i="5"/>
  <c r="W208" i="5"/>
  <c r="J208" i="5"/>
  <c r="AJ202" i="5"/>
  <c r="W202" i="5"/>
  <c r="J202" i="5"/>
  <c r="Q200" i="5"/>
  <c r="AD200" i="5"/>
  <c r="AD190" i="5"/>
  <c r="Q190" i="5"/>
  <c r="D190" i="5"/>
  <c r="AD189" i="5"/>
  <c r="Q189" i="5"/>
  <c r="AH187" i="5"/>
  <c r="U187" i="5"/>
  <c r="H187" i="5"/>
  <c r="N178" i="5"/>
  <c r="AN178" i="5"/>
  <c r="J177" i="5"/>
  <c r="AJ177" i="5"/>
  <c r="Y174" i="5"/>
  <c r="AL174" i="5"/>
  <c r="W173" i="5"/>
  <c r="AJ173" i="5"/>
  <c r="AJ172" i="5"/>
  <c r="W172" i="5"/>
  <c r="AG166" i="5"/>
  <c r="G166" i="5"/>
  <c r="S165" i="5"/>
  <c r="AF165" i="5"/>
  <c r="F165" i="5"/>
  <c r="AM163" i="5"/>
  <c r="Z163" i="5"/>
  <c r="N152" i="5"/>
  <c r="AN152" i="5"/>
  <c r="AA152" i="5"/>
  <c r="S151" i="5"/>
  <c r="F151" i="5"/>
  <c r="AF151" i="5"/>
  <c r="AM148" i="5"/>
  <c r="Z148" i="5"/>
  <c r="W141" i="5"/>
  <c r="AJ141" i="5"/>
  <c r="G140" i="5"/>
  <c r="AG140" i="5"/>
  <c r="AJ138" i="5"/>
  <c r="W138" i="5"/>
  <c r="J138" i="5"/>
  <c r="AI137" i="5"/>
  <c r="V137" i="5"/>
  <c r="V136" i="5"/>
  <c r="AI136" i="5"/>
  <c r="AK127" i="5"/>
  <c r="K127" i="5"/>
  <c r="AD126" i="5"/>
  <c r="Q126" i="5"/>
  <c r="D125" i="5"/>
  <c r="AD125" i="5"/>
  <c r="AD124" i="5"/>
  <c r="Q124" i="5"/>
  <c r="AK116" i="5"/>
  <c r="X116" i="5"/>
  <c r="K116" i="5"/>
  <c r="W106" i="5"/>
  <c r="AJ106" i="5"/>
  <c r="Q94" i="5"/>
  <c r="D94" i="5"/>
  <c r="AH91" i="5"/>
  <c r="H91" i="5"/>
  <c r="AJ81" i="5"/>
  <c r="W81" i="5"/>
  <c r="AL78" i="5"/>
  <c r="Y78" i="5"/>
  <c r="L78" i="5"/>
  <c r="AG70" i="5"/>
  <c r="T70" i="5"/>
  <c r="G70" i="5"/>
  <c r="N56" i="5"/>
  <c r="AA56" i="5"/>
  <c r="AN56" i="5"/>
  <c r="AJ16" i="5"/>
  <c r="W16" i="5"/>
  <c r="J16" i="5"/>
  <c r="E511" i="5"/>
  <c r="G501" i="5"/>
  <c r="D472" i="5"/>
  <c r="E425" i="5"/>
  <c r="H389" i="5"/>
  <c r="I368" i="5"/>
  <c r="K223" i="5"/>
  <c r="Y503" i="5"/>
  <c r="Y311" i="5"/>
  <c r="AE442" i="5"/>
  <c r="V513" i="5"/>
  <c r="AI513" i="5"/>
  <c r="AL509" i="5"/>
  <c r="Y509" i="5"/>
  <c r="AI497" i="5"/>
  <c r="I497" i="5"/>
  <c r="V497" i="5"/>
  <c r="AO489" i="5"/>
  <c r="AB489" i="5"/>
  <c r="AJ487" i="5"/>
  <c r="W487" i="5"/>
  <c r="Y477" i="5"/>
  <c r="L477" i="5"/>
  <c r="AG475" i="5"/>
  <c r="G475" i="5"/>
  <c r="AO472" i="5"/>
  <c r="O472" i="5"/>
  <c r="V465" i="5"/>
  <c r="AI465" i="5"/>
  <c r="AL461" i="5"/>
  <c r="Y461" i="5"/>
  <c r="T454" i="5"/>
  <c r="AG454" i="5"/>
  <c r="AJ450" i="5"/>
  <c r="W450" i="5"/>
  <c r="J450" i="5"/>
  <c r="AI448" i="5"/>
  <c r="V448" i="5"/>
  <c r="AO440" i="5"/>
  <c r="O440" i="5"/>
  <c r="AB440" i="5"/>
  <c r="AG438" i="5"/>
  <c r="G438" i="5"/>
  <c r="AO430" i="5"/>
  <c r="AB430" i="5"/>
  <c r="O430" i="5"/>
  <c r="W428" i="5"/>
  <c r="J428" i="5"/>
  <c r="AJ428" i="5"/>
  <c r="T427" i="5"/>
  <c r="AG427" i="5"/>
  <c r="AO425" i="5"/>
  <c r="AB425" i="5"/>
  <c r="AI417" i="5"/>
  <c r="V417" i="5"/>
  <c r="AO414" i="5"/>
  <c r="O414" i="5"/>
  <c r="Y412" i="5"/>
  <c r="AL412" i="5"/>
  <c r="T406" i="5"/>
  <c r="AG406" i="5"/>
  <c r="G406" i="5"/>
  <c r="AO403" i="5"/>
  <c r="AB403" i="5"/>
  <c r="O403" i="5"/>
  <c r="AJ402" i="5"/>
  <c r="W402" i="5"/>
  <c r="AI401" i="5"/>
  <c r="I401" i="5"/>
  <c r="V400" i="5"/>
  <c r="AI400" i="5"/>
  <c r="AO393" i="5"/>
  <c r="AB393" i="5"/>
  <c r="AJ391" i="5"/>
  <c r="W391" i="5"/>
  <c r="AG390" i="5"/>
  <c r="T390" i="5"/>
  <c r="N382" i="5"/>
  <c r="AN382" i="5"/>
  <c r="AA382" i="5"/>
  <c r="AJ381" i="5"/>
  <c r="W381" i="5"/>
  <c r="J381" i="5"/>
  <c r="AF380" i="5"/>
  <c r="S380" i="5"/>
  <c r="F380" i="5"/>
  <c r="AI377" i="5"/>
  <c r="V377" i="5"/>
  <c r="I377" i="5"/>
  <c r="AM370" i="5"/>
  <c r="M370" i="5"/>
  <c r="N366" i="5"/>
  <c r="AN366" i="5"/>
  <c r="AK365" i="5"/>
  <c r="X365" i="5"/>
  <c r="K365" i="5"/>
  <c r="AK364" i="5"/>
  <c r="K364" i="5"/>
  <c r="AO358" i="5"/>
  <c r="AB358" i="5"/>
  <c r="AL357" i="5"/>
  <c r="Y357" i="5"/>
  <c r="AJ353" i="5"/>
  <c r="W353" i="5"/>
  <c r="AJ352" i="5"/>
  <c r="W352" i="5"/>
  <c r="AL343" i="5"/>
  <c r="Y343" i="5"/>
  <c r="L343" i="5"/>
  <c r="AF342" i="5"/>
  <c r="F342" i="5"/>
  <c r="AM333" i="5"/>
  <c r="Z333" i="5"/>
  <c r="L332" i="5"/>
  <c r="AL332" i="5"/>
  <c r="Y332" i="5"/>
  <c r="X329" i="5"/>
  <c r="AK329" i="5"/>
  <c r="K329" i="5"/>
  <c r="AK328" i="5"/>
  <c r="X328" i="5"/>
  <c r="AO319" i="5"/>
  <c r="AB319" i="5"/>
  <c r="AI318" i="5"/>
  <c r="I318" i="5"/>
  <c r="S310" i="5"/>
  <c r="AF310" i="5"/>
  <c r="Z305" i="5"/>
  <c r="M305" i="5"/>
  <c r="Z304" i="5"/>
  <c r="AM304" i="5"/>
  <c r="AL298" i="5"/>
  <c r="L298" i="5"/>
  <c r="AJ297" i="5"/>
  <c r="W297" i="5"/>
  <c r="AI294" i="5"/>
  <c r="I294" i="5"/>
  <c r="V294" i="5"/>
  <c r="AM284" i="5"/>
  <c r="Z284" i="5"/>
  <c r="M284" i="5"/>
  <c r="AH283" i="5"/>
  <c r="U283" i="5"/>
  <c r="N281" i="5"/>
  <c r="AN281" i="5"/>
  <c r="AA281" i="5"/>
  <c r="AN280" i="5"/>
  <c r="N280" i="5"/>
  <c r="AA280" i="5"/>
  <c r="AN274" i="5"/>
  <c r="N274" i="5"/>
  <c r="AK270" i="5"/>
  <c r="X270" i="5"/>
  <c r="K270" i="5"/>
  <c r="AI269" i="5"/>
  <c r="I269" i="5"/>
  <c r="V268" i="5"/>
  <c r="AI268" i="5"/>
  <c r="I268" i="5"/>
  <c r="S262" i="5"/>
  <c r="AF262" i="5"/>
  <c r="F262" i="5"/>
  <c r="AL259" i="5"/>
  <c r="Y259" i="5"/>
  <c r="AO257" i="5"/>
  <c r="AB257" i="5"/>
  <c r="O257" i="5"/>
  <c r="AB256" i="5"/>
  <c r="AO256" i="5"/>
  <c r="AM248" i="5"/>
  <c r="Z248" i="5"/>
  <c r="AD247" i="5"/>
  <c r="Q247" i="5"/>
  <c r="D247" i="5"/>
  <c r="V237" i="5"/>
  <c r="AI237" i="5"/>
  <c r="I237" i="5"/>
  <c r="V234" i="5"/>
  <c r="I234" i="5"/>
  <c r="AH232" i="5"/>
  <c r="U232" i="5"/>
  <c r="AO225" i="5"/>
  <c r="AB225" i="5"/>
  <c r="O225" i="5"/>
  <c r="X213" i="5"/>
  <c r="K213" i="5"/>
  <c r="AM210" i="5"/>
  <c r="Z210" i="5"/>
  <c r="AH201" i="5"/>
  <c r="U201" i="5"/>
  <c r="AG198" i="5"/>
  <c r="G198" i="5"/>
  <c r="T198" i="5"/>
  <c r="S197" i="5"/>
  <c r="AF197" i="5"/>
  <c r="F197" i="5"/>
  <c r="S196" i="5"/>
  <c r="AF196" i="5"/>
  <c r="F196" i="5"/>
  <c r="L188" i="5"/>
  <c r="AL188" i="5"/>
  <c r="N185" i="5"/>
  <c r="AN185" i="5"/>
  <c r="AA185" i="5"/>
  <c r="N184" i="5"/>
  <c r="AN184" i="5"/>
  <c r="AA184" i="5"/>
  <c r="AI173" i="5"/>
  <c r="V173" i="5"/>
  <c r="I173" i="5"/>
  <c r="S166" i="5"/>
  <c r="AF166" i="5"/>
  <c r="Y163" i="5"/>
  <c r="L163" i="5"/>
  <c r="AL163" i="5"/>
  <c r="O161" i="5"/>
  <c r="AB161" i="5"/>
  <c r="AO161" i="5"/>
  <c r="AO160" i="5"/>
  <c r="AB160" i="5"/>
  <c r="Z152" i="5"/>
  <c r="AM152" i="5"/>
  <c r="M152" i="5"/>
  <c r="Q151" i="5"/>
  <c r="AD151" i="5"/>
  <c r="D151" i="5"/>
  <c r="AI141" i="5"/>
  <c r="I141" i="5"/>
  <c r="AD140" i="5"/>
  <c r="Q140" i="5"/>
  <c r="V138" i="5"/>
  <c r="AI138" i="5"/>
  <c r="AH137" i="5"/>
  <c r="H137" i="5"/>
  <c r="AO128" i="5"/>
  <c r="O128" i="5"/>
  <c r="AB128" i="5"/>
  <c r="AK117" i="5"/>
  <c r="X117" i="5"/>
  <c r="W116" i="5"/>
  <c r="AJ116" i="5"/>
  <c r="J116" i="5"/>
  <c r="AM114" i="5"/>
  <c r="M114" i="5"/>
  <c r="H105" i="5"/>
  <c r="AH105" i="5"/>
  <c r="U105" i="5"/>
  <c r="AB103" i="5"/>
  <c r="AO103" i="5"/>
  <c r="T102" i="5"/>
  <c r="AG102" i="5"/>
  <c r="G102" i="5"/>
  <c r="AF101" i="5"/>
  <c r="S101" i="5"/>
  <c r="F101" i="5"/>
  <c r="T91" i="5"/>
  <c r="AG91" i="5"/>
  <c r="AN89" i="5"/>
  <c r="N89" i="5"/>
  <c r="AN88" i="5"/>
  <c r="N88" i="5"/>
  <c r="AA88" i="5"/>
  <c r="AM82" i="5"/>
  <c r="M82" i="5"/>
  <c r="Z82" i="5"/>
  <c r="X78" i="5"/>
  <c r="AK78" i="5"/>
  <c r="K78" i="5"/>
  <c r="I512" i="5"/>
  <c r="H484" i="5"/>
  <c r="M478" i="5"/>
  <c r="I464" i="5"/>
  <c r="O462" i="5"/>
  <c r="O393" i="5"/>
  <c r="K391" i="5"/>
  <c r="J377" i="5"/>
  <c r="L328" i="5"/>
  <c r="O274" i="5"/>
  <c r="K269" i="5"/>
  <c r="G247" i="5"/>
  <c r="H236" i="5"/>
  <c r="J223" i="5"/>
  <c r="F200" i="5"/>
  <c r="L81" i="5"/>
  <c r="J76" i="5"/>
  <c r="L45" i="5"/>
  <c r="X513" i="5"/>
  <c r="Y455" i="5"/>
  <c r="V406" i="5"/>
  <c r="T388" i="5"/>
  <c r="X376" i="5"/>
  <c r="U368" i="5"/>
  <c r="X127" i="5"/>
  <c r="AK391" i="5"/>
  <c r="AG151" i="5"/>
  <c r="AH140" i="5"/>
  <c r="AL45" i="5"/>
  <c r="AE502" i="5"/>
  <c r="R502" i="5"/>
  <c r="R501" i="5"/>
  <c r="E501" i="5"/>
  <c r="AL499" i="5"/>
  <c r="Y499" i="5"/>
  <c r="L499" i="5"/>
  <c r="AH497" i="5"/>
  <c r="U497" i="5"/>
  <c r="H497" i="5"/>
  <c r="AH496" i="5"/>
  <c r="U496" i="5"/>
  <c r="H496" i="5"/>
  <c r="AE486" i="5"/>
  <c r="R486" i="5"/>
  <c r="E486" i="5"/>
  <c r="R484" i="5"/>
  <c r="AE484" i="5"/>
  <c r="E484" i="5"/>
  <c r="L478" i="5"/>
  <c r="Y478" i="5"/>
  <c r="AI476" i="5"/>
  <c r="V476" i="5"/>
  <c r="I476" i="5"/>
  <c r="AL451" i="5"/>
  <c r="Y451" i="5"/>
  <c r="AL440" i="5"/>
  <c r="Y440" i="5"/>
  <c r="AI439" i="5"/>
  <c r="I439" i="5"/>
  <c r="V439" i="5"/>
  <c r="AE437" i="5"/>
  <c r="E437" i="5"/>
  <c r="R437" i="5"/>
  <c r="AL430" i="5"/>
  <c r="L430" i="5"/>
  <c r="AI428" i="5"/>
  <c r="V428" i="5"/>
  <c r="AH417" i="5"/>
  <c r="U417" i="5"/>
  <c r="H417" i="5"/>
  <c r="AL414" i="5"/>
  <c r="Y414" i="5"/>
  <c r="AK412" i="5"/>
  <c r="X412" i="5"/>
  <c r="K412" i="5"/>
  <c r="R405" i="5"/>
  <c r="E405" i="5"/>
  <c r="AE405" i="5"/>
  <c r="V402" i="5"/>
  <c r="AI402" i="5"/>
  <c r="I402" i="5"/>
  <c r="AL392" i="5"/>
  <c r="L392" i="5"/>
  <c r="AI391" i="5"/>
  <c r="I391" i="5"/>
  <c r="R388" i="5"/>
  <c r="AE388" i="5"/>
  <c r="E388" i="5"/>
  <c r="AI381" i="5"/>
  <c r="V381" i="5"/>
  <c r="Q380" i="5"/>
  <c r="AD380" i="5"/>
  <c r="D380" i="5"/>
  <c r="AK378" i="5"/>
  <c r="X378" i="5"/>
  <c r="K378" i="5"/>
  <c r="AJ369" i="5"/>
  <c r="W369" i="5"/>
  <c r="J369" i="5"/>
  <c r="AG368" i="5"/>
  <c r="T368" i="5"/>
  <c r="N358" i="5"/>
  <c r="AN358" i="5"/>
  <c r="AH356" i="5"/>
  <c r="H356" i="5"/>
  <c r="AK354" i="5"/>
  <c r="X354" i="5"/>
  <c r="K354" i="5"/>
  <c r="AI353" i="5"/>
  <c r="V353" i="5"/>
  <c r="V352" i="5"/>
  <c r="AI352" i="5"/>
  <c r="AK343" i="5"/>
  <c r="K343" i="5"/>
  <c r="Q341" i="5"/>
  <c r="AD341" i="5"/>
  <c r="Q340" i="5"/>
  <c r="AD340" i="5"/>
  <c r="D340" i="5"/>
  <c r="AJ332" i="5"/>
  <c r="J332" i="5"/>
  <c r="W332" i="5"/>
  <c r="AM330" i="5"/>
  <c r="Z330" i="5"/>
  <c r="AJ328" i="5"/>
  <c r="W328" i="5"/>
  <c r="AI322" i="5"/>
  <c r="V322" i="5"/>
  <c r="AH321" i="5"/>
  <c r="U321" i="5"/>
  <c r="N319" i="5"/>
  <c r="AN319" i="5"/>
  <c r="AA319" i="5"/>
  <c r="AO309" i="5"/>
  <c r="AB309" i="5"/>
  <c r="O309" i="5"/>
  <c r="AD307" i="5"/>
  <c r="Q307" i="5"/>
  <c r="AK298" i="5"/>
  <c r="K298" i="5"/>
  <c r="AI297" i="5"/>
  <c r="V297" i="5"/>
  <c r="AO295" i="5"/>
  <c r="AB295" i="5"/>
  <c r="AH294" i="5"/>
  <c r="H294" i="5"/>
  <c r="U294" i="5"/>
  <c r="AG283" i="5"/>
  <c r="T283" i="5"/>
  <c r="Z274" i="5"/>
  <c r="AM274" i="5"/>
  <c r="M274" i="5"/>
  <c r="AG272" i="5"/>
  <c r="T272" i="5"/>
  <c r="AJ270" i="5"/>
  <c r="J270" i="5"/>
  <c r="W270" i="5"/>
  <c r="AH269" i="5"/>
  <c r="U269" i="5"/>
  <c r="H269" i="5"/>
  <c r="AH268" i="5"/>
  <c r="H268" i="5"/>
  <c r="Q262" i="5"/>
  <c r="AD262" i="5"/>
  <c r="D262" i="5"/>
  <c r="D261" i="5"/>
  <c r="Q261" i="5"/>
  <c r="AJ259" i="5"/>
  <c r="J259" i="5"/>
  <c r="N257" i="5"/>
  <c r="AA257" i="5"/>
  <c r="AN257" i="5"/>
  <c r="N256" i="5"/>
  <c r="AN256" i="5"/>
  <c r="AA256" i="5"/>
  <c r="Z249" i="5"/>
  <c r="AM249" i="5"/>
  <c r="AI248" i="5"/>
  <c r="V248" i="5"/>
  <c r="K245" i="5"/>
  <c r="AK245" i="5"/>
  <c r="X245" i="5"/>
  <c r="AK244" i="5"/>
  <c r="X244" i="5"/>
  <c r="AJ238" i="5"/>
  <c r="J238" i="5"/>
  <c r="AH237" i="5"/>
  <c r="U237" i="5"/>
  <c r="AB235" i="5"/>
  <c r="AO235" i="5"/>
  <c r="O235" i="5"/>
  <c r="AH234" i="5"/>
  <c r="U234" i="5"/>
  <c r="H234" i="5"/>
  <c r="T233" i="5"/>
  <c r="AG233" i="5"/>
  <c r="G233" i="5"/>
  <c r="AN225" i="5"/>
  <c r="AA225" i="5"/>
  <c r="N225" i="5"/>
  <c r="V223" i="5"/>
  <c r="I223" i="5"/>
  <c r="AI223" i="5"/>
  <c r="S212" i="5"/>
  <c r="AF212" i="5"/>
  <c r="F212" i="5"/>
  <c r="AL210" i="5"/>
  <c r="Y210" i="5"/>
  <c r="AH209" i="5"/>
  <c r="U209" i="5"/>
  <c r="AH202" i="5"/>
  <c r="U202" i="5"/>
  <c r="S198" i="5"/>
  <c r="AF198" i="5"/>
  <c r="AK188" i="5"/>
  <c r="K188" i="5"/>
  <c r="X188" i="5"/>
  <c r="S187" i="5"/>
  <c r="F187" i="5"/>
  <c r="AF187" i="5"/>
  <c r="AM184" i="5"/>
  <c r="Z184" i="5"/>
  <c r="M184" i="5"/>
  <c r="Y178" i="5"/>
  <c r="AL178" i="5"/>
  <c r="H177" i="5"/>
  <c r="U177" i="5"/>
  <c r="AH177" i="5"/>
  <c r="AG176" i="5"/>
  <c r="G176" i="5"/>
  <c r="AH173" i="5"/>
  <c r="U173" i="5"/>
  <c r="H173" i="5"/>
  <c r="U172" i="5"/>
  <c r="H172" i="5"/>
  <c r="AH172" i="5"/>
  <c r="AD166" i="5"/>
  <c r="Q166" i="5"/>
  <c r="AD165" i="5"/>
  <c r="Q165" i="5"/>
  <c r="AJ163" i="5"/>
  <c r="J163" i="5"/>
  <c r="W163" i="5"/>
  <c r="N161" i="5"/>
  <c r="AA161" i="5"/>
  <c r="AN161" i="5"/>
  <c r="AI152" i="5"/>
  <c r="I152" i="5"/>
  <c r="V152" i="5"/>
  <c r="AO150" i="5"/>
  <c r="AB150" i="5"/>
  <c r="O150" i="5"/>
  <c r="AK149" i="5"/>
  <c r="X149" i="5"/>
  <c r="AK148" i="5"/>
  <c r="X148" i="5"/>
  <c r="AJ142" i="5"/>
  <c r="W142" i="5"/>
  <c r="J142" i="5"/>
  <c r="AO139" i="5"/>
  <c r="O139" i="5"/>
  <c r="AB139" i="5"/>
  <c r="U138" i="5"/>
  <c r="AH138" i="5"/>
  <c r="AG137" i="5"/>
  <c r="G137" i="5"/>
  <c r="AG136" i="5"/>
  <c r="T136" i="5"/>
  <c r="AA129" i="5"/>
  <c r="N129" i="5"/>
  <c r="AN129" i="5"/>
  <c r="V127" i="5"/>
  <c r="I127" i="5"/>
  <c r="AF116" i="5"/>
  <c r="S116" i="5"/>
  <c r="AL114" i="5"/>
  <c r="L114" i="5"/>
  <c r="U112" i="5"/>
  <c r="AH112" i="5"/>
  <c r="AH106" i="5"/>
  <c r="H106" i="5"/>
  <c r="AG105" i="5"/>
  <c r="T105" i="5"/>
  <c r="AM103" i="5"/>
  <c r="Z103" i="5"/>
  <c r="S91" i="5"/>
  <c r="F91" i="5"/>
  <c r="AF91" i="5"/>
  <c r="AM88" i="5"/>
  <c r="M88" i="5"/>
  <c r="AL82" i="5"/>
  <c r="L82" i="5"/>
  <c r="G80" i="5"/>
  <c r="T80" i="5"/>
  <c r="AG80" i="5"/>
  <c r="AH77" i="5"/>
  <c r="U77" i="5"/>
  <c r="H512" i="5"/>
  <c r="G484" i="5"/>
  <c r="H464" i="5"/>
  <c r="L455" i="5"/>
  <c r="J391" i="5"/>
  <c r="G368" i="5"/>
  <c r="O358" i="5"/>
  <c r="M330" i="5"/>
  <c r="H316" i="5"/>
  <c r="L297" i="5"/>
  <c r="J269" i="5"/>
  <c r="I233" i="5"/>
  <c r="L191" i="5"/>
  <c r="K141" i="5"/>
  <c r="I138" i="5"/>
  <c r="U513" i="5"/>
  <c r="R406" i="5"/>
  <c r="AA358" i="5"/>
  <c r="AE501" i="5"/>
  <c r="AE473" i="5"/>
  <c r="AI234" i="5"/>
  <c r="AJ509" i="5"/>
  <c r="W509" i="5"/>
  <c r="J509" i="5"/>
  <c r="Q502" i="5"/>
  <c r="AD502" i="5"/>
  <c r="AH498" i="5"/>
  <c r="U498" i="5"/>
  <c r="AG496" i="5"/>
  <c r="T496" i="5"/>
  <c r="G496" i="5"/>
  <c r="Q486" i="5"/>
  <c r="AD486" i="5"/>
  <c r="D486" i="5"/>
  <c r="Q484" i="5"/>
  <c r="AD484" i="5"/>
  <c r="AK462" i="5"/>
  <c r="X462" i="5"/>
  <c r="AJ460" i="5"/>
  <c r="W460" i="5"/>
  <c r="Q454" i="5"/>
  <c r="D454" i="5"/>
  <c r="U450" i="5"/>
  <c r="H450" i="5"/>
  <c r="Q437" i="5"/>
  <c r="AD437" i="5"/>
  <c r="D437" i="5"/>
  <c r="Q405" i="5"/>
  <c r="AD405" i="5"/>
  <c r="D405" i="5"/>
  <c r="AK403" i="5"/>
  <c r="X403" i="5"/>
  <c r="U402" i="5"/>
  <c r="H402" i="5"/>
  <c r="AH402" i="5"/>
  <c r="G401" i="5"/>
  <c r="AG401" i="5"/>
  <c r="T401" i="5"/>
  <c r="Q390" i="5"/>
  <c r="AD390" i="5"/>
  <c r="D390" i="5"/>
  <c r="Q389" i="5"/>
  <c r="AD389" i="5"/>
  <c r="AO379" i="5"/>
  <c r="AB379" i="5"/>
  <c r="O379" i="5"/>
  <c r="AK370" i="5"/>
  <c r="X370" i="5"/>
  <c r="K370" i="5"/>
  <c r="AI369" i="5"/>
  <c r="V369" i="5"/>
  <c r="AL366" i="5"/>
  <c r="Y366" i="5"/>
  <c r="AH353" i="5"/>
  <c r="U353" i="5"/>
  <c r="H353" i="5"/>
  <c r="AH352" i="5"/>
  <c r="U352" i="5"/>
  <c r="Q346" i="5"/>
  <c r="D346" i="5"/>
  <c r="AO334" i="5"/>
  <c r="AB334" i="5"/>
  <c r="O334" i="5"/>
  <c r="X333" i="5"/>
  <c r="K333" i="5"/>
  <c r="AK333" i="5"/>
  <c r="AL330" i="5"/>
  <c r="Y330" i="5"/>
  <c r="AI329" i="5"/>
  <c r="I329" i="5"/>
  <c r="V329" i="5"/>
  <c r="AI328" i="5"/>
  <c r="V328" i="5"/>
  <c r="I328" i="5"/>
  <c r="AH322" i="5"/>
  <c r="U322" i="5"/>
  <c r="H322" i="5"/>
  <c r="AG321" i="5"/>
  <c r="T321" i="5"/>
  <c r="Z319" i="5"/>
  <c r="M319" i="5"/>
  <c r="Q318" i="5"/>
  <c r="AD318" i="5"/>
  <c r="Q316" i="5"/>
  <c r="AD316" i="5"/>
  <c r="D316" i="5"/>
  <c r="AK305" i="5"/>
  <c r="X305" i="5"/>
  <c r="AK304" i="5"/>
  <c r="K304" i="5"/>
  <c r="AJ298" i="5"/>
  <c r="W298" i="5"/>
  <c r="AH297" i="5"/>
  <c r="U297" i="5"/>
  <c r="N295" i="5"/>
  <c r="AN295" i="5"/>
  <c r="AA295" i="5"/>
  <c r="AG294" i="5"/>
  <c r="T294" i="5"/>
  <c r="G294" i="5"/>
  <c r="AF293" i="5"/>
  <c r="S293" i="5"/>
  <c r="F293" i="5"/>
  <c r="Q283" i="5"/>
  <c r="AD283" i="5"/>
  <c r="D283" i="5"/>
  <c r="AH273" i="5"/>
  <c r="H273" i="5"/>
  <c r="N271" i="5"/>
  <c r="AN271" i="5"/>
  <c r="AA271" i="5"/>
  <c r="AG269" i="5"/>
  <c r="G269" i="5"/>
  <c r="T269" i="5"/>
  <c r="AG268" i="5"/>
  <c r="T268" i="5"/>
  <c r="G268" i="5"/>
  <c r="AO261" i="5"/>
  <c r="AB261" i="5"/>
  <c r="O261" i="5"/>
  <c r="AM257" i="5"/>
  <c r="Z257" i="5"/>
  <c r="AO250" i="5"/>
  <c r="AB250" i="5"/>
  <c r="N246" i="5"/>
  <c r="AN246" i="5"/>
  <c r="AA246" i="5"/>
  <c r="AJ245" i="5"/>
  <c r="W245" i="5"/>
  <c r="J245" i="5"/>
  <c r="AG237" i="5"/>
  <c r="T237" i="5"/>
  <c r="G237" i="5"/>
  <c r="AK235" i="5"/>
  <c r="X235" i="5"/>
  <c r="T234" i="5"/>
  <c r="AG234" i="5"/>
  <c r="G234" i="5"/>
  <c r="S233" i="5"/>
  <c r="AF233" i="5"/>
  <c r="S232" i="5"/>
  <c r="F232" i="5"/>
  <c r="AM225" i="5"/>
  <c r="Z225" i="5"/>
  <c r="M225" i="5"/>
  <c r="AG223" i="5"/>
  <c r="T223" i="5"/>
  <c r="G223" i="5"/>
  <c r="L214" i="5"/>
  <c r="AL214" i="5"/>
  <c r="Y214" i="5"/>
  <c r="AK210" i="5"/>
  <c r="X210" i="5"/>
  <c r="K210" i="5"/>
  <c r="T209" i="5"/>
  <c r="G209" i="5"/>
  <c r="AG209" i="5"/>
  <c r="AG208" i="5"/>
  <c r="T208" i="5"/>
  <c r="T202" i="5"/>
  <c r="AG202" i="5"/>
  <c r="G202" i="5"/>
  <c r="S201" i="5"/>
  <c r="AF201" i="5"/>
  <c r="F201" i="5"/>
  <c r="AD198" i="5"/>
  <c r="Q198" i="5"/>
  <c r="D197" i="5"/>
  <c r="Q197" i="5"/>
  <c r="AD197" i="5"/>
  <c r="AD196" i="5"/>
  <c r="Q196" i="5"/>
  <c r="AK178" i="5"/>
  <c r="X178" i="5"/>
  <c r="N175" i="5"/>
  <c r="AN175" i="5"/>
  <c r="AA175" i="5"/>
  <c r="AI174" i="5"/>
  <c r="I174" i="5"/>
  <c r="T172" i="5"/>
  <c r="G172" i="5"/>
  <c r="AM160" i="5"/>
  <c r="Z160" i="5"/>
  <c r="W149" i="5"/>
  <c r="AJ149" i="5"/>
  <c r="AJ148" i="5"/>
  <c r="W148" i="5"/>
  <c r="J148" i="5"/>
  <c r="I142" i="5"/>
  <c r="V142" i="5"/>
  <c r="AI142" i="5"/>
  <c r="AG141" i="5"/>
  <c r="T141" i="5"/>
  <c r="G141" i="5"/>
  <c r="S137" i="5"/>
  <c r="AF137" i="5"/>
  <c r="F137" i="5"/>
  <c r="AF136" i="5"/>
  <c r="S136" i="5"/>
  <c r="F136" i="5"/>
  <c r="T127" i="5"/>
  <c r="AG127" i="5"/>
  <c r="L118" i="5"/>
  <c r="AL118" i="5"/>
  <c r="AK114" i="5"/>
  <c r="X114" i="5"/>
  <c r="K114" i="5"/>
  <c r="AL103" i="5"/>
  <c r="Y103" i="5"/>
  <c r="AD101" i="5"/>
  <c r="Q101" i="5"/>
  <c r="D101" i="5"/>
  <c r="AO90" i="5"/>
  <c r="AB90" i="5"/>
  <c r="O90" i="5"/>
  <c r="T81" i="5"/>
  <c r="AG81" i="5"/>
  <c r="N79" i="5"/>
  <c r="AA79" i="5"/>
  <c r="AI78" i="5"/>
  <c r="V78" i="5"/>
  <c r="I78" i="5"/>
  <c r="AG76" i="5"/>
  <c r="T76" i="5"/>
  <c r="G76" i="5"/>
  <c r="AM64" i="5"/>
  <c r="M64" i="5"/>
  <c r="Z64" i="5"/>
  <c r="AJ53" i="5"/>
  <c r="W53" i="5"/>
  <c r="J53" i="5"/>
  <c r="L510" i="5"/>
  <c r="K497" i="5"/>
  <c r="K487" i="5"/>
  <c r="D484" i="5"/>
  <c r="K462" i="5"/>
  <c r="O451" i="5"/>
  <c r="I417" i="5"/>
  <c r="L412" i="5"/>
  <c r="G405" i="5"/>
  <c r="J400" i="5"/>
  <c r="D389" i="5"/>
  <c r="M358" i="5"/>
  <c r="K356" i="5"/>
  <c r="G340" i="5"/>
  <c r="L330" i="5"/>
  <c r="J328" i="5"/>
  <c r="H310" i="5"/>
  <c r="J297" i="5"/>
  <c r="L259" i="5"/>
  <c r="M238" i="5"/>
  <c r="M212" i="5"/>
  <c r="D200" i="5"/>
  <c r="D189" i="5"/>
  <c r="O160" i="5"/>
  <c r="J141" i="5"/>
  <c r="H138" i="5"/>
  <c r="G127" i="5"/>
  <c r="U502" i="5"/>
  <c r="Y488" i="5"/>
  <c r="R485" i="5"/>
  <c r="U466" i="5"/>
  <c r="Y462" i="5"/>
  <c r="Y428" i="5"/>
  <c r="Z358" i="5"/>
  <c r="W354" i="5"/>
  <c r="U292" i="5"/>
  <c r="Q184" i="5"/>
  <c r="AA178" i="5"/>
  <c r="U137" i="5"/>
  <c r="Z89" i="5"/>
  <c r="X45" i="5"/>
  <c r="AD501" i="5"/>
  <c r="AH487" i="5"/>
  <c r="AD261" i="5"/>
  <c r="AN163" i="5"/>
  <c r="V509" i="5"/>
  <c r="AI509" i="5"/>
  <c r="I509" i="5"/>
  <c r="AO501" i="5"/>
  <c r="O501" i="5"/>
  <c r="AO490" i="5"/>
  <c r="AB490" i="5"/>
  <c r="O490" i="5"/>
  <c r="AL489" i="5"/>
  <c r="L489" i="5"/>
  <c r="AO485" i="5"/>
  <c r="AB485" i="5"/>
  <c r="AO484" i="5"/>
  <c r="O484" i="5"/>
  <c r="W478" i="5"/>
  <c r="AJ478" i="5"/>
  <c r="AL473" i="5"/>
  <c r="Y473" i="5"/>
  <c r="W462" i="5"/>
  <c r="AJ462" i="5"/>
  <c r="AI460" i="5"/>
  <c r="V460" i="5"/>
  <c r="AO453" i="5"/>
  <c r="O453" i="5"/>
  <c r="AO442" i="5"/>
  <c r="AB442" i="5"/>
  <c r="AO437" i="5"/>
  <c r="AB437" i="5"/>
  <c r="AI429" i="5"/>
  <c r="V429" i="5"/>
  <c r="I429" i="5"/>
  <c r="AO426" i="5"/>
  <c r="AB426" i="5"/>
  <c r="O426" i="5"/>
  <c r="Y425" i="5"/>
  <c r="AL425" i="5"/>
  <c r="L425" i="5"/>
  <c r="AG418" i="5"/>
  <c r="T418" i="5"/>
  <c r="G418" i="5"/>
  <c r="AJ414" i="5"/>
  <c r="J414" i="5"/>
  <c r="W414" i="5"/>
  <c r="AI412" i="5"/>
  <c r="V412" i="5"/>
  <c r="I412" i="5"/>
  <c r="T402" i="5"/>
  <c r="AG402" i="5"/>
  <c r="G402" i="5"/>
  <c r="AO394" i="5"/>
  <c r="AB394" i="5"/>
  <c r="Y393" i="5"/>
  <c r="AL393" i="5"/>
  <c r="AI382" i="5"/>
  <c r="I382" i="5"/>
  <c r="V382" i="5"/>
  <c r="AG378" i="5"/>
  <c r="T378" i="5"/>
  <c r="AF377" i="5"/>
  <c r="S377" i="5"/>
  <c r="S376" i="5"/>
  <c r="F376" i="5"/>
  <c r="AF376" i="5"/>
  <c r="H369" i="5"/>
  <c r="AH369" i="5"/>
  <c r="AI366" i="5"/>
  <c r="V366" i="5"/>
  <c r="I366" i="5"/>
  <c r="AH364" i="5"/>
  <c r="U364" i="5"/>
  <c r="H364" i="5"/>
  <c r="AI357" i="5"/>
  <c r="V357" i="5"/>
  <c r="I357" i="5"/>
  <c r="AI354" i="5"/>
  <c r="V354" i="5"/>
  <c r="AG353" i="5"/>
  <c r="G353" i="5"/>
  <c r="AO345" i="5"/>
  <c r="AB345" i="5"/>
  <c r="O345" i="5"/>
  <c r="N334" i="5"/>
  <c r="AN334" i="5"/>
  <c r="AA334" i="5"/>
  <c r="AJ333" i="5"/>
  <c r="W333" i="5"/>
  <c r="J333" i="5"/>
  <c r="AK330" i="5"/>
  <c r="X330" i="5"/>
  <c r="AB317" i="5"/>
  <c r="AO317" i="5"/>
  <c r="AO316" i="5"/>
  <c r="O316" i="5"/>
  <c r="AB316" i="5"/>
  <c r="N306" i="5"/>
  <c r="AN306" i="5"/>
  <c r="AA306" i="5"/>
  <c r="AJ304" i="5"/>
  <c r="W304" i="5"/>
  <c r="J304" i="5"/>
  <c r="AG297" i="5"/>
  <c r="T297" i="5"/>
  <c r="G297" i="5"/>
  <c r="AF294" i="5"/>
  <c r="S294" i="5"/>
  <c r="AB282" i="5"/>
  <c r="AO282" i="5"/>
  <c r="O282" i="5"/>
  <c r="AJ274" i="5"/>
  <c r="W274" i="5"/>
  <c r="J274" i="5"/>
  <c r="H270" i="5"/>
  <c r="AH270" i="5"/>
  <c r="U270" i="5"/>
  <c r="AL257" i="5"/>
  <c r="Y257" i="5"/>
  <c r="Y256" i="5"/>
  <c r="L256" i="5"/>
  <c r="AL256" i="5"/>
  <c r="N250" i="5"/>
  <c r="AA250" i="5"/>
  <c r="AL246" i="5"/>
  <c r="L246" i="5"/>
  <c r="S234" i="5"/>
  <c r="AF234" i="5"/>
  <c r="AL225" i="5"/>
  <c r="Y225" i="5"/>
  <c r="L225" i="5"/>
  <c r="S202" i="5"/>
  <c r="AF202" i="5"/>
  <c r="F202" i="5"/>
  <c r="AO197" i="5"/>
  <c r="AB197" i="5"/>
  <c r="O197" i="5"/>
  <c r="AN186" i="5"/>
  <c r="N186" i="5"/>
  <c r="V178" i="5"/>
  <c r="I178" i="5"/>
  <c r="AI178" i="5"/>
  <c r="AH174" i="5"/>
  <c r="H174" i="5"/>
  <c r="AA165" i="5"/>
  <c r="N165" i="5"/>
  <c r="Y161" i="5"/>
  <c r="AL161" i="5"/>
  <c r="AL160" i="5"/>
  <c r="Y160" i="5"/>
  <c r="N154" i="5"/>
  <c r="AN154" i="5"/>
  <c r="AA154" i="5"/>
  <c r="AL150" i="5"/>
  <c r="Y150" i="5"/>
  <c r="AH142" i="5"/>
  <c r="U142" i="5"/>
  <c r="H142" i="5"/>
  <c r="AL129" i="5"/>
  <c r="Y129" i="5"/>
  <c r="AL124" i="5"/>
  <c r="Y124" i="5"/>
  <c r="AK118" i="5"/>
  <c r="K118" i="5"/>
  <c r="X118" i="5"/>
  <c r="V114" i="5"/>
  <c r="AI114" i="5"/>
  <c r="AO101" i="5"/>
  <c r="AB101" i="5"/>
  <c r="O101" i="5"/>
  <c r="AL93" i="5"/>
  <c r="Y93" i="5"/>
  <c r="N90" i="5"/>
  <c r="AA90" i="5"/>
  <c r="I82" i="5"/>
  <c r="AI82" i="5"/>
  <c r="V82" i="5"/>
  <c r="AN69" i="5"/>
  <c r="AA69" i="5"/>
  <c r="N69" i="5"/>
  <c r="N58" i="5"/>
  <c r="AN58" i="5"/>
  <c r="Y54" i="5"/>
  <c r="AL54" i="5"/>
  <c r="L54" i="5"/>
  <c r="K513" i="5"/>
  <c r="H502" i="5"/>
  <c r="J487" i="5"/>
  <c r="J462" i="5"/>
  <c r="L451" i="5"/>
  <c r="K449" i="5"/>
  <c r="H436" i="5"/>
  <c r="G417" i="5"/>
  <c r="L414" i="5"/>
  <c r="J412" i="5"/>
  <c r="I400" i="5"/>
  <c r="O388" i="5"/>
  <c r="I381" i="5"/>
  <c r="K330" i="5"/>
  <c r="D318" i="5"/>
  <c r="F310" i="5"/>
  <c r="I297" i="5"/>
  <c r="O256" i="5"/>
  <c r="D249" i="5"/>
  <c r="F233" i="5"/>
  <c r="K212" i="5"/>
  <c r="H202" i="5"/>
  <c r="M185" i="5"/>
  <c r="L174" i="5"/>
  <c r="K172" i="5"/>
  <c r="M163" i="5"/>
  <c r="M160" i="5"/>
  <c r="J149" i="5"/>
  <c r="G138" i="5"/>
  <c r="L129" i="5"/>
  <c r="J113" i="5"/>
  <c r="G105" i="5"/>
  <c r="L64" i="5"/>
  <c r="J21" i="5"/>
  <c r="J10" i="5"/>
  <c r="X509" i="5"/>
  <c r="T502" i="5"/>
  <c r="AB484" i="5"/>
  <c r="V477" i="5"/>
  <c r="AB473" i="5"/>
  <c r="T466" i="5"/>
  <c r="R454" i="5"/>
  <c r="Y450" i="5"/>
  <c r="X428" i="5"/>
  <c r="X401" i="5"/>
  <c r="AA332" i="5"/>
  <c r="W318" i="5"/>
  <c r="U310" i="5"/>
  <c r="AA304" i="5"/>
  <c r="T292" i="5"/>
  <c r="Z256" i="5"/>
  <c r="U236" i="5"/>
  <c r="V210" i="5"/>
  <c r="V141" i="5"/>
  <c r="T137" i="5"/>
  <c r="Z88" i="5"/>
  <c r="W45" i="5"/>
  <c r="Z33" i="5"/>
  <c r="AL478" i="5"/>
  <c r="AK439" i="5"/>
  <c r="AE390" i="5"/>
  <c r="AF307" i="5"/>
  <c r="AM510" i="5"/>
  <c r="M510" i="5"/>
  <c r="M498" i="5"/>
  <c r="AM498" i="5"/>
  <c r="Z498" i="5"/>
  <c r="AM486" i="5"/>
  <c r="Z486" i="5"/>
  <c r="AM474" i="5"/>
  <c r="Z474" i="5"/>
  <c r="AM450" i="5"/>
  <c r="Z450" i="5"/>
  <c r="Z438" i="5"/>
  <c r="AM438" i="5"/>
  <c r="M438" i="5"/>
  <c r="AM414" i="5"/>
  <c r="Z414" i="5"/>
  <c r="Z390" i="5"/>
  <c r="AM390" i="5"/>
  <c r="M390" i="5"/>
  <c r="AE514" i="5"/>
  <c r="R514" i="5"/>
  <c r="R513" i="5"/>
  <c r="E513" i="5"/>
  <c r="V510" i="5"/>
  <c r="AI510" i="5"/>
  <c r="I510" i="5"/>
  <c r="AH508" i="5"/>
  <c r="H508" i="5"/>
  <c r="AE496" i="5"/>
  <c r="R496" i="5"/>
  <c r="AL490" i="5"/>
  <c r="L490" i="5"/>
  <c r="Y490" i="5"/>
  <c r="AK489" i="5"/>
  <c r="K489" i="5"/>
  <c r="U477" i="5"/>
  <c r="AH477" i="5"/>
  <c r="AL474" i="5"/>
  <c r="Y474" i="5"/>
  <c r="AK473" i="5"/>
  <c r="X473" i="5"/>
  <c r="X472" i="5"/>
  <c r="AK472" i="5"/>
  <c r="R466" i="5"/>
  <c r="AE466" i="5"/>
  <c r="AE465" i="5"/>
  <c r="R465" i="5"/>
  <c r="E465" i="5"/>
  <c r="I462" i="5"/>
  <c r="AI462" i="5"/>
  <c r="AH460" i="5"/>
  <c r="H460" i="5"/>
  <c r="AE450" i="5"/>
  <c r="R450" i="5"/>
  <c r="E450" i="5"/>
  <c r="R449" i="5"/>
  <c r="AE449" i="5"/>
  <c r="E449" i="5"/>
  <c r="R448" i="5"/>
  <c r="AE448" i="5"/>
  <c r="L442" i="5"/>
  <c r="AL442" i="5"/>
  <c r="X441" i="5"/>
  <c r="AK441" i="5"/>
  <c r="K441" i="5"/>
  <c r="AI430" i="5"/>
  <c r="I430" i="5"/>
  <c r="V430" i="5"/>
  <c r="AH429" i="5"/>
  <c r="U429" i="5"/>
  <c r="H429" i="5"/>
  <c r="Y426" i="5"/>
  <c r="L426" i="5"/>
  <c r="AK424" i="5"/>
  <c r="K424" i="5"/>
  <c r="AE418" i="5"/>
  <c r="R418" i="5"/>
  <c r="E418" i="5"/>
  <c r="AH413" i="5"/>
  <c r="H413" i="5"/>
  <c r="AH412" i="5"/>
  <c r="U412" i="5"/>
  <c r="AE400" i="5"/>
  <c r="R400" i="5"/>
  <c r="L394" i="5"/>
  <c r="AL394" i="5"/>
  <c r="K393" i="5"/>
  <c r="X393" i="5"/>
  <c r="AK393" i="5"/>
  <c r="AF381" i="5"/>
  <c r="F381" i="5"/>
  <c r="AF378" i="5"/>
  <c r="S378" i="5"/>
  <c r="AG369" i="5"/>
  <c r="G369" i="5"/>
  <c r="H366" i="5"/>
  <c r="AH366" i="5"/>
  <c r="U366" i="5"/>
  <c r="AG365" i="5"/>
  <c r="G365" i="5"/>
  <c r="T364" i="5"/>
  <c r="AG364" i="5"/>
  <c r="G364" i="5"/>
  <c r="AK358" i="5"/>
  <c r="K358" i="5"/>
  <c r="U354" i="5"/>
  <c r="H354" i="5"/>
  <c r="AH354" i="5"/>
  <c r="AF353" i="5"/>
  <c r="S353" i="5"/>
  <c r="F353" i="5"/>
  <c r="AF352" i="5"/>
  <c r="F352" i="5"/>
  <c r="AN345" i="5"/>
  <c r="N345" i="5"/>
  <c r="AA345" i="5"/>
  <c r="L334" i="5"/>
  <c r="Y334" i="5"/>
  <c r="AJ330" i="5"/>
  <c r="W330" i="5"/>
  <c r="J330" i="5"/>
  <c r="G329" i="5"/>
  <c r="AG329" i="5"/>
  <c r="AF322" i="5"/>
  <c r="S322" i="5"/>
  <c r="F322" i="5"/>
  <c r="Q321" i="5"/>
  <c r="AD321" i="5"/>
  <c r="D321" i="5"/>
  <c r="N317" i="5"/>
  <c r="AN317" i="5"/>
  <c r="AA317" i="5"/>
  <c r="AL306" i="5"/>
  <c r="Y306" i="5"/>
  <c r="L306" i="5"/>
  <c r="H298" i="5"/>
  <c r="U298" i="5"/>
  <c r="Q294" i="5"/>
  <c r="AD294" i="5"/>
  <c r="D294" i="5"/>
  <c r="Q293" i="5"/>
  <c r="AD293" i="5"/>
  <c r="Q292" i="5"/>
  <c r="AD292" i="5"/>
  <c r="D292" i="5"/>
  <c r="AO286" i="5"/>
  <c r="AB286" i="5"/>
  <c r="Y285" i="5"/>
  <c r="AL285" i="5"/>
  <c r="L285" i="5"/>
  <c r="AJ281" i="5"/>
  <c r="W281" i="5"/>
  <c r="J281" i="5"/>
  <c r="AJ280" i="5"/>
  <c r="J280" i="5"/>
  <c r="AI274" i="5"/>
  <c r="I274" i="5"/>
  <c r="AM261" i="5"/>
  <c r="Z261" i="5"/>
  <c r="AO258" i="5"/>
  <c r="O258" i="5"/>
  <c r="AB258" i="5"/>
  <c r="AK257" i="5"/>
  <c r="X257" i="5"/>
  <c r="K257" i="5"/>
  <c r="X256" i="5"/>
  <c r="AK256" i="5"/>
  <c r="AK246" i="5"/>
  <c r="X246" i="5"/>
  <c r="S238" i="5"/>
  <c r="AF238" i="5"/>
  <c r="AD234" i="5"/>
  <c r="Q234" i="5"/>
  <c r="Q233" i="5"/>
  <c r="AD233" i="5"/>
  <c r="AD232" i="5"/>
  <c r="D232" i="5"/>
  <c r="AO226" i="5"/>
  <c r="AB226" i="5"/>
  <c r="K225" i="5"/>
  <c r="X225" i="5"/>
  <c r="AK225" i="5"/>
  <c r="AM222" i="5"/>
  <c r="Z222" i="5"/>
  <c r="X221" i="5"/>
  <c r="K221" i="5"/>
  <c r="AK220" i="5"/>
  <c r="K220" i="5"/>
  <c r="AH210" i="5"/>
  <c r="H210" i="5"/>
  <c r="Q202" i="5"/>
  <c r="AD202" i="5"/>
  <c r="D202" i="5"/>
  <c r="Q201" i="5"/>
  <c r="AD201" i="5"/>
  <c r="N197" i="5"/>
  <c r="AN197" i="5"/>
  <c r="N196" i="5"/>
  <c r="AN196" i="5"/>
  <c r="AA196" i="5"/>
  <c r="AM190" i="5"/>
  <c r="Z190" i="5"/>
  <c r="M190" i="5"/>
  <c r="AK189" i="5"/>
  <c r="X189" i="5"/>
  <c r="AH178" i="5"/>
  <c r="H178" i="5"/>
  <c r="U178" i="5"/>
  <c r="S174" i="5"/>
  <c r="AF174" i="5"/>
  <c r="AM165" i="5"/>
  <c r="Z165" i="5"/>
  <c r="M165" i="5"/>
  <c r="AB162" i="5"/>
  <c r="AO162" i="5"/>
  <c r="O162" i="5"/>
  <c r="AK160" i="5"/>
  <c r="X160" i="5"/>
  <c r="K160" i="5"/>
  <c r="AK150" i="5"/>
  <c r="X150" i="5"/>
  <c r="K150" i="5"/>
  <c r="S142" i="5"/>
  <c r="AF142" i="5"/>
  <c r="F142" i="5"/>
  <c r="AD138" i="5"/>
  <c r="Q138" i="5"/>
  <c r="D138" i="5"/>
  <c r="D137" i="5"/>
  <c r="Q137" i="5"/>
  <c r="Q136" i="5"/>
  <c r="AD136" i="5"/>
  <c r="D136" i="5"/>
  <c r="AO130" i="5"/>
  <c r="AB130" i="5"/>
  <c r="O130" i="5"/>
  <c r="AK129" i="5"/>
  <c r="X129" i="5"/>
  <c r="Z126" i="5"/>
  <c r="M126" i="5"/>
  <c r="AK125" i="5"/>
  <c r="K125" i="5"/>
  <c r="AK124" i="5"/>
  <c r="X124" i="5"/>
  <c r="U114" i="5"/>
  <c r="AH114" i="5"/>
  <c r="AD106" i="5"/>
  <c r="Q106" i="5"/>
  <c r="AD105" i="5"/>
  <c r="Q105" i="5"/>
  <c r="N101" i="5"/>
  <c r="AA101" i="5"/>
  <c r="AN101" i="5"/>
  <c r="N100" i="5"/>
  <c r="AN100" i="5"/>
  <c r="AA100" i="5"/>
  <c r="AM94" i="5"/>
  <c r="Z94" i="5"/>
  <c r="M94" i="5"/>
  <c r="AH82" i="5"/>
  <c r="H82" i="5"/>
  <c r="U82" i="5"/>
  <c r="AF78" i="5"/>
  <c r="S78" i="5"/>
  <c r="AM69" i="5"/>
  <c r="M69" i="5"/>
  <c r="AO66" i="5"/>
  <c r="AB66" i="5"/>
  <c r="O66" i="5"/>
  <c r="AK65" i="5"/>
  <c r="X65" i="5"/>
  <c r="K65" i="5"/>
  <c r="X64" i="5"/>
  <c r="AK64" i="5"/>
  <c r="AK54" i="5"/>
  <c r="X54" i="5"/>
  <c r="K54" i="5"/>
  <c r="AF46" i="5"/>
  <c r="S46" i="5"/>
  <c r="F46" i="5"/>
  <c r="AD42" i="5"/>
  <c r="D42" i="5"/>
  <c r="D41" i="5"/>
  <c r="Q41" i="5"/>
  <c r="AD41" i="5"/>
  <c r="D40" i="5"/>
  <c r="AD40" i="5"/>
  <c r="AO34" i="5"/>
  <c r="AB34" i="5"/>
  <c r="O34" i="5"/>
  <c r="AM30" i="5"/>
  <c r="M30" i="5"/>
  <c r="AK29" i="5"/>
  <c r="X29" i="5"/>
  <c r="K29" i="5"/>
  <c r="AK28" i="5"/>
  <c r="X28" i="5"/>
  <c r="AH18" i="5"/>
  <c r="U18" i="5"/>
  <c r="Q10" i="5"/>
  <c r="AD10" i="5"/>
  <c r="D10" i="5"/>
  <c r="AD9" i="5"/>
  <c r="D9" i="5"/>
  <c r="Q9" i="5"/>
  <c r="N5" i="5"/>
  <c r="AA5" i="5"/>
  <c r="AN5" i="5"/>
  <c r="AN4" i="5"/>
  <c r="N4" i="5"/>
  <c r="AA4" i="5"/>
  <c r="J513" i="5"/>
  <c r="L503" i="5"/>
  <c r="G502" i="5"/>
  <c r="E489" i="5"/>
  <c r="M474" i="5"/>
  <c r="K460" i="5"/>
  <c r="J449" i="5"/>
  <c r="O437" i="5"/>
  <c r="L428" i="5"/>
  <c r="E417" i="5"/>
  <c r="I414" i="5"/>
  <c r="H412" i="5"/>
  <c r="M402" i="5"/>
  <c r="E400" i="5"/>
  <c r="H381" i="5"/>
  <c r="J346" i="5"/>
  <c r="G328" i="5"/>
  <c r="O317" i="5"/>
  <c r="H297" i="5"/>
  <c r="L284" i="5"/>
  <c r="O281" i="5"/>
  <c r="M256" i="5"/>
  <c r="K235" i="5"/>
  <c r="K209" i="5"/>
  <c r="M199" i="5"/>
  <c r="K177" i="5"/>
  <c r="J172" i="5"/>
  <c r="F166" i="5"/>
  <c r="L160" i="5"/>
  <c r="K129" i="5"/>
  <c r="F116" i="5"/>
  <c r="G113" i="5"/>
  <c r="F78" i="5"/>
  <c r="D70" i="5"/>
  <c r="K64" i="5"/>
  <c r="U512" i="5"/>
  <c r="U509" i="5"/>
  <c r="AB501" i="5"/>
  <c r="R473" i="5"/>
  <c r="U465" i="5"/>
  <c r="AB453" i="5"/>
  <c r="T450" i="5"/>
  <c r="V416" i="5"/>
  <c r="T405" i="5"/>
  <c r="V401" i="5"/>
  <c r="AA366" i="5"/>
  <c r="V318" i="5"/>
  <c r="T236" i="5"/>
  <c r="Q221" i="5"/>
  <c r="U210" i="5"/>
  <c r="Z199" i="5"/>
  <c r="W177" i="5"/>
  <c r="X161" i="5"/>
  <c r="V66" i="5"/>
  <c r="Q44" i="5"/>
  <c r="Y33" i="5"/>
  <c r="AE513" i="5"/>
  <c r="AK478" i="5"/>
  <c r="AL462" i="5"/>
  <c r="AH380" i="5"/>
  <c r="AN250" i="5"/>
  <c r="AF232" i="5"/>
  <c r="AD220" i="5"/>
  <c r="AN148" i="5"/>
  <c r="AN79" i="5"/>
  <c r="AD57" i="5"/>
  <c r="AO35" i="5"/>
  <c r="AJ91" i="5"/>
  <c r="W91" i="5"/>
  <c r="J91" i="5"/>
  <c r="AD83" i="5"/>
  <c r="D83" i="5"/>
  <c r="S79" i="5"/>
  <c r="F79" i="5"/>
  <c r="AF79" i="5"/>
  <c r="AL76" i="5"/>
  <c r="Y76" i="5"/>
  <c r="AF72" i="5"/>
  <c r="S72" i="5"/>
  <c r="F72" i="5"/>
  <c r="AK70" i="5"/>
  <c r="X70" i="5"/>
  <c r="K70" i="5"/>
  <c r="AO67" i="5"/>
  <c r="O67" i="5"/>
  <c r="AB67" i="5"/>
  <c r="J59" i="5"/>
  <c r="W59" i="5"/>
  <c r="AJ59" i="5"/>
  <c r="AF58" i="5"/>
  <c r="S58" i="5"/>
  <c r="F58" i="5"/>
  <c r="AO53" i="5"/>
  <c r="AB53" i="5"/>
  <c r="AO52" i="5"/>
  <c r="AB52" i="5"/>
  <c r="O52" i="5"/>
  <c r="Y48" i="5"/>
  <c r="L48" i="5"/>
  <c r="S47" i="5"/>
  <c r="AF47" i="5"/>
  <c r="F47" i="5"/>
  <c r="AI44" i="5"/>
  <c r="V44" i="5"/>
  <c r="I44" i="5"/>
  <c r="AN42" i="5"/>
  <c r="N42" i="5"/>
  <c r="AA42" i="5"/>
  <c r="AI34" i="5"/>
  <c r="V34" i="5"/>
  <c r="I34" i="5"/>
  <c r="AM31" i="5"/>
  <c r="Z31" i="5"/>
  <c r="AH30" i="5"/>
  <c r="H30" i="5"/>
  <c r="AG23" i="5"/>
  <c r="G23" i="5"/>
  <c r="T23" i="5"/>
  <c r="AN21" i="5"/>
  <c r="AA21" i="5"/>
  <c r="N21" i="5"/>
  <c r="N20" i="5"/>
  <c r="AA20" i="5"/>
  <c r="AN20" i="5"/>
  <c r="AD19" i="5"/>
  <c r="Q19" i="5"/>
  <c r="AI12" i="5"/>
  <c r="V12" i="5"/>
  <c r="I12" i="5"/>
  <c r="N10" i="5"/>
  <c r="AN10" i="5"/>
  <c r="AG8" i="5"/>
  <c r="T8" i="5"/>
  <c r="G8" i="5"/>
  <c r="AL6" i="5"/>
  <c r="Y6" i="5"/>
  <c r="L6" i="5"/>
  <c r="AL48" i="5"/>
  <c r="AI502" i="5"/>
  <c r="V502" i="5"/>
  <c r="AE500" i="5"/>
  <c r="R500" i="5"/>
  <c r="AI491" i="5"/>
  <c r="V491" i="5"/>
  <c r="R490" i="5"/>
  <c r="E490" i="5"/>
  <c r="AL487" i="5"/>
  <c r="Y487" i="5"/>
  <c r="L487" i="5"/>
  <c r="AH485" i="5"/>
  <c r="U485" i="5"/>
  <c r="H485" i="5"/>
  <c r="AE479" i="5"/>
  <c r="R479" i="5"/>
  <c r="E479" i="5"/>
  <c r="AL476" i="5"/>
  <c r="L476" i="5"/>
  <c r="AE474" i="5"/>
  <c r="E474" i="5"/>
  <c r="L466" i="5"/>
  <c r="Y466" i="5"/>
  <c r="AK465" i="5"/>
  <c r="K465" i="5"/>
  <c r="X465" i="5"/>
  <c r="R463" i="5"/>
  <c r="AE463" i="5"/>
  <c r="AH453" i="5"/>
  <c r="U453" i="5"/>
  <c r="AK448" i="5"/>
  <c r="K448" i="5"/>
  <c r="X448" i="5"/>
  <c r="I443" i="5"/>
  <c r="AI443" i="5"/>
  <c r="AL439" i="5"/>
  <c r="Y439" i="5"/>
  <c r="L439" i="5"/>
  <c r="U437" i="5"/>
  <c r="AH437" i="5"/>
  <c r="R431" i="5"/>
  <c r="AE431" i="5"/>
  <c r="AE426" i="5"/>
  <c r="R426" i="5"/>
  <c r="E426" i="5"/>
  <c r="E424" i="5"/>
  <c r="AE424" i="5"/>
  <c r="AK417" i="5"/>
  <c r="K417" i="5"/>
  <c r="AE415" i="5"/>
  <c r="E415" i="5"/>
  <c r="AL407" i="5"/>
  <c r="Y407" i="5"/>
  <c r="AH405" i="5"/>
  <c r="H405" i="5"/>
  <c r="U405" i="5"/>
  <c r="AL402" i="5"/>
  <c r="L402" i="5"/>
  <c r="Y402" i="5"/>
  <c r="AE393" i="5"/>
  <c r="E393" i="5"/>
  <c r="R393" i="5"/>
  <c r="AH388" i="5"/>
  <c r="H388" i="5"/>
  <c r="Q383" i="5"/>
  <c r="AD383" i="5"/>
  <c r="AK377" i="5"/>
  <c r="K377" i="5"/>
  <c r="X377" i="5"/>
  <c r="Z365" i="5"/>
  <c r="M365" i="5"/>
  <c r="AH359" i="5"/>
  <c r="U359" i="5"/>
  <c r="H359" i="5"/>
  <c r="T341" i="5"/>
  <c r="G341" i="5"/>
  <c r="AG341" i="5"/>
  <c r="AH335" i="5"/>
  <c r="U335" i="5"/>
  <c r="AM328" i="5"/>
  <c r="M328" i="5"/>
  <c r="Z328" i="5"/>
  <c r="AB304" i="5"/>
  <c r="AO304" i="5"/>
  <c r="O304" i="5"/>
  <c r="AF299" i="5"/>
  <c r="F299" i="5"/>
  <c r="U286" i="5"/>
  <c r="AH286" i="5"/>
  <c r="AK272" i="5"/>
  <c r="X272" i="5"/>
  <c r="V251" i="5"/>
  <c r="AI251" i="5"/>
  <c r="I251" i="5"/>
  <c r="AL223" i="5"/>
  <c r="Y223" i="5"/>
  <c r="S215" i="5"/>
  <c r="AF215" i="5"/>
  <c r="AK208" i="5"/>
  <c r="X208" i="5"/>
  <c r="K208" i="5"/>
  <c r="AI187" i="5"/>
  <c r="V187" i="5"/>
  <c r="I187" i="5"/>
  <c r="Z174" i="5"/>
  <c r="AM174" i="5"/>
  <c r="M174" i="5"/>
  <c r="N131" i="5"/>
  <c r="AN131" i="5"/>
  <c r="AA131" i="5"/>
  <c r="Y127" i="5"/>
  <c r="AL127" i="5"/>
  <c r="L127" i="5"/>
  <c r="S126" i="5"/>
  <c r="AF126" i="5"/>
  <c r="S119" i="5"/>
  <c r="AF119" i="5"/>
  <c r="AM116" i="5"/>
  <c r="Z116" i="5"/>
  <c r="AO114" i="5"/>
  <c r="AB114" i="5"/>
  <c r="O114" i="5"/>
  <c r="AK112" i="5"/>
  <c r="X112" i="5"/>
  <c r="K112" i="5"/>
  <c r="X102" i="5"/>
  <c r="AK102" i="5"/>
  <c r="K102" i="5"/>
  <c r="AF94" i="5"/>
  <c r="S94" i="5"/>
  <c r="F94" i="5"/>
  <c r="AD90" i="5"/>
  <c r="D90" i="5"/>
  <c r="Q88" i="5"/>
  <c r="AD88" i="5"/>
  <c r="D88" i="5"/>
  <c r="AO82" i="5"/>
  <c r="AB82" i="5"/>
  <c r="O82" i="5"/>
  <c r="AK81" i="5"/>
  <c r="X81" i="5"/>
  <c r="K81" i="5"/>
  <c r="AK80" i="5"/>
  <c r="X80" i="5"/>
  <c r="K80" i="5"/>
  <c r="AM78" i="5"/>
  <c r="Z78" i="5"/>
  <c r="M78" i="5"/>
  <c r="AN67" i="5"/>
  <c r="N67" i="5"/>
  <c r="AA67" i="5"/>
  <c r="AI59" i="5"/>
  <c r="V59" i="5"/>
  <c r="AD58" i="5"/>
  <c r="Q58" i="5"/>
  <c r="AG55" i="5"/>
  <c r="T55" i="5"/>
  <c r="AN53" i="5"/>
  <c r="N53" i="5"/>
  <c r="AA53" i="5"/>
  <c r="N52" i="5"/>
  <c r="AN52" i="5"/>
  <c r="AA52" i="5"/>
  <c r="AM46" i="5"/>
  <c r="Z46" i="5"/>
  <c r="M46" i="5"/>
  <c r="AH44" i="5"/>
  <c r="U44" i="5"/>
  <c r="H44" i="5"/>
  <c r="N35" i="5"/>
  <c r="AA35" i="5"/>
  <c r="AN35" i="5"/>
  <c r="AH34" i="5"/>
  <c r="U34" i="5"/>
  <c r="H34" i="5"/>
  <c r="AL31" i="5"/>
  <c r="Y31" i="5"/>
  <c r="L31" i="5"/>
  <c r="S30" i="5"/>
  <c r="AF30" i="5"/>
  <c r="AF23" i="5"/>
  <c r="S23" i="5"/>
  <c r="AM21" i="5"/>
  <c r="Z21" i="5"/>
  <c r="Z20" i="5"/>
  <c r="AM20" i="5"/>
  <c r="AO18" i="5"/>
  <c r="AB18" i="5"/>
  <c r="O18" i="5"/>
  <c r="AK17" i="5"/>
  <c r="X17" i="5"/>
  <c r="K17" i="5"/>
  <c r="S8" i="5"/>
  <c r="AF8" i="5"/>
  <c r="F8" i="5"/>
  <c r="AK6" i="5"/>
  <c r="X6" i="5"/>
  <c r="K6" i="5"/>
  <c r="E463" i="5"/>
  <c r="L76" i="5"/>
  <c r="Z117" i="5"/>
  <c r="AL466" i="5"/>
  <c r="Q500" i="5"/>
  <c r="AD500" i="5"/>
  <c r="D500" i="5"/>
  <c r="AJ497" i="5"/>
  <c r="W497" i="5"/>
  <c r="J497" i="5"/>
  <c r="Q490" i="5"/>
  <c r="AD490" i="5"/>
  <c r="AH486" i="5"/>
  <c r="H486" i="5"/>
  <c r="Q474" i="5"/>
  <c r="AD474" i="5"/>
  <c r="AK466" i="5"/>
  <c r="X466" i="5"/>
  <c r="Q463" i="5"/>
  <c r="AD463" i="5"/>
  <c r="AG453" i="5"/>
  <c r="T453" i="5"/>
  <c r="Q452" i="5"/>
  <c r="AD452" i="5"/>
  <c r="AK450" i="5"/>
  <c r="X450" i="5"/>
  <c r="AJ448" i="5"/>
  <c r="W448" i="5"/>
  <c r="Q441" i="5"/>
  <c r="AD441" i="5"/>
  <c r="D441" i="5"/>
  <c r="AG436" i="5"/>
  <c r="T436" i="5"/>
  <c r="G436" i="5"/>
  <c r="Q425" i="5"/>
  <c r="D425" i="5"/>
  <c r="AJ401" i="5"/>
  <c r="W401" i="5"/>
  <c r="J401" i="5"/>
  <c r="AH390" i="5"/>
  <c r="H390" i="5"/>
  <c r="AJ376" i="5"/>
  <c r="W376" i="5"/>
  <c r="J376" i="5"/>
  <c r="AL365" i="5"/>
  <c r="L365" i="5"/>
  <c r="AM332" i="5"/>
  <c r="Z332" i="5"/>
  <c r="M332" i="5"/>
  <c r="T310" i="5"/>
  <c r="AG310" i="5"/>
  <c r="G310" i="5"/>
  <c r="AI283" i="5"/>
  <c r="I283" i="5"/>
  <c r="V283" i="5"/>
  <c r="AL270" i="5"/>
  <c r="Y270" i="5"/>
  <c r="L238" i="5"/>
  <c r="AL238" i="5"/>
  <c r="Y238" i="5"/>
  <c r="AJ209" i="5"/>
  <c r="W209" i="5"/>
  <c r="AI201" i="5"/>
  <c r="V201" i="5"/>
  <c r="I201" i="5"/>
  <c r="AJ176" i="5"/>
  <c r="J176" i="5"/>
  <c r="W176" i="5"/>
  <c r="Y142" i="5"/>
  <c r="AL142" i="5"/>
  <c r="N114" i="5"/>
  <c r="AN114" i="5"/>
  <c r="AA114" i="5"/>
  <c r="AJ112" i="5"/>
  <c r="W112" i="5"/>
  <c r="J112" i="5"/>
  <c r="I105" i="5"/>
  <c r="AI105" i="5"/>
  <c r="V105" i="5"/>
  <c r="Q93" i="5"/>
  <c r="AD93" i="5"/>
  <c r="N82" i="5"/>
  <c r="AN82" i="5"/>
  <c r="AJ80" i="5"/>
  <c r="J80" i="5"/>
  <c r="W77" i="5"/>
  <c r="AJ77" i="5"/>
  <c r="J77" i="5"/>
  <c r="AF69" i="5"/>
  <c r="S69" i="5"/>
  <c r="F69" i="5"/>
  <c r="AM67" i="5"/>
  <c r="Z67" i="5"/>
  <c r="S55" i="5"/>
  <c r="F55" i="5"/>
  <c r="AF55" i="5"/>
  <c r="AM53" i="5"/>
  <c r="Z53" i="5"/>
  <c r="M53" i="5"/>
  <c r="Z52" i="5"/>
  <c r="AM52" i="5"/>
  <c r="M52" i="5"/>
  <c r="AL46" i="5"/>
  <c r="L46" i="5"/>
  <c r="AG44" i="5"/>
  <c r="G44" i="5"/>
  <c r="T44" i="5"/>
  <c r="W42" i="5"/>
  <c r="J42" i="5"/>
  <c r="AJ42" i="5"/>
  <c r="AI41" i="5"/>
  <c r="V41" i="5"/>
  <c r="AI40" i="5"/>
  <c r="V40" i="5"/>
  <c r="AK31" i="5"/>
  <c r="X31" i="5"/>
  <c r="K31" i="5"/>
  <c r="AD30" i="5"/>
  <c r="Q30" i="5"/>
  <c r="AD29" i="5"/>
  <c r="D29" i="5"/>
  <c r="Q28" i="5"/>
  <c r="D28" i="5"/>
  <c r="AK20" i="5"/>
  <c r="K20" i="5"/>
  <c r="AN18" i="5"/>
  <c r="N18" i="5"/>
  <c r="AA18" i="5"/>
  <c r="AJ17" i="5"/>
  <c r="W17" i="5"/>
  <c r="V9" i="5"/>
  <c r="AI9" i="5"/>
  <c r="D394" i="5"/>
  <c r="D275" i="5"/>
  <c r="I136" i="5"/>
  <c r="D93" i="5"/>
  <c r="K76" i="5"/>
  <c r="I41" i="5"/>
  <c r="F30" i="5"/>
  <c r="L16" i="5"/>
  <c r="AB35" i="5"/>
  <c r="U30" i="5"/>
  <c r="X20" i="5"/>
  <c r="AJ113" i="5"/>
  <c r="AD28" i="5"/>
  <c r="M514" i="5"/>
  <c r="Z514" i="5"/>
  <c r="AM514" i="5"/>
  <c r="AM502" i="5"/>
  <c r="M502" i="5"/>
  <c r="Z502" i="5"/>
  <c r="AM490" i="5"/>
  <c r="M490" i="5"/>
  <c r="AM466" i="5"/>
  <c r="Z466" i="5"/>
  <c r="AM454" i="5"/>
  <c r="Z454" i="5"/>
  <c r="AM430" i="5"/>
  <c r="Z430" i="5"/>
  <c r="M430" i="5"/>
  <c r="AM418" i="5"/>
  <c r="Z418" i="5"/>
  <c r="M418" i="5"/>
  <c r="AM406" i="5"/>
  <c r="Z406" i="5"/>
  <c r="AM394" i="5"/>
  <c r="M394" i="5"/>
  <c r="AO510" i="5"/>
  <c r="AB510" i="5"/>
  <c r="O510" i="5"/>
  <c r="Y508" i="5"/>
  <c r="L508" i="5"/>
  <c r="AJ498" i="5"/>
  <c r="W498" i="5"/>
  <c r="J498" i="5"/>
  <c r="AI496" i="5"/>
  <c r="V496" i="5"/>
  <c r="I496" i="5"/>
  <c r="AO488" i="5"/>
  <c r="AB488" i="5"/>
  <c r="O488" i="5"/>
  <c r="AG486" i="5"/>
  <c r="T486" i="5"/>
  <c r="AO478" i="5"/>
  <c r="AB478" i="5"/>
  <c r="O478" i="5"/>
  <c r="AJ476" i="5"/>
  <c r="J476" i="5"/>
  <c r="AJ466" i="5"/>
  <c r="W466" i="5"/>
  <c r="T464" i="5"/>
  <c r="AG464" i="5"/>
  <c r="Y460" i="5"/>
  <c r="AL460" i="5"/>
  <c r="AO441" i="5"/>
  <c r="AB441" i="5"/>
  <c r="W439" i="5"/>
  <c r="J439" i="5"/>
  <c r="Y429" i="5"/>
  <c r="AL429" i="5"/>
  <c r="AO424" i="5"/>
  <c r="AB424" i="5"/>
  <c r="AL413" i="5"/>
  <c r="Y413" i="5"/>
  <c r="AO392" i="5"/>
  <c r="O392" i="5"/>
  <c r="V376" i="5"/>
  <c r="I376" i="5"/>
  <c r="AI376" i="5"/>
  <c r="AI356" i="5"/>
  <c r="V356" i="5"/>
  <c r="I356" i="5"/>
  <c r="AN330" i="5"/>
  <c r="N330" i="5"/>
  <c r="AA330" i="5"/>
  <c r="N308" i="5"/>
  <c r="AA308" i="5"/>
  <c r="AN308" i="5"/>
  <c r="U293" i="5"/>
  <c r="H293" i="5"/>
  <c r="AH293" i="5"/>
  <c r="AH272" i="5"/>
  <c r="U272" i="5"/>
  <c r="AN249" i="5"/>
  <c r="AA249" i="5"/>
  <c r="N249" i="5"/>
  <c r="AK238" i="5"/>
  <c r="K238" i="5"/>
  <c r="X238" i="5"/>
  <c r="Q236" i="5"/>
  <c r="D236" i="5"/>
  <c r="AH233" i="5"/>
  <c r="U233" i="5"/>
  <c r="AO224" i="5"/>
  <c r="AB224" i="5"/>
  <c r="O224" i="5"/>
  <c r="AO214" i="5"/>
  <c r="AB214" i="5"/>
  <c r="O214" i="5"/>
  <c r="AJ212" i="5"/>
  <c r="W212" i="5"/>
  <c r="J212" i="5"/>
  <c r="AO199" i="5"/>
  <c r="AB199" i="5"/>
  <c r="AG187" i="5"/>
  <c r="G187" i="5"/>
  <c r="M178" i="5"/>
  <c r="Z178" i="5"/>
  <c r="AH176" i="5"/>
  <c r="U176" i="5"/>
  <c r="AK174" i="5"/>
  <c r="X174" i="5"/>
  <c r="V172" i="5"/>
  <c r="AI172" i="5"/>
  <c r="I172" i="5"/>
  <c r="AA153" i="5"/>
  <c r="N153" i="5"/>
  <c r="AN153" i="5"/>
  <c r="AK142" i="5"/>
  <c r="K142" i="5"/>
  <c r="AH136" i="5"/>
  <c r="H136" i="5"/>
  <c r="U136" i="5"/>
  <c r="AO129" i="5"/>
  <c r="AB129" i="5"/>
  <c r="AB118" i="5"/>
  <c r="AO118" i="5"/>
  <c r="O118" i="5"/>
  <c r="I106" i="5"/>
  <c r="V106" i="5"/>
  <c r="AF100" i="5"/>
  <c r="S100" i="5"/>
  <c r="AL92" i="5"/>
  <c r="Y92" i="5"/>
  <c r="L92" i="5"/>
  <c r="AH80" i="5"/>
  <c r="H80" i="5"/>
  <c r="AI76" i="5"/>
  <c r="V76" i="5"/>
  <c r="S70" i="5"/>
  <c r="F70" i="5"/>
  <c r="Y67" i="5"/>
  <c r="AL67" i="5"/>
  <c r="AO64" i="5"/>
  <c r="O64" i="5"/>
  <c r="AB64" i="5"/>
  <c r="AN57" i="5"/>
  <c r="AA57" i="5"/>
  <c r="N57" i="5"/>
  <c r="Z56" i="5"/>
  <c r="AM56" i="5"/>
  <c r="M56" i="5"/>
  <c r="AD55" i="5"/>
  <c r="Q55" i="5"/>
  <c r="D55" i="5"/>
  <c r="AI45" i="5"/>
  <c r="V45" i="5"/>
  <c r="AI42" i="5"/>
  <c r="V42" i="5"/>
  <c r="AH41" i="5"/>
  <c r="U41" i="5"/>
  <c r="H41" i="5"/>
  <c r="AH40" i="5"/>
  <c r="U40" i="5"/>
  <c r="AO33" i="5"/>
  <c r="AB33" i="5"/>
  <c r="O33" i="5"/>
  <c r="AB32" i="5"/>
  <c r="AO32" i="5"/>
  <c r="O32" i="5"/>
  <c r="AJ31" i="5"/>
  <c r="J31" i="5"/>
  <c r="W31" i="5"/>
  <c r="AB22" i="5"/>
  <c r="AO22" i="5"/>
  <c r="O22" i="5"/>
  <c r="AK21" i="5"/>
  <c r="X21" i="5"/>
  <c r="AJ20" i="5"/>
  <c r="W20" i="5"/>
  <c r="J20" i="5"/>
  <c r="AM18" i="5"/>
  <c r="Z18" i="5"/>
  <c r="M18" i="5"/>
  <c r="AI10" i="5"/>
  <c r="I10" i="5"/>
  <c r="V10" i="5"/>
  <c r="AH9" i="5"/>
  <c r="H9" i="5"/>
  <c r="U9" i="5"/>
  <c r="AO7" i="5"/>
  <c r="AB7" i="5"/>
  <c r="S5" i="5"/>
  <c r="AF5" i="5"/>
  <c r="F5" i="5"/>
  <c r="D511" i="5"/>
  <c r="E452" i="5"/>
  <c r="H368" i="5"/>
  <c r="H331" i="5"/>
  <c r="K16" i="5"/>
  <c r="V514" i="5"/>
  <c r="AI514" i="5"/>
  <c r="AE512" i="5"/>
  <c r="R512" i="5"/>
  <c r="AK508" i="5"/>
  <c r="X508" i="5"/>
  <c r="AI498" i="5"/>
  <c r="V498" i="5"/>
  <c r="I498" i="5"/>
  <c r="X477" i="5"/>
  <c r="K477" i="5"/>
  <c r="AK477" i="5"/>
  <c r="AE475" i="5"/>
  <c r="R475" i="5"/>
  <c r="AI466" i="5"/>
  <c r="V466" i="5"/>
  <c r="AE464" i="5"/>
  <c r="R464" i="5"/>
  <c r="AK461" i="5"/>
  <c r="X461" i="5"/>
  <c r="R453" i="5"/>
  <c r="AE453" i="5"/>
  <c r="E453" i="5"/>
  <c r="V450" i="5"/>
  <c r="AI450" i="5"/>
  <c r="AH448" i="5"/>
  <c r="U448" i="5"/>
  <c r="AE438" i="5"/>
  <c r="R438" i="5"/>
  <c r="R436" i="5"/>
  <c r="AE436" i="5"/>
  <c r="AK429" i="5"/>
  <c r="X429" i="5"/>
  <c r="K429" i="5"/>
  <c r="AE427" i="5"/>
  <c r="R427" i="5"/>
  <c r="AI418" i="5"/>
  <c r="V418" i="5"/>
  <c r="AE416" i="5"/>
  <c r="R416" i="5"/>
  <c r="AK413" i="5"/>
  <c r="X413" i="5"/>
  <c r="K413" i="5"/>
  <c r="AL403" i="5"/>
  <c r="Y403" i="5"/>
  <c r="L403" i="5"/>
  <c r="AH400" i="5"/>
  <c r="H400" i="5"/>
  <c r="AE389" i="5"/>
  <c r="R389" i="5"/>
  <c r="AK382" i="5"/>
  <c r="X382" i="5"/>
  <c r="AL370" i="5"/>
  <c r="L370" i="5"/>
  <c r="AK357" i="5"/>
  <c r="K357" i="5"/>
  <c r="Q342" i="5"/>
  <c r="AD342" i="5"/>
  <c r="D342" i="5"/>
  <c r="AJ329" i="5"/>
  <c r="W329" i="5"/>
  <c r="J329" i="5"/>
  <c r="AM308" i="5"/>
  <c r="Z308" i="5"/>
  <c r="T293" i="5"/>
  <c r="AG293" i="5"/>
  <c r="G293" i="5"/>
  <c r="AI273" i="5"/>
  <c r="V273" i="5"/>
  <c r="AO246" i="5"/>
  <c r="AB246" i="5"/>
  <c r="AG232" i="5"/>
  <c r="T232" i="5"/>
  <c r="G232" i="5"/>
  <c r="N224" i="5"/>
  <c r="AA224" i="5"/>
  <c r="AN224" i="5"/>
  <c r="N214" i="5"/>
  <c r="AA214" i="5"/>
  <c r="AN214" i="5"/>
  <c r="AH208" i="5"/>
  <c r="U208" i="5"/>
  <c r="H208" i="5"/>
  <c r="AG201" i="5"/>
  <c r="T201" i="5"/>
  <c r="AJ174" i="5"/>
  <c r="J174" i="5"/>
  <c r="W174" i="5"/>
  <c r="AN160" i="5"/>
  <c r="N160" i="5"/>
  <c r="AM153" i="5"/>
  <c r="Z153" i="5"/>
  <c r="H141" i="5"/>
  <c r="AH141" i="5"/>
  <c r="N128" i="5"/>
  <c r="AA128" i="5"/>
  <c r="N118" i="5"/>
  <c r="AA118" i="5"/>
  <c r="AN118" i="5"/>
  <c r="AH113" i="5"/>
  <c r="H113" i="5"/>
  <c r="U113" i="5"/>
  <c r="S102" i="5"/>
  <c r="AF102" i="5"/>
  <c r="K92" i="5"/>
  <c r="X92" i="5"/>
  <c r="AK92" i="5"/>
  <c r="AH81" i="5"/>
  <c r="H81" i="5"/>
  <c r="U81" i="5"/>
  <c r="AJ78" i="5"/>
  <c r="W78" i="5"/>
  <c r="AH76" i="5"/>
  <c r="U76" i="5"/>
  <c r="AD69" i="5"/>
  <c r="D69" i="5"/>
  <c r="W67" i="5"/>
  <c r="AJ67" i="5"/>
  <c r="J67" i="5"/>
  <c r="N65" i="5"/>
  <c r="AN65" i="5"/>
  <c r="AA65" i="5"/>
  <c r="AN64" i="5"/>
  <c r="N64" i="5"/>
  <c r="AM57" i="5"/>
  <c r="Z57" i="5"/>
  <c r="M57" i="5"/>
  <c r="AI56" i="5"/>
  <c r="I56" i="5"/>
  <c r="AO54" i="5"/>
  <c r="O54" i="5"/>
  <c r="AK53" i="5"/>
  <c r="X53" i="5"/>
  <c r="K53" i="5"/>
  <c r="AK52" i="5"/>
  <c r="X52" i="5"/>
  <c r="AJ46" i="5"/>
  <c r="W46" i="5"/>
  <c r="AH45" i="5"/>
  <c r="H45" i="5"/>
  <c r="U45" i="5"/>
  <c r="AO43" i="5"/>
  <c r="AB43" i="5"/>
  <c r="AH42" i="5"/>
  <c r="U42" i="5"/>
  <c r="H42" i="5"/>
  <c r="AG41" i="5"/>
  <c r="T41" i="5"/>
  <c r="G41" i="5"/>
  <c r="AG40" i="5"/>
  <c r="T40" i="5"/>
  <c r="AA33" i="5"/>
  <c r="N33" i="5"/>
  <c r="AN32" i="5"/>
  <c r="N32" i="5"/>
  <c r="AA32" i="5"/>
  <c r="AI31" i="5"/>
  <c r="V31" i="5"/>
  <c r="N22" i="5"/>
  <c r="AN22" i="5"/>
  <c r="AA22" i="5"/>
  <c r="S20" i="5"/>
  <c r="AF20" i="5"/>
  <c r="AL18" i="5"/>
  <c r="L18" i="5"/>
  <c r="Y18" i="5"/>
  <c r="AH17" i="5"/>
  <c r="H17" i="5"/>
  <c r="AH16" i="5"/>
  <c r="U16" i="5"/>
  <c r="AH10" i="5"/>
  <c r="H10" i="5"/>
  <c r="U10" i="5"/>
  <c r="M7" i="5"/>
  <c r="Z7" i="5"/>
  <c r="S6" i="5"/>
  <c r="AF6" i="5"/>
  <c r="F6" i="5"/>
  <c r="E475" i="5"/>
  <c r="J417" i="5"/>
  <c r="K328" i="5"/>
  <c r="F285" i="5"/>
  <c r="G236" i="5"/>
  <c r="J127" i="5"/>
  <c r="J81" i="5"/>
  <c r="I76" i="5"/>
  <c r="K45" i="5"/>
  <c r="M21" i="5"/>
  <c r="D8" i="5"/>
  <c r="V443" i="5"/>
  <c r="AA274" i="5"/>
  <c r="Q153" i="5"/>
  <c r="W127" i="5"/>
  <c r="AA89" i="5"/>
  <c r="AA84" i="5"/>
  <c r="X46" i="5"/>
  <c r="AL508" i="5"/>
  <c r="AI487" i="5"/>
  <c r="AK400" i="5"/>
  <c r="AG513" i="5"/>
  <c r="T513" i="5"/>
  <c r="AK510" i="5"/>
  <c r="X510" i="5"/>
  <c r="K510" i="5"/>
  <c r="AK499" i="5"/>
  <c r="X499" i="5"/>
  <c r="K499" i="5"/>
  <c r="AG497" i="5"/>
  <c r="T497" i="5"/>
  <c r="Q485" i="5"/>
  <c r="AD485" i="5"/>
  <c r="D485" i="5"/>
  <c r="AJ477" i="5"/>
  <c r="W477" i="5"/>
  <c r="Q475" i="5"/>
  <c r="AD475" i="5"/>
  <c r="AJ461" i="5"/>
  <c r="W461" i="5"/>
  <c r="J461" i="5"/>
  <c r="Q453" i="5"/>
  <c r="AD453" i="5"/>
  <c r="AK451" i="5"/>
  <c r="X451" i="5"/>
  <c r="AG449" i="5"/>
  <c r="G449" i="5"/>
  <c r="AH439" i="5"/>
  <c r="U439" i="5"/>
  <c r="Q438" i="5"/>
  <c r="AD438" i="5"/>
  <c r="Q436" i="5"/>
  <c r="AD436" i="5"/>
  <c r="D436" i="5"/>
  <c r="AJ429" i="5"/>
  <c r="W429" i="5"/>
  <c r="Q427" i="5"/>
  <c r="AD427" i="5"/>
  <c r="AH418" i="5"/>
  <c r="U418" i="5"/>
  <c r="H418" i="5"/>
  <c r="AK414" i="5"/>
  <c r="X414" i="5"/>
  <c r="K414" i="5"/>
  <c r="AJ413" i="5"/>
  <c r="W413" i="5"/>
  <c r="J413" i="5"/>
  <c r="Q406" i="5"/>
  <c r="D406" i="5"/>
  <c r="AG400" i="5"/>
  <c r="T400" i="5"/>
  <c r="G400" i="5"/>
  <c r="Q388" i="5"/>
  <c r="D388" i="5"/>
  <c r="AJ378" i="5"/>
  <c r="W378" i="5"/>
  <c r="J378" i="5"/>
  <c r="Q317" i="5"/>
  <c r="AD317" i="5"/>
  <c r="D317" i="5"/>
  <c r="AN309" i="5"/>
  <c r="N309" i="5"/>
  <c r="AA309" i="5"/>
  <c r="F292" i="5"/>
  <c r="AF292" i="5"/>
  <c r="S292" i="5"/>
  <c r="AN285" i="5"/>
  <c r="N285" i="5"/>
  <c r="AA285" i="5"/>
  <c r="AL274" i="5"/>
  <c r="L274" i="5"/>
  <c r="Y274" i="5"/>
  <c r="AI270" i="5"/>
  <c r="V270" i="5"/>
  <c r="I270" i="5"/>
  <c r="AI259" i="5"/>
  <c r="I259" i="5"/>
  <c r="V259" i="5"/>
  <c r="AJ244" i="5"/>
  <c r="W244" i="5"/>
  <c r="V238" i="5"/>
  <c r="AI238" i="5"/>
  <c r="I238" i="5"/>
  <c r="Y199" i="5"/>
  <c r="AL199" i="5"/>
  <c r="L199" i="5"/>
  <c r="AG177" i="5"/>
  <c r="T177" i="5"/>
  <c r="G177" i="5"/>
  <c r="AG173" i="5"/>
  <c r="G173" i="5"/>
  <c r="T173" i="5"/>
  <c r="AB165" i="5"/>
  <c r="AO165" i="5"/>
  <c r="AI163" i="5"/>
  <c r="V163" i="5"/>
  <c r="Z161" i="5"/>
  <c r="AM161" i="5"/>
  <c r="M161" i="5"/>
  <c r="AB154" i="5"/>
  <c r="AO154" i="5"/>
  <c r="O154" i="5"/>
  <c r="AN150" i="5"/>
  <c r="N150" i="5"/>
  <c r="AA150" i="5"/>
  <c r="AK139" i="5"/>
  <c r="X139" i="5"/>
  <c r="K139" i="5"/>
  <c r="AM129" i="5"/>
  <c r="Z129" i="5"/>
  <c r="AG112" i="5"/>
  <c r="T112" i="5"/>
  <c r="AG106" i="5"/>
  <c r="T106" i="5"/>
  <c r="G106" i="5"/>
  <c r="AF105" i="5"/>
  <c r="S105" i="5"/>
  <c r="F105" i="5"/>
  <c r="AD102" i="5"/>
  <c r="Q102" i="5"/>
  <c r="AD100" i="5"/>
  <c r="D100" i="5"/>
  <c r="X82" i="5"/>
  <c r="AK82" i="5"/>
  <c r="AG77" i="5"/>
  <c r="T77" i="5"/>
  <c r="G77" i="5"/>
  <c r="V67" i="5"/>
  <c r="I67" i="5"/>
  <c r="AI67" i="5"/>
  <c r="Z65" i="5"/>
  <c r="AM65" i="5"/>
  <c r="M65" i="5"/>
  <c r="AB58" i="5"/>
  <c r="AO58" i="5"/>
  <c r="O58" i="5"/>
  <c r="AN54" i="5"/>
  <c r="N54" i="5"/>
  <c r="AA54" i="5"/>
  <c r="AJ52" i="5"/>
  <c r="W52" i="5"/>
  <c r="AI46" i="5"/>
  <c r="I46" i="5"/>
  <c r="V46" i="5"/>
  <c r="AG45" i="5"/>
  <c r="T45" i="5"/>
  <c r="AK43" i="5"/>
  <c r="X43" i="5"/>
  <c r="K43" i="5"/>
  <c r="AG42" i="5"/>
  <c r="T42" i="5"/>
  <c r="S41" i="5"/>
  <c r="F41" i="5"/>
  <c r="AF41" i="5"/>
  <c r="AF40" i="5"/>
  <c r="S40" i="5"/>
  <c r="F40" i="5"/>
  <c r="AG31" i="5"/>
  <c r="T31" i="5"/>
  <c r="G31" i="5"/>
  <c r="AL22" i="5"/>
  <c r="Y22" i="5"/>
  <c r="X18" i="5"/>
  <c r="AK18" i="5"/>
  <c r="K18" i="5"/>
  <c r="AG17" i="5"/>
  <c r="G17" i="5"/>
  <c r="AG16" i="5"/>
  <c r="T16" i="5"/>
  <c r="AG10" i="5"/>
  <c r="G10" i="5"/>
  <c r="T10" i="5"/>
  <c r="AF9" i="5"/>
  <c r="S9" i="5"/>
  <c r="F9" i="5"/>
  <c r="Y7" i="5"/>
  <c r="AL7" i="5"/>
  <c r="AD6" i="5"/>
  <c r="Q6" i="5"/>
  <c r="AD5" i="5"/>
  <c r="D5" i="5"/>
  <c r="Q5" i="5"/>
  <c r="Q4" i="5"/>
  <c r="AD4" i="5"/>
  <c r="D4" i="5"/>
  <c r="G512" i="5"/>
  <c r="D427" i="5"/>
  <c r="G272" i="5"/>
  <c r="I202" i="5"/>
  <c r="K149" i="5"/>
  <c r="G81" i="5"/>
  <c r="J78" i="5"/>
  <c r="H76" i="5"/>
  <c r="M67" i="5"/>
  <c r="D57" i="5"/>
  <c r="J45" i="5"/>
  <c r="K21" i="5"/>
  <c r="D19" i="5"/>
  <c r="H16" i="5"/>
  <c r="O7" i="5"/>
  <c r="V56" i="5"/>
  <c r="Q8" i="5"/>
  <c r="AM149" i="5"/>
  <c r="AJ21" i="5"/>
  <c r="AJ510" i="5"/>
  <c r="W510" i="5"/>
  <c r="J510" i="5"/>
  <c r="AI508" i="5"/>
  <c r="V508" i="5"/>
  <c r="I508" i="5"/>
  <c r="AO474" i="5"/>
  <c r="AB474" i="5"/>
  <c r="Y472" i="5"/>
  <c r="AL472" i="5"/>
  <c r="AL441" i="5"/>
  <c r="Y441" i="5"/>
  <c r="AO436" i="5"/>
  <c r="O436" i="5"/>
  <c r="AL424" i="5"/>
  <c r="L424" i="5"/>
  <c r="AI413" i="5"/>
  <c r="I413" i="5"/>
  <c r="V413" i="5"/>
  <c r="AG381" i="5"/>
  <c r="G381" i="5"/>
  <c r="AJ370" i="5"/>
  <c r="W370" i="5"/>
  <c r="J370" i="5"/>
  <c r="AH365" i="5"/>
  <c r="U365" i="5"/>
  <c r="AL358" i="5"/>
  <c r="L358" i="5"/>
  <c r="Y358" i="5"/>
  <c r="AG352" i="5"/>
  <c r="T352" i="5"/>
  <c r="G352" i="5"/>
  <c r="AG322" i="5"/>
  <c r="T322" i="5"/>
  <c r="G322" i="5"/>
  <c r="AJ305" i="5"/>
  <c r="W305" i="5"/>
  <c r="J305" i="5"/>
  <c r="V298" i="5"/>
  <c r="AI298" i="5"/>
  <c r="AN261" i="5"/>
  <c r="AA261" i="5"/>
  <c r="N261" i="5"/>
  <c r="U238" i="5"/>
  <c r="AH238" i="5"/>
  <c r="H238" i="5"/>
  <c r="AL221" i="5"/>
  <c r="L221" i="5"/>
  <c r="Y221" i="5"/>
  <c r="X214" i="5"/>
  <c r="K214" i="5"/>
  <c r="AK214" i="5"/>
  <c r="AO196" i="5"/>
  <c r="AB196" i="5"/>
  <c r="O196" i="5"/>
  <c r="S138" i="5"/>
  <c r="F138" i="5"/>
  <c r="AF138" i="5"/>
  <c r="AL125" i="5"/>
  <c r="Y125" i="5"/>
  <c r="L125" i="5"/>
  <c r="S106" i="5"/>
  <c r="AF106" i="5"/>
  <c r="F106" i="5"/>
  <c r="AO100" i="5"/>
  <c r="O100" i="5"/>
  <c r="AB100" i="5"/>
  <c r="AH78" i="5"/>
  <c r="U78" i="5"/>
  <c r="H78" i="5"/>
  <c r="AL65" i="5"/>
  <c r="Y65" i="5"/>
  <c r="L65" i="5"/>
  <c r="AH46" i="5"/>
  <c r="U46" i="5"/>
  <c r="H46" i="5"/>
  <c r="AL29" i="5"/>
  <c r="Y29" i="5"/>
  <c r="L29" i="5"/>
  <c r="AL28" i="5"/>
  <c r="Y28" i="5"/>
  <c r="AK22" i="5"/>
  <c r="K22" i="5"/>
  <c r="AI18" i="5"/>
  <c r="V18" i="5"/>
  <c r="I18" i="5"/>
  <c r="AF10" i="5"/>
  <c r="S10" i="5"/>
  <c r="F10" i="5"/>
  <c r="AO5" i="5"/>
  <c r="AB5" i="5"/>
  <c r="AO4" i="5"/>
  <c r="O4" i="5"/>
  <c r="AI370" i="5"/>
  <c r="I370" i="5"/>
  <c r="V370" i="5"/>
  <c r="Q514" i="5"/>
  <c r="AD514" i="5"/>
  <c r="Q513" i="5"/>
  <c r="AD513" i="5"/>
  <c r="AH510" i="5"/>
  <c r="U510" i="5"/>
  <c r="AG509" i="5"/>
  <c r="T509" i="5"/>
  <c r="AG508" i="5"/>
  <c r="G508" i="5"/>
  <c r="Q498" i="5"/>
  <c r="AD498" i="5"/>
  <c r="Q497" i="5"/>
  <c r="AD497" i="5"/>
  <c r="Q496" i="5"/>
  <c r="AD496" i="5"/>
  <c r="AJ489" i="5"/>
  <c r="J489" i="5"/>
  <c r="AK474" i="5"/>
  <c r="X474" i="5"/>
  <c r="K474" i="5"/>
  <c r="AJ473" i="5"/>
  <c r="W473" i="5"/>
  <c r="AJ472" i="5"/>
  <c r="W472" i="5"/>
  <c r="Q466" i="5"/>
  <c r="AD466" i="5"/>
  <c r="D466" i="5"/>
  <c r="Q465" i="5"/>
  <c r="AD465" i="5"/>
  <c r="H462" i="5"/>
  <c r="U462" i="5"/>
  <c r="G461" i="5"/>
  <c r="AG461" i="5"/>
  <c r="T461" i="5"/>
  <c r="Q450" i="5"/>
  <c r="AD450" i="5"/>
  <c r="D450" i="5"/>
  <c r="Q448" i="5"/>
  <c r="AD448" i="5"/>
  <c r="AK442" i="5"/>
  <c r="X442" i="5"/>
  <c r="K442" i="5"/>
  <c r="AG429" i="5"/>
  <c r="T429" i="5"/>
  <c r="G429" i="5"/>
  <c r="AK426" i="5"/>
  <c r="X426" i="5"/>
  <c r="AJ425" i="5"/>
  <c r="W425" i="5"/>
  <c r="W424" i="5"/>
  <c r="AJ424" i="5"/>
  <c r="J424" i="5"/>
  <c r="Q418" i="5"/>
  <c r="AD418" i="5"/>
  <c r="D418" i="5"/>
  <c r="Q417" i="5"/>
  <c r="AD417" i="5"/>
  <c r="D417" i="5"/>
  <c r="H414" i="5"/>
  <c r="U414" i="5"/>
  <c r="AH414" i="5"/>
  <c r="AG412" i="5"/>
  <c r="T412" i="5"/>
  <c r="G412" i="5"/>
  <c r="Q402" i="5"/>
  <c r="AD402" i="5"/>
  <c r="AD401" i="5"/>
  <c r="Q401" i="5"/>
  <c r="Q400" i="5"/>
  <c r="AD400" i="5"/>
  <c r="X394" i="5"/>
  <c r="AK394" i="5"/>
  <c r="AJ393" i="5"/>
  <c r="J393" i="5"/>
  <c r="AG382" i="5"/>
  <c r="T382" i="5"/>
  <c r="Q381" i="5"/>
  <c r="AD381" i="5"/>
  <c r="Q378" i="5"/>
  <c r="AD378" i="5"/>
  <c r="Q377" i="5"/>
  <c r="AD377" i="5"/>
  <c r="D377" i="5"/>
  <c r="AD376" i="5"/>
  <c r="Q376" i="5"/>
  <c r="AH370" i="5"/>
  <c r="H370" i="5"/>
  <c r="U370" i="5"/>
  <c r="AG366" i="5"/>
  <c r="T366" i="5"/>
  <c r="AF365" i="5"/>
  <c r="S365" i="5"/>
  <c r="AF364" i="5"/>
  <c r="F364" i="5"/>
  <c r="S364" i="5"/>
  <c r="AJ358" i="5"/>
  <c r="J358" i="5"/>
  <c r="T357" i="5"/>
  <c r="AG357" i="5"/>
  <c r="T354" i="5"/>
  <c r="AG354" i="5"/>
  <c r="G354" i="5"/>
  <c r="AM345" i="5"/>
  <c r="Z345" i="5"/>
  <c r="Y341" i="5"/>
  <c r="AL341" i="5"/>
  <c r="AL340" i="5"/>
  <c r="L340" i="5"/>
  <c r="Y340" i="5"/>
  <c r="X334" i="5"/>
  <c r="AK334" i="5"/>
  <c r="K334" i="5"/>
  <c r="H330" i="5"/>
  <c r="AH330" i="5"/>
  <c r="U330" i="5"/>
  <c r="AF329" i="5"/>
  <c r="S329" i="5"/>
  <c r="F328" i="5"/>
  <c r="AF328" i="5"/>
  <c r="S328" i="5"/>
  <c r="Q322" i="5"/>
  <c r="AD322" i="5"/>
  <c r="Z316" i="5"/>
  <c r="AM316" i="5"/>
  <c r="M316" i="5"/>
  <c r="AO310" i="5"/>
  <c r="AB310" i="5"/>
  <c r="AK306" i="5"/>
  <c r="X306" i="5"/>
  <c r="K306" i="5"/>
  <c r="AF298" i="5"/>
  <c r="F298" i="5"/>
  <c r="S298" i="5"/>
  <c r="Q297" i="5"/>
  <c r="AD297" i="5"/>
  <c r="AO293" i="5"/>
  <c r="AB293" i="5"/>
  <c r="O293" i="5"/>
  <c r="N286" i="5"/>
  <c r="AA286" i="5"/>
  <c r="AN286" i="5"/>
  <c r="AK285" i="5"/>
  <c r="K285" i="5"/>
  <c r="AK282" i="5"/>
  <c r="X282" i="5"/>
  <c r="K282" i="5"/>
  <c r="AI281" i="5"/>
  <c r="V281" i="5"/>
  <c r="I281" i="5"/>
  <c r="V280" i="5"/>
  <c r="AI280" i="5"/>
  <c r="Q270" i="5"/>
  <c r="D270" i="5"/>
  <c r="Q269" i="5"/>
  <c r="AD269" i="5"/>
  <c r="Q268" i="5"/>
  <c r="AD268" i="5"/>
  <c r="N258" i="5"/>
  <c r="AN258" i="5"/>
  <c r="AA258" i="5"/>
  <c r="AJ257" i="5"/>
  <c r="W257" i="5"/>
  <c r="J257" i="5"/>
  <c r="AJ256" i="5"/>
  <c r="W256" i="5"/>
  <c r="J256" i="5"/>
  <c r="V249" i="5"/>
  <c r="AI249" i="5"/>
  <c r="I249" i="5"/>
  <c r="AD238" i="5"/>
  <c r="Q238" i="5"/>
  <c r="Q237" i="5"/>
  <c r="AD237" i="5"/>
  <c r="D237" i="5"/>
  <c r="N226" i="5"/>
  <c r="AN226" i="5"/>
  <c r="AL222" i="5"/>
  <c r="Y222" i="5"/>
  <c r="L222" i="5"/>
  <c r="AJ221" i="5"/>
  <c r="W221" i="5"/>
  <c r="J221" i="5"/>
  <c r="W220" i="5"/>
  <c r="J220" i="5"/>
  <c r="AG214" i="5"/>
  <c r="T214" i="5"/>
  <c r="S213" i="5"/>
  <c r="AF213" i="5"/>
  <c r="F213" i="5"/>
  <c r="AM197" i="5"/>
  <c r="Z197" i="5"/>
  <c r="M197" i="5"/>
  <c r="AM196" i="5"/>
  <c r="Z196" i="5"/>
  <c r="AL190" i="5"/>
  <c r="Y190" i="5"/>
  <c r="AJ189" i="5"/>
  <c r="W189" i="5"/>
  <c r="AJ186" i="5"/>
  <c r="W186" i="5"/>
  <c r="AI185" i="5"/>
  <c r="V185" i="5"/>
  <c r="V184" i="5"/>
  <c r="AI184" i="5"/>
  <c r="D173" i="5"/>
  <c r="AD173" i="5"/>
  <c r="Q173" i="5"/>
  <c r="AD172" i="5"/>
  <c r="Q172" i="5"/>
  <c r="N162" i="5"/>
  <c r="AN162" i="5"/>
  <c r="AA162" i="5"/>
  <c r="W161" i="5"/>
  <c r="AJ161" i="5"/>
  <c r="J161" i="5"/>
  <c r="W160" i="5"/>
  <c r="AJ160" i="5"/>
  <c r="AJ154" i="5"/>
  <c r="W154" i="5"/>
  <c r="J154" i="5"/>
  <c r="V153" i="5"/>
  <c r="AI153" i="5"/>
  <c r="I153" i="5"/>
  <c r="AD142" i="5"/>
  <c r="D142" i="5"/>
  <c r="AD141" i="5"/>
  <c r="Q141" i="5"/>
  <c r="N130" i="5"/>
  <c r="AN130" i="5"/>
  <c r="AA130" i="5"/>
  <c r="AJ129" i="5"/>
  <c r="W129" i="5"/>
  <c r="J129" i="5"/>
  <c r="AL126" i="5"/>
  <c r="Y126" i="5"/>
  <c r="L126" i="5"/>
  <c r="W125" i="5"/>
  <c r="AJ125" i="5"/>
  <c r="J125" i="5"/>
  <c r="AJ124" i="5"/>
  <c r="W124" i="5"/>
  <c r="AG118" i="5"/>
  <c r="G118" i="5"/>
  <c r="T118" i="5"/>
  <c r="S117" i="5"/>
  <c r="AF117" i="5"/>
  <c r="F117" i="5"/>
  <c r="AM101" i="5"/>
  <c r="Z101" i="5"/>
  <c r="M101" i="5"/>
  <c r="AM100" i="5"/>
  <c r="Z100" i="5"/>
  <c r="AL94" i="5"/>
  <c r="L94" i="5"/>
  <c r="AJ93" i="5"/>
  <c r="J93" i="5"/>
  <c r="W93" i="5"/>
  <c r="AJ90" i="5"/>
  <c r="J90" i="5"/>
  <c r="AI89" i="5"/>
  <c r="V89" i="5"/>
  <c r="V88" i="5"/>
  <c r="AI88" i="5"/>
  <c r="AD78" i="5"/>
  <c r="D78" i="5"/>
  <c r="Q78" i="5"/>
  <c r="D77" i="5"/>
  <c r="AD77" i="5"/>
  <c r="Q77" i="5"/>
  <c r="Q76" i="5"/>
  <c r="AD76" i="5"/>
  <c r="AN66" i="5"/>
  <c r="N66" i="5"/>
  <c r="AA66" i="5"/>
  <c r="AJ65" i="5"/>
  <c r="W65" i="5"/>
  <c r="AJ64" i="5"/>
  <c r="W64" i="5"/>
  <c r="J64" i="5"/>
  <c r="AI57" i="5"/>
  <c r="V57" i="5"/>
  <c r="AD46" i="5"/>
  <c r="D46" i="5"/>
  <c r="Q46" i="5"/>
  <c r="AD45" i="5"/>
  <c r="Q45" i="5"/>
  <c r="AN34" i="5"/>
  <c r="N34" i="5"/>
  <c r="AA34" i="5"/>
  <c r="AJ33" i="5"/>
  <c r="W33" i="5"/>
  <c r="Y30" i="5"/>
  <c r="AL30" i="5"/>
  <c r="L30" i="5"/>
  <c r="AJ29" i="5"/>
  <c r="W29" i="5"/>
  <c r="J29" i="5"/>
  <c r="AJ28" i="5"/>
  <c r="W28" i="5"/>
  <c r="AG22" i="5"/>
  <c r="G22" i="5"/>
  <c r="T22" i="5"/>
  <c r="AF21" i="5"/>
  <c r="S21" i="5"/>
  <c r="F21" i="5"/>
  <c r="AM5" i="5"/>
  <c r="Z5" i="5"/>
  <c r="M5" i="5"/>
  <c r="AM4" i="5"/>
  <c r="Z4" i="5"/>
  <c r="M4" i="5"/>
  <c r="I513" i="5"/>
  <c r="K508" i="5"/>
  <c r="E502" i="5"/>
  <c r="E497" i="5"/>
  <c r="D489" i="5"/>
  <c r="L474" i="5"/>
  <c r="L472" i="5"/>
  <c r="J465" i="5"/>
  <c r="J460" i="5"/>
  <c r="G453" i="5"/>
  <c r="I449" i="5"/>
  <c r="L441" i="5"/>
  <c r="E431" i="5"/>
  <c r="J402" i="5"/>
  <c r="D400" i="5"/>
  <c r="D393" i="5"/>
  <c r="K376" i="5"/>
  <c r="F367" i="5"/>
  <c r="J353" i="5"/>
  <c r="I346" i="5"/>
  <c r="L341" i="5"/>
  <c r="M317" i="5"/>
  <c r="F307" i="5"/>
  <c r="H292" i="5"/>
  <c r="O286" i="5"/>
  <c r="K256" i="5"/>
  <c r="O250" i="5"/>
  <c r="M248" i="5"/>
  <c r="D238" i="5"/>
  <c r="D233" i="5"/>
  <c r="J209" i="5"/>
  <c r="D166" i="5"/>
  <c r="J160" i="5"/>
  <c r="H140" i="5"/>
  <c r="D105" i="5"/>
  <c r="F102" i="5"/>
  <c r="L93" i="5"/>
  <c r="D76" i="5"/>
  <c r="O69" i="5"/>
  <c r="I42" i="5"/>
  <c r="G40" i="5"/>
  <c r="T512" i="5"/>
  <c r="W508" i="5"/>
  <c r="R498" i="5"/>
  <c r="X487" i="5"/>
  <c r="W476" i="5"/>
  <c r="AB472" i="5"/>
  <c r="T465" i="5"/>
  <c r="V461" i="5"/>
  <c r="V449" i="5"/>
  <c r="T438" i="5"/>
  <c r="Y430" i="5"/>
  <c r="T416" i="5"/>
  <c r="W412" i="5"/>
  <c r="U401" i="5"/>
  <c r="AB389" i="5"/>
  <c r="AA378" i="5"/>
  <c r="Z370" i="5"/>
  <c r="Z366" i="5"/>
  <c r="X357" i="5"/>
  <c r="T353" i="5"/>
  <c r="AA322" i="5"/>
  <c r="Z317" i="5"/>
  <c r="X304" i="5"/>
  <c r="S296" i="5"/>
  <c r="W225" i="5"/>
  <c r="Y188" i="5"/>
  <c r="T151" i="5"/>
  <c r="X125" i="5"/>
  <c r="Z114" i="5"/>
  <c r="AA82" i="5"/>
  <c r="U66" i="5"/>
  <c r="X33" i="5"/>
  <c r="U17" i="5"/>
  <c r="AH462" i="5"/>
  <c r="AG413" i="5"/>
  <c r="AO405" i="5"/>
  <c r="AM305" i="5"/>
  <c r="AN248" i="5"/>
  <c r="AG172" i="5"/>
  <c r="AD94" i="5"/>
  <c r="AI77" i="5"/>
  <c r="AL16" i="5"/>
  <c r="Y322" i="5"/>
  <c r="AB268" i="5"/>
  <c r="W150" i="5"/>
  <c r="AB124" i="5"/>
  <c r="W6" i="5"/>
  <c r="AE358" i="5"/>
  <c r="R358" i="5"/>
  <c r="AE334" i="5"/>
  <c r="E334" i="5"/>
  <c r="AE310" i="5"/>
  <c r="R310" i="5"/>
  <c r="AE286" i="5"/>
  <c r="E286" i="5"/>
  <c r="AE274" i="5"/>
  <c r="R274" i="5"/>
  <c r="E274" i="5"/>
  <c r="R262" i="5"/>
  <c r="AE262" i="5"/>
  <c r="R250" i="5"/>
  <c r="AE250" i="5"/>
  <c r="AE238" i="5"/>
  <c r="R238" i="5"/>
  <c r="R214" i="5"/>
  <c r="AE214" i="5"/>
  <c r="R190" i="5"/>
  <c r="E190" i="5"/>
  <c r="AE178" i="5"/>
  <c r="R178" i="5"/>
  <c r="AE166" i="5"/>
  <c r="E166" i="5"/>
  <c r="R166" i="5"/>
  <c r="AE154" i="5"/>
  <c r="E154" i="5"/>
  <c r="AE142" i="5"/>
  <c r="R142" i="5"/>
  <c r="AE118" i="5"/>
  <c r="R118" i="5"/>
  <c r="AE106" i="5"/>
  <c r="R106" i="5"/>
  <c r="E106" i="5"/>
  <c r="R94" i="5"/>
  <c r="AE94" i="5"/>
  <c r="AE82" i="5"/>
  <c r="R82" i="5"/>
  <c r="AE70" i="5"/>
  <c r="R70" i="5"/>
  <c r="AE58" i="5"/>
  <c r="R58" i="5"/>
  <c r="E58" i="5"/>
  <c r="AE46" i="5"/>
  <c r="R46" i="5"/>
  <c r="AE22" i="5"/>
  <c r="E22" i="5"/>
  <c r="R22" i="5"/>
  <c r="AE10" i="5"/>
  <c r="R10" i="5"/>
  <c r="AF509" i="5"/>
  <c r="S509" i="5"/>
  <c r="AF496" i="5"/>
  <c r="S496" i="5"/>
  <c r="AF484" i="5"/>
  <c r="S484" i="5"/>
  <c r="F484" i="5"/>
  <c r="AF472" i="5"/>
  <c r="F472" i="5"/>
  <c r="AF465" i="5"/>
  <c r="S465" i="5"/>
  <c r="AF460" i="5"/>
  <c r="F460" i="5"/>
  <c r="AF453" i="5"/>
  <c r="S453" i="5"/>
  <c r="S449" i="5"/>
  <c r="AF449" i="5"/>
  <c r="F448" i="5"/>
  <c r="AF448" i="5"/>
  <c r="S448" i="5"/>
  <c r="AF437" i="5"/>
  <c r="F437" i="5"/>
  <c r="AF436" i="5"/>
  <c r="S436" i="5"/>
  <c r="F436" i="5"/>
  <c r="AF425" i="5"/>
  <c r="S425" i="5"/>
  <c r="F425" i="5"/>
  <c r="F424" i="5"/>
  <c r="AF424" i="5"/>
  <c r="S424" i="5"/>
  <c r="AF412" i="5"/>
  <c r="F412" i="5"/>
  <c r="AF400" i="5"/>
  <c r="F400" i="5"/>
  <c r="S388" i="5"/>
  <c r="F388" i="5"/>
  <c r="AF388" i="5"/>
  <c r="Y377" i="5"/>
  <c r="L377" i="5"/>
  <c r="AL376" i="5"/>
  <c r="Y376" i="5"/>
  <c r="AF369" i="5"/>
  <c r="S369" i="5"/>
  <c r="N365" i="5"/>
  <c r="AA365" i="5"/>
  <c r="U357" i="5"/>
  <c r="H357" i="5"/>
  <c r="Q353" i="5"/>
  <c r="AD353" i="5"/>
  <c r="Q352" i="5"/>
  <c r="AD352" i="5"/>
  <c r="AJ345" i="5"/>
  <c r="J345" i="5"/>
  <c r="W345" i="5"/>
  <c r="AF341" i="5"/>
  <c r="F341" i="5"/>
  <c r="F340" i="5"/>
  <c r="AF340" i="5"/>
  <c r="AH329" i="5"/>
  <c r="H329" i="5"/>
  <c r="AH328" i="5"/>
  <c r="U328" i="5"/>
  <c r="AN321" i="5"/>
  <c r="N321" i="5"/>
  <c r="AA321" i="5"/>
  <c r="AJ317" i="5"/>
  <c r="W317" i="5"/>
  <c r="AJ316" i="5"/>
  <c r="W316" i="5"/>
  <c r="AL305" i="5"/>
  <c r="Y305" i="5"/>
  <c r="S297" i="5"/>
  <c r="F297" i="5"/>
  <c r="N293" i="5"/>
  <c r="AN293" i="5"/>
  <c r="N292" i="5"/>
  <c r="AN292" i="5"/>
  <c r="AA292" i="5"/>
  <c r="U285" i="5"/>
  <c r="AH285" i="5"/>
  <c r="Q281" i="5"/>
  <c r="AD281" i="5"/>
  <c r="Q280" i="5"/>
  <c r="AD280" i="5"/>
  <c r="D280" i="5"/>
  <c r="Y261" i="5"/>
  <c r="AL261" i="5"/>
  <c r="AI257" i="5"/>
  <c r="I257" i="5"/>
  <c r="V256" i="5"/>
  <c r="AI256" i="5"/>
  <c r="AO249" i="5"/>
  <c r="AB249" i="5"/>
  <c r="S237" i="5"/>
  <c r="AF237" i="5"/>
  <c r="F237" i="5"/>
  <c r="AO232" i="5"/>
  <c r="AB232" i="5"/>
  <c r="O232" i="5"/>
  <c r="S221" i="5"/>
  <c r="AF221" i="5"/>
  <c r="AF220" i="5"/>
  <c r="S220" i="5"/>
  <c r="F220" i="5"/>
  <c r="Y213" i="5"/>
  <c r="AL213" i="5"/>
  <c r="V209" i="5"/>
  <c r="AI209" i="5"/>
  <c r="AI208" i="5"/>
  <c r="V208" i="5"/>
  <c r="AB201" i="5"/>
  <c r="AO201" i="5"/>
  <c r="Y197" i="5"/>
  <c r="AL197" i="5"/>
  <c r="L197" i="5"/>
  <c r="S189" i="5"/>
  <c r="AF189" i="5"/>
  <c r="F189" i="5"/>
  <c r="AO184" i="5"/>
  <c r="AB184" i="5"/>
  <c r="S173" i="5"/>
  <c r="AF173" i="5"/>
  <c r="F173" i="5"/>
  <c r="S172" i="5"/>
  <c r="AF172" i="5"/>
  <c r="AL165" i="5"/>
  <c r="Y165" i="5"/>
  <c r="I161" i="5"/>
  <c r="V161" i="5"/>
  <c r="AB153" i="5"/>
  <c r="AO153" i="5"/>
  <c r="AL149" i="5"/>
  <c r="Y149" i="5"/>
  <c r="L149" i="5"/>
  <c r="AL148" i="5"/>
  <c r="Y148" i="5"/>
  <c r="S141" i="5"/>
  <c r="AF141" i="5"/>
  <c r="F141" i="5"/>
  <c r="AB137" i="5"/>
  <c r="AO137" i="5"/>
  <c r="AO136" i="5"/>
  <c r="AB136" i="5"/>
  <c r="S125" i="5"/>
  <c r="F125" i="5"/>
  <c r="Y117" i="5"/>
  <c r="AL117" i="5"/>
  <c r="AI113" i="5"/>
  <c r="V113" i="5"/>
  <c r="I113" i="5"/>
  <c r="AI112" i="5"/>
  <c r="V112" i="5"/>
  <c r="AO105" i="5"/>
  <c r="AB105" i="5"/>
  <c r="AL101" i="5"/>
  <c r="L101" i="5"/>
  <c r="AL100" i="5"/>
  <c r="Y100" i="5"/>
  <c r="AO89" i="5"/>
  <c r="O89" i="5"/>
  <c r="AB89" i="5"/>
  <c r="AB88" i="5"/>
  <c r="AO88" i="5"/>
  <c r="AI81" i="5"/>
  <c r="I81" i="5"/>
  <c r="S77" i="5"/>
  <c r="F77" i="5"/>
  <c r="S76" i="5"/>
  <c r="AF76" i="5"/>
  <c r="L69" i="5"/>
  <c r="AL69" i="5"/>
  <c r="Y69" i="5"/>
  <c r="AI65" i="5"/>
  <c r="I65" i="5"/>
  <c r="AI64" i="5"/>
  <c r="V64" i="5"/>
  <c r="AO57" i="5"/>
  <c r="AB57" i="5"/>
  <c r="AL53" i="5"/>
  <c r="Y53" i="5"/>
  <c r="L53" i="5"/>
  <c r="Y52" i="5"/>
  <c r="AL52" i="5"/>
  <c r="AF45" i="5"/>
  <c r="S45" i="5"/>
  <c r="AO41" i="5"/>
  <c r="O41" i="5"/>
  <c r="AB41" i="5"/>
  <c r="AO40" i="5"/>
  <c r="AB40" i="5"/>
  <c r="AI33" i="5"/>
  <c r="V33" i="5"/>
  <c r="I33" i="5"/>
  <c r="AF29" i="5"/>
  <c r="S29" i="5"/>
  <c r="S28" i="5"/>
  <c r="AF28" i="5"/>
  <c r="AI17" i="5"/>
  <c r="I17" i="5"/>
  <c r="AI16" i="5"/>
  <c r="V16" i="5"/>
  <c r="AO9" i="5"/>
  <c r="AB9" i="5"/>
  <c r="AL5" i="5"/>
  <c r="L5" i="5"/>
  <c r="AL4" i="5"/>
  <c r="Y4" i="5"/>
  <c r="N509" i="5"/>
  <c r="F449" i="5"/>
  <c r="M429" i="5"/>
  <c r="F417" i="5"/>
  <c r="F401" i="5"/>
  <c r="J317" i="5"/>
  <c r="J292" i="5"/>
  <c r="F286" i="5"/>
  <c r="J273" i="5"/>
  <c r="I256" i="5"/>
  <c r="H245" i="5"/>
  <c r="G226" i="5"/>
  <c r="L213" i="5"/>
  <c r="D209" i="5"/>
  <c r="M173" i="5"/>
  <c r="L137" i="5"/>
  <c r="D112" i="5"/>
  <c r="Z484" i="5"/>
  <c r="Z400" i="5"/>
  <c r="R378" i="5"/>
  <c r="S341" i="5"/>
  <c r="S317" i="5"/>
  <c r="W292" i="5"/>
  <c r="U245" i="5"/>
  <c r="Y101" i="5"/>
  <c r="V65" i="5"/>
  <c r="AF389" i="5"/>
  <c r="AE378" i="5"/>
  <c r="AL333" i="5"/>
  <c r="AI225" i="5"/>
  <c r="AJ54" i="5"/>
  <c r="N354" i="5"/>
  <c r="AN354" i="5"/>
  <c r="AJ334" i="5"/>
  <c r="W334" i="5"/>
  <c r="H318" i="5"/>
  <c r="AH318" i="5"/>
  <c r="U318" i="5"/>
  <c r="N310" i="5"/>
  <c r="AN310" i="5"/>
  <c r="V304" i="5"/>
  <c r="AI304" i="5"/>
  <c r="AK293" i="5"/>
  <c r="X293" i="5"/>
  <c r="K293" i="5"/>
  <c r="AM281" i="5"/>
  <c r="Z281" i="5"/>
  <c r="AI261" i="5"/>
  <c r="I261" i="5"/>
  <c r="AG258" i="5"/>
  <c r="T258" i="5"/>
  <c r="AI245" i="5"/>
  <c r="V245" i="5"/>
  <c r="AM234" i="5"/>
  <c r="Z234" i="5"/>
  <c r="M234" i="5"/>
  <c r="AL233" i="5"/>
  <c r="L233" i="5"/>
  <c r="Y232" i="5"/>
  <c r="AL232" i="5"/>
  <c r="S225" i="5"/>
  <c r="AF225" i="5"/>
  <c r="AO220" i="5"/>
  <c r="AB220" i="5"/>
  <c r="I213" i="5"/>
  <c r="V213" i="5"/>
  <c r="AG210" i="5"/>
  <c r="G210" i="5"/>
  <c r="S208" i="5"/>
  <c r="AF208" i="5"/>
  <c r="F208" i="5"/>
  <c r="AM202" i="5"/>
  <c r="M202" i="5"/>
  <c r="AJ198" i="5"/>
  <c r="W198" i="5"/>
  <c r="Z186" i="5"/>
  <c r="AM186" i="5"/>
  <c r="AO173" i="5"/>
  <c r="AB173" i="5"/>
  <c r="AO172" i="5"/>
  <c r="AB172" i="5"/>
  <c r="W166" i="5"/>
  <c r="AJ166" i="5"/>
  <c r="S161" i="5"/>
  <c r="AF161" i="5"/>
  <c r="AL153" i="5"/>
  <c r="L153" i="5"/>
  <c r="AI149" i="5"/>
  <c r="I149" i="5"/>
  <c r="AM138" i="5"/>
  <c r="Z138" i="5"/>
  <c r="AF129" i="5"/>
  <c r="S129" i="5"/>
  <c r="F129" i="5"/>
  <c r="AJ118" i="5"/>
  <c r="J118" i="5"/>
  <c r="W118" i="5"/>
  <c r="S113" i="5"/>
  <c r="AF113" i="5"/>
  <c r="AL105" i="5"/>
  <c r="L105" i="5"/>
  <c r="AJ102" i="5"/>
  <c r="W102" i="5"/>
  <c r="V100" i="5"/>
  <c r="AI100" i="5"/>
  <c r="I100" i="5"/>
  <c r="AL89" i="5"/>
  <c r="Y89" i="5"/>
  <c r="S81" i="5"/>
  <c r="AF81" i="5"/>
  <c r="AO77" i="5"/>
  <c r="AB77" i="5"/>
  <c r="S65" i="5"/>
  <c r="AF65" i="5"/>
  <c r="AM58" i="5"/>
  <c r="M58" i="5"/>
  <c r="AI52" i="5"/>
  <c r="V52" i="5"/>
  <c r="I52" i="5"/>
  <c r="L249" i="5"/>
  <c r="J166" i="5"/>
  <c r="T273" i="5"/>
  <c r="AE382" i="5"/>
  <c r="AM154" i="5"/>
  <c r="AE366" i="5"/>
  <c r="R366" i="5"/>
  <c r="AE330" i="5"/>
  <c r="R330" i="5"/>
  <c r="E330" i="5"/>
  <c r="R318" i="5"/>
  <c r="E318" i="5"/>
  <c r="R294" i="5"/>
  <c r="AE294" i="5"/>
  <c r="R258" i="5"/>
  <c r="AE258" i="5"/>
  <c r="AE246" i="5"/>
  <c r="R246" i="5"/>
  <c r="AE234" i="5"/>
  <c r="R234" i="5"/>
  <c r="E234" i="5"/>
  <c r="AE222" i="5"/>
  <c r="R222" i="5"/>
  <c r="AE210" i="5"/>
  <c r="R210" i="5"/>
  <c r="AE198" i="5"/>
  <c r="E198" i="5"/>
  <c r="R198" i="5"/>
  <c r="E186" i="5"/>
  <c r="AE186" i="5"/>
  <c r="E174" i="5"/>
  <c r="AE174" i="5"/>
  <c r="R174" i="5"/>
  <c r="AE162" i="5"/>
  <c r="E162" i="5"/>
  <c r="R162" i="5"/>
  <c r="E150" i="5"/>
  <c r="R150" i="5"/>
  <c r="AE150" i="5"/>
  <c r="AE138" i="5"/>
  <c r="E138" i="5"/>
  <c r="E126" i="5"/>
  <c r="AE126" i="5"/>
  <c r="R126" i="5"/>
  <c r="R114" i="5"/>
  <c r="E114" i="5"/>
  <c r="AE114" i="5"/>
  <c r="AE90" i="5"/>
  <c r="E90" i="5"/>
  <c r="R90" i="5"/>
  <c r="E78" i="5"/>
  <c r="AE78" i="5"/>
  <c r="E66" i="5"/>
  <c r="AE66" i="5"/>
  <c r="R66" i="5"/>
  <c r="AE54" i="5"/>
  <c r="E54" i="5"/>
  <c r="E30" i="5"/>
  <c r="AE30" i="5"/>
  <c r="R30" i="5"/>
  <c r="E6" i="5"/>
  <c r="AE6" i="5"/>
  <c r="AN513" i="5"/>
  <c r="AA513" i="5"/>
  <c r="AN501" i="5"/>
  <c r="AA501" i="5"/>
  <c r="AN497" i="5"/>
  <c r="AA497" i="5"/>
  <c r="AN496" i="5"/>
  <c r="AA496" i="5"/>
  <c r="AN489" i="5"/>
  <c r="N489" i="5"/>
  <c r="AA489" i="5"/>
  <c r="N485" i="5"/>
  <c r="AA485" i="5"/>
  <c r="AN477" i="5"/>
  <c r="N477" i="5"/>
  <c r="AA477" i="5"/>
  <c r="N473" i="5"/>
  <c r="AA473" i="5"/>
  <c r="AN473" i="5"/>
  <c r="AN465" i="5"/>
  <c r="N465" i="5"/>
  <c r="AA465" i="5"/>
  <c r="N461" i="5"/>
  <c r="AA461" i="5"/>
  <c r="AN461" i="5"/>
  <c r="N460" i="5"/>
  <c r="AN460" i="5"/>
  <c r="AA460" i="5"/>
  <c r="AN453" i="5"/>
  <c r="N453" i="5"/>
  <c r="AA453" i="5"/>
  <c r="N449" i="5"/>
  <c r="AN449" i="5"/>
  <c r="AN441" i="5"/>
  <c r="N441" i="5"/>
  <c r="AA441" i="5"/>
  <c r="N437" i="5"/>
  <c r="AN437" i="5"/>
  <c r="AA437" i="5"/>
  <c r="N436" i="5"/>
  <c r="AA436" i="5"/>
  <c r="AN436" i="5"/>
  <c r="AN429" i="5"/>
  <c r="N429" i="5"/>
  <c r="AA429" i="5"/>
  <c r="N425" i="5"/>
  <c r="AN425" i="5"/>
  <c r="N424" i="5"/>
  <c r="AA424" i="5"/>
  <c r="AN417" i="5"/>
  <c r="N417" i="5"/>
  <c r="AA417" i="5"/>
  <c r="N413" i="5"/>
  <c r="AA413" i="5"/>
  <c r="N412" i="5"/>
  <c r="AN412" i="5"/>
  <c r="AN405" i="5"/>
  <c r="N405" i="5"/>
  <c r="AA405" i="5"/>
  <c r="N401" i="5"/>
  <c r="AN401" i="5"/>
  <c r="N400" i="5"/>
  <c r="AN400" i="5"/>
  <c r="AN393" i="5"/>
  <c r="N393" i="5"/>
  <c r="AA393" i="5"/>
  <c r="N389" i="5"/>
  <c r="AN389" i="5"/>
  <c r="U377" i="5"/>
  <c r="AH377" i="5"/>
  <c r="AH376" i="5"/>
  <c r="U376" i="5"/>
  <c r="AN369" i="5"/>
  <c r="N369" i="5"/>
  <c r="AA369" i="5"/>
  <c r="AJ365" i="5"/>
  <c r="W365" i="5"/>
  <c r="AJ364" i="5"/>
  <c r="J364" i="5"/>
  <c r="AL352" i="5"/>
  <c r="L352" i="5"/>
  <c r="S345" i="5"/>
  <c r="AF345" i="5"/>
  <c r="N341" i="5"/>
  <c r="AN341" i="5"/>
  <c r="N340" i="5"/>
  <c r="AA340" i="5"/>
  <c r="AN340" i="5"/>
  <c r="AH333" i="5"/>
  <c r="U333" i="5"/>
  <c r="Q329" i="5"/>
  <c r="AD329" i="5"/>
  <c r="AF316" i="5"/>
  <c r="F316" i="5"/>
  <c r="S316" i="5"/>
  <c r="AH304" i="5"/>
  <c r="H304" i="5"/>
  <c r="AN297" i="5"/>
  <c r="N297" i="5"/>
  <c r="AA297" i="5"/>
  <c r="AJ293" i="5"/>
  <c r="W293" i="5"/>
  <c r="Y281" i="5"/>
  <c r="L281" i="5"/>
  <c r="N269" i="5"/>
  <c r="AA269" i="5"/>
  <c r="AN269" i="5"/>
  <c r="N268" i="5"/>
  <c r="AN268" i="5"/>
  <c r="AA268" i="5"/>
  <c r="AH261" i="5"/>
  <c r="U261" i="5"/>
  <c r="K249" i="5"/>
  <c r="AK249" i="5"/>
  <c r="AH244" i="5"/>
  <c r="U244" i="5"/>
  <c r="H244" i="5"/>
  <c r="AN237" i="5"/>
  <c r="AA237" i="5"/>
  <c r="N237" i="5"/>
  <c r="AK233" i="5"/>
  <c r="K233" i="5"/>
  <c r="N221" i="5"/>
  <c r="AA221" i="5"/>
  <c r="AN221" i="5"/>
  <c r="N220" i="5"/>
  <c r="AN220" i="5"/>
  <c r="AA220" i="5"/>
  <c r="AH213" i="5"/>
  <c r="U213" i="5"/>
  <c r="H213" i="5"/>
  <c r="AK201" i="5"/>
  <c r="X201" i="5"/>
  <c r="K201" i="5"/>
  <c r="AH197" i="5"/>
  <c r="U197" i="5"/>
  <c r="AA189" i="5"/>
  <c r="N189" i="5"/>
  <c r="AK185" i="5"/>
  <c r="X185" i="5"/>
  <c r="AK184" i="5"/>
  <c r="X184" i="5"/>
  <c r="AN173" i="5"/>
  <c r="N173" i="5"/>
  <c r="N172" i="5"/>
  <c r="AN172" i="5"/>
  <c r="AA172" i="5"/>
  <c r="U165" i="5"/>
  <c r="H165" i="5"/>
  <c r="AH165" i="5"/>
  <c r="AK153" i="5"/>
  <c r="X153" i="5"/>
  <c r="K153" i="5"/>
  <c r="AH149" i="5"/>
  <c r="U149" i="5"/>
  <c r="AH148" i="5"/>
  <c r="U148" i="5"/>
  <c r="AA141" i="5"/>
  <c r="N141" i="5"/>
  <c r="AN141" i="5"/>
  <c r="AN125" i="5"/>
  <c r="N125" i="5"/>
  <c r="N124" i="5"/>
  <c r="AA124" i="5"/>
  <c r="AN124" i="5"/>
  <c r="AH117" i="5"/>
  <c r="H117" i="5"/>
  <c r="U117" i="5"/>
  <c r="AK105" i="5"/>
  <c r="K105" i="5"/>
  <c r="U100" i="5"/>
  <c r="H100" i="5"/>
  <c r="AA93" i="5"/>
  <c r="N93" i="5"/>
  <c r="AN93" i="5"/>
  <c r="X89" i="5"/>
  <c r="AK89" i="5"/>
  <c r="AK88" i="5"/>
  <c r="K88" i="5"/>
  <c r="N77" i="5"/>
  <c r="AN77" i="5"/>
  <c r="AN76" i="5"/>
  <c r="N76" i="5"/>
  <c r="AA76" i="5"/>
  <c r="AH69" i="5"/>
  <c r="H69" i="5"/>
  <c r="U69" i="5"/>
  <c r="AK57" i="5"/>
  <c r="K57" i="5"/>
  <c r="AH52" i="5"/>
  <c r="H52" i="5"/>
  <c r="AA45" i="5"/>
  <c r="N45" i="5"/>
  <c r="AN45" i="5"/>
  <c r="AK41" i="5"/>
  <c r="X41" i="5"/>
  <c r="AK40" i="5"/>
  <c r="X40" i="5"/>
  <c r="K40" i="5"/>
  <c r="N29" i="5"/>
  <c r="AN29" i="5"/>
  <c r="N28" i="5"/>
  <c r="AN28" i="5"/>
  <c r="AH21" i="5"/>
  <c r="U21" i="5"/>
  <c r="H21" i="5"/>
  <c r="X9" i="5"/>
  <c r="K9" i="5"/>
  <c r="AH5" i="5"/>
  <c r="U5" i="5"/>
  <c r="AH4" i="5"/>
  <c r="H4" i="5"/>
  <c r="N513" i="5"/>
  <c r="N501" i="5"/>
  <c r="M477" i="5"/>
  <c r="M400" i="5"/>
  <c r="D328" i="5"/>
  <c r="J321" i="5"/>
  <c r="I208" i="5"/>
  <c r="G197" i="5"/>
  <c r="M186" i="5"/>
  <c r="F161" i="5"/>
  <c r="E130" i="5"/>
  <c r="M90" i="5"/>
  <c r="E82" i="5"/>
  <c r="S513" i="5"/>
  <c r="S477" i="5"/>
  <c r="Z472" i="5"/>
  <c r="Z465" i="5"/>
  <c r="AA449" i="5"/>
  <c r="S393" i="5"/>
  <c r="W321" i="5"/>
  <c r="V305" i="5"/>
  <c r="S286" i="5"/>
  <c r="S273" i="5"/>
  <c r="Y201" i="5"/>
  <c r="V149" i="5"/>
  <c r="X136" i="5"/>
  <c r="Z90" i="5"/>
  <c r="X57" i="5"/>
  <c r="Y41" i="5"/>
  <c r="Y21" i="5"/>
  <c r="Y5" i="5"/>
  <c r="AF441" i="5"/>
  <c r="AM417" i="5"/>
  <c r="AK352" i="5"/>
  <c r="AI177" i="5"/>
  <c r="AI161" i="5"/>
  <c r="AO76" i="5"/>
  <c r="AD357" i="5"/>
  <c r="Q357" i="5"/>
  <c r="AM353" i="5"/>
  <c r="M353" i="5"/>
  <c r="T345" i="5"/>
  <c r="AG345" i="5"/>
  <c r="AO341" i="5"/>
  <c r="O341" i="5"/>
  <c r="AO340" i="5"/>
  <c r="AB340" i="5"/>
  <c r="AF330" i="5"/>
  <c r="S330" i="5"/>
  <c r="K321" i="5"/>
  <c r="AK321" i="5"/>
  <c r="AG317" i="5"/>
  <c r="G317" i="5"/>
  <c r="AG316" i="5"/>
  <c r="G316" i="5"/>
  <c r="Z309" i="5"/>
  <c r="M309" i="5"/>
  <c r="AJ306" i="5"/>
  <c r="W306" i="5"/>
  <c r="AO297" i="5"/>
  <c r="AB297" i="5"/>
  <c r="O297" i="5"/>
  <c r="AK292" i="5"/>
  <c r="X292" i="5"/>
  <c r="Q285" i="5"/>
  <c r="AD285" i="5"/>
  <c r="N282" i="5"/>
  <c r="AA282" i="5"/>
  <c r="AM280" i="5"/>
  <c r="Z280" i="5"/>
  <c r="AB269" i="5"/>
  <c r="AO269" i="5"/>
  <c r="AJ262" i="5"/>
  <c r="W262" i="5"/>
  <c r="S257" i="5"/>
  <c r="AF257" i="5"/>
  <c r="S256" i="5"/>
  <c r="AF256" i="5"/>
  <c r="F256" i="5"/>
  <c r="AM250" i="5"/>
  <c r="M250" i="5"/>
  <c r="AJ246" i="5"/>
  <c r="W246" i="5"/>
  <c r="V244" i="5"/>
  <c r="AI244" i="5"/>
  <c r="I244" i="5"/>
  <c r="AB221" i="5"/>
  <c r="AO221" i="5"/>
  <c r="AJ214" i="5"/>
  <c r="W214" i="5"/>
  <c r="J214" i="5"/>
  <c r="V197" i="5"/>
  <c r="AI197" i="5"/>
  <c r="V196" i="5"/>
  <c r="AI196" i="5"/>
  <c r="I196" i="5"/>
  <c r="AO189" i="5"/>
  <c r="O189" i="5"/>
  <c r="AB189" i="5"/>
  <c r="Y184" i="5"/>
  <c r="L184" i="5"/>
  <c r="AG178" i="5"/>
  <c r="T178" i="5"/>
  <c r="G178" i="5"/>
  <c r="S177" i="5"/>
  <c r="AF177" i="5"/>
  <c r="AI165" i="5"/>
  <c r="V165" i="5"/>
  <c r="I165" i="5"/>
  <c r="T162" i="5"/>
  <c r="AG162" i="5"/>
  <c r="AF160" i="5"/>
  <c r="S160" i="5"/>
  <c r="F160" i="5"/>
  <c r="V148" i="5"/>
  <c r="AI148" i="5"/>
  <c r="I148" i="5"/>
  <c r="O141" i="5"/>
  <c r="AB141" i="5"/>
  <c r="AL136" i="5"/>
  <c r="Y136" i="5"/>
  <c r="L136" i="5"/>
  <c r="AG130" i="5"/>
  <c r="G130" i="5"/>
  <c r="AI117" i="5"/>
  <c r="V117" i="5"/>
  <c r="I117" i="5"/>
  <c r="AG114" i="5"/>
  <c r="T114" i="5"/>
  <c r="S112" i="5"/>
  <c r="F112" i="5"/>
  <c r="AM106" i="5"/>
  <c r="Z106" i="5"/>
  <c r="AI101" i="5"/>
  <c r="V101" i="5"/>
  <c r="AB93" i="5"/>
  <c r="AO93" i="5"/>
  <c r="O93" i="5"/>
  <c r="AL88" i="5"/>
  <c r="L88" i="5"/>
  <c r="AG82" i="5"/>
  <c r="G82" i="5"/>
  <c r="AJ70" i="5"/>
  <c r="W70" i="5"/>
  <c r="J70" i="5"/>
  <c r="AI69" i="5"/>
  <c r="V69" i="5"/>
  <c r="AF64" i="5"/>
  <c r="S64" i="5"/>
  <c r="F64" i="5"/>
  <c r="AL57" i="5"/>
  <c r="Y57" i="5"/>
  <c r="AI53" i="5"/>
  <c r="V53" i="5"/>
  <c r="AO45" i="5"/>
  <c r="O45" i="5"/>
  <c r="AM42" i="5"/>
  <c r="Z42" i="5"/>
  <c r="AL40" i="5"/>
  <c r="Y40" i="5"/>
  <c r="L40" i="5"/>
  <c r="AG34" i="5"/>
  <c r="T34" i="5"/>
  <c r="G34" i="5"/>
  <c r="AF33" i="5"/>
  <c r="S33" i="5"/>
  <c r="AO28" i="5"/>
  <c r="O28" i="5"/>
  <c r="AJ22" i="5"/>
  <c r="W22" i="5"/>
  <c r="J22" i="5"/>
  <c r="AG18" i="5"/>
  <c r="T18" i="5"/>
  <c r="S17" i="5"/>
  <c r="AF17" i="5"/>
  <c r="S16" i="5"/>
  <c r="AF16" i="5"/>
  <c r="F16" i="5"/>
  <c r="Z10" i="5"/>
  <c r="M10" i="5"/>
  <c r="AM10" i="5"/>
  <c r="AI5" i="5"/>
  <c r="I5" i="5"/>
  <c r="AI4" i="5"/>
  <c r="V4" i="5"/>
  <c r="I4" i="5"/>
  <c r="F113" i="5"/>
  <c r="F65" i="5"/>
  <c r="E18" i="5"/>
  <c r="AE18" i="5"/>
  <c r="AM513" i="5"/>
  <c r="M513" i="5"/>
  <c r="AM509" i="5"/>
  <c r="M509" i="5"/>
  <c r="M508" i="5"/>
  <c r="Z508" i="5"/>
  <c r="AM508" i="5"/>
  <c r="M501" i="5"/>
  <c r="AM501" i="5"/>
  <c r="M496" i="5"/>
  <c r="AM496" i="5"/>
  <c r="AM473" i="5"/>
  <c r="Z473" i="5"/>
  <c r="AM460" i="5"/>
  <c r="Z460" i="5"/>
  <c r="AM453" i="5"/>
  <c r="Z453" i="5"/>
  <c r="AM449" i="5"/>
  <c r="Z449" i="5"/>
  <c r="Z425" i="5"/>
  <c r="AM425" i="5"/>
  <c r="AM413" i="5"/>
  <c r="M413" i="5"/>
  <c r="AM412" i="5"/>
  <c r="Z412" i="5"/>
  <c r="AM401" i="5"/>
  <c r="Z401" i="5"/>
  <c r="AM388" i="5"/>
  <c r="M388" i="5"/>
  <c r="AK381" i="5"/>
  <c r="X381" i="5"/>
  <c r="K381" i="5"/>
  <c r="G377" i="5"/>
  <c r="AG377" i="5"/>
  <c r="T377" i="5"/>
  <c r="AM369" i="5"/>
  <c r="Z369" i="5"/>
  <c r="M369" i="5"/>
  <c r="AI365" i="5"/>
  <c r="V365" i="5"/>
  <c r="V364" i="5"/>
  <c r="AI364" i="5"/>
  <c r="AB357" i="5"/>
  <c r="O357" i="5"/>
  <c r="AK353" i="5"/>
  <c r="X353" i="5"/>
  <c r="Q345" i="5"/>
  <c r="AD345" i="5"/>
  <c r="AM340" i="5"/>
  <c r="M340" i="5"/>
  <c r="AO328" i="5"/>
  <c r="O328" i="5"/>
  <c r="V321" i="5"/>
  <c r="AI321" i="5"/>
  <c r="AK309" i="5"/>
  <c r="K309" i="5"/>
  <c r="G305" i="5"/>
  <c r="T305" i="5"/>
  <c r="AI293" i="5"/>
  <c r="V293" i="5"/>
  <c r="V292" i="5"/>
  <c r="I292" i="5"/>
  <c r="AO285" i="5"/>
  <c r="AB285" i="5"/>
  <c r="Q273" i="5"/>
  <c r="D273" i="5"/>
  <c r="Z269" i="5"/>
  <c r="M269" i="5"/>
  <c r="AM268" i="5"/>
  <c r="Z268" i="5"/>
  <c r="AG261" i="5"/>
  <c r="T261" i="5"/>
  <c r="Q256" i="5"/>
  <c r="AD256" i="5"/>
  <c r="AJ249" i="5"/>
  <c r="W249" i="5"/>
  <c r="J249" i="5"/>
  <c r="G245" i="5"/>
  <c r="AG245" i="5"/>
  <c r="AG244" i="5"/>
  <c r="T244" i="5"/>
  <c r="AJ233" i="5"/>
  <c r="W233" i="5"/>
  <c r="AJ232" i="5"/>
  <c r="J232" i="5"/>
  <c r="Q225" i="5"/>
  <c r="AD225" i="5"/>
  <c r="AM221" i="5"/>
  <c r="M221" i="5"/>
  <c r="W201" i="5"/>
  <c r="J201" i="5"/>
  <c r="AM189" i="5"/>
  <c r="Z189" i="5"/>
  <c r="AJ185" i="5"/>
  <c r="W185" i="5"/>
  <c r="W184" i="5"/>
  <c r="AJ184" i="5"/>
  <c r="AD177" i="5"/>
  <c r="Q177" i="5"/>
  <c r="D177" i="5"/>
  <c r="AG165" i="5"/>
  <c r="T165" i="5"/>
  <c r="G165" i="5"/>
  <c r="D161" i="5"/>
  <c r="Q161" i="5"/>
  <c r="AD161" i="5"/>
  <c r="W153" i="5"/>
  <c r="AJ153" i="5"/>
  <c r="AG149" i="5"/>
  <c r="T149" i="5"/>
  <c r="AG148" i="5"/>
  <c r="G148" i="5"/>
  <c r="T148" i="5"/>
  <c r="AJ137" i="5"/>
  <c r="W137" i="5"/>
  <c r="J137" i="5"/>
  <c r="AM124" i="5"/>
  <c r="Z124" i="5"/>
  <c r="AG117" i="5"/>
  <c r="G117" i="5"/>
  <c r="T117" i="5"/>
  <c r="AG101" i="5"/>
  <c r="T101" i="5"/>
  <c r="AG100" i="5"/>
  <c r="T100" i="5"/>
  <c r="AM93" i="5"/>
  <c r="Z93" i="5"/>
  <c r="W89" i="5"/>
  <c r="AJ89" i="5"/>
  <c r="AD81" i="5"/>
  <c r="D81" i="5"/>
  <c r="AM77" i="5"/>
  <c r="Z77" i="5"/>
  <c r="AM76" i="5"/>
  <c r="M76" i="5"/>
  <c r="Z76" i="5"/>
  <c r="AG69" i="5"/>
  <c r="T69" i="5"/>
  <c r="G69" i="5"/>
  <c r="AD65" i="5"/>
  <c r="D65" i="5"/>
  <c r="Q65" i="5"/>
  <c r="AD64" i="5"/>
  <c r="Q64" i="5"/>
  <c r="AJ57" i="5"/>
  <c r="W57" i="5"/>
  <c r="J57" i="5"/>
  <c r="AG52" i="5"/>
  <c r="T52" i="5"/>
  <c r="AM45" i="5"/>
  <c r="Z45" i="5"/>
  <c r="M45" i="5"/>
  <c r="W41" i="5"/>
  <c r="AJ41" i="5"/>
  <c r="Q33" i="5"/>
  <c r="D33" i="5"/>
  <c r="AD33" i="5"/>
  <c r="AM29" i="5"/>
  <c r="Z29" i="5"/>
  <c r="AM28" i="5"/>
  <c r="Z28" i="5"/>
  <c r="AG21" i="5"/>
  <c r="G21" i="5"/>
  <c r="AD17" i="5"/>
  <c r="D17" i="5"/>
  <c r="Q17" i="5"/>
  <c r="AD16" i="5"/>
  <c r="Q16" i="5"/>
  <c r="D16" i="5"/>
  <c r="AJ9" i="5"/>
  <c r="W9" i="5"/>
  <c r="J9" i="5"/>
  <c r="AG5" i="5"/>
  <c r="T5" i="5"/>
  <c r="AG4" i="5"/>
  <c r="G4" i="5"/>
  <c r="M484" i="5"/>
  <c r="M465" i="5"/>
  <c r="M453" i="5"/>
  <c r="F429" i="5"/>
  <c r="F413" i="5"/>
  <c r="F345" i="5"/>
  <c r="E342" i="5"/>
  <c r="I321" i="5"/>
  <c r="I304" i="5"/>
  <c r="L280" i="5"/>
  <c r="F257" i="5"/>
  <c r="L244" i="5"/>
  <c r="J233" i="5"/>
  <c r="O220" i="5"/>
  <c r="E202" i="5"/>
  <c r="O184" i="5"/>
  <c r="E178" i="5"/>
  <c r="M138" i="5"/>
  <c r="O124" i="5"/>
  <c r="E118" i="5"/>
  <c r="E94" i="5"/>
  <c r="O76" i="5"/>
  <c r="E70" i="5"/>
  <c r="E46" i="5"/>
  <c r="O40" i="5"/>
  <c r="M28" i="5"/>
  <c r="E10" i="5"/>
  <c r="S429" i="5"/>
  <c r="Z424" i="5"/>
  <c r="Y381" i="5"/>
  <c r="R370" i="5"/>
  <c r="AA364" i="5"/>
  <c r="R354" i="5"/>
  <c r="S340" i="5"/>
  <c r="U329" i="5"/>
  <c r="AA310" i="5"/>
  <c r="R286" i="5"/>
  <c r="Y280" i="5"/>
  <c r="Q208" i="5"/>
  <c r="W136" i="5"/>
  <c r="V5" i="5"/>
  <c r="AF501" i="5"/>
  <c r="AF497" i="5"/>
  <c r="AM436" i="5"/>
  <c r="AM309" i="5"/>
  <c r="AI160" i="5"/>
  <c r="AL137" i="5"/>
  <c r="AE369" i="5"/>
  <c r="R369" i="5"/>
  <c r="AE172" i="5"/>
  <c r="R172" i="5"/>
  <c r="AE124" i="5"/>
  <c r="R124" i="5"/>
  <c r="AE76" i="5"/>
  <c r="R76" i="5"/>
  <c r="R64" i="5"/>
  <c r="AE64" i="5"/>
  <c r="AE45" i="5"/>
  <c r="R45" i="5"/>
  <c r="AE33" i="5"/>
  <c r="R33" i="5"/>
  <c r="E197" i="5"/>
  <c r="E172" i="5"/>
  <c r="E141" i="5"/>
  <c r="R305" i="5"/>
  <c r="R245" i="5"/>
  <c r="R161" i="5"/>
  <c r="R105" i="5"/>
  <c r="R16" i="5"/>
  <c r="AE89" i="5"/>
  <c r="AE41" i="5"/>
  <c r="R69" i="5"/>
  <c r="AE220" i="5"/>
  <c r="AE137" i="5"/>
  <c r="AB3" i="5"/>
  <c r="O3" i="5"/>
  <c r="AA3" i="5"/>
  <c r="BA3" i="5" s="1"/>
  <c r="Z3" i="5"/>
  <c r="AZ3" i="5" s="1"/>
  <c r="Y3" i="5"/>
  <c r="AY3" i="5" s="1"/>
  <c r="X3" i="5"/>
  <c r="AX3" i="5" s="1"/>
  <c r="C999" i="5"/>
  <c r="AA177" i="1"/>
  <c r="AA176" i="1" s="1"/>
  <c r="Z177" i="1"/>
  <c r="Z176" i="1" s="1"/>
  <c r="AE177" i="1"/>
  <c r="AE176" i="1" s="1"/>
  <c r="AB177" i="1"/>
  <c r="AB176" i="1" s="1"/>
  <c r="AD2" i="1"/>
  <c r="AG177" i="1" s="1"/>
  <c r="AG176" i="1" s="1"/>
  <c r="AB169" i="1"/>
  <c r="AI111" i="1"/>
  <c r="AI113" i="1"/>
  <c r="AI115" i="1"/>
  <c r="AI53" i="1"/>
  <c r="X183" i="1"/>
  <c r="AI63" i="1"/>
  <c r="AI64" i="1"/>
  <c r="AI66" i="1"/>
  <c r="AI67" i="1"/>
  <c r="AI68" i="1"/>
  <c r="AI69" i="1"/>
  <c r="AI70" i="1"/>
  <c r="AI71" i="1"/>
  <c r="AF169" i="1"/>
  <c r="AI139" i="1"/>
  <c r="W137" i="1"/>
  <c r="U137" i="1" s="1"/>
  <c r="AI9" i="1"/>
  <c r="AI39" i="1"/>
  <c r="AI125" i="1"/>
  <c r="AE122" i="1"/>
  <c r="AI122" i="1" s="1"/>
  <c r="AI123" i="1"/>
  <c r="AI124" i="1"/>
  <c r="AI132" i="1"/>
  <c r="AI133" i="1"/>
  <c r="AH177" i="1"/>
  <c r="AH176" i="1" s="1"/>
  <c r="AI100" i="1"/>
  <c r="AI101" i="1"/>
  <c r="AC169" i="1"/>
  <c r="AE27" i="1"/>
  <c r="AE183" i="1" s="1"/>
  <c r="AI135" i="1"/>
  <c r="AI112" i="1"/>
  <c r="AI114" i="1"/>
  <c r="AI3" i="1"/>
  <c r="AI4" i="1"/>
  <c r="AI42" i="1"/>
  <c r="AI51" i="1"/>
  <c r="AI52" i="1"/>
  <c r="AI54" i="1"/>
  <c r="AI55" i="1"/>
  <c r="AI56" i="1"/>
  <c r="AI57" i="1"/>
  <c r="AI29" i="1"/>
  <c r="AI30" i="1"/>
  <c r="AI31" i="1"/>
  <c r="AI33" i="1"/>
  <c r="AI34" i="1"/>
  <c r="AE169" i="1"/>
  <c r="AI65" i="1"/>
  <c r="AD177" i="1"/>
  <c r="AD176" i="1" s="1"/>
  <c r="AC177" i="1"/>
  <c r="AC176" i="1" s="1"/>
  <c r="AI75" i="1"/>
  <c r="AI76" i="1"/>
  <c r="AI78" i="1"/>
  <c r="AI79" i="1"/>
  <c r="AI80" i="1"/>
  <c r="AI81" i="1"/>
  <c r="AI82" i="1"/>
  <c r="AI83" i="1"/>
  <c r="AI84" i="1"/>
  <c r="AI87" i="1"/>
  <c r="AI5" i="1"/>
  <c r="W178" i="1"/>
  <c r="W176" i="1" s="1"/>
  <c r="X177" i="1"/>
  <c r="X176" i="1" s="1"/>
  <c r="Y177" i="1"/>
  <c r="Y176" i="1" s="1"/>
  <c r="V35" i="1" l="1"/>
  <c r="V49" i="1"/>
  <c r="V61" i="1"/>
  <c r="V73" i="1"/>
  <c r="V85" i="1"/>
  <c r="V97" i="1"/>
  <c r="V109" i="1"/>
  <c r="V123" i="1"/>
  <c r="V163" i="1"/>
  <c r="V41" i="1"/>
  <c r="V65" i="1"/>
  <c r="V89" i="1"/>
  <c r="V113" i="1"/>
  <c r="V167" i="1"/>
  <c r="V96" i="1"/>
  <c r="V36" i="1"/>
  <c r="V50" i="1"/>
  <c r="V62" i="1"/>
  <c r="V74" i="1"/>
  <c r="V86" i="1"/>
  <c r="V98" i="1"/>
  <c r="V110" i="1"/>
  <c r="V124" i="1"/>
  <c r="V164" i="1"/>
  <c r="V40" i="1"/>
  <c r="V52" i="1"/>
  <c r="V64" i="1"/>
  <c r="V76" i="1"/>
  <c r="V88" i="1"/>
  <c r="V100" i="1"/>
  <c r="V112" i="1"/>
  <c r="V126" i="1"/>
  <c r="V166" i="1"/>
  <c r="V39" i="1"/>
  <c r="V51" i="1"/>
  <c r="V63" i="1"/>
  <c r="V75" i="1"/>
  <c r="V87" i="1"/>
  <c r="V99" i="1"/>
  <c r="V111" i="1"/>
  <c r="V125" i="1"/>
  <c r="V165" i="1"/>
  <c r="V53" i="1"/>
  <c r="V77" i="1"/>
  <c r="V101" i="1"/>
  <c r="V127" i="1"/>
  <c r="V48" i="1"/>
  <c r="V108" i="1"/>
  <c r="V28" i="1"/>
  <c r="V42" i="1"/>
  <c r="V54" i="1"/>
  <c r="V66" i="1"/>
  <c r="V78" i="1"/>
  <c r="V90" i="1"/>
  <c r="V102" i="1"/>
  <c r="V114" i="1"/>
  <c r="V128" i="1"/>
  <c r="V168" i="1"/>
  <c r="V33" i="1"/>
  <c r="V83" i="1"/>
  <c r="V72" i="1"/>
  <c r="V162" i="1"/>
  <c r="V29" i="1"/>
  <c r="V43" i="1"/>
  <c r="V55" i="1"/>
  <c r="V67" i="1"/>
  <c r="V79" i="1"/>
  <c r="V91" i="1"/>
  <c r="V103" i="1"/>
  <c r="V115" i="1"/>
  <c r="V129" i="1"/>
  <c r="V171" i="1"/>
  <c r="V58" i="1"/>
  <c r="V82" i="1"/>
  <c r="V118" i="1"/>
  <c r="V71" i="1"/>
  <c r="V95" i="1"/>
  <c r="V161" i="1"/>
  <c r="V84" i="1"/>
  <c r="V30" i="1"/>
  <c r="V44" i="1"/>
  <c r="V56" i="1"/>
  <c r="V68" i="1"/>
  <c r="V80" i="1"/>
  <c r="V92" i="1"/>
  <c r="V104" i="1"/>
  <c r="V116" i="1"/>
  <c r="V130" i="1"/>
  <c r="V172" i="1"/>
  <c r="V46" i="1"/>
  <c r="V70" i="1"/>
  <c r="V106" i="1"/>
  <c r="V47" i="1"/>
  <c r="V119" i="1"/>
  <c r="V34" i="1"/>
  <c r="V120" i="1"/>
  <c r="V31" i="1"/>
  <c r="V45" i="1"/>
  <c r="V57" i="1"/>
  <c r="V69" i="1"/>
  <c r="V81" i="1"/>
  <c r="V93" i="1"/>
  <c r="V105" i="1"/>
  <c r="V117" i="1"/>
  <c r="V131" i="1"/>
  <c r="V173" i="1"/>
  <c r="V32" i="1"/>
  <c r="V94" i="1"/>
  <c r="V160" i="1"/>
  <c r="V59" i="1"/>
  <c r="V107" i="1"/>
  <c r="V60" i="1"/>
  <c r="V139" i="1"/>
  <c r="V155" i="1"/>
  <c r="V141" i="1"/>
  <c r="V154" i="1"/>
  <c r="V156" i="1"/>
  <c r="V135" i="1"/>
  <c r="V157" i="1"/>
  <c r="V16" i="1"/>
  <c r="V158" i="1"/>
  <c r="V21" i="1"/>
  <c r="V147" i="1"/>
  <c r="V159" i="1"/>
  <c r="V132" i="1"/>
  <c r="V151" i="1"/>
  <c r="V142" i="1"/>
  <c r="V134" i="1"/>
  <c r="V145" i="1"/>
  <c r="V148" i="1"/>
  <c r="V140" i="1"/>
  <c r="V149" i="1"/>
  <c r="V138" i="1"/>
  <c r="V143" i="1"/>
  <c r="V150" i="1"/>
  <c r="V14" i="1"/>
  <c r="V152" i="1"/>
  <c r="V133" i="1"/>
  <c r="V17" i="1"/>
  <c r="V144" i="1"/>
  <c r="V15" i="1"/>
  <c r="V137" i="1"/>
  <c r="V23" i="1"/>
  <c r="AH182" i="9"/>
  <c r="AH181" i="9" s="1"/>
  <c r="AH136" i="9"/>
  <c r="AH170" i="9" s="1"/>
  <c r="AH174" i="9" s="1"/>
  <c r="R176" i="9"/>
  <c r="T22" i="9"/>
  <c r="AA136" i="9"/>
  <c r="AA170" i="9" s="1"/>
  <c r="AA174" i="9" s="1"/>
  <c r="O136" i="9"/>
  <c r="H184" i="9"/>
  <c r="Q182" i="9"/>
  <c r="Q181" i="9" s="1"/>
  <c r="AC170" i="9"/>
  <c r="AC174" i="9" s="1"/>
  <c r="R182" i="9"/>
  <c r="Q136" i="9"/>
  <c r="X136" i="9"/>
  <c r="X170" i="9" s="1"/>
  <c r="X174" i="9" s="1"/>
  <c r="K182" i="9"/>
  <c r="K181" i="9" s="1"/>
  <c r="J136" i="9"/>
  <c r="AE182" i="9"/>
  <c r="AE181" i="9" s="1"/>
  <c r="AD136" i="9"/>
  <c r="AD170" i="9" s="1"/>
  <c r="AD174" i="9" s="1"/>
  <c r="T77" i="9"/>
  <c r="I37" i="9"/>
  <c r="I184" i="9" s="1"/>
  <c r="AH177" i="9"/>
  <c r="AH176" i="9" s="1"/>
  <c r="AH186" i="9" s="1"/>
  <c r="AE136" i="9"/>
  <c r="AE170" i="9" s="1"/>
  <c r="AE174" i="9" s="1"/>
  <c r="AD185" i="9"/>
  <c r="AD169" i="9"/>
  <c r="T93" i="9"/>
  <c r="T88" i="9"/>
  <c r="AI19" i="9"/>
  <c r="U19" i="9"/>
  <c r="U153" i="9"/>
  <c r="T70" i="9"/>
  <c r="T18" i="9"/>
  <c r="M182" i="9"/>
  <c r="M181" i="9" s="1"/>
  <c r="P37" i="9"/>
  <c r="P184" i="9" s="1"/>
  <c r="AF136" i="9"/>
  <c r="AF170" i="9" s="1"/>
  <c r="AF174" i="9" s="1"/>
  <c r="AG177" i="9"/>
  <c r="AG176" i="9" s="1"/>
  <c r="T31" i="9"/>
  <c r="T58" i="9"/>
  <c r="T42" i="9"/>
  <c r="L136" i="9"/>
  <c r="L170" i="9" s="1"/>
  <c r="L174" i="9" s="1"/>
  <c r="T63" i="9"/>
  <c r="J37" i="9"/>
  <c r="J184" i="9" s="1"/>
  <c r="R37" i="9"/>
  <c r="R184" i="9" s="1"/>
  <c r="AB177" i="9"/>
  <c r="AB176" i="9" s="1"/>
  <c r="T66" i="9"/>
  <c r="U26" i="9"/>
  <c r="Y22" i="9"/>
  <c r="H137" i="9"/>
  <c r="T139" i="9"/>
  <c r="T82" i="9"/>
  <c r="L186" i="9"/>
  <c r="K169" i="9"/>
  <c r="Q169" i="9"/>
  <c r="AB169" i="9"/>
  <c r="AB185" i="9"/>
  <c r="I169" i="9"/>
  <c r="P182" i="9"/>
  <c r="T40" i="9"/>
  <c r="T24" i="9"/>
  <c r="T81" i="9"/>
  <c r="P27" i="9"/>
  <c r="P183" i="9" s="1"/>
  <c r="T30" i="9"/>
  <c r="K136" i="9"/>
  <c r="K170" i="9" s="1"/>
  <c r="K174" i="9" s="1"/>
  <c r="T78" i="9"/>
  <c r="AB13" i="9"/>
  <c r="T94" i="9"/>
  <c r="N37" i="9"/>
  <c r="N184" i="9" s="1"/>
  <c r="Q177" i="9"/>
  <c r="Q176" i="9" s="1"/>
  <c r="AF176" i="9"/>
  <c r="AF186" i="9" s="1"/>
  <c r="U146" i="9"/>
  <c r="M186" i="9"/>
  <c r="T104" i="9"/>
  <c r="T80" i="9"/>
  <c r="U18" i="9"/>
  <c r="T96" i="9"/>
  <c r="T76" i="9"/>
  <c r="T122" i="9"/>
  <c r="AI37" i="9"/>
  <c r="W184" i="9"/>
  <c r="U37" i="9"/>
  <c r="O169" i="9"/>
  <c r="U169" i="9"/>
  <c r="AI27" i="9"/>
  <c r="T132" i="9"/>
  <c r="T28" i="9"/>
  <c r="AI26" i="9"/>
  <c r="T26" i="9"/>
  <c r="T119" i="9"/>
  <c r="T103" i="9"/>
  <c r="H27" i="9"/>
  <c r="N169" i="9"/>
  <c r="Z169" i="9"/>
  <c r="Z170" i="9" s="1"/>
  <c r="Z174" i="9" s="1"/>
  <c r="T74" i="9"/>
  <c r="T64" i="9"/>
  <c r="AG182" i="9"/>
  <c r="AG181" i="9" s="1"/>
  <c r="W181" i="9"/>
  <c r="L37" i="9"/>
  <c r="L184" i="9" s="1"/>
  <c r="AA182" i="9"/>
  <c r="AA181" i="9" s="1"/>
  <c r="AA186" i="9" s="1"/>
  <c r="F136" i="9"/>
  <c r="Y13" i="9"/>
  <c r="Z182" i="9" s="1"/>
  <c r="Z181" i="9" s="1"/>
  <c r="T19" i="9"/>
  <c r="L181" i="9"/>
  <c r="T53" i="9"/>
  <c r="I177" i="9"/>
  <c r="I176" i="9" s="1"/>
  <c r="K177" i="9"/>
  <c r="K176" i="9" s="1"/>
  <c r="K186" i="9" s="1"/>
  <c r="J177" i="9"/>
  <c r="J176" i="9" s="1"/>
  <c r="H136" i="9"/>
  <c r="T2" i="9"/>
  <c r="X182" i="9"/>
  <c r="X181" i="9" s="1"/>
  <c r="T91" i="9"/>
  <c r="AI24" i="9"/>
  <c r="AE186" i="9"/>
  <c r="T21" i="9"/>
  <c r="AD182" i="9"/>
  <c r="I13" i="9"/>
  <c r="I182" i="9" s="1"/>
  <c r="I181" i="9" s="1"/>
  <c r="T117" i="9"/>
  <c r="S37" i="9"/>
  <c r="S184" i="9" s="1"/>
  <c r="S181" i="9" s="1"/>
  <c r="S186" i="9" s="1"/>
  <c r="U20" i="9"/>
  <c r="X22" i="9"/>
  <c r="J169" i="9"/>
  <c r="N27" i="9"/>
  <c r="N183" i="9" s="1"/>
  <c r="T98" i="9"/>
  <c r="T86" i="9"/>
  <c r="AG136" i="9"/>
  <c r="AG170" i="9" s="1"/>
  <c r="AG174" i="9" s="1"/>
  <c r="M13" i="9"/>
  <c r="N182" i="9" s="1"/>
  <c r="T102" i="9"/>
  <c r="O182" i="9"/>
  <c r="O181" i="9" s="1"/>
  <c r="O186" i="9" s="1"/>
  <c r="T33" i="9"/>
  <c r="P177" i="9"/>
  <c r="P176" i="9" s="1"/>
  <c r="M136" i="9"/>
  <c r="M170" i="9" s="1"/>
  <c r="M174" i="9" s="1"/>
  <c r="U153" i="1"/>
  <c r="V153" i="1" s="1"/>
  <c r="W185" i="1"/>
  <c r="U146" i="1"/>
  <c r="V146" i="1" s="1"/>
  <c r="U122" i="1"/>
  <c r="V122" i="1" s="1"/>
  <c r="BB3" i="5"/>
  <c r="AH67" i="5"/>
  <c r="H67" i="5"/>
  <c r="U67" i="5"/>
  <c r="Q470" i="5"/>
  <c r="AD470" i="5"/>
  <c r="D470" i="5"/>
  <c r="AO223" i="5"/>
  <c r="AB223" i="5"/>
  <c r="O223" i="5"/>
  <c r="J107" i="5"/>
  <c r="AJ107" i="5"/>
  <c r="W107" i="5"/>
  <c r="N260" i="5"/>
  <c r="AA260" i="5"/>
  <c r="AN260" i="5"/>
  <c r="AJ504" i="5"/>
  <c r="W504" i="5"/>
  <c r="J504" i="5"/>
  <c r="AK284" i="5"/>
  <c r="X284" i="5"/>
  <c r="K284" i="5"/>
  <c r="AO323" i="5"/>
  <c r="AB323" i="5"/>
  <c r="O323" i="5"/>
  <c r="AK467" i="5"/>
  <c r="K467" i="5"/>
  <c r="X467" i="5"/>
  <c r="AG20" i="5"/>
  <c r="G20" i="5"/>
  <c r="T20" i="5"/>
  <c r="AL56" i="5"/>
  <c r="Y56" i="5"/>
  <c r="L56" i="5"/>
  <c r="AE80" i="5"/>
  <c r="R80" i="5"/>
  <c r="E80" i="5"/>
  <c r="AH116" i="5"/>
  <c r="U116" i="5"/>
  <c r="H116" i="5"/>
  <c r="AE140" i="5"/>
  <c r="R140" i="5"/>
  <c r="E140" i="5"/>
  <c r="AF176" i="5"/>
  <c r="S176" i="5"/>
  <c r="F176" i="5"/>
  <c r="R200" i="5"/>
  <c r="E200" i="5"/>
  <c r="AE200" i="5"/>
  <c r="AN236" i="5"/>
  <c r="N236" i="5"/>
  <c r="AA236" i="5"/>
  <c r="AE260" i="5"/>
  <c r="R260" i="5"/>
  <c r="E260" i="5"/>
  <c r="AL296" i="5"/>
  <c r="L296" i="5"/>
  <c r="Y296" i="5"/>
  <c r="X332" i="5"/>
  <c r="K332" i="5"/>
  <c r="AK332" i="5"/>
  <c r="AE356" i="5"/>
  <c r="R356" i="5"/>
  <c r="E356" i="5"/>
  <c r="AF404" i="5"/>
  <c r="F404" i="5"/>
  <c r="S404" i="5"/>
  <c r="AF452" i="5"/>
  <c r="S452" i="5"/>
  <c r="F452" i="5"/>
  <c r="S500" i="5"/>
  <c r="AF500" i="5"/>
  <c r="F500" i="5"/>
  <c r="AG144" i="5"/>
  <c r="T144" i="5"/>
  <c r="G144" i="5"/>
  <c r="AI311" i="5"/>
  <c r="V311" i="5"/>
  <c r="I311" i="5"/>
  <c r="AJ360" i="5"/>
  <c r="W360" i="5"/>
  <c r="J360" i="5"/>
  <c r="M216" i="5"/>
  <c r="Z216" i="5"/>
  <c r="AM216" i="5"/>
  <c r="T335" i="5"/>
  <c r="G335" i="5"/>
  <c r="AG335" i="5"/>
  <c r="N203" i="5"/>
  <c r="AN203" i="5"/>
  <c r="AA203" i="5"/>
  <c r="R239" i="5"/>
  <c r="AE239" i="5"/>
  <c r="E239" i="5"/>
  <c r="Q299" i="5"/>
  <c r="AD299" i="5"/>
  <c r="D299" i="5"/>
  <c r="AJ359" i="5"/>
  <c r="W359" i="5"/>
  <c r="J359" i="5"/>
  <c r="N431" i="5"/>
  <c r="AN431" i="5"/>
  <c r="AA431" i="5"/>
  <c r="V324" i="5"/>
  <c r="AI324" i="5"/>
  <c r="I324" i="5"/>
  <c r="AL36" i="5"/>
  <c r="Y36" i="5"/>
  <c r="L36" i="5"/>
  <c r="AM60" i="5"/>
  <c r="Z60" i="5"/>
  <c r="M60" i="5"/>
  <c r="AI96" i="5"/>
  <c r="V96" i="5"/>
  <c r="I96" i="5"/>
  <c r="AJ120" i="5"/>
  <c r="J120" i="5"/>
  <c r="W120" i="5"/>
  <c r="N156" i="5"/>
  <c r="AN156" i="5"/>
  <c r="AA156" i="5"/>
  <c r="AG180" i="5"/>
  <c r="T180" i="5"/>
  <c r="G180" i="5"/>
  <c r="X216" i="5"/>
  <c r="AK216" i="5"/>
  <c r="K216" i="5"/>
  <c r="AE240" i="5"/>
  <c r="E240" i="5"/>
  <c r="R240" i="5"/>
  <c r="V276" i="5"/>
  <c r="AI276" i="5"/>
  <c r="I276" i="5"/>
  <c r="R300" i="5"/>
  <c r="AE300" i="5"/>
  <c r="E300" i="5"/>
  <c r="AL336" i="5"/>
  <c r="Y336" i="5"/>
  <c r="L336" i="5"/>
  <c r="AI372" i="5"/>
  <c r="V372" i="5"/>
  <c r="I372" i="5"/>
  <c r="AF420" i="5"/>
  <c r="S420" i="5"/>
  <c r="F420" i="5"/>
  <c r="F468" i="5"/>
  <c r="S468" i="5"/>
  <c r="AF468" i="5"/>
  <c r="AO122" i="5"/>
  <c r="AB122" i="5"/>
  <c r="O122" i="5"/>
  <c r="AO422" i="5"/>
  <c r="O422" i="5"/>
  <c r="AB422" i="5"/>
  <c r="AK26" i="5"/>
  <c r="X26" i="5"/>
  <c r="K26" i="5"/>
  <c r="AK97" i="5"/>
  <c r="X97" i="5"/>
  <c r="K97" i="5"/>
  <c r="AO25" i="5"/>
  <c r="O25" i="5"/>
  <c r="AB25" i="5"/>
  <c r="N14" i="5"/>
  <c r="AN14" i="5"/>
  <c r="AA14" i="5"/>
  <c r="N50" i="5"/>
  <c r="AN50" i="5"/>
  <c r="AA50" i="5"/>
  <c r="AI62" i="5"/>
  <c r="V62" i="5"/>
  <c r="I62" i="5"/>
  <c r="M74" i="5"/>
  <c r="Z74" i="5"/>
  <c r="AM74" i="5"/>
  <c r="R86" i="5"/>
  <c r="AE86" i="5"/>
  <c r="E86" i="5"/>
  <c r="R98" i="5"/>
  <c r="AE98" i="5"/>
  <c r="E98" i="5"/>
  <c r="AH122" i="5"/>
  <c r="U122" i="5"/>
  <c r="H122" i="5"/>
  <c r="N134" i="5"/>
  <c r="AN134" i="5"/>
  <c r="AA134" i="5"/>
  <c r="AD158" i="5"/>
  <c r="Q158" i="5"/>
  <c r="D158" i="5"/>
  <c r="AE170" i="5"/>
  <c r="E170" i="5"/>
  <c r="R170" i="5"/>
  <c r="AM206" i="5"/>
  <c r="M206" i="5"/>
  <c r="Z206" i="5"/>
  <c r="AL230" i="5"/>
  <c r="L230" i="5"/>
  <c r="Y230" i="5"/>
  <c r="AF254" i="5"/>
  <c r="S254" i="5"/>
  <c r="F254" i="5"/>
  <c r="Y278" i="5"/>
  <c r="L278" i="5"/>
  <c r="AL278" i="5"/>
  <c r="AF326" i="5"/>
  <c r="S326" i="5"/>
  <c r="F326" i="5"/>
  <c r="K350" i="5"/>
  <c r="AK350" i="5"/>
  <c r="X350" i="5"/>
  <c r="Q398" i="5"/>
  <c r="AD398" i="5"/>
  <c r="D398" i="5"/>
  <c r="AE422" i="5"/>
  <c r="R422" i="5"/>
  <c r="E422" i="5"/>
  <c r="AK446" i="5"/>
  <c r="X446" i="5"/>
  <c r="K446" i="5"/>
  <c r="S470" i="5"/>
  <c r="AF470" i="5"/>
  <c r="F470" i="5"/>
  <c r="AK27" i="5"/>
  <c r="X27" i="5"/>
  <c r="K27" i="5"/>
  <c r="AK51" i="5"/>
  <c r="X51" i="5"/>
  <c r="K51" i="5"/>
  <c r="O63" i="5"/>
  <c r="AO63" i="5"/>
  <c r="AB63" i="5"/>
  <c r="AD75" i="5"/>
  <c r="Q75" i="5"/>
  <c r="D75" i="5"/>
  <c r="AI87" i="5"/>
  <c r="V87" i="5"/>
  <c r="I87" i="5"/>
  <c r="U99" i="5"/>
  <c r="AH99" i="5"/>
  <c r="H99" i="5"/>
  <c r="S111" i="5"/>
  <c r="AF111" i="5"/>
  <c r="F111" i="5"/>
  <c r="AM123" i="5"/>
  <c r="Z123" i="5"/>
  <c r="M123" i="5"/>
  <c r="S147" i="5"/>
  <c r="AF147" i="5"/>
  <c r="F147" i="5"/>
  <c r="O159" i="5"/>
  <c r="AO159" i="5"/>
  <c r="AB159" i="5"/>
  <c r="O171" i="5"/>
  <c r="AO171" i="5"/>
  <c r="AB171" i="5"/>
  <c r="AK207" i="5"/>
  <c r="X207" i="5"/>
  <c r="K207" i="5"/>
  <c r="AH219" i="5"/>
  <c r="U219" i="5"/>
  <c r="H219" i="5"/>
  <c r="AN255" i="5"/>
  <c r="N255" i="5"/>
  <c r="AA255" i="5"/>
  <c r="AI279" i="5"/>
  <c r="I279" i="5"/>
  <c r="V279" i="5"/>
  <c r="Q303" i="5"/>
  <c r="AD303" i="5"/>
  <c r="D303" i="5"/>
  <c r="U327" i="5"/>
  <c r="AH327" i="5"/>
  <c r="H327" i="5"/>
  <c r="X351" i="5"/>
  <c r="K351" i="5"/>
  <c r="AK351" i="5"/>
  <c r="V399" i="5"/>
  <c r="AI399" i="5"/>
  <c r="I399" i="5"/>
  <c r="AI423" i="5"/>
  <c r="V423" i="5"/>
  <c r="I423" i="5"/>
  <c r="AG459" i="5"/>
  <c r="T459" i="5"/>
  <c r="G459" i="5"/>
  <c r="N483" i="5"/>
  <c r="AN483" i="5"/>
  <c r="AA483" i="5"/>
  <c r="M507" i="5"/>
  <c r="Z507" i="5"/>
  <c r="AM507" i="5"/>
  <c r="AG387" i="5"/>
  <c r="G387" i="5"/>
  <c r="T387" i="5"/>
  <c r="AE445" i="5"/>
  <c r="R445" i="5"/>
  <c r="E445" i="5"/>
  <c r="R37" i="5"/>
  <c r="AE37" i="5"/>
  <c r="E37" i="5"/>
  <c r="AJ38" i="5"/>
  <c r="W38" i="5"/>
  <c r="J38" i="5"/>
  <c r="AE39" i="5"/>
  <c r="R39" i="5"/>
  <c r="E39" i="5"/>
  <c r="AI231" i="5"/>
  <c r="V231" i="5"/>
  <c r="I231" i="5"/>
  <c r="AO410" i="5"/>
  <c r="O410" i="5"/>
  <c r="AB410" i="5"/>
  <c r="AK171" i="5"/>
  <c r="X171" i="5"/>
  <c r="K171" i="5"/>
  <c r="AJ326" i="5"/>
  <c r="W326" i="5"/>
  <c r="J326" i="5"/>
  <c r="AJ374" i="5"/>
  <c r="J374" i="5"/>
  <c r="W374" i="5"/>
  <c r="AJ61" i="5"/>
  <c r="J61" i="5"/>
  <c r="W61" i="5"/>
  <c r="T350" i="5"/>
  <c r="G350" i="5"/>
  <c r="AG350" i="5"/>
  <c r="AJ494" i="5"/>
  <c r="W494" i="5"/>
  <c r="J494" i="5"/>
  <c r="AG13" i="5"/>
  <c r="T13" i="5"/>
  <c r="G13" i="5"/>
  <c r="AG49" i="5"/>
  <c r="G49" i="5"/>
  <c r="T49" i="5"/>
  <c r="N61" i="5"/>
  <c r="AA61" i="5"/>
  <c r="AN61" i="5"/>
  <c r="R73" i="5"/>
  <c r="E73" i="5"/>
  <c r="AE73" i="5"/>
  <c r="U97" i="5"/>
  <c r="H97" i="5"/>
  <c r="AH97" i="5"/>
  <c r="S109" i="5"/>
  <c r="AF109" i="5"/>
  <c r="F109" i="5"/>
  <c r="N121" i="5"/>
  <c r="AN121" i="5"/>
  <c r="AA121" i="5"/>
  <c r="AJ133" i="5"/>
  <c r="J133" i="5"/>
  <c r="W133" i="5"/>
  <c r="AG145" i="5"/>
  <c r="G145" i="5"/>
  <c r="T145" i="5"/>
  <c r="AO157" i="5"/>
  <c r="AB157" i="5"/>
  <c r="O157" i="5"/>
  <c r="AM169" i="5"/>
  <c r="Z169" i="5"/>
  <c r="M169" i="5"/>
  <c r="R181" i="5"/>
  <c r="AE181" i="5"/>
  <c r="E181" i="5"/>
  <c r="AL205" i="5"/>
  <c r="Y205" i="5"/>
  <c r="L205" i="5"/>
  <c r="W217" i="5"/>
  <c r="AJ217" i="5"/>
  <c r="J217" i="5"/>
  <c r="AM229" i="5"/>
  <c r="Z229" i="5"/>
  <c r="M229" i="5"/>
  <c r="AJ241" i="5"/>
  <c r="W241" i="5"/>
  <c r="J241" i="5"/>
  <c r="AE253" i="5"/>
  <c r="R253" i="5"/>
  <c r="E253" i="5"/>
  <c r="AO277" i="5"/>
  <c r="O277" i="5"/>
  <c r="AB277" i="5"/>
  <c r="Q289" i="5"/>
  <c r="AD289" i="5"/>
  <c r="D289" i="5"/>
  <c r="I301" i="5"/>
  <c r="AI301" i="5"/>
  <c r="V301" i="5"/>
  <c r="AJ313" i="5"/>
  <c r="W313" i="5"/>
  <c r="J313" i="5"/>
  <c r="N325" i="5"/>
  <c r="AN325" i="5"/>
  <c r="AA325" i="5"/>
  <c r="AM349" i="5"/>
  <c r="Z349" i="5"/>
  <c r="M349" i="5"/>
  <c r="S361" i="5"/>
  <c r="AF361" i="5"/>
  <c r="F361" i="5"/>
  <c r="N373" i="5"/>
  <c r="AN373" i="5"/>
  <c r="AA373" i="5"/>
  <c r="AK385" i="5"/>
  <c r="X385" i="5"/>
  <c r="K385" i="5"/>
  <c r="AO397" i="5"/>
  <c r="O397" i="5"/>
  <c r="AB397" i="5"/>
  <c r="AO409" i="5"/>
  <c r="AB409" i="5"/>
  <c r="O409" i="5"/>
  <c r="Q421" i="5"/>
  <c r="AD421" i="5"/>
  <c r="D421" i="5"/>
  <c r="Q433" i="5"/>
  <c r="AD433" i="5"/>
  <c r="D433" i="5"/>
  <c r="AM445" i="5"/>
  <c r="M445" i="5"/>
  <c r="Z445" i="5"/>
  <c r="AE469" i="5"/>
  <c r="R469" i="5"/>
  <c r="E469" i="5"/>
  <c r="Q481" i="5"/>
  <c r="AD481" i="5"/>
  <c r="D481" i="5"/>
  <c r="AF493" i="5"/>
  <c r="S493" i="5"/>
  <c r="F493" i="5"/>
  <c r="M505" i="5"/>
  <c r="AM505" i="5"/>
  <c r="Z505" i="5"/>
  <c r="AM26" i="5"/>
  <c r="M26" i="5"/>
  <c r="Z26" i="5"/>
  <c r="U146" i="5"/>
  <c r="AH146" i="5"/>
  <c r="H146" i="5"/>
  <c r="U194" i="5"/>
  <c r="AH194" i="5"/>
  <c r="H194" i="5"/>
  <c r="AE218" i="5"/>
  <c r="R218" i="5"/>
  <c r="E218" i="5"/>
  <c r="AI266" i="5"/>
  <c r="I266" i="5"/>
  <c r="V266" i="5"/>
  <c r="AF290" i="5"/>
  <c r="S290" i="5"/>
  <c r="F290" i="5"/>
  <c r="AJ314" i="5"/>
  <c r="W314" i="5"/>
  <c r="J314" i="5"/>
  <c r="Q338" i="5"/>
  <c r="AD338" i="5"/>
  <c r="D338" i="5"/>
  <c r="AI362" i="5"/>
  <c r="V362" i="5"/>
  <c r="I362" i="5"/>
  <c r="AI410" i="5"/>
  <c r="I410" i="5"/>
  <c r="V410" i="5"/>
  <c r="AL434" i="5"/>
  <c r="L434" i="5"/>
  <c r="Y434" i="5"/>
  <c r="S458" i="5"/>
  <c r="AF458" i="5"/>
  <c r="F458" i="5"/>
  <c r="AH506" i="5"/>
  <c r="U506" i="5"/>
  <c r="H506" i="5"/>
  <c r="N142" i="5"/>
  <c r="AA142" i="5"/>
  <c r="AN142" i="5"/>
  <c r="AH214" i="5"/>
  <c r="H214" i="5"/>
  <c r="U214" i="5"/>
  <c r="N238" i="5"/>
  <c r="AN238" i="5"/>
  <c r="AA238" i="5"/>
  <c r="AD258" i="5"/>
  <c r="Q258" i="5"/>
  <c r="D258" i="5"/>
  <c r="AL282" i="5"/>
  <c r="Y282" i="5"/>
  <c r="L282" i="5"/>
  <c r="N342" i="5"/>
  <c r="AA342" i="5"/>
  <c r="AN342" i="5"/>
  <c r="S34" i="5"/>
  <c r="AF34" i="5"/>
  <c r="F34" i="5"/>
  <c r="I118" i="5"/>
  <c r="AI118" i="5"/>
  <c r="V118" i="5"/>
  <c r="AB142" i="5"/>
  <c r="O142" i="5"/>
  <c r="AO142" i="5"/>
  <c r="AL202" i="5"/>
  <c r="L202" i="5"/>
  <c r="Y202" i="5"/>
  <c r="O222" i="5"/>
  <c r="AO222" i="5"/>
  <c r="AB222" i="5"/>
  <c r="AI246" i="5"/>
  <c r="V246" i="5"/>
  <c r="I246" i="5"/>
  <c r="N390" i="5"/>
  <c r="AN390" i="5"/>
  <c r="AA390" i="5"/>
  <c r="N466" i="5"/>
  <c r="AN466" i="5"/>
  <c r="AA466" i="5"/>
  <c r="AN510" i="5"/>
  <c r="AA510" i="5"/>
  <c r="N510" i="5"/>
  <c r="AG126" i="5"/>
  <c r="T126" i="5"/>
  <c r="G126" i="5"/>
  <c r="AG190" i="5"/>
  <c r="T190" i="5"/>
  <c r="G190" i="5"/>
  <c r="AJ258" i="5"/>
  <c r="W258" i="5"/>
  <c r="J258" i="5"/>
  <c r="AO322" i="5"/>
  <c r="AB322" i="5"/>
  <c r="O322" i="5"/>
  <c r="F418" i="5"/>
  <c r="S418" i="5"/>
  <c r="AF418" i="5"/>
  <c r="S454" i="5"/>
  <c r="AF454" i="5"/>
  <c r="F454" i="5"/>
  <c r="S56" i="5"/>
  <c r="AF56" i="5"/>
  <c r="F56" i="5"/>
  <c r="Q120" i="5"/>
  <c r="AD120" i="5"/>
  <c r="D120" i="5"/>
  <c r="AM164" i="5"/>
  <c r="Z164" i="5"/>
  <c r="M164" i="5"/>
  <c r="AM288" i="5"/>
  <c r="M288" i="5"/>
  <c r="Z288" i="5"/>
  <c r="AL420" i="5"/>
  <c r="Y420" i="5"/>
  <c r="L420" i="5"/>
  <c r="AL431" i="5"/>
  <c r="Y431" i="5"/>
  <c r="L431" i="5"/>
  <c r="AI504" i="5"/>
  <c r="V504" i="5"/>
  <c r="I504" i="5"/>
  <c r="AJ139" i="5"/>
  <c r="W139" i="5"/>
  <c r="J139" i="5"/>
  <c r="AM239" i="5"/>
  <c r="M239" i="5"/>
  <c r="Z239" i="5"/>
  <c r="AG263" i="5"/>
  <c r="T263" i="5"/>
  <c r="G263" i="5"/>
  <c r="AH287" i="5"/>
  <c r="U287" i="5"/>
  <c r="H287" i="5"/>
  <c r="N323" i="5"/>
  <c r="AN323" i="5"/>
  <c r="AA323" i="5"/>
  <c r="Q84" i="5"/>
  <c r="AD84" i="5"/>
  <c r="D84" i="5"/>
  <c r="AI287" i="5"/>
  <c r="V287" i="5"/>
  <c r="I287" i="5"/>
  <c r="AH360" i="5"/>
  <c r="U360" i="5"/>
  <c r="H360" i="5"/>
  <c r="AD384" i="5"/>
  <c r="Q384" i="5"/>
  <c r="D384" i="5"/>
  <c r="U476" i="5"/>
  <c r="AH476" i="5"/>
  <c r="H476" i="5"/>
  <c r="AE20" i="5"/>
  <c r="R20" i="5"/>
  <c r="E20" i="5"/>
  <c r="AK56" i="5"/>
  <c r="X56" i="5"/>
  <c r="K56" i="5"/>
  <c r="AF92" i="5"/>
  <c r="S92" i="5"/>
  <c r="F92" i="5"/>
  <c r="I116" i="5"/>
  <c r="V116" i="5"/>
  <c r="AI116" i="5"/>
  <c r="AO152" i="5"/>
  <c r="AB152" i="5"/>
  <c r="O152" i="5"/>
  <c r="Q176" i="5"/>
  <c r="AD176" i="5"/>
  <c r="D176" i="5"/>
  <c r="AL212" i="5"/>
  <c r="Y212" i="5"/>
  <c r="L212" i="5"/>
  <c r="AM236" i="5"/>
  <c r="Z236" i="5"/>
  <c r="M236" i="5"/>
  <c r="AI272" i="5"/>
  <c r="V272" i="5"/>
  <c r="I272" i="5"/>
  <c r="AE296" i="5"/>
  <c r="E296" i="5"/>
  <c r="R296" i="5"/>
  <c r="T332" i="5"/>
  <c r="AG332" i="5"/>
  <c r="G332" i="5"/>
  <c r="Q368" i="5"/>
  <c r="AD368" i="5"/>
  <c r="D368" i="5"/>
  <c r="N404" i="5"/>
  <c r="AA404" i="5"/>
  <c r="AN404" i="5"/>
  <c r="N452" i="5"/>
  <c r="AN452" i="5"/>
  <c r="AA452" i="5"/>
  <c r="AN500" i="5"/>
  <c r="AA500" i="5"/>
  <c r="N500" i="5"/>
  <c r="AO203" i="5"/>
  <c r="AB203" i="5"/>
  <c r="O203" i="5"/>
  <c r="AE443" i="5"/>
  <c r="R443" i="5"/>
  <c r="E443" i="5"/>
  <c r="M71" i="5"/>
  <c r="Z71" i="5"/>
  <c r="AM71" i="5"/>
  <c r="AI120" i="5"/>
  <c r="V120" i="5"/>
  <c r="I120" i="5"/>
  <c r="V216" i="5"/>
  <c r="AI216" i="5"/>
  <c r="I216" i="5"/>
  <c r="AG432" i="5"/>
  <c r="T432" i="5"/>
  <c r="G432" i="5"/>
  <c r="AM120" i="5"/>
  <c r="M120" i="5"/>
  <c r="Z120" i="5"/>
  <c r="AK180" i="5"/>
  <c r="K180" i="5"/>
  <c r="X180" i="5"/>
  <c r="N23" i="5"/>
  <c r="AA23" i="5"/>
  <c r="AN23" i="5"/>
  <c r="AM203" i="5"/>
  <c r="M203" i="5"/>
  <c r="Z203" i="5"/>
  <c r="N263" i="5"/>
  <c r="AN263" i="5"/>
  <c r="AA263" i="5"/>
  <c r="AB299" i="5"/>
  <c r="AO299" i="5"/>
  <c r="O299" i="5"/>
  <c r="AF359" i="5"/>
  <c r="S359" i="5"/>
  <c r="F359" i="5"/>
  <c r="AM431" i="5"/>
  <c r="M431" i="5"/>
  <c r="Z431" i="5"/>
  <c r="AH204" i="5"/>
  <c r="H204" i="5"/>
  <c r="U204" i="5"/>
  <c r="AH36" i="5"/>
  <c r="H36" i="5"/>
  <c r="U36" i="5"/>
  <c r="AE60" i="5"/>
  <c r="R60" i="5"/>
  <c r="E60" i="5"/>
  <c r="Q96" i="5"/>
  <c r="AD96" i="5"/>
  <c r="D96" i="5"/>
  <c r="R120" i="5"/>
  <c r="AE120" i="5"/>
  <c r="E120" i="5"/>
  <c r="AB156" i="5"/>
  <c r="AO156" i="5"/>
  <c r="O156" i="5"/>
  <c r="AE180" i="5"/>
  <c r="E180" i="5"/>
  <c r="R180" i="5"/>
  <c r="AL216" i="5"/>
  <c r="L216" i="5"/>
  <c r="Y216" i="5"/>
  <c r="S252" i="5"/>
  <c r="AF252" i="5"/>
  <c r="F252" i="5"/>
  <c r="AJ276" i="5"/>
  <c r="W276" i="5"/>
  <c r="J276" i="5"/>
  <c r="T312" i="5"/>
  <c r="G312" i="5"/>
  <c r="AG312" i="5"/>
  <c r="AJ336" i="5"/>
  <c r="W336" i="5"/>
  <c r="J336" i="5"/>
  <c r="AD372" i="5"/>
  <c r="Q372" i="5"/>
  <c r="D372" i="5"/>
  <c r="N420" i="5"/>
  <c r="AN420" i="5"/>
  <c r="AA420" i="5"/>
  <c r="N468" i="5"/>
  <c r="AN468" i="5"/>
  <c r="AA468" i="5"/>
  <c r="AE386" i="5"/>
  <c r="E386" i="5"/>
  <c r="R386" i="5"/>
  <c r="AB399" i="5"/>
  <c r="AO399" i="5"/>
  <c r="O399" i="5"/>
  <c r="AH435" i="5"/>
  <c r="U435" i="5"/>
  <c r="H435" i="5"/>
  <c r="T170" i="5"/>
  <c r="AG170" i="5"/>
  <c r="G170" i="5"/>
  <c r="AO37" i="5"/>
  <c r="AB37" i="5"/>
  <c r="O37" i="5"/>
  <c r="U291" i="5"/>
  <c r="AH291" i="5"/>
  <c r="H291" i="5"/>
  <c r="AI387" i="5"/>
  <c r="V387" i="5"/>
  <c r="I387" i="5"/>
  <c r="N25" i="5"/>
  <c r="AN25" i="5"/>
  <c r="AA25" i="5"/>
  <c r="AM14" i="5"/>
  <c r="M14" i="5"/>
  <c r="Z14" i="5"/>
  <c r="AK50" i="5"/>
  <c r="X50" i="5"/>
  <c r="K50" i="5"/>
  <c r="AF62" i="5"/>
  <c r="S62" i="5"/>
  <c r="F62" i="5"/>
  <c r="N74" i="5"/>
  <c r="AA74" i="5"/>
  <c r="AN74" i="5"/>
  <c r="AM98" i="5"/>
  <c r="M98" i="5"/>
  <c r="Z98" i="5"/>
  <c r="N110" i="5"/>
  <c r="AN110" i="5"/>
  <c r="AA110" i="5"/>
  <c r="Q122" i="5"/>
  <c r="AD122" i="5"/>
  <c r="D122" i="5"/>
  <c r="W134" i="5"/>
  <c r="AJ134" i="5"/>
  <c r="J134" i="5"/>
  <c r="AB158" i="5"/>
  <c r="O158" i="5"/>
  <c r="AO158" i="5"/>
  <c r="AB182" i="5"/>
  <c r="AO182" i="5"/>
  <c r="O182" i="5"/>
  <c r="L206" i="5"/>
  <c r="AL206" i="5"/>
  <c r="Y206" i="5"/>
  <c r="AF230" i="5"/>
  <c r="S230" i="5"/>
  <c r="F230" i="5"/>
  <c r="X254" i="5"/>
  <c r="AK254" i="5"/>
  <c r="K254" i="5"/>
  <c r="AJ278" i="5"/>
  <c r="W278" i="5"/>
  <c r="J278" i="5"/>
  <c r="AM326" i="5"/>
  <c r="Z326" i="5"/>
  <c r="M326" i="5"/>
  <c r="AL350" i="5"/>
  <c r="L350" i="5"/>
  <c r="Y350" i="5"/>
  <c r="AO398" i="5"/>
  <c r="AB398" i="5"/>
  <c r="O398" i="5"/>
  <c r="AI422" i="5"/>
  <c r="V422" i="5"/>
  <c r="I422" i="5"/>
  <c r="AF446" i="5"/>
  <c r="S446" i="5"/>
  <c r="F446" i="5"/>
  <c r="N470" i="5"/>
  <c r="AN470" i="5"/>
  <c r="AA470" i="5"/>
  <c r="AJ27" i="5"/>
  <c r="J27" i="5"/>
  <c r="W27" i="5"/>
  <c r="AJ51" i="5"/>
  <c r="W51" i="5"/>
  <c r="J51" i="5"/>
  <c r="N63" i="5"/>
  <c r="AN63" i="5"/>
  <c r="AA63" i="5"/>
  <c r="AH75" i="5"/>
  <c r="U75" i="5"/>
  <c r="H75" i="5"/>
  <c r="AH87" i="5"/>
  <c r="U87" i="5"/>
  <c r="H87" i="5"/>
  <c r="AI99" i="5"/>
  <c r="V99" i="5"/>
  <c r="I99" i="5"/>
  <c r="Q111" i="5"/>
  <c r="AD111" i="5"/>
  <c r="D111" i="5"/>
  <c r="AE123" i="5"/>
  <c r="R123" i="5"/>
  <c r="E123" i="5"/>
  <c r="Q147" i="5"/>
  <c r="AD147" i="5"/>
  <c r="D147" i="5"/>
  <c r="AM159" i="5"/>
  <c r="Z159" i="5"/>
  <c r="M159" i="5"/>
  <c r="AM171" i="5"/>
  <c r="M171" i="5"/>
  <c r="Z171" i="5"/>
  <c r="AJ207" i="5"/>
  <c r="W207" i="5"/>
  <c r="J207" i="5"/>
  <c r="AL219" i="5"/>
  <c r="Y219" i="5"/>
  <c r="L219" i="5"/>
  <c r="X243" i="5"/>
  <c r="AK243" i="5"/>
  <c r="K243" i="5"/>
  <c r="AL255" i="5"/>
  <c r="Y255" i="5"/>
  <c r="L255" i="5"/>
  <c r="S279" i="5"/>
  <c r="AF279" i="5"/>
  <c r="F279" i="5"/>
  <c r="AL303" i="5"/>
  <c r="Y303" i="5"/>
  <c r="L303" i="5"/>
  <c r="Q327" i="5"/>
  <c r="AD327" i="5"/>
  <c r="D327" i="5"/>
  <c r="AE351" i="5"/>
  <c r="E351" i="5"/>
  <c r="R351" i="5"/>
  <c r="U399" i="5"/>
  <c r="AH399" i="5"/>
  <c r="H399" i="5"/>
  <c r="AH423" i="5"/>
  <c r="U423" i="5"/>
  <c r="H423" i="5"/>
  <c r="Q459" i="5"/>
  <c r="D459" i="5"/>
  <c r="AD459" i="5"/>
  <c r="Z483" i="5"/>
  <c r="M483" i="5"/>
  <c r="AM483" i="5"/>
  <c r="AI435" i="5"/>
  <c r="V435" i="5"/>
  <c r="I435" i="5"/>
  <c r="AJ457" i="5"/>
  <c r="J457" i="5"/>
  <c r="W457" i="5"/>
  <c r="AJ14" i="5"/>
  <c r="W14" i="5"/>
  <c r="J14" i="5"/>
  <c r="R423" i="5"/>
  <c r="E423" i="5"/>
  <c r="AE423" i="5"/>
  <c r="AJ506" i="5"/>
  <c r="J506" i="5"/>
  <c r="W506" i="5"/>
  <c r="AH483" i="5"/>
  <c r="U483" i="5"/>
  <c r="H483" i="5"/>
  <c r="AK38" i="5"/>
  <c r="X38" i="5"/>
  <c r="K38" i="5"/>
  <c r="AJ447" i="5"/>
  <c r="W447" i="5"/>
  <c r="J447" i="5"/>
  <c r="AO26" i="5"/>
  <c r="O26" i="5"/>
  <c r="AB26" i="5"/>
  <c r="AI61" i="5"/>
  <c r="V61" i="5"/>
  <c r="I61" i="5"/>
  <c r="AO86" i="5"/>
  <c r="AB86" i="5"/>
  <c r="O86" i="5"/>
  <c r="AI242" i="5"/>
  <c r="V242" i="5"/>
  <c r="I242" i="5"/>
  <c r="AK326" i="5"/>
  <c r="K326" i="5"/>
  <c r="X326" i="5"/>
  <c r="V398" i="5"/>
  <c r="AI398" i="5"/>
  <c r="I398" i="5"/>
  <c r="AI494" i="5"/>
  <c r="V494" i="5"/>
  <c r="I494" i="5"/>
  <c r="AM39" i="5"/>
  <c r="Z39" i="5"/>
  <c r="M39" i="5"/>
  <c r="AO13" i="5"/>
  <c r="O13" i="5"/>
  <c r="AB13" i="5"/>
  <c r="AF49" i="5"/>
  <c r="S49" i="5"/>
  <c r="F49" i="5"/>
  <c r="R61" i="5"/>
  <c r="AE61" i="5"/>
  <c r="E61" i="5"/>
  <c r="AD85" i="5"/>
  <c r="Q85" i="5"/>
  <c r="D85" i="5"/>
  <c r="AI97" i="5"/>
  <c r="I97" i="5"/>
  <c r="V97" i="5"/>
  <c r="AL109" i="5"/>
  <c r="L109" i="5"/>
  <c r="Y109" i="5"/>
  <c r="W121" i="5"/>
  <c r="AJ121" i="5"/>
  <c r="J121" i="5"/>
  <c r="V133" i="5"/>
  <c r="AI133" i="5"/>
  <c r="I133" i="5"/>
  <c r="S145" i="5"/>
  <c r="AF145" i="5"/>
  <c r="F145" i="5"/>
  <c r="AN157" i="5"/>
  <c r="N157" i="5"/>
  <c r="AA157" i="5"/>
  <c r="AK169" i="5"/>
  <c r="X169" i="5"/>
  <c r="K169" i="5"/>
  <c r="N193" i="5"/>
  <c r="AA193" i="5"/>
  <c r="AN193" i="5"/>
  <c r="AK205" i="5"/>
  <c r="K205" i="5"/>
  <c r="X205" i="5"/>
  <c r="AO217" i="5"/>
  <c r="AB217" i="5"/>
  <c r="O217" i="5"/>
  <c r="AI229" i="5"/>
  <c r="V229" i="5"/>
  <c r="I229" i="5"/>
  <c r="AG241" i="5"/>
  <c r="G241" i="5"/>
  <c r="T241" i="5"/>
  <c r="AJ265" i="5"/>
  <c r="W265" i="5"/>
  <c r="J265" i="5"/>
  <c r="Y277" i="5"/>
  <c r="AL277" i="5"/>
  <c r="L277" i="5"/>
  <c r="AL289" i="5"/>
  <c r="Y289" i="5"/>
  <c r="L289" i="5"/>
  <c r="AJ301" i="5"/>
  <c r="J301" i="5"/>
  <c r="W301" i="5"/>
  <c r="AH313" i="5"/>
  <c r="H313" i="5"/>
  <c r="U313" i="5"/>
  <c r="AB325" i="5"/>
  <c r="O325" i="5"/>
  <c r="AO325" i="5"/>
  <c r="AG349" i="5"/>
  <c r="T349" i="5"/>
  <c r="G349" i="5"/>
  <c r="N361" i="5"/>
  <c r="AA361" i="5"/>
  <c r="AN361" i="5"/>
  <c r="AM373" i="5"/>
  <c r="Z373" i="5"/>
  <c r="M373" i="5"/>
  <c r="AJ385" i="5"/>
  <c r="W385" i="5"/>
  <c r="J385" i="5"/>
  <c r="AL397" i="5"/>
  <c r="Y397" i="5"/>
  <c r="L397" i="5"/>
  <c r="L409" i="5"/>
  <c r="Y409" i="5"/>
  <c r="AL409" i="5"/>
  <c r="AG421" i="5"/>
  <c r="G421" i="5"/>
  <c r="T421" i="5"/>
  <c r="AF433" i="5"/>
  <c r="S433" i="5"/>
  <c r="F433" i="5"/>
  <c r="R457" i="5"/>
  <c r="AE457" i="5"/>
  <c r="E457" i="5"/>
  <c r="Q469" i="5"/>
  <c r="AD469" i="5"/>
  <c r="D469" i="5"/>
  <c r="AF481" i="5"/>
  <c r="S481" i="5"/>
  <c r="F481" i="5"/>
  <c r="AA493" i="5"/>
  <c r="AN493" i="5"/>
  <c r="N493" i="5"/>
  <c r="N26" i="5"/>
  <c r="AN26" i="5"/>
  <c r="AA26" i="5"/>
  <c r="S146" i="5"/>
  <c r="AF146" i="5"/>
  <c r="F146" i="5"/>
  <c r="S194" i="5"/>
  <c r="AF194" i="5"/>
  <c r="F194" i="5"/>
  <c r="AO242" i="5"/>
  <c r="AB242" i="5"/>
  <c r="O242" i="5"/>
  <c r="U266" i="5"/>
  <c r="H266" i="5"/>
  <c r="AH266" i="5"/>
  <c r="Z290" i="5"/>
  <c r="M290" i="5"/>
  <c r="AM290" i="5"/>
  <c r="T314" i="5"/>
  <c r="G314" i="5"/>
  <c r="AG314" i="5"/>
  <c r="Z338" i="5"/>
  <c r="AM338" i="5"/>
  <c r="M338" i="5"/>
  <c r="AH362" i="5"/>
  <c r="U362" i="5"/>
  <c r="H362" i="5"/>
  <c r="AH410" i="5"/>
  <c r="H410" i="5"/>
  <c r="U410" i="5"/>
  <c r="AK434" i="5"/>
  <c r="X434" i="5"/>
  <c r="K434" i="5"/>
  <c r="N458" i="5"/>
  <c r="AA458" i="5"/>
  <c r="AN458" i="5"/>
  <c r="AG506" i="5"/>
  <c r="T506" i="5"/>
  <c r="G506" i="5"/>
  <c r="AM72" i="5"/>
  <c r="Z72" i="5"/>
  <c r="M72" i="5"/>
  <c r="AJ128" i="5"/>
  <c r="W128" i="5"/>
  <c r="J128" i="5"/>
  <c r="Z211" i="5"/>
  <c r="AM211" i="5"/>
  <c r="M211" i="5"/>
  <c r="X420" i="5"/>
  <c r="AK420" i="5"/>
  <c r="K420" i="5"/>
  <c r="AK431" i="5"/>
  <c r="K431" i="5"/>
  <c r="X431" i="5"/>
  <c r="AH451" i="5"/>
  <c r="U451" i="5"/>
  <c r="H451" i="5"/>
  <c r="Q476" i="5"/>
  <c r="AD476" i="5"/>
  <c r="D476" i="5"/>
  <c r="S191" i="5"/>
  <c r="AF191" i="5"/>
  <c r="F191" i="5"/>
  <c r="AJ499" i="5"/>
  <c r="J499" i="5"/>
  <c r="W499" i="5"/>
  <c r="AJ7" i="5"/>
  <c r="J7" i="5"/>
  <c r="W7" i="5"/>
  <c r="AE43" i="5"/>
  <c r="R43" i="5"/>
  <c r="E43" i="5"/>
  <c r="AD79" i="5"/>
  <c r="Q79" i="5"/>
  <c r="D79" i="5"/>
  <c r="AE103" i="5"/>
  <c r="E103" i="5"/>
  <c r="R103" i="5"/>
  <c r="N139" i="5"/>
  <c r="AA139" i="5"/>
  <c r="AN139" i="5"/>
  <c r="AE163" i="5"/>
  <c r="R163" i="5"/>
  <c r="E163" i="5"/>
  <c r="AK199" i="5"/>
  <c r="X199" i="5"/>
  <c r="K199" i="5"/>
  <c r="AD235" i="5"/>
  <c r="Q235" i="5"/>
  <c r="D235" i="5"/>
  <c r="AH259" i="5"/>
  <c r="U259" i="5"/>
  <c r="H259" i="5"/>
  <c r="Z295" i="5"/>
  <c r="AM295" i="5"/>
  <c r="M295" i="5"/>
  <c r="AG319" i="5"/>
  <c r="T319" i="5"/>
  <c r="G319" i="5"/>
  <c r="AB355" i="5"/>
  <c r="AO355" i="5"/>
  <c r="O355" i="5"/>
  <c r="N391" i="5"/>
  <c r="AN391" i="5"/>
  <c r="AA391" i="5"/>
  <c r="N439" i="5"/>
  <c r="AN439" i="5"/>
  <c r="AA439" i="5"/>
  <c r="N487" i="5"/>
  <c r="AN487" i="5"/>
  <c r="AA487" i="5"/>
  <c r="AO36" i="5"/>
  <c r="AB36" i="5"/>
  <c r="O36" i="5"/>
  <c r="Q432" i="5"/>
  <c r="AD432" i="5"/>
  <c r="D432" i="5"/>
  <c r="Q480" i="5"/>
  <c r="AD480" i="5"/>
  <c r="D480" i="5"/>
  <c r="AH60" i="5"/>
  <c r="U60" i="5"/>
  <c r="H60" i="5"/>
  <c r="AN72" i="5"/>
  <c r="N72" i="5"/>
  <c r="AA72" i="5"/>
  <c r="AM132" i="5"/>
  <c r="M132" i="5"/>
  <c r="Z132" i="5"/>
  <c r="AO359" i="5"/>
  <c r="O359" i="5"/>
  <c r="AB359" i="5"/>
  <c r="V440" i="5"/>
  <c r="AI440" i="5"/>
  <c r="I440" i="5"/>
  <c r="N288" i="5"/>
  <c r="AA288" i="5"/>
  <c r="AN288" i="5"/>
  <c r="X347" i="5"/>
  <c r="AK347" i="5"/>
  <c r="K347" i="5"/>
  <c r="AB68" i="5"/>
  <c r="AO68" i="5"/>
  <c r="O68" i="5"/>
  <c r="AI227" i="5"/>
  <c r="V227" i="5"/>
  <c r="I227" i="5"/>
  <c r="O288" i="5"/>
  <c r="AB288" i="5"/>
  <c r="AO288" i="5"/>
  <c r="AK440" i="5"/>
  <c r="X440" i="5"/>
  <c r="K440" i="5"/>
  <c r="AI32" i="5"/>
  <c r="I32" i="5"/>
  <c r="V32" i="5"/>
  <c r="AJ56" i="5"/>
  <c r="W56" i="5"/>
  <c r="J56" i="5"/>
  <c r="AN92" i="5"/>
  <c r="N92" i="5"/>
  <c r="AA92" i="5"/>
  <c r="AG116" i="5"/>
  <c r="G116" i="5"/>
  <c r="T116" i="5"/>
  <c r="AK152" i="5"/>
  <c r="X152" i="5"/>
  <c r="K152" i="5"/>
  <c r="AE176" i="5"/>
  <c r="R176" i="5"/>
  <c r="E176" i="5"/>
  <c r="AH212" i="5"/>
  <c r="U212" i="5"/>
  <c r="H212" i="5"/>
  <c r="E236" i="5"/>
  <c r="R236" i="5"/>
  <c r="AE236" i="5"/>
  <c r="AF272" i="5"/>
  <c r="F272" i="5"/>
  <c r="S272" i="5"/>
  <c r="AB308" i="5"/>
  <c r="AO308" i="5"/>
  <c r="O308" i="5"/>
  <c r="AH332" i="5"/>
  <c r="U332" i="5"/>
  <c r="H332" i="5"/>
  <c r="AM368" i="5"/>
  <c r="Z368" i="5"/>
  <c r="M368" i="5"/>
  <c r="AM404" i="5"/>
  <c r="Z404" i="5"/>
  <c r="M404" i="5"/>
  <c r="AM452" i="5"/>
  <c r="Z452" i="5"/>
  <c r="M452" i="5"/>
  <c r="AM500" i="5"/>
  <c r="Z500" i="5"/>
  <c r="M500" i="5"/>
  <c r="R384" i="5"/>
  <c r="AE384" i="5"/>
  <c r="E384" i="5"/>
  <c r="U144" i="5"/>
  <c r="H144" i="5"/>
  <c r="AH144" i="5"/>
  <c r="AO419" i="5"/>
  <c r="O419" i="5"/>
  <c r="AB419" i="5"/>
  <c r="U324" i="5"/>
  <c r="AH324" i="5"/>
  <c r="H324" i="5"/>
  <c r="AJ372" i="5"/>
  <c r="W372" i="5"/>
  <c r="J372" i="5"/>
  <c r="Q420" i="5"/>
  <c r="AD420" i="5"/>
  <c r="D420" i="5"/>
  <c r="AH491" i="5"/>
  <c r="U491" i="5"/>
  <c r="H491" i="5"/>
  <c r="AJ23" i="5"/>
  <c r="J23" i="5"/>
  <c r="W23" i="5"/>
  <c r="AL203" i="5"/>
  <c r="Y203" i="5"/>
  <c r="L203" i="5"/>
  <c r="AJ263" i="5"/>
  <c r="W263" i="5"/>
  <c r="J263" i="5"/>
  <c r="AE299" i="5"/>
  <c r="R299" i="5"/>
  <c r="E299" i="5"/>
  <c r="Q359" i="5"/>
  <c r="AD359" i="5"/>
  <c r="D359" i="5"/>
  <c r="AF467" i="5"/>
  <c r="S467" i="5"/>
  <c r="F467" i="5"/>
  <c r="AI36" i="5"/>
  <c r="V36" i="5"/>
  <c r="I36" i="5"/>
  <c r="AO72" i="5"/>
  <c r="O72" i="5"/>
  <c r="AB72" i="5"/>
  <c r="S96" i="5"/>
  <c r="AF96" i="5"/>
  <c r="F96" i="5"/>
  <c r="AL132" i="5"/>
  <c r="Y132" i="5"/>
  <c r="L132" i="5"/>
  <c r="Z156" i="5"/>
  <c r="AM156" i="5"/>
  <c r="M156" i="5"/>
  <c r="AI192" i="5"/>
  <c r="I192" i="5"/>
  <c r="V192" i="5"/>
  <c r="W216" i="5"/>
  <c r="AJ216" i="5"/>
  <c r="J216" i="5"/>
  <c r="N252" i="5"/>
  <c r="AA252" i="5"/>
  <c r="AN252" i="5"/>
  <c r="AH276" i="5"/>
  <c r="H276" i="5"/>
  <c r="U276" i="5"/>
  <c r="AO312" i="5"/>
  <c r="O312" i="5"/>
  <c r="AB312" i="5"/>
  <c r="R336" i="5"/>
  <c r="AE336" i="5"/>
  <c r="E336" i="5"/>
  <c r="R372" i="5"/>
  <c r="E372" i="5"/>
  <c r="AE372" i="5"/>
  <c r="AM420" i="5"/>
  <c r="Z420" i="5"/>
  <c r="M420" i="5"/>
  <c r="AM468" i="5"/>
  <c r="Z468" i="5"/>
  <c r="M468" i="5"/>
  <c r="AJ206" i="5"/>
  <c r="W206" i="5"/>
  <c r="J206" i="5"/>
  <c r="AM254" i="5"/>
  <c r="M254" i="5"/>
  <c r="Z254" i="5"/>
  <c r="S74" i="5"/>
  <c r="AF74" i="5"/>
  <c r="F74" i="5"/>
  <c r="AN15" i="5"/>
  <c r="N15" i="5"/>
  <c r="AA15" i="5"/>
  <c r="T397" i="5"/>
  <c r="AG397" i="5"/>
  <c r="G397" i="5"/>
  <c r="AI25" i="5"/>
  <c r="V25" i="5"/>
  <c r="I25" i="5"/>
  <c r="S195" i="5"/>
  <c r="AF195" i="5"/>
  <c r="F195" i="5"/>
  <c r="AJ399" i="5"/>
  <c r="J399" i="5"/>
  <c r="W399" i="5"/>
  <c r="AJ495" i="5"/>
  <c r="J495" i="5"/>
  <c r="W495" i="5"/>
  <c r="AK14" i="5"/>
  <c r="X14" i="5"/>
  <c r="K14" i="5"/>
  <c r="AG50" i="5"/>
  <c r="T50" i="5"/>
  <c r="G50" i="5"/>
  <c r="AH62" i="5"/>
  <c r="U62" i="5"/>
  <c r="H62" i="5"/>
  <c r="AL74" i="5"/>
  <c r="Y74" i="5"/>
  <c r="L74" i="5"/>
  <c r="AJ98" i="5"/>
  <c r="W98" i="5"/>
  <c r="J98" i="5"/>
  <c r="AM110" i="5"/>
  <c r="M110" i="5"/>
  <c r="Z110" i="5"/>
  <c r="AM122" i="5"/>
  <c r="M122" i="5"/>
  <c r="Z122" i="5"/>
  <c r="AK134" i="5"/>
  <c r="X134" i="5"/>
  <c r="K134" i="5"/>
  <c r="R158" i="5"/>
  <c r="AE158" i="5"/>
  <c r="E158" i="5"/>
  <c r="AM182" i="5"/>
  <c r="M182" i="5"/>
  <c r="Z182" i="5"/>
  <c r="AK206" i="5"/>
  <c r="X206" i="5"/>
  <c r="K206" i="5"/>
  <c r="AN230" i="5"/>
  <c r="N230" i="5"/>
  <c r="AA230" i="5"/>
  <c r="AH254" i="5"/>
  <c r="U254" i="5"/>
  <c r="H254" i="5"/>
  <c r="AE278" i="5"/>
  <c r="R278" i="5"/>
  <c r="E278" i="5"/>
  <c r="AD326" i="5"/>
  <c r="Q326" i="5"/>
  <c r="D326" i="5"/>
  <c r="AJ350" i="5"/>
  <c r="W350" i="5"/>
  <c r="J350" i="5"/>
  <c r="AL398" i="5"/>
  <c r="Y398" i="5"/>
  <c r="L398" i="5"/>
  <c r="AH422" i="5"/>
  <c r="H422" i="5"/>
  <c r="U422" i="5"/>
  <c r="N446" i="5"/>
  <c r="AN446" i="5"/>
  <c r="AA446" i="5"/>
  <c r="AM470" i="5"/>
  <c r="Z470" i="5"/>
  <c r="M470" i="5"/>
  <c r="AI27" i="5"/>
  <c r="I27" i="5"/>
  <c r="V27" i="5"/>
  <c r="AF51" i="5"/>
  <c r="S51" i="5"/>
  <c r="F51" i="5"/>
  <c r="Z63" i="5"/>
  <c r="AM63" i="5"/>
  <c r="M63" i="5"/>
  <c r="AG75" i="5"/>
  <c r="T75" i="5"/>
  <c r="G75" i="5"/>
  <c r="AD87" i="5"/>
  <c r="D87" i="5"/>
  <c r="Q87" i="5"/>
  <c r="AG99" i="5"/>
  <c r="T99" i="5"/>
  <c r="G99" i="5"/>
  <c r="AE111" i="5"/>
  <c r="R111" i="5"/>
  <c r="E111" i="5"/>
  <c r="AF135" i="5"/>
  <c r="S135" i="5"/>
  <c r="F135" i="5"/>
  <c r="AN147" i="5"/>
  <c r="N147" i="5"/>
  <c r="AA147" i="5"/>
  <c r="AJ159" i="5"/>
  <c r="J159" i="5"/>
  <c r="W159" i="5"/>
  <c r="AE171" i="5"/>
  <c r="E171" i="5"/>
  <c r="R171" i="5"/>
  <c r="AG207" i="5"/>
  <c r="T207" i="5"/>
  <c r="G207" i="5"/>
  <c r="AG219" i="5"/>
  <c r="G219" i="5"/>
  <c r="T219" i="5"/>
  <c r="Y243" i="5"/>
  <c r="AL243" i="5"/>
  <c r="L243" i="5"/>
  <c r="AJ255" i="5"/>
  <c r="J255" i="5"/>
  <c r="W255" i="5"/>
  <c r="AM279" i="5"/>
  <c r="Z279" i="5"/>
  <c r="M279" i="5"/>
  <c r="U303" i="5"/>
  <c r="AH303" i="5"/>
  <c r="H303" i="5"/>
  <c r="O327" i="5"/>
  <c r="AO327" i="5"/>
  <c r="AB327" i="5"/>
  <c r="AM375" i="5"/>
  <c r="Z375" i="5"/>
  <c r="M375" i="5"/>
  <c r="AE399" i="5"/>
  <c r="E399" i="5"/>
  <c r="R399" i="5"/>
  <c r="S423" i="5"/>
  <c r="F423" i="5"/>
  <c r="AF423" i="5"/>
  <c r="AF459" i="5"/>
  <c r="F459" i="5"/>
  <c r="S459" i="5"/>
  <c r="AK507" i="5"/>
  <c r="X507" i="5"/>
  <c r="K507" i="5"/>
  <c r="AN78" i="5"/>
  <c r="N78" i="5"/>
  <c r="AA78" i="5"/>
  <c r="AD130" i="5"/>
  <c r="Q130" i="5"/>
  <c r="D130" i="5"/>
  <c r="U198" i="5"/>
  <c r="H198" i="5"/>
  <c r="AH198" i="5"/>
  <c r="AJ294" i="5"/>
  <c r="W294" i="5"/>
  <c r="J294" i="5"/>
  <c r="AL106" i="5"/>
  <c r="Y106" i="5"/>
  <c r="L106" i="5"/>
  <c r="S130" i="5"/>
  <c r="AF130" i="5"/>
  <c r="F130" i="5"/>
  <c r="AI262" i="5"/>
  <c r="V262" i="5"/>
  <c r="I262" i="5"/>
  <c r="Q286" i="5"/>
  <c r="AD286" i="5"/>
  <c r="D286" i="5"/>
  <c r="N430" i="5"/>
  <c r="AN430" i="5"/>
  <c r="AA430" i="5"/>
  <c r="AF402" i="5"/>
  <c r="S402" i="5"/>
  <c r="F402" i="5"/>
  <c r="S426" i="5"/>
  <c r="AF426" i="5"/>
  <c r="F426" i="5"/>
  <c r="AF502" i="5"/>
  <c r="S502" i="5"/>
  <c r="F502" i="5"/>
  <c r="AH92" i="5"/>
  <c r="H92" i="5"/>
  <c r="U92" i="5"/>
  <c r="AK128" i="5"/>
  <c r="X128" i="5"/>
  <c r="K128" i="5"/>
  <c r="AD216" i="5"/>
  <c r="Q216" i="5"/>
  <c r="D216" i="5"/>
  <c r="AE444" i="5"/>
  <c r="R444" i="5"/>
  <c r="E444" i="5"/>
  <c r="AG152" i="5"/>
  <c r="T152" i="5"/>
  <c r="G152" i="5"/>
  <c r="AG167" i="5"/>
  <c r="G167" i="5"/>
  <c r="T167" i="5"/>
  <c r="AD276" i="5"/>
  <c r="Q276" i="5"/>
  <c r="D276" i="5"/>
  <c r="AG407" i="5"/>
  <c r="T407" i="5"/>
  <c r="G407" i="5"/>
  <c r="G476" i="5"/>
  <c r="T476" i="5"/>
  <c r="AG476" i="5"/>
  <c r="AF19" i="5"/>
  <c r="S19" i="5"/>
  <c r="F19" i="5"/>
  <c r="AO132" i="5"/>
  <c r="AB132" i="5"/>
  <c r="O132" i="5"/>
  <c r="AH263" i="5"/>
  <c r="H263" i="5"/>
  <c r="U263" i="5"/>
  <c r="AF276" i="5"/>
  <c r="F276" i="5"/>
  <c r="S276" i="5"/>
  <c r="AH396" i="5"/>
  <c r="U396" i="5"/>
  <c r="H396" i="5"/>
  <c r="AH407" i="5"/>
  <c r="H407" i="5"/>
  <c r="U407" i="5"/>
  <c r="U492" i="5"/>
  <c r="H492" i="5"/>
  <c r="AH492" i="5"/>
  <c r="Q512" i="5"/>
  <c r="D512" i="5"/>
  <c r="AD512" i="5"/>
  <c r="AB44" i="5"/>
  <c r="AO44" i="5"/>
  <c r="O44" i="5"/>
  <c r="AE68" i="5"/>
  <c r="R68" i="5"/>
  <c r="E68" i="5"/>
  <c r="X104" i="5"/>
  <c r="AK104" i="5"/>
  <c r="K104" i="5"/>
  <c r="AF140" i="5"/>
  <c r="S140" i="5"/>
  <c r="F140" i="5"/>
  <c r="V164" i="5"/>
  <c r="AI164" i="5"/>
  <c r="I164" i="5"/>
  <c r="AO200" i="5"/>
  <c r="AB200" i="5"/>
  <c r="O200" i="5"/>
  <c r="S224" i="5"/>
  <c r="AF224" i="5"/>
  <c r="F224" i="5"/>
  <c r="Y260" i="5"/>
  <c r="L260" i="5"/>
  <c r="AL260" i="5"/>
  <c r="E284" i="5"/>
  <c r="R284" i="5"/>
  <c r="AE284" i="5"/>
  <c r="AJ320" i="5"/>
  <c r="W320" i="5"/>
  <c r="J320" i="5"/>
  <c r="AE344" i="5"/>
  <c r="R344" i="5"/>
  <c r="E344" i="5"/>
  <c r="AE380" i="5"/>
  <c r="R380" i="5"/>
  <c r="E380" i="5"/>
  <c r="AM428" i="5"/>
  <c r="Z428" i="5"/>
  <c r="M428" i="5"/>
  <c r="AM476" i="5"/>
  <c r="Z476" i="5"/>
  <c r="M476" i="5"/>
  <c r="AJ84" i="5"/>
  <c r="W84" i="5"/>
  <c r="J84" i="5"/>
  <c r="S335" i="5"/>
  <c r="F335" i="5"/>
  <c r="AF335" i="5"/>
  <c r="AJ240" i="5"/>
  <c r="W240" i="5"/>
  <c r="J240" i="5"/>
  <c r="U395" i="5"/>
  <c r="H395" i="5"/>
  <c r="AH395" i="5"/>
  <c r="Q468" i="5"/>
  <c r="AD468" i="5"/>
  <c r="D468" i="5"/>
  <c r="U480" i="5"/>
  <c r="AH480" i="5"/>
  <c r="H480" i="5"/>
  <c r="AK167" i="5"/>
  <c r="K167" i="5"/>
  <c r="X167" i="5"/>
  <c r="AE227" i="5"/>
  <c r="R227" i="5"/>
  <c r="E227" i="5"/>
  <c r="AF287" i="5"/>
  <c r="S287" i="5"/>
  <c r="F287" i="5"/>
  <c r="AK335" i="5"/>
  <c r="K335" i="5"/>
  <c r="X335" i="5"/>
  <c r="S407" i="5"/>
  <c r="AF407" i="5"/>
  <c r="F407" i="5"/>
  <c r="AF515" i="5"/>
  <c r="S515" i="5"/>
  <c r="F515" i="5"/>
  <c r="AL492" i="5"/>
  <c r="L492" i="5"/>
  <c r="Y492" i="5"/>
  <c r="AK24" i="5"/>
  <c r="K24" i="5"/>
  <c r="X24" i="5"/>
  <c r="AE48" i="5"/>
  <c r="R48" i="5"/>
  <c r="E48" i="5"/>
  <c r="AI84" i="5"/>
  <c r="V84" i="5"/>
  <c r="I84" i="5"/>
  <c r="AE108" i="5"/>
  <c r="R108" i="5"/>
  <c r="E108" i="5"/>
  <c r="AD144" i="5"/>
  <c r="Q144" i="5"/>
  <c r="D144" i="5"/>
  <c r="R168" i="5"/>
  <c r="E168" i="5"/>
  <c r="AE168" i="5"/>
  <c r="O204" i="5"/>
  <c r="AO204" i="5"/>
  <c r="AB204" i="5"/>
  <c r="R228" i="5"/>
  <c r="AE228" i="5"/>
  <c r="E228" i="5"/>
  <c r="AK264" i="5"/>
  <c r="X264" i="5"/>
  <c r="K264" i="5"/>
  <c r="R288" i="5"/>
  <c r="AE288" i="5"/>
  <c r="E288" i="5"/>
  <c r="L324" i="5"/>
  <c r="Y324" i="5"/>
  <c r="AL324" i="5"/>
  <c r="AK360" i="5"/>
  <c r="X360" i="5"/>
  <c r="K360" i="5"/>
  <c r="AM396" i="5"/>
  <c r="M396" i="5"/>
  <c r="Z396" i="5"/>
  <c r="AM444" i="5"/>
  <c r="M444" i="5"/>
  <c r="Z444" i="5"/>
  <c r="M492" i="5"/>
  <c r="AM492" i="5"/>
  <c r="Z492" i="5"/>
  <c r="V15" i="5"/>
  <c r="AI15" i="5"/>
  <c r="I15" i="5"/>
  <c r="AL183" i="5"/>
  <c r="Y183" i="5"/>
  <c r="L183" i="5"/>
  <c r="R231" i="5"/>
  <c r="E231" i="5"/>
  <c r="AE231" i="5"/>
  <c r="AM291" i="5"/>
  <c r="Z291" i="5"/>
  <c r="M291" i="5"/>
  <c r="AJ315" i="5"/>
  <c r="W315" i="5"/>
  <c r="J315" i="5"/>
  <c r="N339" i="5"/>
  <c r="AA339" i="5"/>
  <c r="AN339" i="5"/>
  <c r="R363" i="5"/>
  <c r="E363" i="5"/>
  <c r="AE363" i="5"/>
  <c r="AK411" i="5"/>
  <c r="X411" i="5"/>
  <c r="K411" i="5"/>
  <c r="AO435" i="5"/>
  <c r="AB435" i="5"/>
  <c r="O435" i="5"/>
  <c r="N471" i="5"/>
  <c r="AA471" i="5"/>
  <c r="AN471" i="5"/>
  <c r="N46" i="5"/>
  <c r="AN46" i="5"/>
  <c r="AA46" i="5"/>
  <c r="N270" i="5"/>
  <c r="AN270" i="5"/>
  <c r="AA270" i="5"/>
  <c r="AF12" i="5"/>
  <c r="S12" i="5"/>
  <c r="F12" i="5"/>
  <c r="AM228" i="5"/>
  <c r="M228" i="5"/>
  <c r="Z228" i="5"/>
  <c r="S248" i="5"/>
  <c r="AF248" i="5"/>
  <c r="F248" i="5"/>
  <c r="AE492" i="5"/>
  <c r="R492" i="5"/>
  <c r="E492" i="5"/>
  <c r="S24" i="5"/>
  <c r="AF24" i="5"/>
  <c r="F24" i="5"/>
  <c r="AL128" i="5"/>
  <c r="Y128" i="5"/>
  <c r="L128" i="5"/>
  <c r="N228" i="5"/>
  <c r="AN228" i="5"/>
  <c r="AA228" i="5"/>
  <c r="AN299" i="5"/>
  <c r="N299" i="5"/>
  <c r="AA299" i="5"/>
  <c r="N371" i="5"/>
  <c r="AN371" i="5"/>
  <c r="AA371" i="5"/>
  <c r="AB383" i="5"/>
  <c r="AO383" i="5"/>
  <c r="O383" i="5"/>
  <c r="W451" i="5"/>
  <c r="J451" i="5"/>
  <c r="AJ451" i="5"/>
  <c r="AG492" i="5"/>
  <c r="T492" i="5"/>
  <c r="G492" i="5"/>
  <c r="E19" i="5"/>
  <c r="R19" i="5"/>
  <c r="AE19" i="5"/>
  <c r="N143" i="5"/>
  <c r="AA143" i="5"/>
  <c r="AN143" i="5"/>
  <c r="AI308" i="5"/>
  <c r="V308" i="5"/>
  <c r="I308" i="5"/>
  <c r="AF372" i="5"/>
  <c r="S372" i="5"/>
  <c r="F372" i="5"/>
  <c r="K408" i="5"/>
  <c r="X408" i="5"/>
  <c r="AK408" i="5"/>
  <c r="AL20" i="5"/>
  <c r="Y20" i="5"/>
  <c r="L20" i="5"/>
  <c r="AM44" i="5"/>
  <c r="Z44" i="5"/>
  <c r="M44" i="5"/>
  <c r="I80" i="5"/>
  <c r="V80" i="5"/>
  <c r="AI80" i="5"/>
  <c r="AJ104" i="5"/>
  <c r="W104" i="5"/>
  <c r="J104" i="5"/>
  <c r="AO140" i="5"/>
  <c r="AB140" i="5"/>
  <c r="O140" i="5"/>
  <c r="G164" i="5"/>
  <c r="AG164" i="5"/>
  <c r="T164" i="5"/>
  <c r="AL200" i="5"/>
  <c r="Y200" i="5"/>
  <c r="L200" i="5"/>
  <c r="R224" i="5"/>
  <c r="AE224" i="5"/>
  <c r="E224" i="5"/>
  <c r="AH260" i="5"/>
  <c r="U260" i="5"/>
  <c r="H260" i="5"/>
  <c r="Q296" i="5"/>
  <c r="AD296" i="5"/>
  <c r="D296" i="5"/>
  <c r="AI320" i="5"/>
  <c r="I320" i="5"/>
  <c r="V320" i="5"/>
  <c r="AG356" i="5"/>
  <c r="G356" i="5"/>
  <c r="T356" i="5"/>
  <c r="AF392" i="5"/>
  <c r="S392" i="5"/>
  <c r="F392" i="5"/>
  <c r="AF440" i="5"/>
  <c r="F440" i="5"/>
  <c r="S440" i="5"/>
  <c r="AF488" i="5"/>
  <c r="S488" i="5"/>
  <c r="F488" i="5"/>
  <c r="AH216" i="5"/>
  <c r="U216" i="5"/>
  <c r="H216" i="5"/>
  <c r="T155" i="5"/>
  <c r="G155" i="5"/>
  <c r="AG155" i="5"/>
  <c r="AM167" i="5"/>
  <c r="Z167" i="5"/>
  <c r="M167" i="5"/>
  <c r="AO192" i="5"/>
  <c r="AB192" i="5"/>
  <c r="O192" i="5"/>
  <c r="N336" i="5"/>
  <c r="AN336" i="5"/>
  <c r="AA336" i="5"/>
  <c r="AM227" i="5"/>
  <c r="M227" i="5"/>
  <c r="Z227" i="5"/>
  <c r="AD348" i="5"/>
  <c r="Q348" i="5"/>
  <c r="D348" i="5"/>
  <c r="X503" i="5"/>
  <c r="K503" i="5"/>
  <c r="AK503" i="5"/>
  <c r="AI167" i="5"/>
  <c r="V167" i="5"/>
  <c r="I167" i="5"/>
  <c r="AH239" i="5"/>
  <c r="U239" i="5"/>
  <c r="H239" i="5"/>
  <c r="Q287" i="5"/>
  <c r="AD287" i="5"/>
  <c r="D287" i="5"/>
  <c r="AJ335" i="5"/>
  <c r="W335" i="5"/>
  <c r="J335" i="5"/>
  <c r="N407" i="5"/>
  <c r="AN407" i="5"/>
  <c r="AA407" i="5"/>
  <c r="AA515" i="5"/>
  <c r="AN515" i="5"/>
  <c r="N515" i="5"/>
  <c r="AL24" i="5"/>
  <c r="Y24" i="5"/>
  <c r="L24" i="5"/>
  <c r="AF60" i="5"/>
  <c r="S60" i="5"/>
  <c r="F60" i="5"/>
  <c r="AH84" i="5"/>
  <c r="U84" i="5"/>
  <c r="H84" i="5"/>
  <c r="AO120" i="5"/>
  <c r="O120" i="5"/>
  <c r="AB120" i="5"/>
  <c r="S144" i="5"/>
  <c r="AF144" i="5"/>
  <c r="F144" i="5"/>
  <c r="AL180" i="5"/>
  <c r="Y180" i="5"/>
  <c r="L180" i="5"/>
  <c r="AM204" i="5"/>
  <c r="Z204" i="5"/>
  <c r="M204" i="5"/>
  <c r="AI240" i="5"/>
  <c r="V240" i="5"/>
  <c r="I240" i="5"/>
  <c r="AJ264" i="5"/>
  <c r="W264" i="5"/>
  <c r="J264" i="5"/>
  <c r="AI300" i="5"/>
  <c r="V300" i="5"/>
  <c r="I300" i="5"/>
  <c r="R324" i="5"/>
  <c r="AE324" i="5"/>
  <c r="E324" i="5"/>
  <c r="T360" i="5"/>
  <c r="AG360" i="5"/>
  <c r="G360" i="5"/>
  <c r="AF408" i="5"/>
  <c r="F408" i="5"/>
  <c r="S408" i="5"/>
  <c r="AF456" i="5"/>
  <c r="S456" i="5"/>
  <c r="F456" i="5"/>
  <c r="S504" i="5"/>
  <c r="F504" i="5"/>
  <c r="AF504" i="5"/>
  <c r="AH409" i="5"/>
  <c r="U409" i="5"/>
  <c r="H409" i="5"/>
  <c r="AG482" i="5"/>
  <c r="T482" i="5"/>
  <c r="G482" i="5"/>
  <c r="AH505" i="5"/>
  <c r="U505" i="5"/>
  <c r="H505" i="5"/>
  <c r="AK410" i="5"/>
  <c r="X410" i="5"/>
  <c r="K410" i="5"/>
  <c r="AG471" i="5"/>
  <c r="T471" i="5"/>
  <c r="G471" i="5"/>
  <c r="AI37" i="5"/>
  <c r="I37" i="5"/>
  <c r="V37" i="5"/>
  <c r="L38" i="5"/>
  <c r="AL38" i="5"/>
  <c r="Y38" i="5"/>
  <c r="AK39" i="5"/>
  <c r="X39" i="5"/>
  <c r="K39" i="5"/>
  <c r="Z447" i="5"/>
  <c r="AM447" i="5"/>
  <c r="M447" i="5"/>
  <c r="AO458" i="5"/>
  <c r="AB458" i="5"/>
  <c r="O458" i="5"/>
  <c r="AH494" i="5"/>
  <c r="U494" i="5"/>
  <c r="H494" i="5"/>
  <c r="AK193" i="5"/>
  <c r="K193" i="5"/>
  <c r="X193" i="5"/>
  <c r="N302" i="5"/>
  <c r="AN302" i="5"/>
  <c r="AA302" i="5"/>
  <c r="AH350" i="5"/>
  <c r="U350" i="5"/>
  <c r="H350" i="5"/>
  <c r="AI13" i="5"/>
  <c r="V13" i="5"/>
  <c r="I13" i="5"/>
  <c r="AL49" i="5"/>
  <c r="L49" i="5"/>
  <c r="Y49" i="5"/>
  <c r="L61" i="5"/>
  <c r="Y61" i="5"/>
  <c r="AL61" i="5"/>
  <c r="AM73" i="5"/>
  <c r="Z73" i="5"/>
  <c r="M73" i="5"/>
  <c r="AJ85" i="5"/>
  <c r="W85" i="5"/>
  <c r="J85" i="5"/>
  <c r="AK109" i="5"/>
  <c r="X109" i="5"/>
  <c r="K109" i="5"/>
  <c r="AG121" i="5"/>
  <c r="T121" i="5"/>
  <c r="G121" i="5"/>
  <c r="S133" i="5"/>
  <c r="AF133" i="5"/>
  <c r="F133" i="5"/>
  <c r="AK145" i="5"/>
  <c r="X145" i="5"/>
  <c r="K145" i="5"/>
  <c r="S157" i="5"/>
  <c r="AF157" i="5"/>
  <c r="F157" i="5"/>
  <c r="AH169" i="5"/>
  <c r="H169" i="5"/>
  <c r="U169" i="5"/>
  <c r="AI181" i="5"/>
  <c r="V181" i="5"/>
  <c r="I181" i="5"/>
  <c r="AD193" i="5"/>
  <c r="Q193" i="5"/>
  <c r="D193" i="5"/>
  <c r="N205" i="5"/>
  <c r="AA205" i="5"/>
  <c r="AN205" i="5"/>
  <c r="S229" i="5"/>
  <c r="AF229" i="5"/>
  <c r="F229" i="5"/>
  <c r="AK241" i="5"/>
  <c r="K241" i="5"/>
  <c r="X241" i="5"/>
  <c r="AG253" i="5"/>
  <c r="T253" i="5"/>
  <c r="G253" i="5"/>
  <c r="K265" i="5"/>
  <c r="AK265" i="5"/>
  <c r="X265" i="5"/>
  <c r="AK289" i="5"/>
  <c r="X289" i="5"/>
  <c r="K289" i="5"/>
  <c r="X301" i="5"/>
  <c r="AK301" i="5"/>
  <c r="K301" i="5"/>
  <c r="AI313" i="5"/>
  <c r="I313" i="5"/>
  <c r="V313" i="5"/>
  <c r="AJ325" i="5"/>
  <c r="W325" i="5"/>
  <c r="J325" i="5"/>
  <c r="Y337" i="5"/>
  <c r="L337" i="5"/>
  <c r="AL337" i="5"/>
  <c r="AJ349" i="5"/>
  <c r="J349" i="5"/>
  <c r="W349" i="5"/>
  <c r="AG361" i="5"/>
  <c r="T361" i="5"/>
  <c r="G361" i="5"/>
  <c r="Q373" i="5"/>
  <c r="AD373" i="5"/>
  <c r="D373" i="5"/>
  <c r="AM385" i="5"/>
  <c r="M385" i="5"/>
  <c r="Z385" i="5"/>
  <c r="AJ409" i="5"/>
  <c r="W409" i="5"/>
  <c r="J409" i="5"/>
  <c r="V421" i="5"/>
  <c r="AI421" i="5"/>
  <c r="I421" i="5"/>
  <c r="AG433" i="5"/>
  <c r="T433" i="5"/>
  <c r="G433" i="5"/>
  <c r="U445" i="5"/>
  <c r="AH445" i="5"/>
  <c r="H445" i="5"/>
  <c r="AI469" i="5"/>
  <c r="I469" i="5"/>
  <c r="V469" i="5"/>
  <c r="AH481" i="5"/>
  <c r="H481" i="5"/>
  <c r="U481" i="5"/>
  <c r="AO493" i="5"/>
  <c r="O493" i="5"/>
  <c r="AB493" i="5"/>
  <c r="AK505" i="5"/>
  <c r="X505" i="5"/>
  <c r="K505" i="5"/>
  <c r="AG26" i="5"/>
  <c r="T26" i="5"/>
  <c r="G26" i="5"/>
  <c r="N146" i="5"/>
  <c r="AN146" i="5"/>
  <c r="AA146" i="5"/>
  <c r="AJ194" i="5"/>
  <c r="W194" i="5"/>
  <c r="J194" i="5"/>
  <c r="N218" i="5"/>
  <c r="AA218" i="5"/>
  <c r="AN218" i="5"/>
  <c r="AO266" i="5"/>
  <c r="O266" i="5"/>
  <c r="AB266" i="5"/>
  <c r="Y290" i="5"/>
  <c r="L290" i="5"/>
  <c r="AL290" i="5"/>
  <c r="AL314" i="5"/>
  <c r="Y314" i="5"/>
  <c r="L314" i="5"/>
  <c r="AJ338" i="5"/>
  <c r="W338" i="5"/>
  <c r="J338" i="5"/>
  <c r="AO362" i="5"/>
  <c r="O362" i="5"/>
  <c r="AB362" i="5"/>
  <c r="AF386" i="5"/>
  <c r="S386" i="5"/>
  <c r="F386" i="5"/>
  <c r="Q434" i="5"/>
  <c r="D434" i="5"/>
  <c r="AD434" i="5"/>
  <c r="AE458" i="5"/>
  <c r="R458" i="5"/>
  <c r="E458" i="5"/>
  <c r="AF482" i="5"/>
  <c r="S482" i="5"/>
  <c r="F482" i="5"/>
  <c r="AD15" i="5"/>
  <c r="Q15" i="5"/>
  <c r="D15" i="5"/>
  <c r="AK183" i="5"/>
  <c r="X183" i="5"/>
  <c r="K183" i="5"/>
  <c r="AK267" i="5"/>
  <c r="X267" i="5"/>
  <c r="K267" i="5"/>
  <c r="AF291" i="5"/>
  <c r="S291" i="5"/>
  <c r="F291" i="5"/>
  <c r="AG315" i="5"/>
  <c r="T315" i="5"/>
  <c r="G315" i="5"/>
  <c r="AM339" i="5"/>
  <c r="Z339" i="5"/>
  <c r="M339" i="5"/>
  <c r="AJ387" i="5"/>
  <c r="W387" i="5"/>
  <c r="J387" i="5"/>
  <c r="W411" i="5"/>
  <c r="AJ411" i="5"/>
  <c r="J411" i="5"/>
  <c r="AK435" i="5"/>
  <c r="K435" i="5"/>
  <c r="X435" i="5"/>
  <c r="AM471" i="5"/>
  <c r="Z471" i="5"/>
  <c r="M471" i="5"/>
  <c r="AN30" i="5"/>
  <c r="N30" i="5"/>
  <c r="AA30" i="5"/>
  <c r="AD66" i="5"/>
  <c r="Q66" i="5"/>
  <c r="D66" i="5"/>
  <c r="AH102" i="5"/>
  <c r="U102" i="5"/>
  <c r="H102" i="5"/>
  <c r="AK154" i="5"/>
  <c r="X154" i="5"/>
  <c r="K154" i="5"/>
  <c r="AK250" i="5"/>
  <c r="X250" i="5"/>
  <c r="K250" i="5"/>
  <c r="AH334" i="5"/>
  <c r="U334" i="5"/>
  <c r="H334" i="5"/>
  <c r="AH378" i="5"/>
  <c r="H378" i="5"/>
  <c r="U378" i="5"/>
  <c r="AI70" i="5"/>
  <c r="I70" i="5"/>
  <c r="V70" i="5"/>
  <c r="AL90" i="5"/>
  <c r="Y90" i="5"/>
  <c r="L90" i="5"/>
  <c r="Y154" i="5"/>
  <c r="AL154" i="5"/>
  <c r="L154" i="5"/>
  <c r="S178" i="5"/>
  <c r="AF178" i="5"/>
  <c r="F178" i="5"/>
  <c r="AM382" i="5"/>
  <c r="Z382" i="5"/>
  <c r="M382" i="5"/>
  <c r="N402" i="5"/>
  <c r="AN402" i="5"/>
  <c r="AA402" i="5"/>
  <c r="N450" i="5"/>
  <c r="AN450" i="5"/>
  <c r="AA450" i="5"/>
  <c r="AJ32" i="5"/>
  <c r="J32" i="5"/>
  <c r="W32" i="5"/>
  <c r="AM115" i="5"/>
  <c r="M115" i="5"/>
  <c r="Z115" i="5"/>
  <c r="AH139" i="5"/>
  <c r="U139" i="5"/>
  <c r="H139" i="5"/>
  <c r="AM168" i="5"/>
  <c r="Z168" i="5"/>
  <c r="M168" i="5"/>
  <c r="AD407" i="5"/>
  <c r="Q407" i="5"/>
  <c r="D407" i="5"/>
  <c r="Q428" i="5"/>
  <c r="AD428" i="5"/>
  <c r="D428" i="5"/>
  <c r="AF95" i="5"/>
  <c r="S95" i="5"/>
  <c r="F95" i="5"/>
  <c r="AG396" i="5"/>
  <c r="G396" i="5"/>
  <c r="T396" i="5"/>
  <c r="AD43" i="5"/>
  <c r="Q43" i="5"/>
  <c r="D43" i="5"/>
  <c r="N103" i="5"/>
  <c r="AN103" i="5"/>
  <c r="AA103" i="5"/>
  <c r="AO127" i="5"/>
  <c r="AB127" i="5"/>
  <c r="O127" i="5"/>
  <c r="AK163" i="5"/>
  <c r="K163" i="5"/>
  <c r="X163" i="5"/>
  <c r="AL187" i="5"/>
  <c r="Y187" i="5"/>
  <c r="L187" i="5"/>
  <c r="U223" i="5"/>
  <c r="AH223" i="5"/>
  <c r="H223" i="5"/>
  <c r="AI247" i="5"/>
  <c r="V247" i="5"/>
  <c r="I247" i="5"/>
  <c r="AO283" i="5"/>
  <c r="O283" i="5"/>
  <c r="AB283" i="5"/>
  <c r="AE307" i="5"/>
  <c r="R307" i="5"/>
  <c r="E307" i="5"/>
  <c r="Q343" i="5"/>
  <c r="AD343" i="5"/>
  <c r="D343" i="5"/>
  <c r="AJ379" i="5"/>
  <c r="W379" i="5"/>
  <c r="J379" i="5"/>
  <c r="AF427" i="5"/>
  <c r="S427" i="5"/>
  <c r="F427" i="5"/>
  <c r="AF475" i="5"/>
  <c r="S475" i="5"/>
  <c r="F475" i="5"/>
  <c r="AK11" i="5"/>
  <c r="X11" i="5"/>
  <c r="K11" i="5"/>
  <c r="Q180" i="5"/>
  <c r="AD180" i="5"/>
  <c r="D180" i="5"/>
  <c r="AO344" i="5"/>
  <c r="AB344" i="5"/>
  <c r="O344" i="5"/>
  <c r="AJ8" i="5"/>
  <c r="W8" i="5"/>
  <c r="J8" i="5"/>
  <c r="AM24" i="5"/>
  <c r="M24" i="5"/>
  <c r="Z24" i="5"/>
  <c r="R11" i="5"/>
  <c r="AE11" i="5"/>
  <c r="E11" i="5"/>
  <c r="R83" i="5"/>
  <c r="AE83" i="5"/>
  <c r="E83" i="5"/>
  <c r="AK119" i="5"/>
  <c r="X119" i="5"/>
  <c r="K119" i="5"/>
  <c r="AD155" i="5"/>
  <c r="D155" i="5"/>
  <c r="Q155" i="5"/>
  <c r="AO191" i="5"/>
  <c r="AB191" i="5"/>
  <c r="O191" i="5"/>
  <c r="AL275" i="5"/>
  <c r="Y275" i="5"/>
  <c r="L275" i="5"/>
  <c r="AI347" i="5"/>
  <c r="I347" i="5"/>
  <c r="V347" i="5"/>
  <c r="AF443" i="5"/>
  <c r="S443" i="5"/>
  <c r="F443" i="5"/>
  <c r="AE468" i="5"/>
  <c r="R468" i="5"/>
  <c r="E468" i="5"/>
  <c r="AN12" i="5"/>
  <c r="N12" i="5"/>
  <c r="AA12" i="5"/>
  <c r="N19" i="5"/>
  <c r="AN19" i="5"/>
  <c r="AA19" i="5"/>
  <c r="AH252" i="5"/>
  <c r="U252" i="5"/>
  <c r="H252" i="5"/>
  <c r="S263" i="5"/>
  <c r="AF263" i="5"/>
  <c r="F263" i="5"/>
  <c r="AG291" i="5"/>
  <c r="T291" i="5"/>
  <c r="G291" i="5"/>
  <c r="AG74" i="5"/>
  <c r="T74" i="5"/>
  <c r="G74" i="5"/>
  <c r="AJ25" i="5"/>
  <c r="W25" i="5"/>
  <c r="J25" i="5"/>
  <c r="AJ351" i="5"/>
  <c r="J351" i="5"/>
  <c r="W351" i="5"/>
  <c r="AL14" i="5"/>
  <c r="Y14" i="5"/>
  <c r="L14" i="5"/>
  <c r="AI50" i="5"/>
  <c r="V50" i="5"/>
  <c r="I50" i="5"/>
  <c r="M62" i="5"/>
  <c r="Z62" i="5"/>
  <c r="AM62" i="5"/>
  <c r="AH74" i="5"/>
  <c r="U74" i="5"/>
  <c r="H74" i="5"/>
  <c r="AK86" i="5"/>
  <c r="K86" i="5"/>
  <c r="X86" i="5"/>
  <c r="AG98" i="5"/>
  <c r="T98" i="5"/>
  <c r="G98" i="5"/>
  <c r="T122" i="5"/>
  <c r="AG122" i="5"/>
  <c r="G122" i="5"/>
  <c r="AL134" i="5"/>
  <c r="Y134" i="5"/>
  <c r="L134" i="5"/>
  <c r="S158" i="5"/>
  <c r="AF158" i="5"/>
  <c r="F158" i="5"/>
  <c r="AM170" i="5"/>
  <c r="M170" i="5"/>
  <c r="Z170" i="5"/>
  <c r="AE182" i="5"/>
  <c r="E182" i="5"/>
  <c r="R182" i="5"/>
  <c r="T230" i="5"/>
  <c r="AG230" i="5"/>
  <c r="G230" i="5"/>
  <c r="AI254" i="5"/>
  <c r="V254" i="5"/>
  <c r="I254" i="5"/>
  <c r="AB278" i="5"/>
  <c r="O278" i="5"/>
  <c r="AO278" i="5"/>
  <c r="AF302" i="5"/>
  <c r="S302" i="5"/>
  <c r="F302" i="5"/>
  <c r="AI350" i="5"/>
  <c r="V350" i="5"/>
  <c r="I350" i="5"/>
  <c r="AF374" i="5"/>
  <c r="F374" i="5"/>
  <c r="S374" i="5"/>
  <c r="AJ422" i="5"/>
  <c r="W422" i="5"/>
  <c r="J422" i="5"/>
  <c r="AL446" i="5"/>
  <c r="L446" i="5"/>
  <c r="Y446" i="5"/>
  <c r="V470" i="5"/>
  <c r="AI470" i="5"/>
  <c r="I470" i="5"/>
  <c r="M494" i="5"/>
  <c r="Z494" i="5"/>
  <c r="AM494" i="5"/>
  <c r="N351" i="5"/>
  <c r="AN351" i="5"/>
  <c r="AA351" i="5"/>
  <c r="AH27" i="5"/>
  <c r="U27" i="5"/>
  <c r="H27" i="5"/>
  <c r="AN51" i="5"/>
  <c r="N51" i="5"/>
  <c r="AA51" i="5"/>
  <c r="AL63" i="5"/>
  <c r="L63" i="5"/>
  <c r="Y63" i="5"/>
  <c r="W75" i="5"/>
  <c r="AJ75" i="5"/>
  <c r="J75" i="5"/>
  <c r="AF87" i="5"/>
  <c r="S87" i="5"/>
  <c r="F87" i="5"/>
  <c r="AM99" i="5"/>
  <c r="M99" i="5"/>
  <c r="Z99" i="5"/>
  <c r="AK111" i="5"/>
  <c r="X111" i="5"/>
  <c r="K111" i="5"/>
  <c r="AO123" i="5"/>
  <c r="O123" i="5"/>
  <c r="AB123" i="5"/>
  <c r="AM147" i="5"/>
  <c r="Z147" i="5"/>
  <c r="M147" i="5"/>
  <c r="AL159" i="5"/>
  <c r="Y159" i="5"/>
  <c r="L159" i="5"/>
  <c r="S171" i="5"/>
  <c r="AF171" i="5"/>
  <c r="F171" i="5"/>
  <c r="AG195" i="5"/>
  <c r="T195" i="5"/>
  <c r="G195" i="5"/>
  <c r="AJ219" i="5"/>
  <c r="J219" i="5"/>
  <c r="W219" i="5"/>
  <c r="AJ243" i="5"/>
  <c r="W243" i="5"/>
  <c r="J243" i="5"/>
  <c r="AK255" i="5"/>
  <c r="X255" i="5"/>
  <c r="K255" i="5"/>
  <c r="AG279" i="5"/>
  <c r="T279" i="5"/>
  <c r="G279" i="5"/>
  <c r="AJ303" i="5"/>
  <c r="W303" i="5"/>
  <c r="J303" i="5"/>
  <c r="AG327" i="5"/>
  <c r="T327" i="5"/>
  <c r="G327" i="5"/>
  <c r="Y351" i="5"/>
  <c r="L351" i="5"/>
  <c r="AL351" i="5"/>
  <c r="AG375" i="5"/>
  <c r="G375" i="5"/>
  <c r="T375" i="5"/>
  <c r="AK423" i="5"/>
  <c r="X423" i="5"/>
  <c r="K423" i="5"/>
  <c r="X459" i="5"/>
  <c r="AK459" i="5"/>
  <c r="K459" i="5"/>
  <c r="AK483" i="5"/>
  <c r="X483" i="5"/>
  <c r="K483" i="5"/>
  <c r="AF507" i="5"/>
  <c r="S507" i="5"/>
  <c r="F507" i="5"/>
  <c r="AJ37" i="5"/>
  <c r="J37" i="5"/>
  <c r="W37" i="5"/>
  <c r="S38" i="5"/>
  <c r="AF38" i="5"/>
  <c r="F38" i="5"/>
  <c r="Y39" i="5"/>
  <c r="AL39" i="5"/>
  <c r="L39" i="5"/>
  <c r="AG337" i="5"/>
  <c r="G337" i="5"/>
  <c r="T337" i="5"/>
  <c r="Z231" i="5"/>
  <c r="AM231" i="5"/>
  <c r="M231" i="5"/>
  <c r="AJ242" i="5"/>
  <c r="W242" i="5"/>
  <c r="J242" i="5"/>
  <c r="AH13" i="5"/>
  <c r="H13" i="5"/>
  <c r="U13" i="5"/>
  <c r="AH49" i="5"/>
  <c r="H49" i="5"/>
  <c r="U49" i="5"/>
  <c r="AG61" i="5"/>
  <c r="T61" i="5"/>
  <c r="G61" i="5"/>
  <c r="AL73" i="5"/>
  <c r="Y73" i="5"/>
  <c r="L73" i="5"/>
  <c r="AH85" i="5"/>
  <c r="U85" i="5"/>
  <c r="H85" i="5"/>
  <c r="AJ109" i="5"/>
  <c r="J109" i="5"/>
  <c r="W109" i="5"/>
  <c r="S121" i="5"/>
  <c r="F121" i="5"/>
  <c r="AF121" i="5"/>
  <c r="Q133" i="5"/>
  <c r="AD133" i="5"/>
  <c r="D133" i="5"/>
  <c r="U145" i="5"/>
  <c r="AH145" i="5"/>
  <c r="H145" i="5"/>
  <c r="AL157" i="5"/>
  <c r="L157" i="5"/>
  <c r="Y157" i="5"/>
  <c r="AD169" i="5"/>
  <c r="Q169" i="5"/>
  <c r="D169" i="5"/>
  <c r="AJ181" i="5"/>
  <c r="W181" i="5"/>
  <c r="J181" i="5"/>
  <c r="R193" i="5"/>
  <c r="AE193" i="5"/>
  <c r="E193" i="5"/>
  <c r="AE205" i="5"/>
  <c r="R205" i="5"/>
  <c r="E205" i="5"/>
  <c r="AD229" i="5"/>
  <c r="D229" i="5"/>
  <c r="Q229" i="5"/>
  <c r="AI241" i="5"/>
  <c r="V241" i="5"/>
  <c r="I241" i="5"/>
  <c r="AO253" i="5"/>
  <c r="AB253" i="5"/>
  <c r="O253" i="5"/>
  <c r="AE265" i="5"/>
  <c r="E265" i="5"/>
  <c r="R265" i="5"/>
  <c r="AJ289" i="5"/>
  <c r="W289" i="5"/>
  <c r="J289" i="5"/>
  <c r="AO301" i="5"/>
  <c r="AB301" i="5"/>
  <c r="O301" i="5"/>
  <c r="G313" i="5"/>
  <c r="AG313" i="5"/>
  <c r="T313" i="5"/>
  <c r="AG325" i="5"/>
  <c r="G325" i="5"/>
  <c r="T325" i="5"/>
  <c r="K337" i="5"/>
  <c r="X337" i="5"/>
  <c r="AK337" i="5"/>
  <c r="AI349" i="5"/>
  <c r="V349" i="5"/>
  <c r="I349" i="5"/>
  <c r="AE361" i="5"/>
  <c r="E361" i="5"/>
  <c r="R361" i="5"/>
  <c r="AE373" i="5"/>
  <c r="R373" i="5"/>
  <c r="E373" i="5"/>
  <c r="AE397" i="5"/>
  <c r="R397" i="5"/>
  <c r="E397" i="5"/>
  <c r="AI409" i="5"/>
  <c r="V409" i="5"/>
  <c r="I409" i="5"/>
  <c r="AH421" i="5"/>
  <c r="H421" i="5"/>
  <c r="U421" i="5"/>
  <c r="AE433" i="5"/>
  <c r="E433" i="5"/>
  <c r="R433" i="5"/>
  <c r="AF445" i="5"/>
  <c r="S445" i="5"/>
  <c r="F445" i="5"/>
  <c r="AH469" i="5"/>
  <c r="H469" i="5"/>
  <c r="U469" i="5"/>
  <c r="T481" i="5"/>
  <c r="G481" i="5"/>
  <c r="AG481" i="5"/>
  <c r="AJ493" i="5"/>
  <c r="W493" i="5"/>
  <c r="J493" i="5"/>
  <c r="AF505" i="5"/>
  <c r="S505" i="5"/>
  <c r="F505" i="5"/>
  <c r="AF26" i="5"/>
  <c r="S26" i="5"/>
  <c r="F26" i="5"/>
  <c r="AK146" i="5"/>
  <c r="X146" i="5"/>
  <c r="K146" i="5"/>
  <c r="AK194" i="5"/>
  <c r="K194" i="5"/>
  <c r="X194" i="5"/>
  <c r="Z218" i="5"/>
  <c r="AM218" i="5"/>
  <c r="M218" i="5"/>
  <c r="AK266" i="5"/>
  <c r="X266" i="5"/>
  <c r="K266" i="5"/>
  <c r="AK290" i="5"/>
  <c r="K290" i="5"/>
  <c r="X290" i="5"/>
  <c r="AK314" i="5"/>
  <c r="X314" i="5"/>
  <c r="K314" i="5"/>
  <c r="V338" i="5"/>
  <c r="I338" i="5"/>
  <c r="AI338" i="5"/>
  <c r="N362" i="5"/>
  <c r="AN362" i="5"/>
  <c r="AA362" i="5"/>
  <c r="N386" i="5"/>
  <c r="AA386" i="5"/>
  <c r="AN386" i="5"/>
  <c r="AO434" i="5"/>
  <c r="AB434" i="5"/>
  <c r="O434" i="5"/>
  <c r="Q458" i="5"/>
  <c r="AD458" i="5"/>
  <c r="D458" i="5"/>
  <c r="N482" i="5"/>
  <c r="AA482" i="5"/>
  <c r="AN482" i="5"/>
  <c r="AF15" i="5"/>
  <c r="S15" i="5"/>
  <c r="F15" i="5"/>
  <c r="AJ183" i="5"/>
  <c r="W183" i="5"/>
  <c r="J183" i="5"/>
  <c r="AJ267" i="5"/>
  <c r="W267" i="5"/>
  <c r="J267" i="5"/>
  <c r="Q291" i="5"/>
  <c r="AD291" i="5"/>
  <c r="D291" i="5"/>
  <c r="AF315" i="5"/>
  <c r="F315" i="5"/>
  <c r="S315" i="5"/>
  <c r="AE339" i="5"/>
  <c r="E339" i="5"/>
  <c r="R339" i="5"/>
  <c r="E387" i="5"/>
  <c r="AE387" i="5"/>
  <c r="R387" i="5"/>
  <c r="V411" i="5"/>
  <c r="I411" i="5"/>
  <c r="AI411" i="5"/>
  <c r="S435" i="5"/>
  <c r="AF435" i="5"/>
  <c r="F435" i="5"/>
  <c r="AI495" i="5"/>
  <c r="V495" i="5"/>
  <c r="I495" i="5"/>
  <c r="AD82" i="5"/>
  <c r="Q82" i="5"/>
  <c r="D82" i="5"/>
  <c r="AK106" i="5"/>
  <c r="X106" i="5"/>
  <c r="K106" i="5"/>
  <c r="AD178" i="5"/>
  <c r="D178" i="5"/>
  <c r="Q178" i="5"/>
  <c r="AK202" i="5"/>
  <c r="K202" i="5"/>
  <c r="X202" i="5"/>
  <c r="AI6" i="5"/>
  <c r="V6" i="5"/>
  <c r="I6" i="5"/>
  <c r="AB46" i="5"/>
  <c r="AO46" i="5"/>
  <c r="O46" i="5"/>
  <c r="AF162" i="5"/>
  <c r="S162" i="5"/>
  <c r="F162" i="5"/>
  <c r="AK294" i="5"/>
  <c r="X294" i="5"/>
  <c r="K294" i="5"/>
  <c r="AG318" i="5"/>
  <c r="T318" i="5"/>
  <c r="G318" i="5"/>
  <c r="N418" i="5"/>
  <c r="AA418" i="5"/>
  <c r="AN418" i="5"/>
  <c r="AG30" i="5"/>
  <c r="T30" i="5"/>
  <c r="G30" i="5"/>
  <c r="AG46" i="5"/>
  <c r="T46" i="5"/>
  <c r="G46" i="5"/>
  <c r="AM102" i="5"/>
  <c r="M102" i="5"/>
  <c r="Z102" i="5"/>
  <c r="AM378" i="5"/>
  <c r="M378" i="5"/>
  <c r="Z378" i="5"/>
  <c r="AF478" i="5"/>
  <c r="S478" i="5"/>
  <c r="F478" i="5"/>
  <c r="AF510" i="5"/>
  <c r="F510" i="5"/>
  <c r="S510" i="5"/>
  <c r="AK47" i="5"/>
  <c r="X47" i="5"/>
  <c r="K47" i="5"/>
  <c r="X79" i="5"/>
  <c r="AK79" i="5"/>
  <c r="K79" i="5"/>
  <c r="AG156" i="5"/>
  <c r="G156" i="5"/>
  <c r="T156" i="5"/>
  <c r="S199" i="5"/>
  <c r="F199" i="5"/>
  <c r="AF199" i="5"/>
  <c r="AH295" i="5"/>
  <c r="U295" i="5"/>
  <c r="H295" i="5"/>
  <c r="U408" i="5"/>
  <c r="AH408" i="5"/>
  <c r="H408" i="5"/>
  <c r="AK463" i="5"/>
  <c r="X463" i="5"/>
  <c r="K463" i="5"/>
  <c r="AO19" i="5"/>
  <c r="AB19" i="5"/>
  <c r="O19" i="5"/>
  <c r="AJ403" i="5"/>
  <c r="W403" i="5"/>
  <c r="J403" i="5"/>
  <c r="AO511" i="5"/>
  <c r="AB511" i="5"/>
  <c r="O511" i="5"/>
  <c r="N43" i="5"/>
  <c r="AN43" i="5"/>
  <c r="AA43" i="5"/>
  <c r="S67" i="5"/>
  <c r="F67" i="5"/>
  <c r="AF67" i="5"/>
  <c r="AJ103" i="5"/>
  <c r="W103" i="5"/>
  <c r="J103" i="5"/>
  <c r="AE127" i="5"/>
  <c r="R127" i="5"/>
  <c r="E127" i="5"/>
  <c r="AH163" i="5"/>
  <c r="U163" i="5"/>
  <c r="H163" i="5"/>
  <c r="AE187" i="5"/>
  <c r="R187" i="5"/>
  <c r="E187" i="5"/>
  <c r="AD223" i="5"/>
  <c r="D223" i="5"/>
  <c r="Q223" i="5"/>
  <c r="AE247" i="5"/>
  <c r="R247" i="5"/>
  <c r="E247" i="5"/>
  <c r="N283" i="5"/>
  <c r="AA283" i="5"/>
  <c r="AN283" i="5"/>
  <c r="AL319" i="5"/>
  <c r="Y319" i="5"/>
  <c r="L319" i="5"/>
  <c r="AO343" i="5"/>
  <c r="AB343" i="5"/>
  <c r="O343" i="5"/>
  <c r="AI379" i="5"/>
  <c r="I379" i="5"/>
  <c r="V379" i="5"/>
  <c r="N427" i="5"/>
  <c r="AN427" i="5"/>
  <c r="AA427" i="5"/>
  <c r="N475" i="5"/>
  <c r="AN475" i="5"/>
  <c r="AA475" i="5"/>
  <c r="AJ188" i="5"/>
  <c r="W188" i="5"/>
  <c r="J188" i="5"/>
  <c r="AJ252" i="5"/>
  <c r="J252" i="5"/>
  <c r="W252" i="5"/>
  <c r="AF368" i="5"/>
  <c r="F368" i="5"/>
  <c r="S368" i="5"/>
  <c r="AE8" i="5"/>
  <c r="R8" i="5"/>
  <c r="E8" i="5"/>
  <c r="AM336" i="5"/>
  <c r="Z336" i="5"/>
  <c r="M336" i="5"/>
  <c r="AI396" i="5"/>
  <c r="V396" i="5"/>
  <c r="I396" i="5"/>
  <c r="AL35" i="5"/>
  <c r="Y35" i="5"/>
  <c r="L35" i="5"/>
  <c r="AO467" i="5"/>
  <c r="AB467" i="5"/>
  <c r="O467" i="5"/>
  <c r="AG491" i="5"/>
  <c r="G491" i="5"/>
  <c r="T491" i="5"/>
  <c r="Q119" i="5"/>
  <c r="D119" i="5"/>
  <c r="AD119" i="5"/>
  <c r="AH384" i="5"/>
  <c r="U384" i="5"/>
  <c r="H384" i="5"/>
  <c r="AK35" i="5"/>
  <c r="X35" i="5"/>
  <c r="K35" i="5"/>
  <c r="AL59" i="5"/>
  <c r="L59" i="5"/>
  <c r="Y59" i="5"/>
  <c r="AH95" i="5"/>
  <c r="U95" i="5"/>
  <c r="H95" i="5"/>
  <c r="AI119" i="5"/>
  <c r="V119" i="5"/>
  <c r="I119" i="5"/>
  <c r="N155" i="5"/>
  <c r="AA155" i="5"/>
  <c r="AN155" i="5"/>
  <c r="AE191" i="5"/>
  <c r="E191" i="5"/>
  <c r="R191" i="5"/>
  <c r="AI275" i="5"/>
  <c r="V275" i="5"/>
  <c r="I275" i="5"/>
  <c r="AG347" i="5"/>
  <c r="T347" i="5"/>
  <c r="G347" i="5"/>
  <c r="N443" i="5"/>
  <c r="AA443" i="5"/>
  <c r="AN443" i="5"/>
  <c r="AO12" i="5"/>
  <c r="AB12" i="5"/>
  <c r="O12" i="5"/>
  <c r="AJ110" i="5"/>
  <c r="W110" i="5"/>
  <c r="J110" i="5"/>
  <c r="AG409" i="5"/>
  <c r="T409" i="5"/>
  <c r="G409" i="5"/>
  <c r="Q325" i="5"/>
  <c r="AD325" i="5"/>
  <c r="D325" i="5"/>
  <c r="AF85" i="5"/>
  <c r="S85" i="5"/>
  <c r="F85" i="5"/>
  <c r="AD25" i="5"/>
  <c r="Q25" i="5"/>
  <c r="D25" i="5"/>
  <c r="S14" i="5"/>
  <c r="AF14" i="5"/>
  <c r="F14" i="5"/>
  <c r="AD50" i="5"/>
  <c r="Q50" i="5"/>
  <c r="D50" i="5"/>
  <c r="AK62" i="5"/>
  <c r="X62" i="5"/>
  <c r="K62" i="5"/>
  <c r="AD74" i="5"/>
  <c r="Q74" i="5"/>
  <c r="D74" i="5"/>
  <c r="V86" i="5"/>
  <c r="I86" i="5"/>
  <c r="AI86" i="5"/>
  <c r="AF98" i="5"/>
  <c r="S98" i="5"/>
  <c r="F98" i="5"/>
  <c r="S122" i="5"/>
  <c r="AF122" i="5"/>
  <c r="F122" i="5"/>
  <c r="S134" i="5"/>
  <c r="AF134" i="5"/>
  <c r="F134" i="5"/>
  <c r="AH158" i="5"/>
  <c r="U158" i="5"/>
  <c r="H158" i="5"/>
  <c r="AL170" i="5"/>
  <c r="Y170" i="5"/>
  <c r="L170" i="5"/>
  <c r="N206" i="5"/>
  <c r="AN206" i="5"/>
  <c r="AA206" i="5"/>
  <c r="AO230" i="5"/>
  <c r="AB230" i="5"/>
  <c r="O230" i="5"/>
  <c r="T254" i="5"/>
  <c r="AG254" i="5"/>
  <c r="G254" i="5"/>
  <c r="X278" i="5"/>
  <c r="AK278" i="5"/>
  <c r="K278" i="5"/>
  <c r="AE302" i="5"/>
  <c r="E302" i="5"/>
  <c r="R302" i="5"/>
  <c r="AO350" i="5"/>
  <c r="AB350" i="5"/>
  <c r="O350" i="5"/>
  <c r="AE374" i="5"/>
  <c r="E374" i="5"/>
  <c r="R374" i="5"/>
  <c r="AG422" i="5"/>
  <c r="T422" i="5"/>
  <c r="G422" i="5"/>
  <c r="AE446" i="5"/>
  <c r="E446" i="5"/>
  <c r="R446" i="5"/>
  <c r="AL267" i="5"/>
  <c r="Y267" i="5"/>
  <c r="L267" i="5"/>
  <c r="AL27" i="5"/>
  <c r="Y27" i="5"/>
  <c r="L27" i="5"/>
  <c r="AM51" i="5"/>
  <c r="M51" i="5"/>
  <c r="Z51" i="5"/>
  <c r="AK63" i="5"/>
  <c r="X63" i="5"/>
  <c r="K63" i="5"/>
  <c r="V75" i="5"/>
  <c r="AI75" i="5"/>
  <c r="I75" i="5"/>
  <c r="N87" i="5"/>
  <c r="AA87" i="5"/>
  <c r="AN87" i="5"/>
  <c r="AL99" i="5"/>
  <c r="Y99" i="5"/>
  <c r="L99" i="5"/>
  <c r="AI111" i="5"/>
  <c r="V111" i="5"/>
  <c r="I111" i="5"/>
  <c r="AN123" i="5"/>
  <c r="N123" i="5"/>
  <c r="AA123" i="5"/>
  <c r="AK147" i="5"/>
  <c r="X147" i="5"/>
  <c r="K147" i="5"/>
  <c r="AK159" i="5"/>
  <c r="X159" i="5"/>
  <c r="K159" i="5"/>
  <c r="AN171" i="5"/>
  <c r="N171" i="5"/>
  <c r="AA171" i="5"/>
  <c r="AE195" i="5"/>
  <c r="R195" i="5"/>
  <c r="E195" i="5"/>
  <c r="AI219" i="5"/>
  <c r="I219" i="5"/>
  <c r="V219" i="5"/>
  <c r="S243" i="5"/>
  <c r="AF243" i="5"/>
  <c r="F243" i="5"/>
  <c r="AO255" i="5"/>
  <c r="AB255" i="5"/>
  <c r="O255" i="5"/>
  <c r="N279" i="5"/>
  <c r="AN279" i="5"/>
  <c r="AA279" i="5"/>
  <c r="AF303" i="5"/>
  <c r="F303" i="5"/>
  <c r="S303" i="5"/>
  <c r="AF327" i="5"/>
  <c r="S327" i="5"/>
  <c r="F327" i="5"/>
  <c r="Z351" i="5"/>
  <c r="AM351" i="5"/>
  <c r="M351" i="5"/>
  <c r="R375" i="5"/>
  <c r="E375" i="5"/>
  <c r="AE375" i="5"/>
  <c r="AJ423" i="5"/>
  <c r="W423" i="5"/>
  <c r="J423" i="5"/>
  <c r="AH459" i="5"/>
  <c r="U459" i="5"/>
  <c r="H459" i="5"/>
  <c r="AF483" i="5"/>
  <c r="S483" i="5"/>
  <c r="F483" i="5"/>
  <c r="AN507" i="5"/>
  <c r="N507" i="5"/>
  <c r="AA507" i="5"/>
  <c r="AJ435" i="5"/>
  <c r="J435" i="5"/>
  <c r="W435" i="5"/>
  <c r="AJ458" i="5"/>
  <c r="W458" i="5"/>
  <c r="J458" i="5"/>
  <c r="AH37" i="5"/>
  <c r="U37" i="5"/>
  <c r="H37" i="5"/>
  <c r="N38" i="5"/>
  <c r="AA38" i="5"/>
  <c r="AN38" i="5"/>
  <c r="AJ39" i="5"/>
  <c r="W39" i="5"/>
  <c r="J39" i="5"/>
  <c r="X218" i="5"/>
  <c r="K218" i="5"/>
  <c r="AK218" i="5"/>
  <c r="AL315" i="5"/>
  <c r="L315" i="5"/>
  <c r="Y315" i="5"/>
  <c r="V446" i="5"/>
  <c r="AI446" i="5"/>
  <c r="I446" i="5"/>
  <c r="S181" i="5"/>
  <c r="AF181" i="5"/>
  <c r="F181" i="5"/>
  <c r="Q13" i="5"/>
  <c r="AD13" i="5"/>
  <c r="D13" i="5"/>
  <c r="AJ49" i="5"/>
  <c r="W49" i="5"/>
  <c r="J49" i="5"/>
  <c r="AO61" i="5"/>
  <c r="AB61" i="5"/>
  <c r="O61" i="5"/>
  <c r="AK73" i="5"/>
  <c r="K73" i="5"/>
  <c r="X73" i="5"/>
  <c r="AE85" i="5"/>
  <c r="R85" i="5"/>
  <c r="E85" i="5"/>
  <c r="AH109" i="5"/>
  <c r="U109" i="5"/>
  <c r="H109" i="5"/>
  <c r="AO121" i="5"/>
  <c r="O121" i="5"/>
  <c r="AB121" i="5"/>
  <c r="AM133" i="5"/>
  <c r="M133" i="5"/>
  <c r="Z133" i="5"/>
  <c r="AJ145" i="5"/>
  <c r="W145" i="5"/>
  <c r="J145" i="5"/>
  <c r="AG157" i="5"/>
  <c r="T157" i="5"/>
  <c r="G157" i="5"/>
  <c r="AL169" i="5"/>
  <c r="L169" i="5"/>
  <c r="Y169" i="5"/>
  <c r="U181" i="5"/>
  <c r="AH181" i="5"/>
  <c r="H181" i="5"/>
  <c r="Z205" i="5"/>
  <c r="AM205" i="5"/>
  <c r="M205" i="5"/>
  <c r="AN217" i="5"/>
  <c r="N217" i="5"/>
  <c r="AA217" i="5"/>
  <c r="T229" i="5"/>
  <c r="AG229" i="5"/>
  <c r="G229" i="5"/>
  <c r="AH241" i="5"/>
  <c r="U241" i="5"/>
  <c r="H241" i="5"/>
  <c r="N253" i="5"/>
  <c r="AN253" i="5"/>
  <c r="AA253" i="5"/>
  <c r="Q277" i="5"/>
  <c r="AD277" i="5"/>
  <c r="D277" i="5"/>
  <c r="AF289" i="5"/>
  <c r="S289" i="5"/>
  <c r="F289" i="5"/>
  <c r="AM301" i="5"/>
  <c r="M301" i="5"/>
  <c r="Z301" i="5"/>
  <c r="S313" i="5"/>
  <c r="AF313" i="5"/>
  <c r="F313" i="5"/>
  <c r="S325" i="5"/>
  <c r="AF325" i="5"/>
  <c r="F325" i="5"/>
  <c r="AE337" i="5"/>
  <c r="E337" i="5"/>
  <c r="R337" i="5"/>
  <c r="AE349" i="5"/>
  <c r="R349" i="5"/>
  <c r="E349" i="5"/>
  <c r="AO373" i="5"/>
  <c r="AB373" i="5"/>
  <c r="O373" i="5"/>
  <c r="Y385" i="5"/>
  <c r="AL385" i="5"/>
  <c r="L385" i="5"/>
  <c r="Q397" i="5"/>
  <c r="AD397" i="5"/>
  <c r="D397" i="5"/>
  <c r="Q409" i="5"/>
  <c r="AD409" i="5"/>
  <c r="D409" i="5"/>
  <c r="AE421" i="5"/>
  <c r="R421" i="5"/>
  <c r="E421" i="5"/>
  <c r="W433" i="5"/>
  <c r="AJ433" i="5"/>
  <c r="J433" i="5"/>
  <c r="N445" i="5"/>
  <c r="AN445" i="5"/>
  <c r="AA445" i="5"/>
  <c r="T469" i="5"/>
  <c r="G469" i="5"/>
  <c r="AG469" i="5"/>
  <c r="AE481" i="5"/>
  <c r="R481" i="5"/>
  <c r="E481" i="5"/>
  <c r="U493" i="5"/>
  <c r="AH493" i="5"/>
  <c r="H493" i="5"/>
  <c r="AN505" i="5"/>
  <c r="AA505" i="5"/>
  <c r="N505" i="5"/>
  <c r="AD26" i="5"/>
  <c r="Q26" i="5"/>
  <c r="D26" i="5"/>
  <c r="T146" i="5"/>
  <c r="AG146" i="5"/>
  <c r="G146" i="5"/>
  <c r="T194" i="5"/>
  <c r="AG194" i="5"/>
  <c r="G194" i="5"/>
  <c r="AL218" i="5"/>
  <c r="Y218" i="5"/>
  <c r="L218" i="5"/>
  <c r="AJ266" i="5"/>
  <c r="J266" i="5"/>
  <c r="W266" i="5"/>
  <c r="T290" i="5"/>
  <c r="AG290" i="5"/>
  <c r="G290" i="5"/>
  <c r="U314" i="5"/>
  <c r="AH314" i="5"/>
  <c r="H314" i="5"/>
  <c r="T338" i="5"/>
  <c r="AG338" i="5"/>
  <c r="G338" i="5"/>
  <c r="AM362" i="5"/>
  <c r="Z362" i="5"/>
  <c r="M362" i="5"/>
  <c r="AM386" i="5"/>
  <c r="Z386" i="5"/>
  <c r="M386" i="5"/>
  <c r="V434" i="5"/>
  <c r="AI434" i="5"/>
  <c r="I434" i="5"/>
  <c r="V458" i="5"/>
  <c r="AI458" i="5"/>
  <c r="I458" i="5"/>
  <c r="Z482" i="5"/>
  <c r="AM482" i="5"/>
  <c r="M482" i="5"/>
  <c r="AK495" i="5"/>
  <c r="K495" i="5"/>
  <c r="X495" i="5"/>
  <c r="AE15" i="5"/>
  <c r="R15" i="5"/>
  <c r="E15" i="5"/>
  <c r="R183" i="5"/>
  <c r="AE183" i="5"/>
  <c r="E183" i="5"/>
  <c r="V267" i="5"/>
  <c r="AI267" i="5"/>
  <c r="I267" i="5"/>
  <c r="AB291" i="5"/>
  <c r="O291" i="5"/>
  <c r="AO291" i="5"/>
  <c r="Q315" i="5"/>
  <c r="D315" i="5"/>
  <c r="AD315" i="5"/>
  <c r="Y363" i="5"/>
  <c r="AL363" i="5"/>
  <c r="L363" i="5"/>
  <c r="Q387" i="5"/>
  <c r="AD387" i="5"/>
  <c r="D387" i="5"/>
  <c r="AH411" i="5"/>
  <c r="U411" i="5"/>
  <c r="H411" i="5"/>
  <c r="N435" i="5"/>
  <c r="AN435" i="5"/>
  <c r="AA435" i="5"/>
  <c r="AH495" i="5"/>
  <c r="U495" i="5"/>
  <c r="H495" i="5"/>
  <c r="AH54" i="5"/>
  <c r="U54" i="5"/>
  <c r="H54" i="5"/>
  <c r="AD114" i="5"/>
  <c r="Q114" i="5"/>
  <c r="D114" i="5"/>
  <c r="AK138" i="5"/>
  <c r="X138" i="5"/>
  <c r="K138" i="5"/>
  <c r="AD210" i="5"/>
  <c r="Q210" i="5"/>
  <c r="D210" i="5"/>
  <c r="AK234" i="5"/>
  <c r="X234" i="5"/>
  <c r="K234" i="5"/>
  <c r="S274" i="5"/>
  <c r="F274" i="5"/>
  <c r="AF274" i="5"/>
  <c r="U306" i="5"/>
  <c r="H306" i="5"/>
  <c r="AH306" i="5"/>
  <c r="O30" i="5"/>
  <c r="AO30" i="5"/>
  <c r="AB30" i="5"/>
  <c r="AK322" i="5"/>
  <c r="X322" i="5"/>
  <c r="K322" i="5"/>
  <c r="AB342" i="5"/>
  <c r="AO342" i="5"/>
  <c r="O342" i="5"/>
  <c r="AK366" i="5"/>
  <c r="X366" i="5"/>
  <c r="K366" i="5"/>
  <c r="N486" i="5"/>
  <c r="AN486" i="5"/>
  <c r="AA486" i="5"/>
  <c r="AN502" i="5"/>
  <c r="AA502" i="5"/>
  <c r="N502" i="5"/>
  <c r="AJ66" i="5"/>
  <c r="W66" i="5"/>
  <c r="J66" i="5"/>
  <c r="W82" i="5"/>
  <c r="AJ82" i="5"/>
  <c r="J82" i="5"/>
  <c r="Z166" i="5"/>
  <c r="M166" i="5"/>
  <c r="AM166" i="5"/>
  <c r="W210" i="5"/>
  <c r="AJ210" i="5"/>
  <c r="J210" i="5"/>
  <c r="AD282" i="5"/>
  <c r="Q282" i="5"/>
  <c r="D282" i="5"/>
  <c r="AG298" i="5"/>
  <c r="T298" i="5"/>
  <c r="G298" i="5"/>
  <c r="AG342" i="5"/>
  <c r="G342" i="5"/>
  <c r="T342" i="5"/>
  <c r="AI358" i="5"/>
  <c r="V358" i="5"/>
  <c r="I358" i="5"/>
  <c r="AD382" i="5"/>
  <c r="Q382" i="5"/>
  <c r="D382" i="5"/>
  <c r="AF414" i="5"/>
  <c r="S414" i="5"/>
  <c r="F414" i="5"/>
  <c r="S514" i="5"/>
  <c r="AF514" i="5"/>
  <c r="F514" i="5"/>
  <c r="AD56" i="5"/>
  <c r="Q56" i="5"/>
  <c r="D56" i="5"/>
  <c r="AK68" i="5"/>
  <c r="X68" i="5"/>
  <c r="K68" i="5"/>
  <c r="AM83" i="5"/>
  <c r="Z83" i="5"/>
  <c r="M83" i="5"/>
  <c r="G188" i="5"/>
  <c r="AG188" i="5"/>
  <c r="T188" i="5"/>
  <c r="N200" i="5"/>
  <c r="AN200" i="5"/>
  <c r="AA200" i="5"/>
  <c r="AJ312" i="5"/>
  <c r="J312" i="5"/>
  <c r="W312" i="5"/>
  <c r="X355" i="5"/>
  <c r="AK355" i="5"/>
  <c r="K355" i="5"/>
  <c r="J408" i="5"/>
  <c r="AJ408" i="5"/>
  <c r="W408" i="5"/>
  <c r="T439" i="5"/>
  <c r="AG439" i="5"/>
  <c r="G439" i="5"/>
  <c r="AO479" i="5"/>
  <c r="AB479" i="5"/>
  <c r="O479" i="5"/>
  <c r="AJ515" i="5"/>
  <c r="W515" i="5"/>
  <c r="J515" i="5"/>
  <c r="AM43" i="5"/>
  <c r="M43" i="5"/>
  <c r="Z43" i="5"/>
  <c r="AE67" i="5"/>
  <c r="R67" i="5"/>
  <c r="E67" i="5"/>
  <c r="AD139" i="5"/>
  <c r="D139" i="5"/>
  <c r="Q139" i="5"/>
  <c r="AG163" i="5"/>
  <c r="T163" i="5"/>
  <c r="G163" i="5"/>
  <c r="AN199" i="5"/>
  <c r="N199" i="5"/>
  <c r="AA199" i="5"/>
  <c r="AK259" i="5"/>
  <c r="X259" i="5"/>
  <c r="K259" i="5"/>
  <c r="AM283" i="5"/>
  <c r="Z283" i="5"/>
  <c r="M283" i="5"/>
  <c r="AH319" i="5"/>
  <c r="U319" i="5"/>
  <c r="H319" i="5"/>
  <c r="AE343" i="5"/>
  <c r="E343" i="5"/>
  <c r="R343" i="5"/>
  <c r="AE379" i="5"/>
  <c r="R379" i="5"/>
  <c r="E379" i="5"/>
  <c r="AM427" i="5"/>
  <c r="Z427" i="5"/>
  <c r="M427" i="5"/>
  <c r="AM475" i="5"/>
  <c r="M475" i="5"/>
  <c r="Z475" i="5"/>
  <c r="AH71" i="5"/>
  <c r="U71" i="5"/>
  <c r="H71" i="5"/>
  <c r="AG191" i="5"/>
  <c r="G191" i="5"/>
  <c r="T191" i="5"/>
  <c r="AH503" i="5"/>
  <c r="U503" i="5"/>
  <c r="H503" i="5"/>
  <c r="Y167" i="5"/>
  <c r="AL167" i="5"/>
  <c r="L167" i="5"/>
  <c r="AK287" i="5"/>
  <c r="K287" i="5"/>
  <c r="X287" i="5"/>
  <c r="I444" i="5"/>
  <c r="V444" i="5"/>
  <c r="AI444" i="5"/>
  <c r="AK95" i="5"/>
  <c r="X95" i="5"/>
  <c r="K95" i="5"/>
  <c r="AK455" i="5"/>
  <c r="X455" i="5"/>
  <c r="K455" i="5"/>
  <c r="AG35" i="5"/>
  <c r="T35" i="5"/>
  <c r="G35" i="5"/>
  <c r="AE59" i="5"/>
  <c r="R59" i="5"/>
  <c r="E59" i="5"/>
  <c r="AD95" i="5"/>
  <c r="Q95" i="5"/>
  <c r="D95" i="5"/>
  <c r="R119" i="5"/>
  <c r="E119" i="5"/>
  <c r="AE119" i="5"/>
  <c r="AM155" i="5"/>
  <c r="Z155" i="5"/>
  <c r="M155" i="5"/>
  <c r="N215" i="5"/>
  <c r="AN215" i="5"/>
  <c r="AA215" i="5"/>
  <c r="AH275" i="5"/>
  <c r="H275" i="5"/>
  <c r="U275" i="5"/>
  <c r="AE347" i="5"/>
  <c r="E347" i="5"/>
  <c r="R347" i="5"/>
  <c r="AM443" i="5"/>
  <c r="Z443" i="5"/>
  <c r="M443" i="5"/>
  <c r="AN132" i="5"/>
  <c r="N132" i="5"/>
  <c r="AA132" i="5"/>
  <c r="AI156" i="5"/>
  <c r="V156" i="5"/>
  <c r="I156" i="5"/>
  <c r="AJ235" i="5"/>
  <c r="W235" i="5"/>
  <c r="J235" i="5"/>
  <c r="AJ284" i="5"/>
  <c r="W284" i="5"/>
  <c r="J284" i="5"/>
  <c r="X319" i="5"/>
  <c r="AK319" i="5"/>
  <c r="K319" i="5"/>
  <c r="AJ456" i="5"/>
  <c r="W456" i="5"/>
  <c r="J456" i="5"/>
  <c r="AH6" i="5"/>
  <c r="U6" i="5"/>
  <c r="H6" i="5"/>
  <c r="Y310" i="5"/>
  <c r="L310" i="5"/>
  <c r="AL310" i="5"/>
  <c r="S18" i="5"/>
  <c r="AF18" i="5"/>
  <c r="F18" i="5"/>
  <c r="AI166" i="5"/>
  <c r="I166" i="5"/>
  <c r="V166" i="5"/>
  <c r="AL186" i="5"/>
  <c r="Y186" i="5"/>
  <c r="L186" i="5"/>
  <c r="AO270" i="5"/>
  <c r="AB270" i="5"/>
  <c r="O270" i="5"/>
  <c r="AO298" i="5"/>
  <c r="AB298" i="5"/>
  <c r="O298" i="5"/>
  <c r="Q330" i="5"/>
  <c r="AD330" i="5"/>
  <c r="D330" i="5"/>
  <c r="AG346" i="5"/>
  <c r="T346" i="5"/>
  <c r="G346" i="5"/>
  <c r="N438" i="5"/>
  <c r="AN438" i="5"/>
  <c r="AA438" i="5"/>
  <c r="AJ34" i="5"/>
  <c r="W34" i="5"/>
  <c r="J34" i="5"/>
  <c r="AM214" i="5"/>
  <c r="Z214" i="5"/>
  <c r="M214" i="5"/>
  <c r="AI286" i="5"/>
  <c r="V286" i="5"/>
  <c r="I286" i="5"/>
  <c r="AM306" i="5"/>
  <c r="Z306" i="5"/>
  <c r="M306" i="5"/>
  <c r="O366" i="5"/>
  <c r="AO366" i="5"/>
  <c r="AB366" i="5"/>
  <c r="AF438" i="5"/>
  <c r="F438" i="5"/>
  <c r="S438" i="5"/>
  <c r="S486" i="5"/>
  <c r="F486" i="5"/>
  <c r="AF486" i="5"/>
  <c r="S7" i="5"/>
  <c r="F7" i="5"/>
  <c r="AF7" i="5"/>
  <c r="AG60" i="5"/>
  <c r="G60" i="5"/>
  <c r="T60" i="5"/>
  <c r="AK143" i="5"/>
  <c r="X143" i="5"/>
  <c r="K143" i="5"/>
  <c r="X239" i="5"/>
  <c r="AK239" i="5"/>
  <c r="K239" i="5"/>
  <c r="AK271" i="5"/>
  <c r="X271" i="5"/>
  <c r="K271" i="5"/>
  <c r="AF343" i="5"/>
  <c r="S343" i="5"/>
  <c r="F343" i="5"/>
  <c r="Q439" i="5"/>
  <c r="AD439" i="5"/>
  <c r="D439" i="5"/>
  <c r="K452" i="5"/>
  <c r="AK452" i="5"/>
  <c r="X452" i="5"/>
  <c r="AK479" i="5"/>
  <c r="X479" i="5"/>
  <c r="K479" i="5"/>
  <c r="AH499" i="5"/>
  <c r="U499" i="5"/>
  <c r="H499" i="5"/>
  <c r="AH7" i="5"/>
  <c r="U7" i="5"/>
  <c r="H7" i="5"/>
  <c r="AG444" i="5"/>
  <c r="T444" i="5"/>
  <c r="G444" i="5"/>
  <c r="AO500" i="5"/>
  <c r="AB500" i="5"/>
  <c r="O500" i="5"/>
  <c r="AK7" i="5"/>
  <c r="X7" i="5"/>
  <c r="K7" i="5"/>
  <c r="N55" i="5"/>
  <c r="AA55" i="5"/>
  <c r="AN55" i="5"/>
  <c r="AO79" i="5"/>
  <c r="AB79" i="5"/>
  <c r="O79" i="5"/>
  <c r="AK115" i="5"/>
  <c r="X115" i="5"/>
  <c r="K115" i="5"/>
  <c r="Y139" i="5"/>
  <c r="AL139" i="5"/>
  <c r="L139" i="5"/>
  <c r="AH175" i="5"/>
  <c r="U175" i="5"/>
  <c r="H175" i="5"/>
  <c r="AI199" i="5"/>
  <c r="V199" i="5"/>
  <c r="I199" i="5"/>
  <c r="Z235" i="5"/>
  <c r="AM235" i="5"/>
  <c r="M235" i="5"/>
  <c r="S259" i="5"/>
  <c r="AF259" i="5"/>
  <c r="F259" i="5"/>
  <c r="AL295" i="5"/>
  <c r="Y295" i="5"/>
  <c r="L295" i="5"/>
  <c r="R319" i="5"/>
  <c r="AE319" i="5"/>
  <c r="E319" i="5"/>
  <c r="AN355" i="5"/>
  <c r="N355" i="5"/>
  <c r="AA355" i="5"/>
  <c r="AM391" i="5"/>
  <c r="Z391" i="5"/>
  <c r="M391" i="5"/>
  <c r="AM439" i="5"/>
  <c r="M439" i="5"/>
  <c r="Z439" i="5"/>
  <c r="AM487" i="5"/>
  <c r="Z487" i="5"/>
  <c r="M487" i="5"/>
  <c r="AH167" i="5"/>
  <c r="U167" i="5"/>
  <c r="H167" i="5"/>
  <c r="AJ35" i="5"/>
  <c r="J35" i="5"/>
  <c r="W35" i="5"/>
  <c r="AG324" i="5"/>
  <c r="T324" i="5"/>
  <c r="G324" i="5"/>
  <c r="J444" i="5"/>
  <c r="W444" i="5"/>
  <c r="AJ444" i="5"/>
  <c r="AO263" i="5"/>
  <c r="O263" i="5"/>
  <c r="AB263" i="5"/>
  <c r="X444" i="5"/>
  <c r="K444" i="5"/>
  <c r="AK444" i="5"/>
  <c r="AE35" i="5"/>
  <c r="R35" i="5"/>
  <c r="E35" i="5"/>
  <c r="J71" i="5"/>
  <c r="AJ71" i="5"/>
  <c r="W71" i="5"/>
  <c r="Q107" i="5"/>
  <c r="AD107" i="5"/>
  <c r="D107" i="5"/>
  <c r="AG131" i="5"/>
  <c r="T131" i="5"/>
  <c r="G131" i="5"/>
  <c r="AK179" i="5"/>
  <c r="X179" i="5"/>
  <c r="K179" i="5"/>
  <c r="AI215" i="5"/>
  <c r="V215" i="5"/>
  <c r="I215" i="5"/>
  <c r="AF311" i="5"/>
  <c r="S311" i="5"/>
  <c r="F311" i="5"/>
  <c r="AE371" i="5"/>
  <c r="R371" i="5"/>
  <c r="E371" i="5"/>
  <c r="M455" i="5"/>
  <c r="AM455" i="5"/>
  <c r="Z455" i="5"/>
  <c r="K48" i="5"/>
  <c r="AK48" i="5"/>
  <c r="X48" i="5"/>
  <c r="AK144" i="5"/>
  <c r="K144" i="5"/>
  <c r="X144" i="5"/>
  <c r="AJ323" i="5"/>
  <c r="J323" i="5"/>
  <c r="W323" i="5"/>
  <c r="Y404" i="5"/>
  <c r="AL404" i="5"/>
  <c r="L404" i="5"/>
  <c r="AI488" i="5"/>
  <c r="V488" i="5"/>
  <c r="I488" i="5"/>
  <c r="AG56" i="5"/>
  <c r="G56" i="5"/>
  <c r="T56" i="5"/>
  <c r="AB115" i="5"/>
  <c r="O115" i="5"/>
  <c r="AO115" i="5"/>
  <c r="AB179" i="5"/>
  <c r="O179" i="5"/>
  <c r="AO179" i="5"/>
  <c r="AO211" i="5"/>
  <c r="AB211" i="5"/>
  <c r="O211" i="5"/>
  <c r="T487" i="5"/>
  <c r="G487" i="5"/>
  <c r="AG487" i="5"/>
  <c r="AH152" i="5"/>
  <c r="H152" i="5"/>
  <c r="U152" i="5"/>
  <c r="AO228" i="5"/>
  <c r="O228" i="5"/>
  <c r="AB228" i="5"/>
  <c r="AI336" i="5"/>
  <c r="V336" i="5"/>
  <c r="I336" i="5"/>
  <c r="AH444" i="5"/>
  <c r="H444" i="5"/>
  <c r="U444" i="5"/>
  <c r="AD32" i="5"/>
  <c r="Q32" i="5"/>
  <c r="D32" i="5"/>
  <c r="AE56" i="5"/>
  <c r="R56" i="5"/>
  <c r="E56" i="5"/>
  <c r="AO92" i="5"/>
  <c r="AB92" i="5"/>
  <c r="O92" i="5"/>
  <c r="AE116" i="5"/>
  <c r="E116" i="5"/>
  <c r="R116" i="5"/>
  <c r="Y152" i="5"/>
  <c r="AL152" i="5"/>
  <c r="L152" i="5"/>
  <c r="AF188" i="5"/>
  <c r="S188" i="5"/>
  <c r="F188" i="5"/>
  <c r="AI212" i="5"/>
  <c r="V212" i="5"/>
  <c r="I212" i="5"/>
  <c r="AO248" i="5"/>
  <c r="AB248" i="5"/>
  <c r="O248" i="5"/>
  <c r="Q272" i="5"/>
  <c r="D272" i="5"/>
  <c r="AD272" i="5"/>
  <c r="AL308" i="5"/>
  <c r="Y308" i="5"/>
  <c r="L308" i="5"/>
  <c r="S332" i="5"/>
  <c r="AF332" i="5"/>
  <c r="F332" i="5"/>
  <c r="AL368" i="5"/>
  <c r="Y368" i="5"/>
  <c r="L368" i="5"/>
  <c r="F416" i="5"/>
  <c r="S416" i="5"/>
  <c r="AF416" i="5"/>
  <c r="AF464" i="5"/>
  <c r="F464" i="5"/>
  <c r="S464" i="5"/>
  <c r="AF512" i="5"/>
  <c r="F512" i="5"/>
  <c r="S512" i="5"/>
  <c r="AL71" i="5"/>
  <c r="Y71" i="5"/>
  <c r="L71" i="5"/>
  <c r="AK252" i="5"/>
  <c r="K252" i="5"/>
  <c r="X252" i="5"/>
  <c r="Q335" i="5"/>
  <c r="AD335" i="5"/>
  <c r="D335" i="5"/>
  <c r="AK276" i="5"/>
  <c r="X276" i="5"/>
  <c r="K276" i="5"/>
  <c r="AO347" i="5"/>
  <c r="O347" i="5"/>
  <c r="AB347" i="5"/>
  <c r="AO456" i="5"/>
  <c r="O456" i="5"/>
  <c r="AB456" i="5"/>
  <c r="AO515" i="5"/>
  <c r="O515" i="5"/>
  <c r="AB515" i="5"/>
  <c r="G204" i="5"/>
  <c r="AG204" i="5"/>
  <c r="T204" i="5"/>
  <c r="AK492" i="5"/>
  <c r="X492" i="5"/>
  <c r="K492" i="5"/>
  <c r="AK23" i="5"/>
  <c r="X23" i="5"/>
  <c r="K23" i="5"/>
  <c r="AE203" i="5"/>
  <c r="R203" i="5"/>
  <c r="E203" i="5"/>
  <c r="AK263" i="5"/>
  <c r="K263" i="5"/>
  <c r="X263" i="5"/>
  <c r="AL323" i="5"/>
  <c r="Y323" i="5"/>
  <c r="L323" i="5"/>
  <c r="AE359" i="5"/>
  <c r="E359" i="5"/>
  <c r="R359" i="5"/>
  <c r="N467" i="5"/>
  <c r="AN467" i="5"/>
  <c r="AA467" i="5"/>
  <c r="AM84" i="5"/>
  <c r="Z84" i="5"/>
  <c r="M84" i="5"/>
  <c r="AD264" i="5"/>
  <c r="Q264" i="5"/>
  <c r="D264" i="5"/>
  <c r="Z360" i="5"/>
  <c r="AM360" i="5"/>
  <c r="M360" i="5"/>
  <c r="AG36" i="5"/>
  <c r="T36" i="5"/>
  <c r="G36" i="5"/>
  <c r="AK72" i="5"/>
  <c r="K72" i="5"/>
  <c r="X72" i="5"/>
  <c r="AE96" i="5"/>
  <c r="E96" i="5"/>
  <c r="R96" i="5"/>
  <c r="AH132" i="5"/>
  <c r="U132" i="5"/>
  <c r="H132" i="5"/>
  <c r="AE156" i="5"/>
  <c r="E156" i="5"/>
  <c r="R156" i="5"/>
  <c r="S192" i="5"/>
  <c r="AF192" i="5"/>
  <c r="F192" i="5"/>
  <c r="AE216" i="5"/>
  <c r="R216" i="5"/>
  <c r="E216" i="5"/>
  <c r="O252" i="5"/>
  <c r="AO252" i="5"/>
  <c r="AB252" i="5"/>
  <c r="AE276" i="5"/>
  <c r="R276" i="5"/>
  <c r="E276" i="5"/>
  <c r="N312" i="5"/>
  <c r="AN312" i="5"/>
  <c r="AA312" i="5"/>
  <c r="Z348" i="5"/>
  <c r="AM348" i="5"/>
  <c r="M348" i="5"/>
  <c r="S384" i="5"/>
  <c r="AF384" i="5"/>
  <c r="F384" i="5"/>
  <c r="S432" i="5"/>
  <c r="AF432" i="5"/>
  <c r="F432" i="5"/>
  <c r="AF480" i="5"/>
  <c r="F480" i="5"/>
  <c r="S480" i="5"/>
  <c r="AG15" i="5"/>
  <c r="T15" i="5"/>
  <c r="G15" i="5"/>
  <c r="Z183" i="5"/>
  <c r="AM183" i="5"/>
  <c r="M183" i="5"/>
  <c r="N231" i="5"/>
  <c r="AA231" i="5"/>
  <c r="AN231" i="5"/>
  <c r="AF267" i="5"/>
  <c r="F267" i="5"/>
  <c r="S267" i="5"/>
  <c r="AI291" i="5"/>
  <c r="V291" i="5"/>
  <c r="I291" i="5"/>
  <c r="AJ339" i="5"/>
  <c r="W339" i="5"/>
  <c r="J339" i="5"/>
  <c r="AF363" i="5"/>
  <c r="S363" i="5"/>
  <c r="F363" i="5"/>
  <c r="F387" i="5"/>
  <c r="AF387" i="5"/>
  <c r="S387" i="5"/>
  <c r="N411" i="5"/>
  <c r="AA411" i="5"/>
  <c r="AN411" i="5"/>
  <c r="AO471" i="5"/>
  <c r="AB471" i="5"/>
  <c r="O471" i="5"/>
  <c r="AF495" i="5"/>
  <c r="F495" i="5"/>
  <c r="S495" i="5"/>
  <c r="AK58" i="5"/>
  <c r="X58" i="5"/>
  <c r="K58" i="5"/>
  <c r="AH118" i="5"/>
  <c r="H118" i="5"/>
  <c r="U118" i="5"/>
  <c r="AK186" i="5"/>
  <c r="X186" i="5"/>
  <c r="K186" i="5"/>
  <c r="N222" i="5"/>
  <c r="AN222" i="5"/>
  <c r="AA222" i="5"/>
  <c r="AH262" i="5"/>
  <c r="U262" i="5"/>
  <c r="H262" i="5"/>
  <c r="AF318" i="5"/>
  <c r="S318" i="5"/>
  <c r="F318" i="5"/>
  <c r="AF346" i="5"/>
  <c r="S346" i="5"/>
  <c r="F346" i="5"/>
  <c r="AO78" i="5"/>
  <c r="AB78" i="5"/>
  <c r="O78" i="5"/>
  <c r="AL250" i="5"/>
  <c r="Y250" i="5"/>
  <c r="L250" i="5"/>
  <c r="AG274" i="5"/>
  <c r="T274" i="5"/>
  <c r="G274" i="5"/>
  <c r="AO370" i="5"/>
  <c r="AB370" i="5"/>
  <c r="O370" i="5"/>
  <c r="N426" i="5"/>
  <c r="AN426" i="5"/>
  <c r="AA426" i="5"/>
  <c r="N490" i="5"/>
  <c r="AN490" i="5"/>
  <c r="AA490" i="5"/>
  <c r="AN514" i="5"/>
  <c r="AA514" i="5"/>
  <c r="N514" i="5"/>
  <c r="AM70" i="5"/>
  <c r="Z70" i="5"/>
  <c r="M70" i="5"/>
  <c r="AM150" i="5"/>
  <c r="Z150" i="5"/>
  <c r="M150" i="5"/>
  <c r="AM262" i="5"/>
  <c r="Z262" i="5"/>
  <c r="M262" i="5"/>
  <c r="Q310" i="5"/>
  <c r="AD310" i="5"/>
  <c r="D310" i="5"/>
  <c r="X346" i="5"/>
  <c r="K346" i="5"/>
  <c r="AK346" i="5"/>
  <c r="AF390" i="5"/>
  <c r="S390" i="5"/>
  <c r="F390" i="5"/>
  <c r="AF442" i="5"/>
  <c r="F442" i="5"/>
  <c r="S442" i="5"/>
  <c r="AF462" i="5"/>
  <c r="S462" i="5"/>
  <c r="F462" i="5"/>
  <c r="AF490" i="5"/>
  <c r="S490" i="5"/>
  <c r="F490" i="5"/>
  <c r="AN8" i="5"/>
  <c r="N8" i="5"/>
  <c r="AA8" i="5"/>
  <c r="K36" i="5"/>
  <c r="AK36" i="5"/>
  <c r="X36" i="5"/>
  <c r="AD152" i="5"/>
  <c r="D152" i="5"/>
  <c r="Q152" i="5"/>
  <c r="AK175" i="5"/>
  <c r="K175" i="5"/>
  <c r="X175" i="5"/>
  <c r="AD248" i="5"/>
  <c r="D248" i="5"/>
  <c r="Q248" i="5"/>
  <c r="N275" i="5"/>
  <c r="AN275" i="5"/>
  <c r="AA275" i="5"/>
  <c r="AF319" i="5"/>
  <c r="S319" i="5"/>
  <c r="F319" i="5"/>
  <c r="AL344" i="5"/>
  <c r="Y344" i="5"/>
  <c r="L344" i="5"/>
  <c r="AH440" i="5"/>
  <c r="H440" i="5"/>
  <c r="U440" i="5"/>
  <c r="AD455" i="5"/>
  <c r="Q455" i="5"/>
  <c r="D455" i="5"/>
  <c r="Q487" i="5"/>
  <c r="D487" i="5"/>
  <c r="AD487" i="5"/>
  <c r="AK500" i="5"/>
  <c r="K500" i="5"/>
  <c r="X500" i="5"/>
  <c r="N68" i="5"/>
  <c r="AN68" i="5"/>
  <c r="AA68" i="5"/>
  <c r="AO415" i="5"/>
  <c r="AB415" i="5"/>
  <c r="O415" i="5"/>
  <c r="AO452" i="5"/>
  <c r="AB452" i="5"/>
  <c r="O452" i="5"/>
  <c r="AG503" i="5"/>
  <c r="T503" i="5"/>
  <c r="G503" i="5"/>
  <c r="AI7" i="5"/>
  <c r="V7" i="5"/>
  <c r="I7" i="5"/>
  <c r="J55" i="5"/>
  <c r="AJ55" i="5"/>
  <c r="W55" i="5"/>
  <c r="AE79" i="5"/>
  <c r="E79" i="5"/>
  <c r="R79" i="5"/>
  <c r="AH115" i="5"/>
  <c r="U115" i="5"/>
  <c r="H115" i="5"/>
  <c r="AD175" i="5"/>
  <c r="Q175" i="5"/>
  <c r="D175" i="5"/>
  <c r="AE199" i="5"/>
  <c r="E199" i="5"/>
  <c r="R199" i="5"/>
  <c r="N235" i="5"/>
  <c r="AA235" i="5"/>
  <c r="AN235" i="5"/>
  <c r="R259" i="5"/>
  <c r="AE259" i="5"/>
  <c r="E259" i="5"/>
  <c r="X295" i="5"/>
  <c r="AK295" i="5"/>
  <c r="K295" i="5"/>
  <c r="AJ331" i="5"/>
  <c r="W331" i="5"/>
  <c r="J331" i="5"/>
  <c r="AM355" i="5"/>
  <c r="M355" i="5"/>
  <c r="Z355" i="5"/>
  <c r="AF403" i="5"/>
  <c r="S403" i="5"/>
  <c r="F403" i="5"/>
  <c r="S451" i="5"/>
  <c r="AF451" i="5"/>
  <c r="F451" i="5"/>
  <c r="AF499" i="5"/>
  <c r="S499" i="5"/>
  <c r="F499" i="5"/>
  <c r="AD212" i="5"/>
  <c r="D212" i="5"/>
  <c r="Q212" i="5"/>
  <c r="AH455" i="5"/>
  <c r="U455" i="5"/>
  <c r="H455" i="5"/>
  <c r="N192" i="5"/>
  <c r="AA192" i="5"/>
  <c r="AN192" i="5"/>
  <c r="AH300" i="5"/>
  <c r="H300" i="5"/>
  <c r="U300" i="5"/>
  <c r="W191" i="5"/>
  <c r="J191" i="5"/>
  <c r="AJ191" i="5"/>
  <c r="AO408" i="5"/>
  <c r="O408" i="5"/>
  <c r="AB408" i="5"/>
  <c r="W455" i="5"/>
  <c r="AJ455" i="5"/>
  <c r="J455" i="5"/>
  <c r="AG108" i="5"/>
  <c r="T108" i="5"/>
  <c r="G108" i="5"/>
  <c r="T359" i="5"/>
  <c r="G359" i="5"/>
  <c r="AG359" i="5"/>
  <c r="AH47" i="5"/>
  <c r="U47" i="5"/>
  <c r="H47" i="5"/>
  <c r="AI71" i="5"/>
  <c r="V71" i="5"/>
  <c r="I71" i="5"/>
  <c r="N107" i="5"/>
  <c r="AA107" i="5"/>
  <c r="AN107" i="5"/>
  <c r="S131" i="5"/>
  <c r="F131" i="5"/>
  <c r="AF131" i="5"/>
  <c r="AH179" i="5"/>
  <c r="U179" i="5"/>
  <c r="H179" i="5"/>
  <c r="AE215" i="5"/>
  <c r="R215" i="5"/>
  <c r="E215" i="5"/>
  <c r="N311" i="5"/>
  <c r="AA311" i="5"/>
  <c r="AN311" i="5"/>
  <c r="AF395" i="5"/>
  <c r="S395" i="5"/>
  <c r="F395" i="5"/>
  <c r="AF479" i="5"/>
  <c r="F479" i="5"/>
  <c r="S479" i="5"/>
  <c r="AG308" i="5"/>
  <c r="T308" i="5"/>
  <c r="G308" i="5"/>
  <c r="AI467" i="5"/>
  <c r="I467" i="5"/>
  <c r="V467" i="5"/>
  <c r="V92" i="5"/>
  <c r="AI92" i="5"/>
  <c r="I92" i="5"/>
  <c r="S216" i="5"/>
  <c r="AF216" i="5"/>
  <c r="F216" i="5"/>
  <c r="AH308" i="5"/>
  <c r="U308" i="5"/>
  <c r="H308" i="5"/>
  <c r="AJ156" i="5"/>
  <c r="W156" i="5"/>
  <c r="J156" i="5"/>
  <c r="N239" i="5"/>
  <c r="AN239" i="5"/>
  <c r="AA239" i="5"/>
  <c r="AB260" i="5"/>
  <c r="AO260" i="5"/>
  <c r="O260" i="5"/>
  <c r="AG300" i="5"/>
  <c r="G300" i="5"/>
  <c r="T300" i="5"/>
  <c r="AK504" i="5"/>
  <c r="K504" i="5"/>
  <c r="X504" i="5"/>
  <c r="S32" i="5"/>
  <c r="AF32" i="5"/>
  <c r="F32" i="5"/>
  <c r="AL68" i="5"/>
  <c r="Y68" i="5"/>
  <c r="L68" i="5"/>
  <c r="AM92" i="5"/>
  <c r="Z92" i="5"/>
  <c r="M92" i="5"/>
  <c r="AI128" i="5"/>
  <c r="V128" i="5"/>
  <c r="I128" i="5"/>
  <c r="AJ152" i="5"/>
  <c r="W152" i="5"/>
  <c r="J152" i="5"/>
  <c r="AO188" i="5"/>
  <c r="AB188" i="5"/>
  <c r="O188" i="5"/>
  <c r="AG212" i="5"/>
  <c r="T212" i="5"/>
  <c r="G212" i="5"/>
  <c r="X248" i="5"/>
  <c r="K248" i="5"/>
  <c r="AK248" i="5"/>
  <c r="AE272" i="5"/>
  <c r="E272" i="5"/>
  <c r="R272" i="5"/>
  <c r="K308" i="5"/>
  <c r="X308" i="5"/>
  <c r="AK308" i="5"/>
  <c r="AE332" i="5"/>
  <c r="R332" i="5"/>
  <c r="E332" i="5"/>
  <c r="AE368" i="5"/>
  <c r="E368" i="5"/>
  <c r="R368" i="5"/>
  <c r="N416" i="5"/>
  <c r="AN416" i="5"/>
  <c r="AA416" i="5"/>
  <c r="N464" i="5"/>
  <c r="AN464" i="5"/>
  <c r="AA464" i="5"/>
  <c r="AA512" i="5"/>
  <c r="AN512" i="5"/>
  <c r="N512" i="5"/>
  <c r="AN96" i="5"/>
  <c r="N96" i="5"/>
  <c r="AA96" i="5"/>
  <c r="AJ227" i="5"/>
  <c r="W227" i="5"/>
  <c r="J227" i="5"/>
  <c r="I407" i="5"/>
  <c r="AI407" i="5"/>
  <c r="V407" i="5"/>
  <c r="V455" i="5"/>
  <c r="AI455" i="5"/>
  <c r="I455" i="5"/>
  <c r="AJ95" i="5"/>
  <c r="J95" i="5"/>
  <c r="W95" i="5"/>
  <c r="AI23" i="5"/>
  <c r="V23" i="5"/>
  <c r="I23" i="5"/>
  <c r="AK227" i="5"/>
  <c r="X227" i="5"/>
  <c r="K227" i="5"/>
  <c r="V263" i="5"/>
  <c r="AI263" i="5"/>
  <c r="I263" i="5"/>
  <c r="AM323" i="5"/>
  <c r="Z323" i="5"/>
  <c r="M323" i="5"/>
  <c r="AF383" i="5"/>
  <c r="S383" i="5"/>
  <c r="F383" i="5"/>
  <c r="Z467" i="5"/>
  <c r="M467" i="5"/>
  <c r="AM467" i="5"/>
  <c r="N276" i="5"/>
  <c r="AA276" i="5"/>
  <c r="AN276" i="5"/>
  <c r="AL444" i="5"/>
  <c r="Y444" i="5"/>
  <c r="L444" i="5"/>
  <c r="AE36" i="5"/>
  <c r="E36" i="5"/>
  <c r="R36" i="5"/>
  <c r="AL72" i="5"/>
  <c r="Y72" i="5"/>
  <c r="L72" i="5"/>
  <c r="S108" i="5"/>
  <c r="AF108" i="5"/>
  <c r="F108" i="5"/>
  <c r="V132" i="5"/>
  <c r="AI132" i="5"/>
  <c r="I132" i="5"/>
  <c r="AO168" i="5"/>
  <c r="AB168" i="5"/>
  <c r="O168" i="5"/>
  <c r="AD192" i="5"/>
  <c r="Q192" i="5"/>
  <c r="D192" i="5"/>
  <c r="AL228" i="5"/>
  <c r="L228" i="5"/>
  <c r="Y228" i="5"/>
  <c r="Z252" i="5"/>
  <c r="AM252" i="5"/>
  <c r="M252" i="5"/>
  <c r="AK288" i="5"/>
  <c r="X288" i="5"/>
  <c r="K288" i="5"/>
  <c r="AE312" i="5"/>
  <c r="R312" i="5"/>
  <c r="E312" i="5"/>
  <c r="AI348" i="5"/>
  <c r="I348" i="5"/>
  <c r="V348" i="5"/>
  <c r="N384" i="5"/>
  <c r="AN384" i="5"/>
  <c r="AA384" i="5"/>
  <c r="N432" i="5"/>
  <c r="AN432" i="5"/>
  <c r="AA432" i="5"/>
  <c r="N480" i="5"/>
  <c r="AN480" i="5"/>
  <c r="AA480" i="5"/>
  <c r="AL229" i="5"/>
  <c r="Y229" i="5"/>
  <c r="L229" i="5"/>
  <c r="Q290" i="5"/>
  <c r="AD290" i="5"/>
  <c r="D290" i="5"/>
  <c r="AJ410" i="5"/>
  <c r="J410" i="5"/>
  <c r="W410" i="5"/>
  <c r="AG493" i="5"/>
  <c r="T493" i="5"/>
  <c r="G493" i="5"/>
  <c r="AK37" i="5"/>
  <c r="X37" i="5"/>
  <c r="K37" i="5"/>
  <c r="AG39" i="5"/>
  <c r="T39" i="5"/>
  <c r="G39" i="5"/>
  <c r="AG447" i="5"/>
  <c r="T447" i="5"/>
  <c r="G447" i="5"/>
  <c r="AO15" i="5"/>
  <c r="O15" i="5"/>
  <c r="AB15" i="5"/>
  <c r="AM302" i="5"/>
  <c r="Z302" i="5"/>
  <c r="M302" i="5"/>
  <c r="L171" i="5"/>
  <c r="AL171" i="5"/>
  <c r="Y171" i="5"/>
  <c r="U159" i="5"/>
  <c r="AH159" i="5"/>
  <c r="H159" i="5"/>
  <c r="AO375" i="5"/>
  <c r="O375" i="5"/>
  <c r="AB375" i="5"/>
  <c r="AJ398" i="5"/>
  <c r="W398" i="5"/>
  <c r="J398" i="5"/>
  <c r="AF13" i="5"/>
  <c r="S13" i="5"/>
  <c r="F13" i="5"/>
  <c r="AK49" i="5"/>
  <c r="K49" i="5"/>
  <c r="X49" i="5"/>
  <c r="AK61" i="5"/>
  <c r="K61" i="5"/>
  <c r="X61" i="5"/>
  <c r="N73" i="5"/>
  <c r="AA73" i="5"/>
  <c r="AN73" i="5"/>
  <c r="L85" i="5"/>
  <c r="AL85" i="5"/>
  <c r="Y85" i="5"/>
  <c r="AF97" i="5"/>
  <c r="S97" i="5"/>
  <c r="F97" i="5"/>
  <c r="AG109" i="5"/>
  <c r="G109" i="5"/>
  <c r="T109" i="5"/>
  <c r="AL121" i="5"/>
  <c r="L121" i="5"/>
  <c r="Y121" i="5"/>
  <c r="AO145" i="5"/>
  <c r="O145" i="5"/>
  <c r="AB145" i="5"/>
  <c r="AJ157" i="5"/>
  <c r="J157" i="5"/>
  <c r="W157" i="5"/>
  <c r="N169" i="5"/>
  <c r="AN169" i="5"/>
  <c r="AA169" i="5"/>
  <c r="AL181" i="5"/>
  <c r="L181" i="5"/>
  <c r="Y181" i="5"/>
  <c r="AH193" i="5"/>
  <c r="U193" i="5"/>
  <c r="H193" i="5"/>
  <c r="S205" i="5"/>
  <c r="AF205" i="5"/>
  <c r="F205" i="5"/>
  <c r="Z217" i="5"/>
  <c r="M217" i="5"/>
  <c r="AM217" i="5"/>
  <c r="AE229" i="5"/>
  <c r="R229" i="5"/>
  <c r="E229" i="5"/>
  <c r="AE241" i="5"/>
  <c r="R241" i="5"/>
  <c r="E241" i="5"/>
  <c r="Q265" i="5"/>
  <c r="AD265" i="5"/>
  <c r="D265" i="5"/>
  <c r="N277" i="5"/>
  <c r="AN277" i="5"/>
  <c r="AA277" i="5"/>
  <c r="AG289" i="5"/>
  <c r="G289" i="5"/>
  <c r="T289" i="5"/>
  <c r="AD301" i="5"/>
  <c r="Q301" i="5"/>
  <c r="D301" i="5"/>
  <c r="AE313" i="5"/>
  <c r="R313" i="5"/>
  <c r="E313" i="5"/>
  <c r="S337" i="5"/>
  <c r="AF337" i="5"/>
  <c r="F337" i="5"/>
  <c r="AB349" i="5"/>
  <c r="O349" i="5"/>
  <c r="AO349" i="5"/>
  <c r="AJ361" i="5"/>
  <c r="W361" i="5"/>
  <c r="J361" i="5"/>
  <c r="AI373" i="5"/>
  <c r="V373" i="5"/>
  <c r="I373" i="5"/>
  <c r="AG385" i="5"/>
  <c r="T385" i="5"/>
  <c r="G385" i="5"/>
  <c r="AI397" i="5"/>
  <c r="I397" i="5"/>
  <c r="V397" i="5"/>
  <c r="AF409" i="5"/>
  <c r="S409" i="5"/>
  <c r="F409" i="5"/>
  <c r="Z421" i="5"/>
  <c r="AM421" i="5"/>
  <c r="M421" i="5"/>
  <c r="AO445" i="5"/>
  <c r="AB445" i="5"/>
  <c r="O445" i="5"/>
  <c r="AO457" i="5"/>
  <c r="O457" i="5"/>
  <c r="AB457" i="5"/>
  <c r="Z469" i="5"/>
  <c r="AM469" i="5"/>
  <c r="M469" i="5"/>
  <c r="AE493" i="5"/>
  <c r="E493" i="5"/>
  <c r="R493" i="5"/>
  <c r="AI505" i="5"/>
  <c r="I505" i="5"/>
  <c r="V505" i="5"/>
  <c r="T266" i="5"/>
  <c r="AG266" i="5"/>
  <c r="G266" i="5"/>
  <c r="AM146" i="5"/>
  <c r="M146" i="5"/>
  <c r="Z146" i="5"/>
  <c r="AN194" i="5"/>
  <c r="N194" i="5"/>
  <c r="AA194" i="5"/>
  <c r="AI218" i="5"/>
  <c r="V218" i="5"/>
  <c r="I218" i="5"/>
  <c r="AK242" i="5"/>
  <c r="X242" i="5"/>
  <c r="K242" i="5"/>
  <c r="AM266" i="5"/>
  <c r="Z266" i="5"/>
  <c r="M266" i="5"/>
  <c r="AH290" i="5"/>
  <c r="H290" i="5"/>
  <c r="U290" i="5"/>
  <c r="AF314" i="5"/>
  <c r="S314" i="5"/>
  <c r="F314" i="5"/>
  <c r="AE338" i="5"/>
  <c r="R338" i="5"/>
  <c r="E338" i="5"/>
  <c r="AL386" i="5"/>
  <c r="Y386" i="5"/>
  <c r="L386" i="5"/>
  <c r="Q410" i="5"/>
  <c r="D410" i="5"/>
  <c r="AD410" i="5"/>
  <c r="AF434" i="5"/>
  <c r="F434" i="5"/>
  <c r="S434" i="5"/>
  <c r="AI482" i="5"/>
  <c r="I482" i="5"/>
  <c r="V482" i="5"/>
  <c r="Q506" i="5"/>
  <c r="AD506" i="5"/>
  <c r="D506" i="5"/>
  <c r="AO447" i="5"/>
  <c r="O447" i="5"/>
  <c r="AB447" i="5"/>
  <c r="AL15" i="5"/>
  <c r="Y15" i="5"/>
  <c r="L15" i="5"/>
  <c r="AI183" i="5"/>
  <c r="I183" i="5"/>
  <c r="V183" i="5"/>
  <c r="AB231" i="5"/>
  <c r="AO231" i="5"/>
  <c r="O231" i="5"/>
  <c r="N267" i="5"/>
  <c r="AN267" i="5"/>
  <c r="AA267" i="5"/>
  <c r="AE291" i="5"/>
  <c r="E291" i="5"/>
  <c r="R291" i="5"/>
  <c r="AK339" i="5"/>
  <c r="K339" i="5"/>
  <c r="X339" i="5"/>
  <c r="Q363" i="5"/>
  <c r="AD363" i="5"/>
  <c r="D363" i="5"/>
  <c r="N387" i="5"/>
  <c r="AN387" i="5"/>
  <c r="AA387" i="5"/>
  <c r="AM411" i="5"/>
  <c r="M411" i="5"/>
  <c r="Z411" i="5"/>
  <c r="AK471" i="5"/>
  <c r="K471" i="5"/>
  <c r="X471" i="5"/>
  <c r="N495" i="5"/>
  <c r="AA495" i="5"/>
  <c r="AN495" i="5"/>
  <c r="AH22" i="5"/>
  <c r="U22" i="5"/>
  <c r="H22" i="5"/>
  <c r="AK42" i="5"/>
  <c r="X42" i="5"/>
  <c r="K42" i="5"/>
  <c r="AN94" i="5"/>
  <c r="N94" i="5"/>
  <c r="AA94" i="5"/>
  <c r="AL58" i="5"/>
  <c r="Y58" i="5"/>
  <c r="L58" i="5"/>
  <c r="AF82" i="5"/>
  <c r="S82" i="5"/>
  <c r="F82" i="5"/>
  <c r="AI102" i="5"/>
  <c r="V102" i="5"/>
  <c r="I102" i="5"/>
  <c r="Y234" i="5"/>
  <c r="AL234" i="5"/>
  <c r="L234" i="5"/>
  <c r="S258" i="5"/>
  <c r="AF258" i="5"/>
  <c r="F258" i="5"/>
  <c r="N394" i="5"/>
  <c r="AN394" i="5"/>
  <c r="AA394" i="5"/>
  <c r="N474" i="5"/>
  <c r="AA474" i="5"/>
  <c r="AN474" i="5"/>
  <c r="J18" i="5"/>
  <c r="AJ18" i="5"/>
  <c r="W18" i="5"/>
  <c r="AM54" i="5"/>
  <c r="M54" i="5"/>
  <c r="Z54" i="5"/>
  <c r="AM198" i="5"/>
  <c r="Z198" i="5"/>
  <c r="M198" i="5"/>
  <c r="AG238" i="5"/>
  <c r="G238" i="5"/>
  <c r="T238" i="5"/>
  <c r="T270" i="5"/>
  <c r="AG270" i="5"/>
  <c r="G270" i="5"/>
  <c r="AF394" i="5"/>
  <c r="F394" i="5"/>
  <c r="S394" i="5"/>
  <c r="AH11" i="5"/>
  <c r="H11" i="5"/>
  <c r="U11" i="5"/>
  <c r="AH43" i="5"/>
  <c r="H43" i="5"/>
  <c r="U43" i="5"/>
  <c r="AO119" i="5"/>
  <c r="O119" i="5"/>
  <c r="AB119" i="5"/>
  <c r="AM179" i="5"/>
  <c r="Z179" i="5"/>
  <c r="M179" i="5"/>
  <c r="AJ192" i="5"/>
  <c r="W192" i="5"/>
  <c r="J192" i="5"/>
  <c r="AJ224" i="5"/>
  <c r="J224" i="5"/>
  <c r="W224" i="5"/>
  <c r="Y299" i="5"/>
  <c r="L299" i="5"/>
  <c r="AL299" i="5"/>
  <c r="AO320" i="5"/>
  <c r="O320" i="5"/>
  <c r="AB320" i="5"/>
  <c r="N331" i="5"/>
  <c r="AN331" i="5"/>
  <c r="AA331" i="5"/>
  <c r="N359" i="5"/>
  <c r="AA359" i="5"/>
  <c r="AN359" i="5"/>
  <c r="AL371" i="5"/>
  <c r="L371" i="5"/>
  <c r="Y371" i="5"/>
  <c r="AH456" i="5"/>
  <c r="U456" i="5"/>
  <c r="H456" i="5"/>
  <c r="U467" i="5"/>
  <c r="AH467" i="5"/>
  <c r="H467" i="5"/>
  <c r="AH488" i="5"/>
  <c r="H488" i="5"/>
  <c r="U488" i="5"/>
  <c r="AD503" i="5"/>
  <c r="Q503" i="5"/>
  <c r="D503" i="5"/>
  <c r="AG71" i="5"/>
  <c r="T71" i="5"/>
  <c r="G71" i="5"/>
  <c r="S120" i="5"/>
  <c r="AF120" i="5"/>
  <c r="F120" i="5"/>
  <c r="AG248" i="5"/>
  <c r="T248" i="5"/>
  <c r="G248" i="5"/>
  <c r="AJ419" i="5"/>
  <c r="J419" i="5"/>
  <c r="W419" i="5"/>
  <c r="AG455" i="5"/>
  <c r="G455" i="5"/>
  <c r="T455" i="5"/>
  <c r="AE7" i="5"/>
  <c r="R7" i="5"/>
  <c r="E7" i="5"/>
  <c r="AK55" i="5"/>
  <c r="X55" i="5"/>
  <c r="K55" i="5"/>
  <c r="AD91" i="5"/>
  <c r="Q91" i="5"/>
  <c r="D91" i="5"/>
  <c r="AG115" i="5"/>
  <c r="G115" i="5"/>
  <c r="T115" i="5"/>
  <c r="AN151" i="5"/>
  <c r="N151" i="5"/>
  <c r="AA151" i="5"/>
  <c r="AB175" i="5"/>
  <c r="AO175" i="5"/>
  <c r="O175" i="5"/>
  <c r="X211" i="5"/>
  <c r="K211" i="5"/>
  <c r="AK211" i="5"/>
  <c r="AL235" i="5"/>
  <c r="Y235" i="5"/>
  <c r="L235" i="5"/>
  <c r="AH271" i="5"/>
  <c r="H271" i="5"/>
  <c r="U271" i="5"/>
  <c r="AE295" i="5"/>
  <c r="E295" i="5"/>
  <c r="R295" i="5"/>
  <c r="AG331" i="5"/>
  <c r="G331" i="5"/>
  <c r="T331" i="5"/>
  <c r="AE355" i="5"/>
  <c r="R355" i="5"/>
  <c r="E355" i="5"/>
  <c r="N403" i="5"/>
  <c r="AN403" i="5"/>
  <c r="AA403" i="5"/>
  <c r="N451" i="5"/>
  <c r="AA451" i="5"/>
  <c r="AN451" i="5"/>
  <c r="AN499" i="5"/>
  <c r="AA499" i="5"/>
  <c r="N499" i="5"/>
  <c r="W60" i="5"/>
  <c r="AJ60" i="5"/>
  <c r="J60" i="5"/>
  <c r="AM224" i="5"/>
  <c r="Z224" i="5"/>
  <c r="M224" i="5"/>
  <c r="Q395" i="5"/>
  <c r="AD395" i="5"/>
  <c r="D395" i="5"/>
  <c r="Q416" i="5"/>
  <c r="AD416" i="5"/>
  <c r="D416" i="5"/>
  <c r="AK456" i="5"/>
  <c r="X456" i="5"/>
  <c r="K456" i="5"/>
  <c r="Y408" i="5"/>
  <c r="L408" i="5"/>
  <c r="AL408" i="5"/>
  <c r="AL227" i="5"/>
  <c r="L227" i="5"/>
  <c r="Y227" i="5"/>
  <c r="M263" i="5"/>
  <c r="Z263" i="5"/>
  <c r="AM263" i="5"/>
  <c r="T480" i="5"/>
  <c r="AG480" i="5"/>
  <c r="G480" i="5"/>
  <c r="Q47" i="5"/>
  <c r="AD47" i="5"/>
  <c r="D47" i="5"/>
  <c r="AE71" i="5"/>
  <c r="E71" i="5"/>
  <c r="R71" i="5"/>
  <c r="AM107" i="5"/>
  <c r="M107" i="5"/>
  <c r="Z107" i="5"/>
  <c r="AE131" i="5"/>
  <c r="R131" i="5"/>
  <c r="E131" i="5"/>
  <c r="AG179" i="5"/>
  <c r="T179" i="5"/>
  <c r="G179" i="5"/>
  <c r="AD251" i="5"/>
  <c r="Q251" i="5"/>
  <c r="D251" i="5"/>
  <c r="AO311" i="5"/>
  <c r="AB311" i="5"/>
  <c r="O311" i="5"/>
  <c r="N395" i="5"/>
  <c r="AA395" i="5"/>
  <c r="AN395" i="5"/>
  <c r="N479" i="5"/>
  <c r="AN479" i="5"/>
  <c r="AA479" i="5"/>
  <c r="AF152" i="5"/>
  <c r="S152" i="5"/>
  <c r="F152" i="5"/>
  <c r="S167" i="5"/>
  <c r="AF167" i="5"/>
  <c r="F167" i="5"/>
  <c r="V203" i="5"/>
  <c r="AI203" i="5"/>
  <c r="I203" i="5"/>
  <c r="X312" i="5"/>
  <c r="K312" i="5"/>
  <c r="AK312" i="5"/>
  <c r="AL383" i="5"/>
  <c r="L383" i="5"/>
  <c r="Y383" i="5"/>
  <c r="I408" i="5"/>
  <c r="AI408" i="5"/>
  <c r="V408" i="5"/>
  <c r="AL452" i="5"/>
  <c r="L452" i="5"/>
  <c r="Y452" i="5"/>
  <c r="AL468" i="5"/>
  <c r="L468" i="5"/>
  <c r="Y468" i="5"/>
  <c r="Q217" i="5"/>
  <c r="AD217" i="5"/>
  <c r="D217" i="5"/>
  <c r="I457" i="5"/>
  <c r="AI457" i="5"/>
  <c r="V457" i="5"/>
  <c r="AM15" i="5"/>
  <c r="Z15" i="5"/>
  <c r="M15" i="5"/>
  <c r="AH217" i="5"/>
  <c r="H217" i="5"/>
  <c r="U217" i="5"/>
  <c r="AI171" i="5"/>
  <c r="V171" i="5"/>
  <c r="I171" i="5"/>
  <c r="X25" i="5"/>
  <c r="K25" i="5"/>
  <c r="AK25" i="5"/>
  <c r="S99" i="5"/>
  <c r="AF99" i="5"/>
  <c r="F99" i="5"/>
  <c r="Y447" i="5"/>
  <c r="L447" i="5"/>
  <c r="AL447" i="5"/>
  <c r="AO14" i="5"/>
  <c r="AB14" i="5"/>
  <c r="O14" i="5"/>
  <c r="AE50" i="5"/>
  <c r="R50" i="5"/>
  <c r="E50" i="5"/>
  <c r="AE62" i="5"/>
  <c r="R62" i="5"/>
  <c r="E62" i="5"/>
  <c r="AH86" i="5"/>
  <c r="U86" i="5"/>
  <c r="H86" i="5"/>
  <c r="AO98" i="5"/>
  <c r="O98" i="5"/>
  <c r="AB98" i="5"/>
  <c r="AH110" i="5"/>
  <c r="H110" i="5"/>
  <c r="U110" i="5"/>
  <c r="AE122" i="5"/>
  <c r="R122" i="5"/>
  <c r="E122" i="5"/>
  <c r="AL158" i="5"/>
  <c r="L158" i="5"/>
  <c r="Y158" i="5"/>
  <c r="AI170" i="5"/>
  <c r="V170" i="5"/>
  <c r="I170" i="5"/>
  <c r="AD182" i="5"/>
  <c r="D182" i="5"/>
  <c r="Q182" i="5"/>
  <c r="AO206" i="5"/>
  <c r="AB206" i="5"/>
  <c r="O206" i="5"/>
  <c r="AI230" i="5"/>
  <c r="I230" i="5"/>
  <c r="V230" i="5"/>
  <c r="AE254" i="5"/>
  <c r="R254" i="5"/>
  <c r="E254" i="5"/>
  <c r="Q302" i="5"/>
  <c r="AD302" i="5"/>
  <c r="D302" i="5"/>
  <c r="AO326" i="5"/>
  <c r="AB326" i="5"/>
  <c r="O326" i="5"/>
  <c r="Z374" i="5"/>
  <c r="AM374" i="5"/>
  <c r="M374" i="5"/>
  <c r="AF398" i="5"/>
  <c r="F398" i="5"/>
  <c r="S398" i="5"/>
  <c r="N422" i="5"/>
  <c r="AN422" i="5"/>
  <c r="AA422" i="5"/>
  <c r="AG470" i="5"/>
  <c r="T470" i="5"/>
  <c r="G470" i="5"/>
  <c r="E494" i="5"/>
  <c r="AE494" i="5"/>
  <c r="R494" i="5"/>
  <c r="N27" i="5"/>
  <c r="AN27" i="5"/>
  <c r="AA27" i="5"/>
  <c r="AH51" i="5"/>
  <c r="U51" i="5"/>
  <c r="H51" i="5"/>
  <c r="AF63" i="5"/>
  <c r="S63" i="5"/>
  <c r="F63" i="5"/>
  <c r="O75" i="5"/>
  <c r="AO75" i="5"/>
  <c r="AB75" i="5"/>
  <c r="AK87" i="5"/>
  <c r="X87" i="5"/>
  <c r="K87" i="5"/>
  <c r="Z111" i="5"/>
  <c r="AM111" i="5"/>
  <c r="M111" i="5"/>
  <c r="AI123" i="5"/>
  <c r="I123" i="5"/>
  <c r="V123" i="5"/>
  <c r="O135" i="5"/>
  <c r="AO135" i="5"/>
  <c r="AB135" i="5"/>
  <c r="V147" i="5"/>
  <c r="AI147" i="5"/>
  <c r="I147" i="5"/>
  <c r="AD159" i="5"/>
  <c r="Q159" i="5"/>
  <c r="D159" i="5"/>
  <c r="AN195" i="5"/>
  <c r="N195" i="5"/>
  <c r="AA195" i="5"/>
  <c r="AD207" i="5"/>
  <c r="Q207" i="5"/>
  <c r="D207" i="5"/>
  <c r="AO219" i="5"/>
  <c r="AB219" i="5"/>
  <c r="O219" i="5"/>
  <c r="AG243" i="5"/>
  <c r="G243" i="5"/>
  <c r="T243" i="5"/>
  <c r="AD255" i="5"/>
  <c r="D255" i="5"/>
  <c r="Q255" i="5"/>
  <c r="R279" i="5"/>
  <c r="E279" i="5"/>
  <c r="AE279" i="5"/>
  <c r="E303" i="5"/>
  <c r="R303" i="5"/>
  <c r="AE303" i="5"/>
  <c r="I351" i="5"/>
  <c r="V351" i="5"/>
  <c r="AI351" i="5"/>
  <c r="AI375" i="5"/>
  <c r="V375" i="5"/>
  <c r="I375" i="5"/>
  <c r="F399" i="5"/>
  <c r="AF399" i="5"/>
  <c r="S399" i="5"/>
  <c r="AO459" i="5"/>
  <c r="AB459" i="5"/>
  <c r="O459" i="5"/>
  <c r="J483" i="5"/>
  <c r="AJ483" i="5"/>
  <c r="W483" i="5"/>
  <c r="AH507" i="5"/>
  <c r="U507" i="5"/>
  <c r="H507" i="5"/>
  <c r="S217" i="5"/>
  <c r="AF217" i="5"/>
  <c r="F217" i="5"/>
  <c r="AO289" i="5"/>
  <c r="AB289" i="5"/>
  <c r="O289" i="5"/>
  <c r="Z207" i="5"/>
  <c r="AM207" i="5"/>
  <c r="M207" i="5"/>
  <c r="X313" i="5"/>
  <c r="K313" i="5"/>
  <c r="AK313" i="5"/>
  <c r="Q445" i="5"/>
  <c r="AD445" i="5"/>
  <c r="D445" i="5"/>
  <c r="AH387" i="5"/>
  <c r="U387" i="5"/>
  <c r="H387" i="5"/>
  <c r="X506" i="5"/>
  <c r="AK506" i="5"/>
  <c r="K506" i="5"/>
  <c r="AL458" i="5"/>
  <c r="L458" i="5"/>
  <c r="Y458" i="5"/>
  <c r="AG37" i="5"/>
  <c r="T37" i="5"/>
  <c r="G37" i="5"/>
  <c r="AO38" i="5"/>
  <c r="O38" i="5"/>
  <c r="AB38" i="5"/>
  <c r="AF39" i="5"/>
  <c r="S39" i="5"/>
  <c r="F39" i="5"/>
  <c r="Q447" i="5"/>
  <c r="AD447" i="5"/>
  <c r="D447" i="5"/>
  <c r="AI374" i="5"/>
  <c r="I374" i="5"/>
  <c r="V374" i="5"/>
  <c r="AF350" i="5"/>
  <c r="S350" i="5"/>
  <c r="F350" i="5"/>
  <c r="AI39" i="5"/>
  <c r="V39" i="5"/>
  <c r="I39" i="5"/>
  <c r="U253" i="5"/>
  <c r="H253" i="5"/>
  <c r="AH253" i="5"/>
  <c r="AM13" i="5"/>
  <c r="Z13" i="5"/>
  <c r="M13" i="5"/>
  <c r="AI49" i="5"/>
  <c r="I49" i="5"/>
  <c r="V49" i="5"/>
  <c r="Z61" i="5"/>
  <c r="AM61" i="5"/>
  <c r="M61" i="5"/>
  <c r="AJ73" i="5"/>
  <c r="W73" i="5"/>
  <c r="J73" i="5"/>
  <c r="X85" i="5"/>
  <c r="AK85" i="5"/>
  <c r="K85" i="5"/>
  <c r="T97" i="5"/>
  <c r="AG97" i="5"/>
  <c r="G97" i="5"/>
  <c r="AO109" i="5"/>
  <c r="AB109" i="5"/>
  <c r="O109" i="5"/>
  <c r="AK121" i="5"/>
  <c r="X121" i="5"/>
  <c r="K121" i="5"/>
  <c r="N145" i="5"/>
  <c r="AN145" i="5"/>
  <c r="AA145" i="5"/>
  <c r="AI157" i="5"/>
  <c r="I157" i="5"/>
  <c r="V157" i="5"/>
  <c r="AI169" i="5"/>
  <c r="V169" i="5"/>
  <c r="I169" i="5"/>
  <c r="AK181" i="5"/>
  <c r="X181" i="5"/>
  <c r="K181" i="5"/>
  <c r="AB193" i="5"/>
  <c r="O193" i="5"/>
  <c r="AO193" i="5"/>
  <c r="AI205" i="5"/>
  <c r="V205" i="5"/>
  <c r="I205" i="5"/>
  <c r="AK217" i="5"/>
  <c r="X217" i="5"/>
  <c r="K217" i="5"/>
  <c r="AO241" i="5"/>
  <c r="AB241" i="5"/>
  <c r="O241" i="5"/>
  <c r="S253" i="5"/>
  <c r="AF253" i="5"/>
  <c r="F253" i="5"/>
  <c r="AG265" i="5"/>
  <c r="T265" i="5"/>
  <c r="G265" i="5"/>
  <c r="X277" i="5"/>
  <c r="K277" i="5"/>
  <c r="AK277" i="5"/>
  <c r="AE289" i="5"/>
  <c r="R289" i="5"/>
  <c r="E289" i="5"/>
  <c r="AE301" i="5"/>
  <c r="R301" i="5"/>
  <c r="E301" i="5"/>
  <c r="Y325" i="5"/>
  <c r="AL325" i="5"/>
  <c r="L325" i="5"/>
  <c r="Q337" i="5"/>
  <c r="AD337" i="5"/>
  <c r="D337" i="5"/>
  <c r="AL349" i="5"/>
  <c r="Y349" i="5"/>
  <c r="L349" i="5"/>
  <c r="AO361" i="5"/>
  <c r="AB361" i="5"/>
  <c r="O361" i="5"/>
  <c r="H373" i="5"/>
  <c r="AH373" i="5"/>
  <c r="U373" i="5"/>
  <c r="AE385" i="5"/>
  <c r="R385" i="5"/>
  <c r="E385" i="5"/>
  <c r="AH397" i="5"/>
  <c r="U397" i="5"/>
  <c r="H397" i="5"/>
  <c r="N409" i="5"/>
  <c r="AN409" i="5"/>
  <c r="AA409" i="5"/>
  <c r="AL433" i="5"/>
  <c r="Y433" i="5"/>
  <c r="L433" i="5"/>
  <c r="AL445" i="5"/>
  <c r="Y445" i="5"/>
  <c r="L445" i="5"/>
  <c r="AK457" i="5"/>
  <c r="K457" i="5"/>
  <c r="X457" i="5"/>
  <c r="AL481" i="5"/>
  <c r="Y481" i="5"/>
  <c r="L481" i="5"/>
  <c r="Q493" i="5"/>
  <c r="AD493" i="5"/>
  <c r="D493" i="5"/>
  <c r="E505" i="5"/>
  <c r="R505" i="5"/>
  <c r="AE505" i="5"/>
  <c r="AO338" i="5"/>
  <c r="O338" i="5"/>
  <c r="AB338" i="5"/>
  <c r="AL146" i="5"/>
  <c r="Y146" i="5"/>
  <c r="L146" i="5"/>
  <c r="AL194" i="5"/>
  <c r="Y194" i="5"/>
  <c r="L194" i="5"/>
  <c r="AF218" i="5"/>
  <c r="S218" i="5"/>
  <c r="F218" i="5"/>
  <c r="T242" i="5"/>
  <c r="AG242" i="5"/>
  <c r="G242" i="5"/>
  <c r="AL266" i="5"/>
  <c r="Y266" i="5"/>
  <c r="L266" i="5"/>
  <c r="R290" i="5"/>
  <c r="E290" i="5"/>
  <c r="AE290" i="5"/>
  <c r="AE314" i="5"/>
  <c r="R314" i="5"/>
  <c r="E314" i="5"/>
  <c r="AJ362" i="5"/>
  <c r="J362" i="5"/>
  <c r="W362" i="5"/>
  <c r="AK386" i="5"/>
  <c r="K386" i="5"/>
  <c r="X386" i="5"/>
  <c r="S410" i="5"/>
  <c r="AF410" i="5"/>
  <c r="F410" i="5"/>
  <c r="N434" i="5"/>
  <c r="AA434" i="5"/>
  <c r="AN434" i="5"/>
  <c r="AO482" i="5"/>
  <c r="O482" i="5"/>
  <c r="AB482" i="5"/>
  <c r="AF506" i="5"/>
  <c r="F506" i="5"/>
  <c r="S506" i="5"/>
  <c r="AH166" i="5"/>
  <c r="H166" i="5"/>
  <c r="U166" i="5"/>
  <c r="H246" i="5"/>
  <c r="AH246" i="5"/>
  <c r="U246" i="5"/>
  <c r="N370" i="5"/>
  <c r="AA370" i="5"/>
  <c r="AN370" i="5"/>
  <c r="AF66" i="5"/>
  <c r="S66" i="5"/>
  <c r="F66" i="5"/>
  <c r="AI150" i="5"/>
  <c r="V150" i="5"/>
  <c r="I150" i="5"/>
  <c r="AB190" i="5"/>
  <c r="AO190" i="5"/>
  <c r="O190" i="5"/>
  <c r="AI214" i="5"/>
  <c r="V214" i="5"/>
  <c r="I214" i="5"/>
  <c r="AI306" i="5"/>
  <c r="V306" i="5"/>
  <c r="I306" i="5"/>
  <c r="AI334" i="5"/>
  <c r="V334" i="5"/>
  <c r="I334" i="5"/>
  <c r="Z354" i="5"/>
  <c r="AM354" i="5"/>
  <c r="M354" i="5"/>
  <c r="AM22" i="5"/>
  <c r="Z22" i="5"/>
  <c r="M22" i="5"/>
  <c r="AG94" i="5"/>
  <c r="T94" i="5"/>
  <c r="G94" i="5"/>
  <c r="AG174" i="5"/>
  <c r="G174" i="5"/>
  <c r="T174" i="5"/>
  <c r="AM246" i="5"/>
  <c r="Z246" i="5"/>
  <c r="M246" i="5"/>
  <c r="AK274" i="5"/>
  <c r="K274" i="5"/>
  <c r="X274" i="5"/>
  <c r="AI330" i="5"/>
  <c r="V330" i="5"/>
  <c r="I330" i="5"/>
  <c r="T370" i="5"/>
  <c r="G370" i="5"/>
  <c r="AG370" i="5"/>
  <c r="AM19" i="5"/>
  <c r="Z19" i="5"/>
  <c r="M19" i="5"/>
  <c r="AK260" i="5"/>
  <c r="X260" i="5"/>
  <c r="K260" i="5"/>
  <c r="AK383" i="5"/>
  <c r="X383" i="5"/>
  <c r="K383" i="5"/>
  <c r="X415" i="5"/>
  <c r="K415" i="5"/>
  <c r="AK415" i="5"/>
  <c r="X468" i="5"/>
  <c r="K468" i="5"/>
  <c r="AK468" i="5"/>
  <c r="AH504" i="5"/>
  <c r="U504" i="5"/>
  <c r="H504" i="5"/>
  <c r="U515" i="5"/>
  <c r="H515" i="5"/>
  <c r="AH515" i="5"/>
  <c r="W203" i="5"/>
  <c r="AJ203" i="5"/>
  <c r="J203" i="5"/>
  <c r="AD332" i="5"/>
  <c r="Q332" i="5"/>
  <c r="D332" i="5"/>
  <c r="AO463" i="5"/>
  <c r="AB463" i="5"/>
  <c r="O463" i="5"/>
  <c r="AH31" i="5"/>
  <c r="U31" i="5"/>
  <c r="H31" i="5"/>
  <c r="AI55" i="5"/>
  <c r="I55" i="5"/>
  <c r="V55" i="5"/>
  <c r="AN91" i="5"/>
  <c r="N91" i="5"/>
  <c r="AA91" i="5"/>
  <c r="S115" i="5"/>
  <c r="F115" i="5"/>
  <c r="AF115" i="5"/>
  <c r="AK151" i="5"/>
  <c r="X151" i="5"/>
  <c r="K151" i="5"/>
  <c r="AE175" i="5"/>
  <c r="R175" i="5"/>
  <c r="E175" i="5"/>
  <c r="AG211" i="5"/>
  <c r="T211" i="5"/>
  <c r="G211" i="5"/>
  <c r="AE235" i="5"/>
  <c r="R235" i="5"/>
  <c r="E235" i="5"/>
  <c r="Q271" i="5"/>
  <c r="AD271" i="5"/>
  <c r="D271" i="5"/>
  <c r="N307" i="5"/>
  <c r="AN307" i="5"/>
  <c r="AA307" i="5"/>
  <c r="AF331" i="5"/>
  <c r="F331" i="5"/>
  <c r="S331" i="5"/>
  <c r="AL367" i="5"/>
  <c r="Y367" i="5"/>
  <c r="L367" i="5"/>
  <c r="AM403" i="5"/>
  <c r="Z403" i="5"/>
  <c r="M403" i="5"/>
  <c r="AM451" i="5"/>
  <c r="Z451" i="5"/>
  <c r="M451" i="5"/>
  <c r="AM499" i="5"/>
  <c r="Z499" i="5"/>
  <c r="M499" i="5"/>
  <c r="AD20" i="5"/>
  <c r="Q20" i="5"/>
  <c r="D20" i="5"/>
  <c r="AM96" i="5"/>
  <c r="Z96" i="5"/>
  <c r="M96" i="5"/>
  <c r="AD491" i="5"/>
  <c r="Q491" i="5"/>
  <c r="D491" i="5"/>
  <c r="AK515" i="5"/>
  <c r="X515" i="5"/>
  <c r="K515" i="5"/>
  <c r="AO11" i="5"/>
  <c r="AB11" i="5"/>
  <c r="O11" i="5"/>
  <c r="AI95" i="5"/>
  <c r="V95" i="5"/>
  <c r="I95" i="5"/>
  <c r="AO504" i="5"/>
  <c r="AB504" i="5"/>
  <c r="O504" i="5"/>
  <c r="AK191" i="5"/>
  <c r="X191" i="5"/>
  <c r="K191" i="5"/>
  <c r="AL276" i="5"/>
  <c r="L276" i="5"/>
  <c r="Y276" i="5"/>
  <c r="AD11" i="5"/>
  <c r="D11" i="5"/>
  <c r="Q11" i="5"/>
  <c r="AO47" i="5"/>
  <c r="AB47" i="5"/>
  <c r="O47" i="5"/>
  <c r="AK83" i="5"/>
  <c r="X83" i="5"/>
  <c r="K83" i="5"/>
  <c r="AL107" i="5"/>
  <c r="Y107" i="5"/>
  <c r="L107" i="5"/>
  <c r="AH143" i="5"/>
  <c r="U143" i="5"/>
  <c r="H143" i="5"/>
  <c r="AF179" i="5"/>
  <c r="S179" i="5"/>
  <c r="F179" i="5"/>
  <c r="N251" i="5"/>
  <c r="AN251" i="5"/>
  <c r="AA251" i="5"/>
  <c r="AM311" i="5"/>
  <c r="M311" i="5"/>
  <c r="Z311" i="5"/>
  <c r="Z395" i="5"/>
  <c r="M395" i="5"/>
  <c r="AM395" i="5"/>
  <c r="M479" i="5"/>
  <c r="AM479" i="5"/>
  <c r="Z479" i="5"/>
  <c r="N120" i="5"/>
  <c r="AN120" i="5"/>
  <c r="AA120" i="5"/>
  <c r="AE420" i="5"/>
  <c r="R420" i="5"/>
  <c r="E420" i="5"/>
  <c r="V480" i="5"/>
  <c r="AI480" i="5"/>
  <c r="I480" i="5"/>
  <c r="AM363" i="5"/>
  <c r="M363" i="5"/>
  <c r="Z363" i="5"/>
  <c r="AO469" i="5"/>
  <c r="AB469" i="5"/>
  <c r="O469" i="5"/>
  <c r="AO495" i="5"/>
  <c r="O495" i="5"/>
  <c r="AB495" i="5"/>
  <c r="U135" i="5"/>
  <c r="AH135" i="5"/>
  <c r="H135" i="5"/>
  <c r="AO207" i="5"/>
  <c r="O207" i="5"/>
  <c r="AB207" i="5"/>
  <c r="R25" i="5"/>
  <c r="E25" i="5"/>
  <c r="AE25" i="5"/>
  <c r="N327" i="5"/>
  <c r="AN327" i="5"/>
  <c r="AA327" i="5"/>
  <c r="AE14" i="5"/>
  <c r="R14" i="5"/>
  <c r="E14" i="5"/>
  <c r="N62" i="5"/>
  <c r="AA62" i="5"/>
  <c r="AN62" i="5"/>
  <c r="AI74" i="5"/>
  <c r="I74" i="5"/>
  <c r="V74" i="5"/>
  <c r="AG86" i="5"/>
  <c r="T86" i="5"/>
  <c r="G86" i="5"/>
  <c r="N98" i="5"/>
  <c r="AA98" i="5"/>
  <c r="AN98" i="5"/>
  <c r="AD110" i="5"/>
  <c r="Q110" i="5"/>
  <c r="D110" i="5"/>
  <c r="AO134" i="5"/>
  <c r="AB134" i="5"/>
  <c r="O134" i="5"/>
  <c r="AK158" i="5"/>
  <c r="X158" i="5"/>
  <c r="K158" i="5"/>
  <c r="AK170" i="5"/>
  <c r="X170" i="5"/>
  <c r="K170" i="5"/>
  <c r="AN182" i="5"/>
  <c r="N182" i="5"/>
  <c r="AA182" i="5"/>
  <c r="AE206" i="5"/>
  <c r="R206" i="5"/>
  <c r="E206" i="5"/>
  <c r="R230" i="5"/>
  <c r="E230" i="5"/>
  <c r="AE230" i="5"/>
  <c r="AG278" i="5"/>
  <c r="T278" i="5"/>
  <c r="G278" i="5"/>
  <c r="AO302" i="5"/>
  <c r="O302" i="5"/>
  <c r="AB302" i="5"/>
  <c r="N326" i="5"/>
  <c r="AN326" i="5"/>
  <c r="AA326" i="5"/>
  <c r="AN374" i="5"/>
  <c r="N374" i="5"/>
  <c r="AA374" i="5"/>
  <c r="N398" i="5"/>
  <c r="AN398" i="5"/>
  <c r="AA398" i="5"/>
  <c r="AM422" i="5"/>
  <c r="M422" i="5"/>
  <c r="Z422" i="5"/>
  <c r="AE470" i="5"/>
  <c r="R470" i="5"/>
  <c r="E470" i="5"/>
  <c r="Q494" i="5"/>
  <c r="AD494" i="5"/>
  <c r="D494" i="5"/>
  <c r="O27" i="5"/>
  <c r="AB27" i="5"/>
  <c r="AO27" i="5"/>
  <c r="AI51" i="5"/>
  <c r="V51" i="5"/>
  <c r="I51" i="5"/>
  <c r="AD63" i="5"/>
  <c r="Q63" i="5"/>
  <c r="D63" i="5"/>
  <c r="AM75" i="5"/>
  <c r="M75" i="5"/>
  <c r="Z75" i="5"/>
  <c r="AJ87" i="5"/>
  <c r="J87" i="5"/>
  <c r="W87" i="5"/>
  <c r="AL111" i="5"/>
  <c r="Y111" i="5"/>
  <c r="L111" i="5"/>
  <c r="U123" i="5"/>
  <c r="AH123" i="5"/>
  <c r="H123" i="5"/>
  <c r="AL135" i="5"/>
  <c r="Y135" i="5"/>
  <c r="L135" i="5"/>
  <c r="U147" i="5"/>
  <c r="AH147" i="5"/>
  <c r="H147" i="5"/>
  <c r="R159" i="5"/>
  <c r="AE159" i="5"/>
  <c r="E159" i="5"/>
  <c r="M195" i="5"/>
  <c r="AM195" i="5"/>
  <c r="Z195" i="5"/>
  <c r="S207" i="5"/>
  <c r="AF207" i="5"/>
  <c r="F207" i="5"/>
  <c r="AM219" i="5"/>
  <c r="Z219" i="5"/>
  <c r="M219" i="5"/>
  <c r="E243" i="5"/>
  <c r="AE243" i="5"/>
  <c r="R243" i="5"/>
  <c r="E255" i="5"/>
  <c r="R255" i="5"/>
  <c r="AE255" i="5"/>
  <c r="AB303" i="5"/>
  <c r="O303" i="5"/>
  <c r="AO303" i="5"/>
  <c r="AL327" i="5"/>
  <c r="L327" i="5"/>
  <c r="Y327" i="5"/>
  <c r="U351" i="5"/>
  <c r="AH351" i="5"/>
  <c r="H351" i="5"/>
  <c r="AF375" i="5"/>
  <c r="S375" i="5"/>
  <c r="F375" i="5"/>
  <c r="AN399" i="5"/>
  <c r="N399" i="5"/>
  <c r="AA399" i="5"/>
  <c r="AL459" i="5"/>
  <c r="Y459" i="5"/>
  <c r="L459" i="5"/>
  <c r="AL483" i="5"/>
  <c r="Y483" i="5"/>
  <c r="L483" i="5"/>
  <c r="AG507" i="5"/>
  <c r="T507" i="5"/>
  <c r="G507" i="5"/>
  <c r="Q471" i="5"/>
  <c r="AD471" i="5"/>
  <c r="D471" i="5"/>
  <c r="S37" i="5"/>
  <c r="AF37" i="5"/>
  <c r="F37" i="5"/>
  <c r="AH38" i="5"/>
  <c r="U38" i="5"/>
  <c r="H38" i="5"/>
  <c r="AD39" i="5"/>
  <c r="Q39" i="5"/>
  <c r="D39" i="5"/>
  <c r="E447" i="5"/>
  <c r="R447" i="5"/>
  <c r="AE447" i="5"/>
  <c r="AF266" i="5"/>
  <c r="S266" i="5"/>
  <c r="F266" i="5"/>
  <c r="L13" i="5"/>
  <c r="Y13" i="5"/>
  <c r="AL13" i="5"/>
  <c r="AO49" i="5"/>
  <c r="AB49" i="5"/>
  <c r="O49" i="5"/>
  <c r="AH61" i="5"/>
  <c r="U61" i="5"/>
  <c r="H61" i="5"/>
  <c r="AI73" i="5"/>
  <c r="V73" i="5"/>
  <c r="I73" i="5"/>
  <c r="AG85" i="5"/>
  <c r="T85" i="5"/>
  <c r="G85" i="5"/>
  <c r="AD97" i="5"/>
  <c r="D97" i="5"/>
  <c r="Q97" i="5"/>
  <c r="N109" i="5"/>
  <c r="AA109" i="5"/>
  <c r="AN109" i="5"/>
  <c r="AE121" i="5"/>
  <c r="R121" i="5"/>
  <c r="E121" i="5"/>
  <c r="N59" i="5"/>
  <c r="AA59" i="5"/>
  <c r="AN59" i="5"/>
  <c r="AK103" i="5"/>
  <c r="X103" i="5"/>
  <c r="K103" i="5"/>
  <c r="AF356" i="5"/>
  <c r="F356" i="5"/>
  <c r="S356" i="5"/>
  <c r="AD243" i="5"/>
  <c r="Q243" i="5"/>
  <c r="D243" i="5"/>
  <c r="K224" i="5"/>
  <c r="X224" i="5"/>
  <c r="AK224" i="5"/>
  <c r="AE139" i="5"/>
  <c r="R139" i="5"/>
  <c r="E139" i="5"/>
  <c r="E407" i="5"/>
  <c r="AE407" i="5"/>
  <c r="R407" i="5"/>
  <c r="AK10" i="5"/>
  <c r="X10" i="5"/>
  <c r="K10" i="5"/>
  <c r="AN126" i="5"/>
  <c r="N126" i="5"/>
  <c r="AA126" i="5"/>
  <c r="AH150" i="5"/>
  <c r="U150" i="5"/>
  <c r="H150" i="5"/>
  <c r="AN174" i="5"/>
  <c r="N174" i="5"/>
  <c r="AA174" i="5"/>
  <c r="N190" i="5"/>
  <c r="AN190" i="5"/>
  <c r="AA190" i="5"/>
  <c r="Q226" i="5"/>
  <c r="AD226" i="5"/>
  <c r="D226" i="5"/>
  <c r="AJ322" i="5"/>
  <c r="W322" i="5"/>
  <c r="J322" i="5"/>
  <c r="AL354" i="5"/>
  <c r="L354" i="5"/>
  <c r="Y354" i="5"/>
  <c r="AI22" i="5"/>
  <c r="I22" i="5"/>
  <c r="V22" i="5"/>
  <c r="Y42" i="5"/>
  <c r="AL42" i="5"/>
  <c r="L42" i="5"/>
  <c r="AB126" i="5"/>
  <c r="AO126" i="5"/>
  <c r="O126" i="5"/>
  <c r="AM282" i="5"/>
  <c r="Z282" i="5"/>
  <c r="M282" i="5"/>
  <c r="AM310" i="5"/>
  <c r="Z310" i="5"/>
  <c r="M310" i="5"/>
  <c r="Q358" i="5"/>
  <c r="AD358" i="5"/>
  <c r="D358" i="5"/>
  <c r="N414" i="5"/>
  <c r="AN414" i="5"/>
  <c r="AA414" i="5"/>
  <c r="N442" i="5"/>
  <c r="AN442" i="5"/>
  <c r="AA442" i="5"/>
  <c r="AJ114" i="5"/>
  <c r="J114" i="5"/>
  <c r="W114" i="5"/>
  <c r="AJ178" i="5"/>
  <c r="W178" i="5"/>
  <c r="J178" i="5"/>
  <c r="AM334" i="5"/>
  <c r="Z334" i="5"/>
  <c r="M334" i="5"/>
  <c r="AF466" i="5"/>
  <c r="S466" i="5"/>
  <c r="F466" i="5"/>
  <c r="AF498" i="5"/>
  <c r="S498" i="5"/>
  <c r="F498" i="5"/>
  <c r="AG92" i="5"/>
  <c r="G92" i="5"/>
  <c r="T92" i="5"/>
  <c r="AF103" i="5"/>
  <c r="S103" i="5"/>
  <c r="F103" i="5"/>
  <c r="AD263" i="5"/>
  <c r="Q263" i="5"/>
  <c r="D263" i="5"/>
  <c r="AL288" i="5"/>
  <c r="Y288" i="5"/>
  <c r="L288" i="5"/>
  <c r="AF347" i="5"/>
  <c r="S347" i="5"/>
  <c r="F347" i="5"/>
  <c r="Q391" i="5"/>
  <c r="AD391" i="5"/>
  <c r="D391" i="5"/>
  <c r="AJ11" i="5"/>
  <c r="J11" i="5"/>
  <c r="W11" i="5"/>
  <c r="S31" i="5"/>
  <c r="F31" i="5"/>
  <c r="AF31" i="5"/>
  <c r="AH336" i="5"/>
  <c r="U336" i="5"/>
  <c r="H336" i="5"/>
  <c r="AO468" i="5"/>
  <c r="AB468" i="5"/>
  <c r="O468" i="5"/>
  <c r="AD31" i="5"/>
  <c r="D31" i="5"/>
  <c r="Q31" i="5"/>
  <c r="AE55" i="5"/>
  <c r="R55" i="5"/>
  <c r="E55" i="5"/>
  <c r="AM91" i="5"/>
  <c r="Z91" i="5"/>
  <c r="M91" i="5"/>
  <c r="AE115" i="5"/>
  <c r="R115" i="5"/>
  <c r="E115" i="5"/>
  <c r="AJ151" i="5"/>
  <c r="J151" i="5"/>
  <c r="W151" i="5"/>
  <c r="AD187" i="5"/>
  <c r="D187" i="5"/>
  <c r="Q187" i="5"/>
  <c r="AH211" i="5"/>
  <c r="H211" i="5"/>
  <c r="U211" i="5"/>
  <c r="N247" i="5"/>
  <c r="AA247" i="5"/>
  <c r="AN247" i="5"/>
  <c r="AO271" i="5"/>
  <c r="O271" i="5"/>
  <c r="AB271" i="5"/>
  <c r="AJ307" i="5"/>
  <c r="W307" i="5"/>
  <c r="J307" i="5"/>
  <c r="Q331" i="5"/>
  <c r="D331" i="5"/>
  <c r="AD331" i="5"/>
  <c r="X367" i="5"/>
  <c r="K367" i="5"/>
  <c r="AK367" i="5"/>
  <c r="AF415" i="5"/>
  <c r="F415" i="5"/>
  <c r="S415" i="5"/>
  <c r="AF463" i="5"/>
  <c r="S463" i="5"/>
  <c r="F463" i="5"/>
  <c r="AF511" i="5"/>
  <c r="S511" i="5"/>
  <c r="F511" i="5"/>
  <c r="AN47" i="5"/>
  <c r="N47" i="5"/>
  <c r="AA47" i="5"/>
  <c r="D116" i="5"/>
  <c r="AD116" i="5"/>
  <c r="Q116" i="5"/>
  <c r="AO8" i="5"/>
  <c r="AB8" i="5"/>
  <c r="O8" i="5"/>
  <c r="AH24" i="5"/>
  <c r="U24" i="5"/>
  <c r="H24" i="5"/>
  <c r="AG48" i="5"/>
  <c r="G48" i="5"/>
  <c r="T48" i="5"/>
  <c r="G240" i="5"/>
  <c r="AG240" i="5"/>
  <c r="T240" i="5"/>
  <c r="AF324" i="5"/>
  <c r="F324" i="5"/>
  <c r="S324" i="5"/>
  <c r="AE432" i="5"/>
  <c r="R432" i="5"/>
  <c r="E432" i="5"/>
  <c r="AG59" i="5"/>
  <c r="T59" i="5"/>
  <c r="G59" i="5"/>
  <c r="AD204" i="5"/>
  <c r="Q204" i="5"/>
  <c r="D204" i="5"/>
  <c r="AH59" i="5"/>
  <c r="U59" i="5"/>
  <c r="H59" i="5"/>
  <c r="Q371" i="5"/>
  <c r="D371" i="5"/>
  <c r="AD371" i="5"/>
  <c r="AD479" i="5"/>
  <c r="Q479" i="5"/>
  <c r="D479" i="5"/>
  <c r="AM11" i="5"/>
  <c r="Z11" i="5"/>
  <c r="M11" i="5"/>
  <c r="E47" i="5"/>
  <c r="R47" i="5"/>
  <c r="AE47" i="5"/>
  <c r="AG83" i="5"/>
  <c r="T83" i="5"/>
  <c r="G83" i="5"/>
  <c r="AE107" i="5"/>
  <c r="R107" i="5"/>
  <c r="E107" i="5"/>
  <c r="AD143" i="5"/>
  <c r="Q143" i="5"/>
  <c r="D143" i="5"/>
  <c r="AE179" i="5"/>
  <c r="R179" i="5"/>
  <c r="E179" i="5"/>
  <c r="M251" i="5"/>
  <c r="AM251" i="5"/>
  <c r="Z251" i="5"/>
  <c r="AE311" i="5"/>
  <c r="E311" i="5"/>
  <c r="R311" i="5"/>
  <c r="AF419" i="5"/>
  <c r="S419" i="5"/>
  <c r="F419" i="5"/>
  <c r="S503" i="5"/>
  <c r="AF503" i="5"/>
  <c r="F503" i="5"/>
  <c r="AD72" i="5"/>
  <c r="Q72" i="5"/>
  <c r="D72" i="5"/>
  <c r="AH108" i="5"/>
  <c r="H108" i="5"/>
  <c r="U108" i="5"/>
  <c r="Z180" i="5"/>
  <c r="AM180" i="5"/>
  <c r="M180" i="5"/>
  <c r="X372" i="5"/>
  <c r="AK372" i="5"/>
  <c r="K372" i="5"/>
  <c r="AL96" i="5"/>
  <c r="Y96" i="5"/>
  <c r="L96" i="5"/>
  <c r="Y192" i="5"/>
  <c r="AL192" i="5"/>
  <c r="L192" i="5"/>
  <c r="Q356" i="5"/>
  <c r="AD356" i="5"/>
  <c r="D356" i="5"/>
  <c r="AO404" i="5"/>
  <c r="AB404" i="5"/>
  <c r="O404" i="5"/>
  <c r="AH19" i="5"/>
  <c r="U19" i="5"/>
  <c r="H19" i="5"/>
  <c r="Z32" i="5"/>
  <c r="M32" i="5"/>
  <c r="AM32" i="5"/>
  <c r="Z128" i="5"/>
  <c r="AM128" i="5"/>
  <c r="M128" i="5"/>
  <c r="AO164" i="5"/>
  <c r="O164" i="5"/>
  <c r="AB164" i="5"/>
  <c r="AK203" i="5"/>
  <c r="X203" i="5"/>
  <c r="K203" i="5"/>
  <c r="T216" i="5"/>
  <c r="AG216" i="5"/>
  <c r="G216" i="5"/>
  <c r="AK392" i="5"/>
  <c r="X392" i="5"/>
  <c r="K392" i="5"/>
  <c r="AK488" i="5"/>
  <c r="X488" i="5"/>
  <c r="K488" i="5"/>
  <c r="AN44" i="5"/>
  <c r="N44" i="5"/>
  <c r="AA44" i="5"/>
  <c r="AG68" i="5"/>
  <c r="G68" i="5"/>
  <c r="T68" i="5"/>
  <c r="Y104" i="5"/>
  <c r="L104" i="5"/>
  <c r="AL104" i="5"/>
  <c r="AE128" i="5"/>
  <c r="R128" i="5"/>
  <c r="E128" i="5"/>
  <c r="U164" i="5"/>
  <c r="AH164" i="5"/>
  <c r="H164" i="5"/>
  <c r="AE188" i="5"/>
  <c r="R188" i="5"/>
  <c r="E188" i="5"/>
  <c r="Q224" i="5"/>
  <c r="AD224" i="5"/>
  <c r="D224" i="5"/>
  <c r="AE248" i="5"/>
  <c r="E248" i="5"/>
  <c r="R248" i="5"/>
  <c r="N284" i="5"/>
  <c r="AN284" i="5"/>
  <c r="AA284" i="5"/>
  <c r="AM320" i="5"/>
  <c r="Z320" i="5"/>
  <c r="M320" i="5"/>
  <c r="AF344" i="5"/>
  <c r="S344" i="5"/>
  <c r="F344" i="5"/>
  <c r="AJ380" i="5"/>
  <c r="J380" i="5"/>
  <c r="W380" i="5"/>
  <c r="N428" i="5"/>
  <c r="AN428" i="5"/>
  <c r="AA428" i="5"/>
  <c r="N476" i="5"/>
  <c r="AA476" i="5"/>
  <c r="AN476" i="5"/>
  <c r="T276" i="5"/>
  <c r="AG276" i="5"/>
  <c r="G276" i="5"/>
  <c r="AL504" i="5"/>
  <c r="Y504" i="5"/>
  <c r="L504" i="5"/>
  <c r="W407" i="5"/>
  <c r="AJ407" i="5"/>
  <c r="J407" i="5"/>
  <c r="AG443" i="5"/>
  <c r="T443" i="5"/>
  <c r="G443" i="5"/>
  <c r="AH155" i="5"/>
  <c r="U155" i="5"/>
  <c r="H155" i="5"/>
  <c r="AK300" i="5"/>
  <c r="X300" i="5"/>
  <c r="K300" i="5"/>
  <c r="AK311" i="5"/>
  <c r="X311" i="5"/>
  <c r="K311" i="5"/>
  <c r="J167" i="5"/>
  <c r="AJ167" i="5"/>
  <c r="W167" i="5"/>
  <c r="S227" i="5"/>
  <c r="AF227" i="5"/>
  <c r="F227" i="5"/>
  <c r="T287" i="5"/>
  <c r="G287" i="5"/>
  <c r="AG287" i="5"/>
  <c r="N335" i="5"/>
  <c r="AN335" i="5"/>
  <c r="AA335" i="5"/>
  <c r="AE383" i="5"/>
  <c r="R383" i="5"/>
  <c r="E383" i="5"/>
  <c r="M491" i="5"/>
  <c r="AM491" i="5"/>
  <c r="Z491" i="5"/>
  <c r="AL300" i="5"/>
  <c r="L300" i="5"/>
  <c r="Y300" i="5"/>
  <c r="AO24" i="5"/>
  <c r="AB24" i="5"/>
  <c r="O24" i="5"/>
  <c r="S48" i="5"/>
  <c r="AF48" i="5"/>
  <c r="F48" i="5"/>
  <c r="AL84" i="5"/>
  <c r="Y84" i="5"/>
  <c r="L84" i="5"/>
  <c r="AM108" i="5"/>
  <c r="Z108" i="5"/>
  <c r="M108" i="5"/>
  <c r="I144" i="5"/>
  <c r="V144" i="5"/>
  <c r="AI144" i="5"/>
  <c r="AJ168" i="5"/>
  <c r="W168" i="5"/>
  <c r="J168" i="5"/>
  <c r="N204" i="5"/>
  <c r="AA204" i="5"/>
  <c r="AN204" i="5"/>
  <c r="T228" i="5"/>
  <c r="G228" i="5"/>
  <c r="AG228" i="5"/>
  <c r="AL264" i="5"/>
  <c r="Y264" i="5"/>
  <c r="L264" i="5"/>
  <c r="AF288" i="5"/>
  <c r="S288" i="5"/>
  <c r="F288" i="5"/>
  <c r="AM324" i="5"/>
  <c r="M324" i="5"/>
  <c r="Z324" i="5"/>
  <c r="R348" i="5"/>
  <c r="AE348" i="5"/>
  <c r="E348" i="5"/>
  <c r="N396" i="5"/>
  <c r="AA396" i="5"/>
  <c r="AN396" i="5"/>
  <c r="N444" i="5"/>
  <c r="AN444" i="5"/>
  <c r="AA444" i="5"/>
  <c r="AN492" i="5"/>
  <c r="AA492" i="5"/>
  <c r="N492" i="5"/>
  <c r="AO133" i="5"/>
  <c r="AB133" i="5"/>
  <c r="O133" i="5"/>
  <c r="R482" i="5"/>
  <c r="AE482" i="5"/>
  <c r="E482" i="5"/>
  <c r="N207" i="5"/>
  <c r="AN207" i="5"/>
  <c r="AA207" i="5"/>
  <c r="M50" i="5"/>
  <c r="Z50" i="5"/>
  <c r="AM50" i="5"/>
  <c r="AL62" i="5"/>
  <c r="L62" i="5"/>
  <c r="Y62" i="5"/>
  <c r="AO74" i="5"/>
  <c r="O74" i="5"/>
  <c r="AB74" i="5"/>
  <c r="AD86" i="5"/>
  <c r="Q86" i="5"/>
  <c r="D86" i="5"/>
  <c r="AL98" i="5"/>
  <c r="Y98" i="5"/>
  <c r="L98" i="5"/>
  <c r="AO110" i="5"/>
  <c r="O110" i="5"/>
  <c r="AB110" i="5"/>
  <c r="U134" i="5"/>
  <c r="H134" i="5"/>
  <c r="AH134" i="5"/>
  <c r="W158" i="5"/>
  <c r="J158" i="5"/>
  <c r="AJ158" i="5"/>
  <c r="AH170" i="5"/>
  <c r="U170" i="5"/>
  <c r="H170" i="5"/>
  <c r="AJ182" i="5"/>
  <c r="W182" i="5"/>
  <c r="J182" i="5"/>
  <c r="D230" i="5"/>
  <c r="Q230" i="5"/>
  <c r="AD230" i="5"/>
  <c r="N254" i="5"/>
  <c r="AA254" i="5"/>
  <c r="AN254" i="5"/>
  <c r="AF278" i="5"/>
  <c r="F278" i="5"/>
  <c r="S278" i="5"/>
  <c r="AK302" i="5"/>
  <c r="K302" i="5"/>
  <c r="X302" i="5"/>
  <c r="E326" i="5"/>
  <c r="AE326" i="5"/>
  <c r="R326" i="5"/>
  <c r="AL374" i="5"/>
  <c r="Y374" i="5"/>
  <c r="L374" i="5"/>
  <c r="AM398" i="5"/>
  <c r="Z398" i="5"/>
  <c r="M398" i="5"/>
  <c r="AJ446" i="5"/>
  <c r="W446" i="5"/>
  <c r="J446" i="5"/>
  <c r="AL470" i="5"/>
  <c r="L470" i="5"/>
  <c r="Y470" i="5"/>
  <c r="AK494" i="5"/>
  <c r="X494" i="5"/>
  <c r="K494" i="5"/>
  <c r="AM27" i="5"/>
  <c r="M27" i="5"/>
  <c r="Z27" i="5"/>
  <c r="AG51" i="5"/>
  <c r="G51" i="5"/>
  <c r="T51" i="5"/>
  <c r="AE63" i="5"/>
  <c r="R63" i="5"/>
  <c r="E63" i="5"/>
  <c r="AE75" i="5"/>
  <c r="R75" i="5"/>
  <c r="E75" i="5"/>
  <c r="AE87" i="5"/>
  <c r="R87" i="5"/>
  <c r="E87" i="5"/>
  <c r="AJ111" i="5"/>
  <c r="W111" i="5"/>
  <c r="J111" i="5"/>
  <c r="AK123" i="5"/>
  <c r="X123" i="5"/>
  <c r="K123" i="5"/>
  <c r="AK135" i="5"/>
  <c r="X135" i="5"/>
  <c r="K135" i="5"/>
  <c r="AG147" i="5"/>
  <c r="T147" i="5"/>
  <c r="G147" i="5"/>
  <c r="U171" i="5"/>
  <c r="AH171" i="5"/>
  <c r="H171" i="5"/>
  <c r="AL195" i="5"/>
  <c r="Y195" i="5"/>
  <c r="L195" i="5"/>
  <c r="AE207" i="5"/>
  <c r="R207" i="5"/>
  <c r="E207" i="5"/>
  <c r="E219" i="5"/>
  <c r="AE219" i="5"/>
  <c r="R219" i="5"/>
  <c r="U255" i="5"/>
  <c r="AH255" i="5"/>
  <c r="H255" i="5"/>
  <c r="AO279" i="5"/>
  <c r="O279" i="5"/>
  <c r="AB279" i="5"/>
  <c r="N303" i="5"/>
  <c r="AA303" i="5"/>
  <c r="AN303" i="5"/>
  <c r="AK327" i="5"/>
  <c r="X327" i="5"/>
  <c r="K327" i="5"/>
  <c r="AG351" i="5"/>
  <c r="T351" i="5"/>
  <c r="G351" i="5"/>
  <c r="Q375" i="5"/>
  <c r="AD375" i="5"/>
  <c r="D375" i="5"/>
  <c r="AM399" i="5"/>
  <c r="Z399" i="5"/>
  <c r="M399" i="5"/>
  <c r="AJ459" i="5"/>
  <c r="W459" i="5"/>
  <c r="J459" i="5"/>
  <c r="AE483" i="5"/>
  <c r="E483" i="5"/>
  <c r="R483" i="5"/>
  <c r="AE507" i="5"/>
  <c r="E507" i="5"/>
  <c r="R507" i="5"/>
  <c r="AN183" i="5"/>
  <c r="N183" i="5"/>
  <c r="AA183" i="5"/>
  <c r="AG231" i="5"/>
  <c r="T231" i="5"/>
  <c r="G231" i="5"/>
  <c r="AG267" i="5"/>
  <c r="T267" i="5"/>
  <c r="G267" i="5"/>
  <c r="N291" i="5"/>
  <c r="AN291" i="5"/>
  <c r="AA291" i="5"/>
  <c r="E315" i="5"/>
  <c r="R315" i="5"/>
  <c r="AE315" i="5"/>
  <c r="AK363" i="5"/>
  <c r="X363" i="5"/>
  <c r="K363" i="5"/>
  <c r="AO387" i="5"/>
  <c r="AB387" i="5"/>
  <c r="O387" i="5"/>
  <c r="AG411" i="5"/>
  <c r="T411" i="5"/>
  <c r="G411" i="5"/>
  <c r="M435" i="5"/>
  <c r="Z435" i="5"/>
  <c r="AM435" i="5"/>
  <c r="AG495" i="5"/>
  <c r="G495" i="5"/>
  <c r="T495" i="5"/>
  <c r="N298" i="5"/>
  <c r="AN298" i="5"/>
  <c r="AA298" i="5"/>
  <c r="AF114" i="5"/>
  <c r="S114" i="5"/>
  <c r="F114" i="5"/>
  <c r="L138" i="5"/>
  <c r="AL138" i="5"/>
  <c r="Y138" i="5"/>
  <c r="AO174" i="5"/>
  <c r="O174" i="5"/>
  <c r="AB174" i="5"/>
  <c r="V198" i="5"/>
  <c r="AI198" i="5"/>
  <c r="I198" i="5"/>
  <c r="AO238" i="5"/>
  <c r="AB238" i="5"/>
  <c r="O238" i="5"/>
  <c r="AI378" i="5"/>
  <c r="V378" i="5"/>
  <c r="I378" i="5"/>
  <c r="N462" i="5"/>
  <c r="AN462" i="5"/>
  <c r="AA462" i="5"/>
  <c r="N478" i="5"/>
  <c r="AA478" i="5"/>
  <c r="AN478" i="5"/>
  <c r="AA498" i="5"/>
  <c r="N498" i="5"/>
  <c r="AN498" i="5"/>
  <c r="AG78" i="5"/>
  <c r="T78" i="5"/>
  <c r="G78" i="5"/>
  <c r="AJ162" i="5"/>
  <c r="W162" i="5"/>
  <c r="J162" i="5"/>
  <c r="T222" i="5"/>
  <c r="G222" i="5"/>
  <c r="AG222" i="5"/>
  <c r="AO294" i="5"/>
  <c r="O294" i="5"/>
  <c r="AB294" i="5"/>
  <c r="AK318" i="5"/>
  <c r="X318" i="5"/>
  <c r="K318" i="5"/>
  <c r="Q354" i="5"/>
  <c r="D354" i="5"/>
  <c r="AD354" i="5"/>
  <c r="AF406" i="5"/>
  <c r="F406" i="5"/>
  <c r="S406" i="5"/>
  <c r="S430" i="5"/>
  <c r="AF430" i="5"/>
  <c r="F430" i="5"/>
  <c r="AN104" i="5"/>
  <c r="N104" i="5"/>
  <c r="AA104" i="5"/>
  <c r="AK164" i="5"/>
  <c r="K164" i="5"/>
  <c r="X164" i="5"/>
  <c r="AO215" i="5"/>
  <c r="O215" i="5"/>
  <c r="AB215" i="5"/>
  <c r="AK228" i="5"/>
  <c r="X228" i="5"/>
  <c r="K228" i="5"/>
  <c r="AG252" i="5"/>
  <c r="T252" i="5"/>
  <c r="G252" i="5"/>
  <c r="AM264" i="5"/>
  <c r="Z264" i="5"/>
  <c r="M264" i="5"/>
  <c r="I323" i="5"/>
  <c r="AI323" i="5"/>
  <c r="V323" i="5"/>
  <c r="AO348" i="5"/>
  <c r="O348" i="5"/>
  <c r="AB348" i="5"/>
  <c r="AH392" i="5"/>
  <c r="H392" i="5"/>
  <c r="U392" i="5"/>
  <c r="AH403" i="5"/>
  <c r="H403" i="5"/>
  <c r="U403" i="5"/>
  <c r="Q444" i="5"/>
  <c r="AD444" i="5"/>
  <c r="D444" i="5"/>
  <c r="Q492" i="5"/>
  <c r="AD492" i="5"/>
  <c r="D492" i="5"/>
  <c r="AN36" i="5"/>
  <c r="N36" i="5"/>
  <c r="AA36" i="5"/>
  <c r="N344" i="5"/>
  <c r="AN344" i="5"/>
  <c r="AA344" i="5"/>
  <c r="AG428" i="5"/>
  <c r="T428" i="5"/>
  <c r="G428" i="5"/>
  <c r="AO31" i="5"/>
  <c r="AB31" i="5"/>
  <c r="O31" i="5"/>
  <c r="AK67" i="5"/>
  <c r="X67" i="5"/>
  <c r="K67" i="5"/>
  <c r="AL91" i="5"/>
  <c r="Y91" i="5"/>
  <c r="L91" i="5"/>
  <c r="AH127" i="5"/>
  <c r="U127" i="5"/>
  <c r="H127" i="5"/>
  <c r="V151" i="5"/>
  <c r="AI151" i="5"/>
  <c r="I151" i="5"/>
  <c r="AM187" i="5"/>
  <c r="Z187" i="5"/>
  <c r="M187" i="5"/>
  <c r="S211" i="5"/>
  <c r="AF211" i="5"/>
  <c r="F211" i="5"/>
  <c r="AK247" i="5"/>
  <c r="X247" i="5"/>
  <c r="K247" i="5"/>
  <c r="AE271" i="5"/>
  <c r="R271" i="5"/>
  <c r="E271" i="5"/>
  <c r="X307" i="5"/>
  <c r="AK307" i="5"/>
  <c r="K307" i="5"/>
  <c r="R331" i="5"/>
  <c r="AE331" i="5"/>
  <c r="E331" i="5"/>
  <c r="R367" i="5"/>
  <c r="AE367" i="5"/>
  <c r="E367" i="5"/>
  <c r="N415" i="5"/>
  <c r="AN415" i="5"/>
  <c r="AA415" i="5"/>
  <c r="N463" i="5"/>
  <c r="AN463" i="5"/>
  <c r="AA463" i="5"/>
  <c r="AN511" i="5"/>
  <c r="AA511" i="5"/>
  <c r="N511" i="5"/>
  <c r="T120" i="5"/>
  <c r="G120" i="5"/>
  <c r="AG120" i="5"/>
  <c r="X8" i="5"/>
  <c r="AK8" i="5"/>
  <c r="K8" i="5"/>
  <c r="AK60" i="5"/>
  <c r="X60" i="5"/>
  <c r="K60" i="5"/>
  <c r="AL456" i="5"/>
  <c r="Y456" i="5"/>
  <c r="L456" i="5"/>
  <c r="AE480" i="5"/>
  <c r="R480" i="5"/>
  <c r="E480" i="5"/>
  <c r="AL515" i="5"/>
  <c r="Y515" i="5"/>
  <c r="L515" i="5"/>
  <c r="AL60" i="5"/>
  <c r="L60" i="5"/>
  <c r="Y60" i="5"/>
  <c r="AL287" i="5"/>
  <c r="Y287" i="5"/>
  <c r="L287" i="5"/>
  <c r="AM35" i="5"/>
  <c r="Z35" i="5"/>
  <c r="M35" i="5"/>
  <c r="AD431" i="5"/>
  <c r="Q431" i="5"/>
  <c r="D431" i="5"/>
  <c r="AN11" i="5"/>
  <c r="N11" i="5"/>
  <c r="AA11" i="5"/>
  <c r="D59" i="5"/>
  <c r="AD59" i="5"/>
  <c r="Q59" i="5"/>
  <c r="AH83" i="5"/>
  <c r="U83" i="5"/>
  <c r="H83" i="5"/>
  <c r="N119" i="5"/>
  <c r="AN119" i="5"/>
  <c r="AA119" i="5"/>
  <c r="AB143" i="5"/>
  <c r="AO143" i="5"/>
  <c r="O143" i="5"/>
  <c r="H191" i="5"/>
  <c r="AH191" i="5"/>
  <c r="U191" i="5"/>
  <c r="Y251" i="5"/>
  <c r="AL251" i="5"/>
  <c r="L251" i="5"/>
  <c r="AL347" i="5"/>
  <c r="Y347" i="5"/>
  <c r="L347" i="5"/>
  <c r="N419" i="5"/>
  <c r="AN419" i="5"/>
  <c r="AA419" i="5"/>
  <c r="AN503" i="5"/>
  <c r="N503" i="5"/>
  <c r="AA503" i="5"/>
  <c r="AH12" i="5"/>
  <c r="U12" i="5"/>
  <c r="H12" i="5"/>
  <c r="AH156" i="5"/>
  <c r="U156" i="5"/>
  <c r="H156" i="5"/>
  <c r="N168" i="5"/>
  <c r="AN168" i="5"/>
  <c r="AA168" i="5"/>
  <c r="AK192" i="5"/>
  <c r="K192" i="5"/>
  <c r="X192" i="5"/>
  <c r="Y239" i="5"/>
  <c r="AL239" i="5"/>
  <c r="L239" i="5"/>
  <c r="AI392" i="5"/>
  <c r="V392" i="5"/>
  <c r="I392" i="5"/>
  <c r="AE428" i="5"/>
  <c r="E428" i="5"/>
  <c r="R428" i="5"/>
  <c r="AI456" i="5"/>
  <c r="V456" i="5"/>
  <c r="I456" i="5"/>
  <c r="AM143" i="5"/>
  <c r="M143" i="5"/>
  <c r="Z143" i="5"/>
  <c r="N164" i="5"/>
  <c r="AN164" i="5"/>
  <c r="AA164" i="5"/>
  <c r="Y224" i="5"/>
  <c r="AL224" i="5"/>
  <c r="L224" i="5"/>
  <c r="AJ295" i="5"/>
  <c r="J295" i="5"/>
  <c r="W295" i="5"/>
  <c r="T311" i="5"/>
  <c r="G311" i="5"/>
  <c r="AG311" i="5"/>
  <c r="AM379" i="5"/>
  <c r="Z379" i="5"/>
  <c r="M379" i="5"/>
  <c r="AJ467" i="5"/>
  <c r="W467" i="5"/>
  <c r="J467" i="5"/>
  <c r="AK19" i="5"/>
  <c r="X19" i="5"/>
  <c r="K19" i="5"/>
  <c r="W92" i="5"/>
  <c r="J92" i="5"/>
  <c r="AJ92" i="5"/>
  <c r="AM192" i="5"/>
  <c r="Z192" i="5"/>
  <c r="M192" i="5"/>
  <c r="AE32" i="5"/>
  <c r="R32" i="5"/>
  <c r="E32" i="5"/>
  <c r="AI68" i="5"/>
  <c r="I68" i="5"/>
  <c r="V68" i="5"/>
  <c r="AE92" i="5"/>
  <c r="R92" i="5"/>
  <c r="E92" i="5"/>
  <c r="AD128" i="5"/>
  <c r="Q128" i="5"/>
  <c r="D128" i="5"/>
  <c r="AE152" i="5"/>
  <c r="E152" i="5"/>
  <c r="R152" i="5"/>
  <c r="N188" i="5"/>
  <c r="AN188" i="5"/>
  <c r="AA188" i="5"/>
  <c r="AE212" i="5"/>
  <c r="R212" i="5"/>
  <c r="E212" i="5"/>
  <c r="AL248" i="5"/>
  <c r="L248" i="5"/>
  <c r="Y248" i="5"/>
  <c r="T284" i="5"/>
  <c r="AG284" i="5"/>
  <c r="G284" i="5"/>
  <c r="AJ308" i="5"/>
  <c r="J308" i="5"/>
  <c r="W308" i="5"/>
  <c r="AI344" i="5"/>
  <c r="I344" i="5"/>
  <c r="V344" i="5"/>
  <c r="AO380" i="5"/>
  <c r="AB380" i="5"/>
  <c r="O380" i="5"/>
  <c r="AM416" i="5"/>
  <c r="Z416" i="5"/>
  <c r="M416" i="5"/>
  <c r="AM464" i="5"/>
  <c r="Z464" i="5"/>
  <c r="M464" i="5"/>
  <c r="AM512" i="5"/>
  <c r="Z512" i="5"/>
  <c r="M512" i="5"/>
  <c r="U120" i="5"/>
  <c r="AH120" i="5"/>
  <c r="H120" i="5"/>
  <c r="Y263" i="5"/>
  <c r="AL263" i="5"/>
  <c r="L263" i="5"/>
  <c r="AG372" i="5"/>
  <c r="G372" i="5"/>
  <c r="T372" i="5"/>
  <c r="AL467" i="5"/>
  <c r="L467" i="5"/>
  <c r="Y467" i="5"/>
  <c r="R491" i="5"/>
  <c r="E491" i="5"/>
  <c r="AE491" i="5"/>
  <c r="AO96" i="5"/>
  <c r="O96" i="5"/>
  <c r="AB96" i="5"/>
  <c r="Q108" i="5"/>
  <c r="AD108" i="5"/>
  <c r="D108" i="5"/>
  <c r="AL131" i="5"/>
  <c r="L131" i="5"/>
  <c r="Y131" i="5"/>
  <c r="AG251" i="5"/>
  <c r="T251" i="5"/>
  <c r="G251" i="5"/>
  <c r="AJ311" i="5"/>
  <c r="W311" i="5"/>
  <c r="J311" i="5"/>
  <c r="AG395" i="5"/>
  <c r="T395" i="5"/>
  <c r="G395" i="5"/>
  <c r="AH251" i="5"/>
  <c r="U251" i="5"/>
  <c r="H251" i="5"/>
  <c r="AE23" i="5"/>
  <c r="R23" i="5"/>
  <c r="E23" i="5"/>
  <c r="AG227" i="5"/>
  <c r="T227" i="5"/>
  <c r="G227" i="5"/>
  <c r="R263" i="5"/>
  <c r="AE263" i="5"/>
  <c r="E263" i="5"/>
  <c r="AK323" i="5"/>
  <c r="K323" i="5"/>
  <c r="X323" i="5"/>
  <c r="N383" i="5"/>
  <c r="AA383" i="5"/>
  <c r="AN383" i="5"/>
  <c r="AF491" i="5"/>
  <c r="S491" i="5"/>
  <c r="F491" i="5"/>
  <c r="AI48" i="5"/>
  <c r="I48" i="5"/>
  <c r="V48" i="5"/>
  <c r="W72" i="5"/>
  <c r="AJ72" i="5"/>
  <c r="J72" i="5"/>
  <c r="AN108" i="5"/>
  <c r="N108" i="5"/>
  <c r="AA108" i="5"/>
  <c r="AG132" i="5"/>
  <c r="G132" i="5"/>
  <c r="T132" i="5"/>
  <c r="AK168" i="5"/>
  <c r="K168" i="5"/>
  <c r="X168" i="5"/>
  <c r="AE192" i="5"/>
  <c r="R192" i="5"/>
  <c r="E192" i="5"/>
  <c r="AI228" i="5"/>
  <c r="V228" i="5"/>
  <c r="I228" i="5"/>
  <c r="AE252" i="5"/>
  <c r="R252" i="5"/>
  <c r="E252" i="5"/>
  <c r="T288" i="5"/>
  <c r="AG288" i="5"/>
  <c r="G288" i="5"/>
  <c r="AD324" i="5"/>
  <c r="Q324" i="5"/>
  <c r="D324" i="5"/>
  <c r="AJ348" i="5"/>
  <c r="J348" i="5"/>
  <c r="W348" i="5"/>
  <c r="AM384" i="5"/>
  <c r="M384" i="5"/>
  <c r="Z384" i="5"/>
  <c r="AM432" i="5"/>
  <c r="Z432" i="5"/>
  <c r="M432" i="5"/>
  <c r="AM480" i="5"/>
  <c r="M480" i="5"/>
  <c r="Z480" i="5"/>
  <c r="AM278" i="5"/>
  <c r="M278" i="5"/>
  <c r="Z278" i="5"/>
  <c r="T505" i="5"/>
  <c r="G505" i="5"/>
  <c r="AG505" i="5"/>
  <c r="AH25" i="5"/>
  <c r="U25" i="5"/>
  <c r="H25" i="5"/>
  <c r="T423" i="5"/>
  <c r="AG423" i="5"/>
  <c r="G423" i="5"/>
  <c r="AE471" i="5"/>
  <c r="R471" i="5"/>
  <c r="E471" i="5"/>
  <c r="I135" i="5"/>
  <c r="AI135" i="5"/>
  <c r="V135" i="5"/>
  <c r="AJ218" i="5"/>
  <c r="W218" i="5"/>
  <c r="J218" i="5"/>
  <c r="L25" i="5"/>
  <c r="Y25" i="5"/>
  <c r="AL25" i="5"/>
  <c r="Y242" i="5"/>
  <c r="AL242" i="5"/>
  <c r="L242" i="5"/>
  <c r="AH14" i="5"/>
  <c r="U14" i="5"/>
  <c r="H14" i="5"/>
  <c r="AH50" i="5"/>
  <c r="H50" i="5"/>
  <c r="U50" i="5"/>
  <c r="AD62" i="5"/>
  <c r="Q62" i="5"/>
  <c r="D62" i="5"/>
  <c r="AE74" i="5"/>
  <c r="R74" i="5"/>
  <c r="E74" i="5"/>
  <c r="AI98" i="5"/>
  <c r="V98" i="5"/>
  <c r="I98" i="5"/>
  <c r="AL110" i="5"/>
  <c r="L110" i="5"/>
  <c r="Y110" i="5"/>
  <c r="N122" i="5"/>
  <c r="AN122" i="5"/>
  <c r="AA122" i="5"/>
  <c r="V134" i="5"/>
  <c r="I134" i="5"/>
  <c r="AI134" i="5"/>
  <c r="AO170" i="5"/>
  <c r="O170" i="5"/>
  <c r="AB170" i="5"/>
  <c r="T182" i="5"/>
  <c r="AG182" i="5"/>
  <c r="G182" i="5"/>
  <c r="AH206" i="5"/>
  <c r="U206" i="5"/>
  <c r="H206" i="5"/>
  <c r="AK230" i="5"/>
  <c r="X230" i="5"/>
  <c r="K230" i="5"/>
  <c r="AD254" i="5"/>
  <c r="D254" i="5"/>
  <c r="Q254" i="5"/>
  <c r="AJ302" i="5"/>
  <c r="W302" i="5"/>
  <c r="J302" i="5"/>
  <c r="AL326" i="5"/>
  <c r="Y326" i="5"/>
  <c r="L326" i="5"/>
  <c r="E350" i="5"/>
  <c r="AE350" i="5"/>
  <c r="R350" i="5"/>
  <c r="AE398" i="5"/>
  <c r="R398" i="5"/>
  <c r="E398" i="5"/>
  <c r="Q422" i="5"/>
  <c r="D422" i="5"/>
  <c r="AD422" i="5"/>
  <c r="AM446" i="5"/>
  <c r="Z446" i="5"/>
  <c r="M446" i="5"/>
  <c r="AO494" i="5"/>
  <c r="AB494" i="5"/>
  <c r="O494" i="5"/>
  <c r="AG27" i="5"/>
  <c r="T27" i="5"/>
  <c r="G27" i="5"/>
  <c r="Q51" i="5"/>
  <c r="AD51" i="5"/>
  <c r="D51" i="5"/>
  <c r="AJ63" i="5"/>
  <c r="J63" i="5"/>
  <c r="W63" i="5"/>
  <c r="AF75" i="5"/>
  <c r="S75" i="5"/>
  <c r="F75" i="5"/>
  <c r="AB87" i="5"/>
  <c r="O87" i="5"/>
  <c r="AO87" i="5"/>
  <c r="AE99" i="5"/>
  <c r="E99" i="5"/>
  <c r="R99" i="5"/>
  <c r="Y123" i="5"/>
  <c r="AL123" i="5"/>
  <c r="L123" i="5"/>
  <c r="AD135" i="5"/>
  <c r="D135" i="5"/>
  <c r="Q135" i="5"/>
  <c r="W147" i="5"/>
  <c r="J147" i="5"/>
  <c r="AJ147" i="5"/>
  <c r="AI159" i="5"/>
  <c r="V159" i="5"/>
  <c r="I159" i="5"/>
  <c r="Q195" i="5"/>
  <c r="AD195" i="5"/>
  <c r="D195" i="5"/>
  <c r="AH207" i="5"/>
  <c r="U207" i="5"/>
  <c r="H207" i="5"/>
  <c r="S219" i="5"/>
  <c r="AF219" i="5"/>
  <c r="F219" i="5"/>
  <c r="U243" i="5"/>
  <c r="AH243" i="5"/>
  <c r="H243" i="5"/>
  <c r="AI255" i="5"/>
  <c r="I255" i="5"/>
  <c r="V255" i="5"/>
  <c r="AL279" i="5"/>
  <c r="Y279" i="5"/>
  <c r="L279" i="5"/>
  <c r="AI303" i="5"/>
  <c r="V303" i="5"/>
  <c r="I303" i="5"/>
  <c r="R327" i="5"/>
  <c r="E327" i="5"/>
  <c r="AE327" i="5"/>
  <c r="AK375" i="5"/>
  <c r="X375" i="5"/>
  <c r="K375" i="5"/>
  <c r="Q399" i="5"/>
  <c r="AD399" i="5"/>
  <c r="D399" i="5"/>
  <c r="N423" i="5"/>
  <c r="AN423" i="5"/>
  <c r="AA423" i="5"/>
  <c r="N459" i="5"/>
  <c r="AN459" i="5"/>
  <c r="AA459" i="5"/>
  <c r="AJ507" i="5"/>
  <c r="J507" i="5"/>
  <c r="W507" i="5"/>
  <c r="AG25" i="5"/>
  <c r="T25" i="5"/>
  <c r="G25" i="5"/>
  <c r="V38" i="5"/>
  <c r="AI38" i="5"/>
  <c r="I38" i="5"/>
  <c r="AI447" i="5"/>
  <c r="V447" i="5"/>
  <c r="I447" i="5"/>
  <c r="AL97" i="5"/>
  <c r="L97" i="5"/>
  <c r="Y97" i="5"/>
  <c r="Z135" i="5"/>
  <c r="AM135" i="5"/>
  <c r="M135" i="5"/>
  <c r="Y291" i="5"/>
  <c r="AL291" i="5"/>
  <c r="L291" i="5"/>
  <c r="Z86" i="5"/>
  <c r="M86" i="5"/>
  <c r="AM86" i="5"/>
  <c r="U446" i="5"/>
  <c r="AH446" i="5"/>
  <c r="H446" i="5"/>
  <c r="V337" i="5"/>
  <c r="AI337" i="5"/>
  <c r="I337" i="5"/>
  <c r="N13" i="5"/>
  <c r="AN13" i="5"/>
  <c r="AA13" i="5"/>
  <c r="AD49" i="5"/>
  <c r="Q49" i="5"/>
  <c r="D49" i="5"/>
  <c r="S73" i="5"/>
  <c r="F73" i="5"/>
  <c r="AF73" i="5"/>
  <c r="AO85" i="5"/>
  <c r="AB85" i="5"/>
  <c r="O85" i="5"/>
  <c r="AO97" i="5"/>
  <c r="O97" i="5"/>
  <c r="AB97" i="5"/>
  <c r="V109" i="5"/>
  <c r="AI109" i="5"/>
  <c r="I109" i="5"/>
  <c r="AI121" i="5"/>
  <c r="V121" i="5"/>
  <c r="I121" i="5"/>
  <c r="U133" i="5"/>
  <c r="AH133" i="5"/>
  <c r="H133" i="5"/>
  <c r="Q145" i="5"/>
  <c r="D145" i="5"/>
  <c r="AD145" i="5"/>
  <c r="R157" i="5"/>
  <c r="AE157" i="5"/>
  <c r="E157" i="5"/>
  <c r="R169" i="5"/>
  <c r="AE169" i="5"/>
  <c r="E169" i="5"/>
  <c r="AM193" i="5"/>
  <c r="Z193" i="5"/>
  <c r="M193" i="5"/>
  <c r="AJ205" i="5"/>
  <c r="J205" i="5"/>
  <c r="W205" i="5"/>
  <c r="AI217" i="5"/>
  <c r="V217" i="5"/>
  <c r="I217" i="5"/>
  <c r="AJ229" i="5"/>
  <c r="W229" i="5"/>
  <c r="J229" i="5"/>
  <c r="S241" i="5"/>
  <c r="AF241" i="5"/>
  <c r="F241" i="5"/>
  <c r="AI265" i="5"/>
  <c r="V265" i="5"/>
  <c r="I265" i="5"/>
  <c r="Z277" i="5"/>
  <c r="AM277" i="5"/>
  <c r="M277" i="5"/>
  <c r="V289" i="5"/>
  <c r="AI289" i="5"/>
  <c r="I289" i="5"/>
  <c r="S301" i="5"/>
  <c r="F301" i="5"/>
  <c r="AF301" i="5"/>
  <c r="Q313" i="5"/>
  <c r="AD313" i="5"/>
  <c r="D313" i="5"/>
  <c r="Z325" i="5"/>
  <c r="AM325" i="5"/>
  <c r="M325" i="5"/>
  <c r="S349" i="5"/>
  <c r="AF349" i="5"/>
  <c r="F349" i="5"/>
  <c r="AM361" i="5"/>
  <c r="M361" i="5"/>
  <c r="Z361" i="5"/>
  <c r="AL373" i="5"/>
  <c r="Y373" i="5"/>
  <c r="L373" i="5"/>
  <c r="V385" i="5"/>
  <c r="I385" i="5"/>
  <c r="AI385" i="5"/>
  <c r="X397" i="5"/>
  <c r="AK397" i="5"/>
  <c r="K397" i="5"/>
  <c r="AE409" i="5"/>
  <c r="R409" i="5"/>
  <c r="E409" i="5"/>
  <c r="AF421" i="5"/>
  <c r="S421" i="5"/>
  <c r="F421" i="5"/>
  <c r="N433" i="5"/>
  <c r="AA433" i="5"/>
  <c r="AN433" i="5"/>
  <c r="AL457" i="5"/>
  <c r="Y457" i="5"/>
  <c r="L457" i="5"/>
  <c r="AF469" i="5"/>
  <c r="S469" i="5"/>
  <c r="F469" i="5"/>
  <c r="N481" i="5"/>
  <c r="AN481" i="5"/>
  <c r="AA481" i="5"/>
  <c r="AM493" i="5"/>
  <c r="Z493" i="5"/>
  <c r="M493" i="5"/>
  <c r="Y26" i="5"/>
  <c r="AL26" i="5"/>
  <c r="L26" i="5"/>
  <c r="R146" i="5"/>
  <c r="AE146" i="5"/>
  <c r="E146" i="5"/>
  <c r="R194" i="5"/>
  <c r="AE194" i="5"/>
  <c r="E194" i="5"/>
  <c r="AD242" i="5"/>
  <c r="Q242" i="5"/>
  <c r="D242" i="5"/>
  <c r="Q266" i="5"/>
  <c r="D266" i="5"/>
  <c r="AD266" i="5"/>
  <c r="AI290" i="5"/>
  <c r="I290" i="5"/>
  <c r="V290" i="5"/>
  <c r="AI314" i="5"/>
  <c r="V314" i="5"/>
  <c r="I314" i="5"/>
  <c r="N338" i="5"/>
  <c r="AN338" i="5"/>
  <c r="AA338" i="5"/>
  <c r="R362" i="5"/>
  <c r="AE362" i="5"/>
  <c r="E362" i="5"/>
  <c r="AG410" i="5"/>
  <c r="T410" i="5"/>
  <c r="G410" i="5"/>
  <c r="W434" i="5"/>
  <c r="J434" i="5"/>
  <c r="AJ434" i="5"/>
  <c r="AM458" i="5"/>
  <c r="Z458" i="5"/>
  <c r="M458" i="5"/>
  <c r="AE506" i="5"/>
  <c r="E506" i="5"/>
  <c r="R506" i="5"/>
  <c r="AH183" i="5"/>
  <c r="U183" i="5"/>
  <c r="H183" i="5"/>
  <c r="AD231" i="5"/>
  <c r="Q231" i="5"/>
  <c r="D231" i="5"/>
  <c r="Q267" i="5"/>
  <c r="AD267" i="5"/>
  <c r="D267" i="5"/>
  <c r="AK291" i="5"/>
  <c r="X291" i="5"/>
  <c r="K291" i="5"/>
  <c r="AH339" i="5"/>
  <c r="U339" i="5"/>
  <c r="H339" i="5"/>
  <c r="U363" i="5"/>
  <c r="H363" i="5"/>
  <c r="AH363" i="5"/>
  <c r="Y387" i="5"/>
  <c r="AL387" i="5"/>
  <c r="L387" i="5"/>
  <c r="Q411" i="5"/>
  <c r="D411" i="5"/>
  <c r="AD411" i="5"/>
  <c r="L471" i="5"/>
  <c r="AL471" i="5"/>
  <c r="Y471" i="5"/>
  <c r="AE495" i="5"/>
  <c r="R495" i="5"/>
  <c r="E495" i="5"/>
  <c r="AM6" i="5"/>
  <c r="Z6" i="5"/>
  <c r="M6" i="5"/>
  <c r="Z118" i="5"/>
  <c r="AM118" i="5"/>
  <c r="M118" i="5"/>
  <c r="AG142" i="5"/>
  <c r="T142" i="5"/>
  <c r="G142" i="5"/>
  <c r="AJ226" i="5"/>
  <c r="W226" i="5"/>
  <c r="J226" i="5"/>
  <c r="AF450" i="5"/>
  <c r="S450" i="5"/>
  <c r="F450" i="5"/>
  <c r="AF474" i="5"/>
  <c r="F474" i="5"/>
  <c r="S474" i="5"/>
  <c r="AH107" i="5"/>
  <c r="U107" i="5"/>
  <c r="H107" i="5"/>
  <c r="AK132" i="5"/>
  <c r="K132" i="5"/>
  <c r="X132" i="5"/>
  <c r="AD167" i="5"/>
  <c r="Q167" i="5"/>
  <c r="D167" i="5"/>
  <c r="AH235" i="5"/>
  <c r="H235" i="5"/>
  <c r="U235" i="5"/>
  <c r="AF308" i="5"/>
  <c r="S308" i="5"/>
  <c r="F308" i="5"/>
  <c r="S336" i="5"/>
  <c r="AF336" i="5"/>
  <c r="F336" i="5"/>
  <c r="AK404" i="5"/>
  <c r="X404" i="5"/>
  <c r="K404" i="5"/>
  <c r="AJ43" i="5"/>
  <c r="W43" i="5"/>
  <c r="J43" i="5"/>
  <c r="AB83" i="5"/>
  <c r="O83" i="5"/>
  <c r="AO83" i="5"/>
  <c r="AD131" i="5"/>
  <c r="Q131" i="5"/>
  <c r="D131" i="5"/>
  <c r="M271" i="5"/>
  <c r="Z271" i="5"/>
  <c r="AM271" i="5"/>
  <c r="AO431" i="5"/>
  <c r="AB431" i="5"/>
  <c r="O431" i="5"/>
  <c r="AE31" i="5"/>
  <c r="R31" i="5"/>
  <c r="E31" i="5"/>
  <c r="AG67" i="5"/>
  <c r="G67" i="5"/>
  <c r="T67" i="5"/>
  <c r="AE91" i="5"/>
  <c r="E91" i="5"/>
  <c r="R91" i="5"/>
  <c r="AD127" i="5"/>
  <c r="Q127" i="5"/>
  <c r="D127" i="5"/>
  <c r="AE151" i="5"/>
  <c r="E151" i="5"/>
  <c r="R151" i="5"/>
  <c r="N187" i="5"/>
  <c r="AN187" i="5"/>
  <c r="AA187" i="5"/>
  <c r="R211" i="5"/>
  <c r="AE211" i="5"/>
  <c r="E211" i="5"/>
  <c r="AJ247" i="5"/>
  <c r="W247" i="5"/>
  <c r="J247" i="5"/>
  <c r="AF283" i="5"/>
  <c r="S283" i="5"/>
  <c r="F283" i="5"/>
  <c r="I307" i="5"/>
  <c r="AI307" i="5"/>
  <c r="V307" i="5"/>
  <c r="U343" i="5"/>
  <c r="H343" i="5"/>
  <c r="AH343" i="5"/>
  <c r="N379" i="5"/>
  <c r="AN379" i="5"/>
  <c r="AA379" i="5"/>
  <c r="AM415" i="5"/>
  <c r="Z415" i="5"/>
  <c r="M415" i="5"/>
  <c r="AM463" i="5"/>
  <c r="Z463" i="5"/>
  <c r="M463" i="5"/>
  <c r="M511" i="5"/>
  <c r="Z511" i="5"/>
  <c r="AM511" i="5"/>
  <c r="AG24" i="5"/>
  <c r="T24" i="5"/>
  <c r="G24" i="5"/>
  <c r="AI332" i="5"/>
  <c r="I332" i="5"/>
  <c r="V332" i="5"/>
  <c r="K419" i="5"/>
  <c r="AK419" i="5"/>
  <c r="X419" i="5"/>
  <c r="Q464" i="5"/>
  <c r="AD464" i="5"/>
  <c r="D464" i="5"/>
  <c r="AL8" i="5"/>
  <c r="L8" i="5"/>
  <c r="Y8" i="5"/>
  <c r="AB107" i="5"/>
  <c r="AO107" i="5"/>
  <c r="O107" i="5"/>
  <c r="AI492" i="5"/>
  <c r="V492" i="5"/>
  <c r="I492" i="5"/>
  <c r="AH48" i="5"/>
  <c r="U48" i="5"/>
  <c r="H48" i="5"/>
  <c r="AD23" i="5"/>
  <c r="D23" i="5"/>
  <c r="Q23" i="5"/>
  <c r="AJ48" i="5"/>
  <c r="J48" i="5"/>
  <c r="W48" i="5"/>
  <c r="K84" i="5"/>
  <c r="AK84" i="5"/>
  <c r="X84" i="5"/>
  <c r="AL11" i="5"/>
  <c r="Y11" i="5"/>
  <c r="L11" i="5"/>
  <c r="Z59" i="5"/>
  <c r="M59" i="5"/>
  <c r="AM59" i="5"/>
  <c r="AF83" i="5"/>
  <c r="S83" i="5"/>
  <c r="F83" i="5"/>
  <c r="J119" i="5"/>
  <c r="AJ119" i="5"/>
  <c r="W119" i="5"/>
  <c r="AE143" i="5"/>
  <c r="R143" i="5"/>
  <c r="E143" i="5"/>
  <c r="Q191" i="5"/>
  <c r="D191" i="5"/>
  <c r="AD191" i="5"/>
  <c r="AE251" i="5"/>
  <c r="R251" i="5"/>
  <c r="E251" i="5"/>
  <c r="AH347" i="5"/>
  <c r="H347" i="5"/>
  <c r="U347" i="5"/>
  <c r="M419" i="5"/>
  <c r="AM419" i="5"/>
  <c r="Z419" i="5"/>
  <c r="M503" i="5"/>
  <c r="AM503" i="5"/>
  <c r="Z503" i="5"/>
  <c r="AN24" i="5"/>
  <c r="N24" i="5"/>
  <c r="AA24" i="5"/>
  <c r="X32" i="5"/>
  <c r="K32" i="5"/>
  <c r="AK32" i="5"/>
  <c r="AM260" i="5"/>
  <c r="Z260" i="5"/>
  <c r="M260" i="5"/>
  <c r="AI284" i="5"/>
  <c r="V284" i="5"/>
  <c r="I284" i="5"/>
  <c r="V60" i="5"/>
  <c r="AI60" i="5"/>
  <c r="I60" i="5"/>
  <c r="AI188" i="5"/>
  <c r="V188" i="5"/>
  <c r="I188" i="5"/>
  <c r="AI252" i="5"/>
  <c r="I252" i="5"/>
  <c r="V252" i="5"/>
  <c r="Y312" i="5"/>
  <c r="AL312" i="5"/>
  <c r="L312" i="5"/>
  <c r="AO367" i="5"/>
  <c r="AB367" i="5"/>
  <c r="O367" i="5"/>
  <c r="AO420" i="5"/>
  <c r="O420" i="5"/>
  <c r="AB420" i="5"/>
  <c r="J440" i="5"/>
  <c r="AJ440" i="5"/>
  <c r="W440" i="5"/>
  <c r="AG19" i="5"/>
  <c r="T19" i="5"/>
  <c r="G19" i="5"/>
  <c r="Z347" i="5"/>
  <c r="M347" i="5"/>
  <c r="AM347" i="5"/>
  <c r="AF44" i="5"/>
  <c r="S44" i="5"/>
  <c r="F44" i="5"/>
  <c r="AH68" i="5"/>
  <c r="U68" i="5"/>
  <c r="H68" i="5"/>
  <c r="AO104" i="5"/>
  <c r="AB104" i="5"/>
  <c r="O104" i="5"/>
  <c r="AF128" i="5"/>
  <c r="S128" i="5"/>
  <c r="F128" i="5"/>
  <c r="AL164" i="5"/>
  <c r="L164" i="5"/>
  <c r="Y164" i="5"/>
  <c r="AM188" i="5"/>
  <c r="Z188" i="5"/>
  <c r="M188" i="5"/>
  <c r="AI224" i="5"/>
  <c r="V224" i="5"/>
  <c r="I224" i="5"/>
  <c r="AJ248" i="5"/>
  <c r="J248" i="5"/>
  <c r="W248" i="5"/>
  <c r="AO284" i="5"/>
  <c r="AB284" i="5"/>
  <c r="O284" i="5"/>
  <c r="AE308" i="5"/>
  <c r="R308" i="5"/>
  <c r="E308" i="5"/>
  <c r="Q344" i="5"/>
  <c r="AD344" i="5"/>
  <c r="D344" i="5"/>
  <c r="X380" i="5"/>
  <c r="AK380" i="5"/>
  <c r="K380" i="5"/>
  <c r="AF428" i="5"/>
  <c r="S428" i="5"/>
  <c r="F428" i="5"/>
  <c r="S476" i="5"/>
  <c r="AF476" i="5"/>
  <c r="F476" i="5"/>
  <c r="Y252" i="5"/>
  <c r="AL252" i="5"/>
  <c r="L252" i="5"/>
  <c r="AJ396" i="5"/>
  <c r="W396" i="5"/>
  <c r="J396" i="5"/>
  <c r="AJ492" i="5"/>
  <c r="W492" i="5"/>
  <c r="J492" i="5"/>
  <c r="Y360" i="5"/>
  <c r="AL360" i="5"/>
  <c r="L360" i="5"/>
  <c r="X407" i="5"/>
  <c r="AK407" i="5"/>
  <c r="K407" i="5"/>
  <c r="AN167" i="5"/>
  <c r="N167" i="5"/>
  <c r="AA167" i="5"/>
  <c r="AH227" i="5"/>
  <c r="U227" i="5"/>
  <c r="H227" i="5"/>
  <c r="AJ287" i="5"/>
  <c r="W287" i="5"/>
  <c r="J287" i="5"/>
  <c r="AE323" i="5"/>
  <c r="R323" i="5"/>
  <c r="E323" i="5"/>
  <c r="M383" i="5"/>
  <c r="AM383" i="5"/>
  <c r="Z383" i="5"/>
  <c r="AN491" i="5"/>
  <c r="AA491" i="5"/>
  <c r="N491" i="5"/>
  <c r="Q168" i="5"/>
  <c r="D168" i="5"/>
  <c r="AD168" i="5"/>
  <c r="F348" i="5"/>
  <c r="S348" i="5"/>
  <c r="AF348" i="5"/>
  <c r="V384" i="5"/>
  <c r="I384" i="5"/>
  <c r="AI384" i="5"/>
  <c r="L396" i="5"/>
  <c r="AL396" i="5"/>
  <c r="Y396" i="5"/>
  <c r="AD48" i="5"/>
  <c r="Q48" i="5"/>
  <c r="D48" i="5"/>
  <c r="AE72" i="5"/>
  <c r="R72" i="5"/>
  <c r="E72" i="5"/>
  <c r="AO108" i="5"/>
  <c r="AB108" i="5"/>
  <c r="O108" i="5"/>
  <c r="R132" i="5"/>
  <c r="E132" i="5"/>
  <c r="AE132" i="5"/>
  <c r="AL168" i="5"/>
  <c r="Y168" i="5"/>
  <c r="L168" i="5"/>
  <c r="S204" i="5"/>
  <c r="AF204" i="5"/>
  <c r="F204" i="5"/>
  <c r="U228" i="5"/>
  <c r="H228" i="5"/>
  <c r="AH228" i="5"/>
  <c r="O264" i="5"/>
  <c r="AB264" i="5"/>
  <c r="AO264" i="5"/>
  <c r="H288" i="5"/>
  <c r="AH288" i="5"/>
  <c r="U288" i="5"/>
  <c r="AN324" i="5"/>
  <c r="N324" i="5"/>
  <c r="AA324" i="5"/>
  <c r="AH348" i="5"/>
  <c r="H348" i="5"/>
  <c r="U348" i="5"/>
  <c r="S396" i="5"/>
  <c r="F396" i="5"/>
  <c r="AF396" i="5"/>
  <c r="S444" i="5"/>
  <c r="F444" i="5"/>
  <c r="AF444" i="5"/>
  <c r="AF492" i="5"/>
  <c r="S492" i="5"/>
  <c r="F492" i="5"/>
  <c r="N37" i="5"/>
  <c r="AN37" i="5"/>
  <c r="AA37" i="5"/>
  <c r="AK157" i="5"/>
  <c r="K157" i="5"/>
  <c r="X157" i="5"/>
  <c r="U231" i="5"/>
  <c r="AH231" i="5"/>
  <c r="H231" i="5"/>
  <c r="AH374" i="5"/>
  <c r="H374" i="5"/>
  <c r="U374" i="5"/>
  <c r="AM25" i="5"/>
  <c r="Z25" i="5"/>
  <c r="M25" i="5"/>
  <c r="AD14" i="5"/>
  <c r="D14" i="5"/>
  <c r="Q14" i="5"/>
  <c r="S50" i="5"/>
  <c r="AF50" i="5"/>
  <c r="F50" i="5"/>
  <c r="AO62" i="5"/>
  <c r="AB62" i="5"/>
  <c r="O62" i="5"/>
  <c r="S86" i="5"/>
  <c r="F86" i="5"/>
  <c r="AF86" i="5"/>
  <c r="AD98" i="5"/>
  <c r="Q98" i="5"/>
  <c r="D98" i="5"/>
  <c r="AK110" i="5"/>
  <c r="X110" i="5"/>
  <c r="K110" i="5"/>
  <c r="AL122" i="5"/>
  <c r="L122" i="5"/>
  <c r="Y122" i="5"/>
  <c r="AE134" i="5"/>
  <c r="R134" i="5"/>
  <c r="E134" i="5"/>
  <c r="AJ170" i="5"/>
  <c r="W170" i="5"/>
  <c r="J170" i="5"/>
  <c r="S182" i="5"/>
  <c r="F182" i="5"/>
  <c r="AF182" i="5"/>
  <c r="AD206" i="5"/>
  <c r="D206" i="5"/>
  <c r="Q206" i="5"/>
  <c r="AJ230" i="5"/>
  <c r="W230" i="5"/>
  <c r="J230" i="5"/>
  <c r="AO254" i="5"/>
  <c r="AB254" i="5"/>
  <c r="O254" i="5"/>
  <c r="V302" i="5"/>
  <c r="AI302" i="5"/>
  <c r="I302" i="5"/>
  <c r="T326" i="5"/>
  <c r="AG326" i="5"/>
  <c r="G326" i="5"/>
  <c r="AB374" i="5"/>
  <c r="AO374" i="5"/>
  <c r="O374" i="5"/>
  <c r="AK398" i="5"/>
  <c r="X398" i="5"/>
  <c r="K398" i="5"/>
  <c r="AF422" i="5"/>
  <c r="F422" i="5"/>
  <c r="S422" i="5"/>
  <c r="U470" i="5"/>
  <c r="AH470" i="5"/>
  <c r="H470" i="5"/>
  <c r="Y494" i="5"/>
  <c r="AL494" i="5"/>
  <c r="L494" i="5"/>
  <c r="AF27" i="5"/>
  <c r="S27" i="5"/>
  <c r="F27" i="5"/>
  <c r="AL51" i="5"/>
  <c r="Y51" i="5"/>
  <c r="L51" i="5"/>
  <c r="AI63" i="5"/>
  <c r="V63" i="5"/>
  <c r="I63" i="5"/>
  <c r="N75" i="5"/>
  <c r="AN75" i="5"/>
  <c r="AA75" i="5"/>
  <c r="AL87" i="5"/>
  <c r="Y87" i="5"/>
  <c r="L87" i="5"/>
  <c r="AN111" i="5"/>
  <c r="N111" i="5"/>
  <c r="AA111" i="5"/>
  <c r="W123" i="5"/>
  <c r="AJ123" i="5"/>
  <c r="J123" i="5"/>
  <c r="AN135" i="5"/>
  <c r="N135" i="5"/>
  <c r="AA135" i="5"/>
  <c r="AL147" i="5"/>
  <c r="L147" i="5"/>
  <c r="Y147" i="5"/>
  <c r="S159" i="5"/>
  <c r="AF159" i="5"/>
  <c r="F159" i="5"/>
  <c r="AO195" i="5"/>
  <c r="O195" i="5"/>
  <c r="AB195" i="5"/>
  <c r="AI207" i="5"/>
  <c r="I207" i="5"/>
  <c r="V207" i="5"/>
  <c r="N219" i="5"/>
  <c r="AA219" i="5"/>
  <c r="AN219" i="5"/>
  <c r="AI243" i="5"/>
  <c r="I243" i="5"/>
  <c r="V243" i="5"/>
  <c r="S255" i="5"/>
  <c r="F255" i="5"/>
  <c r="AF255" i="5"/>
  <c r="AK279" i="5"/>
  <c r="X279" i="5"/>
  <c r="K279" i="5"/>
  <c r="AG303" i="5"/>
  <c r="T303" i="5"/>
  <c r="G303" i="5"/>
  <c r="AO351" i="5"/>
  <c r="AB351" i="5"/>
  <c r="O351" i="5"/>
  <c r="AJ375" i="5"/>
  <c r="W375" i="5"/>
  <c r="J375" i="5"/>
  <c r="AG399" i="5"/>
  <c r="G399" i="5"/>
  <c r="T399" i="5"/>
  <c r="AM423" i="5"/>
  <c r="Z423" i="5"/>
  <c r="M423" i="5"/>
  <c r="M459" i="5"/>
  <c r="Z459" i="5"/>
  <c r="AM459" i="5"/>
  <c r="AI507" i="5"/>
  <c r="V507" i="5"/>
  <c r="I507" i="5"/>
  <c r="AO73" i="5"/>
  <c r="AB73" i="5"/>
  <c r="O73" i="5"/>
  <c r="T217" i="5"/>
  <c r="AG217" i="5"/>
  <c r="G217" i="5"/>
  <c r="AK458" i="5"/>
  <c r="K458" i="5"/>
  <c r="X458" i="5"/>
  <c r="AL37" i="5"/>
  <c r="L37" i="5"/>
  <c r="Y37" i="5"/>
  <c r="AE38" i="5"/>
  <c r="E38" i="5"/>
  <c r="R38" i="5"/>
  <c r="AH447" i="5"/>
  <c r="U447" i="5"/>
  <c r="H447" i="5"/>
  <c r="AK315" i="5"/>
  <c r="K315" i="5"/>
  <c r="X315" i="5"/>
  <c r="AO506" i="5"/>
  <c r="AB506" i="5"/>
  <c r="O506" i="5"/>
  <c r="AO411" i="5"/>
  <c r="O411" i="5"/>
  <c r="AB411" i="5"/>
  <c r="AL193" i="5"/>
  <c r="L193" i="5"/>
  <c r="Y193" i="5"/>
  <c r="AE13" i="5"/>
  <c r="R13" i="5"/>
  <c r="E13" i="5"/>
  <c r="AE49" i="5"/>
  <c r="R49" i="5"/>
  <c r="E49" i="5"/>
  <c r="AD73" i="5"/>
  <c r="Q73" i="5"/>
  <c r="D73" i="5"/>
  <c r="N85" i="5"/>
  <c r="AN85" i="5"/>
  <c r="AA85" i="5"/>
  <c r="W97" i="5"/>
  <c r="AJ97" i="5"/>
  <c r="J97" i="5"/>
  <c r="D109" i="5"/>
  <c r="AD109" i="5"/>
  <c r="Q109" i="5"/>
  <c r="AM121" i="5"/>
  <c r="Z121" i="5"/>
  <c r="M121" i="5"/>
  <c r="R133" i="5"/>
  <c r="AE133" i="5"/>
  <c r="E133" i="5"/>
  <c r="AE145" i="5"/>
  <c r="R145" i="5"/>
  <c r="E145" i="5"/>
  <c r="AO169" i="5"/>
  <c r="O169" i="5"/>
  <c r="AB169" i="5"/>
  <c r="AB181" i="5"/>
  <c r="AO181" i="5"/>
  <c r="O181" i="5"/>
  <c r="AI193" i="5"/>
  <c r="I193" i="5"/>
  <c r="V193" i="5"/>
  <c r="AH205" i="5"/>
  <c r="U205" i="5"/>
  <c r="H205" i="5"/>
  <c r="Y217" i="5"/>
  <c r="AL217" i="5"/>
  <c r="L217" i="5"/>
  <c r="U229" i="5"/>
  <c r="H229" i="5"/>
  <c r="AH229" i="5"/>
  <c r="Q241" i="5"/>
  <c r="AD241" i="5"/>
  <c r="D241" i="5"/>
  <c r="AH265" i="5"/>
  <c r="U265" i="5"/>
  <c r="H265" i="5"/>
  <c r="AH277" i="5"/>
  <c r="H277" i="5"/>
  <c r="U277" i="5"/>
  <c r="U289" i="5"/>
  <c r="AH289" i="5"/>
  <c r="H289" i="5"/>
  <c r="T301" i="5"/>
  <c r="AG301" i="5"/>
  <c r="G301" i="5"/>
  <c r="AB313" i="5"/>
  <c r="AO313" i="5"/>
  <c r="O313" i="5"/>
  <c r="AE325" i="5"/>
  <c r="R325" i="5"/>
  <c r="E325" i="5"/>
  <c r="Q349" i="5"/>
  <c r="AD349" i="5"/>
  <c r="D349" i="5"/>
  <c r="K361" i="5"/>
  <c r="X361" i="5"/>
  <c r="AK361" i="5"/>
  <c r="AK373" i="5"/>
  <c r="X373" i="5"/>
  <c r="K373" i="5"/>
  <c r="U385" i="5"/>
  <c r="AH385" i="5"/>
  <c r="H385" i="5"/>
  <c r="AJ397" i="5"/>
  <c r="J397" i="5"/>
  <c r="W397" i="5"/>
  <c r="AK409" i="5"/>
  <c r="X409" i="5"/>
  <c r="K409" i="5"/>
  <c r="N421" i="5"/>
  <c r="AA421" i="5"/>
  <c r="AN421" i="5"/>
  <c r="AM433" i="5"/>
  <c r="M433" i="5"/>
  <c r="Z433" i="5"/>
  <c r="Q457" i="5"/>
  <c r="AD457" i="5"/>
  <c r="D457" i="5"/>
  <c r="N469" i="5"/>
  <c r="AN469" i="5"/>
  <c r="AA469" i="5"/>
  <c r="AM481" i="5"/>
  <c r="Z481" i="5"/>
  <c r="M481" i="5"/>
  <c r="W505" i="5"/>
  <c r="AJ505" i="5"/>
  <c r="J505" i="5"/>
  <c r="AE26" i="5"/>
  <c r="R26" i="5"/>
  <c r="E26" i="5"/>
  <c r="AO194" i="5"/>
  <c r="AB194" i="5"/>
  <c r="O194" i="5"/>
  <c r="AB218" i="5"/>
  <c r="AO218" i="5"/>
  <c r="O218" i="5"/>
  <c r="N242" i="5"/>
  <c r="AN242" i="5"/>
  <c r="AA242" i="5"/>
  <c r="N266" i="5"/>
  <c r="AN266" i="5"/>
  <c r="AA266" i="5"/>
  <c r="AJ290" i="5"/>
  <c r="W290" i="5"/>
  <c r="J290" i="5"/>
  <c r="Q314" i="5"/>
  <c r="D314" i="5"/>
  <c r="AD314" i="5"/>
  <c r="Y338" i="5"/>
  <c r="AL338" i="5"/>
  <c r="L338" i="5"/>
  <c r="AO386" i="5"/>
  <c r="AB386" i="5"/>
  <c r="O386" i="5"/>
  <c r="R410" i="5"/>
  <c r="AE410" i="5"/>
  <c r="E410" i="5"/>
  <c r="AH434" i="5"/>
  <c r="U434" i="5"/>
  <c r="H434" i="5"/>
  <c r="J482" i="5"/>
  <c r="W482" i="5"/>
  <c r="AJ482" i="5"/>
  <c r="AI506" i="5"/>
  <c r="V506" i="5"/>
  <c r="I506" i="5"/>
  <c r="S183" i="5"/>
  <c r="AF183" i="5"/>
  <c r="F183" i="5"/>
  <c r="S231" i="5"/>
  <c r="AF231" i="5"/>
  <c r="F231" i="5"/>
  <c r="U267" i="5"/>
  <c r="AH267" i="5"/>
  <c r="H267" i="5"/>
  <c r="AJ291" i="5"/>
  <c r="W291" i="5"/>
  <c r="J291" i="5"/>
  <c r="AL339" i="5"/>
  <c r="L339" i="5"/>
  <c r="Y339" i="5"/>
  <c r="AG363" i="5"/>
  <c r="T363" i="5"/>
  <c r="G363" i="5"/>
  <c r="AK387" i="5"/>
  <c r="K387" i="5"/>
  <c r="X387" i="5"/>
  <c r="S411" i="5"/>
  <c r="F411" i="5"/>
  <c r="AF411" i="5"/>
  <c r="V471" i="5"/>
  <c r="AI471" i="5"/>
  <c r="I471" i="5"/>
  <c r="Q495" i="5"/>
  <c r="AD495" i="5"/>
  <c r="D495" i="5"/>
  <c r="AM145" i="5"/>
  <c r="M145" i="5"/>
  <c r="Z145" i="5"/>
  <c r="AH157" i="5"/>
  <c r="U157" i="5"/>
  <c r="H157" i="5"/>
  <c r="AG169" i="5"/>
  <c r="G169" i="5"/>
  <c r="T169" i="5"/>
  <c r="N181" i="5"/>
  <c r="AN181" i="5"/>
  <c r="AA181" i="5"/>
  <c r="AJ193" i="5"/>
  <c r="J193" i="5"/>
  <c r="W193" i="5"/>
  <c r="AD205" i="5"/>
  <c r="Q205" i="5"/>
  <c r="D205" i="5"/>
  <c r="AE217" i="5"/>
  <c r="R217" i="5"/>
  <c r="E217" i="5"/>
  <c r="N241" i="5"/>
  <c r="AA241" i="5"/>
  <c r="AN241" i="5"/>
  <c r="AD253" i="5"/>
  <c r="Q253" i="5"/>
  <c r="D253" i="5"/>
  <c r="S265" i="5"/>
  <c r="AF265" i="5"/>
  <c r="F265" i="5"/>
  <c r="AJ277" i="5"/>
  <c r="J277" i="5"/>
  <c r="W277" i="5"/>
  <c r="AH301" i="5"/>
  <c r="H301" i="5"/>
  <c r="U301" i="5"/>
  <c r="N313" i="5"/>
  <c r="AN313" i="5"/>
  <c r="AA313" i="5"/>
  <c r="AK325" i="5"/>
  <c r="X325" i="5"/>
  <c r="K325" i="5"/>
  <c r="AO337" i="5"/>
  <c r="O337" i="5"/>
  <c r="AB337" i="5"/>
  <c r="AH349" i="5"/>
  <c r="U349" i="5"/>
  <c r="H349" i="5"/>
  <c r="AI361" i="5"/>
  <c r="V361" i="5"/>
  <c r="I361" i="5"/>
  <c r="T373" i="5"/>
  <c r="G373" i="5"/>
  <c r="AG373" i="5"/>
  <c r="Q385" i="5"/>
  <c r="AD385" i="5"/>
  <c r="D385" i="5"/>
  <c r="S397" i="5"/>
  <c r="AF397" i="5"/>
  <c r="F397" i="5"/>
  <c r="M409" i="5"/>
  <c r="AM409" i="5"/>
  <c r="Z409" i="5"/>
  <c r="AK433" i="5"/>
  <c r="X433" i="5"/>
  <c r="K433" i="5"/>
  <c r="AI445" i="5"/>
  <c r="V445" i="5"/>
  <c r="I445" i="5"/>
  <c r="AF457" i="5"/>
  <c r="S457" i="5"/>
  <c r="F457" i="5"/>
  <c r="X481" i="5"/>
  <c r="AK481" i="5"/>
  <c r="K481" i="5"/>
  <c r="AL493" i="5"/>
  <c r="Y493" i="5"/>
  <c r="L493" i="5"/>
  <c r="Y505" i="5"/>
  <c r="AL505" i="5"/>
  <c r="L505" i="5"/>
  <c r="AJ26" i="5"/>
  <c r="W26" i="5"/>
  <c r="J26" i="5"/>
  <c r="AJ146" i="5"/>
  <c r="W146" i="5"/>
  <c r="J146" i="5"/>
  <c r="I194" i="5"/>
  <c r="V194" i="5"/>
  <c r="AI194" i="5"/>
  <c r="AH218" i="5"/>
  <c r="U218" i="5"/>
  <c r="H218" i="5"/>
  <c r="U242" i="5"/>
  <c r="AH242" i="5"/>
  <c r="H242" i="5"/>
  <c r="AE266" i="5"/>
  <c r="R266" i="5"/>
  <c r="E266" i="5"/>
  <c r="AB314" i="5"/>
  <c r="AO314" i="5"/>
  <c r="O314" i="5"/>
  <c r="X338" i="5"/>
  <c r="AK338" i="5"/>
  <c r="K338" i="5"/>
  <c r="T362" i="5"/>
  <c r="AG362" i="5"/>
  <c r="G362" i="5"/>
  <c r="I386" i="5"/>
  <c r="V386" i="5"/>
  <c r="AI386" i="5"/>
  <c r="N410" i="5"/>
  <c r="AN410" i="5"/>
  <c r="AA410" i="5"/>
  <c r="Z434" i="5"/>
  <c r="AM434" i="5"/>
  <c r="M434" i="5"/>
  <c r="AL482" i="5"/>
  <c r="Y482" i="5"/>
  <c r="L482" i="5"/>
  <c r="AA506" i="5"/>
  <c r="AN506" i="5"/>
  <c r="N506" i="5"/>
  <c r="AK15" i="5"/>
  <c r="X15" i="5"/>
  <c r="K15" i="5"/>
  <c r="AG183" i="5"/>
  <c r="G183" i="5"/>
  <c r="T183" i="5"/>
  <c r="AK231" i="5"/>
  <c r="X231" i="5"/>
  <c r="K231" i="5"/>
  <c r="AO267" i="5"/>
  <c r="AB267" i="5"/>
  <c r="O267" i="5"/>
  <c r="AO315" i="5"/>
  <c r="AB315" i="5"/>
  <c r="O315" i="5"/>
  <c r="AI339" i="5"/>
  <c r="V339" i="5"/>
  <c r="I339" i="5"/>
  <c r="N363" i="5"/>
  <c r="AN363" i="5"/>
  <c r="AA363" i="5"/>
  <c r="AM387" i="5"/>
  <c r="Z387" i="5"/>
  <c r="M387" i="5"/>
  <c r="Q435" i="5"/>
  <c r="AD435" i="5"/>
  <c r="D435" i="5"/>
  <c r="AJ471" i="5"/>
  <c r="J471" i="5"/>
  <c r="W471" i="5"/>
  <c r="M495" i="5"/>
  <c r="Z495" i="5"/>
  <c r="AM495" i="5"/>
  <c r="AD18" i="5"/>
  <c r="Q18" i="5"/>
  <c r="D18" i="5"/>
  <c r="AD34" i="5"/>
  <c r="D34" i="5"/>
  <c r="Q34" i="5"/>
  <c r="AH70" i="5"/>
  <c r="H70" i="5"/>
  <c r="U70" i="5"/>
  <c r="X90" i="5"/>
  <c r="AK90" i="5"/>
  <c r="K90" i="5"/>
  <c r="AD162" i="5"/>
  <c r="Q162" i="5"/>
  <c r="D162" i="5"/>
  <c r="AJ366" i="5"/>
  <c r="J366" i="5"/>
  <c r="W366" i="5"/>
  <c r="L382" i="5"/>
  <c r="AL382" i="5"/>
  <c r="Y382" i="5"/>
  <c r="AL10" i="5"/>
  <c r="Y10" i="5"/>
  <c r="L10" i="5"/>
  <c r="AI54" i="5"/>
  <c r="V54" i="5"/>
  <c r="I54" i="5"/>
  <c r="AB94" i="5"/>
  <c r="AO94" i="5"/>
  <c r="O94" i="5"/>
  <c r="S210" i="5"/>
  <c r="AF210" i="5"/>
  <c r="F210" i="5"/>
  <c r="S226" i="5"/>
  <c r="F226" i="5"/>
  <c r="AF226" i="5"/>
  <c r="N406" i="5"/>
  <c r="AN406" i="5"/>
  <c r="AA406" i="5"/>
  <c r="N454" i="5"/>
  <c r="AN454" i="5"/>
  <c r="AA454" i="5"/>
  <c r="W130" i="5"/>
  <c r="AJ130" i="5"/>
  <c r="J130" i="5"/>
  <c r="AB23" i="5"/>
  <c r="AO23" i="5"/>
  <c r="O23" i="5"/>
  <c r="AD71" i="5"/>
  <c r="Q71" i="5"/>
  <c r="D71" i="5"/>
  <c r="AJ96" i="5"/>
  <c r="W96" i="5"/>
  <c r="J96" i="5"/>
  <c r="AH203" i="5"/>
  <c r="U203" i="5"/>
  <c r="H203" i="5"/>
  <c r="AH284" i="5"/>
  <c r="H284" i="5"/>
  <c r="U284" i="5"/>
  <c r="AM367" i="5"/>
  <c r="Z367" i="5"/>
  <c r="M367" i="5"/>
  <c r="AK379" i="5"/>
  <c r="X379" i="5"/>
  <c r="K379" i="5"/>
  <c r="AD396" i="5"/>
  <c r="Q396" i="5"/>
  <c r="D396" i="5"/>
  <c r="AH419" i="5"/>
  <c r="U419" i="5"/>
  <c r="H419" i="5"/>
  <c r="X511" i="5"/>
  <c r="AK511" i="5"/>
  <c r="K511" i="5"/>
  <c r="Q163" i="5"/>
  <c r="AD163" i="5"/>
  <c r="D163" i="5"/>
  <c r="AD227" i="5"/>
  <c r="D227" i="5"/>
  <c r="Q227" i="5"/>
  <c r="J488" i="5"/>
  <c r="AJ488" i="5"/>
  <c r="W488" i="5"/>
  <c r="N7" i="5"/>
  <c r="AN7" i="5"/>
  <c r="AA7" i="5"/>
  <c r="Y43" i="5"/>
  <c r="AL43" i="5"/>
  <c r="L43" i="5"/>
  <c r="AH79" i="5"/>
  <c r="U79" i="5"/>
  <c r="H79" i="5"/>
  <c r="AI103" i="5"/>
  <c r="V103" i="5"/>
  <c r="I103" i="5"/>
  <c r="Z139" i="5"/>
  <c r="AM139" i="5"/>
  <c r="M139" i="5"/>
  <c r="S163" i="5"/>
  <c r="F163" i="5"/>
  <c r="AF163" i="5"/>
  <c r="AJ199" i="5"/>
  <c r="W199" i="5"/>
  <c r="J199" i="5"/>
  <c r="AE223" i="5"/>
  <c r="E223" i="5"/>
  <c r="R223" i="5"/>
  <c r="T259" i="5"/>
  <c r="AG259" i="5"/>
  <c r="G259" i="5"/>
  <c r="AE283" i="5"/>
  <c r="R283" i="5"/>
  <c r="E283" i="5"/>
  <c r="AI319" i="5"/>
  <c r="I319" i="5"/>
  <c r="V319" i="5"/>
  <c r="AF355" i="5"/>
  <c r="S355" i="5"/>
  <c r="F355" i="5"/>
  <c r="AF391" i="5"/>
  <c r="F391" i="5"/>
  <c r="S391" i="5"/>
  <c r="S439" i="5"/>
  <c r="AF439" i="5"/>
  <c r="F439" i="5"/>
  <c r="AF487" i="5"/>
  <c r="F487" i="5"/>
  <c r="S487" i="5"/>
  <c r="AI35" i="5"/>
  <c r="I35" i="5"/>
  <c r="V35" i="5"/>
  <c r="AH56" i="5"/>
  <c r="H56" i="5"/>
  <c r="U56" i="5"/>
  <c r="L419" i="5"/>
  <c r="Y419" i="5"/>
  <c r="AL419" i="5"/>
  <c r="AI503" i="5"/>
  <c r="V503" i="5"/>
  <c r="I503" i="5"/>
  <c r="Q12" i="5"/>
  <c r="AD12" i="5"/>
  <c r="D12" i="5"/>
  <c r="AI24" i="5"/>
  <c r="I24" i="5"/>
  <c r="V24" i="5"/>
  <c r="AJ180" i="5"/>
  <c r="J180" i="5"/>
  <c r="W180" i="5"/>
  <c r="AH240" i="5"/>
  <c r="U240" i="5"/>
  <c r="H240" i="5"/>
  <c r="T384" i="5"/>
  <c r="AG384" i="5"/>
  <c r="G384" i="5"/>
  <c r="AG12" i="5"/>
  <c r="T12" i="5"/>
  <c r="G12" i="5"/>
  <c r="AO71" i="5"/>
  <c r="O71" i="5"/>
  <c r="AB71" i="5"/>
  <c r="AH35" i="5"/>
  <c r="U35" i="5"/>
  <c r="H35" i="5"/>
  <c r="N71" i="5"/>
  <c r="AN71" i="5"/>
  <c r="AA71" i="5"/>
  <c r="AO95" i="5"/>
  <c r="O95" i="5"/>
  <c r="AB95" i="5"/>
  <c r="AK131" i="5"/>
  <c r="K131" i="5"/>
  <c r="X131" i="5"/>
  <c r="Y155" i="5"/>
  <c r="L155" i="5"/>
  <c r="AL155" i="5"/>
  <c r="AK215" i="5"/>
  <c r="X215" i="5"/>
  <c r="K215" i="5"/>
  <c r="T275" i="5"/>
  <c r="G275" i="5"/>
  <c r="AG275" i="5"/>
  <c r="AH371" i="5"/>
  <c r="U371" i="5"/>
  <c r="H371" i="5"/>
  <c r="AF455" i="5"/>
  <c r="F455" i="5"/>
  <c r="S455" i="5"/>
  <c r="AM12" i="5"/>
  <c r="M12" i="5"/>
  <c r="Z12" i="5"/>
  <c r="Q24" i="5"/>
  <c r="AD24" i="5"/>
  <c r="D24" i="5"/>
  <c r="AM36" i="5"/>
  <c r="Z36" i="5"/>
  <c r="M36" i="5"/>
  <c r="AM68" i="5"/>
  <c r="Z68" i="5"/>
  <c r="M68" i="5"/>
  <c r="N264" i="5"/>
  <c r="AN264" i="5"/>
  <c r="AA264" i="5"/>
  <c r="AG336" i="5"/>
  <c r="T336" i="5"/>
  <c r="G336" i="5"/>
  <c r="AI515" i="5"/>
  <c r="V515" i="5"/>
  <c r="I515" i="5"/>
  <c r="Y32" i="5"/>
  <c r="L32" i="5"/>
  <c r="AL32" i="5"/>
  <c r="AM79" i="5"/>
  <c r="Z79" i="5"/>
  <c r="M79" i="5"/>
  <c r="I343" i="5"/>
  <c r="V343" i="5"/>
  <c r="AI343" i="5"/>
  <c r="AG391" i="5"/>
  <c r="G391" i="5"/>
  <c r="T391" i="5"/>
  <c r="AH311" i="5"/>
  <c r="U311" i="5"/>
  <c r="H311" i="5"/>
  <c r="AH428" i="5"/>
  <c r="U428" i="5"/>
  <c r="H428" i="5"/>
  <c r="AH20" i="5"/>
  <c r="U20" i="5"/>
  <c r="H20" i="5"/>
  <c r="AE44" i="5"/>
  <c r="R44" i="5"/>
  <c r="E44" i="5"/>
  <c r="AD80" i="5"/>
  <c r="Q80" i="5"/>
  <c r="D80" i="5"/>
  <c r="AE104" i="5"/>
  <c r="R104" i="5"/>
  <c r="E104" i="5"/>
  <c r="AN140" i="5"/>
  <c r="N140" i="5"/>
  <c r="AA140" i="5"/>
  <c r="AE164" i="5"/>
  <c r="R164" i="5"/>
  <c r="E164" i="5"/>
  <c r="AK200" i="5"/>
  <c r="X200" i="5"/>
  <c r="K200" i="5"/>
  <c r="S236" i="5"/>
  <c r="AF236" i="5"/>
  <c r="F236" i="5"/>
  <c r="V260" i="5"/>
  <c r="AI260" i="5"/>
  <c r="I260" i="5"/>
  <c r="N296" i="5"/>
  <c r="AN296" i="5"/>
  <c r="AA296" i="5"/>
  <c r="AH320" i="5"/>
  <c r="H320" i="5"/>
  <c r="U320" i="5"/>
  <c r="AO356" i="5"/>
  <c r="AB356" i="5"/>
  <c r="O356" i="5"/>
  <c r="N392" i="5"/>
  <c r="AA392" i="5"/>
  <c r="AN392" i="5"/>
  <c r="N440" i="5"/>
  <c r="AN440" i="5"/>
  <c r="AA440" i="5"/>
  <c r="N488" i="5"/>
  <c r="AN488" i="5"/>
  <c r="AA488" i="5"/>
  <c r="AL156" i="5"/>
  <c r="Y156" i="5"/>
  <c r="L156" i="5"/>
  <c r="AJ300" i="5"/>
  <c r="W300" i="5"/>
  <c r="J300" i="5"/>
  <c r="AH372" i="5"/>
  <c r="H372" i="5"/>
  <c r="U372" i="5"/>
  <c r="W503" i="5"/>
  <c r="AJ503" i="5"/>
  <c r="J503" i="5"/>
  <c r="AM131" i="5"/>
  <c r="Z131" i="5"/>
  <c r="M131" i="5"/>
  <c r="AJ144" i="5"/>
  <c r="J144" i="5"/>
  <c r="W144" i="5"/>
  <c r="M287" i="5"/>
  <c r="Z287" i="5"/>
  <c r="AM287" i="5"/>
  <c r="U443" i="5"/>
  <c r="AH443" i="5"/>
  <c r="H443" i="5"/>
  <c r="AE167" i="5"/>
  <c r="E167" i="5"/>
  <c r="R167" i="5"/>
  <c r="AD239" i="5"/>
  <c r="Q239" i="5"/>
  <c r="D239" i="5"/>
  <c r="AE287" i="5"/>
  <c r="E287" i="5"/>
  <c r="R287" i="5"/>
  <c r="AI335" i="5"/>
  <c r="I335" i="5"/>
  <c r="V335" i="5"/>
  <c r="AM407" i="5"/>
  <c r="M407" i="5"/>
  <c r="Z407" i="5"/>
  <c r="M515" i="5"/>
  <c r="Z515" i="5"/>
  <c r="AM515" i="5"/>
  <c r="N216" i="5"/>
  <c r="AN216" i="5"/>
  <c r="AA216" i="5"/>
  <c r="AJ24" i="5"/>
  <c r="W24" i="5"/>
  <c r="J24" i="5"/>
  <c r="AO60" i="5"/>
  <c r="AB60" i="5"/>
  <c r="O60" i="5"/>
  <c r="AG84" i="5"/>
  <c r="T84" i="5"/>
  <c r="G84" i="5"/>
  <c r="AL120" i="5"/>
  <c r="Y120" i="5"/>
  <c r="L120" i="5"/>
  <c r="AE144" i="5"/>
  <c r="R144" i="5"/>
  <c r="E144" i="5"/>
  <c r="AH180" i="5"/>
  <c r="H180" i="5"/>
  <c r="U180" i="5"/>
  <c r="AE204" i="5"/>
  <c r="E204" i="5"/>
  <c r="R204" i="5"/>
  <c r="AD240" i="5"/>
  <c r="Q240" i="5"/>
  <c r="D240" i="5"/>
  <c r="R264" i="5"/>
  <c r="AE264" i="5"/>
  <c r="E264" i="5"/>
  <c r="AD300" i="5"/>
  <c r="Q300" i="5"/>
  <c r="D300" i="5"/>
  <c r="O336" i="5"/>
  <c r="AO336" i="5"/>
  <c r="AB336" i="5"/>
  <c r="AF360" i="5"/>
  <c r="S360" i="5"/>
  <c r="F360" i="5"/>
  <c r="N408" i="5"/>
  <c r="AN408" i="5"/>
  <c r="AA408" i="5"/>
  <c r="N456" i="5"/>
  <c r="AN456" i="5"/>
  <c r="AA456" i="5"/>
  <c r="AN504" i="5"/>
  <c r="AA504" i="5"/>
  <c r="N504" i="5"/>
  <c r="N289" i="5"/>
  <c r="AN289" i="5"/>
  <c r="AA289" i="5"/>
  <c r="AH315" i="5"/>
  <c r="U315" i="5"/>
  <c r="H315" i="5"/>
  <c r="V315" i="5"/>
  <c r="AI315" i="5"/>
  <c r="I315" i="5"/>
  <c r="AI483" i="5"/>
  <c r="I483" i="5"/>
  <c r="V483" i="5"/>
  <c r="AL50" i="5"/>
  <c r="L50" i="5"/>
  <c r="Y50" i="5"/>
  <c r="AJ62" i="5"/>
  <c r="J62" i="5"/>
  <c r="W62" i="5"/>
  <c r="AK74" i="5"/>
  <c r="X74" i="5"/>
  <c r="K74" i="5"/>
  <c r="AN86" i="5"/>
  <c r="N86" i="5"/>
  <c r="AA86" i="5"/>
  <c r="AK98" i="5"/>
  <c r="X98" i="5"/>
  <c r="K98" i="5"/>
  <c r="AE110" i="5"/>
  <c r="R110" i="5"/>
  <c r="E110" i="5"/>
  <c r="T134" i="5"/>
  <c r="AG134" i="5"/>
  <c r="G134" i="5"/>
  <c r="V158" i="5"/>
  <c r="I158" i="5"/>
  <c r="AI158" i="5"/>
  <c r="AD170" i="5"/>
  <c r="Q170" i="5"/>
  <c r="D170" i="5"/>
  <c r="AK182" i="5"/>
  <c r="X182" i="5"/>
  <c r="K182" i="5"/>
  <c r="Z230" i="5"/>
  <c r="AM230" i="5"/>
  <c r="M230" i="5"/>
  <c r="AL254" i="5"/>
  <c r="L254" i="5"/>
  <c r="Y254" i="5"/>
  <c r="Q278" i="5"/>
  <c r="AD278" i="5"/>
  <c r="D278" i="5"/>
  <c r="U302" i="5"/>
  <c r="AH302" i="5"/>
  <c r="H302" i="5"/>
  <c r="N350" i="5"/>
  <c r="AN350" i="5"/>
  <c r="AA350" i="5"/>
  <c r="X374" i="5"/>
  <c r="K374" i="5"/>
  <c r="AK374" i="5"/>
  <c r="AL422" i="5"/>
  <c r="Y422" i="5"/>
  <c r="L422" i="5"/>
  <c r="Q446" i="5"/>
  <c r="D446" i="5"/>
  <c r="AD446" i="5"/>
  <c r="AK470" i="5"/>
  <c r="K470" i="5"/>
  <c r="X470" i="5"/>
  <c r="AF494" i="5"/>
  <c r="S494" i="5"/>
  <c r="F494" i="5"/>
  <c r="W195" i="5"/>
  <c r="AJ195" i="5"/>
  <c r="J195" i="5"/>
  <c r="AE27" i="5"/>
  <c r="R27" i="5"/>
  <c r="E27" i="5"/>
  <c r="AE51" i="5"/>
  <c r="E51" i="5"/>
  <c r="R51" i="5"/>
  <c r="AL75" i="5"/>
  <c r="L75" i="5"/>
  <c r="Y75" i="5"/>
  <c r="AM87" i="5"/>
  <c r="Z87" i="5"/>
  <c r="M87" i="5"/>
  <c r="AO99" i="5"/>
  <c r="O99" i="5"/>
  <c r="AB99" i="5"/>
  <c r="AH111" i="5"/>
  <c r="U111" i="5"/>
  <c r="H111" i="5"/>
  <c r="AG123" i="5"/>
  <c r="G123" i="5"/>
  <c r="T123" i="5"/>
  <c r="AJ135" i="5"/>
  <c r="J135" i="5"/>
  <c r="W135" i="5"/>
  <c r="AE147" i="5"/>
  <c r="E147" i="5"/>
  <c r="R147" i="5"/>
  <c r="AG171" i="5"/>
  <c r="T171" i="5"/>
  <c r="G171" i="5"/>
  <c r="V195" i="5"/>
  <c r="AI195" i="5"/>
  <c r="I195" i="5"/>
  <c r="AD219" i="5"/>
  <c r="Q219" i="5"/>
  <c r="D219" i="5"/>
  <c r="N243" i="5"/>
  <c r="AA243" i="5"/>
  <c r="AN243" i="5"/>
  <c r="AG255" i="5"/>
  <c r="T255" i="5"/>
  <c r="G255" i="5"/>
  <c r="AJ279" i="5"/>
  <c r="J279" i="5"/>
  <c r="W279" i="5"/>
  <c r="AM303" i="5"/>
  <c r="Z303" i="5"/>
  <c r="M303" i="5"/>
  <c r="AJ327" i="5"/>
  <c r="W327" i="5"/>
  <c r="J327" i="5"/>
  <c r="S351" i="5"/>
  <c r="AF351" i="5"/>
  <c r="F351" i="5"/>
  <c r="AL375" i="5"/>
  <c r="Y375" i="5"/>
  <c r="L375" i="5"/>
  <c r="AO423" i="5"/>
  <c r="AB423" i="5"/>
  <c r="O423" i="5"/>
  <c r="AI459" i="5"/>
  <c r="V459" i="5"/>
  <c r="I459" i="5"/>
  <c r="Q483" i="5"/>
  <c r="AD483" i="5"/>
  <c r="D483" i="5"/>
  <c r="AL507" i="5"/>
  <c r="Y507" i="5"/>
  <c r="L507" i="5"/>
  <c r="AD37" i="5"/>
  <c r="Q37" i="5"/>
  <c r="D37" i="5"/>
  <c r="AG38" i="5"/>
  <c r="T38" i="5"/>
  <c r="G38" i="5"/>
  <c r="N39" i="5"/>
  <c r="AN39" i="5"/>
  <c r="AA39" i="5"/>
  <c r="AF447" i="5"/>
  <c r="S447" i="5"/>
  <c r="F447" i="5"/>
  <c r="AI146" i="5"/>
  <c r="V146" i="5"/>
  <c r="I146" i="5"/>
  <c r="AH337" i="5"/>
  <c r="U337" i="5"/>
  <c r="H337" i="5"/>
  <c r="H398" i="5"/>
  <c r="U398" i="5"/>
  <c r="AH398" i="5"/>
  <c r="AK13" i="5"/>
  <c r="K13" i="5"/>
  <c r="X13" i="5"/>
  <c r="AN49" i="5"/>
  <c r="N49" i="5"/>
  <c r="AA49" i="5"/>
  <c r="AF61" i="5"/>
  <c r="S61" i="5"/>
  <c r="F61" i="5"/>
  <c r="AH73" i="5"/>
  <c r="H73" i="5"/>
  <c r="U73" i="5"/>
  <c r="AM85" i="5"/>
  <c r="M85" i="5"/>
  <c r="Z85" i="5"/>
  <c r="AE97" i="5"/>
  <c r="R97" i="5"/>
  <c r="E97" i="5"/>
  <c r="R109" i="5"/>
  <c r="AE109" i="5"/>
  <c r="E109" i="5"/>
  <c r="AK133" i="5"/>
  <c r="X133" i="5"/>
  <c r="K133" i="5"/>
  <c r="AI145" i="5"/>
  <c r="V145" i="5"/>
  <c r="I145" i="5"/>
  <c r="AD157" i="5"/>
  <c r="Q157" i="5"/>
  <c r="D157" i="5"/>
  <c r="S169" i="5"/>
  <c r="AF169" i="5"/>
  <c r="F169" i="5"/>
  <c r="T181" i="5"/>
  <c r="AG181" i="5"/>
  <c r="G181" i="5"/>
  <c r="S193" i="5"/>
  <c r="AF193" i="5"/>
  <c r="F193" i="5"/>
  <c r="T205" i="5"/>
  <c r="G205" i="5"/>
  <c r="AG205" i="5"/>
  <c r="AO229" i="5"/>
  <c r="AB229" i="5"/>
  <c r="O229" i="5"/>
  <c r="Z241" i="5"/>
  <c r="AM241" i="5"/>
  <c r="M241" i="5"/>
  <c r="AM253" i="5"/>
  <c r="M253" i="5"/>
  <c r="Z253" i="5"/>
  <c r="AL265" i="5"/>
  <c r="L265" i="5"/>
  <c r="Y265" i="5"/>
  <c r="V277" i="5"/>
  <c r="AI277" i="5"/>
  <c r="I277" i="5"/>
  <c r="N301" i="5"/>
  <c r="AN301" i="5"/>
  <c r="AA301" i="5"/>
  <c r="AM313" i="5"/>
  <c r="M313" i="5"/>
  <c r="Z313" i="5"/>
  <c r="AI325" i="5"/>
  <c r="V325" i="5"/>
  <c r="I325" i="5"/>
  <c r="N337" i="5"/>
  <c r="AN337" i="5"/>
  <c r="AA337" i="5"/>
  <c r="AN349" i="5"/>
  <c r="N349" i="5"/>
  <c r="AA349" i="5"/>
  <c r="AL361" i="5"/>
  <c r="Y361" i="5"/>
  <c r="L361" i="5"/>
  <c r="AJ373" i="5"/>
  <c r="W373" i="5"/>
  <c r="J373" i="5"/>
  <c r="S385" i="5"/>
  <c r="AF385" i="5"/>
  <c r="F385" i="5"/>
  <c r="N397" i="5"/>
  <c r="AN397" i="5"/>
  <c r="AA397" i="5"/>
  <c r="AO421" i="5"/>
  <c r="O421" i="5"/>
  <c r="AB421" i="5"/>
  <c r="AI433" i="5"/>
  <c r="V433" i="5"/>
  <c r="I433" i="5"/>
  <c r="X445" i="5"/>
  <c r="AK445" i="5"/>
  <c r="K445" i="5"/>
  <c r="N457" i="5"/>
  <c r="AN457" i="5"/>
  <c r="AA457" i="5"/>
  <c r="W481" i="5"/>
  <c r="AJ481" i="5"/>
  <c r="J481" i="5"/>
  <c r="AK493" i="5"/>
  <c r="X493" i="5"/>
  <c r="K493" i="5"/>
  <c r="Q505" i="5"/>
  <c r="AD505" i="5"/>
  <c r="D505" i="5"/>
  <c r="AI26" i="5"/>
  <c r="V26" i="5"/>
  <c r="I26" i="5"/>
  <c r="Q146" i="5"/>
  <c r="AD146" i="5"/>
  <c r="D146" i="5"/>
  <c r="AD194" i="5"/>
  <c r="Q194" i="5"/>
  <c r="D194" i="5"/>
  <c r="T218" i="5"/>
  <c r="AG218" i="5"/>
  <c r="G218" i="5"/>
  <c r="AF242" i="5"/>
  <c r="S242" i="5"/>
  <c r="F242" i="5"/>
  <c r="AO290" i="5"/>
  <c r="O290" i="5"/>
  <c r="AB290" i="5"/>
  <c r="N314" i="5"/>
  <c r="AN314" i="5"/>
  <c r="AA314" i="5"/>
  <c r="AH338" i="5"/>
  <c r="H338" i="5"/>
  <c r="U338" i="5"/>
  <c r="AF362" i="5"/>
  <c r="S362" i="5"/>
  <c r="F362" i="5"/>
  <c r="AJ386" i="5"/>
  <c r="J386" i="5"/>
  <c r="W386" i="5"/>
  <c r="AM410" i="5"/>
  <c r="Z410" i="5"/>
  <c r="M410" i="5"/>
  <c r="U458" i="5"/>
  <c r="AH458" i="5"/>
  <c r="H458" i="5"/>
  <c r="AK482" i="5"/>
  <c r="X482" i="5"/>
  <c r="K482" i="5"/>
  <c r="AM506" i="5"/>
  <c r="Z506" i="5"/>
  <c r="M506" i="5"/>
  <c r="W15" i="5"/>
  <c r="J15" i="5"/>
  <c r="AJ15" i="5"/>
  <c r="AD183" i="5"/>
  <c r="Q183" i="5"/>
  <c r="D183" i="5"/>
  <c r="AL231" i="5"/>
  <c r="L231" i="5"/>
  <c r="Y231" i="5"/>
  <c r="AM267" i="5"/>
  <c r="Z267" i="5"/>
  <c r="M267" i="5"/>
  <c r="N315" i="5"/>
  <c r="AN315" i="5"/>
  <c r="AA315" i="5"/>
  <c r="S339" i="5"/>
  <c r="F339" i="5"/>
  <c r="AF339" i="5"/>
  <c r="AJ363" i="5"/>
  <c r="W363" i="5"/>
  <c r="J363" i="5"/>
  <c r="E411" i="5"/>
  <c r="R411" i="5"/>
  <c r="AE411" i="5"/>
  <c r="Y435" i="5"/>
  <c r="L435" i="5"/>
  <c r="AL435" i="5"/>
  <c r="AH471" i="5"/>
  <c r="U471" i="5"/>
  <c r="H471" i="5"/>
  <c r="S84" i="5"/>
  <c r="F84" i="5"/>
  <c r="AF84" i="5"/>
  <c r="AO167" i="5"/>
  <c r="AB167" i="5"/>
  <c r="O167" i="5"/>
  <c r="AK396" i="5"/>
  <c r="K396" i="5"/>
  <c r="X396" i="5"/>
  <c r="S35" i="5"/>
  <c r="F35" i="5"/>
  <c r="AF35" i="5"/>
  <c r="AK71" i="5"/>
  <c r="K71" i="5"/>
  <c r="X71" i="5"/>
  <c r="R95" i="5"/>
  <c r="AE95" i="5"/>
  <c r="E95" i="5"/>
  <c r="AH131" i="5"/>
  <c r="U131" i="5"/>
  <c r="H131" i="5"/>
  <c r="AE155" i="5"/>
  <c r="E155" i="5"/>
  <c r="R155" i="5"/>
  <c r="AJ215" i="5"/>
  <c r="W215" i="5"/>
  <c r="J215" i="5"/>
  <c r="R275" i="5"/>
  <c r="AE275" i="5"/>
  <c r="E275" i="5"/>
  <c r="AB371" i="5"/>
  <c r="AO371" i="5"/>
  <c r="O371" i="5"/>
  <c r="N455" i="5"/>
  <c r="AA455" i="5"/>
  <c r="AN455" i="5"/>
  <c r="I432" i="5"/>
  <c r="AI432" i="5"/>
  <c r="V432" i="5"/>
  <c r="AE12" i="5"/>
  <c r="E12" i="5"/>
  <c r="R12" i="5"/>
  <c r="K96" i="5"/>
  <c r="AK96" i="5"/>
  <c r="X96" i="5"/>
  <c r="AH188" i="5"/>
  <c r="U188" i="5"/>
  <c r="H188" i="5"/>
  <c r="Z299" i="5"/>
  <c r="M299" i="5"/>
  <c r="AM299" i="5"/>
  <c r="AM344" i="5"/>
  <c r="Z344" i="5"/>
  <c r="M344" i="5"/>
  <c r="R396" i="5"/>
  <c r="AE396" i="5"/>
  <c r="E396" i="5"/>
  <c r="AE476" i="5"/>
  <c r="R476" i="5"/>
  <c r="E476" i="5"/>
  <c r="AL500" i="5"/>
  <c r="L500" i="5"/>
  <c r="Y500" i="5"/>
  <c r="AM47" i="5"/>
  <c r="M47" i="5"/>
  <c r="Z47" i="5"/>
  <c r="AH103" i="5"/>
  <c r="U103" i="5"/>
  <c r="H103" i="5"/>
  <c r="AM175" i="5"/>
  <c r="M175" i="5"/>
  <c r="Z175" i="5"/>
  <c r="U199" i="5"/>
  <c r="AH199" i="5"/>
  <c r="H199" i="5"/>
  <c r="AD360" i="5"/>
  <c r="Q360" i="5"/>
  <c r="D360" i="5"/>
  <c r="AJ392" i="5"/>
  <c r="J392" i="5"/>
  <c r="W392" i="5"/>
  <c r="AK107" i="5"/>
  <c r="X107" i="5"/>
  <c r="K107" i="5"/>
  <c r="AH248" i="5"/>
  <c r="U248" i="5"/>
  <c r="H248" i="5"/>
  <c r="Z312" i="5"/>
  <c r="AM312" i="5"/>
  <c r="M312" i="5"/>
  <c r="AI20" i="5"/>
  <c r="I20" i="5"/>
  <c r="V20" i="5"/>
  <c r="AO56" i="5"/>
  <c r="AB56" i="5"/>
  <c r="O56" i="5"/>
  <c r="S80" i="5"/>
  <c r="AF80" i="5"/>
  <c r="F80" i="5"/>
  <c r="AL116" i="5"/>
  <c r="Y116" i="5"/>
  <c r="L116" i="5"/>
  <c r="Z140" i="5"/>
  <c r="AM140" i="5"/>
  <c r="M140" i="5"/>
  <c r="AI176" i="5"/>
  <c r="V176" i="5"/>
  <c r="I176" i="5"/>
  <c r="AJ200" i="5"/>
  <c r="J200" i="5"/>
  <c r="W200" i="5"/>
  <c r="AO236" i="5"/>
  <c r="AB236" i="5"/>
  <c r="O236" i="5"/>
  <c r="AG260" i="5"/>
  <c r="T260" i="5"/>
  <c r="G260" i="5"/>
  <c r="AM296" i="5"/>
  <c r="Z296" i="5"/>
  <c r="M296" i="5"/>
  <c r="AE320" i="5"/>
  <c r="R320" i="5"/>
  <c r="E320" i="5"/>
  <c r="N356" i="5"/>
  <c r="AN356" i="5"/>
  <c r="AA356" i="5"/>
  <c r="AM392" i="5"/>
  <c r="Z392" i="5"/>
  <c r="M392" i="5"/>
  <c r="AM440" i="5"/>
  <c r="Z440" i="5"/>
  <c r="M440" i="5"/>
  <c r="AM488" i="5"/>
  <c r="Z488" i="5"/>
  <c r="M488" i="5"/>
  <c r="J131" i="5"/>
  <c r="W131" i="5"/>
  <c r="AJ131" i="5"/>
  <c r="AK156" i="5"/>
  <c r="K156" i="5"/>
  <c r="X156" i="5"/>
  <c r="S180" i="5"/>
  <c r="AF180" i="5"/>
  <c r="F180" i="5"/>
  <c r="N347" i="5"/>
  <c r="AA347" i="5"/>
  <c r="AN347" i="5"/>
  <c r="AI360" i="5"/>
  <c r="I360" i="5"/>
  <c r="V360" i="5"/>
  <c r="AH432" i="5"/>
  <c r="U432" i="5"/>
  <c r="H432" i="5"/>
  <c r="Q203" i="5"/>
  <c r="D203" i="5"/>
  <c r="AD203" i="5"/>
  <c r="AO239" i="5"/>
  <c r="AB239" i="5"/>
  <c r="O239" i="5"/>
  <c r="AH299" i="5"/>
  <c r="H299" i="5"/>
  <c r="U299" i="5"/>
  <c r="AE335" i="5"/>
  <c r="R335" i="5"/>
  <c r="E335" i="5"/>
  <c r="S431" i="5"/>
  <c r="F431" i="5"/>
  <c r="AF431" i="5"/>
  <c r="X240" i="5"/>
  <c r="AK240" i="5"/>
  <c r="K240" i="5"/>
  <c r="R24" i="5"/>
  <c r="AE24" i="5"/>
  <c r="E24" i="5"/>
  <c r="AN60" i="5"/>
  <c r="N60" i="5"/>
  <c r="AA60" i="5"/>
  <c r="AE84" i="5"/>
  <c r="E84" i="5"/>
  <c r="R84" i="5"/>
  <c r="AK120" i="5"/>
  <c r="K120" i="5"/>
  <c r="X120" i="5"/>
  <c r="S156" i="5"/>
  <c r="AF156" i="5"/>
  <c r="F156" i="5"/>
  <c r="AI180" i="5"/>
  <c r="I180" i="5"/>
  <c r="V180" i="5"/>
  <c r="AO216" i="5"/>
  <c r="O216" i="5"/>
  <c r="AB216" i="5"/>
  <c r="S240" i="5"/>
  <c r="F240" i="5"/>
  <c r="AF240" i="5"/>
  <c r="Z276" i="5"/>
  <c r="M276" i="5"/>
  <c r="AM276" i="5"/>
  <c r="AF300" i="5"/>
  <c r="S300" i="5"/>
  <c r="F300" i="5"/>
  <c r="AK336" i="5"/>
  <c r="X336" i="5"/>
  <c r="K336" i="5"/>
  <c r="AE360" i="5"/>
  <c r="R360" i="5"/>
  <c r="E360" i="5"/>
  <c r="AM408" i="5"/>
  <c r="Z408" i="5"/>
  <c r="M408" i="5"/>
  <c r="AM456" i="5"/>
  <c r="Z456" i="5"/>
  <c r="M456" i="5"/>
  <c r="M504" i="5"/>
  <c r="AM504" i="5"/>
  <c r="Z504" i="5"/>
  <c r="N229" i="5"/>
  <c r="AN229" i="5"/>
  <c r="AA229" i="5"/>
  <c r="AH326" i="5"/>
  <c r="H326" i="5"/>
  <c r="U326" i="5"/>
  <c r="Y410" i="5"/>
  <c r="AL410" i="5"/>
  <c r="L410" i="5"/>
  <c r="AG445" i="5"/>
  <c r="T445" i="5"/>
  <c r="G445" i="5"/>
  <c r="Y506" i="5"/>
  <c r="AL506" i="5"/>
  <c r="L506" i="5"/>
  <c r="AG14" i="5"/>
  <c r="T14" i="5"/>
  <c r="G14" i="5"/>
  <c r="AO50" i="5"/>
  <c r="AB50" i="5"/>
  <c r="O50" i="5"/>
  <c r="AG62" i="5"/>
  <c r="T62" i="5"/>
  <c r="G62" i="5"/>
  <c r="AJ74" i="5"/>
  <c r="W74" i="5"/>
  <c r="J74" i="5"/>
  <c r="AJ86" i="5"/>
  <c r="W86" i="5"/>
  <c r="J86" i="5"/>
  <c r="H98" i="5"/>
  <c r="U98" i="5"/>
  <c r="AH98" i="5"/>
  <c r="AI122" i="5"/>
  <c r="I122" i="5"/>
  <c r="V122" i="5"/>
  <c r="AM134" i="5"/>
  <c r="M134" i="5"/>
  <c r="Z134" i="5"/>
  <c r="AG158" i="5"/>
  <c r="T158" i="5"/>
  <c r="G158" i="5"/>
  <c r="N170" i="5"/>
  <c r="AN170" i="5"/>
  <c r="AA170" i="5"/>
  <c r="V182" i="5"/>
  <c r="I182" i="5"/>
  <c r="AI182" i="5"/>
  <c r="AH230" i="5"/>
  <c r="H230" i="5"/>
  <c r="U230" i="5"/>
  <c r="AJ254" i="5"/>
  <c r="W254" i="5"/>
  <c r="J254" i="5"/>
  <c r="AH278" i="5"/>
  <c r="U278" i="5"/>
  <c r="H278" i="5"/>
  <c r="AG302" i="5"/>
  <c r="T302" i="5"/>
  <c r="G302" i="5"/>
  <c r="AM350" i="5"/>
  <c r="Z350" i="5"/>
  <c r="M350" i="5"/>
  <c r="T374" i="5"/>
  <c r="AG374" i="5"/>
  <c r="G374" i="5"/>
  <c r="X422" i="5"/>
  <c r="AK422" i="5"/>
  <c r="K422" i="5"/>
  <c r="AO446" i="5"/>
  <c r="AB446" i="5"/>
  <c r="O446" i="5"/>
  <c r="AJ470" i="5"/>
  <c r="J470" i="5"/>
  <c r="W470" i="5"/>
  <c r="AN494" i="5"/>
  <c r="AA494" i="5"/>
  <c r="N494" i="5"/>
  <c r="Q339" i="5"/>
  <c r="AD339" i="5"/>
  <c r="D339" i="5"/>
  <c r="AO51" i="5"/>
  <c r="O51" i="5"/>
  <c r="AB51" i="5"/>
  <c r="AG63" i="5"/>
  <c r="T63" i="5"/>
  <c r="G63" i="5"/>
  <c r="AK75" i="5"/>
  <c r="K75" i="5"/>
  <c r="X75" i="5"/>
  <c r="AG87" i="5"/>
  <c r="T87" i="5"/>
  <c r="G87" i="5"/>
  <c r="N99" i="5"/>
  <c r="AA99" i="5"/>
  <c r="AN99" i="5"/>
  <c r="AG111" i="5"/>
  <c r="T111" i="5"/>
  <c r="G111" i="5"/>
  <c r="AF123" i="5"/>
  <c r="S123" i="5"/>
  <c r="F123" i="5"/>
  <c r="AE135" i="5"/>
  <c r="E135" i="5"/>
  <c r="R135" i="5"/>
  <c r="AN159" i="5"/>
  <c r="N159" i="5"/>
  <c r="AA159" i="5"/>
  <c r="AD171" i="5"/>
  <c r="D171" i="5"/>
  <c r="Q171" i="5"/>
  <c r="U195" i="5"/>
  <c r="AH195" i="5"/>
  <c r="H195" i="5"/>
  <c r="AK219" i="5"/>
  <c r="K219" i="5"/>
  <c r="X219" i="5"/>
  <c r="AM243" i="5"/>
  <c r="M243" i="5"/>
  <c r="Z243" i="5"/>
  <c r="Z255" i="5"/>
  <c r="AM255" i="5"/>
  <c r="M255" i="5"/>
  <c r="U279" i="5"/>
  <c r="AH279" i="5"/>
  <c r="H279" i="5"/>
  <c r="X303" i="5"/>
  <c r="K303" i="5"/>
  <c r="AK303" i="5"/>
  <c r="V327" i="5"/>
  <c r="AI327" i="5"/>
  <c r="I327" i="5"/>
  <c r="AD351" i="5"/>
  <c r="Q351" i="5"/>
  <c r="D351" i="5"/>
  <c r="U375" i="5"/>
  <c r="AH375" i="5"/>
  <c r="H375" i="5"/>
  <c r="AL423" i="5"/>
  <c r="Y423" i="5"/>
  <c r="L423" i="5"/>
  <c r="E459" i="5"/>
  <c r="R459" i="5"/>
  <c r="AE459" i="5"/>
  <c r="AO483" i="5"/>
  <c r="AB483" i="5"/>
  <c r="O483" i="5"/>
  <c r="Q507" i="5"/>
  <c r="AD507" i="5"/>
  <c r="D507" i="5"/>
  <c r="AO363" i="5"/>
  <c r="AB363" i="5"/>
  <c r="O363" i="5"/>
  <c r="T386" i="5"/>
  <c r="AG386" i="5"/>
  <c r="G386" i="5"/>
  <c r="AM37" i="5"/>
  <c r="Z37" i="5"/>
  <c r="M37" i="5"/>
  <c r="M38" i="5"/>
  <c r="Z38" i="5"/>
  <c r="AM38" i="5"/>
  <c r="O39" i="5"/>
  <c r="AO39" i="5"/>
  <c r="AB39" i="5"/>
  <c r="N447" i="5"/>
  <c r="AN447" i="5"/>
  <c r="AA447" i="5"/>
  <c r="AM97" i="5"/>
  <c r="M97" i="5"/>
  <c r="Z97" i="5"/>
  <c r="N158" i="5"/>
  <c r="AA158" i="5"/>
  <c r="AN158" i="5"/>
  <c r="N265" i="5"/>
  <c r="AN265" i="5"/>
  <c r="AA265" i="5"/>
  <c r="N97" i="5"/>
  <c r="AN97" i="5"/>
  <c r="AA97" i="5"/>
  <c r="AD181" i="5"/>
  <c r="D181" i="5"/>
  <c r="Q181" i="5"/>
  <c r="AB265" i="5"/>
  <c r="O265" i="5"/>
  <c r="AO265" i="5"/>
  <c r="AJ337" i="5"/>
  <c r="W337" i="5"/>
  <c r="J337" i="5"/>
  <c r="J13" i="5"/>
  <c r="AJ13" i="5"/>
  <c r="W13" i="5"/>
  <c r="Z49" i="5"/>
  <c r="AM49" i="5"/>
  <c r="M49" i="5"/>
  <c r="AD61" i="5"/>
  <c r="Q61" i="5"/>
  <c r="D61" i="5"/>
  <c r="AG73" i="5"/>
  <c r="G73" i="5"/>
  <c r="T73" i="5"/>
  <c r="AI85" i="5"/>
  <c r="V85" i="5"/>
  <c r="I85" i="5"/>
  <c r="AM109" i="5"/>
  <c r="Z109" i="5"/>
  <c r="M109" i="5"/>
  <c r="U121" i="5"/>
  <c r="AH121" i="5"/>
  <c r="H121" i="5"/>
  <c r="T133" i="5"/>
  <c r="AG133" i="5"/>
  <c r="G133" i="5"/>
  <c r="AL145" i="5"/>
  <c r="L145" i="5"/>
  <c r="Y145" i="5"/>
  <c r="Z157" i="5"/>
  <c r="AM157" i="5"/>
  <c r="M157" i="5"/>
  <c r="W169" i="5"/>
  <c r="AJ169" i="5"/>
  <c r="J169" i="5"/>
  <c r="AM181" i="5"/>
  <c r="Z181" i="5"/>
  <c r="M181" i="5"/>
  <c r="AG193" i="5"/>
  <c r="T193" i="5"/>
  <c r="G193" i="5"/>
  <c r="AO205" i="5"/>
  <c r="AB205" i="5"/>
  <c r="O205" i="5"/>
  <c r="X229" i="5"/>
  <c r="AK229" i="5"/>
  <c r="K229" i="5"/>
  <c r="AL241" i="5"/>
  <c r="L241" i="5"/>
  <c r="Y241" i="5"/>
  <c r="AL253" i="5"/>
  <c r="Y253" i="5"/>
  <c r="L253" i="5"/>
  <c r="AM265" i="5"/>
  <c r="M265" i="5"/>
  <c r="Z265" i="5"/>
  <c r="AE277" i="5"/>
  <c r="R277" i="5"/>
  <c r="E277" i="5"/>
  <c r="AL301" i="5"/>
  <c r="Y301" i="5"/>
  <c r="L301" i="5"/>
  <c r="AL313" i="5"/>
  <c r="Y313" i="5"/>
  <c r="L313" i="5"/>
  <c r="AH325" i="5"/>
  <c r="U325" i="5"/>
  <c r="H325" i="5"/>
  <c r="AM337" i="5"/>
  <c r="Z337" i="5"/>
  <c r="M337" i="5"/>
  <c r="AK349" i="5"/>
  <c r="X349" i="5"/>
  <c r="K349" i="5"/>
  <c r="AH361" i="5"/>
  <c r="U361" i="5"/>
  <c r="H361" i="5"/>
  <c r="S373" i="5"/>
  <c r="AF373" i="5"/>
  <c r="F373" i="5"/>
  <c r="N385" i="5"/>
  <c r="AN385" i="5"/>
  <c r="AA385" i="5"/>
  <c r="AM397" i="5"/>
  <c r="M397" i="5"/>
  <c r="Z397" i="5"/>
  <c r="L421" i="5"/>
  <c r="AL421" i="5"/>
  <c r="Y421" i="5"/>
  <c r="U433" i="5"/>
  <c r="H433" i="5"/>
  <c r="AH433" i="5"/>
  <c r="AJ445" i="5"/>
  <c r="W445" i="5"/>
  <c r="J445" i="5"/>
  <c r="AM457" i="5"/>
  <c r="Z457" i="5"/>
  <c r="M457" i="5"/>
  <c r="V481" i="5"/>
  <c r="I481" i="5"/>
  <c r="AI481" i="5"/>
  <c r="AI493" i="5"/>
  <c r="I493" i="5"/>
  <c r="V493" i="5"/>
  <c r="AO505" i="5"/>
  <c r="AB505" i="5"/>
  <c r="O505" i="5"/>
  <c r="AH26" i="5"/>
  <c r="H26" i="5"/>
  <c r="U26" i="5"/>
  <c r="AB146" i="5"/>
  <c r="AO146" i="5"/>
  <c r="O146" i="5"/>
  <c r="AM194" i="5"/>
  <c r="M194" i="5"/>
  <c r="Z194" i="5"/>
  <c r="AD218" i="5"/>
  <c r="D218" i="5"/>
  <c r="Q218" i="5"/>
  <c r="R242" i="5"/>
  <c r="AE242" i="5"/>
  <c r="E242" i="5"/>
  <c r="N290" i="5"/>
  <c r="AN290" i="5"/>
  <c r="AA290" i="5"/>
  <c r="AM314" i="5"/>
  <c r="Z314" i="5"/>
  <c r="M314" i="5"/>
  <c r="AF338" i="5"/>
  <c r="F338" i="5"/>
  <c r="S338" i="5"/>
  <c r="Q362" i="5"/>
  <c r="D362" i="5"/>
  <c r="AD362" i="5"/>
  <c r="AH386" i="5"/>
  <c r="U386" i="5"/>
  <c r="H386" i="5"/>
  <c r="E434" i="5"/>
  <c r="R434" i="5"/>
  <c r="AE434" i="5"/>
  <c r="AG458" i="5"/>
  <c r="T458" i="5"/>
  <c r="G458" i="5"/>
  <c r="AH482" i="5"/>
  <c r="U482" i="5"/>
  <c r="H482" i="5"/>
  <c r="AJ99" i="5"/>
  <c r="W99" i="5"/>
  <c r="J99" i="5"/>
  <c r="AH15" i="5"/>
  <c r="U15" i="5"/>
  <c r="H15" i="5"/>
  <c r="O183" i="5"/>
  <c r="AO183" i="5"/>
  <c r="AB183" i="5"/>
  <c r="AJ231" i="5"/>
  <c r="W231" i="5"/>
  <c r="J231" i="5"/>
  <c r="AE267" i="5"/>
  <c r="E267" i="5"/>
  <c r="R267" i="5"/>
  <c r="M315" i="5"/>
  <c r="AM315" i="5"/>
  <c r="Z315" i="5"/>
  <c r="AO339" i="5"/>
  <c r="AB339" i="5"/>
  <c r="O339" i="5"/>
  <c r="V363" i="5"/>
  <c r="AI363" i="5"/>
  <c r="I363" i="5"/>
  <c r="AL411" i="5"/>
  <c r="L411" i="5"/>
  <c r="Y411" i="5"/>
  <c r="AE435" i="5"/>
  <c r="E435" i="5"/>
  <c r="R435" i="5"/>
  <c r="AF471" i="5"/>
  <c r="S471" i="5"/>
  <c r="F471" i="5"/>
  <c r="AI2" i="1"/>
  <c r="AF177" i="1"/>
  <c r="AF176" i="1" s="1"/>
  <c r="W180" i="1"/>
  <c r="AI137" i="1"/>
  <c r="W169" i="1"/>
  <c r="U169" i="1" s="1"/>
  <c r="V169" i="1" s="1"/>
  <c r="U13" i="9" l="1"/>
  <c r="AI13" i="9"/>
  <c r="T37" i="9"/>
  <c r="N181" i="9"/>
  <c r="N186" i="9" s="1"/>
  <c r="N136" i="9"/>
  <c r="N170" i="9" s="1"/>
  <c r="N174" i="9" s="1"/>
  <c r="AD181" i="9"/>
  <c r="AD186" i="9" s="1"/>
  <c r="J170" i="9"/>
  <c r="J174" i="9" s="1"/>
  <c r="T13" i="9"/>
  <c r="J186" i="9"/>
  <c r="Y136" i="9"/>
  <c r="Y170" i="9" s="1"/>
  <c r="Y174" i="9" s="1"/>
  <c r="G136" i="9"/>
  <c r="F170" i="9"/>
  <c r="J182" i="9"/>
  <c r="J181" i="9" s="1"/>
  <c r="I136" i="9"/>
  <c r="I170" i="9" s="1"/>
  <c r="I174" i="9" s="1"/>
  <c r="Q186" i="9"/>
  <c r="AC182" i="9"/>
  <c r="AC181" i="9" s="1"/>
  <c r="AC186" i="9" s="1"/>
  <c r="AB136" i="9"/>
  <c r="AB170" i="9" s="1"/>
  <c r="AB174" i="9" s="1"/>
  <c r="P181" i="9"/>
  <c r="P186" i="9" s="1"/>
  <c r="AB186" i="9"/>
  <c r="AG186" i="9"/>
  <c r="O170" i="9"/>
  <c r="O174" i="9" s="1"/>
  <c r="S136" i="9"/>
  <c r="S170" i="9" s="1"/>
  <c r="S174" i="9" s="1"/>
  <c r="U22" i="9"/>
  <c r="AI22" i="9"/>
  <c r="R181" i="9"/>
  <c r="R186" i="9" s="1"/>
  <c r="AB182" i="9"/>
  <c r="AB181" i="9" s="1"/>
  <c r="I186" i="9"/>
  <c r="Y182" i="9"/>
  <c r="Y181" i="9" s="1"/>
  <c r="T137" i="9"/>
  <c r="H180" i="9"/>
  <c r="H176" i="9" s="1"/>
  <c r="H186" i="9" s="1"/>
  <c r="H187" i="9" s="1"/>
  <c r="H169" i="9"/>
  <c r="H170" i="9" s="1"/>
  <c r="H174" i="9" s="1"/>
  <c r="R136" i="9"/>
  <c r="R170" i="9" s="1"/>
  <c r="R174" i="9" s="1"/>
  <c r="H183" i="9"/>
  <c r="H181" i="9" s="1"/>
  <c r="T27" i="9"/>
  <c r="Q170" i="9"/>
  <c r="Q174" i="9" s="1"/>
  <c r="P136" i="9"/>
  <c r="P170" i="9" s="1"/>
  <c r="P174" i="9" s="1"/>
  <c r="AL997" i="5"/>
  <c r="AJ997" i="5"/>
  <c r="AJ998" i="5" s="1"/>
  <c r="AJ999" i="5" s="1"/>
  <c r="G997" i="5"/>
  <c r="AA997" i="5"/>
  <c r="AA998" i="5" s="1"/>
  <c r="AA999" i="5" s="1"/>
  <c r="Y997" i="5"/>
  <c r="Y998" i="5" s="1"/>
  <c r="Y999" i="5" s="1"/>
  <c r="O997" i="5"/>
  <c r="O998" i="5" s="1"/>
  <c r="O999" i="5" s="1"/>
  <c r="AK997" i="5"/>
  <c r="AK998" i="5" s="1"/>
  <c r="AK999" i="5" s="1"/>
  <c r="J997" i="5"/>
  <c r="J998" i="5" s="1"/>
  <c r="J999" i="5" s="1"/>
  <c r="AN997" i="5"/>
  <c r="AN998" i="5" s="1"/>
  <c r="AN999" i="5" s="1"/>
  <c r="L997" i="5"/>
  <c r="L998" i="5" s="1"/>
  <c r="E997" i="5"/>
  <c r="AF997" i="5"/>
  <c r="AF998" i="5" s="1"/>
  <c r="D997" i="5"/>
  <c r="X997" i="5"/>
  <c r="X998" i="5" s="1"/>
  <c r="X999" i="5" s="1"/>
  <c r="M997" i="5"/>
  <c r="H997" i="5"/>
  <c r="H998" i="5" s="1"/>
  <c r="H999" i="5" s="1"/>
  <c r="W997" i="5"/>
  <c r="W998" i="5" s="1"/>
  <c r="W999" i="5" s="1"/>
  <c r="AD997" i="5"/>
  <c r="AE997" i="5"/>
  <c r="AE998" i="5" s="1"/>
  <c r="AE999" i="5" s="1"/>
  <c r="S997" i="5"/>
  <c r="S998" i="5" s="1"/>
  <c r="S999" i="5" s="1"/>
  <c r="Z997" i="5"/>
  <c r="Z998" i="5" s="1"/>
  <c r="Z999" i="5" s="1"/>
  <c r="I997" i="5"/>
  <c r="I998" i="5" s="1"/>
  <c r="Q997" i="5"/>
  <c r="Q998" i="5" s="1"/>
  <c r="Q999" i="5" s="1"/>
  <c r="AM997" i="5"/>
  <c r="AM998" i="5" s="1"/>
  <c r="AM999" i="5" s="1"/>
  <c r="AB997" i="5"/>
  <c r="AB998" i="5" s="1"/>
  <c r="AB999" i="5" s="1"/>
  <c r="AH997" i="5"/>
  <c r="AH998" i="5" s="1"/>
  <c r="AH999" i="5" s="1"/>
  <c r="AO997" i="5"/>
  <c r="AO998" i="5" s="1"/>
  <c r="AO999" i="5" s="1"/>
  <c r="F997" i="5"/>
  <c r="N997" i="5"/>
  <c r="AI997" i="5"/>
  <c r="AI998" i="5" s="1"/>
  <c r="AI999" i="5" s="1"/>
  <c r="K997" i="5"/>
  <c r="K998" i="5" s="1"/>
  <c r="AD998" i="5"/>
  <c r="AD999" i="5" s="1"/>
  <c r="F998" i="5"/>
  <c r="F999" i="5" s="1"/>
  <c r="N998" i="5"/>
  <c r="V997" i="5"/>
  <c r="V998" i="5" s="1"/>
  <c r="V999" i="5" s="1"/>
  <c r="R997" i="5"/>
  <c r="AL998" i="5"/>
  <c r="AL999" i="5" s="1"/>
  <c r="U997" i="5"/>
  <c r="T997" i="5"/>
  <c r="AG997" i="5"/>
  <c r="T136" i="9" l="1"/>
  <c r="I187" i="9"/>
  <c r="J187" i="9" s="1"/>
  <c r="K187" i="9" s="1"/>
  <c r="L187" i="9" s="1"/>
  <c r="M187" i="9" s="1"/>
  <c r="N187" i="9" s="1"/>
  <c r="O187" i="9" s="1"/>
  <c r="P187" i="9" s="1"/>
  <c r="Q187" i="9" s="1"/>
  <c r="R187" i="9" s="1"/>
  <c r="S187" i="9" s="1"/>
  <c r="G170" i="9"/>
  <c r="F174" i="9"/>
  <c r="G174" i="9" s="1"/>
  <c r="N999" i="5"/>
  <c r="K999" i="5"/>
  <c r="G998" i="5"/>
  <c r="G999" i="5" s="1"/>
  <c r="M998" i="5"/>
  <c r="M999" i="5" s="1"/>
  <c r="AF999" i="5"/>
  <c r="L999" i="5"/>
  <c r="D998" i="5"/>
  <c r="D999" i="5" s="1"/>
  <c r="E998" i="5"/>
  <c r="E999" i="5" s="1"/>
  <c r="I999" i="5"/>
  <c r="AG998" i="5"/>
  <c r="AG999" i="5"/>
  <c r="T998" i="5"/>
  <c r="T999" i="5" s="1"/>
  <c r="U998" i="5"/>
  <c r="U999" i="5" s="1"/>
  <c r="R998" i="5"/>
  <c r="R999" i="5" s="1"/>
  <c r="D2" i="1" l="1"/>
  <c r="F2" i="1"/>
  <c r="H177" i="1"/>
  <c r="I7" i="8" l="1"/>
  <c r="N7" i="3" s="1"/>
  <c r="X7" i="13" s="1"/>
  <c r="X2" i="13" s="1"/>
  <c r="F118" i="1"/>
  <c r="F117" i="1"/>
  <c r="F116" i="1"/>
  <c r="F98" i="1"/>
  <c r="F92" i="1"/>
  <c r="F93" i="1"/>
  <c r="F94" i="1"/>
  <c r="F95" i="1"/>
  <c r="F96" i="1"/>
  <c r="F97" i="1"/>
  <c r="F91" i="1"/>
  <c r="F90" i="1"/>
  <c r="F87" i="1"/>
  <c r="F86" i="1"/>
  <c r="F77" i="1"/>
  <c r="F75" i="1"/>
  <c r="F76" i="1"/>
  <c r="F74" i="1"/>
  <c r="F73" i="1"/>
  <c r="F72" i="1"/>
  <c r="F71" i="1"/>
  <c r="F64" i="1"/>
  <c r="F40" i="1"/>
  <c r="F42" i="1"/>
  <c r="F43" i="1"/>
  <c r="F26" i="1"/>
  <c r="F24" i="1"/>
  <c r="F82" i="1"/>
  <c r="AD24" i="1" l="1"/>
  <c r="AH24" i="1"/>
  <c r="AE24" i="1"/>
  <c r="AC24" i="1"/>
  <c r="AB24" i="1"/>
  <c r="X24" i="1"/>
  <c r="AA24" i="1"/>
  <c r="Y24" i="1"/>
  <c r="W24" i="1"/>
  <c r="AG24" i="1"/>
  <c r="AF24" i="1"/>
  <c r="Z24" i="1"/>
  <c r="AD26" i="1"/>
  <c r="Y26" i="1"/>
  <c r="X26" i="1"/>
  <c r="AE26" i="1"/>
  <c r="AC26" i="1"/>
  <c r="AB26" i="1"/>
  <c r="W26" i="1"/>
  <c r="AH26" i="1"/>
  <c r="AG26" i="1"/>
  <c r="AF26" i="1"/>
  <c r="AA26" i="1"/>
  <c r="Z26" i="1"/>
  <c r="B47" i="8"/>
  <c r="I36" i="3"/>
  <c r="J36" i="3"/>
  <c r="K36" i="3"/>
  <c r="L36" i="3"/>
  <c r="M36" i="3"/>
  <c r="N36" i="3"/>
  <c r="O36" i="3"/>
  <c r="P36" i="3"/>
  <c r="Q36" i="3"/>
  <c r="R36" i="3"/>
  <c r="S36" i="3"/>
  <c r="H36" i="3"/>
  <c r="I9" i="3"/>
  <c r="J9" i="3"/>
  <c r="K9" i="3"/>
  <c r="L9" i="3"/>
  <c r="M9" i="3"/>
  <c r="N9" i="3"/>
  <c r="O9" i="3"/>
  <c r="P9" i="3"/>
  <c r="Q9" i="3"/>
  <c r="R9" i="3"/>
  <c r="S9" i="3"/>
  <c r="I22" i="3"/>
  <c r="J22" i="3"/>
  <c r="K22" i="3"/>
  <c r="L22" i="3"/>
  <c r="M22" i="3"/>
  <c r="N22" i="3"/>
  <c r="O22" i="3"/>
  <c r="P22" i="3"/>
  <c r="Q22" i="3"/>
  <c r="R22" i="3"/>
  <c r="S22" i="3"/>
  <c r="I128" i="3"/>
  <c r="J128" i="3"/>
  <c r="K128" i="3"/>
  <c r="L128" i="3"/>
  <c r="M128" i="3"/>
  <c r="N128" i="3"/>
  <c r="O128" i="3"/>
  <c r="P128" i="3"/>
  <c r="Q128" i="3"/>
  <c r="R128" i="3"/>
  <c r="S128" i="3"/>
  <c r="O137" i="3"/>
  <c r="I139" i="3"/>
  <c r="I137" i="3" s="1"/>
  <c r="J139" i="3"/>
  <c r="J137" i="3" s="1"/>
  <c r="K139" i="3"/>
  <c r="K137" i="3" s="1"/>
  <c r="L139" i="3"/>
  <c r="L137" i="3" s="1"/>
  <c r="M139" i="3"/>
  <c r="M137" i="3" s="1"/>
  <c r="N139" i="3"/>
  <c r="N137" i="3" s="1"/>
  <c r="O139" i="3"/>
  <c r="P139" i="3"/>
  <c r="P137" i="3" s="1"/>
  <c r="Q139" i="3"/>
  <c r="Q137" i="3" s="1"/>
  <c r="R139" i="3"/>
  <c r="R137" i="3" s="1"/>
  <c r="S139" i="3"/>
  <c r="S137" i="3" s="1"/>
  <c r="Q146" i="3"/>
  <c r="S146" i="3"/>
  <c r="I147" i="3"/>
  <c r="I146" i="3" s="1"/>
  <c r="J147" i="3"/>
  <c r="J146" i="3" s="1"/>
  <c r="K147" i="3"/>
  <c r="K146" i="3" s="1"/>
  <c r="L147" i="3"/>
  <c r="L146" i="3" s="1"/>
  <c r="M147" i="3"/>
  <c r="M146" i="3" s="1"/>
  <c r="N147" i="3"/>
  <c r="N146" i="3" s="1"/>
  <c r="O147" i="3"/>
  <c r="O146" i="3" s="1"/>
  <c r="P147" i="3"/>
  <c r="P146" i="3" s="1"/>
  <c r="Q147" i="3"/>
  <c r="R147" i="3"/>
  <c r="R146" i="3" s="1"/>
  <c r="S147" i="3"/>
  <c r="I153" i="3"/>
  <c r="J153" i="3"/>
  <c r="K153" i="3"/>
  <c r="L153" i="3"/>
  <c r="M153" i="3"/>
  <c r="N153" i="3"/>
  <c r="O153" i="3"/>
  <c r="P153" i="3"/>
  <c r="Q153" i="3"/>
  <c r="R153" i="3"/>
  <c r="S153" i="3"/>
  <c r="I160" i="3"/>
  <c r="J160" i="3"/>
  <c r="K160" i="3"/>
  <c r="L160" i="3"/>
  <c r="M160" i="3"/>
  <c r="N160" i="3"/>
  <c r="O160" i="3"/>
  <c r="P160" i="3"/>
  <c r="Q160" i="3"/>
  <c r="R160" i="3"/>
  <c r="S160" i="3"/>
  <c r="I163" i="3"/>
  <c r="J163" i="3"/>
  <c r="K163" i="3"/>
  <c r="L163" i="3"/>
  <c r="M163" i="3"/>
  <c r="N163" i="3"/>
  <c r="O163" i="3"/>
  <c r="P163" i="3"/>
  <c r="Q163" i="3"/>
  <c r="R163" i="3"/>
  <c r="S163" i="3"/>
  <c r="I165" i="3"/>
  <c r="J165" i="3"/>
  <c r="K165" i="3"/>
  <c r="L165" i="3"/>
  <c r="M165" i="3"/>
  <c r="N165" i="3"/>
  <c r="O165" i="3"/>
  <c r="P165" i="3"/>
  <c r="Q165" i="3"/>
  <c r="R165" i="3"/>
  <c r="S165" i="3"/>
  <c r="I171" i="3"/>
  <c r="J171" i="3"/>
  <c r="K171" i="3"/>
  <c r="L171" i="3"/>
  <c r="M171" i="3"/>
  <c r="N171" i="3"/>
  <c r="O171" i="3"/>
  <c r="P171" i="3"/>
  <c r="Q171" i="3"/>
  <c r="R171" i="3"/>
  <c r="S171" i="3"/>
  <c r="H147" i="3"/>
  <c r="H171" i="3"/>
  <c r="H165" i="3"/>
  <c r="H163" i="3"/>
  <c r="H160" i="3"/>
  <c r="H153" i="3"/>
  <c r="H146" i="3"/>
  <c r="H139" i="3"/>
  <c r="H137" i="3"/>
  <c r="H128" i="3"/>
  <c r="H22" i="3"/>
  <c r="H9" i="3"/>
  <c r="AI26" i="1" l="1"/>
  <c r="AI24" i="1"/>
  <c r="U24" i="1"/>
  <c r="V24" i="1" s="1"/>
  <c r="U26" i="1"/>
  <c r="V26" i="1" s="1"/>
  <c r="N2" i="3"/>
  <c r="N177" i="3" s="1"/>
  <c r="H169" i="3"/>
  <c r="Q169" i="3"/>
  <c r="S169" i="3"/>
  <c r="R169" i="3"/>
  <c r="N169" i="3"/>
  <c r="I169" i="3"/>
  <c r="P169" i="3"/>
  <c r="L169" i="3"/>
  <c r="O169" i="3"/>
  <c r="J169" i="3"/>
  <c r="M169" i="3"/>
  <c r="K169" i="3"/>
  <c r="N176" i="3" l="1"/>
  <c r="N33" i="8"/>
  <c r="M33" i="8"/>
  <c r="L33" i="8"/>
  <c r="K33" i="8"/>
  <c r="J33" i="8"/>
  <c r="I33" i="8"/>
  <c r="H33" i="8"/>
  <c r="G33" i="8"/>
  <c r="F33" i="8"/>
  <c r="E33" i="8"/>
  <c r="D33" i="8"/>
  <c r="C33" i="8"/>
  <c r="N32" i="8"/>
  <c r="S108" i="3" s="1"/>
  <c r="AC108" i="13" s="1"/>
  <c r="M32" i="8"/>
  <c r="R108" i="3" s="1"/>
  <c r="AB108" i="13" s="1"/>
  <c r="L32" i="8"/>
  <c r="Q108" i="3" s="1"/>
  <c r="AA108" i="13" s="1"/>
  <c r="K32" i="8"/>
  <c r="P108" i="3" s="1"/>
  <c r="Z108" i="13" s="1"/>
  <c r="J32" i="8"/>
  <c r="O108" i="3" s="1"/>
  <c r="Y108" i="13" s="1"/>
  <c r="I32" i="8"/>
  <c r="N108" i="3" s="1"/>
  <c r="X108" i="13" s="1"/>
  <c r="H32" i="8"/>
  <c r="M108" i="3" s="1"/>
  <c r="W108" i="13" s="1"/>
  <c r="G32" i="8"/>
  <c r="L108" i="3" s="1"/>
  <c r="V108" i="13" s="1"/>
  <c r="F32" i="8"/>
  <c r="K108" i="3" s="1"/>
  <c r="U108" i="13" s="1"/>
  <c r="E32" i="8"/>
  <c r="J108" i="3" s="1"/>
  <c r="T108" i="13" s="1"/>
  <c r="D32" i="8"/>
  <c r="I108" i="3" s="1"/>
  <c r="S108" i="13" s="1"/>
  <c r="C32" i="8"/>
  <c r="H108" i="3" s="1"/>
  <c r="R108" i="13" s="1"/>
  <c r="N31" i="8"/>
  <c r="S89" i="3" s="1"/>
  <c r="AC89" i="13" s="1"/>
  <c r="M31" i="8"/>
  <c r="R89" i="3" s="1"/>
  <c r="AB89" i="13" s="1"/>
  <c r="L31" i="8"/>
  <c r="Q89" i="3" s="1"/>
  <c r="AA89" i="13" s="1"/>
  <c r="K31" i="8"/>
  <c r="P89" i="3" s="1"/>
  <c r="Z89" i="13" s="1"/>
  <c r="J31" i="8"/>
  <c r="O89" i="3" s="1"/>
  <c r="Y89" i="13" s="1"/>
  <c r="I31" i="8"/>
  <c r="N89" i="3" s="1"/>
  <c r="X89" i="13" s="1"/>
  <c r="H31" i="8"/>
  <c r="M89" i="3" s="1"/>
  <c r="W89" i="13" s="1"/>
  <c r="G31" i="8"/>
  <c r="L89" i="3" s="1"/>
  <c r="V89" i="13" s="1"/>
  <c r="F31" i="8"/>
  <c r="K89" i="3" s="1"/>
  <c r="U89" i="13" s="1"/>
  <c r="E31" i="8"/>
  <c r="J89" i="3" s="1"/>
  <c r="T89" i="13" s="1"/>
  <c r="D31" i="8"/>
  <c r="I89" i="3" s="1"/>
  <c r="S89" i="13" s="1"/>
  <c r="C31" i="8"/>
  <c r="H89" i="3" s="1"/>
  <c r="R89" i="13" s="1"/>
  <c r="N30" i="8"/>
  <c r="S78" i="3" s="1"/>
  <c r="AC78" i="13" s="1"/>
  <c r="M30" i="8"/>
  <c r="R78" i="3" s="1"/>
  <c r="AB78" i="13" s="1"/>
  <c r="L30" i="8"/>
  <c r="Q78" i="3" s="1"/>
  <c r="AA78" i="13" s="1"/>
  <c r="K30" i="8"/>
  <c r="P78" i="3" s="1"/>
  <c r="Z78" i="13" s="1"/>
  <c r="J30" i="8"/>
  <c r="O78" i="3" s="1"/>
  <c r="Y78" i="13" s="1"/>
  <c r="I30" i="8"/>
  <c r="N78" i="3" s="1"/>
  <c r="X78" i="13" s="1"/>
  <c r="H30" i="8"/>
  <c r="M78" i="3" s="1"/>
  <c r="W78" i="13" s="1"/>
  <c r="G30" i="8"/>
  <c r="L78" i="3" s="1"/>
  <c r="V78" i="13" s="1"/>
  <c r="F30" i="8"/>
  <c r="K78" i="3" s="1"/>
  <c r="U78" i="13" s="1"/>
  <c r="E30" i="8"/>
  <c r="J78" i="3" s="1"/>
  <c r="T78" i="13" s="1"/>
  <c r="D30" i="8"/>
  <c r="I78" i="3" s="1"/>
  <c r="S78" i="13" s="1"/>
  <c r="C30" i="8"/>
  <c r="H78" i="3" s="1"/>
  <c r="R78" i="13" s="1"/>
  <c r="N29" i="8"/>
  <c r="M29" i="8"/>
  <c r="L29" i="8"/>
  <c r="K29" i="8"/>
  <c r="J29" i="8"/>
  <c r="I29" i="8"/>
  <c r="H29" i="8"/>
  <c r="G29" i="8"/>
  <c r="F29" i="8"/>
  <c r="E29" i="8"/>
  <c r="D29" i="8"/>
  <c r="C29" i="8"/>
  <c r="N28" i="8"/>
  <c r="M28" i="8"/>
  <c r="L28" i="8"/>
  <c r="K28" i="8"/>
  <c r="J28" i="8"/>
  <c r="I28" i="8"/>
  <c r="H28" i="8"/>
  <c r="G28" i="8"/>
  <c r="F28" i="8"/>
  <c r="E28" i="8"/>
  <c r="D28" i="8"/>
  <c r="C28" i="8"/>
  <c r="N27" i="8"/>
  <c r="M27" i="8"/>
  <c r="L27" i="8"/>
  <c r="K27" i="8"/>
  <c r="J27" i="8"/>
  <c r="I27" i="8"/>
  <c r="H27" i="8"/>
  <c r="G27" i="8"/>
  <c r="F27" i="8"/>
  <c r="E27" i="8"/>
  <c r="D27" i="8"/>
  <c r="C27" i="8"/>
  <c r="N26" i="8"/>
  <c r="S46" i="3" s="1"/>
  <c r="AC46" i="13" s="1"/>
  <c r="M26" i="8"/>
  <c r="R46" i="3" s="1"/>
  <c r="AB46" i="13" s="1"/>
  <c r="L26" i="8"/>
  <c r="Q46" i="3" s="1"/>
  <c r="AA46" i="13" s="1"/>
  <c r="K26" i="8"/>
  <c r="P46" i="3" s="1"/>
  <c r="Z46" i="13" s="1"/>
  <c r="J26" i="8"/>
  <c r="O46" i="3" s="1"/>
  <c r="Y46" i="13" s="1"/>
  <c r="I26" i="8"/>
  <c r="N46" i="3" s="1"/>
  <c r="X46" i="13" s="1"/>
  <c r="H26" i="8"/>
  <c r="M46" i="3" s="1"/>
  <c r="W46" i="13" s="1"/>
  <c r="G26" i="8"/>
  <c r="L46" i="3" s="1"/>
  <c r="V46" i="13" s="1"/>
  <c r="F26" i="8"/>
  <c r="K46" i="3" s="1"/>
  <c r="U46" i="13" s="1"/>
  <c r="E26" i="8"/>
  <c r="J46" i="3" s="1"/>
  <c r="T46" i="13" s="1"/>
  <c r="D26" i="8"/>
  <c r="I46" i="3" s="1"/>
  <c r="S46" i="13" s="1"/>
  <c r="C26" i="8"/>
  <c r="H46" i="3" s="1"/>
  <c r="R46" i="13" s="1"/>
  <c r="N25" i="8"/>
  <c r="S38" i="3" s="1"/>
  <c r="AC38" i="13" s="1"/>
  <c r="M25" i="8"/>
  <c r="R38" i="3" s="1"/>
  <c r="AB38" i="13" s="1"/>
  <c r="L25" i="8"/>
  <c r="Q38" i="3" s="1"/>
  <c r="AA38" i="13" s="1"/>
  <c r="K25" i="8"/>
  <c r="P38" i="3" s="1"/>
  <c r="Z38" i="13" s="1"/>
  <c r="J25" i="8"/>
  <c r="O38" i="3" s="1"/>
  <c r="Y38" i="13" s="1"/>
  <c r="I25" i="8"/>
  <c r="N38" i="3" s="1"/>
  <c r="X38" i="13" s="1"/>
  <c r="H25" i="8"/>
  <c r="M38" i="3" s="1"/>
  <c r="W38" i="13" s="1"/>
  <c r="G25" i="8"/>
  <c r="L38" i="3" s="1"/>
  <c r="V38" i="13" s="1"/>
  <c r="F25" i="8"/>
  <c r="K38" i="3" s="1"/>
  <c r="U38" i="13" s="1"/>
  <c r="E25" i="8"/>
  <c r="J38" i="3" s="1"/>
  <c r="T38" i="13" s="1"/>
  <c r="D25" i="8"/>
  <c r="I38" i="3" s="1"/>
  <c r="S38" i="13" s="1"/>
  <c r="C25" i="8"/>
  <c r="H38" i="3" s="1"/>
  <c r="R38" i="13" s="1"/>
  <c r="N24" i="8"/>
  <c r="M24" i="8"/>
  <c r="L24" i="8"/>
  <c r="K24" i="8"/>
  <c r="J24" i="8"/>
  <c r="I24" i="8"/>
  <c r="H24" i="8"/>
  <c r="G24" i="8"/>
  <c r="F24" i="8"/>
  <c r="E24" i="8"/>
  <c r="D24" i="8"/>
  <c r="C24" i="8"/>
  <c r="N23" i="8"/>
  <c r="M23" i="8"/>
  <c r="L23" i="8"/>
  <c r="K23" i="8"/>
  <c r="J23" i="8"/>
  <c r="I23" i="8"/>
  <c r="H23" i="8"/>
  <c r="G23" i="8"/>
  <c r="F23" i="8"/>
  <c r="E23" i="8"/>
  <c r="D23" i="8"/>
  <c r="C23" i="8"/>
  <c r="N22" i="8"/>
  <c r="M22" i="8"/>
  <c r="L22" i="8"/>
  <c r="K22" i="8"/>
  <c r="J22" i="8"/>
  <c r="I22" i="8"/>
  <c r="H22" i="8"/>
  <c r="G22" i="8"/>
  <c r="F22" i="8"/>
  <c r="E22" i="8"/>
  <c r="D22" i="8"/>
  <c r="C22" i="8"/>
  <c r="N21" i="8"/>
  <c r="S33" i="3" s="1"/>
  <c r="AC33" i="13" s="1"/>
  <c r="M21" i="8"/>
  <c r="R33" i="3" s="1"/>
  <c r="AB33" i="13" s="1"/>
  <c r="L21" i="8"/>
  <c r="Q33" i="3" s="1"/>
  <c r="AA33" i="13" s="1"/>
  <c r="K21" i="8"/>
  <c r="P33" i="3" s="1"/>
  <c r="Z33" i="13" s="1"/>
  <c r="J21" i="8"/>
  <c r="O33" i="3" s="1"/>
  <c r="Y33" i="13" s="1"/>
  <c r="I21" i="8"/>
  <c r="N33" i="3" s="1"/>
  <c r="X33" i="13" s="1"/>
  <c r="H21" i="8"/>
  <c r="M33" i="3" s="1"/>
  <c r="W33" i="13" s="1"/>
  <c r="G21" i="8"/>
  <c r="L33" i="3" s="1"/>
  <c r="V33" i="13" s="1"/>
  <c r="F21" i="8"/>
  <c r="K33" i="3" s="1"/>
  <c r="U33" i="13" s="1"/>
  <c r="E21" i="8"/>
  <c r="J33" i="3" s="1"/>
  <c r="T33" i="13" s="1"/>
  <c r="D21" i="8"/>
  <c r="I33" i="3" s="1"/>
  <c r="S33" i="13" s="1"/>
  <c r="C21" i="8"/>
  <c r="H33" i="3" s="1"/>
  <c r="R33" i="13" s="1"/>
  <c r="N20" i="8"/>
  <c r="S28" i="3" s="1"/>
  <c r="M20" i="8"/>
  <c r="R28" i="3" s="1"/>
  <c r="L20" i="8"/>
  <c r="Q28" i="3" s="1"/>
  <c r="AA28" i="13" s="1"/>
  <c r="AA27" i="13" s="1"/>
  <c r="AA183" i="13" s="1"/>
  <c r="K20" i="8"/>
  <c r="P28" i="3" s="1"/>
  <c r="J20" i="8"/>
  <c r="O28" i="3" s="1"/>
  <c r="I20" i="8"/>
  <c r="N28" i="3" s="1"/>
  <c r="H20" i="8"/>
  <c r="M28" i="3" s="1"/>
  <c r="G20" i="8"/>
  <c r="L28" i="3" s="1"/>
  <c r="F20" i="8"/>
  <c r="K28" i="3" s="1"/>
  <c r="E20" i="8"/>
  <c r="J28" i="3" s="1"/>
  <c r="D20" i="8"/>
  <c r="I28" i="3" s="1"/>
  <c r="S28" i="13" s="1"/>
  <c r="C20" i="8"/>
  <c r="H28" i="3" s="1"/>
  <c r="N19" i="8"/>
  <c r="M19" i="8"/>
  <c r="L19" i="8"/>
  <c r="K19" i="8"/>
  <c r="J19" i="8"/>
  <c r="I19" i="8"/>
  <c r="H19" i="8"/>
  <c r="G19" i="8"/>
  <c r="F19" i="8"/>
  <c r="E19" i="8"/>
  <c r="D19" i="8"/>
  <c r="C19" i="8"/>
  <c r="N18" i="8"/>
  <c r="M18" i="8"/>
  <c r="L18" i="8"/>
  <c r="K18" i="8"/>
  <c r="J18" i="8"/>
  <c r="I18" i="8"/>
  <c r="H18" i="8"/>
  <c r="G18" i="8"/>
  <c r="F18" i="8"/>
  <c r="E18" i="8"/>
  <c r="D18" i="8"/>
  <c r="C18" i="8"/>
  <c r="N17" i="8"/>
  <c r="M17" i="8"/>
  <c r="L17" i="8"/>
  <c r="K17" i="8"/>
  <c r="J17" i="8"/>
  <c r="I17" i="8"/>
  <c r="H17" i="8"/>
  <c r="G17" i="8"/>
  <c r="F17" i="8"/>
  <c r="E17" i="8"/>
  <c r="D17" i="8"/>
  <c r="C17" i="8"/>
  <c r="N16" i="8"/>
  <c r="M16" i="8"/>
  <c r="L16" i="8"/>
  <c r="K16" i="8"/>
  <c r="J16" i="8"/>
  <c r="I16" i="8"/>
  <c r="H16" i="8"/>
  <c r="G16" i="8"/>
  <c r="F16" i="8"/>
  <c r="E16" i="8"/>
  <c r="D16" i="8"/>
  <c r="C16" i="8"/>
  <c r="N15" i="8"/>
  <c r="S14" i="3" s="1"/>
  <c r="M15" i="8"/>
  <c r="R14" i="3" s="1"/>
  <c r="L15" i="8"/>
  <c r="Q14" i="3" s="1"/>
  <c r="K15" i="8"/>
  <c r="P14" i="3" s="1"/>
  <c r="J15" i="8"/>
  <c r="O14" i="3" s="1"/>
  <c r="I15" i="8"/>
  <c r="N14" i="3" s="1"/>
  <c r="H15" i="8"/>
  <c r="M14" i="3" s="1"/>
  <c r="G15" i="8"/>
  <c r="L14" i="3" s="1"/>
  <c r="F15" i="8"/>
  <c r="K14" i="3" s="1"/>
  <c r="E15" i="8"/>
  <c r="J14" i="3" s="1"/>
  <c r="D15" i="8"/>
  <c r="I14" i="3" s="1"/>
  <c r="C15" i="8"/>
  <c r="H14" i="3" s="1"/>
  <c r="N14" i="8"/>
  <c r="M14" i="8"/>
  <c r="L14" i="8"/>
  <c r="K14" i="8"/>
  <c r="J14" i="8"/>
  <c r="I14" i="8"/>
  <c r="H14" i="8"/>
  <c r="G14" i="8"/>
  <c r="F14" i="8"/>
  <c r="E14" i="8"/>
  <c r="D14" i="8"/>
  <c r="C14" i="8"/>
  <c r="N13" i="8"/>
  <c r="M13" i="8"/>
  <c r="L13" i="8"/>
  <c r="K13" i="8"/>
  <c r="J13" i="8"/>
  <c r="I13" i="8"/>
  <c r="H13" i="8"/>
  <c r="G13" i="8"/>
  <c r="F13" i="8"/>
  <c r="E13" i="8"/>
  <c r="D13" i="8"/>
  <c r="C13" i="8"/>
  <c r="N12" i="8"/>
  <c r="M12" i="8"/>
  <c r="L12" i="8"/>
  <c r="K12" i="8"/>
  <c r="J12" i="8"/>
  <c r="I12" i="8"/>
  <c r="H12" i="8"/>
  <c r="G12" i="8"/>
  <c r="F12" i="8"/>
  <c r="E12" i="8"/>
  <c r="D12" i="8"/>
  <c r="C12" i="8"/>
  <c r="N11" i="8"/>
  <c r="M11" i="8"/>
  <c r="L11" i="8"/>
  <c r="K11" i="8"/>
  <c r="J11" i="8"/>
  <c r="I11" i="8"/>
  <c r="H11" i="8"/>
  <c r="G11" i="8"/>
  <c r="F11" i="8"/>
  <c r="E11" i="8"/>
  <c r="D11" i="8"/>
  <c r="C11" i="8"/>
  <c r="N10" i="8"/>
  <c r="M10" i="8"/>
  <c r="L10" i="8"/>
  <c r="K10" i="8"/>
  <c r="J10" i="8"/>
  <c r="I10" i="8"/>
  <c r="H10" i="8"/>
  <c r="G10" i="8"/>
  <c r="F10" i="8"/>
  <c r="E10" i="8"/>
  <c r="D10" i="8"/>
  <c r="C10" i="8"/>
  <c r="N9" i="8"/>
  <c r="M9" i="8"/>
  <c r="L9" i="8"/>
  <c r="K9" i="8"/>
  <c r="J9" i="8"/>
  <c r="I9" i="8"/>
  <c r="H9" i="8"/>
  <c r="G9" i="8"/>
  <c r="F9" i="8"/>
  <c r="E9" i="8"/>
  <c r="D9" i="8"/>
  <c r="C9" i="8"/>
  <c r="N8" i="8"/>
  <c r="M8" i="8"/>
  <c r="L8" i="8"/>
  <c r="K8" i="8"/>
  <c r="J8" i="8"/>
  <c r="I8" i="8"/>
  <c r="H8" i="8"/>
  <c r="G8" i="8"/>
  <c r="F8" i="8"/>
  <c r="E8" i="8"/>
  <c r="D8" i="8"/>
  <c r="C8" i="8"/>
  <c r="N7" i="8"/>
  <c r="S7" i="3" s="1"/>
  <c r="AC7" i="13" s="1"/>
  <c r="AC2" i="13" s="1"/>
  <c r="M7" i="8"/>
  <c r="R7" i="3" s="1"/>
  <c r="AB7" i="13" s="1"/>
  <c r="AB2" i="13" s="1"/>
  <c r="L7" i="8"/>
  <c r="Q7" i="3" s="1"/>
  <c r="AA7" i="13" s="1"/>
  <c r="AA2" i="13" s="1"/>
  <c r="K7" i="8"/>
  <c r="P7" i="3" s="1"/>
  <c r="Z7" i="13" s="1"/>
  <c r="Z2" i="13" s="1"/>
  <c r="J7" i="8"/>
  <c r="O7" i="3" s="1"/>
  <c r="Y7" i="13" s="1"/>
  <c r="Y2" i="13" s="1"/>
  <c r="H7" i="8"/>
  <c r="M7" i="3" s="1"/>
  <c r="W7" i="13" s="1"/>
  <c r="W2" i="13" s="1"/>
  <c r="G7" i="8"/>
  <c r="L7" i="3" s="1"/>
  <c r="V7" i="13" s="1"/>
  <c r="V2" i="13" s="1"/>
  <c r="F7" i="8"/>
  <c r="K7" i="3" s="1"/>
  <c r="U7" i="13" s="1"/>
  <c r="U2" i="13" s="1"/>
  <c r="E7" i="8"/>
  <c r="J7" i="3" s="1"/>
  <c r="T7" i="13" s="1"/>
  <c r="T2" i="13" s="1"/>
  <c r="D7" i="8"/>
  <c r="I7" i="3" s="1"/>
  <c r="S7" i="13" s="1"/>
  <c r="C7" i="8"/>
  <c r="H7" i="3" s="1"/>
  <c r="R7" i="13" s="1"/>
  <c r="N32" i="7"/>
  <c r="M32" i="7"/>
  <c r="L32" i="7"/>
  <c r="K32" i="7"/>
  <c r="J32" i="7"/>
  <c r="I32" i="7"/>
  <c r="H32" i="7"/>
  <c r="G32" i="7"/>
  <c r="F32" i="7"/>
  <c r="E32" i="7"/>
  <c r="D32" i="7"/>
  <c r="N31" i="7"/>
  <c r="M31" i="7"/>
  <c r="L31" i="7"/>
  <c r="K31" i="7"/>
  <c r="J31" i="7"/>
  <c r="I31" i="7"/>
  <c r="H31" i="7"/>
  <c r="G31" i="7"/>
  <c r="F31" i="7"/>
  <c r="E31" i="7"/>
  <c r="D31" i="7"/>
  <c r="N30" i="7"/>
  <c r="M30" i="7"/>
  <c r="L30" i="7"/>
  <c r="K30" i="7"/>
  <c r="J30" i="7"/>
  <c r="I30" i="7"/>
  <c r="H30" i="7"/>
  <c r="G30" i="7"/>
  <c r="F30" i="7"/>
  <c r="E30" i="7"/>
  <c r="D30" i="7"/>
  <c r="N26" i="7"/>
  <c r="M26" i="7"/>
  <c r="L26" i="7"/>
  <c r="K26" i="7"/>
  <c r="J26" i="7"/>
  <c r="I26" i="7"/>
  <c r="H26" i="7"/>
  <c r="G26" i="7"/>
  <c r="F26" i="7"/>
  <c r="E26" i="7"/>
  <c r="D26" i="7"/>
  <c r="C26" i="7"/>
  <c r="N25" i="7"/>
  <c r="M25" i="7"/>
  <c r="L25" i="7"/>
  <c r="K25" i="7"/>
  <c r="J25" i="7"/>
  <c r="I25" i="7"/>
  <c r="H25" i="7"/>
  <c r="G25" i="7"/>
  <c r="F25" i="7"/>
  <c r="E25" i="7"/>
  <c r="D25" i="7"/>
  <c r="C25" i="7"/>
  <c r="N15" i="7"/>
  <c r="M15" i="7"/>
  <c r="L15" i="7"/>
  <c r="K15" i="7"/>
  <c r="J15" i="7"/>
  <c r="I15" i="7"/>
  <c r="H15" i="7"/>
  <c r="G15" i="7"/>
  <c r="F15" i="7"/>
  <c r="E15" i="7"/>
  <c r="D15" i="7"/>
  <c r="C15" i="7"/>
  <c r="N21" i="6"/>
  <c r="M21" i="6"/>
  <c r="L21" i="6"/>
  <c r="K21" i="6"/>
  <c r="J21" i="6"/>
  <c r="I21" i="6"/>
  <c r="H21" i="6"/>
  <c r="G21" i="6"/>
  <c r="F21" i="6"/>
  <c r="E21" i="6"/>
  <c r="D21" i="6"/>
  <c r="N20" i="6"/>
  <c r="M20" i="6"/>
  <c r="L20" i="6"/>
  <c r="K20" i="6"/>
  <c r="J20" i="6"/>
  <c r="I20" i="6"/>
  <c r="H20" i="6"/>
  <c r="G20" i="6"/>
  <c r="F20" i="6"/>
  <c r="E20" i="6"/>
  <c r="D20" i="6"/>
  <c r="N15" i="6"/>
  <c r="M15" i="6"/>
  <c r="L15" i="6"/>
  <c r="K15" i="6"/>
  <c r="J15" i="6"/>
  <c r="I15" i="6"/>
  <c r="H15" i="6"/>
  <c r="G15" i="6"/>
  <c r="F15" i="6"/>
  <c r="E15" i="6"/>
  <c r="D15" i="6"/>
  <c r="S27" i="13" l="1"/>
  <c r="S183" i="13" s="1"/>
  <c r="W177" i="13"/>
  <c r="W176" i="13" s="1"/>
  <c r="K27" i="3"/>
  <c r="K183" i="3" s="1"/>
  <c r="U28" i="13"/>
  <c r="U27" i="13" s="1"/>
  <c r="U183" i="13" s="1"/>
  <c r="R2" i="13"/>
  <c r="P7" i="13"/>
  <c r="K13" i="3"/>
  <c r="K182" i="3" s="1"/>
  <c r="U14" i="13"/>
  <c r="M13" i="3"/>
  <c r="M182" i="3" s="1"/>
  <c r="W14" i="13"/>
  <c r="AA177" i="13"/>
  <c r="AA176" i="13" s="1"/>
  <c r="O13" i="3"/>
  <c r="O182" i="3" s="1"/>
  <c r="Y14" i="13"/>
  <c r="O27" i="3"/>
  <c r="O183" i="3" s="1"/>
  <c r="Y28" i="13"/>
  <c r="Y27" i="13" s="1"/>
  <c r="Y183" i="13" s="1"/>
  <c r="J13" i="3"/>
  <c r="J182" i="3" s="1"/>
  <c r="T14" i="13"/>
  <c r="X177" i="13"/>
  <c r="X176" i="13" s="1"/>
  <c r="AB177" i="13"/>
  <c r="AB176" i="13" s="1"/>
  <c r="J27" i="3"/>
  <c r="J183" i="3" s="1"/>
  <c r="T28" i="13"/>
  <c r="T27" i="13" s="1"/>
  <c r="T183" i="13" s="1"/>
  <c r="L27" i="3"/>
  <c r="L183" i="3" s="1"/>
  <c r="V28" i="13"/>
  <c r="V27" i="13" s="1"/>
  <c r="V183" i="13" s="1"/>
  <c r="M27" i="3"/>
  <c r="M183" i="3" s="1"/>
  <c r="W28" i="13"/>
  <c r="W27" i="13" s="1"/>
  <c r="W183" i="13" s="1"/>
  <c r="Y177" i="13"/>
  <c r="Y176" i="13" s="1"/>
  <c r="Z177" i="13"/>
  <c r="Z176" i="13" s="1"/>
  <c r="AD108" i="13"/>
  <c r="I13" i="3"/>
  <c r="I182" i="3" s="1"/>
  <c r="S14" i="13"/>
  <c r="AD7" i="13"/>
  <c r="L13" i="3"/>
  <c r="L182" i="3" s="1"/>
  <c r="V14" i="13"/>
  <c r="N13" i="3"/>
  <c r="N182" i="3" s="1"/>
  <c r="X14" i="13"/>
  <c r="P13" i="3"/>
  <c r="P182" i="3" s="1"/>
  <c r="Z14" i="13"/>
  <c r="P27" i="3"/>
  <c r="P183" i="3" s="1"/>
  <c r="Z28" i="13"/>
  <c r="Z27" i="13" s="1"/>
  <c r="Z183" i="13" s="1"/>
  <c r="AC177" i="13"/>
  <c r="AC176" i="13" s="1"/>
  <c r="Q13" i="3"/>
  <c r="Q182" i="3" s="1"/>
  <c r="AA14" i="13"/>
  <c r="S13" i="3"/>
  <c r="S182" i="3" s="1"/>
  <c r="AC14" i="13"/>
  <c r="S27" i="3"/>
  <c r="S183" i="3" s="1"/>
  <c r="AC28" i="13"/>
  <c r="AC27" i="13" s="1"/>
  <c r="AC183" i="13" s="1"/>
  <c r="N27" i="3"/>
  <c r="N183" i="3" s="1"/>
  <c r="X28" i="13"/>
  <c r="X27" i="13" s="1"/>
  <c r="R13" i="3"/>
  <c r="R182" i="3" s="1"/>
  <c r="AB14" i="13"/>
  <c r="R27" i="3"/>
  <c r="R183" i="3" s="1"/>
  <c r="AB28" i="13"/>
  <c r="AB27" i="13" s="1"/>
  <c r="AB183" i="13" s="1"/>
  <c r="H13" i="3"/>
  <c r="H182" i="3" s="1"/>
  <c r="R14" i="13"/>
  <c r="H27" i="3"/>
  <c r="H183" i="3" s="1"/>
  <c r="R28" i="13"/>
  <c r="AD33" i="13"/>
  <c r="AD38" i="13"/>
  <c r="AD46" i="13"/>
  <c r="AD78" i="13"/>
  <c r="AD89" i="13"/>
  <c r="I27" i="3"/>
  <c r="I183" i="3" s="1"/>
  <c r="Q27" i="3"/>
  <c r="Q183" i="3" s="1"/>
  <c r="O2" i="3"/>
  <c r="O177" i="3" s="1"/>
  <c r="P2" i="3"/>
  <c r="P177" i="3" s="1"/>
  <c r="Q2" i="3"/>
  <c r="Q177" i="3" s="1"/>
  <c r="R2" i="3"/>
  <c r="R177" i="3" s="1"/>
  <c r="S2" i="3"/>
  <c r="S177" i="3" s="1"/>
  <c r="H2" i="3"/>
  <c r="H177" i="3" s="1"/>
  <c r="I2" i="3"/>
  <c r="I177" i="3" s="1"/>
  <c r="J2" i="3"/>
  <c r="J177" i="3" s="1"/>
  <c r="K2" i="3"/>
  <c r="K177" i="3" s="1"/>
  <c r="L2" i="3"/>
  <c r="L177" i="3" s="1"/>
  <c r="M2" i="3"/>
  <c r="M177" i="3" s="1"/>
  <c r="I124" i="2"/>
  <c r="I122" i="2" s="1"/>
  <c r="J124" i="2"/>
  <c r="J122" i="2" s="1"/>
  <c r="K124" i="2"/>
  <c r="L124" i="2"/>
  <c r="M124" i="2"/>
  <c r="N124" i="2"/>
  <c r="N122" i="2" s="1"/>
  <c r="O124" i="2"/>
  <c r="P124" i="2"/>
  <c r="Q124" i="2"/>
  <c r="R124" i="2"/>
  <c r="S124" i="2"/>
  <c r="S122" i="2" s="1"/>
  <c r="H124" i="2"/>
  <c r="H122" i="2" s="1"/>
  <c r="T4" i="2"/>
  <c r="T5" i="2"/>
  <c r="T6" i="2"/>
  <c r="T7" i="2"/>
  <c r="T8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9" i="2"/>
  <c r="T30" i="2"/>
  <c r="T31" i="2"/>
  <c r="T32" i="2"/>
  <c r="T33" i="2"/>
  <c r="T34" i="2"/>
  <c r="T35" i="2"/>
  <c r="T36" i="2"/>
  <c r="T39" i="2"/>
  <c r="T40" i="2"/>
  <c r="T41" i="2"/>
  <c r="T42" i="2"/>
  <c r="T43" i="2"/>
  <c r="T44" i="2"/>
  <c r="T45" i="2"/>
  <c r="T46" i="2"/>
  <c r="T47" i="2"/>
  <c r="T48" i="2"/>
  <c r="T50" i="2"/>
  <c r="T51" i="2"/>
  <c r="T52" i="2"/>
  <c r="T53" i="2"/>
  <c r="T54" i="2"/>
  <c r="T55" i="2"/>
  <c r="T56" i="2"/>
  <c r="T57" i="2"/>
  <c r="T58" i="2"/>
  <c r="T59" i="2"/>
  <c r="T60" i="2"/>
  <c r="T62" i="2"/>
  <c r="T63" i="2"/>
  <c r="T64" i="2"/>
  <c r="T65" i="2"/>
  <c r="T66" i="2"/>
  <c r="T67" i="2"/>
  <c r="T68" i="2"/>
  <c r="T69" i="2"/>
  <c r="T70" i="2"/>
  <c r="T71" i="2"/>
  <c r="T73" i="2"/>
  <c r="T74" i="2"/>
  <c r="T75" i="2"/>
  <c r="T76" i="2"/>
  <c r="T79" i="2"/>
  <c r="T80" i="2"/>
  <c r="T81" i="2"/>
  <c r="T82" i="2"/>
  <c r="T83" i="2"/>
  <c r="T84" i="2"/>
  <c r="T85" i="2"/>
  <c r="T86" i="2"/>
  <c r="T87" i="2"/>
  <c r="T88" i="2"/>
  <c r="T123" i="2"/>
  <c r="T125" i="2"/>
  <c r="T126" i="2"/>
  <c r="T127" i="2"/>
  <c r="T129" i="2"/>
  <c r="T130" i="2"/>
  <c r="T131" i="2"/>
  <c r="T133" i="2"/>
  <c r="T134" i="2"/>
  <c r="T135" i="2"/>
  <c r="T138" i="2"/>
  <c r="T140" i="2"/>
  <c r="T141" i="2"/>
  <c r="T142" i="2"/>
  <c r="T143" i="2"/>
  <c r="T144" i="2"/>
  <c r="T145" i="2"/>
  <c r="T147" i="2"/>
  <c r="T148" i="2"/>
  <c r="T149" i="2"/>
  <c r="T150" i="2"/>
  <c r="T151" i="2"/>
  <c r="T152" i="2"/>
  <c r="T154" i="2"/>
  <c r="T155" i="2"/>
  <c r="T156" i="2"/>
  <c r="T157" i="2"/>
  <c r="T158" i="2"/>
  <c r="T159" i="2"/>
  <c r="T161" i="2"/>
  <c r="T162" i="2"/>
  <c r="T164" i="2"/>
  <c r="T166" i="2"/>
  <c r="T167" i="2"/>
  <c r="T168" i="2"/>
  <c r="T172" i="2"/>
  <c r="T173" i="2"/>
  <c r="P2" i="2"/>
  <c r="P177" i="2" s="1"/>
  <c r="P176" i="2" s="1"/>
  <c r="I3" i="2"/>
  <c r="I2" i="2" s="1"/>
  <c r="I177" i="2" s="1"/>
  <c r="I176" i="2" s="1"/>
  <c r="J3" i="2"/>
  <c r="K3" i="2"/>
  <c r="L3" i="2"/>
  <c r="L2" i="2" s="1"/>
  <c r="L177" i="2" s="1"/>
  <c r="L176" i="2" s="1"/>
  <c r="M3" i="2"/>
  <c r="M2" i="2" s="1"/>
  <c r="M177" i="2" s="1"/>
  <c r="M176" i="2" s="1"/>
  <c r="N3" i="2"/>
  <c r="N2" i="2" s="1"/>
  <c r="N177" i="2" s="1"/>
  <c r="N176" i="2" s="1"/>
  <c r="O3" i="2"/>
  <c r="O2" i="2" s="1"/>
  <c r="O177" i="2" s="1"/>
  <c r="O176" i="2" s="1"/>
  <c r="P3" i="2"/>
  <c r="Q3" i="2"/>
  <c r="Q2" i="2" s="1"/>
  <c r="Q177" i="2" s="1"/>
  <c r="Q176" i="2" s="1"/>
  <c r="R3" i="2"/>
  <c r="R2" i="2" s="1"/>
  <c r="R177" i="2" s="1"/>
  <c r="R176" i="2" s="1"/>
  <c r="S3" i="2"/>
  <c r="S2" i="2" s="1"/>
  <c r="S177" i="2" s="1"/>
  <c r="S176" i="2" s="1"/>
  <c r="I9" i="2"/>
  <c r="J9" i="2"/>
  <c r="K9" i="2"/>
  <c r="L9" i="2"/>
  <c r="M9" i="2"/>
  <c r="N9" i="2"/>
  <c r="O9" i="2"/>
  <c r="P9" i="2"/>
  <c r="Q9" i="2"/>
  <c r="R9" i="2"/>
  <c r="S9" i="2"/>
  <c r="I28" i="2"/>
  <c r="I27" i="2" s="1"/>
  <c r="I183" i="2" s="1"/>
  <c r="J28" i="2"/>
  <c r="J27" i="2" s="1"/>
  <c r="J183" i="2" s="1"/>
  <c r="K28" i="2"/>
  <c r="K27" i="2" s="1"/>
  <c r="K183" i="2" s="1"/>
  <c r="L28" i="2"/>
  <c r="L27" i="2" s="1"/>
  <c r="L183" i="2" s="1"/>
  <c r="M28" i="2"/>
  <c r="M27" i="2" s="1"/>
  <c r="M183" i="2" s="1"/>
  <c r="N28" i="2"/>
  <c r="N27" i="2" s="1"/>
  <c r="N183" i="2" s="1"/>
  <c r="O28" i="2"/>
  <c r="O27" i="2" s="1"/>
  <c r="O183" i="2" s="1"/>
  <c r="P28" i="2"/>
  <c r="P27" i="2" s="1"/>
  <c r="P183" i="2" s="1"/>
  <c r="Q28" i="2"/>
  <c r="Q27" i="2" s="1"/>
  <c r="Q183" i="2" s="1"/>
  <c r="R28" i="2"/>
  <c r="R27" i="2" s="1"/>
  <c r="R183" i="2" s="1"/>
  <c r="S28" i="2"/>
  <c r="S27" i="2" s="1"/>
  <c r="S183" i="2" s="1"/>
  <c r="I38" i="2"/>
  <c r="J38" i="2"/>
  <c r="K38" i="2"/>
  <c r="L38" i="2"/>
  <c r="M38" i="2"/>
  <c r="N38" i="2"/>
  <c r="O38" i="2"/>
  <c r="P38" i="2"/>
  <c r="Q38" i="2"/>
  <c r="R38" i="2"/>
  <c r="S38" i="2"/>
  <c r="I49" i="2"/>
  <c r="J49" i="2"/>
  <c r="K49" i="2"/>
  <c r="L49" i="2"/>
  <c r="M49" i="2"/>
  <c r="N49" i="2"/>
  <c r="O49" i="2"/>
  <c r="P49" i="2"/>
  <c r="Q49" i="2"/>
  <c r="R49" i="2"/>
  <c r="S49" i="2"/>
  <c r="I61" i="2"/>
  <c r="J61" i="2"/>
  <c r="K61" i="2"/>
  <c r="L61" i="2"/>
  <c r="M61" i="2"/>
  <c r="N61" i="2"/>
  <c r="O61" i="2"/>
  <c r="P61" i="2"/>
  <c r="Q61" i="2"/>
  <c r="R61" i="2"/>
  <c r="S61" i="2"/>
  <c r="I72" i="2"/>
  <c r="J72" i="2"/>
  <c r="K72" i="2"/>
  <c r="L72" i="2"/>
  <c r="M72" i="2"/>
  <c r="N72" i="2"/>
  <c r="O72" i="2"/>
  <c r="P72" i="2"/>
  <c r="Q72" i="2"/>
  <c r="R72" i="2"/>
  <c r="S72" i="2"/>
  <c r="I77" i="2"/>
  <c r="J77" i="2"/>
  <c r="K77" i="2"/>
  <c r="L77" i="2"/>
  <c r="M77" i="2"/>
  <c r="N77" i="2"/>
  <c r="O77" i="2"/>
  <c r="P77" i="2"/>
  <c r="Q77" i="2"/>
  <c r="R77" i="2"/>
  <c r="S77" i="2"/>
  <c r="I78" i="2"/>
  <c r="J78" i="2"/>
  <c r="K78" i="2"/>
  <c r="L78" i="2"/>
  <c r="M78" i="2"/>
  <c r="N78" i="2"/>
  <c r="O78" i="2"/>
  <c r="P78" i="2"/>
  <c r="Q78" i="2"/>
  <c r="R78" i="2"/>
  <c r="S78" i="2"/>
  <c r="I89" i="2"/>
  <c r="J89" i="2"/>
  <c r="K89" i="2"/>
  <c r="L89" i="2"/>
  <c r="M89" i="2"/>
  <c r="N89" i="2"/>
  <c r="O89" i="2"/>
  <c r="P89" i="2"/>
  <c r="Q89" i="2"/>
  <c r="R89" i="2"/>
  <c r="S89" i="2"/>
  <c r="I90" i="2"/>
  <c r="J90" i="2"/>
  <c r="K90" i="2"/>
  <c r="L90" i="2"/>
  <c r="M90" i="2"/>
  <c r="N90" i="2"/>
  <c r="O90" i="2"/>
  <c r="P90" i="2"/>
  <c r="Q90" i="2"/>
  <c r="R90" i="2"/>
  <c r="S90" i="2"/>
  <c r="I91" i="2"/>
  <c r="J91" i="2"/>
  <c r="K91" i="2"/>
  <c r="L91" i="2"/>
  <c r="M91" i="2"/>
  <c r="N91" i="2"/>
  <c r="O91" i="2"/>
  <c r="P91" i="2"/>
  <c r="Q91" i="2"/>
  <c r="R91" i="2"/>
  <c r="S91" i="2"/>
  <c r="I92" i="2"/>
  <c r="J92" i="2"/>
  <c r="K92" i="2"/>
  <c r="L92" i="2"/>
  <c r="M92" i="2"/>
  <c r="N92" i="2"/>
  <c r="O92" i="2"/>
  <c r="P92" i="2"/>
  <c r="Q92" i="2"/>
  <c r="R92" i="2"/>
  <c r="S92" i="2"/>
  <c r="I93" i="2"/>
  <c r="J93" i="2"/>
  <c r="K93" i="2"/>
  <c r="L93" i="2"/>
  <c r="M93" i="2"/>
  <c r="N93" i="2"/>
  <c r="O93" i="2"/>
  <c r="P93" i="2"/>
  <c r="Q93" i="2"/>
  <c r="R93" i="2"/>
  <c r="S93" i="2"/>
  <c r="I94" i="2"/>
  <c r="J94" i="2"/>
  <c r="K94" i="2"/>
  <c r="L94" i="2"/>
  <c r="M94" i="2"/>
  <c r="N94" i="2"/>
  <c r="O94" i="2"/>
  <c r="P94" i="2"/>
  <c r="Q94" i="2"/>
  <c r="R94" i="2"/>
  <c r="S94" i="2"/>
  <c r="I95" i="2"/>
  <c r="J95" i="2"/>
  <c r="K95" i="2"/>
  <c r="L95" i="2"/>
  <c r="M95" i="2"/>
  <c r="N95" i="2"/>
  <c r="O95" i="2"/>
  <c r="P95" i="2"/>
  <c r="Q95" i="2"/>
  <c r="R95" i="2"/>
  <c r="S95" i="2"/>
  <c r="I96" i="2"/>
  <c r="J96" i="2"/>
  <c r="K96" i="2"/>
  <c r="L96" i="2"/>
  <c r="M96" i="2"/>
  <c r="N96" i="2"/>
  <c r="O96" i="2"/>
  <c r="P96" i="2"/>
  <c r="Q96" i="2"/>
  <c r="R96" i="2"/>
  <c r="S96" i="2"/>
  <c r="I97" i="2"/>
  <c r="J97" i="2"/>
  <c r="K97" i="2"/>
  <c r="L97" i="2"/>
  <c r="M97" i="2"/>
  <c r="N97" i="2"/>
  <c r="O97" i="2"/>
  <c r="P97" i="2"/>
  <c r="Q97" i="2"/>
  <c r="R97" i="2"/>
  <c r="S97" i="2"/>
  <c r="I98" i="2"/>
  <c r="J98" i="2"/>
  <c r="K98" i="2"/>
  <c r="L98" i="2"/>
  <c r="M98" i="2"/>
  <c r="N98" i="2"/>
  <c r="O98" i="2"/>
  <c r="P98" i="2"/>
  <c r="Q98" i="2"/>
  <c r="R98" i="2"/>
  <c r="S98" i="2"/>
  <c r="I99" i="2"/>
  <c r="J99" i="2"/>
  <c r="K99" i="2"/>
  <c r="L99" i="2"/>
  <c r="M99" i="2"/>
  <c r="N99" i="2"/>
  <c r="O99" i="2"/>
  <c r="P99" i="2"/>
  <c r="Q99" i="2"/>
  <c r="R99" i="2"/>
  <c r="S99" i="2"/>
  <c r="I100" i="2"/>
  <c r="J100" i="2"/>
  <c r="K100" i="2"/>
  <c r="L100" i="2"/>
  <c r="M100" i="2"/>
  <c r="N100" i="2"/>
  <c r="O100" i="2"/>
  <c r="P100" i="2"/>
  <c r="Q100" i="2"/>
  <c r="R100" i="2"/>
  <c r="S100" i="2"/>
  <c r="I101" i="2"/>
  <c r="J101" i="2"/>
  <c r="K101" i="2"/>
  <c r="L101" i="2"/>
  <c r="M101" i="2"/>
  <c r="N101" i="2"/>
  <c r="O101" i="2"/>
  <c r="P101" i="2"/>
  <c r="Q101" i="2"/>
  <c r="R101" i="2"/>
  <c r="S101" i="2"/>
  <c r="I102" i="2"/>
  <c r="J102" i="2"/>
  <c r="K102" i="2"/>
  <c r="L102" i="2"/>
  <c r="M102" i="2"/>
  <c r="N102" i="2"/>
  <c r="O102" i="2"/>
  <c r="P102" i="2"/>
  <c r="Q102" i="2"/>
  <c r="R102" i="2"/>
  <c r="S102" i="2"/>
  <c r="I103" i="2"/>
  <c r="J103" i="2"/>
  <c r="K103" i="2"/>
  <c r="L103" i="2"/>
  <c r="M103" i="2"/>
  <c r="N103" i="2"/>
  <c r="O103" i="2"/>
  <c r="P103" i="2"/>
  <c r="Q103" i="2"/>
  <c r="R103" i="2"/>
  <c r="S103" i="2"/>
  <c r="I104" i="2"/>
  <c r="J104" i="2"/>
  <c r="K104" i="2"/>
  <c r="L104" i="2"/>
  <c r="M104" i="2"/>
  <c r="N104" i="2"/>
  <c r="O104" i="2"/>
  <c r="P104" i="2"/>
  <c r="Q104" i="2"/>
  <c r="R104" i="2"/>
  <c r="S104" i="2"/>
  <c r="I105" i="2"/>
  <c r="J105" i="2"/>
  <c r="K105" i="2"/>
  <c r="L105" i="2"/>
  <c r="M105" i="2"/>
  <c r="N105" i="2"/>
  <c r="O105" i="2"/>
  <c r="P105" i="2"/>
  <c r="Q105" i="2"/>
  <c r="R105" i="2"/>
  <c r="S105" i="2"/>
  <c r="I106" i="2"/>
  <c r="J106" i="2"/>
  <c r="K106" i="2"/>
  <c r="L106" i="2"/>
  <c r="M106" i="2"/>
  <c r="N106" i="2"/>
  <c r="O106" i="2"/>
  <c r="P106" i="2"/>
  <c r="Q106" i="2"/>
  <c r="R106" i="2"/>
  <c r="S106" i="2"/>
  <c r="I107" i="2"/>
  <c r="J107" i="2"/>
  <c r="K107" i="2"/>
  <c r="L107" i="2"/>
  <c r="M107" i="2"/>
  <c r="N107" i="2"/>
  <c r="O107" i="2"/>
  <c r="P107" i="2"/>
  <c r="Q107" i="2"/>
  <c r="R107" i="2"/>
  <c r="S107" i="2"/>
  <c r="I108" i="2"/>
  <c r="J108" i="2"/>
  <c r="K108" i="2"/>
  <c r="L108" i="2"/>
  <c r="M108" i="2"/>
  <c r="N108" i="2"/>
  <c r="O108" i="2"/>
  <c r="P108" i="2"/>
  <c r="Q108" i="2"/>
  <c r="R108" i="2"/>
  <c r="S108" i="2"/>
  <c r="I109" i="2"/>
  <c r="J109" i="2"/>
  <c r="K109" i="2"/>
  <c r="L109" i="2"/>
  <c r="M109" i="2"/>
  <c r="N109" i="2"/>
  <c r="O109" i="2"/>
  <c r="P109" i="2"/>
  <c r="Q109" i="2"/>
  <c r="R109" i="2"/>
  <c r="S109" i="2"/>
  <c r="I110" i="2"/>
  <c r="J110" i="2"/>
  <c r="K110" i="2"/>
  <c r="L110" i="2"/>
  <c r="M110" i="2"/>
  <c r="N110" i="2"/>
  <c r="O110" i="2"/>
  <c r="P110" i="2"/>
  <c r="Q110" i="2"/>
  <c r="R110" i="2"/>
  <c r="S110" i="2"/>
  <c r="I111" i="2"/>
  <c r="J111" i="2"/>
  <c r="K111" i="2"/>
  <c r="L111" i="2"/>
  <c r="M111" i="2"/>
  <c r="N111" i="2"/>
  <c r="O111" i="2"/>
  <c r="P111" i="2"/>
  <c r="Q111" i="2"/>
  <c r="R111" i="2"/>
  <c r="S111" i="2"/>
  <c r="I112" i="2"/>
  <c r="J112" i="2"/>
  <c r="K112" i="2"/>
  <c r="L112" i="2"/>
  <c r="M112" i="2"/>
  <c r="N112" i="2"/>
  <c r="O112" i="2"/>
  <c r="P112" i="2"/>
  <c r="Q112" i="2"/>
  <c r="R112" i="2"/>
  <c r="S112" i="2"/>
  <c r="I113" i="2"/>
  <c r="J113" i="2"/>
  <c r="K113" i="2"/>
  <c r="L113" i="2"/>
  <c r="M113" i="2"/>
  <c r="N113" i="2"/>
  <c r="O113" i="2"/>
  <c r="P113" i="2"/>
  <c r="Q113" i="2"/>
  <c r="R113" i="2"/>
  <c r="S113" i="2"/>
  <c r="I114" i="2"/>
  <c r="J114" i="2"/>
  <c r="K114" i="2"/>
  <c r="L114" i="2"/>
  <c r="M114" i="2"/>
  <c r="N114" i="2"/>
  <c r="O114" i="2"/>
  <c r="P114" i="2"/>
  <c r="Q114" i="2"/>
  <c r="R114" i="2"/>
  <c r="S114" i="2"/>
  <c r="I115" i="2"/>
  <c r="J115" i="2"/>
  <c r="K115" i="2"/>
  <c r="L115" i="2"/>
  <c r="M115" i="2"/>
  <c r="N115" i="2"/>
  <c r="O115" i="2"/>
  <c r="P115" i="2"/>
  <c r="Q115" i="2"/>
  <c r="R115" i="2"/>
  <c r="S115" i="2"/>
  <c r="I116" i="2"/>
  <c r="J116" i="2"/>
  <c r="K116" i="2"/>
  <c r="L116" i="2"/>
  <c r="M116" i="2"/>
  <c r="N116" i="2"/>
  <c r="O116" i="2"/>
  <c r="P116" i="2"/>
  <c r="Q116" i="2"/>
  <c r="R116" i="2"/>
  <c r="S116" i="2"/>
  <c r="I117" i="2"/>
  <c r="J117" i="2"/>
  <c r="K117" i="2"/>
  <c r="L117" i="2"/>
  <c r="M117" i="2"/>
  <c r="N117" i="2"/>
  <c r="O117" i="2"/>
  <c r="P117" i="2"/>
  <c r="Q117" i="2"/>
  <c r="R117" i="2"/>
  <c r="S117" i="2"/>
  <c r="I118" i="2"/>
  <c r="J118" i="2"/>
  <c r="K118" i="2"/>
  <c r="L118" i="2"/>
  <c r="M118" i="2"/>
  <c r="N118" i="2"/>
  <c r="O118" i="2"/>
  <c r="P118" i="2"/>
  <c r="Q118" i="2"/>
  <c r="R118" i="2"/>
  <c r="S118" i="2"/>
  <c r="I119" i="2"/>
  <c r="J119" i="2"/>
  <c r="K119" i="2"/>
  <c r="L119" i="2"/>
  <c r="M119" i="2"/>
  <c r="N119" i="2"/>
  <c r="O119" i="2"/>
  <c r="P119" i="2"/>
  <c r="Q119" i="2"/>
  <c r="R119" i="2"/>
  <c r="S119" i="2"/>
  <c r="I120" i="2"/>
  <c r="J120" i="2"/>
  <c r="K120" i="2"/>
  <c r="L120" i="2"/>
  <c r="M120" i="2"/>
  <c r="N120" i="2"/>
  <c r="O120" i="2"/>
  <c r="P120" i="2"/>
  <c r="Q120" i="2"/>
  <c r="R120" i="2"/>
  <c r="S120" i="2"/>
  <c r="I121" i="2"/>
  <c r="J121" i="2"/>
  <c r="K121" i="2"/>
  <c r="L121" i="2"/>
  <c r="M121" i="2"/>
  <c r="N121" i="2"/>
  <c r="O121" i="2"/>
  <c r="P121" i="2"/>
  <c r="Q121" i="2"/>
  <c r="R121" i="2"/>
  <c r="S121" i="2"/>
  <c r="K122" i="2"/>
  <c r="L122" i="2"/>
  <c r="M122" i="2"/>
  <c r="O122" i="2"/>
  <c r="P122" i="2"/>
  <c r="I128" i="2"/>
  <c r="J128" i="2"/>
  <c r="K128" i="2"/>
  <c r="L128" i="2"/>
  <c r="M128" i="2"/>
  <c r="N128" i="2"/>
  <c r="O128" i="2"/>
  <c r="P128" i="2"/>
  <c r="Q128" i="2"/>
  <c r="R128" i="2"/>
  <c r="S128" i="2"/>
  <c r="I132" i="2"/>
  <c r="J132" i="2"/>
  <c r="K132" i="2"/>
  <c r="L132" i="2"/>
  <c r="M132" i="2"/>
  <c r="N132" i="2"/>
  <c r="O132" i="2"/>
  <c r="P132" i="2"/>
  <c r="Q132" i="2"/>
  <c r="R132" i="2"/>
  <c r="S132" i="2"/>
  <c r="O137" i="2"/>
  <c r="P137" i="2"/>
  <c r="S137" i="2"/>
  <c r="I139" i="2"/>
  <c r="I137" i="2" s="1"/>
  <c r="J139" i="2"/>
  <c r="J137" i="2" s="1"/>
  <c r="K139" i="2"/>
  <c r="K137" i="2" s="1"/>
  <c r="L139" i="2"/>
  <c r="L137" i="2" s="1"/>
  <c r="M139" i="2"/>
  <c r="M137" i="2" s="1"/>
  <c r="N139" i="2"/>
  <c r="N137" i="2" s="1"/>
  <c r="N169" i="2" s="1"/>
  <c r="O139" i="2"/>
  <c r="P139" i="2"/>
  <c r="Q139" i="2"/>
  <c r="Q137" i="2" s="1"/>
  <c r="R139" i="2"/>
  <c r="R137" i="2" s="1"/>
  <c r="S139" i="2"/>
  <c r="I146" i="2"/>
  <c r="I185" i="2" s="1"/>
  <c r="J146" i="2"/>
  <c r="J185" i="2" s="1"/>
  <c r="K146" i="2"/>
  <c r="K185" i="2" s="1"/>
  <c r="L146" i="2"/>
  <c r="L185" i="2" s="1"/>
  <c r="M146" i="2"/>
  <c r="M185" i="2" s="1"/>
  <c r="N146" i="2"/>
  <c r="N185" i="2" s="1"/>
  <c r="O146" i="2"/>
  <c r="O185" i="2" s="1"/>
  <c r="P146" i="2"/>
  <c r="P185" i="2" s="1"/>
  <c r="Q146" i="2"/>
  <c r="Q185" i="2" s="1"/>
  <c r="R146" i="2"/>
  <c r="R185" i="2" s="1"/>
  <c r="S146" i="2"/>
  <c r="S185" i="2" s="1"/>
  <c r="I153" i="2"/>
  <c r="J153" i="2"/>
  <c r="K153" i="2"/>
  <c r="L153" i="2"/>
  <c r="M153" i="2"/>
  <c r="N153" i="2"/>
  <c r="O153" i="2"/>
  <c r="P153" i="2"/>
  <c r="Q153" i="2"/>
  <c r="R153" i="2"/>
  <c r="S153" i="2"/>
  <c r="I160" i="2"/>
  <c r="J160" i="2"/>
  <c r="K160" i="2"/>
  <c r="L160" i="2"/>
  <c r="M160" i="2"/>
  <c r="N160" i="2"/>
  <c r="O160" i="2"/>
  <c r="P160" i="2"/>
  <c r="Q160" i="2"/>
  <c r="R160" i="2"/>
  <c r="S160" i="2"/>
  <c r="I163" i="2"/>
  <c r="J163" i="2"/>
  <c r="K163" i="2"/>
  <c r="L163" i="2"/>
  <c r="M163" i="2"/>
  <c r="N163" i="2"/>
  <c r="O163" i="2"/>
  <c r="P163" i="2"/>
  <c r="Q163" i="2"/>
  <c r="R163" i="2"/>
  <c r="S163" i="2"/>
  <c r="I165" i="2"/>
  <c r="J165" i="2"/>
  <c r="K165" i="2"/>
  <c r="L165" i="2"/>
  <c r="M165" i="2"/>
  <c r="N165" i="2"/>
  <c r="O165" i="2"/>
  <c r="P165" i="2"/>
  <c r="Q165" i="2"/>
  <c r="R165" i="2"/>
  <c r="S165" i="2"/>
  <c r="I171" i="2"/>
  <c r="J171" i="2"/>
  <c r="K171" i="2"/>
  <c r="L171" i="2"/>
  <c r="M171" i="2"/>
  <c r="N171" i="2"/>
  <c r="O171" i="2"/>
  <c r="P171" i="2"/>
  <c r="Q171" i="2"/>
  <c r="R171" i="2"/>
  <c r="S171" i="2"/>
  <c r="H3" i="2"/>
  <c r="H2" i="2" s="1"/>
  <c r="H9" i="2"/>
  <c r="H28" i="2"/>
  <c r="H27" i="2" s="1"/>
  <c r="H183" i="2" s="1"/>
  <c r="H38" i="2"/>
  <c r="H49" i="2"/>
  <c r="H61" i="2"/>
  <c r="H72" i="2"/>
  <c r="H77" i="2"/>
  <c r="H7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8" i="2"/>
  <c r="H132" i="2"/>
  <c r="H139" i="2"/>
  <c r="H137" i="2" s="1"/>
  <c r="H146" i="2"/>
  <c r="H153" i="2"/>
  <c r="H160" i="2"/>
  <c r="H163" i="2"/>
  <c r="H165" i="2"/>
  <c r="H171" i="2"/>
  <c r="F2" i="2"/>
  <c r="G30" i="2" s="1"/>
  <c r="G17" i="2"/>
  <c r="G19" i="2"/>
  <c r="G20" i="2"/>
  <c r="G29" i="2"/>
  <c r="G54" i="2"/>
  <c r="G55" i="2"/>
  <c r="G57" i="2"/>
  <c r="G58" i="2"/>
  <c r="G78" i="2"/>
  <c r="G79" i="2"/>
  <c r="G80" i="2"/>
  <c r="G81" i="2"/>
  <c r="G104" i="2"/>
  <c r="G105" i="2"/>
  <c r="G114" i="2"/>
  <c r="G115" i="2"/>
  <c r="G116" i="2"/>
  <c r="G117" i="2"/>
  <c r="G133" i="2"/>
  <c r="G144" i="2"/>
  <c r="G149" i="2"/>
  <c r="G158" i="2"/>
  <c r="I3" i="1"/>
  <c r="J3" i="1"/>
  <c r="K3" i="1"/>
  <c r="L3" i="1"/>
  <c r="M3" i="1"/>
  <c r="N3" i="1"/>
  <c r="O3" i="1"/>
  <c r="P3" i="1"/>
  <c r="Q3" i="1"/>
  <c r="R3" i="1"/>
  <c r="S3" i="1"/>
  <c r="I4" i="1"/>
  <c r="I178" i="1" s="1"/>
  <c r="J4" i="1"/>
  <c r="K4" i="1"/>
  <c r="L4" i="1"/>
  <c r="L178" i="1" s="1"/>
  <c r="M4" i="1"/>
  <c r="N4" i="1"/>
  <c r="N178" i="1" s="1"/>
  <c r="O4" i="1"/>
  <c r="P4" i="1"/>
  <c r="Q4" i="1"/>
  <c r="R4" i="1"/>
  <c r="S4" i="1"/>
  <c r="I9" i="1"/>
  <c r="J9" i="1"/>
  <c r="K9" i="1"/>
  <c r="L9" i="1"/>
  <c r="M9" i="1"/>
  <c r="N9" i="1"/>
  <c r="O9" i="1"/>
  <c r="P9" i="1"/>
  <c r="Q9" i="1"/>
  <c r="R9" i="1"/>
  <c r="S9" i="1"/>
  <c r="O15" i="1"/>
  <c r="S15" i="1"/>
  <c r="I16" i="1"/>
  <c r="I23" i="1"/>
  <c r="J23" i="1"/>
  <c r="K23" i="1"/>
  <c r="L23" i="1"/>
  <c r="M23" i="1"/>
  <c r="N23" i="1"/>
  <c r="O23" i="1"/>
  <c r="P23" i="1"/>
  <c r="Q23" i="1"/>
  <c r="R23" i="1"/>
  <c r="S23" i="1"/>
  <c r="I24" i="1"/>
  <c r="J24" i="1"/>
  <c r="K24" i="1"/>
  <c r="L24" i="1"/>
  <c r="M24" i="1"/>
  <c r="N24" i="1"/>
  <c r="O24" i="1"/>
  <c r="P24" i="1"/>
  <c r="Q24" i="1"/>
  <c r="R24" i="1"/>
  <c r="S24" i="1"/>
  <c r="I26" i="1"/>
  <c r="J26" i="1"/>
  <c r="K26" i="1"/>
  <c r="L26" i="1"/>
  <c r="M26" i="1"/>
  <c r="N26" i="1"/>
  <c r="O26" i="1"/>
  <c r="P26" i="1"/>
  <c r="Q26" i="1"/>
  <c r="R26" i="1"/>
  <c r="S26" i="1"/>
  <c r="I39" i="1"/>
  <c r="J39" i="1"/>
  <c r="K39" i="1"/>
  <c r="L39" i="1"/>
  <c r="M39" i="1"/>
  <c r="N39" i="1"/>
  <c r="O39" i="1"/>
  <c r="P39" i="1"/>
  <c r="Q39" i="1"/>
  <c r="R39" i="1"/>
  <c r="S39" i="1"/>
  <c r="I40" i="1"/>
  <c r="J40" i="1"/>
  <c r="K40" i="1"/>
  <c r="L40" i="1"/>
  <c r="M40" i="1"/>
  <c r="N40" i="1"/>
  <c r="O40" i="1"/>
  <c r="P40" i="1"/>
  <c r="Q40" i="1"/>
  <c r="R40" i="1"/>
  <c r="S40" i="1"/>
  <c r="I42" i="1"/>
  <c r="J42" i="1"/>
  <c r="K42" i="1"/>
  <c r="L42" i="1"/>
  <c r="M42" i="1"/>
  <c r="N42" i="1"/>
  <c r="O42" i="1"/>
  <c r="P42" i="1"/>
  <c r="Q42" i="1"/>
  <c r="R42" i="1"/>
  <c r="S42" i="1"/>
  <c r="I43" i="1"/>
  <c r="J43" i="1"/>
  <c r="K43" i="1"/>
  <c r="L43" i="1"/>
  <c r="M43" i="1"/>
  <c r="N43" i="1"/>
  <c r="O43" i="1"/>
  <c r="P43" i="1"/>
  <c r="Q43" i="1"/>
  <c r="R43" i="1"/>
  <c r="S43" i="1"/>
  <c r="I50" i="1"/>
  <c r="J50" i="1"/>
  <c r="K50" i="1"/>
  <c r="L50" i="1"/>
  <c r="M50" i="1"/>
  <c r="N50" i="1"/>
  <c r="O50" i="1"/>
  <c r="P50" i="1"/>
  <c r="Q50" i="1"/>
  <c r="R50" i="1"/>
  <c r="S50" i="1"/>
  <c r="I51" i="1"/>
  <c r="J51" i="1"/>
  <c r="K51" i="1"/>
  <c r="L51" i="1"/>
  <c r="M51" i="1"/>
  <c r="N51" i="1"/>
  <c r="O51" i="1"/>
  <c r="P51" i="1"/>
  <c r="Q51" i="1"/>
  <c r="R51" i="1"/>
  <c r="S51" i="1"/>
  <c r="I52" i="1"/>
  <c r="J52" i="1"/>
  <c r="K52" i="1"/>
  <c r="L52" i="1"/>
  <c r="M52" i="1"/>
  <c r="N52" i="1"/>
  <c r="O52" i="1"/>
  <c r="P52" i="1"/>
  <c r="Q52" i="1"/>
  <c r="R52" i="1"/>
  <c r="S52" i="1"/>
  <c r="I55" i="1"/>
  <c r="J55" i="1"/>
  <c r="K55" i="1"/>
  <c r="L55" i="1"/>
  <c r="M55" i="1"/>
  <c r="N55" i="1"/>
  <c r="O55" i="1"/>
  <c r="P55" i="1"/>
  <c r="Q55" i="1"/>
  <c r="R55" i="1"/>
  <c r="S55" i="1"/>
  <c r="I56" i="1"/>
  <c r="J56" i="1"/>
  <c r="K56" i="1"/>
  <c r="L56" i="1"/>
  <c r="M56" i="1"/>
  <c r="N56" i="1"/>
  <c r="O56" i="1"/>
  <c r="P56" i="1"/>
  <c r="Q56" i="1"/>
  <c r="R56" i="1"/>
  <c r="S56" i="1"/>
  <c r="I57" i="1"/>
  <c r="J57" i="1"/>
  <c r="K57" i="1"/>
  <c r="L57" i="1"/>
  <c r="M57" i="1"/>
  <c r="N57" i="1"/>
  <c r="O57" i="1"/>
  <c r="P57" i="1"/>
  <c r="Q57" i="1"/>
  <c r="R57" i="1"/>
  <c r="S57" i="1"/>
  <c r="I60" i="1"/>
  <c r="J60" i="1"/>
  <c r="K60" i="1"/>
  <c r="L60" i="1"/>
  <c r="M60" i="1"/>
  <c r="N60" i="1"/>
  <c r="O60" i="1"/>
  <c r="P60" i="1"/>
  <c r="Q60" i="1"/>
  <c r="R60" i="1"/>
  <c r="S60" i="1"/>
  <c r="I62" i="1"/>
  <c r="J62" i="1"/>
  <c r="K62" i="1"/>
  <c r="L62" i="1"/>
  <c r="M62" i="1"/>
  <c r="N62" i="1"/>
  <c r="O62" i="1"/>
  <c r="P62" i="1"/>
  <c r="Q62" i="1"/>
  <c r="R62" i="1"/>
  <c r="S62" i="1"/>
  <c r="I64" i="1"/>
  <c r="J64" i="1"/>
  <c r="K64" i="1"/>
  <c r="L64" i="1"/>
  <c r="M64" i="1"/>
  <c r="N64" i="1"/>
  <c r="O64" i="1"/>
  <c r="P64" i="1"/>
  <c r="Q64" i="1"/>
  <c r="R64" i="1"/>
  <c r="S64" i="1"/>
  <c r="I67" i="1"/>
  <c r="J67" i="1"/>
  <c r="K67" i="1"/>
  <c r="L67" i="1"/>
  <c r="M67" i="1"/>
  <c r="N67" i="1"/>
  <c r="O67" i="1"/>
  <c r="P67" i="1"/>
  <c r="Q67" i="1"/>
  <c r="R67" i="1"/>
  <c r="S67" i="1"/>
  <c r="I68" i="1"/>
  <c r="J68" i="1"/>
  <c r="K68" i="1"/>
  <c r="L68" i="1"/>
  <c r="M68" i="1"/>
  <c r="N68" i="1"/>
  <c r="O68" i="1"/>
  <c r="P68" i="1"/>
  <c r="Q68" i="1"/>
  <c r="R68" i="1"/>
  <c r="S68" i="1"/>
  <c r="I71" i="1"/>
  <c r="J71" i="1"/>
  <c r="K71" i="1"/>
  <c r="L71" i="1"/>
  <c r="M71" i="1"/>
  <c r="N71" i="1"/>
  <c r="O71" i="1"/>
  <c r="P71" i="1"/>
  <c r="Q71" i="1"/>
  <c r="R71" i="1"/>
  <c r="S71" i="1"/>
  <c r="I72" i="1"/>
  <c r="J72" i="1"/>
  <c r="K72" i="1"/>
  <c r="L72" i="1"/>
  <c r="M72" i="1"/>
  <c r="N72" i="1"/>
  <c r="O72" i="1"/>
  <c r="P72" i="1"/>
  <c r="Q72" i="1"/>
  <c r="R72" i="1"/>
  <c r="S72" i="1"/>
  <c r="I73" i="1"/>
  <c r="J73" i="1"/>
  <c r="K73" i="1"/>
  <c r="L73" i="1"/>
  <c r="M73" i="1"/>
  <c r="N73" i="1"/>
  <c r="O73" i="1"/>
  <c r="P73" i="1"/>
  <c r="Q73" i="1"/>
  <c r="R73" i="1"/>
  <c r="S73" i="1"/>
  <c r="I74" i="1"/>
  <c r="J74" i="1"/>
  <c r="K74" i="1"/>
  <c r="L74" i="1"/>
  <c r="M74" i="1"/>
  <c r="N74" i="1"/>
  <c r="O74" i="1"/>
  <c r="P74" i="1"/>
  <c r="Q74" i="1"/>
  <c r="R74" i="1"/>
  <c r="S74" i="1"/>
  <c r="I75" i="1"/>
  <c r="J75" i="1"/>
  <c r="K75" i="1"/>
  <c r="L75" i="1"/>
  <c r="M75" i="1"/>
  <c r="N75" i="1"/>
  <c r="O75" i="1"/>
  <c r="P75" i="1"/>
  <c r="Q75" i="1"/>
  <c r="R75" i="1"/>
  <c r="S75" i="1"/>
  <c r="I76" i="1"/>
  <c r="J76" i="1"/>
  <c r="K76" i="1"/>
  <c r="L76" i="1"/>
  <c r="M76" i="1"/>
  <c r="N76" i="1"/>
  <c r="O76" i="1"/>
  <c r="P76" i="1"/>
  <c r="Q76" i="1"/>
  <c r="R76" i="1"/>
  <c r="S76" i="1"/>
  <c r="I77" i="1"/>
  <c r="J77" i="1"/>
  <c r="K77" i="1"/>
  <c r="L77" i="1"/>
  <c r="M77" i="1"/>
  <c r="N77" i="1"/>
  <c r="O77" i="1"/>
  <c r="P77" i="1"/>
  <c r="Q77" i="1"/>
  <c r="R77" i="1"/>
  <c r="S77" i="1"/>
  <c r="I82" i="1"/>
  <c r="J82" i="1"/>
  <c r="K82" i="1"/>
  <c r="L82" i="1"/>
  <c r="M82" i="1"/>
  <c r="N82" i="1"/>
  <c r="O82" i="1"/>
  <c r="P82" i="1"/>
  <c r="Q82" i="1"/>
  <c r="R82" i="1"/>
  <c r="S82" i="1"/>
  <c r="I83" i="1"/>
  <c r="J83" i="1"/>
  <c r="K83" i="1"/>
  <c r="L83" i="1"/>
  <c r="M83" i="1"/>
  <c r="N83" i="1"/>
  <c r="O83" i="1"/>
  <c r="P83" i="1"/>
  <c r="Q83" i="1"/>
  <c r="R83" i="1"/>
  <c r="S83" i="1"/>
  <c r="I84" i="1"/>
  <c r="J84" i="1"/>
  <c r="K84" i="1"/>
  <c r="L84" i="1"/>
  <c r="M84" i="1"/>
  <c r="N84" i="1"/>
  <c r="O84" i="1"/>
  <c r="P84" i="1"/>
  <c r="Q84" i="1"/>
  <c r="R84" i="1"/>
  <c r="S84" i="1"/>
  <c r="I86" i="1"/>
  <c r="J86" i="1"/>
  <c r="K86" i="1"/>
  <c r="L86" i="1"/>
  <c r="M86" i="1"/>
  <c r="N86" i="1"/>
  <c r="O86" i="1"/>
  <c r="P86" i="1"/>
  <c r="Q86" i="1"/>
  <c r="R86" i="1"/>
  <c r="S86" i="1"/>
  <c r="I87" i="1"/>
  <c r="J87" i="1"/>
  <c r="K87" i="1"/>
  <c r="L87" i="1"/>
  <c r="M87" i="1"/>
  <c r="N87" i="1"/>
  <c r="O87" i="1"/>
  <c r="P87" i="1"/>
  <c r="Q87" i="1"/>
  <c r="R87" i="1"/>
  <c r="S87" i="1"/>
  <c r="I90" i="1"/>
  <c r="J90" i="1"/>
  <c r="K90" i="1"/>
  <c r="L90" i="1"/>
  <c r="M90" i="1"/>
  <c r="N90" i="1"/>
  <c r="O90" i="1"/>
  <c r="P90" i="1"/>
  <c r="Q90" i="1"/>
  <c r="R90" i="1"/>
  <c r="S90" i="1"/>
  <c r="I91" i="1"/>
  <c r="J91" i="1"/>
  <c r="K91" i="1"/>
  <c r="L91" i="1"/>
  <c r="M91" i="1"/>
  <c r="N91" i="1"/>
  <c r="O91" i="1"/>
  <c r="P91" i="1"/>
  <c r="Q91" i="1"/>
  <c r="R91" i="1"/>
  <c r="S91" i="1"/>
  <c r="I92" i="1"/>
  <c r="J92" i="1"/>
  <c r="K92" i="1"/>
  <c r="L92" i="1"/>
  <c r="M92" i="1"/>
  <c r="N92" i="1"/>
  <c r="O92" i="1"/>
  <c r="P92" i="1"/>
  <c r="Q92" i="1"/>
  <c r="R92" i="1"/>
  <c r="S92" i="1"/>
  <c r="I93" i="1"/>
  <c r="J93" i="1"/>
  <c r="K93" i="1"/>
  <c r="L93" i="1"/>
  <c r="M93" i="1"/>
  <c r="N93" i="1"/>
  <c r="O93" i="1"/>
  <c r="P93" i="1"/>
  <c r="Q93" i="1"/>
  <c r="R93" i="1"/>
  <c r="S93" i="1"/>
  <c r="I94" i="1"/>
  <c r="J94" i="1"/>
  <c r="K94" i="1"/>
  <c r="L94" i="1"/>
  <c r="M94" i="1"/>
  <c r="N94" i="1"/>
  <c r="O94" i="1"/>
  <c r="P94" i="1"/>
  <c r="Q94" i="1"/>
  <c r="R94" i="1"/>
  <c r="S94" i="1"/>
  <c r="I95" i="1"/>
  <c r="J95" i="1"/>
  <c r="K95" i="1"/>
  <c r="L95" i="1"/>
  <c r="M95" i="1"/>
  <c r="N95" i="1"/>
  <c r="O95" i="1"/>
  <c r="P95" i="1"/>
  <c r="Q95" i="1"/>
  <c r="R95" i="1"/>
  <c r="S95" i="1"/>
  <c r="I96" i="1"/>
  <c r="J96" i="1"/>
  <c r="K96" i="1"/>
  <c r="L96" i="1"/>
  <c r="M96" i="1"/>
  <c r="N96" i="1"/>
  <c r="O96" i="1"/>
  <c r="P96" i="1"/>
  <c r="Q96" i="1"/>
  <c r="R96" i="1"/>
  <c r="S96" i="1"/>
  <c r="I97" i="1"/>
  <c r="J97" i="1"/>
  <c r="K97" i="1"/>
  <c r="L97" i="1"/>
  <c r="M97" i="1"/>
  <c r="N97" i="1"/>
  <c r="O97" i="1"/>
  <c r="P97" i="1"/>
  <c r="Q97" i="1"/>
  <c r="R97" i="1"/>
  <c r="S97" i="1"/>
  <c r="I98" i="1"/>
  <c r="J98" i="1"/>
  <c r="K98" i="1"/>
  <c r="L98" i="1"/>
  <c r="M98" i="1"/>
  <c r="N98" i="1"/>
  <c r="O98" i="1"/>
  <c r="P98" i="1"/>
  <c r="Q98" i="1"/>
  <c r="R98" i="1"/>
  <c r="S98" i="1"/>
  <c r="I99" i="1"/>
  <c r="J99" i="1"/>
  <c r="K99" i="1"/>
  <c r="L99" i="1"/>
  <c r="M99" i="1"/>
  <c r="N99" i="1"/>
  <c r="O99" i="1"/>
  <c r="P99" i="1"/>
  <c r="Q99" i="1"/>
  <c r="R99" i="1"/>
  <c r="S99" i="1"/>
  <c r="I100" i="1"/>
  <c r="J100" i="1"/>
  <c r="K100" i="1"/>
  <c r="L100" i="1"/>
  <c r="M100" i="1"/>
  <c r="N100" i="1"/>
  <c r="O100" i="1"/>
  <c r="P100" i="1"/>
  <c r="Q100" i="1"/>
  <c r="R100" i="1"/>
  <c r="S100" i="1"/>
  <c r="I101" i="1"/>
  <c r="J101" i="1"/>
  <c r="K101" i="1"/>
  <c r="L101" i="1"/>
  <c r="M101" i="1"/>
  <c r="N101" i="1"/>
  <c r="O101" i="1"/>
  <c r="P101" i="1"/>
  <c r="Q101" i="1"/>
  <c r="R101" i="1"/>
  <c r="S101" i="1"/>
  <c r="I105" i="1"/>
  <c r="J105" i="1"/>
  <c r="K105" i="1"/>
  <c r="L105" i="1"/>
  <c r="M105" i="1"/>
  <c r="N105" i="1"/>
  <c r="O105" i="1"/>
  <c r="P105" i="1"/>
  <c r="Q105" i="1"/>
  <c r="R105" i="1"/>
  <c r="S105" i="1"/>
  <c r="I106" i="1"/>
  <c r="J106" i="1"/>
  <c r="K106" i="1"/>
  <c r="L106" i="1"/>
  <c r="M106" i="1"/>
  <c r="N106" i="1"/>
  <c r="O106" i="1"/>
  <c r="P106" i="1"/>
  <c r="Q106" i="1"/>
  <c r="R106" i="1"/>
  <c r="S106" i="1"/>
  <c r="I107" i="1"/>
  <c r="J107" i="1"/>
  <c r="K107" i="1"/>
  <c r="L107" i="1"/>
  <c r="M107" i="1"/>
  <c r="N107" i="1"/>
  <c r="O107" i="1"/>
  <c r="P107" i="1"/>
  <c r="Q107" i="1"/>
  <c r="R107" i="1"/>
  <c r="S107" i="1"/>
  <c r="I108" i="1"/>
  <c r="J108" i="1"/>
  <c r="K108" i="1"/>
  <c r="L108" i="1"/>
  <c r="M108" i="1"/>
  <c r="N108" i="1"/>
  <c r="O108" i="1"/>
  <c r="P108" i="1"/>
  <c r="Q108" i="1"/>
  <c r="R108" i="1"/>
  <c r="S108" i="1"/>
  <c r="I109" i="1"/>
  <c r="J109" i="1"/>
  <c r="K109" i="1"/>
  <c r="L109" i="1"/>
  <c r="M109" i="1"/>
  <c r="N109" i="1"/>
  <c r="O109" i="1"/>
  <c r="P109" i="1"/>
  <c r="Q109" i="1"/>
  <c r="R109" i="1"/>
  <c r="S109" i="1"/>
  <c r="I110" i="1"/>
  <c r="J110" i="1"/>
  <c r="K110" i="1"/>
  <c r="L110" i="1"/>
  <c r="M110" i="1"/>
  <c r="N110" i="1"/>
  <c r="O110" i="1"/>
  <c r="P110" i="1"/>
  <c r="Q110" i="1"/>
  <c r="R110" i="1"/>
  <c r="S110" i="1"/>
  <c r="I111" i="1"/>
  <c r="J111" i="1"/>
  <c r="K111" i="1"/>
  <c r="L111" i="1"/>
  <c r="M111" i="1"/>
  <c r="N111" i="1"/>
  <c r="O111" i="1"/>
  <c r="P111" i="1"/>
  <c r="Q111" i="1"/>
  <c r="R111" i="1"/>
  <c r="S111" i="1"/>
  <c r="I112" i="1"/>
  <c r="J112" i="1"/>
  <c r="K112" i="1"/>
  <c r="L112" i="1"/>
  <c r="M112" i="1"/>
  <c r="N112" i="1"/>
  <c r="O112" i="1"/>
  <c r="P112" i="1"/>
  <c r="Q112" i="1"/>
  <c r="R112" i="1"/>
  <c r="S112" i="1"/>
  <c r="I113" i="1"/>
  <c r="J113" i="1"/>
  <c r="K113" i="1"/>
  <c r="L113" i="1"/>
  <c r="M113" i="1"/>
  <c r="N113" i="1"/>
  <c r="O113" i="1"/>
  <c r="P113" i="1"/>
  <c r="Q113" i="1"/>
  <c r="R113" i="1"/>
  <c r="S113" i="1"/>
  <c r="I114" i="1"/>
  <c r="J114" i="1"/>
  <c r="K114" i="1"/>
  <c r="L114" i="1"/>
  <c r="M114" i="1"/>
  <c r="N114" i="1"/>
  <c r="O114" i="1"/>
  <c r="P114" i="1"/>
  <c r="Q114" i="1"/>
  <c r="R114" i="1"/>
  <c r="S114" i="1"/>
  <c r="I116" i="1"/>
  <c r="J116" i="1"/>
  <c r="K116" i="1"/>
  <c r="L116" i="1"/>
  <c r="M116" i="1"/>
  <c r="N116" i="1"/>
  <c r="O116" i="1"/>
  <c r="P116" i="1"/>
  <c r="Q116" i="1"/>
  <c r="R116" i="1"/>
  <c r="S116" i="1"/>
  <c r="I117" i="1"/>
  <c r="J117" i="1"/>
  <c r="K117" i="1"/>
  <c r="L117" i="1"/>
  <c r="M117" i="1"/>
  <c r="N117" i="1"/>
  <c r="O117" i="1"/>
  <c r="P117" i="1"/>
  <c r="Q117" i="1"/>
  <c r="R117" i="1"/>
  <c r="S117" i="1"/>
  <c r="I118" i="1"/>
  <c r="J118" i="1"/>
  <c r="K118" i="1"/>
  <c r="L118" i="1"/>
  <c r="M118" i="1"/>
  <c r="N118" i="1"/>
  <c r="O118" i="1"/>
  <c r="P118" i="1"/>
  <c r="Q118" i="1"/>
  <c r="R118" i="1"/>
  <c r="S118" i="1"/>
  <c r="I121" i="1"/>
  <c r="J121" i="1"/>
  <c r="K121" i="1"/>
  <c r="L121" i="1"/>
  <c r="M121" i="1"/>
  <c r="N121" i="1"/>
  <c r="O121" i="1"/>
  <c r="P121" i="1"/>
  <c r="Q121" i="1"/>
  <c r="R121" i="1"/>
  <c r="S121" i="1"/>
  <c r="I123" i="1"/>
  <c r="J123" i="1"/>
  <c r="K123" i="1"/>
  <c r="L123" i="1"/>
  <c r="M123" i="1"/>
  <c r="N123" i="1"/>
  <c r="O123" i="1"/>
  <c r="P123" i="1"/>
  <c r="Q123" i="1"/>
  <c r="R123" i="1"/>
  <c r="S123" i="1"/>
  <c r="I124" i="1"/>
  <c r="J124" i="1"/>
  <c r="K124" i="1"/>
  <c r="L124" i="1"/>
  <c r="M124" i="1"/>
  <c r="N124" i="1"/>
  <c r="O124" i="1"/>
  <c r="P124" i="1"/>
  <c r="Q124" i="1"/>
  <c r="R124" i="1"/>
  <c r="S124" i="1"/>
  <c r="I125" i="1"/>
  <c r="J125" i="1"/>
  <c r="K125" i="1"/>
  <c r="L125" i="1"/>
  <c r="M125" i="1"/>
  <c r="N125" i="1"/>
  <c r="O125" i="1"/>
  <c r="P125" i="1"/>
  <c r="Q125" i="1"/>
  <c r="R125" i="1"/>
  <c r="S125" i="1"/>
  <c r="I128" i="1"/>
  <c r="J128" i="1"/>
  <c r="K128" i="1"/>
  <c r="L128" i="1"/>
  <c r="M128" i="1"/>
  <c r="N128" i="1"/>
  <c r="O128" i="1"/>
  <c r="P128" i="1"/>
  <c r="Q128" i="1"/>
  <c r="R128" i="1"/>
  <c r="S128" i="1"/>
  <c r="Q132" i="1"/>
  <c r="R132" i="1"/>
  <c r="S132" i="1"/>
  <c r="I133" i="1"/>
  <c r="J133" i="1"/>
  <c r="J132" i="1" s="1"/>
  <c r="K133" i="1"/>
  <c r="L133" i="1"/>
  <c r="M133" i="1"/>
  <c r="N133" i="1"/>
  <c r="O133" i="1"/>
  <c r="O132" i="1" s="1"/>
  <c r="P133" i="1"/>
  <c r="P132" i="1" s="1"/>
  <c r="Q133" i="1"/>
  <c r="R133" i="1"/>
  <c r="S133" i="1"/>
  <c r="I134" i="1"/>
  <c r="J134" i="1"/>
  <c r="K134" i="1"/>
  <c r="L134" i="1"/>
  <c r="M134" i="1"/>
  <c r="N134" i="1"/>
  <c r="O134" i="1"/>
  <c r="P134" i="1"/>
  <c r="Q134" i="1"/>
  <c r="R134" i="1"/>
  <c r="S134" i="1"/>
  <c r="I135" i="1"/>
  <c r="J135" i="1"/>
  <c r="K135" i="1"/>
  <c r="L135" i="1"/>
  <c r="M135" i="1"/>
  <c r="N135" i="1"/>
  <c r="O135" i="1"/>
  <c r="P135" i="1"/>
  <c r="Q135" i="1"/>
  <c r="R135" i="1"/>
  <c r="S135" i="1"/>
  <c r="I140" i="1"/>
  <c r="J140" i="1"/>
  <c r="K140" i="1"/>
  <c r="L140" i="1"/>
  <c r="M140" i="1"/>
  <c r="N140" i="1"/>
  <c r="O140" i="1"/>
  <c r="P140" i="1"/>
  <c r="Q140" i="1"/>
  <c r="R140" i="1"/>
  <c r="S140" i="1"/>
  <c r="I141" i="1"/>
  <c r="J141" i="1"/>
  <c r="K141" i="1"/>
  <c r="L141" i="1"/>
  <c r="M141" i="1"/>
  <c r="N141" i="1"/>
  <c r="O141" i="1"/>
  <c r="P141" i="1"/>
  <c r="Q141" i="1"/>
  <c r="R141" i="1"/>
  <c r="S141" i="1"/>
  <c r="I142" i="1"/>
  <c r="J142" i="1"/>
  <c r="K142" i="1"/>
  <c r="L142" i="1"/>
  <c r="M142" i="1"/>
  <c r="N142" i="1"/>
  <c r="O142" i="1"/>
  <c r="P142" i="1"/>
  <c r="Q142" i="1"/>
  <c r="R142" i="1"/>
  <c r="S142" i="1"/>
  <c r="I143" i="1"/>
  <c r="J143" i="1"/>
  <c r="K143" i="1"/>
  <c r="L143" i="1"/>
  <c r="M143" i="1"/>
  <c r="N143" i="1"/>
  <c r="O143" i="1"/>
  <c r="P143" i="1"/>
  <c r="Q143" i="1"/>
  <c r="R143" i="1"/>
  <c r="S143" i="1"/>
  <c r="I144" i="1"/>
  <c r="J144" i="1"/>
  <c r="K144" i="1"/>
  <c r="L144" i="1"/>
  <c r="M144" i="1"/>
  <c r="N144" i="1"/>
  <c r="O144" i="1"/>
  <c r="P144" i="1"/>
  <c r="Q144" i="1"/>
  <c r="R144" i="1"/>
  <c r="S144" i="1"/>
  <c r="I145" i="1"/>
  <c r="J145" i="1"/>
  <c r="K145" i="1"/>
  <c r="L145" i="1"/>
  <c r="M145" i="1"/>
  <c r="N145" i="1"/>
  <c r="O145" i="1"/>
  <c r="P145" i="1"/>
  <c r="Q145" i="1"/>
  <c r="R145" i="1"/>
  <c r="S145" i="1"/>
  <c r="I147" i="1"/>
  <c r="J147" i="1"/>
  <c r="K147" i="1"/>
  <c r="L147" i="1"/>
  <c r="M147" i="1"/>
  <c r="N147" i="1"/>
  <c r="O147" i="1"/>
  <c r="P147" i="1"/>
  <c r="Q147" i="1"/>
  <c r="R147" i="1"/>
  <c r="S147" i="1"/>
  <c r="I148" i="1"/>
  <c r="J148" i="1"/>
  <c r="K148" i="1"/>
  <c r="L148" i="1"/>
  <c r="M148" i="1"/>
  <c r="N148" i="1"/>
  <c r="O148" i="1"/>
  <c r="P148" i="1"/>
  <c r="Q148" i="1"/>
  <c r="R148" i="1"/>
  <c r="S148" i="1"/>
  <c r="I149" i="1"/>
  <c r="J149" i="1"/>
  <c r="K149" i="1"/>
  <c r="L149" i="1"/>
  <c r="M149" i="1"/>
  <c r="N149" i="1"/>
  <c r="O149" i="1"/>
  <c r="P149" i="1"/>
  <c r="Q149" i="1"/>
  <c r="R149" i="1"/>
  <c r="S149" i="1"/>
  <c r="I150" i="1"/>
  <c r="J150" i="1"/>
  <c r="K150" i="1"/>
  <c r="L150" i="1"/>
  <c r="M150" i="1"/>
  <c r="N150" i="1"/>
  <c r="O150" i="1"/>
  <c r="P150" i="1"/>
  <c r="Q150" i="1"/>
  <c r="R150" i="1"/>
  <c r="S150" i="1"/>
  <c r="I151" i="1"/>
  <c r="J151" i="1"/>
  <c r="K151" i="1"/>
  <c r="L151" i="1"/>
  <c r="M151" i="1"/>
  <c r="N151" i="1"/>
  <c r="O151" i="1"/>
  <c r="P151" i="1"/>
  <c r="Q151" i="1"/>
  <c r="R151" i="1"/>
  <c r="S151" i="1"/>
  <c r="I152" i="1"/>
  <c r="J152" i="1"/>
  <c r="K152" i="1"/>
  <c r="L152" i="1"/>
  <c r="M152" i="1"/>
  <c r="N152" i="1"/>
  <c r="O152" i="1"/>
  <c r="P152" i="1"/>
  <c r="Q152" i="1"/>
  <c r="R152" i="1"/>
  <c r="S152" i="1"/>
  <c r="I154" i="1"/>
  <c r="J154" i="1"/>
  <c r="K154" i="1"/>
  <c r="L154" i="1"/>
  <c r="M154" i="1"/>
  <c r="N154" i="1"/>
  <c r="O154" i="1"/>
  <c r="P154" i="1"/>
  <c r="Q154" i="1"/>
  <c r="R154" i="1"/>
  <c r="S154" i="1"/>
  <c r="I155" i="1"/>
  <c r="J155" i="1"/>
  <c r="K155" i="1"/>
  <c r="L155" i="1"/>
  <c r="M155" i="1"/>
  <c r="N155" i="1"/>
  <c r="O155" i="1"/>
  <c r="P155" i="1"/>
  <c r="Q155" i="1"/>
  <c r="R155" i="1"/>
  <c r="S155" i="1"/>
  <c r="I156" i="1"/>
  <c r="J156" i="1"/>
  <c r="K156" i="1"/>
  <c r="L156" i="1"/>
  <c r="M156" i="1"/>
  <c r="N156" i="1"/>
  <c r="O156" i="1"/>
  <c r="P156" i="1"/>
  <c r="Q156" i="1"/>
  <c r="R156" i="1"/>
  <c r="S156" i="1"/>
  <c r="I157" i="1"/>
  <c r="J157" i="1"/>
  <c r="K157" i="1"/>
  <c r="L157" i="1"/>
  <c r="M157" i="1"/>
  <c r="N157" i="1"/>
  <c r="O157" i="1"/>
  <c r="P157" i="1"/>
  <c r="Q157" i="1"/>
  <c r="R157" i="1"/>
  <c r="S157" i="1"/>
  <c r="I158" i="1"/>
  <c r="J158" i="1"/>
  <c r="K158" i="1"/>
  <c r="L158" i="1"/>
  <c r="M158" i="1"/>
  <c r="N158" i="1"/>
  <c r="O158" i="1"/>
  <c r="P158" i="1"/>
  <c r="Q158" i="1"/>
  <c r="R158" i="1"/>
  <c r="S158" i="1"/>
  <c r="I159" i="1"/>
  <c r="J159" i="1"/>
  <c r="K159" i="1"/>
  <c r="L159" i="1"/>
  <c r="M159" i="1"/>
  <c r="N159" i="1"/>
  <c r="O159" i="1"/>
  <c r="P159" i="1"/>
  <c r="Q159" i="1"/>
  <c r="R159" i="1"/>
  <c r="S159" i="1"/>
  <c r="I161" i="1"/>
  <c r="I160" i="1" s="1"/>
  <c r="J161" i="1"/>
  <c r="J160" i="1" s="1"/>
  <c r="K161" i="1"/>
  <c r="K160" i="1" s="1"/>
  <c r="L161" i="1"/>
  <c r="L160" i="1" s="1"/>
  <c r="M161" i="1"/>
  <c r="M160" i="1" s="1"/>
  <c r="N161" i="1"/>
  <c r="N160" i="1" s="1"/>
  <c r="O161" i="1"/>
  <c r="O160" i="1" s="1"/>
  <c r="P161" i="1"/>
  <c r="Q161" i="1"/>
  <c r="R161" i="1"/>
  <c r="R160" i="1" s="1"/>
  <c r="S161" i="1"/>
  <c r="S160" i="1" s="1"/>
  <c r="I162" i="1"/>
  <c r="J162" i="1"/>
  <c r="K162" i="1"/>
  <c r="L162" i="1"/>
  <c r="M162" i="1"/>
  <c r="N162" i="1"/>
  <c r="O162" i="1"/>
  <c r="P162" i="1"/>
  <c r="Q162" i="1"/>
  <c r="Q160" i="1" s="1"/>
  <c r="R162" i="1"/>
  <c r="S162" i="1"/>
  <c r="H162" i="1"/>
  <c r="H161" i="1"/>
  <c r="H155" i="1"/>
  <c r="H156" i="1"/>
  <c r="H157" i="1"/>
  <c r="H158" i="1"/>
  <c r="H159" i="1"/>
  <c r="H154" i="1"/>
  <c r="H148" i="1"/>
  <c r="H149" i="1"/>
  <c r="H150" i="1"/>
  <c r="H151" i="1"/>
  <c r="H152" i="1"/>
  <c r="H147" i="1"/>
  <c r="H143" i="1"/>
  <c r="H144" i="1"/>
  <c r="H145" i="1"/>
  <c r="H142" i="1"/>
  <c r="H141" i="1"/>
  <c r="H140" i="1"/>
  <c r="H134" i="1"/>
  <c r="H135" i="1"/>
  <c r="H133" i="1"/>
  <c r="H124" i="1"/>
  <c r="H125" i="1"/>
  <c r="H123" i="1"/>
  <c r="H60" i="1"/>
  <c r="H62" i="1"/>
  <c r="H64" i="1"/>
  <c r="H67" i="1"/>
  <c r="H68" i="1"/>
  <c r="H71" i="1"/>
  <c r="H72" i="1"/>
  <c r="H73" i="1"/>
  <c r="H74" i="1"/>
  <c r="H75" i="1"/>
  <c r="H76" i="1"/>
  <c r="H77" i="1"/>
  <c r="H82" i="1"/>
  <c r="H83" i="1"/>
  <c r="H84" i="1"/>
  <c r="H86" i="1"/>
  <c r="H87" i="1"/>
  <c r="H90" i="1"/>
  <c r="H91" i="1"/>
  <c r="H92" i="1"/>
  <c r="H93" i="1"/>
  <c r="H94" i="1"/>
  <c r="H95" i="1"/>
  <c r="H96" i="1"/>
  <c r="H97" i="1"/>
  <c r="H98" i="1"/>
  <c r="H99" i="1"/>
  <c r="H100" i="1"/>
  <c r="H101" i="1"/>
  <c r="H105" i="1"/>
  <c r="H106" i="1"/>
  <c r="H107" i="1"/>
  <c r="H108" i="1"/>
  <c r="H109" i="1"/>
  <c r="H110" i="1"/>
  <c r="H111" i="1"/>
  <c r="H112" i="1"/>
  <c r="H113" i="1"/>
  <c r="H114" i="1"/>
  <c r="H116" i="1"/>
  <c r="H117" i="1"/>
  <c r="H118" i="1"/>
  <c r="H121" i="1"/>
  <c r="H51" i="1"/>
  <c r="H52" i="1"/>
  <c r="H55" i="1"/>
  <c r="H56" i="1"/>
  <c r="H57" i="1"/>
  <c r="H50" i="1"/>
  <c r="H40" i="1"/>
  <c r="H42" i="1"/>
  <c r="H43" i="1"/>
  <c r="T44" i="1"/>
  <c r="T45" i="1"/>
  <c r="T46" i="1"/>
  <c r="T47" i="1"/>
  <c r="T48" i="1"/>
  <c r="T49" i="1"/>
  <c r="H39" i="1"/>
  <c r="F35" i="1"/>
  <c r="Q35" i="1" s="1"/>
  <c r="F34" i="1"/>
  <c r="P34" i="1" s="1"/>
  <c r="H26" i="1"/>
  <c r="H24" i="1"/>
  <c r="H23" i="1"/>
  <c r="T38" i="1"/>
  <c r="T126" i="1"/>
  <c r="T127" i="1"/>
  <c r="T129" i="1"/>
  <c r="T130" i="1"/>
  <c r="T131" i="1"/>
  <c r="T138" i="1"/>
  <c r="F19" i="1"/>
  <c r="F20" i="1"/>
  <c r="F21" i="1"/>
  <c r="F18" i="1"/>
  <c r="H4" i="1"/>
  <c r="T14" i="1"/>
  <c r="P999" i="5"/>
  <c r="H16" i="1"/>
  <c r="K16" i="1"/>
  <c r="L16" i="1"/>
  <c r="M16" i="1"/>
  <c r="N16" i="1"/>
  <c r="I17" i="1"/>
  <c r="K17" i="1"/>
  <c r="O17" i="1"/>
  <c r="P17" i="1"/>
  <c r="Q17" i="1"/>
  <c r="H15" i="1"/>
  <c r="M15" i="1"/>
  <c r="N15" i="1"/>
  <c r="Q15" i="1"/>
  <c r="T6" i="1"/>
  <c r="T7" i="1"/>
  <c r="T8" i="1"/>
  <c r="T10" i="1"/>
  <c r="T11" i="1"/>
  <c r="T12" i="1"/>
  <c r="AC998" i="5"/>
  <c r="H3" i="1"/>
  <c r="F85" i="1"/>
  <c r="L85" i="1" s="1"/>
  <c r="H160" i="1"/>
  <c r="H132" i="1"/>
  <c r="H128" i="1"/>
  <c r="H9" i="1"/>
  <c r="F171" i="2"/>
  <c r="G171" i="2" s="1"/>
  <c r="F165" i="2"/>
  <c r="G165" i="2" s="1"/>
  <c r="F163" i="2"/>
  <c r="G163" i="2" s="1"/>
  <c r="F160" i="2"/>
  <c r="G160" i="2" s="1"/>
  <c r="F153" i="2"/>
  <c r="G153" i="2" s="1"/>
  <c r="F146" i="2"/>
  <c r="F139" i="2"/>
  <c r="F160" i="1"/>
  <c r="F153" i="1"/>
  <c r="F146" i="1"/>
  <c r="F139" i="1"/>
  <c r="F137" i="1" s="1"/>
  <c r="F36" i="3"/>
  <c r="F9" i="3"/>
  <c r="F22" i="3"/>
  <c r="F128" i="3"/>
  <c r="F139" i="3"/>
  <c r="F137" i="3" s="1"/>
  <c r="F146" i="3"/>
  <c r="F153" i="3"/>
  <c r="F160" i="3"/>
  <c r="F163" i="3"/>
  <c r="F165" i="3"/>
  <c r="F171" i="3"/>
  <c r="F9" i="2"/>
  <c r="G9" i="2" s="1"/>
  <c r="F132" i="2"/>
  <c r="G132" i="2" s="1"/>
  <c r="F128" i="2"/>
  <c r="G128" i="2" s="1"/>
  <c r="F122" i="2"/>
  <c r="G122" i="2" s="1"/>
  <c r="F27" i="2"/>
  <c r="G27" i="2" s="1"/>
  <c r="B68" i="8"/>
  <c r="B66" i="8"/>
  <c r="B64" i="8"/>
  <c r="B62" i="8"/>
  <c r="B60" i="8"/>
  <c r="B58" i="8"/>
  <c r="B56" i="8"/>
  <c r="B54" i="8"/>
  <c r="B52" i="8"/>
  <c r="B51" i="8"/>
  <c r="B49" i="8"/>
  <c r="B45" i="8"/>
  <c r="B44" i="8"/>
  <c r="F133" i="3" s="1"/>
  <c r="B42" i="8"/>
  <c r="B40" i="8"/>
  <c r="B38" i="8"/>
  <c r="B35" i="8"/>
  <c r="F124" i="3" s="1"/>
  <c r="B33" i="8"/>
  <c r="B32" i="8"/>
  <c r="F108" i="3" s="1"/>
  <c r="B31" i="8"/>
  <c r="F89" i="3" s="1"/>
  <c r="B30" i="8"/>
  <c r="F78" i="3" s="1"/>
  <c r="B29" i="8"/>
  <c r="F77" i="3" s="1"/>
  <c r="B28" i="8"/>
  <c r="F72" i="3" s="1"/>
  <c r="B27" i="8"/>
  <c r="F61" i="3" s="1"/>
  <c r="B26" i="8"/>
  <c r="F46" i="3" s="1"/>
  <c r="B25" i="8"/>
  <c r="F38" i="3" s="1"/>
  <c r="B21" i="8"/>
  <c r="F33" i="3" s="1"/>
  <c r="B20" i="8"/>
  <c r="F28" i="3" s="1"/>
  <c r="B15" i="8"/>
  <c r="F14" i="3" s="1"/>
  <c r="F13" i="3" s="1"/>
  <c r="B13" i="8"/>
  <c r="B11" i="8"/>
  <c r="B8" i="8"/>
  <c r="B7" i="8"/>
  <c r="B52" i="7"/>
  <c r="B62" i="7" s="1"/>
  <c r="B21" i="7"/>
  <c r="B20" i="7"/>
  <c r="B62" i="6"/>
  <c r="B32" i="6"/>
  <c r="B31" i="6"/>
  <c r="B30" i="6"/>
  <c r="B28" i="6"/>
  <c r="B26" i="6"/>
  <c r="B25" i="6"/>
  <c r="AD28" i="13" l="1"/>
  <c r="R27" i="13"/>
  <c r="AE133" i="3"/>
  <c r="AE132" i="3" s="1"/>
  <c r="AC133" i="3"/>
  <c r="AC132" i="3" s="1"/>
  <c r="AB133" i="3"/>
  <c r="AB132" i="3" s="1"/>
  <c r="AA133" i="3"/>
  <c r="AA132" i="3" s="1"/>
  <c r="Z133" i="3"/>
  <c r="Z132" i="3" s="1"/>
  <c r="Y133" i="3"/>
  <c r="Y132" i="3" s="1"/>
  <c r="AH133" i="3"/>
  <c r="AH132" i="3" s="1"/>
  <c r="W133" i="3"/>
  <c r="W132" i="3" s="1"/>
  <c r="X133" i="3"/>
  <c r="X132" i="3" s="1"/>
  <c r="AG133" i="3"/>
  <c r="AG132" i="3" s="1"/>
  <c r="AF133" i="3"/>
  <c r="AF132" i="3" s="1"/>
  <c r="AD133" i="3"/>
  <c r="AD132" i="3" s="1"/>
  <c r="X183" i="13"/>
  <c r="T177" i="13"/>
  <c r="T176" i="13" s="1"/>
  <c r="S177" i="13"/>
  <c r="S176" i="13" s="1"/>
  <c r="AD14" i="13"/>
  <c r="AC124" i="3"/>
  <c r="AC122" i="3" s="1"/>
  <c r="AA124" i="3"/>
  <c r="AA122" i="3" s="1"/>
  <c r="Z124" i="3"/>
  <c r="Z122" i="3" s="1"/>
  <c r="Y124" i="3"/>
  <c r="Y122" i="3" s="1"/>
  <c r="Y136" i="3" s="1"/>
  <c r="Y170" i="3" s="1"/>
  <c r="Y174" i="3" s="1"/>
  <c r="X124" i="3"/>
  <c r="X122" i="3" s="1"/>
  <c r="X136" i="3" s="1"/>
  <c r="X170" i="3" s="1"/>
  <c r="X174" i="3" s="1"/>
  <c r="W124" i="3"/>
  <c r="W122" i="3" s="1"/>
  <c r="AF124" i="3"/>
  <c r="AF122" i="3" s="1"/>
  <c r="AH124" i="3"/>
  <c r="AH122" i="3" s="1"/>
  <c r="AH136" i="3" s="1"/>
  <c r="AH170" i="3" s="1"/>
  <c r="AH174" i="3" s="1"/>
  <c r="AE124" i="3"/>
  <c r="AE122" i="3" s="1"/>
  <c r="AD124" i="3"/>
  <c r="AD122" i="3" s="1"/>
  <c r="AG124" i="3"/>
  <c r="AG122" i="3" s="1"/>
  <c r="AG136" i="3" s="1"/>
  <c r="AG170" i="3" s="1"/>
  <c r="AG174" i="3" s="1"/>
  <c r="AB124" i="3"/>
  <c r="AB122" i="3" s="1"/>
  <c r="P14" i="13"/>
  <c r="G18" i="2"/>
  <c r="G106" i="2"/>
  <c r="G56" i="2"/>
  <c r="G148" i="2"/>
  <c r="G91" i="2"/>
  <c r="G46" i="2"/>
  <c r="G147" i="2"/>
  <c r="G90" i="2"/>
  <c r="G45" i="2"/>
  <c r="G145" i="2"/>
  <c r="G82" i="2"/>
  <c r="L153" i="1"/>
  <c r="R153" i="1"/>
  <c r="L20" i="1"/>
  <c r="AC20" i="1"/>
  <c r="AF20" i="1"/>
  <c r="AB20" i="1"/>
  <c r="AH20" i="1"/>
  <c r="AA20" i="1"/>
  <c r="AG20" i="1"/>
  <c r="Z20" i="1"/>
  <c r="X20" i="1"/>
  <c r="W20" i="1"/>
  <c r="Y20" i="1"/>
  <c r="Y13" i="1" s="1"/>
  <c r="AE20" i="1"/>
  <c r="AD20" i="1"/>
  <c r="K19" i="1"/>
  <c r="AC19" i="1"/>
  <c r="W19" i="1"/>
  <c r="AF19" i="1"/>
  <c r="AB19" i="1"/>
  <c r="AG19" i="1"/>
  <c r="AA19" i="1"/>
  <c r="X19" i="1"/>
  <c r="AH19" i="1"/>
  <c r="Z19" i="1"/>
  <c r="Y19" i="1"/>
  <c r="AE19" i="1"/>
  <c r="AD19" i="1"/>
  <c r="J18" i="1"/>
  <c r="AC18" i="1"/>
  <c r="AF18" i="1"/>
  <c r="AF13" i="1" s="1"/>
  <c r="AB18" i="1"/>
  <c r="X18" i="1"/>
  <c r="AA18" i="1"/>
  <c r="AA13" i="1" s="1"/>
  <c r="W18" i="1"/>
  <c r="Z18" i="1"/>
  <c r="AH18" i="1"/>
  <c r="AG18" i="1"/>
  <c r="Y18" i="1"/>
  <c r="AE18" i="1"/>
  <c r="AD18" i="1"/>
  <c r="M21" i="1"/>
  <c r="AC1000" i="5"/>
  <c r="J17" i="1"/>
  <c r="I15" i="1"/>
  <c r="S16" i="1"/>
  <c r="N17" i="1"/>
  <c r="M17" i="1"/>
  <c r="P16" i="1"/>
  <c r="H17" i="1"/>
  <c r="O16" i="1"/>
  <c r="J16" i="1"/>
  <c r="L15" i="1"/>
  <c r="K15" i="1"/>
  <c r="L17" i="1"/>
  <c r="J15" i="1"/>
  <c r="R15" i="1"/>
  <c r="S17" i="1"/>
  <c r="R16" i="1"/>
  <c r="R17" i="1"/>
  <c r="Q16" i="1"/>
  <c r="P15" i="1"/>
  <c r="K122" i="1"/>
  <c r="J85" i="1"/>
  <c r="S85" i="1"/>
  <c r="R85" i="1"/>
  <c r="I85" i="1"/>
  <c r="M34" i="1"/>
  <c r="P35" i="1"/>
  <c r="O35" i="1"/>
  <c r="K35" i="1"/>
  <c r="T112" i="1"/>
  <c r="J122" i="1"/>
  <c r="Q85" i="1"/>
  <c r="T42" i="1"/>
  <c r="K85" i="1"/>
  <c r="H176" i="3"/>
  <c r="M176" i="3"/>
  <c r="S176" i="3"/>
  <c r="R176" i="3"/>
  <c r="L176" i="3"/>
  <c r="K176" i="3"/>
  <c r="Q176" i="3"/>
  <c r="J176" i="3"/>
  <c r="P176" i="3"/>
  <c r="I176" i="3"/>
  <c r="O176" i="3"/>
  <c r="K2" i="2"/>
  <c r="K177" i="2" s="1"/>
  <c r="K176" i="2" s="1"/>
  <c r="J2" i="2"/>
  <c r="J177" i="2" s="1"/>
  <c r="J176" i="2" s="1"/>
  <c r="G11" i="2"/>
  <c r="G6" i="2"/>
  <c r="G21" i="2"/>
  <c r="G34" i="2"/>
  <c r="G47" i="2"/>
  <c r="G59" i="2"/>
  <c r="G71" i="2"/>
  <c r="G83" i="2"/>
  <c r="G95" i="2"/>
  <c r="G107" i="2"/>
  <c r="G119" i="2"/>
  <c r="G134" i="2"/>
  <c r="G150" i="2"/>
  <c r="G166" i="2"/>
  <c r="G62" i="2"/>
  <c r="G51" i="2"/>
  <c r="G111" i="2"/>
  <c r="G173" i="2"/>
  <c r="G76" i="2"/>
  <c r="G16" i="2"/>
  <c r="G42" i="2"/>
  <c r="G7" i="2"/>
  <c r="G22" i="2"/>
  <c r="G35" i="2"/>
  <c r="G48" i="2"/>
  <c r="G60" i="2"/>
  <c r="G72" i="2"/>
  <c r="G84" i="2"/>
  <c r="G96" i="2"/>
  <c r="G108" i="2"/>
  <c r="G120" i="2"/>
  <c r="G135" i="2"/>
  <c r="G151" i="2"/>
  <c r="G167" i="2"/>
  <c r="G10" i="2"/>
  <c r="G24" i="2"/>
  <c r="G38" i="2"/>
  <c r="G50" i="2"/>
  <c r="G74" i="2"/>
  <c r="G86" i="2"/>
  <c r="G98" i="2"/>
  <c r="G110" i="2"/>
  <c r="G123" i="2"/>
  <c r="G140" i="2"/>
  <c r="G154" i="2"/>
  <c r="G172" i="2"/>
  <c r="G12" i="2"/>
  <c r="G25" i="2"/>
  <c r="G39" i="2"/>
  <c r="G63" i="2"/>
  <c r="G75" i="2"/>
  <c r="G87" i="2"/>
  <c r="G99" i="2"/>
  <c r="G124" i="2"/>
  <c r="G141" i="2"/>
  <c r="G155" i="2"/>
  <c r="G52" i="2"/>
  <c r="G125" i="2"/>
  <c r="G15" i="2"/>
  <c r="G101" i="2"/>
  <c r="G8" i="2"/>
  <c r="G23" i="2"/>
  <c r="G36" i="2"/>
  <c r="G49" i="2"/>
  <c r="G61" i="2"/>
  <c r="G73" i="2"/>
  <c r="G85" i="2"/>
  <c r="G97" i="2"/>
  <c r="G109" i="2"/>
  <c r="G121" i="2"/>
  <c r="G138" i="2"/>
  <c r="G152" i="2"/>
  <c r="G168" i="2"/>
  <c r="G14" i="2"/>
  <c r="G26" i="2"/>
  <c r="G40" i="2"/>
  <c r="G64" i="2"/>
  <c r="G88" i="2"/>
  <c r="G100" i="2"/>
  <c r="G112" i="2"/>
  <c r="G142" i="2"/>
  <c r="G156" i="2"/>
  <c r="G3" i="2"/>
  <c r="G28" i="2"/>
  <c r="G41" i="2"/>
  <c r="G53" i="2"/>
  <c r="G65" i="2"/>
  <c r="G77" i="2"/>
  <c r="G89" i="2"/>
  <c r="G113" i="2"/>
  <c r="G126" i="2"/>
  <c r="G143" i="2"/>
  <c r="G157" i="2"/>
  <c r="T119" i="2"/>
  <c r="T107" i="2"/>
  <c r="T95" i="2"/>
  <c r="G103" i="2"/>
  <c r="G70" i="2"/>
  <c r="G44" i="2"/>
  <c r="T171" i="2"/>
  <c r="T118" i="2"/>
  <c r="T106" i="2"/>
  <c r="T94" i="2"/>
  <c r="G130" i="2"/>
  <c r="G102" i="2"/>
  <c r="G69" i="2"/>
  <c r="G43" i="2"/>
  <c r="T165" i="2"/>
  <c r="T117" i="2"/>
  <c r="T105" i="2"/>
  <c r="T93" i="2"/>
  <c r="T153" i="2"/>
  <c r="G162" i="2"/>
  <c r="G129" i="2"/>
  <c r="G94" i="2"/>
  <c r="G68" i="2"/>
  <c r="G33" i="2"/>
  <c r="T163" i="2"/>
  <c r="T116" i="2"/>
  <c r="T104" i="2"/>
  <c r="T92" i="2"/>
  <c r="H177" i="2"/>
  <c r="H176" i="2" s="1"/>
  <c r="G131" i="2"/>
  <c r="G164" i="2"/>
  <c r="G161" i="2"/>
  <c r="G127" i="2"/>
  <c r="G93" i="2"/>
  <c r="G67" i="2"/>
  <c r="G32" i="2"/>
  <c r="G159" i="2"/>
  <c r="G118" i="2"/>
  <c r="G92" i="2"/>
  <c r="G66" i="2"/>
  <c r="G31" i="2"/>
  <c r="T102" i="2"/>
  <c r="T90" i="2"/>
  <c r="T115" i="2"/>
  <c r="T91" i="2"/>
  <c r="T110" i="2"/>
  <c r="T98" i="2"/>
  <c r="T72" i="2"/>
  <c r="T160" i="2"/>
  <c r="T113" i="2"/>
  <c r="T101" i="2"/>
  <c r="T89" i="2"/>
  <c r="T112" i="2"/>
  <c r="T103" i="2"/>
  <c r="T100" i="2"/>
  <c r="T146" i="2"/>
  <c r="H185" i="2"/>
  <c r="T78" i="2"/>
  <c r="T111" i="2"/>
  <c r="T99" i="2"/>
  <c r="T77" i="2"/>
  <c r="G139" i="2"/>
  <c r="T121" i="2"/>
  <c r="T109" i="2"/>
  <c r="T97" i="2"/>
  <c r="T61" i="2"/>
  <c r="T114" i="2"/>
  <c r="G146" i="2"/>
  <c r="T120" i="2"/>
  <c r="T108" i="2"/>
  <c r="T96" i="2"/>
  <c r="T49" i="2"/>
  <c r="T132" i="2"/>
  <c r="T128" i="2"/>
  <c r="T9" i="2"/>
  <c r="K21" i="1"/>
  <c r="O61" i="3"/>
  <c r="Y61" i="13" s="1"/>
  <c r="Y37" i="13" s="1"/>
  <c r="Y184" i="13" s="1"/>
  <c r="Y181" i="13" s="1"/>
  <c r="Y186" i="13" s="1"/>
  <c r="P61" i="3"/>
  <c r="Z61" i="13" s="1"/>
  <c r="Z37" i="13" s="1"/>
  <c r="Z184" i="13" s="1"/>
  <c r="Z181" i="13" s="1"/>
  <c r="Z186" i="13" s="1"/>
  <c r="Q61" i="3"/>
  <c r="AA61" i="13" s="1"/>
  <c r="AA37" i="13" s="1"/>
  <c r="R61" i="3"/>
  <c r="AB61" i="13" s="1"/>
  <c r="S61" i="3"/>
  <c r="AC61" i="13" s="1"/>
  <c r="I61" i="3"/>
  <c r="S61" i="13" s="1"/>
  <c r="S37" i="13" s="1"/>
  <c r="S184" i="13" s="1"/>
  <c r="S181" i="13" s="1"/>
  <c r="H61" i="3"/>
  <c r="R61" i="13" s="1"/>
  <c r="J61" i="3"/>
  <c r="T61" i="13" s="1"/>
  <c r="K61" i="3"/>
  <c r="U61" i="13" s="1"/>
  <c r="L61" i="3"/>
  <c r="V61" i="13" s="1"/>
  <c r="M61" i="3"/>
  <c r="W61" i="13" s="1"/>
  <c r="N61" i="3"/>
  <c r="X61" i="13" s="1"/>
  <c r="P72" i="3"/>
  <c r="Z72" i="13" s="1"/>
  <c r="Q72" i="3"/>
  <c r="AA72" i="13" s="1"/>
  <c r="R72" i="3"/>
  <c r="AB72" i="13" s="1"/>
  <c r="AD72" i="13" s="1"/>
  <c r="S72" i="3"/>
  <c r="AC72" i="13" s="1"/>
  <c r="I72" i="3"/>
  <c r="S72" i="13" s="1"/>
  <c r="J72" i="3"/>
  <c r="T72" i="13" s="1"/>
  <c r="K72" i="3"/>
  <c r="U72" i="13" s="1"/>
  <c r="L72" i="3"/>
  <c r="V72" i="13" s="1"/>
  <c r="M72" i="3"/>
  <c r="W72" i="13" s="1"/>
  <c r="N72" i="3"/>
  <c r="X72" i="13" s="1"/>
  <c r="H72" i="3"/>
  <c r="R72" i="13" s="1"/>
  <c r="O72" i="3"/>
  <c r="Y72" i="13" s="1"/>
  <c r="O124" i="3"/>
  <c r="O122" i="3" s="1"/>
  <c r="P124" i="3"/>
  <c r="P122" i="3" s="1"/>
  <c r="Q124" i="3"/>
  <c r="Q122" i="3" s="1"/>
  <c r="R124" i="3"/>
  <c r="R122" i="3" s="1"/>
  <c r="S124" i="3"/>
  <c r="S122" i="3" s="1"/>
  <c r="I124" i="3"/>
  <c r="H124" i="3"/>
  <c r="H122" i="3" s="1"/>
  <c r="J124" i="3"/>
  <c r="K124" i="3"/>
  <c r="K122" i="3" s="1"/>
  <c r="L124" i="3"/>
  <c r="L122" i="3" s="1"/>
  <c r="M124" i="3"/>
  <c r="M122" i="3" s="1"/>
  <c r="N124" i="3"/>
  <c r="N122" i="3" s="1"/>
  <c r="Q77" i="3"/>
  <c r="AA77" i="13" s="1"/>
  <c r="R77" i="3"/>
  <c r="AB77" i="13" s="1"/>
  <c r="S77" i="3"/>
  <c r="AC77" i="13" s="1"/>
  <c r="I77" i="3"/>
  <c r="S77" i="13" s="1"/>
  <c r="O77" i="3"/>
  <c r="Y77" i="13" s="1"/>
  <c r="P77" i="3"/>
  <c r="Z77" i="13" s="1"/>
  <c r="H77" i="3"/>
  <c r="R77" i="13" s="1"/>
  <c r="J77" i="3"/>
  <c r="T77" i="13" s="1"/>
  <c r="K77" i="3"/>
  <c r="U77" i="13" s="1"/>
  <c r="L77" i="3"/>
  <c r="V77" i="13" s="1"/>
  <c r="M77" i="3"/>
  <c r="W77" i="13" s="1"/>
  <c r="N77" i="3"/>
  <c r="X77" i="13" s="1"/>
  <c r="F132" i="3"/>
  <c r="M133" i="3"/>
  <c r="M132" i="3" s="1"/>
  <c r="N133" i="3"/>
  <c r="N132" i="3" s="1"/>
  <c r="O133" i="3"/>
  <c r="O132" i="3" s="1"/>
  <c r="P133" i="3"/>
  <c r="P132" i="3" s="1"/>
  <c r="Q133" i="3"/>
  <c r="Q132" i="3" s="1"/>
  <c r="R133" i="3"/>
  <c r="R132" i="3" s="1"/>
  <c r="S133" i="3"/>
  <c r="S132" i="3" s="1"/>
  <c r="I133" i="3"/>
  <c r="I132" i="3" s="1"/>
  <c r="J133" i="3"/>
  <c r="J132" i="3" s="1"/>
  <c r="K133" i="3"/>
  <c r="L133" i="3"/>
  <c r="H133" i="3"/>
  <c r="J21" i="1"/>
  <c r="S20" i="1"/>
  <c r="K20" i="1"/>
  <c r="J20" i="1"/>
  <c r="I20" i="1"/>
  <c r="R19" i="1"/>
  <c r="J19" i="1"/>
  <c r="I19" i="1"/>
  <c r="I18" i="1"/>
  <c r="S19" i="1"/>
  <c r="L21" i="1"/>
  <c r="M178" i="1"/>
  <c r="K178" i="1"/>
  <c r="Q178" i="1"/>
  <c r="P178" i="1"/>
  <c r="H178" i="1"/>
  <c r="O178" i="1"/>
  <c r="J178" i="1"/>
  <c r="S178" i="1"/>
  <c r="R178" i="1"/>
  <c r="N34" i="1"/>
  <c r="L34" i="1"/>
  <c r="K34" i="1"/>
  <c r="J34" i="1"/>
  <c r="J35" i="1"/>
  <c r="O34" i="1"/>
  <c r="I34" i="1"/>
  <c r="H35" i="1"/>
  <c r="N35" i="1"/>
  <c r="H34" i="1"/>
  <c r="M35" i="1"/>
  <c r="L35" i="1"/>
  <c r="T9" i="1"/>
  <c r="M169" i="2"/>
  <c r="K169" i="2"/>
  <c r="J169" i="2"/>
  <c r="Q169" i="2"/>
  <c r="S169" i="2"/>
  <c r="R169" i="2"/>
  <c r="P169" i="2"/>
  <c r="H169" i="2"/>
  <c r="O169" i="2"/>
  <c r="I169" i="2"/>
  <c r="T137" i="2"/>
  <c r="T139" i="2"/>
  <c r="L169" i="2"/>
  <c r="T38" i="2"/>
  <c r="H37" i="2"/>
  <c r="K37" i="2"/>
  <c r="K184" i="2" s="1"/>
  <c r="K181" i="2" s="1"/>
  <c r="K187" i="2" s="1"/>
  <c r="J37" i="2"/>
  <c r="I37" i="2"/>
  <c r="T27" i="2"/>
  <c r="T28" i="2"/>
  <c r="T3" i="2"/>
  <c r="G5" i="2"/>
  <c r="G4" i="2"/>
  <c r="P160" i="1"/>
  <c r="H146" i="1"/>
  <c r="H185" i="1" s="1"/>
  <c r="J146" i="1"/>
  <c r="J185" i="1" s="1"/>
  <c r="T133" i="1"/>
  <c r="T135" i="1"/>
  <c r="N132" i="1"/>
  <c r="M132" i="1"/>
  <c r="L132" i="1"/>
  <c r="T134" i="1"/>
  <c r="K132" i="1"/>
  <c r="T128" i="1"/>
  <c r="I122" i="1"/>
  <c r="M122" i="1"/>
  <c r="L122" i="1"/>
  <c r="R122" i="1"/>
  <c r="Q122" i="1"/>
  <c r="O122" i="1"/>
  <c r="N122" i="1"/>
  <c r="P122" i="1"/>
  <c r="T124" i="1"/>
  <c r="T125" i="1"/>
  <c r="T105" i="1"/>
  <c r="P85" i="1"/>
  <c r="O85" i="1"/>
  <c r="H85" i="1"/>
  <c r="N85" i="1"/>
  <c r="T84" i="1"/>
  <c r="M85" i="1"/>
  <c r="S122" i="1"/>
  <c r="I35" i="1"/>
  <c r="S34" i="1"/>
  <c r="S35" i="1"/>
  <c r="R34" i="1"/>
  <c r="R35" i="1"/>
  <c r="Q34" i="1"/>
  <c r="T26" i="1"/>
  <c r="S18" i="1"/>
  <c r="I21" i="1"/>
  <c r="R18" i="1"/>
  <c r="Q18" i="1"/>
  <c r="S21" i="1"/>
  <c r="R20" i="1"/>
  <c r="Q19" i="1"/>
  <c r="P18" i="1"/>
  <c r="H18" i="1"/>
  <c r="R21" i="1"/>
  <c r="Q20" i="1"/>
  <c r="P19" i="1"/>
  <c r="O18" i="1"/>
  <c r="H21" i="1"/>
  <c r="Q21" i="1"/>
  <c r="P20" i="1"/>
  <c r="O19" i="1"/>
  <c r="N18" i="1"/>
  <c r="H20" i="1"/>
  <c r="P21" i="1"/>
  <c r="O20" i="1"/>
  <c r="N19" i="1"/>
  <c r="M18" i="1"/>
  <c r="H19" i="1"/>
  <c r="O21" i="1"/>
  <c r="N20" i="1"/>
  <c r="M19" i="1"/>
  <c r="L18" i="1"/>
  <c r="N21" i="1"/>
  <c r="M20" i="1"/>
  <c r="L19" i="1"/>
  <c r="K18" i="1"/>
  <c r="M153" i="1"/>
  <c r="Q153" i="1"/>
  <c r="P153" i="1"/>
  <c r="H153" i="1"/>
  <c r="O153" i="1"/>
  <c r="J153" i="1"/>
  <c r="I153" i="1"/>
  <c r="K153" i="1"/>
  <c r="S153" i="1"/>
  <c r="N153" i="1"/>
  <c r="O146" i="1"/>
  <c r="O185" i="1" s="1"/>
  <c r="N146" i="1"/>
  <c r="N185" i="1" s="1"/>
  <c r="F169" i="1"/>
  <c r="S146" i="1"/>
  <c r="S185" i="1" s="1"/>
  <c r="R146" i="1"/>
  <c r="R185" i="1" s="1"/>
  <c r="I146" i="1"/>
  <c r="I185" i="1" s="1"/>
  <c r="M146" i="1"/>
  <c r="M185" i="1" s="1"/>
  <c r="Q146" i="1"/>
  <c r="Q185" i="1" s="1"/>
  <c r="P146" i="1"/>
  <c r="P185" i="1" s="1"/>
  <c r="L146" i="1"/>
  <c r="L185" i="1" s="1"/>
  <c r="K146" i="1"/>
  <c r="K185" i="1" s="1"/>
  <c r="N139" i="1"/>
  <c r="N137" i="1" s="1"/>
  <c r="O139" i="1"/>
  <c r="O137" i="1" s="1"/>
  <c r="H139" i="1"/>
  <c r="H137" i="1" s="1"/>
  <c r="H180" i="1" s="1"/>
  <c r="S139" i="1"/>
  <c r="S137" i="1" s="1"/>
  <c r="K139" i="1"/>
  <c r="K137" i="1" s="1"/>
  <c r="Q139" i="1"/>
  <c r="Q137" i="1" s="1"/>
  <c r="P139" i="1"/>
  <c r="P137" i="1" s="1"/>
  <c r="J139" i="1"/>
  <c r="J137" i="1" s="1"/>
  <c r="M139" i="1"/>
  <c r="M137" i="1" s="1"/>
  <c r="R139" i="1"/>
  <c r="R137" i="1" s="1"/>
  <c r="R169" i="1" s="1"/>
  <c r="L139" i="1"/>
  <c r="L137" i="1" s="1"/>
  <c r="I139" i="1"/>
  <c r="T121" i="1"/>
  <c r="T118" i="1"/>
  <c r="T117" i="1"/>
  <c r="T110" i="1"/>
  <c r="T109" i="1"/>
  <c r="T108" i="1"/>
  <c r="T107" i="1"/>
  <c r="T106" i="1"/>
  <c r="T100" i="1"/>
  <c r="T98" i="1"/>
  <c r="T92" i="1"/>
  <c r="T93" i="1"/>
  <c r="T94" i="1"/>
  <c r="T97" i="1"/>
  <c r="T95" i="1"/>
  <c r="T96" i="1"/>
  <c r="T86" i="1"/>
  <c r="T83" i="1"/>
  <c r="T76" i="1"/>
  <c r="T74" i="1"/>
  <c r="T73" i="1"/>
  <c r="T72" i="1"/>
  <c r="T71" i="1"/>
  <c r="T68" i="1"/>
  <c r="T64" i="1"/>
  <c r="T62" i="1"/>
  <c r="T60" i="1"/>
  <c r="T40" i="1"/>
  <c r="T57" i="1"/>
  <c r="T55" i="1"/>
  <c r="T52" i="1"/>
  <c r="T51" i="1"/>
  <c r="T50" i="1"/>
  <c r="T39" i="1"/>
  <c r="T43" i="1"/>
  <c r="T24" i="1"/>
  <c r="T4" i="1"/>
  <c r="T82" i="1"/>
  <c r="I32" i="6"/>
  <c r="H32" i="6"/>
  <c r="L32" i="6"/>
  <c r="K32" i="6"/>
  <c r="G32" i="6"/>
  <c r="J32" i="6"/>
  <c r="F32" i="6"/>
  <c r="E32" i="6"/>
  <c r="D32" i="6"/>
  <c r="N32" i="6"/>
  <c r="M32" i="6"/>
  <c r="B47" i="6"/>
  <c r="B64" i="6" s="1"/>
  <c r="B66" i="6" s="1"/>
  <c r="B68" i="6" s="1"/>
  <c r="F26" i="6"/>
  <c r="H26" i="6"/>
  <c r="G26" i="6"/>
  <c r="E26" i="6"/>
  <c r="L26" i="6"/>
  <c r="J26" i="6"/>
  <c r="D26" i="6"/>
  <c r="I26" i="6"/>
  <c r="N26" i="6"/>
  <c r="M26" i="6"/>
  <c r="K26" i="6"/>
  <c r="G30" i="6"/>
  <c r="J30" i="6"/>
  <c r="F30" i="6"/>
  <c r="H30" i="6"/>
  <c r="E30" i="6"/>
  <c r="M30" i="6"/>
  <c r="K30" i="6"/>
  <c r="I30" i="6"/>
  <c r="D30" i="6"/>
  <c r="N30" i="6"/>
  <c r="L30" i="6"/>
  <c r="H31" i="6"/>
  <c r="L31" i="6"/>
  <c r="I31" i="6"/>
  <c r="G31" i="6"/>
  <c r="F31" i="6"/>
  <c r="E31" i="6"/>
  <c r="N31" i="6"/>
  <c r="J31" i="6"/>
  <c r="D31" i="6"/>
  <c r="K31" i="6"/>
  <c r="M31" i="6"/>
  <c r="B47" i="7"/>
  <c r="B64" i="7" s="1"/>
  <c r="B66" i="7" s="1"/>
  <c r="B68" i="7" s="1"/>
  <c r="I20" i="7"/>
  <c r="H20" i="7"/>
  <c r="G20" i="7"/>
  <c r="F20" i="7"/>
  <c r="J20" i="7"/>
  <c r="E20" i="7"/>
  <c r="L20" i="7"/>
  <c r="D20" i="7"/>
  <c r="C20" i="7"/>
  <c r="N20" i="7"/>
  <c r="M20" i="7"/>
  <c r="K20" i="7"/>
  <c r="M21" i="7"/>
  <c r="L21" i="7"/>
  <c r="K21" i="7"/>
  <c r="J21" i="7"/>
  <c r="I21" i="7"/>
  <c r="H21" i="7"/>
  <c r="G21" i="7"/>
  <c r="F21" i="7"/>
  <c r="E21" i="7"/>
  <c r="D21" i="7"/>
  <c r="C21" i="7"/>
  <c r="N21" i="7"/>
  <c r="F7" i="3"/>
  <c r="R122" i="2"/>
  <c r="O37" i="2"/>
  <c r="Q122" i="2"/>
  <c r="M37" i="2"/>
  <c r="L37" i="2"/>
  <c r="S37" i="2"/>
  <c r="N37" i="2"/>
  <c r="T124" i="2"/>
  <c r="R37" i="2"/>
  <c r="Q37" i="2"/>
  <c r="P37" i="2"/>
  <c r="F27" i="3"/>
  <c r="G13" i="2"/>
  <c r="F137" i="2"/>
  <c r="F169" i="2" s="1"/>
  <c r="T114" i="1"/>
  <c r="T90" i="1"/>
  <c r="T113" i="1"/>
  <c r="T101" i="1"/>
  <c r="T77" i="1"/>
  <c r="I132" i="1"/>
  <c r="T3" i="1"/>
  <c r="T56" i="1"/>
  <c r="T123" i="1"/>
  <c r="T111" i="1"/>
  <c r="T99" i="1"/>
  <c r="T87" i="1"/>
  <c r="T75" i="1"/>
  <c r="T116" i="1"/>
  <c r="T23" i="1"/>
  <c r="T91" i="1"/>
  <c r="T67" i="1"/>
  <c r="H122" i="1"/>
  <c r="F15" i="1"/>
  <c r="P1000" i="5"/>
  <c r="AC999" i="5"/>
  <c r="F122" i="3"/>
  <c r="F37" i="3"/>
  <c r="F169" i="3"/>
  <c r="Y136" i="13" l="1"/>
  <c r="Y170" i="13" s="1"/>
  <c r="Y174" i="13" s="1"/>
  <c r="Z136" i="13"/>
  <c r="Z170" i="13" s="1"/>
  <c r="Z174" i="13" s="1"/>
  <c r="T37" i="13"/>
  <c r="AD136" i="3"/>
  <c r="AD170" i="3" s="1"/>
  <c r="AD174" i="3" s="1"/>
  <c r="AC136" i="3"/>
  <c r="AC170" i="3" s="1"/>
  <c r="AC174" i="3" s="1"/>
  <c r="U37" i="13"/>
  <c r="AD77" i="13"/>
  <c r="AD61" i="13"/>
  <c r="R37" i="13"/>
  <c r="AE136" i="3"/>
  <c r="AE170" i="3" s="1"/>
  <c r="AE174" i="3" s="1"/>
  <c r="AD27" i="13"/>
  <c r="R183" i="13"/>
  <c r="P27" i="13"/>
  <c r="AA184" i="13"/>
  <c r="AA181" i="13" s="1"/>
  <c r="AA186" i="13" s="1"/>
  <c r="AA136" i="13"/>
  <c r="AA170" i="13" s="1"/>
  <c r="AA174" i="13" s="1"/>
  <c r="X37" i="13"/>
  <c r="AA136" i="3"/>
  <c r="AA170" i="3" s="1"/>
  <c r="AA174" i="3" s="1"/>
  <c r="W37" i="13"/>
  <c r="V37" i="13"/>
  <c r="AB136" i="3"/>
  <c r="AB170" i="3" s="1"/>
  <c r="AB174" i="3" s="1"/>
  <c r="AC37" i="13"/>
  <c r="AF136" i="3"/>
  <c r="AF170" i="3" s="1"/>
  <c r="AF174" i="3" s="1"/>
  <c r="Z136" i="3"/>
  <c r="Z170" i="3" s="1"/>
  <c r="Z174" i="3" s="1"/>
  <c r="AB37" i="13"/>
  <c r="W136" i="3"/>
  <c r="W170" i="3" s="1"/>
  <c r="W174" i="3" s="1"/>
  <c r="S186" i="13"/>
  <c r="G2" i="2"/>
  <c r="L169" i="1"/>
  <c r="AI20" i="1"/>
  <c r="U20" i="1"/>
  <c r="V20" i="1" s="1"/>
  <c r="U18" i="1"/>
  <c r="V18" i="1" s="1"/>
  <c r="U19" i="1"/>
  <c r="V19" i="1" s="1"/>
  <c r="AE13" i="1"/>
  <c r="AI21" i="1"/>
  <c r="Z13" i="1"/>
  <c r="AC13" i="1"/>
  <c r="AI18" i="1"/>
  <c r="W13" i="1"/>
  <c r="X13" i="1"/>
  <c r="AI19" i="1"/>
  <c r="AI16" i="1"/>
  <c r="Z182" i="1"/>
  <c r="T16" i="1"/>
  <c r="T15" i="1"/>
  <c r="AF182" i="1"/>
  <c r="T17" i="1"/>
  <c r="AD13" i="1"/>
  <c r="AD182" i="1" s="1"/>
  <c r="F17" i="1"/>
  <c r="AA182" i="1"/>
  <c r="AB13" i="1"/>
  <c r="AB182" i="1"/>
  <c r="AH13" i="1"/>
  <c r="N136" i="2"/>
  <c r="N170" i="2" s="1"/>
  <c r="N174" i="2" s="1"/>
  <c r="N184" i="2"/>
  <c r="N181" i="2" s="1"/>
  <c r="N187" i="2" s="1"/>
  <c r="J136" i="2"/>
  <c r="J170" i="2" s="1"/>
  <c r="J174" i="2" s="1"/>
  <c r="J184" i="2"/>
  <c r="J181" i="2" s="1"/>
  <c r="J187" i="2" s="1"/>
  <c r="L136" i="2"/>
  <c r="L170" i="2" s="1"/>
  <c r="L174" i="2" s="1"/>
  <c r="L184" i="2"/>
  <c r="L181" i="2" s="1"/>
  <c r="L187" i="2" s="1"/>
  <c r="H187" i="2"/>
  <c r="H188" i="2" s="1"/>
  <c r="M136" i="2"/>
  <c r="M170" i="2" s="1"/>
  <c r="M174" i="2" s="1"/>
  <c r="M184" i="2"/>
  <c r="M181" i="2" s="1"/>
  <c r="M187" i="2" s="1"/>
  <c r="T2" i="2"/>
  <c r="T122" i="2"/>
  <c r="O136" i="2"/>
  <c r="O170" i="2" s="1"/>
  <c r="O174" i="2" s="1"/>
  <c r="O184" i="2"/>
  <c r="O181" i="2" s="1"/>
  <c r="O187" i="2" s="1"/>
  <c r="H136" i="2"/>
  <c r="H184" i="2"/>
  <c r="H181" i="2" s="1"/>
  <c r="S136" i="2"/>
  <c r="S170" i="2" s="1"/>
  <c r="S174" i="2" s="1"/>
  <c r="S184" i="2"/>
  <c r="S181" i="2" s="1"/>
  <c r="S187" i="2" s="1"/>
  <c r="P136" i="2"/>
  <c r="P170" i="2" s="1"/>
  <c r="P174" i="2" s="1"/>
  <c r="P184" i="2"/>
  <c r="P181" i="2" s="1"/>
  <c r="P187" i="2" s="1"/>
  <c r="Q136" i="2"/>
  <c r="Q170" i="2" s="1"/>
  <c r="Q174" i="2" s="1"/>
  <c r="Q184" i="2"/>
  <c r="Q181" i="2" s="1"/>
  <c r="Q187" i="2" s="1"/>
  <c r="R136" i="2"/>
  <c r="R170" i="2" s="1"/>
  <c r="R174" i="2" s="1"/>
  <c r="R184" i="2"/>
  <c r="R181" i="2" s="1"/>
  <c r="R187" i="2" s="1"/>
  <c r="K136" i="2"/>
  <c r="K170" i="2" s="1"/>
  <c r="K174" i="2" s="1"/>
  <c r="I136" i="2"/>
  <c r="I184" i="2"/>
  <c r="I181" i="2" s="1"/>
  <c r="I187" i="2" s="1"/>
  <c r="M37" i="3"/>
  <c r="J13" i="1"/>
  <c r="I122" i="3"/>
  <c r="L37" i="3"/>
  <c r="L184" i="3" s="1"/>
  <c r="K37" i="3"/>
  <c r="K184" i="3" s="1"/>
  <c r="H132" i="3"/>
  <c r="J37" i="3"/>
  <c r="L132" i="3"/>
  <c r="K132" i="3"/>
  <c r="I37" i="3"/>
  <c r="S37" i="3"/>
  <c r="R37" i="3"/>
  <c r="Q37" i="3"/>
  <c r="P37" i="3"/>
  <c r="J122" i="3"/>
  <c r="H37" i="3"/>
  <c r="O37" i="3"/>
  <c r="N37" i="3"/>
  <c r="N13" i="1"/>
  <c r="R13" i="1"/>
  <c r="I13" i="1"/>
  <c r="T169" i="2"/>
  <c r="N169" i="1"/>
  <c r="Q169" i="1"/>
  <c r="M169" i="1"/>
  <c r="T132" i="1"/>
  <c r="T85" i="1"/>
  <c r="T122" i="1"/>
  <c r="T35" i="1"/>
  <c r="T34" i="1"/>
  <c r="T19" i="1"/>
  <c r="T20" i="1"/>
  <c r="P13" i="1"/>
  <c r="L13" i="1"/>
  <c r="H13" i="1"/>
  <c r="S13" i="1"/>
  <c r="T18" i="1"/>
  <c r="K13" i="1"/>
  <c r="O13" i="1"/>
  <c r="M13" i="1"/>
  <c r="T21" i="1"/>
  <c r="Q13" i="1"/>
  <c r="H169" i="1"/>
  <c r="O169" i="1"/>
  <c r="J169" i="1"/>
  <c r="P169" i="1"/>
  <c r="K169" i="1"/>
  <c r="S169" i="1"/>
  <c r="T139" i="1"/>
  <c r="I137" i="1"/>
  <c r="I169" i="1" s="1"/>
  <c r="F2" i="3"/>
  <c r="T37" i="2"/>
  <c r="H170" i="2"/>
  <c r="G137" i="2"/>
  <c r="G169" i="2"/>
  <c r="T137" i="1"/>
  <c r="F16" i="1"/>
  <c r="F37" i="2"/>
  <c r="F136" i="2" s="1"/>
  <c r="F28" i="1"/>
  <c r="G28" i="1" s="1"/>
  <c r="D27" i="1"/>
  <c r="E27" i="1" s="1"/>
  <c r="F29" i="1"/>
  <c r="G29" i="1" s="1"/>
  <c r="F30" i="1"/>
  <c r="G30" i="1" s="1"/>
  <c r="F31" i="1"/>
  <c r="G31" i="1" s="1"/>
  <c r="F33" i="1"/>
  <c r="F36" i="1"/>
  <c r="F132" i="1"/>
  <c r="F128" i="1"/>
  <c r="G128" i="1" s="1"/>
  <c r="F122" i="1"/>
  <c r="F41" i="1"/>
  <c r="F44" i="1"/>
  <c r="F45" i="1"/>
  <c r="F46" i="1"/>
  <c r="F47" i="1"/>
  <c r="F48" i="1"/>
  <c r="F49" i="1"/>
  <c r="F53" i="1"/>
  <c r="G53" i="1" s="1"/>
  <c r="F54" i="1"/>
  <c r="G57" i="1"/>
  <c r="F58" i="1"/>
  <c r="F59" i="1"/>
  <c r="G60" i="1"/>
  <c r="F61" i="1"/>
  <c r="F63" i="1"/>
  <c r="G63" i="1" s="1"/>
  <c r="F65" i="1"/>
  <c r="G65" i="1" s="1"/>
  <c r="F66" i="1"/>
  <c r="G66" i="1" s="1"/>
  <c r="F69" i="1"/>
  <c r="F70" i="1"/>
  <c r="G71" i="1"/>
  <c r="G72" i="1"/>
  <c r="G73" i="1"/>
  <c r="F78" i="1"/>
  <c r="F79" i="1"/>
  <c r="F80" i="1"/>
  <c r="G80" i="1" s="1"/>
  <c r="F81" i="1"/>
  <c r="G82" i="1"/>
  <c r="G83" i="1"/>
  <c r="G84" i="1"/>
  <c r="G85" i="1"/>
  <c r="F88" i="1"/>
  <c r="G88" i="1" s="1"/>
  <c r="F89" i="1"/>
  <c r="G95" i="1"/>
  <c r="G96" i="1"/>
  <c r="F102" i="1"/>
  <c r="F103" i="1"/>
  <c r="F104" i="1"/>
  <c r="G105" i="1"/>
  <c r="G108" i="1"/>
  <c r="G109" i="1"/>
  <c r="F115" i="1"/>
  <c r="G117" i="1"/>
  <c r="F119" i="1"/>
  <c r="F120" i="1"/>
  <c r="G121" i="1"/>
  <c r="F38" i="1"/>
  <c r="F25" i="1"/>
  <c r="F9" i="1"/>
  <c r="G173" i="1"/>
  <c r="G172" i="1"/>
  <c r="G171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1" i="1"/>
  <c r="G150" i="1"/>
  <c r="G149" i="1"/>
  <c r="G148" i="1"/>
  <c r="G146" i="1"/>
  <c r="G145" i="1"/>
  <c r="G144" i="1"/>
  <c r="G143" i="1"/>
  <c r="G142" i="1"/>
  <c r="G141" i="1"/>
  <c r="G140" i="1"/>
  <c r="G139" i="1"/>
  <c r="G138" i="1"/>
  <c r="G137" i="1"/>
  <c r="G135" i="1"/>
  <c r="G134" i="1"/>
  <c r="G133" i="1"/>
  <c r="G132" i="1"/>
  <c r="G131" i="1"/>
  <c r="G130" i="1"/>
  <c r="G129" i="1"/>
  <c r="G127" i="1"/>
  <c r="G126" i="1"/>
  <c r="G125" i="1"/>
  <c r="G124" i="1"/>
  <c r="G123" i="1"/>
  <c r="G122" i="1"/>
  <c r="G119" i="1"/>
  <c r="G118" i="1"/>
  <c r="G116" i="1"/>
  <c r="G115" i="1"/>
  <c r="G114" i="1"/>
  <c r="G113" i="1"/>
  <c r="G112" i="1"/>
  <c r="G111" i="1"/>
  <c r="G110" i="1"/>
  <c r="G107" i="1"/>
  <c r="G106" i="1"/>
  <c r="G104" i="1"/>
  <c r="G103" i="1"/>
  <c r="G101" i="1"/>
  <c r="G100" i="1"/>
  <c r="G99" i="1"/>
  <c r="G98" i="1"/>
  <c r="G94" i="1"/>
  <c r="G91" i="1"/>
  <c r="G90" i="1"/>
  <c r="G87" i="1"/>
  <c r="G86" i="1"/>
  <c r="G77" i="1"/>
  <c r="G76" i="1"/>
  <c r="G75" i="1"/>
  <c r="G74" i="1"/>
  <c r="G68" i="1"/>
  <c r="G67" i="1"/>
  <c r="G64" i="1"/>
  <c r="G62" i="1"/>
  <c r="G56" i="1"/>
  <c r="G55" i="1"/>
  <c r="G52" i="1"/>
  <c r="G51" i="1"/>
  <c r="G50" i="1"/>
  <c r="G43" i="1"/>
  <c r="G42" i="1"/>
  <c r="G40" i="1"/>
  <c r="G39" i="1"/>
  <c r="G35" i="1"/>
  <c r="G34" i="1"/>
  <c r="G32" i="1"/>
  <c r="G26" i="1"/>
  <c r="G24" i="1"/>
  <c r="G23" i="1"/>
  <c r="G21" i="1"/>
  <c r="G20" i="1"/>
  <c r="G19" i="1"/>
  <c r="G18" i="1"/>
  <c r="G17" i="1"/>
  <c r="G15" i="1"/>
  <c r="G14" i="1"/>
  <c r="D171" i="3"/>
  <c r="B171" i="3"/>
  <c r="D165" i="3"/>
  <c r="B165" i="3"/>
  <c r="D163" i="3"/>
  <c r="B163" i="3"/>
  <c r="D160" i="3"/>
  <c r="B160" i="3"/>
  <c r="D153" i="3"/>
  <c r="B153" i="3"/>
  <c r="D146" i="3"/>
  <c r="B146" i="3"/>
  <c r="D139" i="3"/>
  <c r="D137" i="3" s="1"/>
  <c r="B139" i="3"/>
  <c r="B137" i="3" s="1"/>
  <c r="D132" i="3"/>
  <c r="B132" i="3"/>
  <c r="D128" i="3"/>
  <c r="B128" i="3"/>
  <c r="D122" i="3"/>
  <c r="B122" i="3"/>
  <c r="D113" i="3"/>
  <c r="D92" i="3"/>
  <c r="D77" i="3"/>
  <c r="D75" i="3"/>
  <c r="B37" i="3"/>
  <c r="D27" i="3"/>
  <c r="B27" i="3"/>
  <c r="D22" i="3"/>
  <c r="B22" i="3"/>
  <c r="D13" i="3"/>
  <c r="B13" i="3"/>
  <c r="D9" i="3"/>
  <c r="B9" i="3"/>
  <c r="D2" i="3"/>
  <c r="E154" i="3" s="1"/>
  <c r="B2" i="3"/>
  <c r="C107" i="3" s="1"/>
  <c r="D171" i="2"/>
  <c r="B171" i="2"/>
  <c r="D165" i="2"/>
  <c r="B165" i="2"/>
  <c r="D163" i="2"/>
  <c r="B163" i="2"/>
  <c r="D160" i="2"/>
  <c r="B160" i="2"/>
  <c r="D153" i="2"/>
  <c r="B153" i="2"/>
  <c r="D146" i="2"/>
  <c r="B146" i="2"/>
  <c r="D139" i="2"/>
  <c r="D137" i="2" s="1"/>
  <c r="B139" i="2"/>
  <c r="D132" i="2"/>
  <c r="B132" i="2"/>
  <c r="D128" i="2"/>
  <c r="B128" i="2"/>
  <c r="D122" i="2"/>
  <c r="B122" i="2"/>
  <c r="D37" i="2"/>
  <c r="B37" i="2"/>
  <c r="D27" i="2"/>
  <c r="B27" i="2"/>
  <c r="D22" i="2"/>
  <c r="B22" i="2"/>
  <c r="D13" i="2"/>
  <c r="B13" i="2"/>
  <c r="D9" i="2"/>
  <c r="B9" i="2"/>
  <c r="D2" i="2"/>
  <c r="E154" i="2" s="1"/>
  <c r="B2" i="2"/>
  <c r="C162" i="2" s="1"/>
  <c r="E174" i="1"/>
  <c r="C174" i="1"/>
  <c r="E173" i="1"/>
  <c r="C173" i="1"/>
  <c r="E172" i="1"/>
  <c r="C172" i="1"/>
  <c r="E171" i="1"/>
  <c r="C171" i="1"/>
  <c r="E170" i="1"/>
  <c r="C170" i="1"/>
  <c r="E169" i="1"/>
  <c r="C169" i="1"/>
  <c r="E168" i="1"/>
  <c r="C168" i="1"/>
  <c r="E167" i="1"/>
  <c r="C167" i="1"/>
  <c r="E166" i="1"/>
  <c r="C166" i="1"/>
  <c r="E165" i="1"/>
  <c r="C165" i="1"/>
  <c r="E164" i="1"/>
  <c r="C164" i="1"/>
  <c r="E163" i="1"/>
  <c r="C163" i="1"/>
  <c r="E162" i="1"/>
  <c r="C162" i="1"/>
  <c r="E161" i="1"/>
  <c r="C161" i="1"/>
  <c r="E160" i="1"/>
  <c r="C160" i="1"/>
  <c r="E159" i="1"/>
  <c r="C159" i="1"/>
  <c r="E158" i="1"/>
  <c r="C158" i="1"/>
  <c r="E157" i="1"/>
  <c r="C157" i="1"/>
  <c r="E156" i="1"/>
  <c r="C156" i="1"/>
  <c r="E155" i="1"/>
  <c r="C155" i="1"/>
  <c r="E154" i="1"/>
  <c r="C154" i="1"/>
  <c r="E153" i="1"/>
  <c r="C153" i="1"/>
  <c r="E151" i="1"/>
  <c r="C151" i="1"/>
  <c r="E150" i="1"/>
  <c r="C150" i="1"/>
  <c r="E149" i="1"/>
  <c r="C149" i="1"/>
  <c r="E148" i="1"/>
  <c r="C148" i="1"/>
  <c r="E146" i="1"/>
  <c r="C146" i="1"/>
  <c r="E145" i="1"/>
  <c r="C145" i="1"/>
  <c r="E144" i="1"/>
  <c r="C144" i="1"/>
  <c r="E143" i="1"/>
  <c r="C143" i="1"/>
  <c r="E142" i="1"/>
  <c r="C142" i="1"/>
  <c r="E141" i="1"/>
  <c r="C141" i="1"/>
  <c r="E140" i="1"/>
  <c r="C140" i="1"/>
  <c r="E139" i="1"/>
  <c r="C139" i="1"/>
  <c r="E138" i="1"/>
  <c r="C138" i="1"/>
  <c r="E137" i="1"/>
  <c r="C137" i="1"/>
  <c r="E136" i="1"/>
  <c r="C136" i="1"/>
  <c r="E135" i="1"/>
  <c r="C135" i="1"/>
  <c r="E134" i="1"/>
  <c r="C134" i="1"/>
  <c r="E133" i="1"/>
  <c r="C133" i="1"/>
  <c r="E132" i="1"/>
  <c r="C132" i="1"/>
  <c r="E131" i="1"/>
  <c r="C131" i="1"/>
  <c r="E130" i="1"/>
  <c r="C130" i="1"/>
  <c r="E129" i="1"/>
  <c r="C129" i="1"/>
  <c r="E128" i="1"/>
  <c r="C128" i="1"/>
  <c r="E127" i="1"/>
  <c r="C127" i="1"/>
  <c r="E126" i="1"/>
  <c r="C126" i="1"/>
  <c r="E125" i="1"/>
  <c r="C125" i="1"/>
  <c r="E124" i="1"/>
  <c r="C124" i="1"/>
  <c r="E123" i="1"/>
  <c r="C123" i="1"/>
  <c r="E122" i="1"/>
  <c r="C122" i="1"/>
  <c r="E121" i="1"/>
  <c r="C121" i="1"/>
  <c r="E119" i="1"/>
  <c r="C119" i="1"/>
  <c r="E118" i="1"/>
  <c r="C118" i="1"/>
  <c r="E117" i="1"/>
  <c r="C117" i="1"/>
  <c r="E116" i="1"/>
  <c r="C116" i="1"/>
  <c r="E115" i="1"/>
  <c r="C115" i="1"/>
  <c r="E114" i="1"/>
  <c r="C114" i="1"/>
  <c r="E113" i="1"/>
  <c r="C113" i="1"/>
  <c r="E112" i="1"/>
  <c r="C112" i="1"/>
  <c r="E111" i="1"/>
  <c r="C111" i="1"/>
  <c r="E110" i="1"/>
  <c r="C110" i="1"/>
  <c r="E109" i="1"/>
  <c r="C109" i="1"/>
  <c r="E108" i="1"/>
  <c r="C108" i="1"/>
  <c r="E107" i="1"/>
  <c r="C107" i="1"/>
  <c r="E106" i="1"/>
  <c r="C106" i="1"/>
  <c r="E105" i="1"/>
  <c r="C105" i="1"/>
  <c r="E104" i="1"/>
  <c r="C104" i="1"/>
  <c r="E103" i="1"/>
  <c r="C103" i="1"/>
  <c r="E101" i="1"/>
  <c r="C101" i="1"/>
  <c r="E100" i="1"/>
  <c r="C100" i="1"/>
  <c r="E99" i="1"/>
  <c r="C99" i="1"/>
  <c r="E98" i="1"/>
  <c r="C98" i="1"/>
  <c r="E96" i="1"/>
  <c r="C96" i="1"/>
  <c r="E95" i="1"/>
  <c r="C95" i="1"/>
  <c r="E94" i="1"/>
  <c r="C94" i="1"/>
  <c r="E91" i="1"/>
  <c r="C91" i="1"/>
  <c r="E90" i="1"/>
  <c r="C90" i="1"/>
  <c r="E88" i="1"/>
  <c r="C88" i="1"/>
  <c r="E87" i="1"/>
  <c r="C87" i="1"/>
  <c r="E86" i="1"/>
  <c r="C86" i="1"/>
  <c r="E85" i="1"/>
  <c r="C85" i="1"/>
  <c r="E84" i="1"/>
  <c r="C84" i="1"/>
  <c r="E83" i="1"/>
  <c r="C83" i="1"/>
  <c r="E82" i="1"/>
  <c r="C82" i="1"/>
  <c r="E81" i="1"/>
  <c r="C81" i="1"/>
  <c r="E80" i="1"/>
  <c r="C80" i="1"/>
  <c r="E79" i="1"/>
  <c r="C79" i="1"/>
  <c r="E77" i="1"/>
  <c r="C77" i="1"/>
  <c r="E76" i="1"/>
  <c r="C76" i="1"/>
  <c r="E75" i="1"/>
  <c r="C75" i="1"/>
  <c r="E74" i="1"/>
  <c r="C74" i="1"/>
  <c r="E73" i="1"/>
  <c r="C73" i="1"/>
  <c r="E72" i="1"/>
  <c r="C72" i="1"/>
  <c r="E71" i="1"/>
  <c r="C71" i="1"/>
  <c r="E70" i="1"/>
  <c r="C70" i="1"/>
  <c r="E69" i="1"/>
  <c r="C69" i="1"/>
  <c r="E68" i="1"/>
  <c r="C68" i="1"/>
  <c r="E67" i="1"/>
  <c r="C67" i="1"/>
  <c r="E66" i="1"/>
  <c r="C66" i="1"/>
  <c r="E65" i="1"/>
  <c r="C65" i="1"/>
  <c r="E64" i="1"/>
  <c r="C64" i="1"/>
  <c r="E63" i="1"/>
  <c r="C63" i="1"/>
  <c r="E62" i="1"/>
  <c r="C62" i="1"/>
  <c r="E60" i="1"/>
  <c r="C60" i="1"/>
  <c r="E59" i="1"/>
  <c r="C59" i="1"/>
  <c r="E58" i="1"/>
  <c r="C58" i="1"/>
  <c r="E57" i="1"/>
  <c r="C57" i="1"/>
  <c r="E56" i="1"/>
  <c r="C56" i="1"/>
  <c r="E55" i="1"/>
  <c r="C55" i="1"/>
  <c r="E54" i="1"/>
  <c r="C54" i="1"/>
  <c r="E53" i="1"/>
  <c r="C53" i="1"/>
  <c r="E52" i="1"/>
  <c r="C52" i="1"/>
  <c r="E51" i="1"/>
  <c r="C51" i="1"/>
  <c r="E50" i="1"/>
  <c r="C50" i="1"/>
  <c r="E43" i="1"/>
  <c r="C43" i="1"/>
  <c r="E42" i="1"/>
  <c r="C42" i="1"/>
  <c r="E41" i="1"/>
  <c r="C41" i="1"/>
  <c r="E40" i="1"/>
  <c r="C40" i="1"/>
  <c r="E39" i="1"/>
  <c r="C39" i="1"/>
  <c r="E37" i="1"/>
  <c r="C37" i="1"/>
  <c r="E36" i="1"/>
  <c r="C36" i="1"/>
  <c r="E35" i="1"/>
  <c r="C35" i="1"/>
  <c r="E34" i="1"/>
  <c r="C34" i="1"/>
  <c r="E33" i="1"/>
  <c r="C33" i="1"/>
  <c r="E32" i="1"/>
  <c r="C32" i="1"/>
  <c r="E31" i="1"/>
  <c r="C31" i="1"/>
  <c r="E30" i="1"/>
  <c r="C30" i="1"/>
  <c r="E29" i="1"/>
  <c r="C29" i="1"/>
  <c r="E28" i="1"/>
  <c r="C28" i="1"/>
  <c r="C27" i="1"/>
  <c r="E26" i="1"/>
  <c r="C26" i="1"/>
  <c r="E25" i="1"/>
  <c r="C25" i="1"/>
  <c r="E24" i="1"/>
  <c r="C24" i="1"/>
  <c r="E23" i="1"/>
  <c r="C23" i="1"/>
  <c r="E22" i="1"/>
  <c r="C22" i="1"/>
  <c r="E21" i="1"/>
  <c r="C21" i="1"/>
  <c r="E20" i="1"/>
  <c r="C20" i="1"/>
  <c r="E19" i="1"/>
  <c r="C19" i="1"/>
  <c r="E18" i="1"/>
  <c r="C18" i="1"/>
  <c r="E17" i="1"/>
  <c r="C17" i="1"/>
  <c r="E16" i="1"/>
  <c r="C16" i="1"/>
  <c r="E15" i="1"/>
  <c r="C15" i="1"/>
  <c r="E14" i="1"/>
  <c r="C14" i="1"/>
  <c r="E13" i="1"/>
  <c r="C13" i="1"/>
  <c r="E12" i="1"/>
  <c r="C12" i="1"/>
  <c r="E11" i="1"/>
  <c r="C11" i="1"/>
  <c r="E10" i="1"/>
  <c r="C10" i="1"/>
  <c r="E9" i="1"/>
  <c r="C9" i="1"/>
  <c r="C8" i="1"/>
  <c r="C7" i="1"/>
  <c r="C6" i="1"/>
  <c r="E5" i="1"/>
  <c r="C5" i="1"/>
  <c r="E4" i="1"/>
  <c r="C4" i="1"/>
  <c r="E3" i="1"/>
  <c r="C3" i="1"/>
  <c r="E2" i="1"/>
  <c r="C2" i="1"/>
  <c r="W184" i="13" l="1"/>
  <c r="W181" i="13" s="1"/>
  <c r="W186" i="13" s="1"/>
  <c r="W136" i="13"/>
  <c r="W170" i="13" s="1"/>
  <c r="W174" i="13" s="1"/>
  <c r="AD37" i="13"/>
  <c r="R184" i="13"/>
  <c r="R181" i="13" s="1"/>
  <c r="R186" i="13" s="1"/>
  <c r="R187" i="13" s="1"/>
  <c r="S187" i="13" s="1"/>
  <c r="T187" i="13" s="1"/>
  <c r="P37" i="13"/>
  <c r="R136" i="13"/>
  <c r="V184" i="13"/>
  <c r="V181" i="13" s="1"/>
  <c r="V136" i="13"/>
  <c r="V170" i="13" s="1"/>
  <c r="V174" i="13" s="1"/>
  <c r="T184" i="13"/>
  <c r="T181" i="13" s="1"/>
  <c r="T186" i="13" s="1"/>
  <c r="T136" i="13"/>
  <c r="T170" i="13" s="1"/>
  <c r="T174" i="13" s="1"/>
  <c r="AC184" i="13"/>
  <c r="AC181" i="13" s="1"/>
  <c r="AC186" i="13" s="1"/>
  <c r="AC136" i="13"/>
  <c r="AC170" i="13" s="1"/>
  <c r="AC174" i="13" s="1"/>
  <c r="U184" i="13"/>
  <c r="U181" i="13" s="1"/>
  <c r="U136" i="13"/>
  <c r="U170" i="13" s="1"/>
  <c r="U174" i="13" s="1"/>
  <c r="X184" i="13"/>
  <c r="X181" i="13" s="1"/>
  <c r="X186" i="13" s="1"/>
  <c r="X136" i="13"/>
  <c r="X170" i="13" s="1"/>
  <c r="X174" i="13" s="1"/>
  <c r="AB184" i="13"/>
  <c r="AB181" i="13" s="1"/>
  <c r="AB186" i="13" s="1"/>
  <c r="AB136" i="13"/>
  <c r="AB170" i="13" s="1"/>
  <c r="AB174" i="13" s="1"/>
  <c r="T136" i="2"/>
  <c r="I170" i="2"/>
  <c r="I174" i="2" s="1"/>
  <c r="V8" i="3"/>
  <c r="V10" i="3"/>
  <c r="V12" i="3"/>
  <c r="V11" i="3"/>
  <c r="V9" i="3"/>
  <c r="V7" i="3"/>
  <c r="AD25" i="1"/>
  <c r="AD22" i="1" s="1"/>
  <c r="W25" i="1"/>
  <c r="AG25" i="1"/>
  <c r="AG22" i="1" s="1"/>
  <c r="AF25" i="1"/>
  <c r="AF22" i="1" s="1"/>
  <c r="AC25" i="1"/>
  <c r="AC22" i="1" s="1"/>
  <c r="AB25" i="1"/>
  <c r="AB22" i="1" s="1"/>
  <c r="Y25" i="1"/>
  <c r="Y22" i="1" s="1"/>
  <c r="AE25" i="1"/>
  <c r="AE22" i="1" s="1"/>
  <c r="AA25" i="1"/>
  <c r="AA22" i="1" s="1"/>
  <c r="X25" i="1"/>
  <c r="X22" i="1" s="1"/>
  <c r="AH25" i="1"/>
  <c r="AH22" i="1" s="1"/>
  <c r="Z25" i="1"/>
  <c r="Z22" i="1" s="1"/>
  <c r="X182" i="1"/>
  <c r="Y182" i="1"/>
  <c r="AG13" i="1"/>
  <c r="AG182" i="1" s="1"/>
  <c r="Q182" i="1"/>
  <c r="AI17" i="1"/>
  <c r="AE182" i="1"/>
  <c r="AC182" i="1"/>
  <c r="AI15" i="1"/>
  <c r="K182" i="1"/>
  <c r="M182" i="1"/>
  <c r="J182" i="1"/>
  <c r="L181" i="3"/>
  <c r="L187" i="3" s="1"/>
  <c r="K181" i="3"/>
  <c r="K187" i="3" s="1"/>
  <c r="Q136" i="3"/>
  <c r="Q170" i="3" s="1"/>
  <c r="Q174" i="3" s="1"/>
  <c r="Q184" i="3"/>
  <c r="O136" i="3"/>
  <c r="O170" i="3" s="1"/>
  <c r="O174" i="3" s="1"/>
  <c r="O184" i="3"/>
  <c r="H136" i="3"/>
  <c r="H170" i="3" s="1"/>
  <c r="H174" i="3" s="1"/>
  <c r="H184" i="3"/>
  <c r="I136" i="3"/>
  <c r="I170" i="3" s="1"/>
  <c r="I174" i="3" s="1"/>
  <c r="I184" i="3"/>
  <c r="P136" i="3"/>
  <c r="P170" i="3" s="1"/>
  <c r="P174" i="3" s="1"/>
  <c r="P184" i="3"/>
  <c r="M136" i="3"/>
  <c r="M170" i="3" s="1"/>
  <c r="M174" i="3" s="1"/>
  <c r="M184" i="3"/>
  <c r="S136" i="3"/>
  <c r="S170" i="3" s="1"/>
  <c r="S174" i="3" s="1"/>
  <c r="S184" i="3"/>
  <c r="N136" i="3"/>
  <c r="N170" i="3" s="1"/>
  <c r="N174" i="3" s="1"/>
  <c r="N184" i="3"/>
  <c r="J136" i="3"/>
  <c r="J170" i="3" s="1"/>
  <c r="J174" i="3" s="1"/>
  <c r="J184" i="3"/>
  <c r="R136" i="3"/>
  <c r="R170" i="3" s="1"/>
  <c r="R174" i="3" s="1"/>
  <c r="R184" i="3"/>
  <c r="I188" i="2"/>
  <c r="J188" i="2" s="1"/>
  <c r="K188" i="2" s="1"/>
  <c r="L188" i="2" s="1"/>
  <c r="M188" i="2" s="1"/>
  <c r="N188" i="2" s="1"/>
  <c r="O188" i="2" s="1"/>
  <c r="P188" i="2" s="1"/>
  <c r="Q188" i="2" s="1"/>
  <c r="R188" i="2" s="1"/>
  <c r="S188" i="2" s="1"/>
  <c r="L182" i="1"/>
  <c r="O182" i="1"/>
  <c r="S182" i="1"/>
  <c r="I182" i="1"/>
  <c r="R182" i="1"/>
  <c r="N182" i="1"/>
  <c r="P182" i="1"/>
  <c r="K136" i="3"/>
  <c r="K170" i="3" s="1"/>
  <c r="K174" i="3" s="1"/>
  <c r="L136" i="3"/>
  <c r="L170" i="3" s="1"/>
  <c r="L174" i="3" s="1"/>
  <c r="T13" i="1"/>
  <c r="F136" i="3"/>
  <c r="G25" i="3"/>
  <c r="G39" i="3"/>
  <c r="G51" i="3"/>
  <c r="G63" i="3"/>
  <c r="G75" i="3"/>
  <c r="G87" i="3"/>
  <c r="G99" i="3"/>
  <c r="G111" i="3"/>
  <c r="G123" i="3"/>
  <c r="G135" i="3"/>
  <c r="G14" i="3"/>
  <c r="G26" i="3"/>
  <c r="G117" i="3"/>
  <c r="G94" i="3"/>
  <c r="G13" i="3"/>
  <c r="G95" i="3"/>
  <c r="G31" i="3"/>
  <c r="G7" i="3"/>
  <c r="G96" i="3"/>
  <c r="G32" i="3"/>
  <c r="G61" i="3"/>
  <c r="G24" i="3"/>
  <c r="G74" i="3"/>
  <c r="G134" i="3"/>
  <c r="G40" i="3"/>
  <c r="G52" i="3"/>
  <c r="G64" i="3"/>
  <c r="G76" i="3"/>
  <c r="G88" i="3"/>
  <c r="G100" i="3"/>
  <c r="G112" i="3"/>
  <c r="G124" i="3"/>
  <c r="G15" i="3"/>
  <c r="G27" i="3"/>
  <c r="G54" i="3"/>
  <c r="G126" i="3"/>
  <c r="G43" i="3"/>
  <c r="G79" i="3"/>
  <c r="G103" i="3"/>
  <c r="G36" i="3"/>
  <c r="G56" i="3"/>
  <c r="G92" i="3"/>
  <c r="G37" i="3"/>
  <c r="G57" i="3"/>
  <c r="G69" i="3"/>
  <c r="G105" i="3"/>
  <c r="G29" i="3"/>
  <c r="G46" i="3"/>
  <c r="G58" i="3"/>
  <c r="G70" i="3"/>
  <c r="G82" i="3"/>
  <c r="G106" i="3"/>
  <c r="G118" i="3"/>
  <c r="G130" i="3"/>
  <c r="G30" i="3"/>
  <c r="G21" i="3"/>
  <c r="G47" i="3"/>
  <c r="G59" i="3"/>
  <c r="G71" i="3"/>
  <c r="G83" i="3"/>
  <c r="G107" i="3"/>
  <c r="G119" i="3"/>
  <c r="G131" i="3"/>
  <c r="G22" i="3"/>
  <c r="G48" i="3"/>
  <c r="G60" i="3"/>
  <c r="G72" i="3"/>
  <c r="G84" i="3"/>
  <c r="G108" i="3"/>
  <c r="G120" i="3"/>
  <c r="G132" i="3"/>
  <c r="G23" i="3"/>
  <c r="G49" i="3"/>
  <c r="G73" i="3"/>
  <c r="G85" i="3"/>
  <c r="G97" i="3"/>
  <c r="G109" i="3"/>
  <c r="G121" i="3"/>
  <c r="G133" i="3"/>
  <c r="G33" i="3"/>
  <c r="G38" i="3"/>
  <c r="G50" i="3"/>
  <c r="G62" i="3"/>
  <c r="G86" i="3"/>
  <c r="G98" i="3"/>
  <c r="G110" i="3"/>
  <c r="G122" i="3"/>
  <c r="G28" i="3"/>
  <c r="G41" i="3"/>
  <c r="G53" i="3"/>
  <c r="G65" i="3"/>
  <c r="G77" i="3"/>
  <c r="G89" i="3"/>
  <c r="G101" i="3"/>
  <c r="G113" i="3"/>
  <c r="G125" i="3"/>
  <c r="G34" i="3"/>
  <c r="G16" i="3"/>
  <c r="G8" i="3"/>
  <c r="S8" i="13" s="1"/>
  <c r="G42" i="3"/>
  <c r="G66" i="3"/>
  <c r="G78" i="3"/>
  <c r="G90" i="3"/>
  <c r="G102" i="3"/>
  <c r="G114" i="3"/>
  <c r="G35" i="3"/>
  <c r="G17" i="3"/>
  <c r="G9" i="3"/>
  <c r="G55" i="3"/>
  <c r="G67" i="3"/>
  <c r="G91" i="3"/>
  <c r="G115" i="3"/>
  <c r="G127" i="3"/>
  <c r="G18" i="3"/>
  <c r="G10" i="3"/>
  <c r="G44" i="3"/>
  <c r="G68" i="3"/>
  <c r="G80" i="3"/>
  <c r="G104" i="3"/>
  <c r="G116" i="3"/>
  <c r="G128" i="3"/>
  <c r="G19" i="3"/>
  <c r="G11" i="3"/>
  <c r="G45" i="3"/>
  <c r="G81" i="3"/>
  <c r="G93" i="3"/>
  <c r="G129" i="3"/>
  <c r="G20" i="3"/>
  <c r="G12" i="3"/>
  <c r="J119" i="1"/>
  <c r="H119" i="1"/>
  <c r="K119" i="1"/>
  <c r="L119" i="1"/>
  <c r="M119" i="1"/>
  <c r="N119" i="1"/>
  <c r="Q119" i="1"/>
  <c r="I119" i="1"/>
  <c r="R119" i="1"/>
  <c r="O119" i="1"/>
  <c r="S119" i="1"/>
  <c r="P119" i="1"/>
  <c r="O88" i="1"/>
  <c r="P88" i="1"/>
  <c r="Q88" i="1"/>
  <c r="R88" i="1"/>
  <c r="S88" i="1"/>
  <c r="M88" i="1"/>
  <c r="J88" i="1"/>
  <c r="K88" i="1"/>
  <c r="I88" i="1"/>
  <c r="L88" i="1"/>
  <c r="N88" i="1"/>
  <c r="H88" i="1"/>
  <c r="I81" i="1"/>
  <c r="J81" i="1"/>
  <c r="K81" i="1"/>
  <c r="L81" i="1"/>
  <c r="P81" i="1"/>
  <c r="Q81" i="1"/>
  <c r="R81" i="1"/>
  <c r="S81" i="1"/>
  <c r="H81" i="1"/>
  <c r="M81" i="1"/>
  <c r="N81" i="1"/>
  <c r="O81" i="1"/>
  <c r="G70" i="1"/>
  <c r="I70" i="1"/>
  <c r="J70" i="1"/>
  <c r="K70" i="1"/>
  <c r="L70" i="1"/>
  <c r="M70" i="1"/>
  <c r="N70" i="1"/>
  <c r="O70" i="1"/>
  <c r="S70" i="1"/>
  <c r="P70" i="1"/>
  <c r="Q70" i="1"/>
  <c r="R70" i="1"/>
  <c r="H70" i="1"/>
  <c r="G69" i="1"/>
  <c r="I69" i="1"/>
  <c r="J69" i="1"/>
  <c r="K69" i="1"/>
  <c r="L69" i="1"/>
  <c r="S69" i="1"/>
  <c r="M69" i="1"/>
  <c r="H69" i="1"/>
  <c r="N69" i="1"/>
  <c r="O69" i="1"/>
  <c r="P69" i="1"/>
  <c r="Q69" i="1"/>
  <c r="R69" i="1"/>
  <c r="G81" i="1"/>
  <c r="S104" i="1"/>
  <c r="I104" i="1"/>
  <c r="J104" i="1"/>
  <c r="K104" i="1"/>
  <c r="P104" i="1"/>
  <c r="Q104" i="1"/>
  <c r="N104" i="1"/>
  <c r="R104" i="1"/>
  <c r="M104" i="1"/>
  <c r="H104" i="1"/>
  <c r="L104" i="1"/>
  <c r="O104" i="1"/>
  <c r="S80" i="1"/>
  <c r="I80" i="1"/>
  <c r="J80" i="1"/>
  <c r="K80" i="1"/>
  <c r="L80" i="1"/>
  <c r="M80" i="1"/>
  <c r="N80" i="1"/>
  <c r="H80" i="1"/>
  <c r="O80" i="1"/>
  <c r="P80" i="1"/>
  <c r="Q80" i="1"/>
  <c r="R80" i="1"/>
  <c r="J41" i="1"/>
  <c r="H41" i="1"/>
  <c r="K41" i="1"/>
  <c r="L41" i="1"/>
  <c r="M41" i="1"/>
  <c r="N41" i="1"/>
  <c r="Q41" i="1"/>
  <c r="R41" i="1"/>
  <c r="S41" i="1"/>
  <c r="I41" i="1"/>
  <c r="O41" i="1"/>
  <c r="P41" i="1"/>
  <c r="G41" i="1"/>
  <c r="R103" i="1"/>
  <c r="S103" i="1"/>
  <c r="I103" i="1"/>
  <c r="J103" i="1"/>
  <c r="K103" i="1"/>
  <c r="L103" i="1"/>
  <c r="H103" i="1"/>
  <c r="P103" i="1"/>
  <c r="M103" i="1"/>
  <c r="N103" i="1"/>
  <c r="O103" i="1"/>
  <c r="Q103" i="1"/>
  <c r="R79" i="1"/>
  <c r="S79" i="1"/>
  <c r="I79" i="1"/>
  <c r="J79" i="1"/>
  <c r="P79" i="1"/>
  <c r="Q79" i="1"/>
  <c r="H79" i="1"/>
  <c r="K79" i="1"/>
  <c r="L79" i="1"/>
  <c r="M79" i="1"/>
  <c r="N79" i="1"/>
  <c r="O79" i="1"/>
  <c r="G59" i="1"/>
  <c r="J59" i="1"/>
  <c r="H59" i="1"/>
  <c r="K59" i="1"/>
  <c r="L59" i="1"/>
  <c r="M59" i="1"/>
  <c r="N59" i="1"/>
  <c r="I59" i="1"/>
  <c r="R59" i="1"/>
  <c r="O59" i="1"/>
  <c r="P59" i="1"/>
  <c r="Q59" i="1"/>
  <c r="S59" i="1"/>
  <c r="Q102" i="1"/>
  <c r="R102" i="1"/>
  <c r="S102" i="1"/>
  <c r="I102" i="1"/>
  <c r="P102" i="1"/>
  <c r="H102" i="1"/>
  <c r="M102" i="1"/>
  <c r="L102" i="1"/>
  <c r="J102" i="1"/>
  <c r="K102" i="1"/>
  <c r="N102" i="1"/>
  <c r="O102" i="1"/>
  <c r="Q78" i="1"/>
  <c r="R78" i="1"/>
  <c r="S78" i="1"/>
  <c r="I78" i="1"/>
  <c r="J78" i="1"/>
  <c r="K78" i="1"/>
  <c r="P78" i="1"/>
  <c r="L78" i="1"/>
  <c r="H78" i="1"/>
  <c r="M78" i="1"/>
  <c r="O78" i="1"/>
  <c r="N78" i="1"/>
  <c r="G58" i="1"/>
  <c r="I58" i="1"/>
  <c r="J58" i="1"/>
  <c r="K58" i="1"/>
  <c r="L58" i="1"/>
  <c r="M58" i="1"/>
  <c r="Q58" i="1"/>
  <c r="R58" i="1"/>
  <c r="S58" i="1"/>
  <c r="N58" i="1"/>
  <c r="H58" i="1"/>
  <c r="O58" i="1"/>
  <c r="P58" i="1"/>
  <c r="Q54" i="1"/>
  <c r="R54" i="1"/>
  <c r="S54" i="1"/>
  <c r="I54" i="1"/>
  <c r="H54" i="1"/>
  <c r="J54" i="1"/>
  <c r="K54" i="1"/>
  <c r="L54" i="1"/>
  <c r="M54" i="1"/>
  <c r="N54" i="1"/>
  <c r="O54" i="1"/>
  <c r="P54" i="1"/>
  <c r="K120" i="1"/>
  <c r="L120" i="1"/>
  <c r="H120" i="1"/>
  <c r="M120" i="1"/>
  <c r="N120" i="1"/>
  <c r="O120" i="1"/>
  <c r="S120" i="1"/>
  <c r="I120" i="1"/>
  <c r="Q120" i="1"/>
  <c r="J120" i="1"/>
  <c r="P120" i="1"/>
  <c r="R120" i="1"/>
  <c r="P89" i="1"/>
  <c r="Q89" i="1"/>
  <c r="R89" i="1"/>
  <c r="S89" i="1"/>
  <c r="J89" i="1"/>
  <c r="H89" i="1"/>
  <c r="K89" i="1"/>
  <c r="L89" i="1"/>
  <c r="M89" i="1"/>
  <c r="N89" i="1"/>
  <c r="O89" i="1"/>
  <c r="I89" i="1"/>
  <c r="P53" i="1"/>
  <c r="Q53" i="1"/>
  <c r="R53" i="1"/>
  <c r="S53" i="1"/>
  <c r="K53" i="1"/>
  <c r="L53" i="1"/>
  <c r="M53" i="1"/>
  <c r="H53" i="1"/>
  <c r="N53" i="1"/>
  <c r="O53" i="1"/>
  <c r="I53" i="1"/>
  <c r="J53" i="1"/>
  <c r="G54" i="1"/>
  <c r="R115" i="1"/>
  <c r="S115" i="1"/>
  <c r="I115" i="1"/>
  <c r="J115" i="1"/>
  <c r="N115" i="1"/>
  <c r="M115" i="1"/>
  <c r="O115" i="1"/>
  <c r="H115" i="1"/>
  <c r="L115" i="1"/>
  <c r="P115" i="1"/>
  <c r="K115" i="1"/>
  <c r="Q115" i="1"/>
  <c r="Q66" i="1"/>
  <c r="R66" i="1"/>
  <c r="S66" i="1"/>
  <c r="I66" i="1"/>
  <c r="J66" i="1"/>
  <c r="K66" i="1"/>
  <c r="H66" i="1"/>
  <c r="L66" i="1"/>
  <c r="M66" i="1"/>
  <c r="N66" i="1"/>
  <c r="O66" i="1"/>
  <c r="P66" i="1"/>
  <c r="P65" i="1"/>
  <c r="Q65" i="1"/>
  <c r="R65" i="1"/>
  <c r="S65" i="1"/>
  <c r="O65" i="1"/>
  <c r="H65" i="1"/>
  <c r="J65" i="1"/>
  <c r="M65" i="1"/>
  <c r="I65" i="1"/>
  <c r="K65" i="1"/>
  <c r="L65" i="1"/>
  <c r="N65" i="1"/>
  <c r="L61" i="1"/>
  <c r="M61" i="1"/>
  <c r="N61" i="1"/>
  <c r="H61" i="1"/>
  <c r="O61" i="1"/>
  <c r="P61" i="1"/>
  <c r="R61" i="1"/>
  <c r="S61" i="1"/>
  <c r="I61" i="1"/>
  <c r="J61" i="1"/>
  <c r="K61" i="1"/>
  <c r="Q61" i="1"/>
  <c r="G79" i="1"/>
  <c r="N63" i="1"/>
  <c r="O63" i="1"/>
  <c r="P63" i="1"/>
  <c r="Q63" i="1"/>
  <c r="R63" i="1"/>
  <c r="H63" i="1"/>
  <c r="I63" i="1"/>
  <c r="J63" i="1"/>
  <c r="K63" i="1"/>
  <c r="L63" i="1"/>
  <c r="M63" i="1"/>
  <c r="S63" i="1"/>
  <c r="F37" i="1"/>
  <c r="G37" i="1" s="1"/>
  <c r="G36" i="1"/>
  <c r="R36" i="1"/>
  <c r="P36" i="1"/>
  <c r="Q36" i="1"/>
  <c r="S36" i="1"/>
  <c r="L36" i="1"/>
  <c r="M36" i="1"/>
  <c r="N36" i="1"/>
  <c r="H36" i="1"/>
  <c r="I36" i="1"/>
  <c r="O36" i="1"/>
  <c r="J36" i="1"/>
  <c r="K36" i="1"/>
  <c r="O33" i="1"/>
  <c r="M33" i="1"/>
  <c r="N33" i="1"/>
  <c r="P33" i="1"/>
  <c r="I33" i="1"/>
  <c r="J33" i="1"/>
  <c r="H33" i="1"/>
  <c r="K33" i="1"/>
  <c r="Q33" i="1"/>
  <c r="R33" i="1"/>
  <c r="L33" i="1"/>
  <c r="S33" i="1"/>
  <c r="N31" i="1"/>
  <c r="O31" i="1"/>
  <c r="S31" i="1"/>
  <c r="H31" i="1"/>
  <c r="I31" i="1"/>
  <c r="J31" i="1"/>
  <c r="P31" i="1"/>
  <c r="K31" i="1"/>
  <c r="L31" i="1"/>
  <c r="M31" i="1"/>
  <c r="Q31" i="1"/>
  <c r="R31" i="1"/>
  <c r="G33" i="1"/>
  <c r="M30" i="1"/>
  <c r="J30" i="1"/>
  <c r="L30" i="1"/>
  <c r="N30" i="1"/>
  <c r="R30" i="1"/>
  <c r="H30" i="1"/>
  <c r="S30" i="1"/>
  <c r="I30" i="1"/>
  <c r="O30" i="1"/>
  <c r="P30" i="1"/>
  <c r="Q30" i="1"/>
  <c r="K30" i="1"/>
  <c r="L29" i="1"/>
  <c r="M29" i="1"/>
  <c r="Q29" i="1"/>
  <c r="R29" i="1"/>
  <c r="S29" i="1"/>
  <c r="N29" i="1"/>
  <c r="O29" i="1"/>
  <c r="I29" i="1"/>
  <c r="J29" i="1"/>
  <c r="P29" i="1"/>
  <c r="H29" i="1"/>
  <c r="K29" i="1"/>
  <c r="K28" i="1"/>
  <c r="I28" i="1"/>
  <c r="L28" i="1"/>
  <c r="P28" i="1"/>
  <c r="Q28" i="1"/>
  <c r="R28" i="1"/>
  <c r="S28" i="1"/>
  <c r="M28" i="1"/>
  <c r="N28" i="1"/>
  <c r="J28" i="1"/>
  <c r="O28" i="1"/>
  <c r="H28" i="1"/>
  <c r="I25" i="1"/>
  <c r="J25" i="1"/>
  <c r="K25" i="1"/>
  <c r="H25" i="1"/>
  <c r="N25" i="1"/>
  <c r="O25" i="1"/>
  <c r="P25" i="1"/>
  <c r="Q25" i="1"/>
  <c r="R25" i="1"/>
  <c r="S25" i="1"/>
  <c r="L25" i="1"/>
  <c r="M25" i="1"/>
  <c r="G25" i="1"/>
  <c r="F22" i="1"/>
  <c r="G22" i="1" s="1"/>
  <c r="J5" i="1"/>
  <c r="J179" i="1" s="1"/>
  <c r="K5" i="1"/>
  <c r="K179" i="1" s="1"/>
  <c r="L5" i="1"/>
  <c r="L179" i="1" s="1"/>
  <c r="M5" i="1"/>
  <c r="M179" i="1" s="1"/>
  <c r="N5" i="1"/>
  <c r="N179" i="1" s="1"/>
  <c r="O5" i="1"/>
  <c r="O179" i="1" s="1"/>
  <c r="P5" i="1"/>
  <c r="P179" i="1" s="1"/>
  <c r="Q5" i="1"/>
  <c r="Q179" i="1" s="1"/>
  <c r="R5" i="1"/>
  <c r="R179" i="1" s="1"/>
  <c r="H5" i="1"/>
  <c r="H179" i="1" s="1"/>
  <c r="S5" i="1"/>
  <c r="S179" i="1" s="1"/>
  <c r="I5" i="1"/>
  <c r="I179" i="1" s="1"/>
  <c r="H174" i="2"/>
  <c r="E30" i="3"/>
  <c r="E62" i="3"/>
  <c r="C128" i="3"/>
  <c r="C148" i="3"/>
  <c r="E9" i="3"/>
  <c r="E33" i="3"/>
  <c r="C72" i="3"/>
  <c r="E106" i="3"/>
  <c r="E72" i="3"/>
  <c r="C171" i="3"/>
  <c r="E15" i="3"/>
  <c r="E47" i="3"/>
  <c r="C81" i="3"/>
  <c r="E116" i="3"/>
  <c r="C140" i="3"/>
  <c r="C48" i="3"/>
  <c r="C118" i="3"/>
  <c r="E140" i="3"/>
  <c r="E22" i="3"/>
  <c r="E52" i="3"/>
  <c r="E86" i="3"/>
  <c r="E142" i="3"/>
  <c r="C61" i="3"/>
  <c r="E88" i="3"/>
  <c r="E123" i="3"/>
  <c r="E164" i="3"/>
  <c r="E128" i="3"/>
  <c r="E167" i="3"/>
  <c r="E12" i="3"/>
  <c r="E107" i="3"/>
  <c r="C154" i="3"/>
  <c r="E41" i="3"/>
  <c r="E109" i="3"/>
  <c r="C137" i="3"/>
  <c r="E155" i="3"/>
  <c r="E45" i="3"/>
  <c r="E139" i="3"/>
  <c r="E157" i="3"/>
  <c r="C70" i="3"/>
  <c r="E97" i="3"/>
  <c r="C152" i="3"/>
  <c r="C9" i="3"/>
  <c r="E31" i="3"/>
  <c r="E71" i="3"/>
  <c r="E98" i="3"/>
  <c r="C166" i="3"/>
  <c r="E153" i="3"/>
  <c r="E81" i="3"/>
  <c r="E23" i="3"/>
  <c r="E54" i="3"/>
  <c r="E87" i="3"/>
  <c r="E122" i="3"/>
  <c r="C143" i="3"/>
  <c r="E74" i="3"/>
  <c r="E110" i="3"/>
  <c r="E144" i="3"/>
  <c r="E171" i="3"/>
  <c r="C20" i="3"/>
  <c r="E94" i="3"/>
  <c r="E160" i="3"/>
  <c r="E5" i="3"/>
  <c r="E20" i="3"/>
  <c r="E39" i="3"/>
  <c r="E59" i="3"/>
  <c r="E96" i="3"/>
  <c r="E115" i="3"/>
  <c r="C132" i="3"/>
  <c r="E162" i="3"/>
  <c r="E173" i="3"/>
  <c r="C34" i="3"/>
  <c r="C110" i="3"/>
  <c r="C16" i="3"/>
  <c r="E34" i="3"/>
  <c r="E58" i="3"/>
  <c r="E93" i="3"/>
  <c r="E130" i="3"/>
  <c r="C160" i="3"/>
  <c r="E4" i="3"/>
  <c r="C59" i="3"/>
  <c r="E131" i="3"/>
  <c r="C172" i="3"/>
  <c r="E8" i="3"/>
  <c r="C41" i="3"/>
  <c r="E60" i="3"/>
  <c r="C80" i="3"/>
  <c r="C97" i="3"/>
  <c r="C116" i="3"/>
  <c r="E132" i="3"/>
  <c r="E147" i="3"/>
  <c r="C163" i="3"/>
  <c r="D169" i="3"/>
  <c r="E169" i="3" s="1"/>
  <c r="E10" i="3"/>
  <c r="C46" i="3"/>
  <c r="C66" i="3"/>
  <c r="C84" i="3"/>
  <c r="C103" i="3"/>
  <c r="C119" i="3"/>
  <c r="E152" i="3"/>
  <c r="C11" i="3"/>
  <c r="E46" i="3"/>
  <c r="C68" i="3"/>
  <c r="C85" i="3"/>
  <c r="E103" i="3"/>
  <c r="C122" i="3"/>
  <c r="E165" i="3"/>
  <c r="C24" i="3"/>
  <c r="C36" i="3"/>
  <c r="C49" i="3"/>
  <c r="D37" i="3"/>
  <c r="E37" i="3" s="1"/>
  <c r="C90" i="3"/>
  <c r="C99" i="3"/>
  <c r="C112" i="3"/>
  <c r="C125" i="3"/>
  <c r="C133" i="3"/>
  <c r="C165" i="3"/>
  <c r="C25" i="3"/>
  <c r="C37" i="3"/>
  <c r="E50" i="3"/>
  <c r="C65" i="3"/>
  <c r="E77" i="3"/>
  <c r="C91" i="3"/>
  <c r="C100" i="3"/>
  <c r="C113" i="3"/>
  <c r="C126" i="3"/>
  <c r="C134" i="3"/>
  <c r="C146" i="3"/>
  <c r="C156" i="3"/>
  <c r="C3" i="3"/>
  <c r="E13" i="3"/>
  <c r="E25" i="3"/>
  <c r="C39" i="3"/>
  <c r="C52" i="3"/>
  <c r="E65" i="3"/>
  <c r="E79" i="3"/>
  <c r="E91" i="3"/>
  <c r="E100" i="3"/>
  <c r="E113" i="3"/>
  <c r="E127" i="3"/>
  <c r="C157" i="3"/>
  <c r="E92" i="3"/>
  <c r="E137" i="3"/>
  <c r="C7" i="3"/>
  <c r="C17" i="3"/>
  <c r="C28" i="3"/>
  <c r="C56" i="3"/>
  <c r="C69" i="3"/>
  <c r="C104" i="3"/>
  <c r="C149" i="3"/>
  <c r="C168" i="3"/>
  <c r="E7" i="3"/>
  <c r="E19" i="3"/>
  <c r="E29" i="3"/>
  <c r="E42" i="3"/>
  <c r="E56" i="3"/>
  <c r="E69" i="3"/>
  <c r="E83" i="3"/>
  <c r="C94" i="3"/>
  <c r="E105" i="3"/>
  <c r="E117" i="3"/>
  <c r="C129" i="3"/>
  <c r="E151" i="3"/>
  <c r="E161" i="3"/>
  <c r="C12" i="2"/>
  <c r="C163" i="2"/>
  <c r="C140" i="2"/>
  <c r="C60" i="2"/>
  <c r="C142" i="2"/>
  <c r="C62" i="2"/>
  <c r="C96" i="2"/>
  <c r="C29" i="2"/>
  <c r="C94" i="2"/>
  <c r="C32" i="2"/>
  <c r="C66" i="2"/>
  <c r="C99" i="2"/>
  <c r="C127" i="2"/>
  <c r="C143" i="2"/>
  <c r="C15" i="2"/>
  <c r="C37" i="2"/>
  <c r="C67" i="2"/>
  <c r="C128" i="2"/>
  <c r="C164" i="2"/>
  <c r="C16" i="2"/>
  <c r="C68" i="2"/>
  <c r="C103" i="2"/>
  <c r="C165" i="2"/>
  <c r="C5" i="2"/>
  <c r="C17" i="2"/>
  <c r="C38" i="2"/>
  <c r="C70" i="2"/>
  <c r="C104" i="2"/>
  <c r="C129" i="2"/>
  <c r="C148" i="2"/>
  <c r="G37" i="2"/>
  <c r="C6" i="2"/>
  <c r="C19" i="2"/>
  <c r="C44" i="2"/>
  <c r="C73" i="2"/>
  <c r="C109" i="2"/>
  <c r="C132" i="2"/>
  <c r="C150" i="2"/>
  <c r="C167" i="2"/>
  <c r="B136" i="2"/>
  <c r="C136" i="2" s="1"/>
  <c r="C22" i="2"/>
  <c r="C46" i="2"/>
  <c r="C74" i="2"/>
  <c r="C111" i="2"/>
  <c r="C152" i="2"/>
  <c r="C171" i="2"/>
  <c r="C100" i="2"/>
  <c r="C3" i="2"/>
  <c r="C48" i="2"/>
  <c r="C76" i="2"/>
  <c r="C113" i="2"/>
  <c r="C133" i="2"/>
  <c r="C153" i="2"/>
  <c r="C24" i="2"/>
  <c r="C52" i="2"/>
  <c r="C77" i="2"/>
  <c r="C117" i="2"/>
  <c r="C134" i="2"/>
  <c r="C173" i="2"/>
  <c r="C10" i="2"/>
  <c r="C26" i="2"/>
  <c r="C54" i="2"/>
  <c r="C83" i="2"/>
  <c r="C118" i="2"/>
  <c r="C157" i="2"/>
  <c r="C11" i="2"/>
  <c r="C55" i="2"/>
  <c r="C86" i="2"/>
  <c r="C120" i="2"/>
  <c r="C160" i="2"/>
  <c r="F13" i="1"/>
  <c r="G16" i="1"/>
  <c r="E37" i="2"/>
  <c r="E160" i="2"/>
  <c r="E128" i="2"/>
  <c r="E165" i="2"/>
  <c r="E153" i="2"/>
  <c r="C31" i="2"/>
  <c r="C61" i="2"/>
  <c r="C91" i="2"/>
  <c r="C119" i="2"/>
  <c r="C155" i="2"/>
  <c r="E3" i="2"/>
  <c r="E16" i="2"/>
  <c r="E23" i="2"/>
  <c r="E53" i="2"/>
  <c r="E60" i="2"/>
  <c r="E67" i="2"/>
  <c r="E74" i="2"/>
  <c r="E83" i="2"/>
  <c r="E92" i="2"/>
  <c r="E102" i="2"/>
  <c r="E110" i="2"/>
  <c r="E127" i="2"/>
  <c r="E164" i="2"/>
  <c r="E10" i="2"/>
  <c r="E38" i="2"/>
  <c r="E84" i="2"/>
  <c r="E119" i="2"/>
  <c r="E150" i="2"/>
  <c r="E17" i="2"/>
  <c r="E47" i="2"/>
  <c r="E61" i="2"/>
  <c r="E76" i="2"/>
  <c r="E94" i="2"/>
  <c r="E112" i="2"/>
  <c r="E159" i="2"/>
  <c r="E5" i="2"/>
  <c r="E18" i="2"/>
  <c r="E32" i="2"/>
  <c r="E95" i="2"/>
  <c r="E120" i="2"/>
  <c r="E143" i="2"/>
  <c r="E48" i="2"/>
  <c r="E86" i="2"/>
  <c r="E113" i="2"/>
  <c r="E144" i="2"/>
  <c r="E6" i="2"/>
  <c r="E12" i="2"/>
  <c r="E19" i="2"/>
  <c r="E26" i="2"/>
  <c r="E34" i="2"/>
  <c r="C42" i="2"/>
  <c r="C49" i="2"/>
  <c r="C56" i="2"/>
  <c r="E63" i="2"/>
  <c r="E70" i="2"/>
  <c r="C78" i="2"/>
  <c r="C87" i="2"/>
  <c r="E96" i="2"/>
  <c r="C106" i="2"/>
  <c r="C115" i="2"/>
  <c r="C122" i="2"/>
  <c r="E129" i="2"/>
  <c r="E135" i="2"/>
  <c r="E145" i="2"/>
  <c r="E167" i="2"/>
  <c r="E51" i="2"/>
  <c r="E58" i="2"/>
  <c r="E80" i="2"/>
  <c r="E90" i="2"/>
  <c r="E108" i="2"/>
  <c r="E124" i="2"/>
  <c r="E131" i="2"/>
  <c r="E139" i="2"/>
  <c r="E15" i="2"/>
  <c r="E29" i="2"/>
  <c r="E163" i="2"/>
  <c r="E91" i="2"/>
  <c r="E132" i="2"/>
  <c r="E173" i="2"/>
  <c r="E4" i="2"/>
  <c r="E31" i="2"/>
  <c r="E46" i="2"/>
  <c r="E142" i="2"/>
  <c r="E158" i="2"/>
  <c r="E24" i="2"/>
  <c r="E39" i="2"/>
  <c r="E54" i="2"/>
  <c r="E68" i="2"/>
  <c r="E85" i="2"/>
  <c r="E103" i="2"/>
  <c r="E133" i="2"/>
  <c r="E151" i="2"/>
  <c r="E11" i="2"/>
  <c r="E25" i="2"/>
  <c r="E40" i="2"/>
  <c r="E69" i="2"/>
  <c r="E33" i="2"/>
  <c r="E55" i="2"/>
  <c r="E77" i="2"/>
  <c r="E121" i="2"/>
  <c r="C7" i="2"/>
  <c r="E20" i="2"/>
  <c r="C27" i="2"/>
  <c r="C35" i="2"/>
  <c r="E42" i="2"/>
  <c r="E49" i="2"/>
  <c r="E56" i="2"/>
  <c r="C64" i="2"/>
  <c r="E71" i="2"/>
  <c r="E78" i="2"/>
  <c r="C89" i="2"/>
  <c r="E97" i="2"/>
  <c r="E106" i="2"/>
  <c r="E115" i="2"/>
  <c r="E122" i="2"/>
  <c r="C130" i="2"/>
  <c r="E138" i="2"/>
  <c r="C146" i="2"/>
  <c r="C161" i="2"/>
  <c r="C168" i="2"/>
  <c r="E44" i="2"/>
  <c r="E59" i="2"/>
  <c r="E66" i="2"/>
  <c r="E73" i="2"/>
  <c r="E82" i="2"/>
  <c r="E125" i="2"/>
  <c r="E148" i="2"/>
  <c r="E155" i="2"/>
  <c r="E171" i="2"/>
  <c r="E22" i="2"/>
  <c r="E30" i="2"/>
  <c r="E45" i="2"/>
  <c r="E52" i="2"/>
  <c r="E100" i="2"/>
  <c r="E109" i="2"/>
  <c r="E118" i="2"/>
  <c r="E140" i="2"/>
  <c r="E149" i="2"/>
  <c r="E156" i="2"/>
  <c r="E41" i="2"/>
  <c r="E62" i="2"/>
  <c r="E104" i="2"/>
  <c r="E134" i="2"/>
  <c r="E7" i="2"/>
  <c r="D136" i="2"/>
  <c r="E136" i="2" s="1"/>
  <c r="C21" i="2"/>
  <c r="E27" i="2"/>
  <c r="E35" i="2"/>
  <c r="C43" i="2"/>
  <c r="C50" i="2"/>
  <c r="E57" i="2"/>
  <c r="E64" i="2"/>
  <c r="C72" i="2"/>
  <c r="E79" i="2"/>
  <c r="E89" i="2"/>
  <c r="C98" i="2"/>
  <c r="C107" i="2"/>
  <c r="C116" i="2"/>
  <c r="C123" i="2"/>
  <c r="E130" i="2"/>
  <c r="C139" i="2"/>
  <c r="E146" i="2"/>
  <c r="C154" i="2"/>
  <c r="E161" i="2"/>
  <c r="E168" i="2"/>
  <c r="E8" i="2"/>
  <c r="E14" i="2"/>
  <c r="E21" i="2"/>
  <c r="E28" i="2"/>
  <c r="E36" i="2"/>
  <c r="E43" i="2"/>
  <c r="E50" i="2"/>
  <c r="C58" i="2"/>
  <c r="E65" i="2"/>
  <c r="E72" i="2"/>
  <c r="C80" i="2"/>
  <c r="C90" i="2"/>
  <c r="E98" i="2"/>
  <c r="E107" i="2"/>
  <c r="E116" i="2"/>
  <c r="E123" i="2"/>
  <c r="C131" i="2"/>
  <c r="E147" i="2"/>
  <c r="F27" i="1"/>
  <c r="G11" i="1"/>
  <c r="D169" i="2"/>
  <c r="E169" i="2" s="1"/>
  <c r="E137" i="2"/>
  <c r="E13" i="2"/>
  <c r="E27" i="3"/>
  <c r="E75" i="3"/>
  <c r="C5" i="3"/>
  <c r="C13" i="3"/>
  <c r="C22" i="3"/>
  <c r="C29" i="3"/>
  <c r="C57" i="3"/>
  <c r="C67" i="3"/>
  <c r="C76" i="3"/>
  <c r="C86" i="3"/>
  <c r="C105" i="3"/>
  <c r="C114" i="3"/>
  <c r="C123" i="3"/>
  <c r="C131" i="3"/>
  <c r="C145" i="3"/>
  <c r="C153" i="3"/>
  <c r="C161" i="3"/>
  <c r="C167" i="3"/>
  <c r="B169" i="3"/>
  <c r="C169" i="3" s="1"/>
  <c r="C14" i="3"/>
  <c r="C31" i="3"/>
  <c r="C40" i="3"/>
  <c r="C50" i="3"/>
  <c r="C78" i="3"/>
  <c r="C88" i="3"/>
  <c r="E125" i="3"/>
  <c r="C139" i="3"/>
  <c r="E146" i="3"/>
  <c r="B137" i="2"/>
  <c r="C108" i="3"/>
  <c r="C102" i="3"/>
  <c r="C96" i="3"/>
  <c r="C173" i="3"/>
  <c r="C164" i="3"/>
  <c r="C159" i="3"/>
  <c r="C147" i="3"/>
  <c r="C127" i="3"/>
  <c r="C115" i="3"/>
  <c r="C109" i="3"/>
  <c r="C83" i="3"/>
  <c r="C77" i="3"/>
  <c r="C71" i="3"/>
  <c r="C58" i="3"/>
  <c r="C45" i="3"/>
  <c r="C33" i="3"/>
  <c r="C15" i="3"/>
  <c r="C4" i="3"/>
  <c r="C141" i="3"/>
  <c r="C121" i="3"/>
  <c r="C95" i="3"/>
  <c r="C89" i="3"/>
  <c r="C64" i="3"/>
  <c r="C51" i="3"/>
  <c r="C38" i="3"/>
  <c r="C32" i="3"/>
  <c r="C21" i="3"/>
  <c r="C162" i="3"/>
  <c r="C151" i="3"/>
  <c r="C130" i="3"/>
  <c r="C124" i="3"/>
  <c r="C106" i="3"/>
  <c r="C93" i="3"/>
  <c r="C87" i="3"/>
  <c r="C75" i="3"/>
  <c r="C62" i="3"/>
  <c r="C55" i="3"/>
  <c r="C42" i="3"/>
  <c r="C30" i="3"/>
  <c r="C19" i="3"/>
  <c r="C8" i="3"/>
  <c r="C2" i="3"/>
  <c r="C155" i="3"/>
  <c r="C144" i="3"/>
  <c r="C138" i="3"/>
  <c r="C117" i="3"/>
  <c r="C111" i="3"/>
  <c r="C98" i="3"/>
  <c r="C92" i="3"/>
  <c r="C79" i="3"/>
  <c r="C73" i="3"/>
  <c r="C60" i="3"/>
  <c r="C47" i="3"/>
  <c r="C35" i="3"/>
  <c r="C23" i="3"/>
  <c r="C12" i="3"/>
  <c r="C6" i="3"/>
  <c r="C18" i="3"/>
  <c r="C26" i="3"/>
  <c r="C43" i="3"/>
  <c r="C53" i="3"/>
  <c r="C63" i="3"/>
  <c r="C120" i="3"/>
  <c r="C135" i="3"/>
  <c r="C150" i="3"/>
  <c r="C159" i="2"/>
  <c r="C147" i="2"/>
  <c r="C141" i="2"/>
  <c r="C121" i="2"/>
  <c r="C108" i="2"/>
  <c r="C95" i="2"/>
  <c r="C82" i="2"/>
  <c r="C75" i="2"/>
  <c r="C69" i="2"/>
  <c r="C63" i="2"/>
  <c r="C57" i="2"/>
  <c r="C51" i="2"/>
  <c r="C45" i="2"/>
  <c r="C39" i="2"/>
  <c r="C34" i="2"/>
  <c r="C28" i="2"/>
  <c r="C23" i="2"/>
  <c r="C18" i="2"/>
  <c r="C8" i="2"/>
  <c r="C172" i="2"/>
  <c r="C126" i="2"/>
  <c r="C114" i="2"/>
  <c r="C101" i="2"/>
  <c r="C88" i="2"/>
  <c r="C81" i="2"/>
  <c r="C166" i="2"/>
  <c r="C156" i="2"/>
  <c r="C145" i="2"/>
  <c r="C135" i="2"/>
  <c r="C124" i="2"/>
  <c r="C112" i="2"/>
  <c r="C105" i="2"/>
  <c r="C92" i="2"/>
  <c r="C79" i="2"/>
  <c r="C149" i="2"/>
  <c r="C138" i="2"/>
  <c r="C110" i="2"/>
  <c r="C97" i="2"/>
  <c r="C84" i="2"/>
  <c r="C71" i="2"/>
  <c r="C65" i="2"/>
  <c r="C59" i="2"/>
  <c r="C53" i="2"/>
  <c r="C47" i="2"/>
  <c r="C41" i="2"/>
  <c r="C36" i="2"/>
  <c r="C30" i="2"/>
  <c r="C25" i="2"/>
  <c r="C20" i="2"/>
  <c r="C14" i="2"/>
  <c r="C4" i="2"/>
  <c r="C13" i="2"/>
  <c r="C33" i="2"/>
  <c r="C40" i="2"/>
  <c r="C85" i="2"/>
  <c r="C93" i="2"/>
  <c r="C102" i="2"/>
  <c r="C125" i="2"/>
  <c r="C144" i="2"/>
  <c r="C151" i="2"/>
  <c r="C158" i="2"/>
  <c r="E168" i="3"/>
  <c r="E159" i="3"/>
  <c r="E148" i="3"/>
  <c r="E143" i="3"/>
  <c r="E138" i="3"/>
  <c r="E134" i="3"/>
  <c r="E129" i="3"/>
  <c r="E124" i="3"/>
  <c r="E119" i="3"/>
  <c r="E90" i="3"/>
  <c r="E84" i="3"/>
  <c r="E78" i="3"/>
  <c r="E73" i="3"/>
  <c r="E67" i="3"/>
  <c r="E61" i="3"/>
  <c r="E55" i="3"/>
  <c r="E49" i="3"/>
  <c r="E43" i="3"/>
  <c r="E32" i="3"/>
  <c r="E16" i="3"/>
  <c r="E11" i="3"/>
  <c r="E6" i="3"/>
  <c r="E141" i="3"/>
  <c r="E121" i="3"/>
  <c r="E102" i="3"/>
  <c r="E95" i="3"/>
  <c r="E89" i="3"/>
  <c r="E64" i="3"/>
  <c r="E51" i="3"/>
  <c r="E38" i="3"/>
  <c r="E21" i="3"/>
  <c r="E172" i="3"/>
  <c r="E158" i="3"/>
  <c r="E126" i="3"/>
  <c r="E114" i="3"/>
  <c r="E108" i="3"/>
  <c r="E101" i="3"/>
  <c r="E82" i="3"/>
  <c r="E76" i="3"/>
  <c r="E70" i="3"/>
  <c r="E57" i="3"/>
  <c r="E44" i="3"/>
  <c r="E26" i="3"/>
  <c r="E14" i="3"/>
  <c r="E3" i="3"/>
  <c r="E166" i="3"/>
  <c r="E156" i="3"/>
  <c r="E145" i="3"/>
  <c r="E135" i="3"/>
  <c r="E118" i="3"/>
  <c r="E112" i="3"/>
  <c r="E99" i="3"/>
  <c r="E80" i="3"/>
  <c r="E68" i="3"/>
  <c r="E48" i="3"/>
  <c r="E36" i="3"/>
  <c r="E24" i="3"/>
  <c r="E149" i="3"/>
  <c r="E133" i="3"/>
  <c r="E104" i="3"/>
  <c r="E85" i="3"/>
  <c r="E66" i="3"/>
  <c r="E53" i="3"/>
  <c r="E40" i="3"/>
  <c r="E28" i="3"/>
  <c r="E17" i="3"/>
  <c r="C10" i="3"/>
  <c r="E18" i="3"/>
  <c r="E35" i="3"/>
  <c r="C44" i="3"/>
  <c r="C54" i="3"/>
  <c r="E63" i="3"/>
  <c r="C74" i="3"/>
  <c r="C82" i="3"/>
  <c r="C101" i="3"/>
  <c r="E111" i="3"/>
  <c r="E120" i="3"/>
  <c r="B136" i="3"/>
  <c r="C142" i="3"/>
  <c r="E150" i="3"/>
  <c r="C158" i="3"/>
  <c r="E163" i="3"/>
  <c r="E166" i="2"/>
  <c r="E162" i="2"/>
  <c r="E157" i="2"/>
  <c r="E152" i="2"/>
  <c r="E141" i="2"/>
  <c r="E117" i="2"/>
  <c r="E111" i="2"/>
  <c r="E105" i="2"/>
  <c r="E99" i="2"/>
  <c r="E93" i="2"/>
  <c r="E87" i="2"/>
  <c r="E81" i="2"/>
  <c r="E75" i="2"/>
  <c r="E88" i="2"/>
  <c r="E101" i="2"/>
  <c r="E114" i="2"/>
  <c r="E126" i="2"/>
  <c r="E172" i="2"/>
  <c r="C27" i="3"/>
  <c r="R170" i="13" l="1"/>
  <c r="AD8" i="13"/>
  <c r="P8" i="13"/>
  <c r="S2" i="13"/>
  <c r="T170" i="2"/>
  <c r="T174" i="2"/>
  <c r="V2" i="3"/>
  <c r="AI2" i="3" s="1"/>
  <c r="AI25" i="1"/>
  <c r="U25" i="1"/>
  <c r="V25" i="1" s="1"/>
  <c r="W22" i="1"/>
  <c r="U13" i="1"/>
  <c r="V13" i="1" s="1"/>
  <c r="AI13" i="1"/>
  <c r="AH182" i="1"/>
  <c r="H176" i="1"/>
  <c r="G10" i="1"/>
  <c r="R181" i="3"/>
  <c r="R187" i="3" s="1"/>
  <c r="I181" i="3"/>
  <c r="I187" i="3" s="1"/>
  <c r="J181" i="3"/>
  <c r="J187" i="3" s="1"/>
  <c r="H181" i="3"/>
  <c r="H187" i="3" s="1"/>
  <c r="H188" i="3" s="1"/>
  <c r="N181" i="3"/>
  <c r="N187" i="3" s="1"/>
  <c r="O181" i="3"/>
  <c r="O187" i="3" s="1"/>
  <c r="S181" i="3"/>
  <c r="S187" i="3" s="1"/>
  <c r="Q181" i="3"/>
  <c r="Q187" i="3" s="1"/>
  <c r="M181" i="3"/>
  <c r="M187" i="3" s="1"/>
  <c r="P181" i="3"/>
  <c r="P187" i="3" s="1"/>
  <c r="G2" i="3"/>
  <c r="G13" i="1"/>
  <c r="F170" i="3"/>
  <c r="F174" i="3" s="1"/>
  <c r="G136" i="3"/>
  <c r="T115" i="1"/>
  <c r="H37" i="1"/>
  <c r="H184" i="1" s="1"/>
  <c r="T120" i="1"/>
  <c r="P37" i="1"/>
  <c r="P184" i="1" s="1"/>
  <c r="J37" i="1"/>
  <c r="J184" i="1" s="1"/>
  <c r="T80" i="1"/>
  <c r="T61" i="1"/>
  <c r="T102" i="1"/>
  <c r="T65" i="1"/>
  <c r="T66" i="1"/>
  <c r="T53" i="1"/>
  <c r="T58" i="1"/>
  <c r="T103" i="1"/>
  <c r="I37" i="1"/>
  <c r="I184" i="1" s="1"/>
  <c r="S37" i="1"/>
  <c r="S184" i="1" s="1"/>
  <c r="T89" i="1"/>
  <c r="Q37" i="1"/>
  <c r="Q184" i="1" s="1"/>
  <c r="T70" i="1"/>
  <c r="T69" i="1"/>
  <c r="T79" i="1"/>
  <c r="T59" i="1"/>
  <c r="N37" i="1"/>
  <c r="N184" i="1" s="1"/>
  <c r="T54" i="1"/>
  <c r="M37" i="1"/>
  <c r="M184" i="1" s="1"/>
  <c r="T81" i="1"/>
  <c r="R37" i="1"/>
  <c r="R184" i="1" s="1"/>
  <c r="T78" i="1"/>
  <c r="T41" i="1"/>
  <c r="L37" i="1"/>
  <c r="L184" i="1" s="1"/>
  <c r="T88" i="1"/>
  <c r="O37" i="1"/>
  <c r="O184" i="1" s="1"/>
  <c r="T104" i="1"/>
  <c r="T119" i="1"/>
  <c r="T63" i="1"/>
  <c r="K37" i="1"/>
  <c r="K184" i="1" s="1"/>
  <c r="T30" i="1"/>
  <c r="K27" i="1"/>
  <c r="K183" i="1" s="1"/>
  <c r="O27" i="1"/>
  <c r="O183" i="1" s="1"/>
  <c r="T29" i="1"/>
  <c r="T33" i="1"/>
  <c r="H27" i="1"/>
  <c r="H183" i="1" s="1"/>
  <c r="T28" i="1"/>
  <c r="J27" i="1"/>
  <c r="J183" i="1" s="1"/>
  <c r="Q27" i="1"/>
  <c r="Q183" i="1" s="1"/>
  <c r="M27" i="1"/>
  <c r="M183" i="1" s="1"/>
  <c r="P27" i="1"/>
  <c r="P183" i="1" s="1"/>
  <c r="L27" i="1"/>
  <c r="L183" i="1" s="1"/>
  <c r="I27" i="1"/>
  <c r="I183" i="1" s="1"/>
  <c r="T36" i="1"/>
  <c r="N27" i="1"/>
  <c r="N183" i="1" s="1"/>
  <c r="T31" i="1"/>
  <c r="S27" i="1"/>
  <c r="S183" i="1" s="1"/>
  <c r="R27" i="1"/>
  <c r="R183" i="1" s="1"/>
  <c r="L22" i="1"/>
  <c r="R22" i="1"/>
  <c r="O22" i="1"/>
  <c r="Q22" i="1"/>
  <c r="P22" i="1"/>
  <c r="N22" i="1"/>
  <c r="S22" i="1"/>
  <c r="H22" i="1"/>
  <c r="K22" i="1"/>
  <c r="J22" i="1"/>
  <c r="M22" i="1"/>
  <c r="T25" i="1"/>
  <c r="I22" i="1"/>
  <c r="O2" i="1"/>
  <c r="N2" i="1"/>
  <c r="M2" i="1"/>
  <c r="K2" i="1"/>
  <c r="S2" i="1"/>
  <c r="L2" i="1"/>
  <c r="J2" i="1"/>
  <c r="H2" i="1"/>
  <c r="T5" i="1"/>
  <c r="R2" i="1"/>
  <c r="I2" i="1"/>
  <c r="Q2" i="1"/>
  <c r="G9" i="1"/>
  <c r="P2" i="1"/>
  <c r="D136" i="3"/>
  <c r="E136" i="3" s="1"/>
  <c r="G136" i="2"/>
  <c r="F170" i="2"/>
  <c r="C9" i="2"/>
  <c r="E9" i="2"/>
  <c r="C2" i="2"/>
  <c r="E2" i="2"/>
  <c r="F136" i="1"/>
  <c r="G27" i="1"/>
  <c r="G12" i="1"/>
  <c r="G3" i="1"/>
  <c r="G5" i="1"/>
  <c r="G6" i="1"/>
  <c r="G7" i="1"/>
  <c r="G8" i="1"/>
  <c r="G2" i="1"/>
  <c r="G4" i="1"/>
  <c r="E2" i="3"/>
  <c r="B170" i="3"/>
  <c r="C136" i="3"/>
  <c r="C137" i="2"/>
  <c r="B169" i="2"/>
  <c r="D170" i="2"/>
  <c r="V177" i="13" l="1"/>
  <c r="V176" i="13" s="1"/>
  <c r="V186" i="13" s="1"/>
  <c r="S136" i="13"/>
  <c r="AD2" i="13"/>
  <c r="U177" i="13"/>
  <c r="U176" i="13" s="1"/>
  <c r="U186" i="13" s="1"/>
  <c r="U187" i="13" s="1"/>
  <c r="V187" i="13" s="1"/>
  <c r="W187" i="13" s="1"/>
  <c r="X187" i="13" s="1"/>
  <c r="Y187" i="13" s="1"/>
  <c r="Z187" i="13" s="1"/>
  <c r="AA187" i="13" s="1"/>
  <c r="AB187" i="13" s="1"/>
  <c r="AC187" i="13" s="1"/>
  <c r="P2" i="13"/>
  <c r="R174" i="13"/>
  <c r="AI22" i="1"/>
  <c r="U22" i="1"/>
  <c r="V22" i="1" s="1"/>
  <c r="Q177" i="1"/>
  <c r="S177" i="1"/>
  <c r="P177" i="1"/>
  <c r="P176" i="1" s="1"/>
  <c r="P181" i="1"/>
  <c r="O181" i="1"/>
  <c r="K177" i="1"/>
  <c r="J177" i="1"/>
  <c r="I177" i="1"/>
  <c r="M177" i="1"/>
  <c r="Q176" i="1"/>
  <c r="K181" i="1"/>
  <c r="L181" i="1"/>
  <c r="M181" i="1"/>
  <c r="S181" i="1"/>
  <c r="I181" i="1"/>
  <c r="H181" i="1"/>
  <c r="H186" i="1" s="1"/>
  <c r="H187" i="1" s="1"/>
  <c r="Q181" i="1"/>
  <c r="R181" i="1"/>
  <c r="J181" i="1"/>
  <c r="N181" i="1"/>
  <c r="I188" i="3"/>
  <c r="J188" i="3" s="1"/>
  <c r="K188" i="3" s="1"/>
  <c r="L188" i="3" s="1"/>
  <c r="M188" i="3" s="1"/>
  <c r="N188" i="3" s="1"/>
  <c r="O188" i="3" s="1"/>
  <c r="P188" i="3" s="1"/>
  <c r="Q188" i="3" s="1"/>
  <c r="R188" i="3" s="1"/>
  <c r="S188" i="3" s="1"/>
  <c r="O136" i="1"/>
  <c r="O170" i="1" s="1"/>
  <c r="O174" i="1" s="1"/>
  <c r="R177" i="1"/>
  <c r="O177" i="1"/>
  <c r="L177" i="1"/>
  <c r="N177" i="1"/>
  <c r="K136" i="1"/>
  <c r="K170" i="1" s="1"/>
  <c r="K174" i="1" s="1"/>
  <c r="T27" i="1"/>
  <c r="M136" i="1"/>
  <c r="M170" i="1" s="1"/>
  <c r="M174" i="1" s="1"/>
  <c r="N136" i="1"/>
  <c r="N170" i="1" s="1"/>
  <c r="N174" i="1" s="1"/>
  <c r="T37" i="1"/>
  <c r="I136" i="1"/>
  <c r="I170" i="1" s="1"/>
  <c r="I174" i="1" s="1"/>
  <c r="H136" i="1"/>
  <c r="H170" i="1" s="1"/>
  <c r="H174" i="1" s="1"/>
  <c r="P136" i="1"/>
  <c r="P170" i="1" s="1"/>
  <c r="P174" i="1" s="1"/>
  <c r="Q136" i="1"/>
  <c r="Q170" i="1" s="1"/>
  <c r="Q174" i="1" s="1"/>
  <c r="L136" i="1"/>
  <c r="L170" i="1" s="1"/>
  <c r="L174" i="1" s="1"/>
  <c r="S136" i="1"/>
  <c r="S170" i="1" s="1"/>
  <c r="S174" i="1" s="1"/>
  <c r="R136" i="1"/>
  <c r="R170" i="1" s="1"/>
  <c r="R174" i="1" s="1"/>
  <c r="T22" i="1"/>
  <c r="T2" i="1"/>
  <c r="J136" i="1"/>
  <c r="J170" i="1" s="1"/>
  <c r="J174" i="1" s="1"/>
  <c r="D170" i="3"/>
  <c r="E170" i="3" s="1"/>
  <c r="F174" i="2"/>
  <c r="G174" i="2" s="1"/>
  <c r="G170" i="2"/>
  <c r="G136" i="1"/>
  <c r="F170" i="1"/>
  <c r="C170" i="3"/>
  <c r="B174" i="3"/>
  <c r="C174" i="3" s="1"/>
  <c r="E170" i="2"/>
  <c r="D174" i="2"/>
  <c r="E174" i="2" s="1"/>
  <c r="C169" i="2"/>
  <c r="B170" i="2"/>
  <c r="Q137" i="13" l="1"/>
  <c r="Q22" i="13"/>
  <c r="Q157" i="13"/>
  <c r="Q171" i="13"/>
  <c r="Q114" i="13"/>
  <c r="Q72" i="13"/>
  <c r="Q46" i="13"/>
  <c r="Q45" i="13"/>
  <c r="Q141" i="13"/>
  <c r="Q77" i="13"/>
  <c r="Q36" i="13"/>
  <c r="Q35" i="13"/>
  <c r="Q15" i="13"/>
  <c r="Q164" i="13"/>
  <c r="Q158" i="13"/>
  <c r="Q100" i="13"/>
  <c r="Q95" i="13"/>
  <c r="Q62" i="13"/>
  <c r="Q133" i="13"/>
  <c r="Q117" i="13"/>
  <c r="Q48" i="13"/>
  <c r="Q82" i="13"/>
  <c r="Q31" i="13"/>
  <c r="Q108" i="13"/>
  <c r="Q23" i="13"/>
  <c r="Q119" i="13"/>
  <c r="Q24" i="13"/>
  <c r="Q110" i="13"/>
  <c r="Q152" i="13"/>
  <c r="Q39" i="13"/>
  <c r="Q69" i="13"/>
  <c r="Q94" i="13"/>
  <c r="Q131" i="13"/>
  <c r="Q97" i="13"/>
  <c r="Q40" i="13"/>
  <c r="Q16" i="13"/>
  <c r="Q76" i="13"/>
  <c r="Q50" i="13"/>
  <c r="Q17" i="13"/>
  <c r="Q156" i="13"/>
  <c r="Q138" i="13"/>
  <c r="Q109" i="13"/>
  <c r="Q54" i="13"/>
  <c r="Q28" i="13"/>
  <c r="Q41" i="13"/>
  <c r="Q121" i="13"/>
  <c r="Q74" i="13"/>
  <c r="Q61" i="13"/>
  <c r="Q135" i="13"/>
  <c r="Q166" i="13"/>
  <c r="Q125" i="13"/>
  <c r="Q146" i="13"/>
  <c r="Q124" i="13"/>
  <c r="Q47" i="13"/>
  <c r="Q34" i="13"/>
  <c r="Q112" i="13"/>
  <c r="Q33" i="13"/>
  <c r="Q98" i="13"/>
  <c r="Q126" i="13"/>
  <c r="Q92" i="13"/>
  <c r="Q80" i="13"/>
  <c r="Q49" i="13"/>
  <c r="Q65" i="13"/>
  <c r="Q60" i="13"/>
  <c r="Q91" i="13"/>
  <c r="Q64" i="13"/>
  <c r="Q83" i="13"/>
  <c r="Q51" i="13"/>
  <c r="Q85" i="13"/>
  <c r="Q101" i="13"/>
  <c r="Q160" i="13"/>
  <c r="Q73" i="13"/>
  <c r="Q75" i="13"/>
  <c r="Q57" i="13"/>
  <c r="Q70" i="13"/>
  <c r="Q153" i="13"/>
  <c r="Q168" i="13"/>
  <c r="Q155" i="13"/>
  <c r="Q32" i="13"/>
  <c r="Q13" i="13"/>
  <c r="Q19" i="13"/>
  <c r="Q26" i="13"/>
  <c r="Q115" i="13"/>
  <c r="Q87" i="13"/>
  <c r="Q44" i="13"/>
  <c r="Q140" i="13"/>
  <c r="Q30" i="13"/>
  <c r="Q89" i="13"/>
  <c r="Q29" i="13"/>
  <c r="Q63" i="13"/>
  <c r="Q79" i="13"/>
  <c r="Q144" i="13"/>
  <c r="Q149" i="13"/>
  <c r="Q84" i="13"/>
  <c r="Q116" i="13"/>
  <c r="Q43" i="13"/>
  <c r="Q161" i="13"/>
  <c r="Q93" i="13"/>
  <c r="Q145" i="13"/>
  <c r="Q96" i="13"/>
  <c r="Q38" i="13"/>
  <c r="Q18" i="13"/>
  <c r="Q143" i="13"/>
  <c r="Q58" i="13"/>
  <c r="Q68" i="13"/>
  <c r="Q128" i="13"/>
  <c r="Q148" i="13"/>
  <c r="Q88" i="13"/>
  <c r="Q86" i="13"/>
  <c r="Q132" i="13"/>
  <c r="Q66" i="13"/>
  <c r="Q165" i="13"/>
  <c r="Q150" i="13"/>
  <c r="Q154" i="13"/>
  <c r="Q104" i="13"/>
  <c r="Q118" i="13"/>
  <c r="Q120" i="13"/>
  <c r="Q107" i="13"/>
  <c r="Q113" i="13"/>
  <c r="Q173" i="13"/>
  <c r="Q130" i="13"/>
  <c r="Q59" i="13"/>
  <c r="Q162" i="13"/>
  <c r="Q20" i="13"/>
  <c r="Q163" i="13"/>
  <c r="Q106" i="13"/>
  <c r="Q81" i="13"/>
  <c r="Q53" i="13"/>
  <c r="Q67" i="13"/>
  <c r="Q127" i="13"/>
  <c r="Q159" i="13"/>
  <c r="Q134" i="13"/>
  <c r="Q99" i="13"/>
  <c r="Q167" i="13"/>
  <c r="Q151" i="13"/>
  <c r="Q172" i="13"/>
  <c r="Q129" i="13"/>
  <c r="Q147" i="13"/>
  <c r="Q142" i="13"/>
  <c r="Q55" i="13"/>
  <c r="Q102" i="13"/>
  <c r="Q105" i="13"/>
  <c r="Q56" i="13"/>
  <c r="Q122" i="13"/>
  <c r="Q52" i="13"/>
  <c r="Q139" i="13"/>
  <c r="Q42" i="13"/>
  <c r="Q71" i="13"/>
  <c r="Q103" i="13"/>
  <c r="Q21" i="13"/>
  <c r="Q25" i="13"/>
  <c r="Q90" i="13"/>
  <c r="Q111" i="13"/>
  <c r="Q78" i="13"/>
  <c r="Q123" i="13"/>
  <c r="Q169" i="13"/>
  <c r="Q14" i="13"/>
  <c r="Q27" i="13"/>
  <c r="Q37" i="13"/>
  <c r="S170" i="13"/>
  <c r="AD136" i="13"/>
  <c r="P136" i="13"/>
  <c r="Q136" i="13" s="1"/>
  <c r="S176" i="1"/>
  <c r="S186" i="1" s="1"/>
  <c r="Q186" i="1"/>
  <c r="P186" i="1"/>
  <c r="O176" i="1"/>
  <c r="O186" i="1" s="1"/>
  <c r="R176" i="1"/>
  <c r="R186" i="1" s="1"/>
  <c r="N186" i="1"/>
  <c r="I176" i="1"/>
  <c r="I186" i="1" s="1"/>
  <c r="I187" i="1" s="1"/>
  <c r="J176" i="1"/>
  <c r="J186" i="1" s="1"/>
  <c r="N176" i="1"/>
  <c r="M176" i="1"/>
  <c r="M186" i="1" s="1"/>
  <c r="K176" i="1"/>
  <c r="K186" i="1" s="1"/>
  <c r="L176" i="1"/>
  <c r="L186" i="1" s="1"/>
  <c r="D174" i="3"/>
  <c r="E174" i="3" s="1"/>
  <c r="T136" i="1"/>
  <c r="F174" i="1"/>
  <c r="G174" i="1" s="1"/>
  <c r="G170" i="1"/>
  <c r="B174" i="2"/>
  <c r="C174" i="2" s="1"/>
  <c r="C170" i="2"/>
  <c r="S174" i="13" l="1"/>
  <c r="P174" i="13" s="1"/>
  <c r="Q174" i="13" s="1"/>
  <c r="P170" i="13"/>
  <c r="Q170" i="13" s="1"/>
  <c r="J187" i="1"/>
  <c r="K187" i="1" s="1"/>
  <c r="L187" i="1" s="1"/>
  <c r="M187" i="1" s="1"/>
  <c r="N187" i="1" s="1"/>
  <c r="O187" i="1" s="1"/>
  <c r="P187" i="1" s="1"/>
  <c r="Q187" i="1" s="1"/>
  <c r="R187" i="1" s="1"/>
  <c r="S187" i="1" s="1"/>
  <c r="W27" i="1" l="1"/>
  <c r="AI27" i="1" s="1"/>
  <c r="AI28" i="1"/>
  <c r="W183" i="1" l="1"/>
  <c r="U27" i="1"/>
  <c r="V27" i="1" s="1"/>
  <c r="AI38" i="1"/>
  <c r="V38" i="1"/>
  <c r="W136" i="1"/>
  <c r="W37" i="1"/>
  <c r="U37" i="1" s="1"/>
  <c r="V37" i="1" s="1"/>
  <c r="W184" i="1"/>
  <c r="W181" i="1"/>
  <c r="W186" i="1"/>
  <c r="W187" i="1"/>
  <c r="AC184" i="1"/>
  <c r="AC181" i="1" s="1"/>
  <c r="AC186" i="1" s="1"/>
  <c r="AF184" i="1"/>
  <c r="AF181" i="1" s="1"/>
  <c r="AF186" i="1" s="1"/>
  <c r="AG121" i="1"/>
  <c r="AG37" i="1"/>
  <c r="AG184" i="1" s="1"/>
  <c r="AG181" i="1" s="1"/>
  <c r="AG186" i="1" s="1"/>
  <c r="AG136" i="1"/>
  <c r="AG170" i="1"/>
  <c r="AG174" i="1" s="1"/>
  <c r="Z121" i="1"/>
  <c r="Z37" i="1"/>
  <c r="Z136" i="1" s="1"/>
  <c r="Z170" i="1" s="1"/>
  <c r="Z174" i="1" s="1"/>
  <c r="AD121" i="1"/>
  <c r="AD37" i="1"/>
  <c r="AD184" i="1" s="1"/>
  <c r="AD181" i="1" s="1"/>
  <c r="AD186" i="1" s="1"/>
  <c r="AD136" i="1"/>
  <c r="AD170" i="1" s="1"/>
  <c r="AD174" i="1" s="1"/>
  <c r="AB121" i="1"/>
  <c r="AB37" i="1"/>
  <c r="AB184" i="1" s="1"/>
  <c r="AB181" i="1" s="1"/>
  <c r="AB186" i="1" s="1"/>
  <c r="AB136" i="1"/>
  <c r="AB170" i="1" s="1"/>
  <c r="AB174" i="1" s="1"/>
  <c r="X121" i="1"/>
  <c r="X37" i="1"/>
  <c r="X184" i="1" s="1"/>
  <c r="X181" i="1" s="1"/>
  <c r="X186" i="1" s="1"/>
  <c r="X136" i="1"/>
  <c r="X170" i="1"/>
  <c r="X174" i="1"/>
  <c r="AH121" i="1"/>
  <c r="AH37" i="1"/>
  <c r="AH184" i="1" s="1"/>
  <c r="AH181" i="1" s="1"/>
  <c r="AH186" i="1" s="1"/>
  <c r="AH136" i="1"/>
  <c r="AH170" i="1"/>
  <c r="AH174" i="1" s="1"/>
  <c r="AA121" i="1"/>
  <c r="AA37" i="1" s="1"/>
  <c r="AF121" i="1"/>
  <c r="AF37" i="1"/>
  <c r="AF136" i="1"/>
  <c r="AF170" i="1"/>
  <c r="AF174" i="1" s="1"/>
  <c r="AE121" i="1"/>
  <c r="AE37" i="1"/>
  <c r="AE184" i="1" s="1"/>
  <c r="AE181" i="1" s="1"/>
  <c r="AE186" i="1" s="1"/>
  <c r="AE136" i="1"/>
  <c r="AE170" i="1" s="1"/>
  <c r="AE174" i="1" s="1"/>
  <c r="AC121" i="1"/>
  <c r="AC37" i="1"/>
  <c r="AC136" i="1"/>
  <c r="AC170" i="1"/>
  <c r="AC174" i="1" s="1"/>
  <c r="Y121" i="1"/>
  <c r="AI121" i="1" s="1"/>
  <c r="Y37" i="1"/>
  <c r="Y184" i="1" s="1"/>
  <c r="Y181" i="1" s="1"/>
  <c r="Y186" i="1" s="1"/>
  <c r="Y136" i="1"/>
  <c r="Y170" i="1"/>
  <c r="Y174" i="1" s="1"/>
  <c r="W121" i="1"/>
  <c r="V121" i="1"/>
  <c r="X187" i="1" l="1"/>
  <c r="Y187" i="1"/>
  <c r="AA184" i="1"/>
  <c r="AA181" i="1" s="1"/>
  <c r="AA186" i="1" s="1"/>
  <c r="AA136" i="1"/>
  <c r="AA170" i="1" s="1"/>
  <c r="AA174" i="1" s="1"/>
  <c r="Z184" i="1"/>
  <c r="Z181" i="1" s="1"/>
  <c r="Z186" i="1" s="1"/>
  <c r="Z187" i="1" s="1"/>
  <c r="AI37" i="1"/>
  <c r="W170" i="1"/>
  <c r="AA187" i="1" l="1"/>
  <c r="AB187" i="1" s="1"/>
  <c r="AC187" i="1" s="1"/>
  <c r="AD187" i="1" s="1"/>
  <c r="AE187" i="1" s="1"/>
  <c r="AF187" i="1" s="1"/>
  <c r="AG187" i="1" s="1"/>
  <c r="AH187" i="1" s="1"/>
  <c r="U136" i="1"/>
  <c r="V136" i="1" s="1"/>
  <c r="U170" i="1"/>
  <c r="V170" i="1" s="1"/>
  <c r="W174" i="1"/>
  <c r="U174" i="1" s="1"/>
  <c r="V174" i="1" s="1"/>
  <c r="AI136" i="1"/>
  <c r="W4" i="9"/>
  <c r="W2" i="9" s="1"/>
  <c r="AI4" i="9" l="1"/>
  <c r="U2" i="9"/>
  <c r="Z177" i="9"/>
  <c r="Z176" i="9" s="1"/>
  <c r="Z186" i="9" s="1"/>
  <c r="X177" i="9"/>
  <c r="X176" i="9" s="1"/>
  <c r="X186" i="9" s="1"/>
  <c r="Y177" i="9"/>
  <c r="Y176" i="9" s="1"/>
  <c r="Y186" i="9" s="1"/>
  <c r="W136" i="9"/>
  <c r="AI2" i="9"/>
  <c r="W178" i="9"/>
  <c r="W176" i="9" s="1"/>
  <c r="W186" i="9" s="1"/>
  <c r="W187" i="9" s="1"/>
  <c r="X187" i="9" l="1"/>
  <c r="V134" i="9"/>
  <c r="V35" i="9"/>
  <c r="V70" i="9"/>
  <c r="V146" i="9"/>
  <c r="V117" i="9"/>
  <c r="V89" i="9"/>
  <c r="V129" i="9"/>
  <c r="V44" i="9"/>
  <c r="V26" i="9"/>
  <c r="V159" i="9"/>
  <c r="V20" i="9"/>
  <c r="V28" i="9"/>
  <c r="V140" i="9"/>
  <c r="V137" i="9"/>
  <c r="V60" i="9"/>
  <c r="V120" i="9"/>
  <c r="V30" i="9"/>
  <c r="V122" i="9"/>
  <c r="V63" i="9"/>
  <c r="V38" i="9"/>
  <c r="V96" i="9"/>
  <c r="V171" i="9"/>
  <c r="V50" i="9"/>
  <c r="V93" i="9"/>
  <c r="V55" i="9"/>
  <c r="V143" i="9"/>
  <c r="V123" i="9"/>
  <c r="V75" i="9"/>
  <c r="V131" i="9"/>
  <c r="V113" i="9"/>
  <c r="V124" i="9"/>
  <c r="V90" i="9"/>
  <c r="V65" i="9"/>
  <c r="V72" i="9"/>
  <c r="V36" i="9"/>
  <c r="V61" i="9"/>
  <c r="V109" i="9"/>
  <c r="V42" i="9"/>
  <c r="V54" i="9"/>
  <c r="V76" i="9"/>
  <c r="V27" i="9"/>
  <c r="V47" i="9"/>
  <c r="V130" i="9"/>
  <c r="V49" i="9"/>
  <c r="V14" i="9"/>
  <c r="V114" i="9"/>
  <c r="V46" i="9"/>
  <c r="V92" i="9"/>
  <c r="V97" i="9"/>
  <c r="V95" i="9"/>
  <c r="V71" i="9"/>
  <c r="V115" i="9"/>
  <c r="V80" i="9"/>
  <c r="V17" i="9"/>
  <c r="V148" i="9"/>
  <c r="V91" i="9"/>
  <c r="V64" i="9"/>
  <c r="V102" i="9"/>
  <c r="V101" i="9"/>
  <c r="V108" i="9"/>
  <c r="V59" i="9"/>
  <c r="V48" i="9"/>
  <c r="V87" i="9"/>
  <c r="V128" i="9"/>
  <c r="V98" i="9"/>
  <c r="V118" i="9"/>
  <c r="V13" i="9"/>
  <c r="V153" i="9"/>
  <c r="V67" i="9"/>
  <c r="V127" i="9"/>
  <c r="V66" i="9"/>
  <c r="V94" i="9"/>
  <c r="V168" i="9"/>
  <c r="V155" i="9"/>
  <c r="V99" i="9"/>
  <c r="V57" i="9"/>
  <c r="V29" i="9"/>
  <c r="V112" i="9"/>
  <c r="V149" i="9"/>
  <c r="V34" i="9"/>
  <c r="V43" i="9"/>
  <c r="V104" i="9"/>
  <c r="V103" i="9"/>
  <c r="V86" i="9"/>
  <c r="V68" i="9"/>
  <c r="V21" i="9"/>
  <c r="V138" i="9"/>
  <c r="V19" i="9"/>
  <c r="V100" i="9"/>
  <c r="V144" i="9"/>
  <c r="V25" i="9"/>
  <c r="V169" i="9"/>
  <c r="V78" i="9"/>
  <c r="V31" i="9"/>
  <c r="V162" i="9"/>
  <c r="V81" i="9"/>
  <c r="V18" i="9"/>
  <c r="V156" i="9"/>
  <c r="V163" i="9"/>
  <c r="V23" i="9"/>
  <c r="V33" i="9"/>
  <c r="V166" i="9"/>
  <c r="V53" i="9"/>
  <c r="V133" i="9"/>
  <c r="V142" i="9"/>
  <c r="V84" i="9"/>
  <c r="V173" i="9"/>
  <c r="V45" i="9"/>
  <c r="V24" i="9"/>
  <c r="V145" i="9"/>
  <c r="V51" i="9"/>
  <c r="V69" i="9"/>
  <c r="V119" i="9"/>
  <c r="V79" i="9"/>
  <c r="V167" i="9"/>
  <c r="V52" i="9"/>
  <c r="V77" i="9"/>
  <c r="V158" i="9"/>
  <c r="V110" i="9"/>
  <c r="V22" i="9"/>
  <c r="V150" i="9"/>
  <c r="V105" i="9"/>
  <c r="V85" i="9"/>
  <c r="V161" i="9"/>
  <c r="V83" i="9"/>
  <c r="V41" i="9"/>
  <c r="V82" i="9"/>
  <c r="V74" i="9"/>
  <c r="V40" i="9"/>
  <c r="V73" i="9"/>
  <c r="V121" i="9"/>
  <c r="V62" i="9"/>
  <c r="V111" i="9"/>
  <c r="V106" i="9"/>
  <c r="V152" i="9"/>
  <c r="V139" i="9"/>
  <c r="V160" i="9"/>
  <c r="V151" i="9"/>
  <c r="V125" i="9"/>
  <c r="V107" i="9"/>
  <c r="V56" i="9"/>
  <c r="V147" i="9"/>
  <c r="V132" i="9"/>
  <c r="V135" i="9"/>
  <c r="V126" i="9"/>
  <c r="V58" i="9"/>
  <c r="V116" i="9"/>
  <c r="V32" i="9"/>
  <c r="V154" i="9"/>
  <c r="V16" i="9"/>
  <c r="V88" i="9"/>
  <c r="V37" i="9"/>
  <c r="V141" i="9"/>
  <c r="V39" i="9"/>
  <c r="V164" i="9"/>
  <c r="V172" i="9"/>
  <c r="V157" i="9"/>
  <c r="V15" i="9"/>
  <c r="V165" i="9"/>
  <c r="AI136" i="9"/>
  <c r="W170" i="9"/>
  <c r="U136" i="9"/>
  <c r="V136" i="9" s="1"/>
  <c r="Y187" i="9"/>
  <c r="Z187" i="9" s="1"/>
  <c r="AA187" i="9" s="1"/>
  <c r="AB187" i="9" s="1"/>
  <c r="AC187" i="9" s="1"/>
  <c r="AD187" i="9" s="1"/>
  <c r="AE187" i="9" s="1"/>
  <c r="AF187" i="9" s="1"/>
  <c r="AG187" i="9" s="1"/>
  <c r="AH187" i="9" s="1"/>
  <c r="W174" i="9" l="1"/>
  <c r="U174" i="9" s="1"/>
  <c r="V174" i="9" s="1"/>
  <c r="U170" i="9"/>
  <c r="V170" i="9" s="1"/>
</calcChain>
</file>

<file path=xl/sharedStrings.xml><?xml version="1.0" encoding="utf-8"?>
<sst xmlns="http://schemas.openxmlformats.org/spreadsheetml/2006/main" count="2434" uniqueCount="1306">
  <si>
    <t>Descripción</t>
  </si>
  <si>
    <t>Acumulados  2023</t>
  </si>
  <si>
    <t>(%)Acumulados  2023</t>
  </si>
  <si>
    <t>Acumulados  2024</t>
  </si>
  <si>
    <t>(%)Acumulados  2024</t>
  </si>
  <si>
    <t xml:space="preserve">      1. Importe neto cifra de negocios</t>
  </si>
  <si>
    <t xml:space="preserve">         700000001  Venta de Mercaderias</t>
  </si>
  <si>
    <t xml:space="preserve">         700000002  Ingresos Alquileres</t>
  </si>
  <si>
    <t xml:space="preserve">         700000003  Energía Solar</t>
  </si>
  <si>
    <t xml:space="preserve">         700000004  Venta Catálogos</t>
  </si>
  <si>
    <t xml:space="preserve">         705000000  Prestación de Servicios</t>
  </si>
  <si>
    <t xml:space="preserve">         705000008  Ventas Grupos y Eventos</t>
  </si>
  <si>
    <t xml:space="preserve">      2. Variación exist. prod. term. y en curso</t>
  </si>
  <si>
    <t xml:space="preserve">         693000001  Pérdidas por Deterioro de EXISTENCIAS</t>
  </si>
  <si>
    <t xml:space="preserve">         793000001  Reversión del Deterioro de EXISTENCIAS</t>
  </si>
  <si>
    <t xml:space="preserve">      3. Trab.realizados por la emp. para su activo</t>
  </si>
  <si>
    <t xml:space="preserve">      4. Aprovisionamientos</t>
  </si>
  <si>
    <t xml:space="preserve">         600000000  Compras de mercaderías</t>
  </si>
  <si>
    <t xml:space="preserve">         600000001  Compras División CONECTORES L.001</t>
  </si>
  <si>
    <t xml:space="preserve">         600000002  Compras División EMPAQUETADO L.002</t>
  </si>
  <si>
    <t xml:space="preserve">         600000003  Compras División INFORMATICA L.004</t>
  </si>
  <si>
    <t xml:space="preserve">         600000004  Compras VARIAS</t>
  </si>
  <si>
    <t xml:space="preserve">         602000001  Compras de otros Aprovisionamientos </t>
  </si>
  <si>
    <t xml:space="preserve">         606000001  Dto. S/Compras por Pronto Pago</t>
  </si>
  <si>
    <t xml:space="preserve">         610000001  Variación de EXISTENCIAS</t>
  </si>
  <si>
    <t xml:space="preserve">      5. Otros ingresos de explotación</t>
  </si>
  <si>
    <t xml:space="preserve">         752000004  Alquileres Maquinas</t>
  </si>
  <si>
    <t xml:space="preserve">         755000001  Ingresos por Servicios al Personal</t>
  </si>
  <si>
    <t xml:space="preserve">         755000002  Ingresos por Bonificación a Formación de</t>
  </si>
  <si>
    <t xml:space="preserve">         759000001  Ingresos por Servicios Diversos</t>
  </si>
  <si>
    <t xml:space="preserve">      6. Gastos de personal</t>
  </si>
  <si>
    <t xml:space="preserve">         640000001  Remuneraciones FIJAS</t>
  </si>
  <si>
    <t xml:space="preserve">         640000002  Retribución a CONSEJEROS DELEGADOS</t>
  </si>
  <si>
    <t xml:space="preserve">         640000003  Bonus y Comisiones</t>
  </si>
  <si>
    <t xml:space="preserve">         640000005  Dietas y Kilometrajes (VIAJES)</t>
  </si>
  <si>
    <t xml:space="preserve">         641000001  Indemnizaciones</t>
  </si>
  <si>
    <t xml:space="preserve">         642000001  Seguridad Social</t>
  </si>
  <si>
    <t xml:space="preserve">         649000001  Formación al PERSONAL (CURSOS)</t>
  </si>
  <si>
    <t xml:space="preserve">         649000003  Formación Personal (INFORMATICA)</t>
  </si>
  <si>
    <t xml:space="preserve">         649000004  Gastos Sociales VARIOS</t>
  </si>
  <si>
    <t xml:space="preserve">      7. Otros gastos de explotación</t>
  </si>
  <si>
    <t xml:space="preserve">         621000000  Arrendamientos y Canones</t>
  </si>
  <si>
    <t xml:space="preserve">         621000002  Rentings Flota Vehiculos</t>
  </si>
  <si>
    <t xml:space="preserve">         621000003  Renovaciones y Licencias  SOFTWARE</t>
  </si>
  <si>
    <t xml:space="preserve">         621000005  Alojamientos WEBs</t>
  </si>
  <si>
    <t xml:space="preserve">         621000007  Alquiler Plazas de Garaje A.Soria 99</t>
  </si>
  <si>
    <t xml:space="preserve">         621000008  Alquiler Local Natalia de Silva 3C</t>
  </si>
  <si>
    <t xml:space="preserve">         621000010  Renting Sabadell</t>
  </si>
  <si>
    <t xml:space="preserve">         621000010  Renting Caixa</t>
  </si>
  <si>
    <t xml:space="preserve">         622000000  Reparaciones y Conservación D&amp;M</t>
  </si>
  <si>
    <t xml:space="preserve">         622000001  Conservación Jardinería</t>
  </si>
  <si>
    <t xml:space="preserve">         622000002  Conservación Instalación Contraincendios</t>
  </si>
  <si>
    <t xml:space="preserve">         622000001  Reparaciones y Conservación SARATUR</t>
  </si>
  <si>
    <t xml:space="preserve">         622000001  Reparaciones y Conservación COMÚN</t>
  </si>
  <si>
    <t xml:space="preserve">         622000002  Rep. y Cons. ULISES 104 (MADRID)</t>
  </si>
  <si>
    <t xml:space="preserve">         622000003  Rep. y Cons. ULISES 106 (MADRID)</t>
  </si>
  <si>
    <t xml:space="preserve">         622000004  Rep. y Cons. AV.DEL CARRILLET 209 (L'HOS</t>
  </si>
  <si>
    <t xml:space="preserve">         622000005  Rep. y Cons. PLAZA 15 (MADRID)</t>
  </si>
  <si>
    <t xml:space="preserve">         622000006  Rep. y Cons. MAQUINARIA TALLERES/ALMACEN</t>
  </si>
  <si>
    <t xml:space="preserve">         622000007  Rep. y Cons. BUNGALOWS CANARIAS</t>
  </si>
  <si>
    <t xml:space="preserve">         622000008  Mantenimientos SOFTWARE</t>
  </si>
  <si>
    <t xml:space="preserve">         622000009  Rep. y Cons. Locales Arturo Soria 99</t>
  </si>
  <si>
    <t xml:space="preserve">         622000015  Rep. Y Cons. ORDENADORES OFICINA</t>
  </si>
  <si>
    <t xml:space="preserve">         622000019  Rep. y Cons. Av.SISTEMA SOLAR 9-11 (SAN </t>
  </si>
  <si>
    <t xml:space="preserve">         623000000  Servicios Profesionales Independientes</t>
  </si>
  <si>
    <t xml:space="preserve">         623000001  Escrituras y otros Gastos</t>
  </si>
  <si>
    <t xml:space="preserve">         623000002  Servicios VARIOS</t>
  </si>
  <si>
    <t xml:space="preserve">         623000003  Servicios AUDITORÍA</t>
  </si>
  <si>
    <t xml:space="preserve">         623000004  Servicios ASESORAMIENTO</t>
  </si>
  <si>
    <t xml:space="preserve">         623000005  Gestión y Servicios Productos Fotovoltai</t>
  </si>
  <si>
    <t xml:space="preserve">         623000007  Servicios Inversiones Inmobiliarios</t>
  </si>
  <si>
    <t xml:space="preserve">         623000009  Mantenimiento Programa Gestion (SAGE)</t>
  </si>
  <si>
    <t xml:space="preserve">         623000025  OXECTUR,S.L (REPRESENT.GALICIA)</t>
  </si>
  <si>
    <t xml:space="preserve">         623000027  CYME (REPRESENTACION CL.MAHLE NAGARES)</t>
  </si>
  <si>
    <t xml:space="preserve">         624000001  Transporte Mercancias Ventas</t>
  </si>
  <si>
    <t xml:space="preserve">         625000001  Seguros VARIOS</t>
  </si>
  <si>
    <t xml:space="preserve">         625000002  Seguros VEHICULOS</t>
  </si>
  <si>
    <t xml:space="preserve">         625000003  Seguros INSTALACION FOTOVOLTAICA REF.000</t>
  </si>
  <si>
    <t xml:space="preserve">         626000001  Comisiones Bancarias REMESAS DE COBROS</t>
  </si>
  <si>
    <t xml:space="preserve">         626000002  Comisiones Bancarias PAGOS A EXTRANJEROS</t>
  </si>
  <si>
    <t xml:space="preserve">         626000003  Gtos. Bancarios VARIOS CONCEPTOS</t>
  </si>
  <si>
    <t xml:space="preserve">         627000000  Gtos. Publicidad, Propaganda y Relac.Públicas</t>
  </si>
  <si>
    <t xml:space="preserve">         627000001  Gtos. Representación Div.CONECTORES</t>
  </si>
  <si>
    <t xml:space="preserve">         627000002  Gtos. Representación Div.EMPAQUETADO</t>
  </si>
  <si>
    <t xml:space="preserve">         627000003  Gtos. Representación Div.INFORMÁTICA</t>
  </si>
  <si>
    <t xml:space="preserve">         627000005  Gtos. Comisiones Ventas a Distribuidores</t>
  </si>
  <si>
    <t xml:space="preserve">         627000006  Gastos en VIAJES INMOBILIARIO</t>
  </si>
  <si>
    <t xml:space="preserve">         627000007  Gastos Ferias</t>
  </si>
  <si>
    <t xml:space="preserve">         627000008  Gastos en VIAJES EXTRANJEROS</t>
  </si>
  <si>
    <t xml:space="preserve">         627000009  Gastos en VIAJES NACIONALES</t>
  </si>
  <si>
    <t xml:space="preserve">         627000010  Gastos de Representación Comunes</t>
  </si>
  <si>
    <t xml:space="preserve">         627000011  Gastos en Publicidad Departamento Inmobi</t>
  </si>
  <si>
    <t xml:space="preserve">         628000000  Suministros</t>
  </si>
  <si>
    <t xml:space="preserve">         628000001  Electricidad</t>
  </si>
  <si>
    <t xml:space="preserve">         628000002  Agua</t>
  </si>
  <si>
    <t xml:space="preserve">         628000003  Gas</t>
  </si>
  <si>
    <t xml:space="preserve">         628000004  Carbón BBQ</t>
  </si>
  <si>
    <t xml:space="preserve">         628000003  Agua NAVES San Fernando</t>
  </si>
  <si>
    <t xml:space="preserve">         628000004  Servicios Telefónicos</t>
  </si>
  <si>
    <t xml:space="preserve">         628000005  Electricidad NAVES San Fernando</t>
  </si>
  <si>
    <t xml:space="preserve">         629000000  Otros Servicios</t>
  </si>
  <si>
    <t xml:space="preserve">         629000001  Gastos en VIAJES NACIONALES</t>
  </si>
  <si>
    <t xml:space="preserve">         629000002  Gastos en MATERIAL DE OFICINA</t>
  </si>
  <si>
    <t xml:space="preserve">         629000003  Gastos en FLOTA DE COCHES</t>
  </si>
  <si>
    <t xml:space="preserve">         629000005  Gastos en SEGURIDAD</t>
  </si>
  <si>
    <t xml:space="preserve">         629000006  Lavandería</t>
  </si>
  <si>
    <t xml:space="preserve">         629000006  ECOASIMELEC</t>
  </si>
  <si>
    <t xml:space="preserve">         629000007  Gastos en VIAJES EXTRANJEROS</t>
  </si>
  <si>
    <t xml:space="preserve">         629000008  Gastos en MOBILIARIO DE OFICINA</t>
  </si>
  <si>
    <t xml:space="preserve">         629000010  Gastos en LOCOMOCIONES</t>
  </si>
  <si>
    <t xml:space="preserve">         629000011  Gastos en VESTUARIO</t>
  </si>
  <si>
    <t xml:space="preserve">         629000012  Otros Servicios VARIOS</t>
  </si>
  <si>
    <t xml:space="preserve">         629000013  Gastos en LIMPIEZA</t>
  </si>
  <si>
    <t xml:space="preserve">         629000014  Gastos de COMUNIDADES DE VECINOS</t>
  </si>
  <si>
    <t xml:space="preserve">         629000018  SUSCRIPCIONES Y LIBROS</t>
  </si>
  <si>
    <t xml:space="preserve">         629000020  CORREOS</t>
  </si>
  <si>
    <t xml:space="preserve">         629000033  Otros Aprovisionamientos</t>
  </si>
  <si>
    <t xml:space="preserve">         629000034  Otros Aprovisionamientos INFORMATICA</t>
  </si>
  <si>
    <t xml:space="preserve">         629000050  Gastos de Gestión de Formación BONIFICAD</t>
  </si>
  <si>
    <t xml:space="preserve">         631000001  Impuesto Sobre VALOR PRODUCCIÓN ENERGIA </t>
  </si>
  <si>
    <t xml:space="preserve">         631000002  Impuestos MUNICIPALES</t>
  </si>
  <si>
    <t xml:space="preserve">         631000004  Tasas Otros Organismos</t>
  </si>
  <si>
    <t xml:space="preserve">         650000001  Perdidas Creditos Comerciales Incobrable</t>
  </si>
  <si>
    <t xml:space="preserve">         659000000  Otras  Perdidas de Gestión Corriente</t>
  </si>
  <si>
    <t xml:space="preserve">         694000001  Pérdidas por Deterioro de CRÉDITOS OP.CO</t>
  </si>
  <si>
    <t xml:space="preserve">      8. Amortización del inmovilizado</t>
  </si>
  <si>
    <t xml:space="preserve">         680000001  Amortización INMOVILIZADO INTANGIBLE</t>
  </si>
  <si>
    <t xml:space="preserve">         681000001  Amortización INMOVILIZADO MATERIAL</t>
  </si>
  <si>
    <t xml:space="preserve">         682000001  Amortización INVERSIONES INMOBILIARIAS</t>
  </si>
  <si>
    <t xml:space="preserve">      9. Imputación subvenciones inmovil.no financ.</t>
  </si>
  <si>
    <t xml:space="preserve">      10. Excesos de provisiones</t>
  </si>
  <si>
    <t xml:space="preserve">      11. Deterioro y Rtdo. enajenaciones inmovil.</t>
  </si>
  <si>
    <t xml:space="preserve">         671000001  Pérdidas de Inmovilizado Material</t>
  </si>
  <si>
    <t xml:space="preserve">         771000001  Bº Procedentes de INMOVILIZADO MATERIAL</t>
  </si>
  <si>
    <t xml:space="preserve">      12. Diferencia negativa combinaciones negocio</t>
  </si>
  <si>
    <t xml:space="preserve">      13 Otros resultados</t>
  </si>
  <si>
    <t xml:space="preserve">         678000001  Gastos Excepcionales</t>
  </si>
  <si>
    <t xml:space="preserve">         678000009  Otros Resultados (NO DEDUCIBLES)</t>
  </si>
  <si>
    <t xml:space="preserve">         778000001  Ingresos Excepcionales</t>
  </si>
  <si>
    <t xml:space="preserve">   A) Resultado explotación (del 1 al 13)</t>
  </si>
  <si>
    <t xml:space="preserve">      14. Ingresos financieros</t>
  </si>
  <si>
    <t xml:space="preserve">         a) Imp. subvenciones, donanc. y legados</t>
  </si>
  <si>
    <t xml:space="preserve">         b) Otros ingresos financieros</t>
  </si>
  <si>
    <t xml:space="preserve">            760200001  Ingresos por ACCIONES COTIZADAS</t>
  </si>
  <si>
    <t xml:space="preserve">            761200001  Ingresos por RENTA FIJA-ESTRUCTURAS</t>
  </si>
  <si>
    <t xml:space="preserve">            762100001  Intereses Prestamo C/P SARATUR, S.L.</t>
  </si>
  <si>
    <t xml:space="preserve">            762100002  Intereses Prestamo C/P del Personal</t>
  </si>
  <si>
    <t xml:space="preserve">            762100006  Intereses Prestamo C/P DUBES &amp; MARCEN</t>
  </si>
  <si>
    <t xml:space="preserve">            769100004  Devolución COMISIONES de FONDOS DE IN</t>
  </si>
  <si>
    <t xml:space="preserve">      15. Gastos financieros</t>
  </si>
  <si>
    <t xml:space="preserve">         662000000  Intereses de deudas Empresas del Grupo</t>
  </si>
  <si>
    <t xml:space="preserve">         662000002  Intereses de deudas C/P con CAIXABANK </t>
  </si>
  <si>
    <t xml:space="preserve">         662300001  Intereses C/P FINANCIACIÓN COCHES</t>
  </si>
  <si>
    <t xml:space="preserve">         662300002  Intereses Cuentas Corrientes</t>
  </si>
  <si>
    <t xml:space="preserve">         662300003  Intereses PRESTAMOS Sabadell</t>
  </si>
  <si>
    <t xml:space="preserve">         669000000  Otros Gastos Financieros</t>
  </si>
  <si>
    <t xml:space="preserve">      16. Variación valor razonable instrum. finan.</t>
  </si>
  <si>
    <t xml:space="preserve">         663200001  Pérdidas de Disponibles para la Venta (F</t>
  </si>
  <si>
    <t xml:space="preserve">         663200003  Pérdidas SICAVS</t>
  </si>
  <si>
    <t xml:space="preserve">         763000001  Beneficios por Valoración Instrumentos F</t>
  </si>
  <si>
    <t xml:space="preserve">         763200001  Beneficios por Enajenación FONDOS</t>
  </si>
  <si>
    <t xml:space="preserve">         763200002  Beneficios Enajenación FCR (EXENTO TRIBU</t>
  </si>
  <si>
    <t xml:space="preserve">         763200003  Beneficios por Enajenación SICAVS</t>
  </si>
  <si>
    <t xml:space="preserve">      17. Diferencias de cambio</t>
  </si>
  <si>
    <t xml:space="preserve">         668000001  Diferencias NEGATIVAS de Cambio</t>
  </si>
  <si>
    <t xml:space="preserve">         768000001  Diferencias POSITIVAS de Cambio</t>
  </si>
  <si>
    <t xml:space="preserve">      18. Deterioro y Rtdo.enajenaciones instr.fin.</t>
  </si>
  <si>
    <t xml:space="preserve">         766000001  Beneficios en Participaciones y Valores </t>
  </si>
  <si>
    <t xml:space="preserve">      19.Otros ingresos y gastos carácter financ.</t>
  </si>
  <si>
    <t xml:space="preserve">         a) Incorporación al activo de gastos financ.</t>
  </si>
  <si>
    <t xml:space="preserve">         b) Ing. fin. Derivados convenios acreedores</t>
  </si>
  <si>
    <t xml:space="preserve">         c) Resto de ingresos y gastos</t>
  </si>
  <si>
    <t xml:space="preserve">   B) Resultado financiero (14+15+16+17+18+19)</t>
  </si>
  <si>
    <t xml:space="preserve">   C) Resultado antes de impuestos (A+B)</t>
  </si>
  <si>
    <t xml:space="preserve">      20. Impuestos sobre beneficios</t>
  </si>
  <si>
    <t xml:space="preserve">         630000001  Impuesto S/Beneficios CORRIENTE</t>
  </si>
  <si>
    <t xml:space="preserve">         630100001  Impuesto S/Beneficios DIFERIDO</t>
  </si>
  <si>
    <t xml:space="preserve">   D) Resultado del ejercicio (C+20)</t>
  </si>
  <si>
    <t xml:space="preserve">         700000002  I</t>
  </si>
  <si>
    <t xml:space="preserve">         700000003  E</t>
  </si>
  <si>
    <t xml:space="preserve">         700000004  V</t>
  </si>
  <si>
    <t>codcliente</t>
  </si>
  <si>
    <t>cliente</t>
  </si>
  <si>
    <t>sismecanic</t>
  </si>
  <si>
    <t>conectores</t>
  </si>
  <si>
    <t>informatica</t>
  </si>
  <si>
    <t>total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</si>
  <si>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</si>
  <si>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</si>
  <si>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</si>
  <si>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</si>
  <si>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</si>
  <si>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</si>
  <si>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</si>
  <si>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</si>
  <si>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</si>
  <si>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</si>
  <si>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</si>
  <si>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</si>
  <si>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CYME,S.L.</t>
  </si>
  <si>
    <t>LOGISTICA Y TELECOMUNICACION, S.L.</t>
  </si>
  <si>
    <t>ELECTRONICA FALCON, S.A.U.</t>
  </si>
  <si>
    <t>SIEMENS RAIL AUTOMATION S.A.U.</t>
  </si>
  <si>
    <t>INDRA SISTEMAS, S.A.</t>
  </si>
  <si>
    <t>INTEGRAL DE CONEXIÓN Y MONTAJES, S.L.</t>
  </si>
  <si>
    <t>MALAGA AEROSPACE, DEFENCE &amp; ELECTRONICS</t>
  </si>
  <si>
    <t>NAVANTIA S.A.,S.M.E.</t>
  </si>
  <si>
    <t>AUXITEL, S.L.</t>
  </si>
  <si>
    <t>PRODUCTOS INDUSTRIALES VAF S.L.</t>
  </si>
  <si>
    <t>KOLBI ELECTRONICA, S.A.</t>
  </si>
  <si>
    <t>P4Q ELECTRONICS, S.L.</t>
  </si>
  <si>
    <t>PURGADORES DE CONDENSADO, S.L.</t>
  </si>
  <si>
    <t>ROHDE &amp; SCHWARZ ESPANA, S.A.</t>
  </si>
  <si>
    <t>INELCOM TECHNOLOGY, S.L.</t>
  </si>
  <si>
    <t>BIZINTEK INGENIERIA Y DISEÑO DE PRODUCTO</t>
  </si>
  <si>
    <t>GMV SISTEMAS, S.A.U.</t>
  </si>
  <si>
    <t>ENCLAVAMIENTOS SENALIZACION FERROVIARIA</t>
  </si>
  <si>
    <t>INGENIERIA Y CONTROL FERROVIARIO,S.A.</t>
  </si>
  <si>
    <t>SATRONICS IBERIA, S.L.</t>
  </si>
  <si>
    <t>ZEITER MICROTECHNOLOGY, S.L.U.</t>
  </si>
  <si>
    <t>ARTEIXO TELECOM,S.A.</t>
  </si>
  <si>
    <t>EIIT, S.A.</t>
  </si>
  <si>
    <t>ESCRIBANO MECHANICAL &amp; ENGINEERING,</t>
  </si>
  <si>
    <t>INSELET, S.A.</t>
  </si>
  <si>
    <t>SETI ELECTRONICA, S.L.</t>
  </si>
  <si>
    <t>GUINAZ ELECTRONICA,S.L.</t>
  </si>
  <si>
    <t>3 BOBINADOS Y MONTAJES ELECTRONICA, S.A.</t>
  </si>
  <si>
    <t>INETUM ESPAÑA, S.A.U.</t>
  </si>
  <si>
    <t>CEBB CABLEADOS,S.L.</t>
  </si>
  <si>
    <t>TELTRONIC, S.A.</t>
  </si>
  <si>
    <t>AZKOYEN, S.A.</t>
  </si>
  <si>
    <t>TK ELEVATOR MANUFACTURING SPAIN SLU</t>
  </si>
  <si>
    <t>DAYCOM 2000, S.L.</t>
  </si>
  <si>
    <t>GLOBAL ZALMU, S.L.</t>
  </si>
  <si>
    <t>ACTIA SYSTEMS, S.A.U.</t>
  </si>
  <si>
    <t>APL. ELECTR. QUASAR, S.A.</t>
  </si>
  <si>
    <t>ALSTOM TRANSPORTE, S.A.U.</t>
  </si>
  <si>
    <t>JOFEMAR, S.A.</t>
  </si>
  <si>
    <t>CLOUD VENDING S.L</t>
  </si>
  <si>
    <t>SDAD.IBERICA DE CONSTRUCCIONES</t>
  </si>
  <si>
    <t>ALCOELECTRO,S.L.</t>
  </si>
  <si>
    <t>GRUPO SALLEN TECH, S.L.U</t>
  </si>
  <si>
    <t>ESCRIBANO MECHANICAL &amp; ENGINEERING, S.L.</t>
  </si>
  <si>
    <t>SEDECAL, S.A.</t>
  </si>
  <si>
    <t>IBYS TECNOLOGIES, S.A.</t>
  </si>
  <si>
    <t>ELECTRONICA CERLER, S.A.</t>
  </si>
  <si>
    <t>STEVEN JOHN NEAGAL</t>
  </si>
  <si>
    <t>FIBERNET, S.L.</t>
  </si>
  <si>
    <t>MICROELECTRONICA MASER, S.L.</t>
  </si>
  <si>
    <t>COLWAY 08 INDUSTRIAL, S.L.</t>
  </si>
  <si>
    <t>MIZAR HEALTH, S.L.</t>
  </si>
  <si>
    <t>ELAUSA ELECTRONICS, S.L</t>
  </si>
  <si>
    <t>HUMICONTROL, SL</t>
  </si>
  <si>
    <t>THALES ALENIA SPACE ESPAÑA,S.A</t>
  </si>
  <si>
    <t>COXPACE, ENGINEERING &amp; MANUFACTURING</t>
  </si>
  <si>
    <t>ZETES MULTICOM, S.A.</t>
  </si>
  <si>
    <t>ELATE,S.A</t>
  </si>
  <si>
    <t>LDA AUDIOTECH, S.L.</t>
  </si>
  <si>
    <t>AGUILERA ELECTRONICA, S.L.U.</t>
  </si>
  <si>
    <t>SAE-SISTEMAS DE AUTOMAçAO E ENERGIA, LTD</t>
  </si>
  <si>
    <t>MAHLE ELECTRONICS, S.L.U.</t>
  </si>
  <si>
    <t>ROMPAL INGENIEROS, S.A.</t>
  </si>
  <si>
    <t>LEONELLI, S.A.</t>
  </si>
  <si>
    <t>CONSORCIO PARA LA CONSTRUCCIÓN, EQUIPAMI</t>
  </si>
  <si>
    <t>ELECTRONICA SELCO, S.L.</t>
  </si>
  <si>
    <t>INGENIERIA VIESCA, S.L.</t>
  </si>
  <si>
    <t>KNORR-BREMSE ESPAÑA S.A.</t>
  </si>
  <si>
    <t>GMV AEROSPACE AND DEFENCE S.A.U</t>
  </si>
  <si>
    <t>SONIEM, S.L.</t>
  </si>
  <si>
    <t>SENER AEROESPACIAL, S.A.</t>
  </si>
  <si>
    <t>FABELEC, S.L.</t>
  </si>
  <si>
    <t>INDUSTRIAS BALMES, S.A.</t>
  </si>
  <si>
    <t>BARBERÁN S.A</t>
  </si>
  <si>
    <t>FUNDACION LANTEGI BATUAK</t>
  </si>
  <si>
    <t>INSYTE ELECTRONICS, S.A.</t>
  </si>
  <si>
    <t>ADELSYS ENDLESS POSSIBILITIES, S.L.</t>
  </si>
  <si>
    <t>PREMIUM, S.A.</t>
  </si>
  <si>
    <t>CLEMSA,S.A.</t>
  </si>
  <si>
    <t>TEF MONTAJES Y SERVICIOS S.L.</t>
  </si>
  <si>
    <t>INSERCIONES ELECTRONICAS INDUSTRIALES SL</t>
  </si>
  <si>
    <t>INGENIERIA INISIS, S.L.</t>
  </si>
  <si>
    <t>EDGEDX, S.A.</t>
  </si>
  <si>
    <t>QINERA BJ, S.C.C.L.</t>
  </si>
  <si>
    <t>TECNOBIT, S.L.U.</t>
  </si>
  <si>
    <t>PROYECMATICA, S.L.</t>
  </si>
  <si>
    <t>DISEÑOS METALICOS RAMSA, S.L.</t>
  </si>
  <si>
    <t>TEKA INDUSTRIAL,S.A.</t>
  </si>
  <si>
    <t>SITERJA-COMÉRCIO E INDUSTRIA DE EQUIPAME</t>
  </si>
  <si>
    <t>STARTIUN, S.L.</t>
  </si>
  <si>
    <t>SERVITRON, S.A.</t>
  </si>
  <si>
    <t>S.M. DEZAC, S.A.</t>
  </si>
  <si>
    <t>CABLEADOS ASJE, S.L.U.</t>
  </si>
  <si>
    <t>CABLING SYSTEM VALLADOLID S.L.</t>
  </si>
  <si>
    <t>GRUPO EPELSA, S.L.</t>
  </si>
  <si>
    <t>TECNOLOGIA ELECTRONICA Y DESARROLLO INDU</t>
  </si>
  <si>
    <t>SELT-INTEGRATED ASSEMBLING SOLUTIONS</t>
  </si>
  <si>
    <t>HV SISTEMAS, S.L.</t>
  </si>
  <si>
    <t>PROCESAMIENTO DIGITAL</t>
  </si>
  <si>
    <t>DINACELL ELECTRONICA, S.L.</t>
  </si>
  <si>
    <t>TECNATOM, S.A.</t>
  </si>
  <si>
    <t>INDUSTRIAS ZELU,S.L.</t>
  </si>
  <si>
    <t>SURTEL ELECTRONICA, S.L.</t>
  </si>
  <si>
    <t>ORBIS-TECNOLOGIA ELECTRICA, S.A.</t>
  </si>
  <si>
    <t>NABLA DESIGNS S.L.</t>
  </si>
  <si>
    <t>CSC ELECTRONIK, S.L.</t>
  </si>
  <si>
    <t>AICOX SOLUCIONES,S.A.</t>
  </si>
  <si>
    <t>TELKRON, S.A.</t>
  </si>
  <si>
    <t>MONEL-SIA, S.L.</t>
  </si>
  <si>
    <t>ASOCIACIÓN DE INVESTIGACIÓN METALÚRGICA</t>
  </si>
  <si>
    <t xml:space="preserve">TECNICAS DE ELECTRONICA Y </t>
  </si>
  <si>
    <t>EMPRESA ESPAÑOLA ELECTRONICA S.A.</t>
  </si>
  <si>
    <t>EUFRET CONTROL, S.L.</t>
  </si>
  <si>
    <t>PROSUTEL SISTEMAS, S.L.</t>
  </si>
  <si>
    <t>ELEKTRA CATALUNYA XXI, S.L.</t>
  </si>
  <si>
    <t>NOVOMATIC GAMING SPAIN, S.A.</t>
  </si>
  <si>
    <t>CIRCONTROL, S.A</t>
  </si>
  <si>
    <t>RBZ ROBOT DESIGN, S.L.</t>
  </si>
  <si>
    <t>AMPER SISTEMAS, S.A.</t>
  </si>
  <si>
    <t>NAVARCABLE, S.L.</t>
  </si>
  <si>
    <t>JOYFE, S.L.</t>
  </si>
  <si>
    <t>TRANSFORMACIONES METALICAS TESEMA, S.L.</t>
  </si>
  <si>
    <t>EPIDOR, S.A.U.</t>
  </si>
  <si>
    <t>OPTIMUS, S.A.</t>
  </si>
  <si>
    <t>INFOPYME COMUNICACIONES, S.L.</t>
  </si>
  <si>
    <t>WEMOB, S.L.L.</t>
  </si>
  <si>
    <t>CHINAKOR ELECTRONIC SYSTEMS(SUZHOU) Co.,</t>
  </si>
  <si>
    <t>DURAN ELECTRONICA, S.L.</t>
  </si>
  <si>
    <t>INDUSTRIAS ARIBELL, S.A.</t>
  </si>
  <si>
    <t>M2A FABRICACIONES ELECTRICAS, S.L.</t>
  </si>
  <si>
    <t>GTS THAUMAT XXI S.A.</t>
  </si>
  <si>
    <t>LEXEL FABRIKA LTD.</t>
  </si>
  <si>
    <t>CASTLES TECHNOLOGY SPAIN, S.L.</t>
  </si>
  <si>
    <t>MODEMSYS, S.L.</t>
  </si>
  <si>
    <t>BASQUECCAM</t>
  </si>
  <si>
    <t>MONTRONIC VIC, S.L.</t>
  </si>
  <si>
    <t>PREFIMETAL, S.A.</t>
  </si>
  <si>
    <t>CA INFRAESTRUCTURAS T&amp;I S.L.U</t>
  </si>
  <si>
    <t>PRODETEL SISTEMAS DE TELECOMUNICACI</t>
  </si>
  <si>
    <t>BIODATA DEVICES, S.L.</t>
  </si>
  <si>
    <t>CONSUEGRA S.COOP.LTDA.</t>
  </si>
  <si>
    <t>SOMELSA METÁLICA Y ELECTR.,SL</t>
  </si>
  <si>
    <t>GLOBAL DESIGN TECHNOLOGIES, S.L.</t>
  </si>
  <si>
    <t>2io Ingeniería Avanzada, S.L.</t>
  </si>
  <si>
    <t>IKOR SISTEMAS ELECTRONICOS, S.L.</t>
  </si>
  <si>
    <t>ENKOA SYSTEM, S.L.</t>
  </si>
  <si>
    <t>UPTECH SENSING, S.L.U.</t>
  </si>
  <si>
    <t>SIEMENS HEALTHINEERS AG</t>
  </si>
  <si>
    <t>WALLBOX CHARGERS, S.L.</t>
  </si>
  <si>
    <t>AERTEC SOLUTIONS, S.L.</t>
  </si>
  <si>
    <t>NEXT GENERATION RAIL TECHNOLOGIES S.L.</t>
  </si>
  <si>
    <t>ALGORITMOS PROCESOS Y DISEÑOS, S.A.</t>
  </si>
  <si>
    <t>GOMETRICS, S.L.</t>
  </si>
  <si>
    <t>ARGAPER,S.L.</t>
  </si>
  <si>
    <t>FINANCIERA MADERERA, S.A.</t>
  </si>
  <si>
    <t>TELEVES, S.A.U.</t>
  </si>
  <si>
    <t>INGETEAM POWER TECHNOLOGY, S.A.</t>
  </si>
  <si>
    <t>VALDEPINTO, S.L.</t>
  </si>
  <si>
    <t>ARRAY ELECTRONICA PROFESIONAL, S.A.</t>
  </si>
  <si>
    <t>INVENCIONA SOLUCIONES ELECTRONICAS, S.L.</t>
  </si>
  <si>
    <t>MANUFACTURAS ELECTRICAS Y CABLEADOS MEC,</t>
  </si>
  <si>
    <t>HMS INDUSTRIAL NETWORKS SLU</t>
  </si>
  <si>
    <t>DIGIPROCES, S.A.</t>
  </si>
  <si>
    <t>ELECTRONICA KELD, S.L.</t>
  </si>
  <si>
    <t>PROYECTOS INSTALACIONES Y</t>
  </si>
  <si>
    <t>ELECTRONICA MELGUI, S.L.</t>
  </si>
  <si>
    <t>AVALON INFORMÁTICA Y SERVICIOS, S.L.U.</t>
  </si>
  <si>
    <t>INSTALACIONES CABLEADOS Y</t>
  </si>
  <si>
    <t>FAYME2, S.L.</t>
  </si>
  <si>
    <t>DIOTRONIC, S.A.</t>
  </si>
  <si>
    <t>INGENIERIA Y SISTEMAS DEL CABLE, S.L.</t>
  </si>
  <si>
    <t>ENA TECNOLOGIA, S.L.</t>
  </si>
  <si>
    <t>SOMELECT, S.L.</t>
  </si>
  <si>
    <t>AUTOMATISMOS Y CONTROLES CON VERTA, S.L</t>
  </si>
  <si>
    <t>CHEMIK TARAZONA, S.L.</t>
  </si>
  <si>
    <t>SISTEMAS DE COMUNICACION Y SONIDO,S.A.L.</t>
  </si>
  <si>
    <t>CABLEADOS Y MONTAJES BANYOLES, S.L.U</t>
  </si>
  <si>
    <t>TESLA SPAIN SLU</t>
  </si>
  <si>
    <t>F. BOCOS, S.A.</t>
  </si>
  <si>
    <t>SOIMER TELECOMUNICACIONES, S.L.</t>
  </si>
  <si>
    <t>SIADDE SOLUCIONES, S.A.</t>
  </si>
  <si>
    <t>MECANIZADOS Y TÉCNICAS DE CABLEADO J.L.L</t>
  </si>
  <si>
    <t>ARAGONESA DE CABLEADO</t>
  </si>
  <si>
    <t>MECO, S.L.</t>
  </si>
  <si>
    <t>MARCOA, S.L.</t>
  </si>
  <si>
    <t>ELECTRONIC PRODUCT INTERNATIONAL REPRESE</t>
  </si>
  <si>
    <t>SOLUCIONES TÉCNICAS MTECH S.L.</t>
  </si>
  <si>
    <t>IBERNEX INGENIERIA, S.L.</t>
  </si>
  <si>
    <t>AL-FABRICA DE MATERIAL ELÉCTRICO, S.A.</t>
  </si>
  <si>
    <t>NTL LANBASE, S.L.U.</t>
  </si>
  <si>
    <t>DESARROLLO DE SISTEMAS DE CONTROL, S.L.</t>
  </si>
  <si>
    <t>ALMACENES ELÉCTRICOS VASCONGADOS, S.A.</t>
  </si>
  <si>
    <t>SUFEIN, S.L.</t>
  </si>
  <si>
    <t>KAB CONNECT UNIPESSOAL, Lda.</t>
  </si>
  <si>
    <t>SUPSONIK, S.L.</t>
  </si>
  <si>
    <t>ARVIMARINE CONTROL SYSTEMS, S.L.</t>
  </si>
  <si>
    <t>ARANCALO, S.L.</t>
  </si>
  <si>
    <t>ERREKA SMART FASTENING</t>
  </si>
  <si>
    <t>INNOVA POS , S.L.</t>
  </si>
  <si>
    <t>FUNDACIÓN ANDALUZA PARA EL DESARROLLO</t>
  </si>
  <si>
    <t>EASYCONTROL, S.L.</t>
  </si>
  <si>
    <t>EGI, S.A.</t>
  </si>
  <si>
    <t>JEMA ENERGY, S.A.</t>
  </si>
  <si>
    <t>SISTEMAS INTEGRADOS DE SERVICIOS TELECON</t>
  </si>
  <si>
    <t>ELECTRONICA J.GRANADO, S.L.</t>
  </si>
  <si>
    <t>INDIBA, S.A.</t>
  </si>
  <si>
    <t>SERVOSIS</t>
  </si>
  <si>
    <t>INTEGRACION INDUSTRIAL ELEKTRONIKA, S.L.</t>
  </si>
  <si>
    <t>COMERCIAL ELECTRONICA LEGANES,S.L.</t>
  </si>
  <si>
    <t>DISTRONICA, S.A.</t>
  </si>
  <si>
    <t>TELDAT, S.A.</t>
  </si>
  <si>
    <t>METRO DE MADRID, S.A.</t>
  </si>
  <si>
    <t>ROBERT BOSCH ESPAÑA</t>
  </si>
  <si>
    <t>PROYECTOS ELECTRONICOS DIAZ, S.A.</t>
  </si>
  <si>
    <t>PROTOTIPOS INDUSTRIALES, S.A.</t>
  </si>
  <si>
    <t>HERSILL, S.L.</t>
  </si>
  <si>
    <t>EGARATELEK, S.L.</t>
  </si>
  <si>
    <t>ISIS INGENIERIA Y SISTEMAS, S.L.</t>
  </si>
  <si>
    <t>IKB DESARROLLOS INDUSTRIALES, S.L.</t>
  </si>
  <si>
    <t>RAVENTOS Y BERNARD COMPONENTS, S.L.</t>
  </si>
  <si>
    <t>NOU ELECTRONIC COMPONENTS BARNA , S.L.</t>
  </si>
  <si>
    <t>ELEKTRA, S.A.</t>
  </si>
  <si>
    <t>V2V FACTORY, S.L.</t>
  </si>
  <si>
    <t>MERYTRONIC 2012, S.L.</t>
  </si>
  <si>
    <t>ALBENTIA SYSTEMS, S.A.</t>
  </si>
  <si>
    <t>CIRCUITOS IMPRESOS, S.A.</t>
  </si>
  <si>
    <t>HISPANICA DEL LED, S.L.</t>
  </si>
  <si>
    <t>INSTITUTO TECNOLOGICO DE CANARIAS</t>
  </si>
  <si>
    <t>TRANSPORTES URBANOS DE SEVILLA SA M (TUS</t>
  </si>
  <si>
    <t>EQUIPOS EUROPEOS ELECTRONICOS, S.A.</t>
  </si>
  <si>
    <t>EASY DETECT, S.L.</t>
  </si>
  <si>
    <t>GRI TOWERS SEVILLA, S.L.</t>
  </si>
  <si>
    <t>INDRA ESPACIO, S.L.U.</t>
  </si>
  <si>
    <t>JADEPARK SISTEMAS, S.L.</t>
  </si>
  <si>
    <t>ELECTRONICA MERCHAN,S.L.</t>
  </si>
  <si>
    <t>ZIV APLICACIONES Y TECNOLOGIA, S.L.</t>
  </si>
  <si>
    <t>TELLINK SISTEMAS DE COMUNICACION, S.L.</t>
  </si>
  <si>
    <t>ADVANCED TELECOMUNICATIONS LAMBDA,S.A.</t>
  </si>
  <si>
    <t>TECNICA 6000, S.L.</t>
  </si>
  <si>
    <t>IC NEURONIC S.L.</t>
  </si>
  <si>
    <t>NEXCON TELECOMUNICACIONES, S.L</t>
  </si>
  <si>
    <t>CENTRO INVESTIGACION ENERGETICO MEDIO AM</t>
  </si>
  <si>
    <t>GMV SOLUCIONES GLOBALES INTERNET S.A.</t>
  </si>
  <si>
    <t>REVENGA INGENIEROS, S.A.</t>
  </si>
  <si>
    <t>IMPETUX OPTICS, S.L.</t>
  </si>
  <si>
    <t>SANUBA MEDICAL TECHNOLOGIES, S.L.</t>
  </si>
  <si>
    <t>NEED TECHNOLOGY, S.L.</t>
  </si>
  <si>
    <t>MECANIZADOS FELPER, S.L.</t>
  </si>
  <si>
    <t>ICOMPPLUS ELECTRONICS,S.L.</t>
  </si>
  <si>
    <t>PROMAX TEST &amp; MEASUREMENT, S.L.U.</t>
  </si>
  <si>
    <t>HIDRAL S.A.</t>
  </si>
  <si>
    <t>ELECTRIFICACIONES LUMEN, S.A.</t>
  </si>
  <si>
    <t>PIERBURG, S.A.</t>
  </si>
  <si>
    <t>ANPASA SOLUCIONES TECNOLOG.  Y ELEC. SLU</t>
  </si>
  <si>
    <t>PLASTECH</t>
  </si>
  <si>
    <t>CENTRO DE LÁSERES PULSADOS</t>
  </si>
  <si>
    <t>DASEL, S.L.</t>
  </si>
  <si>
    <t>NAMROL MEDICAL, S.L.</t>
  </si>
  <si>
    <t>INPRO RESEARCH AND DEVELOPMENT, S.L.</t>
  </si>
  <si>
    <t>SACOPA, S.A.U.</t>
  </si>
  <si>
    <t>TEKNIATEST SOLUTIONS, S.A.</t>
  </si>
  <si>
    <t>AIRPES SIST.INT.MAN.Y PESAJE</t>
  </si>
  <si>
    <t>ON TESTING, SL</t>
  </si>
  <si>
    <t>SEA AND AIR TECHNOLOGY, S.L.</t>
  </si>
  <si>
    <t>ONA ELECTROEROSION, S.A.</t>
  </si>
  <si>
    <t>MARINE INSTRUMENTS, S.A.</t>
  </si>
  <si>
    <t>ALSTOM MOVILIDAD, S.L.</t>
  </si>
  <si>
    <t>ORTRAT, S.L.</t>
  </si>
  <si>
    <t>SISTEMAS MECANICOS PARA</t>
  </si>
  <si>
    <t>TRIOP ELECTRONICA, S.L.</t>
  </si>
  <si>
    <t>COMPAÑIA DE INSTRUMENTACION Y CONTROL, S</t>
  </si>
  <si>
    <t>OPTOMIC ESPANA.S.A.</t>
  </si>
  <si>
    <t>INTERNET PROTOCOLO LOGICA, S.L.</t>
  </si>
  <si>
    <t>INDECHAPA, S.A.</t>
  </si>
  <si>
    <t>MONTERO MORON, S.L.U.</t>
  </si>
  <si>
    <t>SOLUCIONES Y SERVICIOS, S.L.</t>
  </si>
  <si>
    <t>TK ELEVADORES ESPAÑA, S.L.U.</t>
  </si>
  <si>
    <t>FITTINGS, S.R.L</t>
  </si>
  <si>
    <t>CABLEADOS CECOIN, S.L.</t>
  </si>
  <si>
    <t>COGES S.A.P</t>
  </si>
  <si>
    <t>JOVITRONICA, LDA</t>
  </si>
  <si>
    <t>BORGWARNER EMISSIONS SYSTEMS SPAIN, S.L.</t>
  </si>
  <si>
    <t>TECAI INNOVA, S.L.</t>
  </si>
  <si>
    <t>DOSIFICACION Y SISTEMAS ELECTRONICOS,S.L</t>
  </si>
  <si>
    <t>ARAGON PHOTONICS LABS S.L.U.</t>
  </si>
  <si>
    <t>SEPSAMEDHA, S.L.U.</t>
  </si>
  <si>
    <t>CRISTAL AQUA, DESINFECCION Y</t>
  </si>
  <si>
    <t>TECHNICA ELECTRONICS BARCELONA,SL</t>
  </si>
  <si>
    <t>AMPACIMON, S.L.U.</t>
  </si>
  <si>
    <t>FUNDACION CENTRO DE TECNOLOGIA DE I</t>
  </si>
  <si>
    <t>SABO MADRID MACHINERY, SRL</t>
  </si>
  <si>
    <t xml:space="preserve">OMMATIDA LIDAR SL </t>
  </si>
  <si>
    <t>ISEMAREN E&amp;GR S.L.U</t>
  </si>
  <si>
    <t>AIRTIFICIAL AEROSPACE &amp; DEFENSE ENGINEER</t>
  </si>
  <si>
    <t>COMPUTADORES MODULARES, S.A.</t>
  </si>
  <si>
    <t>MONDESGAR, S.L.</t>
  </si>
  <si>
    <t>ARCO ELECTRONICA, S.A.</t>
  </si>
  <si>
    <t>ELECTRONICA LOSDEL, S.L.</t>
  </si>
  <si>
    <t>CONEXIONADOS Y MONTAJES</t>
  </si>
  <si>
    <t>EURO SMC, S.A.</t>
  </si>
  <si>
    <t>PATENTES TALGO, S.L.U.</t>
  </si>
  <si>
    <t>AGUILERA EXTINCION, S.L.</t>
  </si>
  <si>
    <t>PROTOINSA SERVICIOS INTEGRALES, S.A.</t>
  </si>
  <si>
    <t>IRVIA MANTENIMIENTO FERROVIARIO, S.A.</t>
  </si>
  <si>
    <t>ICFO-INSTITU DE CIÉNCIES FOTÓNIQUES</t>
  </si>
  <si>
    <t>GLACERA, S.L.</t>
  </si>
  <si>
    <t>R-COL DIGITAL DEVELOPMENT, S.L.</t>
  </si>
  <si>
    <t>MATRIZ ACTIVA-SOLUÇOES MULTIMEDIA, LDA.</t>
  </si>
  <si>
    <t>VIGOTEC, S.L.</t>
  </si>
  <si>
    <t>WAVECONTROL, S.L</t>
  </si>
  <si>
    <t>IDEIAS CONTÍGUAS LDA</t>
  </si>
  <si>
    <t xml:space="preserve">ASTURIANA DE DESARROLLOS INFORMÁTICOS Y </t>
  </si>
  <si>
    <t>EMS SLU</t>
  </si>
  <si>
    <t>X.B. COMPONENTES, S.A.</t>
  </si>
  <si>
    <t>COMERCIAL SINSES AUTO, S.L.</t>
  </si>
  <si>
    <t>SAINSEL SISTEMAS NAVALES,S.A.U, S.M</t>
  </si>
  <si>
    <t>MASTRAFO, S.L.</t>
  </si>
  <si>
    <t>EMA ESTETICA PROFESIONAL, S.L.</t>
  </si>
  <si>
    <t>EUREKA SOLUCIONES S.L.</t>
  </si>
  <si>
    <t>NARRANZ SOLUCIONES, S.L.</t>
  </si>
  <si>
    <t>SERVINTEG ELECTRONICA, S.L.</t>
  </si>
  <si>
    <t>ELECTRONICA EMBAJADORES, S.L.</t>
  </si>
  <si>
    <t>PROTELECT TRANSFORMADOS SAL</t>
  </si>
  <si>
    <t>MEJORAS ENERGETICAS DE</t>
  </si>
  <si>
    <t>PROMAEL SUMINISTROS ELÉCTRICOS S.L.</t>
  </si>
  <si>
    <t>MICELECT, S.L.</t>
  </si>
  <si>
    <t>AERONAUTICA,INGENIERIA,E.RENOVABLES</t>
  </si>
  <si>
    <t>GENERATION RFID, S.L.</t>
  </si>
  <si>
    <t>MARCAJES GALAN, S.L</t>
  </si>
  <si>
    <t>ROHDE &amp; SCHWARZ Colombia, S.A.S.</t>
  </si>
  <si>
    <t>FUND.PARA LA PROMOC.DE LA INNOVACION,INV</t>
  </si>
  <si>
    <t>EASYPOINT-ENGINEERING AND INNOVATION, LD</t>
  </si>
  <si>
    <t>NORTRAFIC. S.L.</t>
  </si>
  <si>
    <t>ICON INGENIEROS, S.L.</t>
  </si>
  <si>
    <t>INTIMUS CASH AND PAYMENT SOLUTIONS,S.L.U</t>
  </si>
  <si>
    <t>OSATU, S.COOP.</t>
  </si>
  <si>
    <t>DELTA DISCOM, S.L.</t>
  </si>
  <si>
    <t>JOAQUÍN MARTÍNEZ, S.L.</t>
  </si>
  <si>
    <t>TAMEPA, S.A.</t>
  </si>
  <si>
    <t>SETA PH TECHNOLOGY, S.L.</t>
  </si>
  <si>
    <t>GONVARRI SOLAR STEEL, S.L.U.</t>
  </si>
  <si>
    <t>OBSERVATORIO DE ESTUDIOS GLOBALES</t>
  </si>
  <si>
    <t>POWER2U-ENERGY S.L</t>
  </si>
  <si>
    <t>AZKOGAMES, S.L.</t>
  </si>
  <si>
    <t>VENTIJET HEALTH TECHNOLOGY, S.L.</t>
  </si>
  <si>
    <t>ZONYX TECH S.L.U</t>
  </si>
  <si>
    <t>VERTIV SPAIN, S.A.</t>
  </si>
  <si>
    <t>MONOCROM, S.L.</t>
  </si>
  <si>
    <t>BILBAO ELECTRONICA, S.A.</t>
  </si>
  <si>
    <t>RGB MEDICAL DEVICES, S.A.</t>
  </si>
  <si>
    <t>SISTEMAS AUDIOVISUALES ITELSIS SL</t>
  </si>
  <si>
    <t>INGENIERIA DE CONTROL Y ELECTRICIDAD, S.</t>
  </si>
  <si>
    <t>SISTIAGA LASA VENDING GROUP,S.L.</t>
  </si>
  <si>
    <t>EGATEL, S.L.</t>
  </si>
  <si>
    <t>JUMO CONTROL, S.A</t>
  </si>
  <si>
    <t>RECTICUR, S.L.</t>
  </si>
  <si>
    <t>EUROSEQUITUR, S.L.</t>
  </si>
  <si>
    <t>SISTEMAS DE IDENTIFICACION Y MECANISMOS,</t>
  </si>
  <si>
    <t>CUSTOS MOBILE, S.L.</t>
  </si>
  <si>
    <t>GITEC-CONTROL, S.L.</t>
  </si>
  <si>
    <t>TEYDE 2010 S.L.U.</t>
  </si>
  <si>
    <t>DINAMI-K INGENIERIA, S.L.</t>
  </si>
  <si>
    <t>ANTENNA SYSTEMS SOLUTIONS, S.L. (ASYSOL)</t>
  </si>
  <si>
    <t>ROSETTA TECHNOLOGY SOLUTIONS, S.L.</t>
  </si>
  <si>
    <t>CANARIAS TABACO VENDING,S.L.</t>
  </si>
  <si>
    <t>SERCOBA BATERIAS, S.L.</t>
  </si>
  <si>
    <t>ATISOLUCIONES DISEÑO DE SISTEMAS S.L.</t>
  </si>
  <si>
    <t>CONATEC, S.A.L.</t>
  </si>
  <si>
    <t>ENCORE REAL TIME ESPAÑA, S.A.</t>
  </si>
  <si>
    <t>CORESYS HEALTH, S.L.</t>
  </si>
  <si>
    <t>ELIOS TEC, S.L.</t>
  </si>
  <si>
    <t>CONSEJO SUPERIOR DE INVESTIGACIONES CIEN</t>
  </si>
  <si>
    <t>MIGUEL ALBERTO PÉREZ PÉREZ</t>
  </si>
  <si>
    <t>MADRID AVANCED TESTING TECHNOLOGIES S.L.</t>
  </si>
  <si>
    <t>ENGLOBE TECHNOLOGIES &amp;SYSTEMS S.L.</t>
  </si>
  <si>
    <t>GRUPO ELECTRO STOCKS, S.L.U.</t>
  </si>
  <si>
    <t>XIP SOLUCIONS, S.L.U.</t>
  </si>
  <si>
    <t>DIRECCIÓN GENERAL DEL INST.GEOGRÁFICO NA</t>
  </si>
  <si>
    <t>APLICACIONES ELECTRONICAS Y DE</t>
  </si>
  <si>
    <t>COMPONENTES Y ALMACÉN ELECTRÓNICO S.L.</t>
  </si>
  <si>
    <t>ADVANCED RADAR TECHNOLOGIES, S.A.</t>
  </si>
  <si>
    <t>GRP ILUMINACION, S.A.</t>
  </si>
  <si>
    <t>BPI Batteries, S.L.</t>
  </si>
  <si>
    <t>SINSES TECHNOLOGY S.L</t>
  </si>
  <si>
    <t>APUS GLOBAL, S.L.</t>
  </si>
  <si>
    <t>VIRTUS INSTALACIONES, S.L.U.</t>
  </si>
  <si>
    <t>QPLOX ENGINEERING</t>
  </si>
  <si>
    <t>GRUPO QUERO JC-ELECTRONICS SPAIN, S.L.</t>
  </si>
  <si>
    <t>TECNOLOGÍA Y SOLUCIONES DE INSTRU. S.L.</t>
  </si>
  <si>
    <t>DAVI INGENIERIA Y PROYECTOS, S.L.</t>
  </si>
  <si>
    <t>TECNOLOGIAS PARA SANEAMIENTO SL</t>
  </si>
  <si>
    <t>SINATEC ELECTRONICS, S.L.</t>
  </si>
  <si>
    <t>MEDLUMICS</t>
  </si>
  <si>
    <t>MHP SERVICIOS DE CONTROL, S.L.</t>
  </si>
  <si>
    <t>GREENFRIO SISTEMAS DE REFRIGERACION, S.L</t>
  </si>
  <si>
    <t>NORPOO,S.L.</t>
  </si>
  <si>
    <t>PROYECTOS INTEGRALES DE BALIZAMIENTO SL</t>
  </si>
  <si>
    <t>MULTI-INFORMATICA PRINCIPADO,S.L.</t>
  </si>
  <si>
    <t>INICIATIVAS ENERGETICAS DEL SUR SL</t>
  </si>
  <si>
    <t>ADARCE GESTIÓN DE ACTIVOS Y CONSULT. S.L</t>
  </si>
  <si>
    <t>INICIA TECNOLOGIA, S.L.U.</t>
  </si>
  <si>
    <t>MUNIELLO ELECTRICIDAD S.A.</t>
  </si>
  <si>
    <t>DISEÑOS ELECTRÓNICOS E INFORMATICOS</t>
  </si>
  <si>
    <t>AF ELECTRONICA,S.L.</t>
  </si>
  <si>
    <t>ARATECK ELECTRONICS</t>
  </si>
  <si>
    <t>INSTER TECNOLOGIA Y COMUNICACIONES, S.A.</t>
  </si>
  <si>
    <t>FACTRON, S.A.</t>
  </si>
  <si>
    <t>SYSPRO AUTOMATION S.L.U.</t>
  </si>
  <si>
    <t>INSTITUTO DE ASTROFISICA DE CANARIAS</t>
  </si>
  <si>
    <t>ELEC.INTEGRAL DE SONIDO, S.A.</t>
  </si>
  <si>
    <t>TELECONTRON, S.L.</t>
  </si>
  <si>
    <t>A.S.P.ELECTRONIC INSTRUMENTACION, S.L.</t>
  </si>
  <si>
    <t>CAF SIGNALLING, S.L.</t>
  </si>
  <si>
    <t>MARIA DOLORES BOHORQUEZ VEGA  (TECNOWELL</t>
  </si>
  <si>
    <t>MASDEDIAGRAM, S.L.</t>
  </si>
  <si>
    <t>SARVER, S.L.</t>
  </si>
  <si>
    <t>ELGAMA DE MECANIZADOS, S.A.U.</t>
  </si>
  <si>
    <t>ANTA NORTE, S.L.</t>
  </si>
  <si>
    <t>RIOMANZANAS S.L.</t>
  </si>
  <si>
    <t>TECNICAS DE SOFT, S.A.</t>
  </si>
  <si>
    <t>ELDISA, S.L.</t>
  </si>
  <si>
    <t>DESARROLLOS METÁLICOS MAGAAL</t>
  </si>
  <si>
    <t>JOSE MANUEL LOPEZ GIL</t>
  </si>
  <si>
    <t>EKIDE S.L</t>
  </si>
  <si>
    <t>SYSTEMILEC WEALTH, S.L.U</t>
  </si>
  <si>
    <t>VAZQUEZ Y TORRES INGENIERIA SL</t>
  </si>
  <si>
    <t>BEPE POPU</t>
  </si>
  <si>
    <t xml:space="preserve"> JUAN GONZALEZ TUREGANO</t>
  </si>
  <si>
    <t>FUNDACION IDONIAL</t>
  </si>
  <si>
    <t>SKIDATA IBERICA, S.A.</t>
  </si>
  <si>
    <t>SONEPAR IBERICA SPAIN, S.A.U</t>
  </si>
  <si>
    <t>AGROCONECTA S.L.</t>
  </si>
  <si>
    <t>MECANIZADOS IMATEC, S.L.</t>
  </si>
  <si>
    <t>GEDLUX SISTEMAS DE CONTROL, S.L.</t>
  </si>
  <si>
    <t>CONTELEC ALCALA, S.L.</t>
  </si>
  <si>
    <t>RECREATIVOS FRANCO, S.A.U.</t>
  </si>
  <si>
    <t>PENTAMATIK SCP</t>
  </si>
  <si>
    <t>C.ESPECIAL EMPLEO APTA, S.L.</t>
  </si>
  <si>
    <t>ELEKOTECNOLOGIA E INNOVACION,S.L.</t>
  </si>
  <si>
    <t>TROVAN IBÉRICA, S.L.</t>
  </si>
  <si>
    <t>SISMO SOLUCIONES, S.L.</t>
  </si>
  <si>
    <t>INDUSTRIA DE TURBO PROPULSORES S.A.</t>
  </si>
  <si>
    <t>AGPM COMPUTERS TRES CANTOS, S.L.</t>
  </si>
  <si>
    <t>FAVRAM, S.L.</t>
  </si>
  <si>
    <t>RADE TECNOLOGIAS, S.L.</t>
  </si>
  <si>
    <t>METÁLICAS LÓPEZ RENDO S.L.</t>
  </si>
  <si>
    <t>NOVELEC MADRID INDUSTRIA Y TECNOLOGIA, S</t>
  </si>
  <si>
    <t>ELECTRONICA Y COMUNICACIONES DEL NOROEST</t>
  </si>
  <si>
    <t>ELECTRONIC SUMINISTROS ELÉCTRICOS S.L.</t>
  </si>
  <si>
    <t>CONECTROL, S.A.</t>
  </si>
  <si>
    <t>CENTRO DE ENSAYOS Y ANALISIS CETEST, S.L</t>
  </si>
  <si>
    <t>GRAN TELESCOPIO DE CANARIAS, S.A.</t>
  </si>
  <si>
    <t>TECYGES, S.L.</t>
  </si>
  <si>
    <t>DISCOEL, S.L.</t>
  </si>
  <si>
    <t>INSTALACIONES Y ARTÍCULOS PARA EL TIRO,</t>
  </si>
  <si>
    <t>SOVEMATIC, S.L.</t>
  </si>
  <si>
    <t>INGENIERIA INFORMATICA Y</t>
  </si>
  <si>
    <t>FRANCISCO LORIENTE BELTRAN</t>
  </si>
  <si>
    <t>INTEGRATED ELECTRONICS DEVELOPMENT SLU</t>
  </si>
  <si>
    <t>INSTITUTRADIOASTRONOMIEMILLIMETR</t>
  </si>
  <si>
    <t>UARX SPACE, SL</t>
  </si>
  <si>
    <t>SERIGRAFIAS ALSAN, S.L.</t>
  </si>
  <si>
    <t>ASON ELECTRONICA AERONAUTICA, S.A.</t>
  </si>
  <si>
    <t>ANTONIO ARNAIZ LAGO</t>
  </si>
  <si>
    <t>IND.DE APLICACION DE PINTURAS,S.A.</t>
  </si>
  <si>
    <t>ELSON ELECTRONICA, S.A.</t>
  </si>
  <si>
    <t>TTI NORTE SL.</t>
  </si>
  <si>
    <t>NEXTFOR, S.A.</t>
  </si>
  <si>
    <t>STAR ELECTRONICA, S.L.</t>
  </si>
  <si>
    <t>DR REPRESENTACIONES, S.L.</t>
  </si>
  <si>
    <t>NOEL BOUZO DOMINGUEZ</t>
  </si>
  <si>
    <t>NEVATEC INNOVATION TECHNOLOGIES, S.L.</t>
  </si>
  <si>
    <t>SPARKS, CIRCUITS AND ROBOTICS, S.L.</t>
  </si>
  <si>
    <t>EASYCOM SISTEMI SRL</t>
  </si>
  <si>
    <t>BOMBEATEC SL</t>
  </si>
  <si>
    <t xml:space="preserve"> AWEN ENGINEERING SERVICES, S.L.</t>
  </si>
  <si>
    <t>IVAN DIAZ PEREZ</t>
  </si>
  <si>
    <t>CONEXIONES Y MONTAJES, S.L.</t>
  </si>
  <si>
    <t>SURINFO CADIZ S.L.</t>
  </si>
  <si>
    <t>ELECON MONTAJES ELECTRÓNICOS, S.L.</t>
  </si>
  <si>
    <t>S.A.E. IBERTEST, S.A.</t>
  </si>
  <si>
    <t>JOSALPE SL</t>
  </si>
  <si>
    <t>ON DEMAND FACILITIES, S.L. ODF ENERGIA</t>
  </si>
  <si>
    <t>G.T.G. INGENIEROS, S.L.</t>
  </si>
  <si>
    <t>BY TECHDESING,S.L.</t>
  </si>
  <si>
    <t>TÉCNICAS DE FIJACIÓN MECÁNICA, S.A.</t>
  </si>
  <si>
    <t>EVER SMART TECHNOLOGIES, S.L.</t>
  </si>
  <si>
    <t>DESARROLLO E INTEGRACION DE SISTEMAS DE</t>
  </si>
  <si>
    <t>BILANAGRICOLA S.L</t>
  </si>
  <si>
    <t>LUCMA METALISTERÍA SL</t>
  </si>
  <si>
    <t>CARTTEC</t>
  </si>
  <si>
    <t>CORPORACION EMPRESARIAL ALTRA, S.L.</t>
  </si>
  <si>
    <t>ELECNAVAR, S.L.</t>
  </si>
  <si>
    <t>ELECTRÓNICA EUTIMIO, SL</t>
  </si>
  <si>
    <t>FULLSTEPNETWORKS,S.A.</t>
  </si>
  <si>
    <t>ENESO TECNOLOGÍA DE ADAPTACIÓN S.L.</t>
  </si>
  <si>
    <t>ELECTRONIC TRAFIC, S.A.</t>
  </si>
  <si>
    <t>SIRTRONIC 2000, S.L.</t>
  </si>
  <si>
    <t>TIERRA TECH, S.L.</t>
  </si>
  <si>
    <t>SUMINISTROS INDUSTRIALES AEROPOLIS S.L.</t>
  </si>
  <si>
    <t>TOFICONI, S.L.</t>
  </si>
  <si>
    <t>MONTECIR, S.A.</t>
  </si>
  <si>
    <t>SEDECAL MOLECULAR IMAGING, S.L.U.</t>
  </si>
  <si>
    <t>SUMINISTROS, FRESADOS Y GRABADOS, S.L.</t>
  </si>
  <si>
    <t>GMV INNOVATING SOLUTIONS, S.L.</t>
  </si>
  <si>
    <t>SUMINISTROS ANTONIO LUNA E HIJOS, S.L.</t>
  </si>
  <si>
    <t>DISELEC ELECTRONICA,S.L.</t>
  </si>
  <si>
    <t>DATAPROF ESPAÑA, S.A.</t>
  </si>
  <si>
    <t>ALMACENES ELECTR.MADRILEÑOS,SA</t>
  </si>
  <si>
    <t>ETRALUX, S.A.</t>
  </si>
  <si>
    <t>TECNOLOGIA GPS,S.A.</t>
  </si>
  <si>
    <t>ENAIRE</t>
  </si>
  <si>
    <t>DISEÑO E INGENIERIA DE PROYECTOS ELECTR.</t>
  </si>
  <si>
    <t>MCN ELEA SOLUCIONES, S.L.</t>
  </si>
  <si>
    <t>COMP.ELECTR.POSAN, S.L.</t>
  </si>
  <si>
    <t>COMERCIAL VDR, S.L.</t>
  </si>
  <si>
    <t>LUJISA, S.A.</t>
  </si>
  <si>
    <t xml:space="preserve"> COELSA ELECTRONICA, S.A.</t>
  </si>
  <si>
    <t>INVELCO, S.A.</t>
  </si>
  <si>
    <t>ADASOL ELECTRONICA,S.L.</t>
  </si>
  <si>
    <t>SEAC</t>
  </si>
  <si>
    <t>SA DE CONSTRUCCIONES INDUSTRIALES</t>
  </si>
  <si>
    <t>EXPAL SYSTEMS, S.A.</t>
  </si>
  <si>
    <t>ALSSON INGENIERIA, S.L.</t>
  </si>
  <si>
    <t>SISTENA, S.A.</t>
  </si>
  <si>
    <t>SISTEMAS Y MONTAJES INDUSTRIALES, S.A.</t>
  </si>
  <si>
    <t>MADRITONIC, S.L.</t>
  </si>
  <si>
    <t>MICROTEST, S.A.</t>
  </si>
  <si>
    <t>SCP, S.A.</t>
  </si>
  <si>
    <t>RCM SUMINISTROS ELECTRICOS, S.L.</t>
  </si>
  <si>
    <t>ELAX,S.L.</t>
  </si>
  <si>
    <t>GAMBOA FIRMWARE, S.L.</t>
  </si>
  <si>
    <t>EGALSA, S.A.</t>
  </si>
  <si>
    <t>COMERCIAL ELECTRO INDUSTRIAL S.A.</t>
  </si>
  <si>
    <t>SAPEC, S.A.</t>
  </si>
  <si>
    <t>EQUIPOS INDUSTRIALES DE MANUTENCION S.A.</t>
  </si>
  <si>
    <t>BEN-RI ELECTRONICA, S.A.</t>
  </si>
  <si>
    <t>CABLEADOS Y CONEXIONES, S.L.</t>
  </si>
  <si>
    <t>CABLEADOS INDUSTRIALES MADRILEÑOS,S.L.</t>
  </si>
  <si>
    <t>CIAL.ELECTR.TRES CANTOS S.A.</t>
  </si>
  <si>
    <t>FRANCISCO MANGAS ZARDAIN</t>
  </si>
  <si>
    <t>EMPLEADOS</t>
  </si>
  <si>
    <t>ISDE</t>
  </si>
  <si>
    <t>APLICACIONES Y MONTAJES DE</t>
  </si>
  <si>
    <t>TECNOLOGIASERVICIOSYSOLUCIONEST</t>
  </si>
  <si>
    <t>SAC MAKER, S.A.U.</t>
  </si>
  <si>
    <t>PROCESS INTEGRAL DEVELOPMENT</t>
  </si>
  <si>
    <t>AUTEL SISTEMS, S.L.</t>
  </si>
  <si>
    <t>AUTOMATISMOS ALPE, S.L.</t>
  </si>
  <si>
    <t>ALBALA INGENIEROS, S.A.L.</t>
  </si>
  <si>
    <t>ALWAYS ON ELECTRONICA APLICADA, S.L.</t>
  </si>
  <si>
    <t xml:space="preserve"> LUMENARA SIC, S.L.</t>
  </si>
  <si>
    <t>SATEL SPAIN, S.L.</t>
  </si>
  <si>
    <t>MEGACAL INSTRUMENTS IBERICA,SL</t>
  </si>
  <si>
    <t>TECNOLOGIA Y TRADUCCION, S.L.</t>
  </si>
  <si>
    <t>INSYTE POWER SYSTEMS, S.A.</t>
  </si>
  <si>
    <t>INGENIERIA Y CONSULTORIA PARA EL</t>
  </si>
  <si>
    <t>MONTAJES Y CABLEADOS CASTILLA, S.L.</t>
  </si>
  <si>
    <t>EPICOM,S.A.</t>
  </si>
  <si>
    <t>XILEK, S.L.L.</t>
  </si>
  <si>
    <t>JVV GRUP, MONTAJE Y DESARROLLO</t>
  </si>
  <si>
    <t>SOB Schurter OKW DO BRASIL LTDA</t>
  </si>
  <si>
    <t>CERC INGENIERIA,S.L.</t>
  </si>
  <si>
    <t>PROJECT QUALITY CONTROL, S.L.</t>
  </si>
  <si>
    <t>OMAC Sales Ltd.</t>
  </si>
  <si>
    <t>CLOMATE,S.L.</t>
  </si>
  <si>
    <t>TRACCION Y MINERIA,S.A.</t>
  </si>
  <si>
    <t>INGENIERIA Y SIST.DE ENSAYOS NO DESTRUCT</t>
  </si>
  <si>
    <t>DAVID ALOY LLEONART</t>
  </si>
  <si>
    <t>VICTOR GARCIA JIMENEZ</t>
  </si>
  <si>
    <t>EMAYOR SYNERSIGHT TECHNOLOGIES, S.L.U.</t>
  </si>
  <si>
    <t>AMMI TECHNOLOGIES, S.L.</t>
  </si>
  <si>
    <t>ELECTRONICA MOLGAR,S.A.</t>
  </si>
  <si>
    <t>TCX MICRO, S.L.</t>
  </si>
  <si>
    <t>EQUINSA PARKING, S.L.</t>
  </si>
  <si>
    <t>MONTAJES ELECTRONICOS ALCAVI,S.L.</t>
  </si>
  <si>
    <t>CONNECTA, S.L.</t>
  </si>
  <si>
    <t>CAME PARKARE GROUP, S.L.</t>
  </si>
  <si>
    <t>DETNOV SECURITY, S.L.</t>
  </si>
  <si>
    <t>NITAX, S.A.</t>
  </si>
  <si>
    <t xml:space="preserve"> COMERCIAL COCAMATIC, S.A.</t>
  </si>
  <si>
    <t>AEC, S.A.</t>
  </si>
  <si>
    <t>RICARDO ALONSO HERNANDEZ</t>
  </si>
  <si>
    <t>XP 27, S.L.</t>
  </si>
  <si>
    <t>LAFCARR PROJECT &amp; DESIGN, S.L.</t>
  </si>
  <si>
    <t>RAY INGENIERIA ELECTRONICA  S.L.</t>
  </si>
  <si>
    <t>BOBINADOS OSES, S.L.</t>
  </si>
  <si>
    <t>ZENNIO AVANCE Y TECNOLOGIA,S.L</t>
  </si>
  <si>
    <t>FIDES ELECTRONICA, S.L.</t>
  </si>
  <si>
    <t xml:space="preserve"> INGEN10 INGENIERIA, S.L.</t>
  </si>
  <si>
    <t xml:space="preserve"> Flextronics Electronics Technology(</t>
  </si>
  <si>
    <t>ATLANTIS GLOBAL SYSTEM, S.L.U.</t>
  </si>
  <si>
    <t>WADAX, S.A.</t>
  </si>
  <si>
    <t>SEPSA - ALBATROS North America</t>
  </si>
  <si>
    <t>QUADTEL MONTAGENS ELÉCTRICAS LDA.</t>
  </si>
  <si>
    <t>EGASA DISTRIBUCION. S.L.</t>
  </si>
  <si>
    <t>ORBITALSISTEMASAEROESPACIALES,S.</t>
  </si>
  <si>
    <t>INTERMEDIC ARFRAN S.A.</t>
  </si>
  <si>
    <t>ALMISALA, S.L.</t>
  </si>
  <si>
    <t>COMPAÑIA ESPAÑOLA DE INSTRUMENTOS ELECTR</t>
  </si>
  <si>
    <t>EMULTRON, S.L.</t>
  </si>
  <si>
    <t xml:space="preserve"> AESA - ARAGONESA DE EQUIPAMIENTO, S</t>
  </si>
  <si>
    <t>UNILED ILUMINACION ,S.L.</t>
  </si>
  <si>
    <t>ESTHER GARCÍA CASTELLÁ</t>
  </si>
  <si>
    <t>CUADROS MANIOBRAS Y AUTOMATISMOS S.L.</t>
  </si>
  <si>
    <t>AR ELECTRONICS SOLUTIONS SL</t>
  </si>
  <si>
    <t>SONIGATE, LDA</t>
  </si>
  <si>
    <t>CAPENERGY MEDICAL, S.L.</t>
  </si>
  <si>
    <t>DUPLEX ELEVACION, S.L.</t>
  </si>
  <si>
    <t>CONECTORIZACIONES DE FIBRA OPTICA, S.A.</t>
  </si>
  <si>
    <t>Zollner Electronic Taicang Co., Ltd.</t>
  </si>
  <si>
    <t>FASECOL,S.A.S</t>
  </si>
  <si>
    <t>JOAO R.MATOS, S.A.</t>
  </si>
  <si>
    <t>TELEDYNE INNOVACIONES MICROLECTRÓNICAS,</t>
  </si>
  <si>
    <t>JOSE LUIS BRAVO JIMÉNEZ</t>
  </si>
  <si>
    <t>GENERAL ELEVADORES XXI, S.L.</t>
  </si>
  <si>
    <t>ANGLES TEXTIL, S.A.</t>
  </si>
  <si>
    <t>UNION TECNÓLOGICA NOXIUM, S.L.</t>
  </si>
  <si>
    <t>ACE BUSINESS GROUP INTERNATIONAL, S.A.</t>
  </si>
  <si>
    <t>MONTAGEN &amp; KABELTECHNIK, S.L.</t>
  </si>
  <si>
    <t>METROHM DROPSENS,S.L.</t>
  </si>
  <si>
    <t>INNOWATER, S.L.</t>
  </si>
  <si>
    <t>SISTEMAS DE DOSIFICACIÓN Y MEDICION, DOS</t>
  </si>
  <si>
    <t>CLAITEC</t>
  </si>
  <si>
    <t>NOVATION SECURITY SYSTEMS, S.L.</t>
  </si>
  <si>
    <t>IronTech Solutions, S.L.</t>
  </si>
  <si>
    <t>Circuitos Impresos Paredes, S.L.</t>
  </si>
  <si>
    <t>JOSE MANUEL RUEDA MARTÍN</t>
  </si>
  <si>
    <t>LACROIX CITY MADRID, S.A.U.</t>
  </si>
  <si>
    <t>SELBA SOLUTIONS, S.L.U.</t>
  </si>
  <si>
    <t>DAVOS LAB, S.L.</t>
  </si>
  <si>
    <t>ACM LiGHTING TECHNOLOGY S.L.</t>
  </si>
  <si>
    <t xml:space="preserve"> MONTAJES MEDYP,SL</t>
  </si>
  <si>
    <t>NOVATION IT SYSTEMS, S.L.</t>
  </si>
  <si>
    <t xml:space="preserve"> JUAN ROS FLORENZA</t>
  </si>
  <si>
    <t>EDI ELECTRONICA SOCIETAT LIMITADA</t>
  </si>
  <si>
    <t>CORPORACIÓN ALIMENTARIA GUISSONA, S.A.</t>
  </si>
  <si>
    <t>SETTING COST, S.L.</t>
  </si>
  <si>
    <t>JESUS MANUEL CONEJO SARABIA</t>
  </si>
  <si>
    <t>COMPONENTES ARES, S.L.</t>
  </si>
  <si>
    <t xml:space="preserve"> AUDIOBUS, S.L.</t>
  </si>
  <si>
    <t>CENTREDESALUTBERGUEDA</t>
  </si>
  <si>
    <t>STRELIAELECTROTECNIAS.COOP.GALEGA</t>
  </si>
  <si>
    <t>BLUNIK CHRONO SYSTEM, S.L.</t>
  </si>
  <si>
    <t>HUMITAT-STOP, S.L.</t>
  </si>
  <si>
    <t>IMPORTACIONES INDUSTRIALES, S.A.</t>
  </si>
  <si>
    <t>CAYATA, S.L.</t>
  </si>
  <si>
    <t>STB MARCADORES BARCELONA, S.L.</t>
  </si>
  <si>
    <t>GRUPO PRILUX ILUMINACIÓN SLU</t>
  </si>
  <si>
    <t>IPTESPAIN,S.L.U.</t>
  </si>
  <si>
    <t>OCTÉ ELECTRIC, S.A.U</t>
  </si>
  <si>
    <t>FUNDACION UNIVERSIDAD DE OVIEDO</t>
  </si>
  <si>
    <t>ASTER ELETTRONICA SRL</t>
  </si>
  <si>
    <t>WEAS, Unipessoal Lda.</t>
  </si>
  <si>
    <t>INGOEL, S.C.</t>
  </si>
  <si>
    <t>MARKIBAR INNOVACION, S.L.</t>
  </si>
  <si>
    <t>BC APLICACIONES ANALITICAS, S.L.</t>
  </si>
  <si>
    <t xml:space="preserve"> SUMINISTROS ELECTRICOS HUESCA, S.L.</t>
  </si>
  <si>
    <t>QUALITYFRY, S.L.</t>
  </si>
  <si>
    <t>RETROCABLES, S.L.</t>
  </si>
  <si>
    <t>TECNOCRIMP, LDA</t>
  </si>
  <si>
    <t xml:space="preserve"> ZIV AUTOMATION INDIA PRIVATE LIMITE</t>
  </si>
  <si>
    <t>AMOJE IMPORTAçAO E EXPORTAçAO LDA.</t>
  </si>
  <si>
    <t>JJP HOSPITALARIA SL</t>
  </si>
  <si>
    <t>TECNOLOGIAS, SERVICIOS TELEMATICOS Y SIS</t>
  </si>
  <si>
    <t>VENTAYEXPLOTACIONDEMATERIALIND</t>
  </si>
  <si>
    <t>BATLLE ARNAU S.L.</t>
  </si>
  <si>
    <t>TASHIA, S.L.</t>
  </si>
  <si>
    <t>FERRETERIA LA CADENA, S.L.</t>
  </si>
  <si>
    <t>UNIVERSITAT DE BARCELONA</t>
  </si>
  <si>
    <t>ELECTRONICA SANRIO, S.L.</t>
  </si>
  <si>
    <t>TECNICAS DE AUTOMATIZACION ELECTRONICA,</t>
  </si>
  <si>
    <t>EVERSENS,S.L.</t>
  </si>
  <si>
    <t>CIRCUTOR, S.A.</t>
  </si>
  <si>
    <t>FERRIMAX,S.A.</t>
  </si>
  <si>
    <t>ABMEDICAGROUP,S.A.</t>
  </si>
  <si>
    <t>ELECTROZEMPER,S.A.</t>
  </si>
  <si>
    <t>MACROSISTEMAS, S.A.</t>
  </si>
  <si>
    <t>FOURPRO,SL</t>
  </si>
  <si>
    <t>VISAN ELECTROVENDING, SL</t>
  </si>
  <si>
    <t>SONEPAR CESKÁ REPUBLIKA SPOL,S.R.O</t>
  </si>
  <si>
    <t>DINFER ELECTRONICA, S.L.</t>
  </si>
  <si>
    <t>NEURONAL INNOVATION CONTROL S.L.</t>
  </si>
  <si>
    <t>CREO MEDICAL,S.L.</t>
  </si>
  <si>
    <t>MCFLY TECHNOLOGIES,S.L.</t>
  </si>
  <si>
    <t>CONSORCIOESSBILBAO</t>
  </si>
  <si>
    <t>TECFLUID, S.A.</t>
  </si>
  <si>
    <t>ZENTRUM SERVICIOS INTEGRALES  S.L.</t>
  </si>
  <si>
    <t>SINAS RADIONAVEGACION, S.L.</t>
  </si>
  <si>
    <t>Kanma23 S.L.</t>
  </si>
  <si>
    <t>TESEL - Servicios Electrónicos Avanzados</t>
  </si>
  <si>
    <t>ACCESS TO QUALITY, S.L.U.</t>
  </si>
  <si>
    <t>ADEALÓXICA INGENIERÍA, S.L.</t>
  </si>
  <si>
    <t>ABC MOLLERUSA, S.L.</t>
  </si>
  <si>
    <t>SUMELEC NAVARRA,S.L.</t>
  </si>
  <si>
    <t>BTESA - Broad Telecom S.A.</t>
  </si>
  <si>
    <t>DELCOS DECOR S.L.</t>
  </si>
  <si>
    <t>MEISO SOLUCIONS, S.L.U</t>
  </si>
  <si>
    <t>YELCO TECHNOLOGIES, L.D.A.</t>
  </si>
  <si>
    <t>PILAS AUDIOVISUAL MARGON, S.L.</t>
  </si>
  <si>
    <t xml:space="preserve"> PANGEA PROJECTOS Y OBRAS,S.L.</t>
  </si>
  <si>
    <t xml:space="preserve"> ELECTRIFICACIONES ARALAR,S.A.L.</t>
  </si>
  <si>
    <t>SAMPOL INGENIERÍA Y OBRAS, S.A.</t>
  </si>
  <si>
    <t>GLOBAL SUPPORT SUPPLIER, S.L.</t>
  </si>
  <si>
    <t>MEDHA SERVO DRIVES PvT.Ltd</t>
  </si>
  <si>
    <t>INBROOLL INDUSTRIES, S.L.</t>
  </si>
  <si>
    <t>WORLD WIDE MOBILITY, S.L.</t>
  </si>
  <si>
    <t>SUNPRO REDES Y SISTEMAS, S.L.</t>
  </si>
  <si>
    <t>EFFINERGY SYSTEM, S.L.</t>
  </si>
  <si>
    <t>RAFAEL GOMEZ CARBONERO</t>
  </si>
  <si>
    <t>VIASAT SERVICIOS TELEMATICOS, S.L.U.</t>
  </si>
  <si>
    <t>QILIMANJARO QUANTUM TECH</t>
  </si>
  <si>
    <t>PINANSON, S.L.</t>
  </si>
  <si>
    <t>PRILUX ILUMINACION I MAS D, S.L.U.</t>
  </si>
  <si>
    <t>COUTH INDUSTRIAL MARKING SYSTEMS, S.L.U.</t>
  </si>
  <si>
    <t>ADRIAN SALGADO MAGRO</t>
  </si>
  <si>
    <t xml:space="preserve"> ORTRONIC GLOBAL,S.L.</t>
  </si>
  <si>
    <t>GLOBAL cABTOR, S.L.</t>
  </si>
  <si>
    <t>GEOTAB GMBH SUCURSAL EN ESPAÑA</t>
  </si>
  <si>
    <t>ROTUPLAST,S.A.</t>
  </si>
  <si>
    <t>AH DOC ELECTRONIC S.L.</t>
  </si>
  <si>
    <t>TALLERES AGA, S.A.</t>
  </si>
  <si>
    <t>PRODUCT LIFT, S.L.</t>
  </si>
  <si>
    <t>GEODESIC INNOVATIONS, S.L.</t>
  </si>
  <si>
    <t>OMNIALECTRONICS</t>
  </si>
  <si>
    <t>OVERTURE LIFE, S.L.</t>
  </si>
  <si>
    <t>FEMA ELECTRONICA, S.A</t>
  </si>
  <si>
    <t>AKP ELECTRONIC SYSTEMS, LDA</t>
  </si>
  <si>
    <t>PRODUCTOS DE DISEÑO E INGENIERIA, S.L.</t>
  </si>
  <si>
    <t>ENERCLIC INNOVATIO, S.L.</t>
  </si>
  <si>
    <t>VALLFIREST TECNOLOGÍAS FORESTALES, S.L.</t>
  </si>
  <si>
    <t>BAIMEN, S.A.</t>
  </si>
  <si>
    <t xml:space="preserve"> HUB ELECTRONICS HARDWARE ENGINEERIN</t>
  </si>
  <si>
    <t>PROTECCIONES ELECTRICAS DE ALTA TENSION</t>
  </si>
  <si>
    <t>IKUSI, S.L.Unipersonal</t>
  </si>
  <si>
    <t>FONRO 06, S.L.</t>
  </si>
  <si>
    <t>VOSSMAN TECHMAKER S.L.</t>
  </si>
  <si>
    <t>PONDUS MGL, S.L.</t>
  </si>
  <si>
    <t>DRILCO, S.L.</t>
  </si>
  <si>
    <t xml:space="preserve"> OPENERS &amp; CLOSERS, S.L</t>
  </si>
  <si>
    <t>SECOND LIFE BATTERY, S.L.</t>
  </si>
  <si>
    <t xml:space="preserve"> GOIKER Electr�ica, S.L</t>
  </si>
  <si>
    <t>ILLUSIONTEK, S.L.</t>
  </si>
  <si>
    <t>MIA SISTEMAS Y DESARROLLOS, S.L.</t>
  </si>
  <si>
    <t>CORP.DE LA INGENIERA NAVAL MECANICA VIGU</t>
  </si>
  <si>
    <t>SPECIALISTCOMPUTERCENTRES,S.L.</t>
  </si>
  <si>
    <t xml:space="preserve"> LOJACK ESPA� S.L.</t>
  </si>
  <si>
    <t>AUCORE,S.L.</t>
  </si>
  <si>
    <t>INDUSTRIAL TERMOMETRICA SOCIEDAD DE ASTU</t>
  </si>
  <si>
    <t>TPC NETGRUP, S.L.</t>
  </si>
  <si>
    <t>AIRGRUP S.L.</t>
  </si>
  <si>
    <t>JAVIER SOLANS BADIA</t>
  </si>
  <si>
    <t>RECUPERACIONS INDUSTRIALS URGELL, SL</t>
  </si>
  <si>
    <t>AIRBUS UPNEXT, S.L.</t>
  </si>
  <si>
    <t>INTENANCE CAPITAL, S.L.</t>
  </si>
  <si>
    <t>SENSPAIN PRODUCTOS DE SEGURIDAD, S.L.</t>
  </si>
  <si>
    <t>DIEGO RODRIGO MADRID (DUPLICADO 5538)</t>
  </si>
  <si>
    <t>ELECTROLOMAS, S.L.U</t>
  </si>
  <si>
    <t>MORE COOL ILUMINATIONS, S.L.</t>
  </si>
  <si>
    <t xml:space="preserve"> ACTIA DE MEXICO S.A. DE C.V.</t>
  </si>
  <si>
    <t>WATTIUS BATTERY SOLUTIONS, S.L.</t>
  </si>
  <si>
    <t xml:space="preserve"> CHARGEVITE ENERGY, S.L.U.</t>
  </si>
  <si>
    <t>SISENOL SOLUTIONS, S.L.</t>
  </si>
  <si>
    <t>ARXITEC CRITICAL SYSTEMS, S.L.</t>
  </si>
  <si>
    <t>SOLUCIONES ELECTROMEC�ICA AVANZADA</t>
  </si>
  <si>
    <t>BETTAIR CITIES SL</t>
  </si>
  <si>
    <t>ADMINISTRACION GENERAL DE LA C.A.P.</t>
  </si>
  <si>
    <t>ESCOSURA SERVICIOS TECNICOS,S.L.</t>
  </si>
  <si>
    <t>CENTRENATIONALDELARECHERCHESCI</t>
  </si>
  <si>
    <t>SKINIDENT TECHNOLOGIES, S.L.</t>
  </si>
  <si>
    <t>CONSULTORADEPROYECTOSESPECIALES</t>
  </si>
  <si>
    <t>INSEYBOM,S.L.</t>
  </si>
  <si>
    <t>ESTEL, SL</t>
  </si>
  <si>
    <t>GEMINIS LATHES, S.A.</t>
  </si>
  <si>
    <t>COMPONOSOLLERTIA, S.A.L.</t>
  </si>
  <si>
    <t xml:space="preserve"> ARELMEX S.A.DE CV</t>
  </si>
  <si>
    <t>MILLENNIUM UMBRELLA TECH CONSULTING, S.L</t>
  </si>
  <si>
    <t xml:space="preserve"> SELCANSA,S.A.</t>
  </si>
  <si>
    <t xml:space="preserve"> ELEMENTAL IBERICA IMPORT EXPORT,S.L</t>
  </si>
  <si>
    <t xml:space="preserve"> EXAFAN, S.A.U</t>
  </si>
  <si>
    <t xml:space="preserve"> MAQUINARIA INDUSTRIAL ROBOTIZADA PA</t>
  </si>
  <si>
    <t>LEXTERMICROELECTRONICSENGINEERING</t>
  </si>
  <si>
    <t>SCMSISTEMAS,S.L.</t>
  </si>
  <si>
    <t>LOGISVENDING, S.L.</t>
  </si>
  <si>
    <t>DEPIMEX IBERIA SL</t>
  </si>
  <si>
    <t>PROYECTARENOVABLES CONTROL, S.L.U.</t>
  </si>
  <si>
    <t>INNOVATIVE SUPPORT Eood</t>
  </si>
  <si>
    <t>MAGAPOR, S.L.</t>
  </si>
  <si>
    <t>EPOWERLABS, S.L.</t>
  </si>
  <si>
    <t>MYOQUALITY SOLUTIONS, SL</t>
  </si>
  <si>
    <t>SOLUCIONES CARGATUCOCHE, S.L.</t>
  </si>
  <si>
    <t>KENTRONICTECHNOLOGY,S.L.</t>
  </si>
  <si>
    <t>INDUSTRIAL BARRANQUESA, S.A.</t>
  </si>
  <si>
    <t xml:space="preserve"> Patrick louis Robert Duchemin</t>
  </si>
  <si>
    <t xml:space="preserve"> COMERCIAL DEL SUR, S.A.</t>
  </si>
  <si>
    <t>CM4ENGINYERIAS.A.</t>
  </si>
  <si>
    <t>KRZ,S.L.</t>
  </si>
  <si>
    <t>AWGE TECHNOLOGIES, S.L.</t>
  </si>
  <si>
    <t>MAGRANA SCCL</t>
  </si>
  <si>
    <t xml:space="preserve"> CINTRATEC COMERCIAL DE SUMINISTROS,</t>
  </si>
  <si>
    <t>METALUX ASTURIAS, S.L.</t>
  </si>
  <si>
    <t>FABRICADOS HISTRON, S.L.</t>
  </si>
  <si>
    <t xml:space="preserve"> SESAELEC LLEIDA,SA</t>
  </si>
  <si>
    <t>DISHECO</t>
  </si>
  <si>
    <t>TECNICAL LLEIDA. SL</t>
  </si>
  <si>
    <t>Feliciano Borbolla Orfila</t>
  </si>
  <si>
    <t>HIDRAULICA, S.L.</t>
  </si>
  <si>
    <t>DEUSTO SEIDOR, S.A.</t>
  </si>
  <si>
    <t>ELECTRIC VEHICLE POWER, S.L.</t>
  </si>
  <si>
    <t>LITTLE ELECTRIC ENERGY, S.L.</t>
  </si>
  <si>
    <t>AIRBOXESP NEUMATIC, S.L.</t>
  </si>
  <si>
    <t>KAZINOV ELECTRICITE &amp; AUTOMATISME</t>
  </si>
  <si>
    <t>JAVIER ONDOÑO TINADONIS</t>
  </si>
  <si>
    <t>SISTEMAS DE INTERCONEXIÓN, S.A.</t>
  </si>
  <si>
    <t>KORUS SUMINISTROS ELECTRICOS, S.A.</t>
  </si>
  <si>
    <t>ENERGY ON SITE S.L.</t>
  </si>
  <si>
    <t>LABORATORIOS HIPRA, S.A.</t>
  </si>
  <si>
    <t>ALEXANDER CABALLERO SALCEDO</t>
  </si>
  <si>
    <t>CAF RAIL DIGITAL SERVICES S.L</t>
  </si>
  <si>
    <t>STEP LOGÍSTICA Y CONTROL, S.L.</t>
  </si>
  <si>
    <t>ANTONIO TORRES QUESADA</t>
  </si>
  <si>
    <t>TEC-SOFT CONSULTING, S.L.</t>
  </si>
  <si>
    <t>MONTAJES ELECTRICOS TRASSA, S.L.</t>
  </si>
  <si>
    <t xml:space="preserve"> V.R.S. CONEXIONES Y CABLEADOS, S.L.</t>
  </si>
  <si>
    <t>EIMATEC, S.L.</t>
  </si>
  <si>
    <t>SHENZHEN TOPBAND CO.,LTD</t>
  </si>
  <si>
    <t>ROYSE ISM SERVICIOS INTEGRALES, S.L.</t>
  </si>
  <si>
    <t>SETALDE SUMINISTROS INTEGRALES S.A.</t>
  </si>
  <si>
    <t>FARAMAX TRAFO S.L.</t>
  </si>
  <si>
    <t>CODERIAM SOLUCIONES S.L.</t>
  </si>
  <si>
    <t>AEROLASER SYSTEM S.L</t>
  </si>
  <si>
    <t>LICA HOTELES, S.A.</t>
  </si>
  <si>
    <t>MADERAS PACO CACHAROLO,S.L.</t>
  </si>
  <si>
    <t>KONTRON PUBLIC TRANSPORT ARCE, S.A.U.</t>
  </si>
  <si>
    <t>NOUDI - DISSENY DE PRODUCTE SL</t>
  </si>
  <si>
    <t>WORLD INFORMATICA Y SERVICIOS, S.L.</t>
  </si>
  <si>
    <t>STRONGPOINT CASH TECH, S.L.</t>
  </si>
  <si>
    <t xml:space="preserve">TELECOMUNICACION Y AUTOMATICA </t>
  </si>
  <si>
    <t>OSOAK ,S.A.</t>
  </si>
  <si>
    <t>KINTECH INSTRUMENTS, S.L.U.</t>
  </si>
  <si>
    <t>OX COMPAÑÍA DE TRATAMIENTO DE AGUAS SLU</t>
  </si>
  <si>
    <t>CINERGIA POWER SOLUTIONS, SLU</t>
  </si>
  <si>
    <t>JOSÉ DOMINGO HIGUERA PÉREZ</t>
  </si>
  <si>
    <t>DIEGO LÓPEZ SANZ</t>
  </si>
  <si>
    <t xml:space="preserve">CARLES DRESAIRE I GAUDÍ </t>
  </si>
  <si>
    <t>COMERCIAL ANDORA SEMANCA,S.L.</t>
  </si>
  <si>
    <t xml:space="preserve">MANTENIMIENTO E INSTALACIONES </t>
  </si>
  <si>
    <t>ESHIA ENERGIA, SL</t>
  </si>
  <si>
    <t>ITALFARMACO, S.A.</t>
  </si>
  <si>
    <t>INFOYMA, S.L.</t>
  </si>
  <si>
    <t>E2 INGENIERIA E INSTALACIONES, S.L</t>
  </si>
  <si>
    <t xml:space="preserve">PALMIRABUGA, S.L. </t>
  </si>
  <si>
    <t>COMERCIO Y SERVICIOS DE MANTENIMIENTO BI</t>
  </si>
  <si>
    <t>UARTRÓNICA ELECTRÓNICA, LDA.</t>
  </si>
  <si>
    <t>ESTANFLUX, S.A.</t>
  </si>
  <si>
    <t>INSTA-REC 2010, SL</t>
  </si>
  <si>
    <t>PROCIRCUITS, S.L.</t>
  </si>
  <si>
    <t>AFFINITY ELECTRONICS S.L.</t>
  </si>
  <si>
    <t>NORATEL INTERNATIONAL (PVT) LTD</t>
  </si>
  <si>
    <t>JAVIER CHARLES PÉREZ</t>
  </si>
  <si>
    <t>JUÁREZ Y MILLAS, S.A.</t>
  </si>
  <si>
    <t>KLK ELECTROMATERIALES, S.L.</t>
  </si>
  <si>
    <t>ANTONIO MADRID CARVAJAL</t>
  </si>
  <si>
    <t>LABORATORIOS LECA, S.L.</t>
  </si>
  <si>
    <t>INGENIERIA DE PROYECTOS Y PRODUCTOS</t>
  </si>
  <si>
    <t>OMEGA PERIPHERALS S.L.</t>
  </si>
  <si>
    <t>PERE MARGALEF I CAÑELLES</t>
  </si>
  <si>
    <t>HYDAC TECHNOLOGY,SL</t>
  </si>
  <si>
    <t>INGENIERIA DE PROCESOS Y PRODUCTOS I-MAS</t>
  </si>
  <si>
    <t>LEAPWAVE TECHNOLOGIES S.L.</t>
  </si>
  <si>
    <t>STERNA INNOVATIONS PROJECTS, S.L</t>
  </si>
  <si>
    <t>VIHORSETRONICA S.L</t>
  </si>
  <si>
    <t>LINDA GUTIERREZ ROMERO</t>
  </si>
  <si>
    <t>DOISTUA, S.A.</t>
  </si>
  <si>
    <t>SVI SLOVAKIA S.R.O.</t>
  </si>
  <si>
    <t>DISIBEINT ELECTRONIC SL</t>
  </si>
  <si>
    <t xml:space="preserve">RODIN S.A.U   </t>
  </si>
  <si>
    <t>INDIC EMS ELECTRONICS PVT LTD</t>
  </si>
  <si>
    <t>INSER SERVICIO INFORMÁTICO PROFESIONAL</t>
  </si>
  <si>
    <t>MIGUEL ANGEL GOMEZ MERINO</t>
  </si>
  <si>
    <t>RICARDO VELA, C.B.</t>
  </si>
  <si>
    <t>YUDIGAR CANARIAS,S.L.</t>
  </si>
  <si>
    <t>MATEIN,S.A.</t>
  </si>
  <si>
    <t>UNIVERSITAT INTERNACIONAL DE CATALUNYA</t>
  </si>
  <si>
    <t>NEW TECHNOLOGIES GLOBAL SYSTEMS, SL</t>
  </si>
  <si>
    <t>SHANGHAI FAN XIN ELECTROMECHANICAL EQUIP</t>
  </si>
  <si>
    <t>VISHESH INNOVATIVE TECHNOLOGIES PRIVATE</t>
  </si>
  <si>
    <t>COMPEX SOLUTION</t>
  </si>
  <si>
    <t>WESTCONTROL AS</t>
  </si>
  <si>
    <t>TORIVAC, S.L.U.</t>
  </si>
  <si>
    <t>HIDROPAMER S.L.</t>
  </si>
  <si>
    <t>HICOTRONICS DEVICES PVT LTD</t>
  </si>
  <si>
    <t>TERCER MILENIO INFORMÁTICA, S.L.</t>
  </si>
  <si>
    <t>DINAT 2006 SLU</t>
  </si>
  <si>
    <t>SMART-WAVES TECHNOLOGIES PVT LTD</t>
  </si>
  <si>
    <t>TATA ADVANCED SYSTEMS LIMITED</t>
  </si>
  <si>
    <t>ELECTOMONTAJES GOHITA, S.L.</t>
  </si>
  <si>
    <t>TACOTAX CENTER 2010, S.L.</t>
  </si>
  <si>
    <t>SETELSA SECURITY, S.L.</t>
  </si>
  <si>
    <t>GASN2 S.L</t>
  </si>
  <si>
    <t>ASCABLE-RECAEL, S.A.</t>
  </si>
  <si>
    <t>PROACTIVE RESEARCH AND DEVELOPMENT S.L</t>
  </si>
  <si>
    <t>COMPONENTS ELÈCTRICS GRANOLLERS SL</t>
  </si>
  <si>
    <t>ALMACENES ELÉCTRICOS RAMÍREZ, S.L.U.</t>
  </si>
  <si>
    <t xml:space="preserve">LI2GO ENERGY SOLUTIONS, S.L. </t>
  </si>
  <si>
    <t>KAYRO TECHNOLOGY SL</t>
  </si>
  <si>
    <t>PANAGOPOULOS DIMITRIOS</t>
  </si>
  <si>
    <t>VICTOR MANUEL RODRIGO SUAREZ</t>
  </si>
  <si>
    <t>AITOR ORMAZABAL GOGORZA</t>
  </si>
  <si>
    <t>HOHNER AUTOMATICOS, S.L.</t>
  </si>
  <si>
    <t>INSTR.INDUSTRIAL ZURC,SAU</t>
  </si>
  <si>
    <t>DICOEL, S.L.</t>
  </si>
  <si>
    <t>GESCASER, S.A.</t>
  </si>
  <si>
    <t>IXPEBE, S.L.</t>
  </si>
  <si>
    <t>INTERCONECTOR, S.L.</t>
  </si>
  <si>
    <t>TECSA</t>
  </si>
  <si>
    <t>FADIVEN, S.L.</t>
  </si>
  <si>
    <t>SABER, S.L.</t>
  </si>
  <si>
    <t>KOBOLD MESURA, S.L.U.</t>
  </si>
  <si>
    <t>SACOEL, S.A.</t>
  </si>
  <si>
    <t>CST DEL CABLEADO, S.L.</t>
  </si>
  <si>
    <t>CLAUTRONIC, S.L.</t>
  </si>
  <si>
    <t>ECOYMA, S.A.</t>
  </si>
  <si>
    <t>INSERCAD ELECTRONICA S.L.</t>
  </si>
  <si>
    <t>MEIG, S.L.</t>
  </si>
  <si>
    <t>DAVID RAMIREZ TRANCOSO</t>
  </si>
  <si>
    <t>CATEL, S.A.</t>
  </si>
  <si>
    <t>SALICRU, S.A.</t>
  </si>
  <si>
    <t>SAUTEL, S.L.</t>
  </si>
  <si>
    <t>EGARA ELECTRONICA, S.L.</t>
  </si>
  <si>
    <t>CONEXIONES CONDAL, S.L.</t>
  </si>
  <si>
    <t>APEL ELECTRONICA , S.L.</t>
  </si>
  <si>
    <t>ELECTRONICA SIPEL,S.L.</t>
  </si>
  <si>
    <t>ISAE ELECTRONICA, S.L.</t>
  </si>
  <si>
    <t>TEMPEL, S.A.</t>
  </si>
  <si>
    <t>SERV.AUX.DE ELECTROMONTAJES SL</t>
  </si>
  <si>
    <t>RC MICROELECTRONICA, S.L.</t>
  </si>
  <si>
    <t>C.C.M.ELECTRONIC, S.L.</t>
  </si>
  <si>
    <t>JAIME TONA SERRA</t>
  </si>
  <si>
    <t>TECNOLOGIAS ADE, S.L</t>
  </si>
  <si>
    <t xml:space="preserve"> UNIVERSAL DE DESARROLLOS ELECTRONIC</t>
  </si>
  <si>
    <t>ASCELL SENSOR, S.L.</t>
  </si>
  <si>
    <t>CABLEADOS JM FYG CARO VELEZ,SL</t>
  </si>
  <si>
    <t>FRANCISCO JAVIER SABATÉ ARIAS</t>
  </si>
  <si>
    <t>NOVATECH VILANOVA, S.L.</t>
  </si>
  <si>
    <t>EMOPAR CABLEADOS, S.L</t>
  </si>
  <si>
    <t>ROSS ESTETICA, S.L.</t>
  </si>
  <si>
    <t>ELECTRONICS INTELLIGENT CONTROLS, S.L.</t>
  </si>
  <si>
    <t>MANUEL BAENA GOMEZ</t>
  </si>
  <si>
    <t>APARELLAJE INDUSTRIAL GAS Y</t>
  </si>
  <si>
    <t>CIRPROTEC, S.L.</t>
  </si>
  <si>
    <t>CISA-CEDACERIA INDUSTRIAL S.L.</t>
  </si>
  <si>
    <t>ENSELEC, S.L.</t>
  </si>
  <si>
    <t>VIA CONTROL ELECTRONICA,S.L.</t>
  </si>
  <si>
    <t>CUSTOM SOFTWARE &amp; ELECTRONICS SL</t>
  </si>
  <si>
    <t>FAST COMPONENTES EUROPE, S.L.</t>
  </si>
  <si>
    <t>CABLETRES COMERCIAL, SL</t>
  </si>
  <si>
    <t>ONDA RADIO, S.A.</t>
  </si>
  <si>
    <t>MONOLITIC, S.A.</t>
  </si>
  <si>
    <t>SENSOTEC INSTRUMENTS, S.A.</t>
  </si>
  <si>
    <t>FQ INGENIERIA ELECTRONICA, SA</t>
  </si>
  <si>
    <t>JCM TECHNOLOGIES, S.A.</t>
  </si>
  <si>
    <t>BASMEL,S.L.</t>
  </si>
  <si>
    <t>SERVEIS PER A LA INDUSTRIA</t>
  </si>
  <si>
    <t>S.A.SISTEL</t>
  </si>
  <si>
    <t>GECIESPAÑOLA,S.A.</t>
  </si>
  <si>
    <t>INSTALACIONES INABENSA, S.A.U.</t>
  </si>
  <si>
    <t>NORATEL SPAIN, S.L.</t>
  </si>
  <si>
    <t>DENSO TEN ESPAÑA, S.A.</t>
  </si>
  <si>
    <t>TORYTRANS, S.L.</t>
  </si>
  <si>
    <t>ADALID INNOTEC, S.L.</t>
  </si>
  <si>
    <t>MONDOIBERICA,S.A.U.</t>
  </si>
  <si>
    <t>KINTECH INGENIERIA, S.L.</t>
  </si>
  <si>
    <t>AESA-ARAGONESA DE EQUIPAMIENTO(DUPLICADO</t>
  </si>
  <si>
    <t xml:space="preserve"> TELNET REDES INTELIGENTES S.A.</t>
  </si>
  <si>
    <t>KEPAR ELECTRONICA, S.L.</t>
  </si>
  <si>
    <t>ELECTRONICA ARA, S.L.</t>
  </si>
  <si>
    <t>CISA ELECTRIC, S.A.</t>
  </si>
  <si>
    <t>INDUSTRIAL DE ELEVACIÓN, S.A.</t>
  </si>
  <si>
    <t>COMPONENTES AGRICOLAS GENERAL, S.L.</t>
  </si>
  <si>
    <t>BILBOMATICA, S.A.</t>
  </si>
  <si>
    <t>FAGOR ELECTRONICA, S.COOP.</t>
  </si>
  <si>
    <t>UNIVERSIDAD DE OVIEDO</t>
  </si>
  <si>
    <t>O.M. VENDING, S.L.</t>
  </si>
  <si>
    <t>DISEÑOS Y APLICACIONES NR ELECTRONICA, S</t>
  </si>
  <si>
    <t>ELECTROSON CASTILLA, S.A.</t>
  </si>
  <si>
    <t>LAELECTRICAALVAREZSIRGO,S.A.</t>
  </si>
  <si>
    <t>I3TE I MAS D MAS I, S.L</t>
  </si>
  <si>
    <t>ELECTROSONI, S.L.</t>
  </si>
  <si>
    <t>ELECTROSON GALICIA, S.A.</t>
  </si>
  <si>
    <t>CONECTRONICS GMBH</t>
  </si>
  <si>
    <t>HFA-HENRIQUE, FERNANDO &amp; ALVES, S.A.</t>
  </si>
  <si>
    <t>Total</t>
  </si>
  <si>
    <t>Acumulados  2025</t>
  </si>
  <si>
    <t>(%)Acumulados  2025</t>
  </si>
  <si>
    <t>CUENTA DE PÉRDIDAS Y GANANCIAS al 31 de Diciembre</t>
  </si>
  <si>
    <t>Año 2025</t>
  </si>
  <si>
    <t>1. Importe neto de la cifra de negocios</t>
  </si>
  <si>
    <t xml:space="preserve">   700   VENTAS DE MERCADERÍAS</t>
  </si>
  <si>
    <t xml:space="preserve">   705   PRESTACIÓN DE SERVICIOS</t>
  </si>
  <si>
    <t>2. Variación de exist.prod.term.curso de fabric.</t>
  </si>
  <si>
    <t>3. Trabajos realizad.empresa para su activo</t>
  </si>
  <si>
    <t>4. Aprovisionamientos</t>
  </si>
  <si>
    <t xml:space="preserve">   600   COMPRAS DE MERCADERÍAS</t>
  </si>
  <si>
    <t>5. Otros ingresos de explotación</t>
  </si>
  <si>
    <t>6. Gastos de personal</t>
  </si>
  <si>
    <t xml:space="preserve">   640   SUELDOS Y SALARIOS</t>
  </si>
  <si>
    <t xml:space="preserve">   642   SEGURIDAD SOCIAL CARGO EMPRESA</t>
  </si>
  <si>
    <t xml:space="preserve">   649   OTROS GASTOS SOCIALES</t>
  </si>
  <si>
    <t>7. Otros gastos de explotación</t>
  </si>
  <si>
    <t xml:space="preserve">   621   ARRENDAMIENTOS Y CANONES</t>
  </si>
  <si>
    <t xml:space="preserve">   622   REPARACIONES Y CONSERVACIÓN</t>
  </si>
  <si>
    <t xml:space="preserve">   623   SERVICIOS DE PROFESIONALES INDEPENDIENTES</t>
  </si>
  <si>
    <t xml:space="preserve">   625   PRIMAS DE SEGUROS</t>
  </si>
  <si>
    <t xml:space="preserve">   626   SERVICIOS BANCARIOS Y SIMILARES</t>
  </si>
  <si>
    <t xml:space="preserve">   627   PUBLIC.,PROPAGANDA Y RELACIONES PÚBLICAS</t>
  </si>
  <si>
    <t xml:space="preserve">   628   SUMINISTROS</t>
  </si>
  <si>
    <t xml:space="preserve">   629   OTROS SERVICIOS</t>
  </si>
  <si>
    <t xml:space="preserve">   631   OTROS TRIBUTOS</t>
  </si>
  <si>
    <t>8. Amortización del Inmovilizado</t>
  </si>
  <si>
    <t>9. Imputación de subv.de inmov.no financiero y otras</t>
  </si>
  <si>
    <t>10. Excesos de provisiones</t>
  </si>
  <si>
    <t>11. Deterioro y resultado por enajen.del inmovilizado</t>
  </si>
  <si>
    <t>12. Otros resultados</t>
  </si>
  <si>
    <t xml:space="preserve">   678   GASTOS EXCEPCIONALES</t>
  </si>
  <si>
    <t xml:space="preserve">   778   INGRESOS EXCEPCIONALES</t>
  </si>
  <si>
    <t>A) RESULTADO DE EXPLOTACION</t>
  </si>
  <si>
    <t>13. Ingresos financieros</t>
  </si>
  <si>
    <t>14. Gastos financieros</t>
  </si>
  <si>
    <t xml:space="preserve">   662   INTERESES</t>
  </si>
  <si>
    <t>15. Variación de valor razonable en instrumentos financieros</t>
  </si>
  <si>
    <t>16. Diferencias de cambio</t>
  </si>
  <si>
    <t>17. Deterioro y resultado por enaj.intrumentos financ.</t>
  </si>
  <si>
    <t>18. Otros ingresos y gastos de carácter financiero.</t>
  </si>
  <si>
    <t>B) RESULTADO FINANCIERO</t>
  </si>
  <si>
    <t>C) RESULTADO ANTES DE IMPUESTOS</t>
  </si>
  <si>
    <t>19. Impuestos sobre beneficios</t>
  </si>
  <si>
    <t>D) RESULTADO DEL EJERCICIO</t>
  </si>
  <si>
    <t>Presupuesto 2025</t>
  </si>
  <si>
    <t>(%)Acumulados ppto 2025</t>
  </si>
  <si>
    <t>(%)Acumulados real 2025</t>
  </si>
  <si>
    <t xml:space="preserve">   649   OTROS GASTOS SOCIALES e indemnizaciones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</si>
  <si>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</si>
  <si>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</si>
  <si>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</si>
  <si>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</si>
  <si>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</si>
  <si>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</si>
  <si>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</si>
  <si>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</si>
  <si>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</si>
  <si>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</si>
  <si>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</si>
  <si>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</si>
  <si>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ingreso caja</t>
  </si>
  <si>
    <t>clientes</t>
  </si>
  <si>
    <t>alquileres</t>
  </si>
  <si>
    <t>energia solar</t>
  </si>
  <si>
    <t>Aprovisionamiento</t>
  </si>
  <si>
    <t>salarios</t>
  </si>
  <si>
    <t>Gastos generales</t>
  </si>
  <si>
    <t>Pagos</t>
  </si>
  <si>
    <t>ingresos financieros</t>
  </si>
  <si>
    <t>caja mes</t>
  </si>
  <si>
    <t>caja acum</t>
  </si>
  <si>
    <t>gasto financiero</t>
  </si>
  <si>
    <t>Acumulados  2026</t>
  </si>
  <si>
    <t>(%)Acumulados  2026</t>
  </si>
  <si>
    <t>GASTOS</t>
  </si>
  <si>
    <t>PERSONAL LOCAL</t>
  </si>
  <si>
    <t>PORCENTAJE PERSONAL</t>
  </si>
  <si>
    <t>ALQUILER AS198</t>
  </si>
  <si>
    <t>ALQUILER TETUAN</t>
  </si>
  <si>
    <t>PORCENTAJE ALQUILER</t>
  </si>
  <si>
    <t>SUMINISTROS</t>
  </si>
  <si>
    <t>GASTOS ADMINISTRATIVOS</t>
  </si>
  <si>
    <t>COMUNICACION</t>
  </si>
  <si>
    <t>SOFTWARE y FUTBOL</t>
  </si>
  <si>
    <t>ALQUILER FOOD TRUCK 10%</t>
  </si>
  <si>
    <t>PACKAGING</t>
  </si>
  <si>
    <t>OTROS VARIOS</t>
  </si>
  <si>
    <t>LIMPIEZA Y DESINFECCION</t>
  </si>
  <si>
    <t>SEGURO, MUTUA Y RIESGOS LABORALES</t>
  </si>
  <si>
    <t>ALARMAS Y EXTINTORES</t>
  </si>
  <si>
    <t>TOTAL GASTOS GENERALES</t>
  </si>
  <si>
    <t>PORCENTAJE GTS GENERALES</t>
  </si>
  <si>
    <t>APROVISIONAMIENTOS</t>
  </si>
  <si>
    <t>TOTAL GASTOS</t>
  </si>
  <si>
    <t>PORCETAJE MP</t>
  </si>
  <si>
    <t>TOTAL FACTURACIÓN S/IVA</t>
  </si>
  <si>
    <t>TOTAL FATURACIÓN CON IVA</t>
  </si>
  <si>
    <t>FACTURACIÓN LOCAL AS 198</t>
  </si>
  <si>
    <t xml:space="preserve">DELIVERY </t>
  </si>
  <si>
    <t>FOOD TRUCK</t>
  </si>
  <si>
    <t>RESULTADO LOCAL</t>
  </si>
  <si>
    <t>PERSONAL OFICINA Y COCINA CENTRAL</t>
  </si>
  <si>
    <t>GASTOS GRUPO</t>
  </si>
  <si>
    <t>BAI</t>
  </si>
  <si>
    <t>ALQUILER AS207</t>
  </si>
  <si>
    <t>VAJILLA</t>
  </si>
  <si>
    <t>TOTAL FACTURACIÓN CON IVA</t>
  </si>
  <si>
    <t>PERSONAL LOCALES</t>
  </si>
  <si>
    <t>ALQUILER AS207 + AS198</t>
  </si>
  <si>
    <t>RESULTADO LOCALES</t>
  </si>
  <si>
    <t>Presupuesto 2026</t>
  </si>
  <si>
    <t>(%)Acumulados ppto 2026</t>
  </si>
  <si>
    <t>(%)Acumulados real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</si>
</sst>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* #,##0.00\ &quot;€&quot;_-;\-* #,##0.00\ &quot;€&quot;_-;_-* &quot;-&quot;??\ &quot;€&quot;_-;_-@_-"/>
    <numFmt numFmtId="43" formatCode="_-* #,##0.00_-;\-* #,##0.00_-;_-* &quot;-&quot;??_-;_-@_-"/>
    <numFmt numFmtId="164" formatCode="0.00\ %"/>
    <numFmt numFmtId="165" formatCode="_-* #,##0_-;\-* #,##0_-;_-* &quot;-&quot;??_-;_-@_-"/>
    <numFmt numFmtId="166" formatCode="_-* #,##0.0_-;\-* #,##0.0_-;_-* &quot;-&quot;??_-;_-@_-"/>
    <numFmt numFmtId="167" formatCode="#,##0.00_);\(#,##0.00\)"/>
    <numFmt numFmtId="168" formatCode="0.0%"/>
  </numFmts>
  <fonts count="29" x14ac:knownFonts="1">
    <font>
      <sz val="11"/>
      <color theme="1"/>
      <name val="Aptos Narrow"/>
      <family val="2"/>
      <charset val="1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2"/>
      <color theme="1"/>
      <name val="Times New Roman"/>
      <family val="1"/>
      <charset val="1"/>
    </font>
    <font>
      <b/>
      <sz val="12"/>
      <color theme="1"/>
      <name val="Times New Roman"/>
      <family val="1"/>
      <charset val="1"/>
    </font>
    <font>
      <b/>
      <i/>
      <sz val="12"/>
      <color theme="1"/>
      <name val="Times New Roman"/>
      <family val="1"/>
      <charset val="1"/>
    </font>
    <font>
      <i/>
      <sz val="11"/>
      <color theme="1"/>
      <name val="Aptos Narrow"/>
      <family val="2"/>
      <charset val="1"/>
    </font>
    <font>
      <i/>
      <sz val="12"/>
      <color theme="1"/>
      <name val="Times New Roman"/>
      <family val="1"/>
      <charset val="1"/>
    </font>
    <font>
      <sz val="12"/>
      <color theme="1"/>
      <name val="Times New Roman"/>
      <family val="1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2"/>
      <color theme="1"/>
      <name val="Times New Roman"/>
      <family val="1"/>
    </font>
    <font>
      <sz val="8"/>
      <name val="Aptos Narrow"/>
      <family val="2"/>
      <charset val="1"/>
    </font>
    <font>
      <b/>
      <sz val="10"/>
      <name val="Arial"/>
      <family val="2"/>
    </font>
    <font>
      <sz val="11"/>
      <color theme="1"/>
      <name val="Aptos Narrow"/>
      <family val="2"/>
      <charset val="1"/>
    </font>
    <font>
      <sz val="11"/>
      <color rgb="FF9C57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2"/>
      <color theme="1"/>
      <name val="Times New Roman"/>
      <family val="1"/>
    </font>
    <font>
      <b/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2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9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color theme="9"/>
      <name val="Aptos Narrow"/>
      <family val="2"/>
      <scheme val="minor"/>
    </font>
    <font>
      <sz val="1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D7D7"/>
        <bgColor rgb="FFDEE6EF"/>
      </patternFill>
    </fill>
    <fill>
      <patternFill patternType="solid">
        <fgColor rgb="FFDEE6EF"/>
        <bgColor rgb="FFCCFFFF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499984740745262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43" fontId="2" fillId="0" borderId="0" applyBorder="0" applyAlignment="0" applyProtection="0"/>
    <xf numFmtId="9" fontId="2" fillId="0" borderId="0" applyBorder="0" applyAlignment="0" applyProtection="0"/>
    <xf numFmtId="44" fontId="15" fillId="0" borderId="0" applyFont="0" applyFill="0" applyBorder="0" applyAlignment="0" applyProtection="0"/>
    <xf numFmtId="0" fontId="16" fillId="5" borderId="0" applyNumberFormat="0" applyBorder="0" applyAlignment="0" applyProtection="0"/>
  </cellStyleXfs>
  <cellXfs count="130">
    <xf numFmtId="0" fontId="0" fillId="0" borderId="0" xfId="0"/>
    <xf numFmtId="0" fontId="3" fillId="0" borderId="0" xfId="0" applyFont="1"/>
    <xf numFmtId="4" fontId="3" fillId="0" borderId="0" xfId="0" applyNumberFormat="1" applyFont="1"/>
    <xf numFmtId="0" fontId="4" fillId="0" borderId="0" xfId="0" applyFont="1"/>
    <xf numFmtId="4" fontId="4" fillId="0" borderId="0" xfId="0" applyNumberFormat="1" applyFont="1"/>
    <xf numFmtId="0" fontId="5" fillId="0" borderId="0" xfId="0" applyFont="1"/>
    <xf numFmtId="4" fontId="5" fillId="0" borderId="0" xfId="0" applyNumberFormat="1" applyFont="1"/>
    <xf numFmtId="164" fontId="5" fillId="0" borderId="0" xfId="0" applyNumberFormat="1" applyFont="1"/>
    <xf numFmtId="164" fontId="3" fillId="0" borderId="0" xfId="0" applyNumberFormat="1" applyFont="1"/>
    <xf numFmtId="0" fontId="3" fillId="2" borderId="0" xfId="0" applyFont="1" applyFill="1"/>
    <xf numFmtId="0" fontId="3" fillId="3" borderId="0" xfId="0" applyFont="1" applyFill="1"/>
    <xf numFmtId="164" fontId="4" fillId="0" borderId="0" xfId="0" applyNumberFormat="1" applyFont="1"/>
    <xf numFmtId="0" fontId="6" fillId="0" borderId="0" xfId="0" applyFont="1"/>
    <xf numFmtId="0" fontId="7" fillId="0" borderId="0" xfId="0" applyFont="1"/>
    <xf numFmtId="4" fontId="7" fillId="0" borderId="0" xfId="0" applyNumberFormat="1" applyFont="1"/>
    <xf numFmtId="164" fontId="7" fillId="0" borderId="0" xfId="0" applyNumberFormat="1" applyFont="1"/>
    <xf numFmtId="0" fontId="0" fillId="0" borderId="1" xfId="0" applyBorder="1"/>
    <xf numFmtId="165" fontId="2" fillId="0" borderId="1" xfId="1" applyNumberFormat="1" applyBorder="1"/>
    <xf numFmtId="166" fontId="2" fillId="0" borderId="0" xfId="1" applyNumberFormat="1"/>
    <xf numFmtId="43" fontId="2" fillId="0" borderId="1" xfId="1" applyBorder="1"/>
    <xf numFmtId="166" fontId="2" fillId="0" borderId="1" xfId="1" applyNumberFormat="1" applyBorder="1"/>
    <xf numFmtId="165" fontId="0" fillId="0" borderId="0" xfId="0" applyNumberFormat="1"/>
    <xf numFmtId="43" fontId="2" fillId="0" borderId="0" xfId="1"/>
    <xf numFmtId="9" fontId="2" fillId="0" borderId="0" xfId="2"/>
    <xf numFmtId="4" fontId="8" fillId="0" borderId="0" xfId="0" applyNumberFormat="1" applyFont="1"/>
    <xf numFmtId="0" fontId="0" fillId="4" borderId="0" xfId="0" applyFill="1"/>
    <xf numFmtId="49" fontId="11" fillId="4" borderId="0" xfId="0" applyNumberFormat="1" applyFont="1" applyFill="1" applyAlignment="1">
      <alignment horizontal="center"/>
    </xf>
    <xf numFmtId="167" fontId="11" fillId="4" borderId="0" xfId="0" applyNumberFormat="1" applyFont="1" applyFill="1" applyAlignment="1">
      <alignment horizontal="center"/>
    </xf>
    <xf numFmtId="49" fontId="9" fillId="4" borderId="0" xfId="0" applyNumberFormat="1" applyFont="1" applyFill="1" applyAlignment="1">
      <alignment horizontal="center"/>
    </xf>
    <xf numFmtId="167" fontId="9" fillId="4" borderId="0" xfId="0" applyNumberFormat="1" applyFont="1" applyFill="1" applyAlignment="1">
      <alignment horizontal="center"/>
    </xf>
    <xf numFmtId="0" fontId="9" fillId="4" borderId="0" xfId="0" applyFont="1" applyFill="1"/>
    <xf numFmtId="0" fontId="9" fillId="0" borderId="0" xfId="0" applyFont="1"/>
    <xf numFmtId="49" fontId="11" fillId="4" borderId="0" xfId="0" applyNumberFormat="1" applyFont="1" applyFill="1"/>
    <xf numFmtId="167" fontId="11" fillId="4" borderId="0" xfId="0" applyNumberFormat="1" applyFont="1" applyFill="1"/>
    <xf numFmtId="49" fontId="9" fillId="4" borderId="0" xfId="0" applyNumberFormat="1" applyFont="1" applyFill="1"/>
    <xf numFmtId="167" fontId="9" fillId="4" borderId="0" xfId="0" applyNumberFormat="1" applyFont="1" applyFill="1"/>
    <xf numFmtId="49" fontId="9" fillId="4" borderId="2" xfId="0" applyNumberFormat="1" applyFont="1" applyFill="1" applyBorder="1"/>
    <xf numFmtId="167" fontId="9" fillId="4" borderId="2" xfId="0" applyNumberFormat="1" applyFont="1" applyFill="1" applyBorder="1"/>
    <xf numFmtId="49" fontId="11" fillId="0" borderId="0" xfId="0" applyNumberFormat="1" applyFont="1"/>
    <xf numFmtId="167" fontId="11" fillId="0" borderId="0" xfId="0" applyNumberFormat="1" applyFont="1"/>
    <xf numFmtId="167" fontId="9" fillId="4" borderId="3" xfId="0" applyNumberFormat="1" applyFont="1" applyFill="1" applyBorder="1"/>
    <xf numFmtId="167" fontId="11" fillId="4" borderId="3" xfId="0" applyNumberFormat="1" applyFont="1" applyFill="1" applyBorder="1"/>
    <xf numFmtId="49" fontId="9" fillId="4" borderId="3" xfId="0" applyNumberFormat="1" applyFont="1" applyFill="1" applyBorder="1"/>
    <xf numFmtId="4" fontId="4" fillId="0" borderId="0" xfId="0" applyNumberFormat="1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 wrapText="1"/>
    </xf>
    <xf numFmtId="4" fontId="0" fillId="0" borderId="0" xfId="0" applyNumberFormat="1"/>
    <xf numFmtId="168" fontId="2" fillId="0" borderId="0" xfId="2" applyNumberFormat="1"/>
    <xf numFmtId="0" fontId="12" fillId="0" borderId="0" xfId="0" applyFont="1"/>
    <xf numFmtId="2" fontId="9" fillId="4" borderId="0" xfId="0" applyNumberFormat="1" applyFont="1" applyFill="1"/>
    <xf numFmtId="2" fontId="0" fillId="4" borderId="0" xfId="0" applyNumberFormat="1" applyFill="1"/>
    <xf numFmtId="43" fontId="2" fillId="4" borderId="0" xfId="1" applyFill="1" applyBorder="1"/>
    <xf numFmtId="43" fontId="2" fillId="4" borderId="0" xfId="1" applyFill="1"/>
    <xf numFmtId="0" fontId="14" fillId="4" borderId="0" xfId="1" applyNumberFormat="1" applyFont="1" applyFill="1"/>
    <xf numFmtId="4" fontId="12" fillId="0" borderId="0" xfId="0" applyNumberFormat="1" applyFont="1"/>
    <xf numFmtId="43" fontId="12" fillId="0" borderId="0" xfId="0" applyNumberFormat="1" applyFont="1"/>
    <xf numFmtId="168" fontId="2" fillId="0" borderId="1" xfId="2" applyNumberFormat="1" applyBorder="1"/>
    <xf numFmtId="4" fontId="19" fillId="0" borderId="0" xfId="0" applyNumberFormat="1" applyFont="1"/>
    <xf numFmtId="0" fontId="20" fillId="4" borderId="0" xfId="0" applyFont="1" applyFill="1"/>
    <xf numFmtId="0" fontId="21" fillId="4" borderId="4" xfId="0" applyFont="1" applyFill="1" applyBorder="1"/>
    <xf numFmtId="0" fontId="18" fillId="4" borderId="5" xfId="0" applyFont="1" applyFill="1" applyBorder="1"/>
    <xf numFmtId="0" fontId="18" fillId="4" borderId="4" xfId="0" applyFont="1" applyFill="1" applyBorder="1"/>
    <xf numFmtId="0" fontId="18" fillId="0" borderId="4" xfId="0" applyFont="1" applyBorder="1"/>
    <xf numFmtId="0" fontId="18" fillId="0" borderId="5" xfId="0" applyFont="1" applyBorder="1"/>
    <xf numFmtId="0" fontId="18" fillId="4" borderId="6" xfId="0" applyFont="1" applyFill="1" applyBorder="1"/>
    <xf numFmtId="44" fontId="0" fillId="4" borderId="7" xfId="3" applyFont="1" applyFill="1" applyBorder="1"/>
    <xf numFmtId="44" fontId="18" fillId="4" borderId="8" xfId="0" applyNumberFormat="1" applyFont="1" applyFill="1" applyBorder="1"/>
    <xf numFmtId="44" fontId="0" fillId="4" borderId="0" xfId="3" applyFont="1" applyFill="1"/>
    <xf numFmtId="0" fontId="18" fillId="4" borderId="9" xfId="0" applyFont="1" applyFill="1" applyBorder="1"/>
    <xf numFmtId="44" fontId="0" fillId="4" borderId="10" xfId="3" applyFont="1" applyFill="1" applyBorder="1"/>
    <xf numFmtId="44" fontId="18" fillId="4" borderId="0" xfId="0" applyNumberFormat="1" applyFont="1" applyFill="1"/>
    <xf numFmtId="0" fontId="18" fillId="4" borderId="11" xfId="0" applyFont="1" applyFill="1" applyBorder="1"/>
    <xf numFmtId="10" fontId="18" fillId="4" borderId="12" xfId="2" applyNumberFormat="1" applyFont="1" applyFill="1" applyBorder="1"/>
    <xf numFmtId="10" fontId="0" fillId="4" borderId="0" xfId="2" applyNumberFormat="1" applyFont="1" applyFill="1"/>
    <xf numFmtId="0" fontId="18" fillId="4" borderId="13" xfId="0" applyFont="1" applyFill="1" applyBorder="1"/>
    <xf numFmtId="44" fontId="0" fillId="4" borderId="14" xfId="3" applyFont="1" applyFill="1" applyBorder="1"/>
    <xf numFmtId="44" fontId="18" fillId="4" borderId="15" xfId="0" applyNumberFormat="1" applyFont="1" applyFill="1" applyBorder="1"/>
    <xf numFmtId="0" fontId="18" fillId="4" borderId="16" xfId="0" applyFont="1" applyFill="1" applyBorder="1"/>
    <xf numFmtId="10" fontId="18" fillId="4" borderId="17" xfId="2" applyNumberFormat="1" applyFont="1" applyFill="1" applyBorder="1"/>
    <xf numFmtId="44" fontId="0" fillId="4" borderId="17" xfId="3" applyFont="1" applyFill="1" applyBorder="1"/>
    <xf numFmtId="44" fontId="0" fillId="4" borderId="18" xfId="0" applyNumberFormat="1" applyFill="1" applyBorder="1"/>
    <xf numFmtId="44" fontId="18" fillId="4" borderId="17" xfId="3" applyFont="1" applyFill="1" applyBorder="1"/>
    <xf numFmtId="0" fontId="18" fillId="4" borderId="19" xfId="0" applyFont="1" applyFill="1" applyBorder="1"/>
    <xf numFmtId="10" fontId="18" fillId="4" borderId="11" xfId="2" applyNumberFormat="1" applyFont="1" applyFill="1" applyBorder="1"/>
    <xf numFmtId="10" fontId="18" fillId="4" borderId="20" xfId="2" applyNumberFormat="1" applyFont="1" applyFill="1" applyBorder="1"/>
    <xf numFmtId="0" fontId="18" fillId="4" borderId="21" xfId="0" applyFont="1" applyFill="1" applyBorder="1"/>
    <xf numFmtId="44" fontId="0" fillId="4" borderId="22" xfId="3" applyFont="1" applyFill="1" applyBorder="1"/>
    <xf numFmtId="44" fontId="0" fillId="4" borderId="23" xfId="0" applyNumberFormat="1" applyFill="1" applyBorder="1"/>
    <xf numFmtId="0" fontId="20" fillId="4" borderId="21" xfId="0" applyFont="1" applyFill="1" applyBorder="1"/>
    <xf numFmtId="44" fontId="17" fillId="4" borderId="22" xfId="0" applyNumberFormat="1" applyFont="1" applyFill="1" applyBorder="1"/>
    <xf numFmtId="0" fontId="22" fillId="4" borderId="21" xfId="0" applyFont="1" applyFill="1" applyBorder="1"/>
    <xf numFmtId="10" fontId="23" fillId="4" borderId="22" xfId="2" applyNumberFormat="1" applyFont="1" applyFill="1" applyBorder="1"/>
    <xf numFmtId="0" fontId="20" fillId="4" borderId="24" xfId="0" applyFont="1" applyFill="1" applyBorder="1"/>
    <xf numFmtId="44" fontId="24" fillId="4" borderId="6" xfId="3" applyFont="1" applyFill="1" applyBorder="1"/>
    <xf numFmtId="44" fontId="18" fillId="4" borderId="25" xfId="0" applyNumberFormat="1" applyFont="1" applyFill="1" applyBorder="1"/>
    <xf numFmtId="0" fontId="20" fillId="4" borderId="16" xfId="0" applyFont="1" applyFill="1" applyBorder="1"/>
    <xf numFmtId="44" fontId="24" fillId="4" borderId="17" xfId="3" applyFont="1" applyFill="1" applyBorder="1"/>
    <xf numFmtId="44" fontId="18" fillId="4" borderId="18" xfId="0" applyNumberFormat="1" applyFont="1" applyFill="1" applyBorder="1"/>
    <xf numFmtId="0" fontId="20" fillId="4" borderId="26" xfId="0" applyFont="1" applyFill="1" applyBorder="1"/>
    <xf numFmtId="44" fontId="24" fillId="4" borderId="27" xfId="3" applyFont="1" applyFill="1" applyBorder="1"/>
    <xf numFmtId="44" fontId="18" fillId="4" borderId="28" xfId="0" applyNumberFormat="1" applyFont="1" applyFill="1" applyBorder="1"/>
    <xf numFmtId="0" fontId="18" fillId="6" borderId="19" xfId="0" applyFont="1" applyFill="1" applyBorder="1"/>
    <xf numFmtId="44" fontId="23" fillId="4" borderId="11" xfId="4" applyNumberFormat="1" applyFont="1" applyFill="1" applyBorder="1"/>
    <xf numFmtId="44" fontId="23" fillId="4" borderId="20" xfId="4" applyNumberFormat="1" applyFont="1" applyFill="1" applyBorder="1"/>
    <xf numFmtId="0" fontId="0" fillId="4" borderId="21" xfId="0" applyFill="1" applyBorder="1"/>
    <xf numFmtId="10" fontId="25" fillId="4" borderId="22" xfId="2" applyNumberFormat="1" applyFont="1" applyFill="1" applyBorder="1"/>
    <xf numFmtId="10" fontId="24" fillId="4" borderId="22" xfId="2" applyNumberFormat="1" applyFont="1" applyFill="1" applyBorder="1"/>
    <xf numFmtId="10" fontId="24" fillId="4" borderId="23" xfId="2" applyNumberFormat="1" applyFont="1" applyFill="1" applyBorder="1"/>
    <xf numFmtId="44" fontId="0" fillId="4" borderId="0" xfId="2" applyNumberFormat="1" applyFont="1" applyFill="1"/>
    <xf numFmtId="0" fontId="18" fillId="4" borderId="29" xfId="0" applyFont="1" applyFill="1" applyBorder="1"/>
    <xf numFmtId="44" fontId="23" fillId="4" borderId="9" xfId="2" applyNumberFormat="1" applyFont="1" applyFill="1" applyBorder="1"/>
    <xf numFmtId="44" fontId="23" fillId="4" borderId="30" xfId="2" applyNumberFormat="1" applyFont="1" applyFill="1" applyBorder="1"/>
    <xf numFmtId="0" fontId="18" fillId="4" borderId="26" xfId="0" applyFont="1" applyFill="1" applyBorder="1"/>
    <xf numFmtId="44" fontId="1" fillId="4" borderId="27" xfId="3" applyFont="1" applyFill="1" applyBorder="1"/>
    <xf numFmtId="44" fontId="1" fillId="4" borderId="28" xfId="0" applyNumberFormat="1" applyFont="1" applyFill="1" applyBorder="1"/>
    <xf numFmtId="0" fontId="26" fillId="4" borderId="21" xfId="0" applyFont="1" applyFill="1" applyBorder="1"/>
    <xf numFmtId="44" fontId="23" fillId="4" borderId="31" xfId="2" applyNumberFormat="1" applyFont="1" applyFill="1" applyBorder="1"/>
    <xf numFmtId="44" fontId="23" fillId="7" borderId="23" xfId="2" applyNumberFormat="1" applyFont="1" applyFill="1" applyBorder="1"/>
    <xf numFmtId="10" fontId="27" fillId="4" borderId="0" xfId="2" applyNumberFormat="1" applyFont="1" applyFill="1"/>
    <xf numFmtId="0" fontId="27" fillId="4" borderId="0" xfId="0" applyFont="1" applyFill="1"/>
    <xf numFmtId="0" fontId="20" fillId="8" borderId="26" xfId="0" applyFont="1" applyFill="1" applyBorder="1"/>
    <xf numFmtId="44" fontId="24" fillId="8" borderId="27" xfId="3" applyFont="1" applyFill="1" applyBorder="1"/>
    <xf numFmtId="44" fontId="18" fillId="8" borderId="28" xfId="0" applyNumberFormat="1" applyFont="1" applyFill="1" applyBorder="1"/>
    <xf numFmtId="0" fontId="20" fillId="9" borderId="26" xfId="0" applyFont="1" applyFill="1" applyBorder="1"/>
    <xf numFmtId="44" fontId="24" fillId="9" borderId="27" xfId="3" applyFont="1" applyFill="1" applyBorder="1"/>
    <xf numFmtId="44" fontId="18" fillId="9" borderId="28" xfId="0" applyNumberFormat="1" applyFont="1" applyFill="1" applyBorder="1"/>
    <xf numFmtId="0" fontId="20" fillId="6" borderId="19" xfId="0" applyFont="1" applyFill="1" applyBorder="1"/>
    <xf numFmtId="44" fontId="28" fillId="4" borderId="6" xfId="3" applyFont="1" applyFill="1" applyBorder="1"/>
    <xf numFmtId="0" fontId="9" fillId="4" borderId="0" xfId="0" applyFont="1" applyFill="1" applyAlignment="1">
      <alignment horizontal="center"/>
    </xf>
    <xf numFmtId="0" fontId="0" fillId="4" borderId="0" xfId="0" applyFill="1"/>
    <xf numFmtId="0" fontId="10" fillId="4" borderId="0" xfId="0" applyFont="1" applyFill="1"/>
  </cellXfs>
  <cellStyles count="5">
    <cellStyle name="Millares" xfId="1" builtinId="3"/>
    <cellStyle name="Moneda" xfId="3" builtinId="4"/>
    <cellStyle name="Neutral" xfId="4" builtinId="28"/>
    <cellStyle name="Normal" xfId="0" builtinId="0"/>
    <cellStyle name="Porcentaje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7D7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NAS\gerencia\Financiero\presupuesto%202026\division%20restauracion\PRESUPUESTOS%202026%20copia.xlsx" TargetMode="External"/><Relationship Id="rId1" Type="http://schemas.openxmlformats.org/officeDocument/2006/relationships/externalLinkPath" Target="division%20restauracion/PRESUPUESTOS%202026%20copi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NAS\NAS\Volumes\gerencia\Financiero\Presu%202025JARDIN-GULAH%20PESIMISTA.xlsx" TargetMode="External"/><Relationship Id="rId1" Type="http://schemas.openxmlformats.org/officeDocument/2006/relationships/externalLinkPath" Target="/Financiero/presupuesto%202025/Presu%202025JARDIN-GULAH%20PESIMIS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NAS\Volumes\gerencia\Financiero\P&amp;G%20Grupo%20Cenval.xlsx" TargetMode="External"/><Relationship Id="rId1" Type="http://schemas.openxmlformats.org/officeDocument/2006/relationships/externalLinkPath" Target="/Financiero/presupuesto%202025/P&amp;G%20Grupo%20Cenv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LCULO PERSONAL 1"/>
      <sheetName val="CALCULO PERSONAL"/>
      <sheetName val="GULAH 2026"/>
      <sheetName val="EL JARDIN 2026"/>
      <sheetName val="CONSOLIDADO 2026"/>
    </sheetNames>
    <sheetDataSet>
      <sheetData sheetId="0"/>
      <sheetData sheetId="1">
        <row r="32">
          <cell r="J32">
            <v>15051.039300000002</v>
          </cell>
        </row>
        <row r="35">
          <cell r="H35">
            <v>5601.2889900000009</v>
          </cell>
        </row>
      </sheetData>
      <sheetData sheetId="2">
        <row r="5">
          <cell r="C5">
            <v>15051.039300000002</v>
          </cell>
          <cell r="D5">
            <v>15051.039300000002</v>
          </cell>
          <cell r="E5">
            <v>15051.039300000002</v>
          </cell>
          <cell r="F5">
            <v>15051.039300000002</v>
          </cell>
          <cell r="G5">
            <v>15051.039300000002</v>
          </cell>
          <cell r="H5">
            <v>15051.039300000002</v>
          </cell>
          <cell r="I5">
            <v>15051.039300000002</v>
          </cell>
          <cell r="J5">
            <v>15051.039300000002</v>
          </cell>
          <cell r="K5">
            <v>15051.039300000002</v>
          </cell>
          <cell r="L5">
            <v>15051.039300000002</v>
          </cell>
          <cell r="M5">
            <v>15051.039300000002</v>
          </cell>
          <cell r="N5">
            <v>15051.039300000002</v>
          </cell>
        </row>
        <row r="8">
          <cell r="C8">
            <v>7200</v>
          </cell>
          <cell r="D8">
            <v>7200</v>
          </cell>
          <cell r="E8">
            <v>7200</v>
          </cell>
          <cell r="F8">
            <v>7200</v>
          </cell>
          <cell r="G8">
            <v>7200</v>
          </cell>
          <cell r="H8">
            <v>7200</v>
          </cell>
          <cell r="I8">
            <v>7200</v>
          </cell>
          <cell r="J8">
            <v>7200</v>
          </cell>
          <cell r="K8">
            <v>7200</v>
          </cell>
          <cell r="L8">
            <v>7200</v>
          </cell>
          <cell r="M8">
            <v>7200</v>
          </cell>
          <cell r="N8">
            <v>7200</v>
          </cell>
        </row>
        <row r="9">
          <cell r="C9">
            <v>2100</v>
          </cell>
          <cell r="D9">
            <v>2100</v>
          </cell>
          <cell r="E9">
            <v>2100</v>
          </cell>
          <cell r="F9">
            <v>2100</v>
          </cell>
          <cell r="G9">
            <v>2100</v>
          </cell>
          <cell r="H9">
            <v>2100</v>
          </cell>
          <cell r="I9">
            <v>2100</v>
          </cell>
          <cell r="J9">
            <v>2100</v>
          </cell>
          <cell r="K9">
            <v>2100</v>
          </cell>
          <cell r="L9">
            <v>2100</v>
          </cell>
          <cell r="M9">
            <v>2100</v>
          </cell>
          <cell r="N9">
            <v>2100</v>
          </cell>
        </row>
        <row r="11">
          <cell r="C11">
            <v>1500</v>
          </cell>
          <cell r="D11">
            <v>1500</v>
          </cell>
          <cell r="E11">
            <v>1500</v>
          </cell>
          <cell r="F11">
            <v>1500</v>
          </cell>
          <cell r="G11">
            <v>1500</v>
          </cell>
          <cell r="H11">
            <v>1500</v>
          </cell>
          <cell r="I11">
            <v>1500</v>
          </cell>
          <cell r="J11">
            <v>1500</v>
          </cell>
          <cell r="K11">
            <v>1500</v>
          </cell>
          <cell r="L11">
            <v>1500</v>
          </cell>
          <cell r="M11">
            <v>1500</v>
          </cell>
          <cell r="N11">
            <v>1500</v>
          </cell>
        </row>
        <row r="12"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</row>
        <row r="13">
          <cell r="C13">
            <v>1650</v>
          </cell>
          <cell r="D13">
            <v>1650</v>
          </cell>
          <cell r="E13">
            <v>1650</v>
          </cell>
          <cell r="F13">
            <v>2610</v>
          </cell>
          <cell r="G13">
            <v>2790</v>
          </cell>
          <cell r="H13">
            <v>3120</v>
          </cell>
          <cell r="I13">
            <v>3300</v>
          </cell>
          <cell r="J13">
            <v>1290</v>
          </cell>
          <cell r="K13">
            <v>2550</v>
          </cell>
          <cell r="L13">
            <v>1710</v>
          </cell>
          <cell r="M13">
            <v>1650</v>
          </cell>
          <cell r="N13">
            <v>3300</v>
          </cell>
        </row>
        <row r="14">
          <cell r="C14">
            <v>700</v>
          </cell>
          <cell r="D14">
            <v>700</v>
          </cell>
          <cell r="E14">
            <v>700</v>
          </cell>
          <cell r="F14">
            <v>700</v>
          </cell>
          <cell r="G14">
            <v>700</v>
          </cell>
          <cell r="H14">
            <v>700</v>
          </cell>
          <cell r="I14">
            <v>700</v>
          </cell>
          <cell r="J14">
            <v>700</v>
          </cell>
          <cell r="K14">
            <v>700</v>
          </cell>
          <cell r="L14">
            <v>700</v>
          </cell>
          <cell r="M14">
            <v>700</v>
          </cell>
          <cell r="N14">
            <v>700</v>
          </cell>
        </row>
        <row r="15">
          <cell r="C15">
            <v>1500</v>
          </cell>
          <cell r="D15">
            <v>1500</v>
          </cell>
          <cell r="E15">
            <v>1500</v>
          </cell>
          <cell r="F15">
            <v>1500</v>
          </cell>
          <cell r="G15">
            <v>1500</v>
          </cell>
          <cell r="H15">
            <v>1500</v>
          </cell>
          <cell r="I15">
            <v>1500</v>
          </cell>
          <cell r="J15">
            <v>1500</v>
          </cell>
          <cell r="K15">
            <v>1500</v>
          </cell>
          <cell r="L15">
            <v>1500</v>
          </cell>
          <cell r="M15">
            <v>1500</v>
          </cell>
          <cell r="N15">
            <v>1500</v>
          </cell>
        </row>
        <row r="16">
          <cell r="C16">
            <v>0</v>
          </cell>
          <cell r="D16">
            <v>0</v>
          </cell>
          <cell r="E16">
            <v>1500</v>
          </cell>
          <cell r="F16">
            <v>0</v>
          </cell>
          <cell r="G16">
            <v>0</v>
          </cell>
          <cell r="H16">
            <v>1500</v>
          </cell>
          <cell r="I16">
            <v>0</v>
          </cell>
          <cell r="J16">
            <v>0</v>
          </cell>
          <cell r="K16">
            <v>0</v>
          </cell>
          <cell r="L16">
            <v>1500</v>
          </cell>
          <cell r="M16">
            <v>0</v>
          </cell>
          <cell r="N16">
            <v>0</v>
          </cell>
        </row>
        <row r="17">
          <cell r="C17">
            <v>500</v>
          </cell>
          <cell r="D17">
            <v>500</v>
          </cell>
          <cell r="E17">
            <v>500</v>
          </cell>
          <cell r="F17">
            <v>500</v>
          </cell>
          <cell r="G17">
            <v>500</v>
          </cell>
          <cell r="H17">
            <v>500</v>
          </cell>
          <cell r="I17">
            <v>500</v>
          </cell>
          <cell r="J17"/>
          <cell r="K17">
            <v>500</v>
          </cell>
          <cell r="L17">
            <v>500</v>
          </cell>
          <cell r="M17">
            <v>500</v>
          </cell>
          <cell r="N17">
            <v>500</v>
          </cell>
        </row>
        <row r="18"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</row>
        <row r="19">
          <cell r="C19">
            <v>125</v>
          </cell>
          <cell r="D19">
            <v>125</v>
          </cell>
          <cell r="E19">
            <v>125</v>
          </cell>
          <cell r="F19">
            <v>125</v>
          </cell>
          <cell r="G19">
            <v>125</v>
          </cell>
          <cell r="H19">
            <v>125</v>
          </cell>
          <cell r="I19">
            <v>125</v>
          </cell>
          <cell r="J19">
            <v>125</v>
          </cell>
          <cell r="K19">
            <v>125</v>
          </cell>
          <cell r="L19">
            <v>125</v>
          </cell>
          <cell r="M19">
            <v>125</v>
          </cell>
          <cell r="N19">
            <v>125</v>
          </cell>
        </row>
        <row r="20">
          <cell r="C20">
            <v>150</v>
          </cell>
          <cell r="D20">
            <v>150</v>
          </cell>
          <cell r="E20">
            <v>150</v>
          </cell>
          <cell r="F20">
            <v>150</v>
          </cell>
          <cell r="G20">
            <v>150</v>
          </cell>
          <cell r="H20">
            <v>150</v>
          </cell>
          <cell r="I20">
            <v>150</v>
          </cell>
          <cell r="J20">
            <v>150</v>
          </cell>
          <cell r="K20">
            <v>150</v>
          </cell>
          <cell r="L20">
            <v>150</v>
          </cell>
          <cell r="M20">
            <v>150</v>
          </cell>
          <cell r="N20">
            <v>150</v>
          </cell>
        </row>
        <row r="21">
          <cell r="C21">
            <v>6125</v>
          </cell>
          <cell r="D21">
            <v>6125</v>
          </cell>
          <cell r="E21">
            <v>7625</v>
          </cell>
          <cell r="F21">
            <v>7085</v>
          </cell>
          <cell r="G21">
            <v>7265</v>
          </cell>
        </row>
        <row r="23">
          <cell r="C23">
            <v>12999.999999999998</v>
          </cell>
          <cell r="D23">
            <v>12999.999999999998</v>
          </cell>
          <cell r="E23">
            <v>12999.999999999998</v>
          </cell>
          <cell r="F23">
            <v>20563.636363636364</v>
          </cell>
          <cell r="G23">
            <v>21981.818181818184</v>
          </cell>
          <cell r="H23">
            <v>24581.818181818184</v>
          </cell>
          <cell r="I23">
            <v>25999.999999999996</v>
          </cell>
          <cell r="J23">
            <v>10163.636363636364</v>
          </cell>
          <cell r="K23">
            <v>20090.909090909088</v>
          </cell>
          <cell r="L23">
            <v>13472.727272727272</v>
          </cell>
          <cell r="M23">
            <v>12999.999999999998</v>
          </cell>
          <cell r="N23">
            <v>25999.999999999996</v>
          </cell>
        </row>
        <row r="28">
          <cell r="C28">
            <v>55000</v>
          </cell>
          <cell r="D28">
            <v>55000</v>
          </cell>
          <cell r="E28">
            <v>55000</v>
          </cell>
          <cell r="F28">
            <v>87000</v>
          </cell>
          <cell r="G28">
            <v>93000</v>
          </cell>
          <cell r="H28">
            <v>104000</v>
          </cell>
          <cell r="I28">
            <v>110000</v>
          </cell>
          <cell r="J28">
            <v>43000</v>
          </cell>
          <cell r="K28">
            <v>85000</v>
          </cell>
          <cell r="L28">
            <v>57000</v>
          </cell>
          <cell r="M28">
            <v>55000</v>
          </cell>
          <cell r="N28">
            <v>110000</v>
          </cell>
        </row>
        <row r="34">
          <cell r="C34">
            <v>5601.2889900000009</v>
          </cell>
          <cell r="D34">
            <v>5601.2889900000009</v>
          </cell>
          <cell r="E34">
            <v>5601.2889900000009</v>
          </cell>
          <cell r="F34">
            <v>5601.2889900000009</v>
          </cell>
          <cell r="G34">
            <v>5601.2889900000009</v>
          </cell>
          <cell r="H34">
            <v>5601.2889900000009</v>
          </cell>
          <cell r="I34">
            <v>5601.2889900000009</v>
          </cell>
          <cell r="J34">
            <v>5601.2889900000009</v>
          </cell>
          <cell r="K34">
            <v>5601.2889900000009</v>
          </cell>
          <cell r="L34">
            <v>5601.2889900000009</v>
          </cell>
          <cell r="M34">
            <v>5601.2889900000009</v>
          </cell>
          <cell r="N34">
            <v>5601.2889900000009</v>
          </cell>
        </row>
      </sheetData>
      <sheetData sheetId="3">
        <row r="5">
          <cell r="C5">
            <v>22000</v>
          </cell>
          <cell r="D5">
            <v>22000</v>
          </cell>
          <cell r="E5">
            <v>22000</v>
          </cell>
          <cell r="F5">
            <v>25000</v>
          </cell>
          <cell r="G5">
            <v>27000</v>
          </cell>
          <cell r="H5">
            <v>30000</v>
          </cell>
          <cell r="I5">
            <v>30000</v>
          </cell>
          <cell r="J5">
            <v>25000</v>
          </cell>
          <cell r="K5">
            <v>25000</v>
          </cell>
          <cell r="L5">
            <v>22000</v>
          </cell>
          <cell r="M5">
            <v>22000</v>
          </cell>
          <cell r="N5">
            <v>22000</v>
          </cell>
        </row>
        <row r="8">
          <cell r="C8">
            <v>8100</v>
          </cell>
          <cell r="D8">
            <v>8100</v>
          </cell>
          <cell r="E8">
            <v>8100</v>
          </cell>
          <cell r="F8">
            <v>8100</v>
          </cell>
          <cell r="G8">
            <v>8100</v>
          </cell>
          <cell r="H8">
            <v>8100</v>
          </cell>
          <cell r="I8">
            <v>8100</v>
          </cell>
          <cell r="J8">
            <v>8100</v>
          </cell>
          <cell r="K8">
            <v>8100</v>
          </cell>
          <cell r="L8">
            <v>8100</v>
          </cell>
          <cell r="M8">
            <v>8100</v>
          </cell>
          <cell r="N8">
            <v>8100</v>
          </cell>
        </row>
        <row r="11">
          <cell r="C11">
            <v>3000</v>
          </cell>
          <cell r="D11">
            <v>3000</v>
          </cell>
          <cell r="E11">
            <v>3000</v>
          </cell>
          <cell r="F11">
            <v>3000</v>
          </cell>
          <cell r="G11">
            <v>3000</v>
          </cell>
          <cell r="H11">
            <v>3000</v>
          </cell>
          <cell r="I11">
            <v>3000</v>
          </cell>
          <cell r="J11">
            <v>3000</v>
          </cell>
          <cell r="K11">
            <v>3000</v>
          </cell>
          <cell r="L11">
            <v>3000</v>
          </cell>
          <cell r="M11">
            <v>3000</v>
          </cell>
          <cell r="N11">
            <v>3000</v>
          </cell>
        </row>
        <row r="12"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</row>
        <row r="13">
          <cell r="C13">
            <v>1800</v>
          </cell>
          <cell r="D13">
            <v>1800</v>
          </cell>
          <cell r="E13">
            <v>1800</v>
          </cell>
          <cell r="F13">
            <v>1800</v>
          </cell>
          <cell r="G13">
            <v>1800</v>
          </cell>
          <cell r="H13">
            <v>1800</v>
          </cell>
          <cell r="I13">
            <v>1800</v>
          </cell>
          <cell r="J13">
            <v>1800</v>
          </cell>
          <cell r="K13">
            <v>1800</v>
          </cell>
          <cell r="L13">
            <v>1800</v>
          </cell>
          <cell r="M13">
            <v>1800</v>
          </cell>
          <cell r="N13">
            <v>1800</v>
          </cell>
        </row>
        <row r="14">
          <cell r="C14">
            <v>500</v>
          </cell>
          <cell r="D14">
            <v>500</v>
          </cell>
          <cell r="E14">
            <v>500</v>
          </cell>
          <cell r="F14">
            <v>500</v>
          </cell>
          <cell r="G14">
            <v>500</v>
          </cell>
          <cell r="H14">
            <v>500</v>
          </cell>
          <cell r="I14">
            <v>500</v>
          </cell>
          <cell r="J14">
            <v>500</v>
          </cell>
          <cell r="K14">
            <v>500</v>
          </cell>
          <cell r="L14">
            <v>500</v>
          </cell>
          <cell r="M14">
            <v>500</v>
          </cell>
          <cell r="N14">
            <v>500</v>
          </cell>
        </row>
        <row r="15"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</row>
        <row r="16">
          <cell r="C16">
            <v>0</v>
          </cell>
          <cell r="D16">
            <v>0</v>
          </cell>
          <cell r="E16">
            <v>1000</v>
          </cell>
          <cell r="F16">
            <v>0</v>
          </cell>
          <cell r="G16">
            <v>0</v>
          </cell>
          <cell r="H16">
            <v>1500</v>
          </cell>
          <cell r="I16">
            <v>0</v>
          </cell>
          <cell r="J16">
            <v>0</v>
          </cell>
          <cell r="K16">
            <v>0</v>
          </cell>
          <cell r="L16">
            <v>1500</v>
          </cell>
          <cell r="M16">
            <v>0</v>
          </cell>
          <cell r="N16">
            <v>0</v>
          </cell>
        </row>
        <row r="17">
          <cell r="C17">
            <v>1000</v>
          </cell>
          <cell r="D17">
            <v>1000</v>
          </cell>
          <cell r="E17">
            <v>1000</v>
          </cell>
          <cell r="F17">
            <v>1000</v>
          </cell>
          <cell r="G17">
            <v>1000</v>
          </cell>
          <cell r="H17">
            <v>1000</v>
          </cell>
          <cell r="I17">
            <v>1000</v>
          </cell>
          <cell r="J17">
            <v>1000</v>
          </cell>
          <cell r="K17">
            <v>1000</v>
          </cell>
          <cell r="L17">
            <v>1000</v>
          </cell>
          <cell r="M17">
            <v>1000</v>
          </cell>
          <cell r="N17">
            <v>1000</v>
          </cell>
        </row>
        <row r="18"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</row>
        <row r="19">
          <cell r="C19">
            <v>125</v>
          </cell>
          <cell r="D19">
            <v>125</v>
          </cell>
          <cell r="E19">
            <v>125</v>
          </cell>
          <cell r="F19">
            <v>125</v>
          </cell>
          <cell r="G19">
            <v>125</v>
          </cell>
          <cell r="H19">
            <v>125</v>
          </cell>
          <cell r="I19">
            <v>125</v>
          </cell>
          <cell r="J19">
            <v>125</v>
          </cell>
          <cell r="K19">
            <v>125</v>
          </cell>
          <cell r="L19">
            <v>125</v>
          </cell>
          <cell r="M19">
            <v>125</v>
          </cell>
          <cell r="N19">
            <v>125</v>
          </cell>
        </row>
        <row r="20">
          <cell r="C20">
            <v>150</v>
          </cell>
          <cell r="D20">
            <v>150</v>
          </cell>
          <cell r="E20">
            <v>150</v>
          </cell>
          <cell r="F20">
            <v>150</v>
          </cell>
          <cell r="G20">
            <v>150</v>
          </cell>
          <cell r="H20">
            <v>150</v>
          </cell>
          <cell r="I20">
            <v>150</v>
          </cell>
          <cell r="J20">
            <v>150</v>
          </cell>
          <cell r="K20">
            <v>150</v>
          </cell>
          <cell r="L20">
            <v>150</v>
          </cell>
          <cell r="M20">
            <v>150</v>
          </cell>
          <cell r="N20">
            <v>150</v>
          </cell>
        </row>
        <row r="21">
          <cell r="C21">
            <v>6575</v>
          </cell>
          <cell r="D21">
            <v>6575</v>
          </cell>
          <cell r="E21">
            <v>7575</v>
          </cell>
          <cell r="F21">
            <v>6575</v>
          </cell>
          <cell r="G21">
            <v>6575</v>
          </cell>
        </row>
        <row r="23">
          <cell r="C23">
            <v>19090.909090909088</v>
          </cell>
          <cell r="D23">
            <v>19090.909090909088</v>
          </cell>
          <cell r="E23">
            <v>24545.45454545454</v>
          </cell>
          <cell r="F23">
            <v>29999.999999999993</v>
          </cell>
          <cell r="G23">
            <v>40909.090909090904</v>
          </cell>
          <cell r="H23">
            <v>51818.181818181809</v>
          </cell>
          <cell r="I23">
            <v>40909.090909090904</v>
          </cell>
          <cell r="J23">
            <v>19090.909090909088</v>
          </cell>
          <cell r="K23">
            <v>24545.45454545454</v>
          </cell>
          <cell r="L23">
            <v>24545.45454545454</v>
          </cell>
          <cell r="M23">
            <v>19090.909090909088</v>
          </cell>
          <cell r="N23">
            <v>29999.999999999993</v>
          </cell>
        </row>
        <row r="28">
          <cell r="C28">
            <v>70000</v>
          </cell>
          <cell r="D28">
            <v>70000</v>
          </cell>
          <cell r="E28">
            <v>90000</v>
          </cell>
          <cell r="F28">
            <v>110000</v>
          </cell>
          <cell r="G28">
            <v>150000</v>
          </cell>
          <cell r="H28">
            <v>190000</v>
          </cell>
          <cell r="I28">
            <v>150000</v>
          </cell>
          <cell r="J28">
            <v>70000</v>
          </cell>
          <cell r="K28">
            <v>90000</v>
          </cell>
          <cell r="L28">
            <v>90000</v>
          </cell>
          <cell r="M28">
            <v>70000</v>
          </cell>
          <cell r="N28">
            <v>110000</v>
          </cell>
        </row>
        <row r="34">
          <cell r="C34">
            <v>14000</v>
          </cell>
          <cell r="D34">
            <v>14000</v>
          </cell>
          <cell r="E34">
            <v>14000</v>
          </cell>
          <cell r="F34">
            <v>14000</v>
          </cell>
          <cell r="G34">
            <v>14000</v>
          </cell>
          <cell r="H34">
            <v>14000</v>
          </cell>
          <cell r="I34">
            <v>14000</v>
          </cell>
          <cell r="J34">
            <v>14000</v>
          </cell>
          <cell r="K34">
            <v>14000</v>
          </cell>
          <cell r="L34">
            <v>14000</v>
          </cell>
          <cell r="M34">
            <v>14000</v>
          </cell>
          <cell r="N34">
            <v>14000</v>
          </cell>
        </row>
      </sheetData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DICE"/>
      <sheetName val="DISCRIMINACION TEMPORAL"/>
      <sheetName val="PLAN INGRESOS"/>
      <sheetName val="OCUPACION"/>
      <sheetName val="PERSONAL BUENO"/>
      <sheetName val="AMORTIZACION PRESTAMO"/>
      <sheetName val="INVERSION INICIAL"/>
      <sheetName val="CUADRO GENERAL"/>
      <sheetName val="EL JARDIN"/>
      <sheetName val="CONSOLIDADO"/>
      <sheetName val="PYG 2025 GULAH"/>
      <sheetName val="PYG 2025 JARDIN"/>
      <sheetName val="PYG 2025 CONSOLIDAD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7">
          <cell r="O7">
            <v>86400</v>
          </cell>
        </row>
        <row r="9">
          <cell r="O9">
            <v>21000</v>
          </cell>
        </row>
        <row r="11">
          <cell r="O11">
            <v>16500</v>
          </cell>
        </row>
        <row r="12">
          <cell r="O12">
            <v>7200</v>
          </cell>
        </row>
        <row r="13">
          <cell r="O13">
            <v>10000</v>
          </cell>
        </row>
        <row r="14">
          <cell r="O14">
            <v>10000</v>
          </cell>
        </row>
        <row r="15">
          <cell r="O15">
            <v>600</v>
          </cell>
        </row>
        <row r="16">
          <cell r="O16">
            <v>1375</v>
          </cell>
        </row>
        <row r="17">
          <cell r="O17">
            <v>1650</v>
          </cell>
        </row>
        <row r="28">
          <cell r="O28">
            <v>41250</v>
          </cell>
        </row>
      </sheetData>
      <sheetData sheetId="8">
        <row r="7">
          <cell r="O7">
            <v>318697.16000000003</v>
          </cell>
        </row>
        <row r="9">
          <cell r="O9">
            <v>41430.630800000006</v>
          </cell>
        </row>
        <row r="10">
          <cell r="O10">
            <v>126044.72678</v>
          </cell>
        </row>
      </sheetData>
      <sheetData sheetId="9"/>
      <sheetData sheetId="10">
        <row r="7">
          <cell r="B7">
            <v>460000</v>
          </cell>
        </row>
        <row r="8">
          <cell r="B8"/>
        </row>
        <row r="11">
          <cell r="B11"/>
        </row>
        <row r="13">
          <cell r="B13"/>
        </row>
        <row r="15">
          <cell r="B15">
            <v>115000</v>
          </cell>
        </row>
        <row r="20">
          <cell r="B20">
            <v>149000</v>
          </cell>
        </row>
        <row r="21">
          <cell r="B21">
            <v>44000</v>
          </cell>
        </row>
        <row r="25">
          <cell r="B25">
            <v>86400</v>
          </cell>
        </row>
        <row r="26">
          <cell r="B26">
            <v>10600</v>
          </cell>
        </row>
        <row r="27">
          <cell r="B27"/>
        </row>
        <row r="28">
          <cell r="B28">
            <v>1375</v>
          </cell>
        </row>
        <row r="29">
          <cell r="B29"/>
        </row>
        <row r="30">
          <cell r="B30">
            <v>16500</v>
          </cell>
        </row>
        <row r="31">
          <cell r="B31">
            <v>21000</v>
          </cell>
        </row>
        <row r="32">
          <cell r="B32">
            <v>18850</v>
          </cell>
        </row>
        <row r="33">
          <cell r="B33"/>
        </row>
        <row r="35">
          <cell r="B35">
            <v>30000</v>
          </cell>
        </row>
        <row r="38">
          <cell r="B38"/>
        </row>
        <row r="40">
          <cell r="B40"/>
        </row>
        <row r="42">
          <cell r="B42"/>
        </row>
        <row r="44">
          <cell r="B44"/>
        </row>
        <row r="45">
          <cell r="B45"/>
        </row>
        <row r="47">
          <cell r="B47">
            <v>-2725</v>
          </cell>
        </row>
        <row r="49">
          <cell r="B49"/>
        </row>
        <row r="51">
          <cell r="B51"/>
        </row>
        <row r="52">
          <cell r="B52">
            <v>0</v>
          </cell>
        </row>
        <row r="54">
          <cell r="B54"/>
        </row>
        <row r="56">
          <cell r="B56"/>
        </row>
        <row r="58">
          <cell r="B58"/>
        </row>
        <row r="60">
          <cell r="B60"/>
        </row>
        <row r="62">
          <cell r="B62">
            <v>0</v>
          </cell>
        </row>
        <row r="64">
          <cell r="B64">
            <v>-2725</v>
          </cell>
        </row>
        <row r="66">
          <cell r="B66">
            <v>-408.75</v>
          </cell>
        </row>
        <row r="68">
          <cell r="B68">
            <v>-2316.25</v>
          </cell>
        </row>
      </sheetData>
      <sheetData sheetId="11">
        <row r="7">
          <cell r="B7">
            <v>1330000</v>
          </cell>
        </row>
        <row r="8">
          <cell r="B8"/>
        </row>
        <row r="11">
          <cell r="B11"/>
        </row>
        <row r="13">
          <cell r="B13"/>
        </row>
        <row r="15">
          <cell r="B15">
            <v>360000</v>
          </cell>
        </row>
        <row r="20">
          <cell r="B20">
            <v>360127.79080000002</v>
          </cell>
        </row>
        <row r="21">
          <cell r="B21">
            <v>126044.72678</v>
          </cell>
        </row>
        <row r="25">
          <cell r="B25">
            <v>150000</v>
          </cell>
        </row>
        <row r="26">
          <cell r="B26">
            <v>15000</v>
          </cell>
        </row>
        <row r="27">
          <cell r="B27">
            <v>3000</v>
          </cell>
        </row>
        <row r="28">
          <cell r="B28">
            <v>2000</v>
          </cell>
        </row>
        <row r="29">
          <cell r="B29">
            <v>6000</v>
          </cell>
        </row>
        <row r="30">
          <cell r="B30">
            <v>40000</v>
          </cell>
        </row>
        <row r="31">
          <cell r="B31">
            <v>35000</v>
          </cell>
        </row>
        <row r="32">
          <cell r="B32">
            <v>25000</v>
          </cell>
        </row>
        <row r="33">
          <cell r="B33"/>
        </row>
        <row r="35">
          <cell r="B35">
            <v>70000</v>
          </cell>
        </row>
        <row r="38">
          <cell r="B38"/>
        </row>
        <row r="40">
          <cell r="B40"/>
        </row>
        <row r="42">
          <cell r="B42"/>
        </row>
        <row r="44">
          <cell r="B44">
            <v>10000</v>
          </cell>
        </row>
        <row r="45">
          <cell r="B45"/>
        </row>
        <row r="47">
          <cell r="B47">
            <v>207827.48241999978</v>
          </cell>
        </row>
        <row r="49">
          <cell r="B49"/>
        </row>
        <row r="51">
          <cell r="B51"/>
        </row>
        <row r="52">
          <cell r="B52">
            <v>41250</v>
          </cell>
        </row>
        <row r="54">
          <cell r="B54"/>
        </row>
        <row r="56">
          <cell r="B56"/>
        </row>
        <row r="58">
          <cell r="B58"/>
        </row>
        <row r="60">
          <cell r="B60"/>
        </row>
        <row r="62">
          <cell r="B62">
            <v>41250</v>
          </cell>
        </row>
        <row r="64">
          <cell r="B64">
            <v>166577.48241999978</v>
          </cell>
        </row>
        <row r="66">
          <cell r="B66">
            <v>24986.622362999966</v>
          </cell>
        </row>
        <row r="68">
          <cell r="B68">
            <v>141590.86005699981</v>
          </cell>
        </row>
      </sheetData>
      <sheetData sheetId="1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esupuesto ventas cenval"/>
      <sheetName val="Cenval"/>
      <sheetName val="Saratur"/>
      <sheetName val="D&amp;M"/>
      <sheetName val="Total Grupo"/>
      <sheetName val="PYG GULAH"/>
      <sheetName val="PYG JARDIN"/>
      <sheetName val="PYG CONSOLIDADO D&amp;M"/>
    </sheetNames>
    <sheetDataSet>
      <sheetData sheetId="0"/>
      <sheetData sheetId="1"/>
      <sheetData sheetId="2"/>
      <sheetData sheetId="3"/>
      <sheetData sheetId="4"/>
      <sheetData sheetId="5">
        <row r="7">
          <cell r="C7">
            <v>0</v>
          </cell>
          <cell r="D7">
            <v>33000</v>
          </cell>
          <cell r="E7">
            <v>35000</v>
          </cell>
          <cell r="F7">
            <v>36000</v>
          </cell>
          <cell r="G7">
            <v>55000</v>
          </cell>
          <cell r="H7">
            <v>53000</v>
          </cell>
          <cell r="I7">
            <v>54000</v>
          </cell>
          <cell r="J7">
            <v>21000</v>
          </cell>
          <cell r="K7">
            <v>53000</v>
          </cell>
          <cell r="L7">
            <v>37000</v>
          </cell>
          <cell r="M7">
            <v>36000</v>
          </cell>
          <cell r="N7">
            <v>36500</v>
          </cell>
        </row>
        <row r="8">
          <cell r="D8"/>
          <cell r="E8"/>
          <cell r="F8"/>
          <cell r="G8"/>
          <cell r="H8"/>
          <cell r="I8"/>
          <cell r="J8"/>
          <cell r="K8"/>
          <cell r="L8"/>
          <cell r="M8"/>
          <cell r="N8"/>
        </row>
        <row r="9">
          <cell r="D9"/>
          <cell r="E9"/>
          <cell r="F9"/>
          <cell r="G9"/>
          <cell r="H9"/>
          <cell r="I9"/>
          <cell r="J9"/>
          <cell r="K9"/>
          <cell r="L9"/>
          <cell r="M9"/>
          <cell r="N9"/>
        </row>
        <row r="10">
          <cell r="D10"/>
          <cell r="E10"/>
          <cell r="F10"/>
          <cell r="G10"/>
          <cell r="H10"/>
          <cell r="I10"/>
          <cell r="J10"/>
          <cell r="K10"/>
          <cell r="L10"/>
          <cell r="M10"/>
          <cell r="N10"/>
        </row>
        <row r="11">
          <cell r="D11"/>
          <cell r="E11"/>
          <cell r="F11"/>
          <cell r="G11"/>
          <cell r="H11"/>
          <cell r="I11"/>
          <cell r="J11"/>
          <cell r="K11"/>
          <cell r="L11"/>
          <cell r="M11"/>
          <cell r="N11"/>
        </row>
        <row r="12">
          <cell r="D12"/>
          <cell r="E12"/>
          <cell r="F12"/>
          <cell r="G12"/>
          <cell r="H12"/>
          <cell r="I12"/>
          <cell r="J12"/>
          <cell r="K12"/>
          <cell r="L12"/>
          <cell r="M12"/>
          <cell r="N12"/>
        </row>
        <row r="13">
          <cell r="D13"/>
          <cell r="E13"/>
          <cell r="F13"/>
          <cell r="G13"/>
          <cell r="H13"/>
          <cell r="I13"/>
          <cell r="J13"/>
          <cell r="K13"/>
          <cell r="L13"/>
          <cell r="M13"/>
          <cell r="N13"/>
        </row>
        <row r="14">
          <cell r="D14"/>
          <cell r="E14"/>
          <cell r="F14"/>
          <cell r="G14"/>
          <cell r="H14"/>
          <cell r="I14"/>
          <cell r="J14"/>
          <cell r="K14"/>
          <cell r="L14"/>
          <cell r="M14"/>
          <cell r="N14"/>
        </row>
        <row r="15">
          <cell r="C15">
            <v>0</v>
          </cell>
          <cell r="D15">
            <v>8250</v>
          </cell>
          <cell r="E15">
            <v>8750</v>
          </cell>
          <cell r="F15">
            <v>9000</v>
          </cell>
          <cell r="G15">
            <v>13750</v>
          </cell>
          <cell r="H15">
            <v>13250</v>
          </cell>
          <cell r="I15">
            <v>13500</v>
          </cell>
          <cell r="J15">
            <v>5250</v>
          </cell>
          <cell r="K15">
            <v>13250</v>
          </cell>
          <cell r="L15">
            <v>9250</v>
          </cell>
          <cell r="M15">
            <v>9000</v>
          </cell>
          <cell r="N15">
            <v>9125</v>
          </cell>
        </row>
        <row r="16">
          <cell r="D16"/>
          <cell r="E16"/>
          <cell r="F16"/>
          <cell r="G16"/>
          <cell r="H16"/>
          <cell r="I16"/>
          <cell r="J16"/>
          <cell r="K16"/>
          <cell r="L16"/>
          <cell r="M16"/>
          <cell r="N16"/>
        </row>
        <row r="17">
          <cell r="D17"/>
          <cell r="E17"/>
          <cell r="F17"/>
          <cell r="G17"/>
          <cell r="H17"/>
          <cell r="I17"/>
          <cell r="J17"/>
          <cell r="K17"/>
          <cell r="L17"/>
          <cell r="M17"/>
          <cell r="N17"/>
        </row>
        <row r="18">
          <cell r="D18"/>
          <cell r="E18"/>
          <cell r="F18"/>
          <cell r="G18"/>
          <cell r="H18"/>
          <cell r="I18"/>
          <cell r="J18"/>
          <cell r="K18"/>
          <cell r="L18"/>
          <cell r="M18"/>
          <cell r="N18"/>
        </row>
        <row r="19">
          <cell r="D19"/>
          <cell r="E19"/>
          <cell r="F19"/>
          <cell r="G19"/>
          <cell r="H19"/>
          <cell r="I19"/>
          <cell r="J19"/>
          <cell r="K19"/>
          <cell r="L19"/>
          <cell r="M19"/>
          <cell r="N19"/>
        </row>
        <row r="20">
          <cell r="C20">
            <v>0</v>
          </cell>
          <cell r="D20">
            <v>12416.666666666666</v>
          </cell>
          <cell r="E20">
            <v>12416.666666666666</v>
          </cell>
          <cell r="F20">
            <v>12416.666666666666</v>
          </cell>
          <cell r="G20">
            <v>12416.666666666666</v>
          </cell>
          <cell r="H20">
            <v>12416.666666666666</v>
          </cell>
          <cell r="I20">
            <v>12416.666666666666</v>
          </cell>
          <cell r="J20">
            <v>12416.666666666666</v>
          </cell>
          <cell r="K20">
            <v>12416.666666666666</v>
          </cell>
          <cell r="L20">
            <v>12416.666666666666</v>
          </cell>
          <cell r="M20">
            <v>12416.666666666666</v>
          </cell>
          <cell r="N20">
            <v>12416.666666666666</v>
          </cell>
        </row>
        <row r="21">
          <cell r="C21">
            <v>0</v>
          </cell>
          <cell r="D21">
            <v>3666.6666666666665</v>
          </cell>
          <cell r="E21">
            <v>3666.6666666666665</v>
          </cell>
          <cell r="F21">
            <v>3666.6666666666665</v>
          </cell>
          <cell r="G21">
            <v>3666.6666666666665</v>
          </cell>
          <cell r="H21">
            <v>3666.6666666666665</v>
          </cell>
          <cell r="I21">
            <v>3666.6666666666665</v>
          </cell>
          <cell r="J21">
            <v>3666.6666666666665</v>
          </cell>
          <cell r="K21">
            <v>3666.6666666666665</v>
          </cell>
          <cell r="L21">
            <v>3666.6666666666665</v>
          </cell>
          <cell r="M21">
            <v>3666.6666666666665</v>
          </cell>
          <cell r="N21">
            <v>3666.6666666666665</v>
          </cell>
        </row>
        <row r="22">
          <cell r="D22"/>
          <cell r="E22"/>
          <cell r="F22"/>
          <cell r="G22"/>
          <cell r="H22"/>
          <cell r="I22"/>
          <cell r="J22"/>
          <cell r="K22"/>
          <cell r="L22"/>
          <cell r="M22"/>
          <cell r="N22"/>
        </row>
        <row r="23">
          <cell r="D23"/>
          <cell r="E23"/>
          <cell r="F23"/>
          <cell r="G23"/>
          <cell r="H23"/>
          <cell r="I23"/>
          <cell r="J23"/>
          <cell r="K23"/>
          <cell r="L23"/>
          <cell r="M23"/>
          <cell r="N23"/>
        </row>
        <row r="24">
          <cell r="D24"/>
          <cell r="E24"/>
          <cell r="F24"/>
          <cell r="G24"/>
          <cell r="H24"/>
          <cell r="I24"/>
          <cell r="J24"/>
          <cell r="K24"/>
          <cell r="L24"/>
          <cell r="M24"/>
          <cell r="N24"/>
        </row>
        <row r="25">
          <cell r="C25">
            <v>7200</v>
          </cell>
          <cell r="D25">
            <v>7200</v>
          </cell>
          <cell r="E25">
            <v>7200</v>
          </cell>
          <cell r="F25">
            <v>7200</v>
          </cell>
          <cell r="G25">
            <v>7200</v>
          </cell>
          <cell r="H25">
            <v>7200</v>
          </cell>
          <cell r="I25">
            <v>7200</v>
          </cell>
          <cell r="J25">
            <v>7200</v>
          </cell>
          <cell r="K25">
            <v>7200</v>
          </cell>
          <cell r="L25">
            <v>7200</v>
          </cell>
          <cell r="M25">
            <v>7200</v>
          </cell>
          <cell r="N25">
            <v>7200</v>
          </cell>
        </row>
        <row r="26">
          <cell r="C26">
            <v>0</v>
          </cell>
          <cell r="D26">
            <v>883.33333333333337</v>
          </cell>
          <cell r="E26">
            <v>883.33333333333337</v>
          </cell>
          <cell r="F26">
            <v>883.33333333333337</v>
          </cell>
          <cell r="G26">
            <v>883.33333333333337</v>
          </cell>
          <cell r="H26">
            <v>883.33333333333337</v>
          </cell>
          <cell r="I26">
            <v>883.33333333333337</v>
          </cell>
          <cell r="J26">
            <v>883.33333333333337</v>
          </cell>
          <cell r="K26">
            <v>883.33333333333337</v>
          </cell>
          <cell r="L26">
            <v>883.33333333333337</v>
          </cell>
          <cell r="M26">
            <v>883.33333333333337</v>
          </cell>
          <cell r="N26">
            <v>883.33333333333337</v>
          </cell>
        </row>
        <row r="27">
          <cell r="D27"/>
          <cell r="E27"/>
          <cell r="F27"/>
          <cell r="G27"/>
          <cell r="H27"/>
          <cell r="I27"/>
          <cell r="J27"/>
          <cell r="K27"/>
          <cell r="L27"/>
          <cell r="M27"/>
          <cell r="N27"/>
        </row>
        <row r="28"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1375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</row>
        <row r="29">
          <cell r="D29"/>
          <cell r="E29"/>
          <cell r="F29"/>
          <cell r="G29"/>
          <cell r="H29"/>
          <cell r="I29"/>
          <cell r="J29"/>
          <cell r="K29"/>
          <cell r="L29"/>
          <cell r="M29"/>
          <cell r="N29"/>
        </row>
        <row r="30">
          <cell r="C30">
            <v>0</v>
          </cell>
          <cell r="D30">
            <v>1375</v>
          </cell>
          <cell r="E30">
            <v>1375</v>
          </cell>
          <cell r="F30">
            <v>1375</v>
          </cell>
          <cell r="G30">
            <v>1375</v>
          </cell>
          <cell r="H30">
            <v>1375</v>
          </cell>
          <cell r="I30">
            <v>1375</v>
          </cell>
          <cell r="J30">
            <v>1375</v>
          </cell>
          <cell r="K30">
            <v>1375</v>
          </cell>
          <cell r="L30">
            <v>1375</v>
          </cell>
          <cell r="M30">
            <v>1375</v>
          </cell>
          <cell r="N30">
            <v>1375</v>
          </cell>
        </row>
        <row r="31">
          <cell r="C31">
            <v>0</v>
          </cell>
          <cell r="D31">
            <v>1750</v>
          </cell>
          <cell r="E31">
            <v>1750</v>
          </cell>
          <cell r="F31">
            <v>1750</v>
          </cell>
          <cell r="G31">
            <v>1750</v>
          </cell>
          <cell r="H31">
            <v>1750</v>
          </cell>
          <cell r="I31">
            <v>1750</v>
          </cell>
          <cell r="J31">
            <v>1750</v>
          </cell>
          <cell r="K31">
            <v>1750</v>
          </cell>
          <cell r="L31">
            <v>1750</v>
          </cell>
          <cell r="M31">
            <v>1750</v>
          </cell>
          <cell r="N31">
            <v>1750</v>
          </cell>
        </row>
        <row r="32">
          <cell r="C32">
            <v>0</v>
          </cell>
          <cell r="D32">
            <v>1570.8333333333333</v>
          </cell>
          <cell r="E32">
            <v>1570.8333333333333</v>
          </cell>
          <cell r="F32">
            <v>1570.8333333333333</v>
          </cell>
          <cell r="G32">
            <v>1570.8333333333333</v>
          </cell>
          <cell r="H32">
            <v>1570.8333333333333</v>
          </cell>
          <cell r="I32">
            <v>1570.8333333333333</v>
          </cell>
          <cell r="J32">
            <v>1570.8333333333333</v>
          </cell>
          <cell r="K32">
            <v>1570.8333333333333</v>
          </cell>
          <cell r="L32">
            <v>1570.8333333333333</v>
          </cell>
          <cell r="M32">
            <v>1570.8333333333333</v>
          </cell>
          <cell r="N32">
            <v>1570.8333333333333</v>
          </cell>
        </row>
        <row r="33">
          <cell r="D33"/>
          <cell r="E33"/>
          <cell r="F33"/>
          <cell r="G33"/>
          <cell r="H33"/>
          <cell r="I33"/>
          <cell r="J33"/>
          <cell r="K33"/>
          <cell r="L33"/>
          <cell r="M33"/>
          <cell r="N33"/>
        </row>
      </sheetData>
      <sheetData sheetId="6">
        <row r="7">
          <cell r="C7">
            <v>66000</v>
          </cell>
          <cell r="D7">
            <v>68000</v>
          </cell>
          <cell r="E7">
            <v>75000</v>
          </cell>
          <cell r="F7">
            <v>104000</v>
          </cell>
          <cell r="G7">
            <v>134000</v>
          </cell>
          <cell r="H7">
            <v>180000</v>
          </cell>
          <cell r="I7">
            <v>165000</v>
          </cell>
          <cell r="J7">
            <v>98000</v>
          </cell>
          <cell r="K7">
            <v>132000</v>
          </cell>
          <cell r="L7">
            <v>113000</v>
          </cell>
          <cell r="M7">
            <v>84000</v>
          </cell>
          <cell r="N7">
            <v>113000</v>
          </cell>
        </row>
        <row r="8">
          <cell r="C8"/>
          <cell r="D8"/>
          <cell r="E8"/>
          <cell r="F8"/>
          <cell r="G8"/>
          <cell r="H8"/>
          <cell r="I8"/>
          <cell r="J8"/>
          <cell r="K8"/>
          <cell r="L8"/>
        </row>
        <row r="9">
          <cell r="C9"/>
          <cell r="D9"/>
          <cell r="E9"/>
          <cell r="F9"/>
          <cell r="G9"/>
          <cell r="H9"/>
          <cell r="I9"/>
          <cell r="J9"/>
          <cell r="K9"/>
          <cell r="L9"/>
        </row>
        <row r="10">
          <cell r="C10"/>
          <cell r="D10"/>
          <cell r="E10"/>
          <cell r="F10"/>
          <cell r="G10"/>
          <cell r="H10"/>
          <cell r="I10"/>
          <cell r="J10"/>
          <cell r="K10"/>
          <cell r="L10"/>
        </row>
        <row r="11">
          <cell r="C11"/>
          <cell r="D11"/>
          <cell r="E11"/>
          <cell r="F11"/>
          <cell r="G11"/>
          <cell r="H11"/>
          <cell r="I11"/>
          <cell r="J11"/>
          <cell r="K11"/>
          <cell r="L11"/>
        </row>
        <row r="12">
          <cell r="C12"/>
          <cell r="D12"/>
          <cell r="E12"/>
          <cell r="F12"/>
          <cell r="G12"/>
          <cell r="H12"/>
          <cell r="I12"/>
          <cell r="J12"/>
          <cell r="K12"/>
          <cell r="L12"/>
        </row>
        <row r="13">
          <cell r="C13"/>
          <cell r="D13"/>
          <cell r="E13"/>
          <cell r="F13"/>
          <cell r="G13"/>
          <cell r="H13"/>
          <cell r="I13"/>
          <cell r="J13"/>
          <cell r="K13"/>
          <cell r="L13"/>
        </row>
        <row r="14">
          <cell r="C14"/>
          <cell r="D14"/>
          <cell r="E14"/>
          <cell r="F14"/>
          <cell r="G14"/>
          <cell r="H14"/>
          <cell r="I14"/>
          <cell r="J14"/>
          <cell r="K14"/>
          <cell r="L14"/>
        </row>
        <row r="15">
          <cell r="C15">
            <v>16500</v>
          </cell>
          <cell r="D15">
            <v>17000</v>
          </cell>
          <cell r="E15">
            <v>18750</v>
          </cell>
          <cell r="F15">
            <v>26000</v>
          </cell>
          <cell r="G15">
            <v>33500</v>
          </cell>
          <cell r="H15">
            <v>45000</v>
          </cell>
          <cell r="I15">
            <v>41250</v>
          </cell>
          <cell r="J15">
            <v>24500</v>
          </cell>
          <cell r="K15">
            <v>33000</v>
          </cell>
          <cell r="L15">
            <v>28250</v>
          </cell>
          <cell r="M15">
            <v>21000</v>
          </cell>
          <cell r="N15">
            <v>28250</v>
          </cell>
        </row>
        <row r="16">
          <cell r="C16"/>
          <cell r="D16"/>
          <cell r="E16"/>
          <cell r="F16"/>
          <cell r="G16"/>
          <cell r="H16"/>
          <cell r="I16"/>
          <cell r="J16"/>
          <cell r="K16"/>
          <cell r="L16"/>
        </row>
        <row r="17">
          <cell r="C17"/>
          <cell r="D17"/>
          <cell r="E17"/>
          <cell r="F17"/>
          <cell r="G17"/>
          <cell r="H17"/>
          <cell r="I17"/>
          <cell r="J17"/>
          <cell r="K17"/>
          <cell r="L17"/>
        </row>
        <row r="18">
          <cell r="C18"/>
          <cell r="D18"/>
          <cell r="E18"/>
          <cell r="F18"/>
          <cell r="G18"/>
          <cell r="H18"/>
          <cell r="I18"/>
          <cell r="J18"/>
          <cell r="K18"/>
          <cell r="L18"/>
        </row>
        <row r="19">
          <cell r="C19"/>
          <cell r="D19"/>
          <cell r="E19"/>
          <cell r="F19"/>
          <cell r="G19"/>
          <cell r="H19"/>
          <cell r="I19"/>
          <cell r="J19"/>
          <cell r="K19"/>
          <cell r="L19"/>
        </row>
        <row r="20">
          <cell r="C20">
            <v>30010.649233333334</v>
          </cell>
          <cell r="D20">
            <v>30010.649233333334</v>
          </cell>
          <cell r="E20">
            <v>30010.649233333334</v>
          </cell>
          <cell r="F20">
            <v>30010.649233333334</v>
          </cell>
          <cell r="G20">
            <v>30010.649233333334</v>
          </cell>
          <cell r="H20">
            <v>30010.649233333334</v>
          </cell>
          <cell r="I20">
            <v>30010.649233333334</v>
          </cell>
          <cell r="J20">
            <v>30010.649233333334</v>
          </cell>
          <cell r="K20">
            <v>30010.649233333334</v>
          </cell>
          <cell r="L20">
            <v>30010.649233333334</v>
          </cell>
          <cell r="M20">
            <v>30010.649233333334</v>
          </cell>
          <cell r="N20">
            <v>30010.649233333334</v>
          </cell>
        </row>
        <row r="21">
          <cell r="C21">
            <v>10503.727231666666</v>
          </cell>
          <cell r="D21">
            <v>10503.727231666666</v>
          </cell>
          <cell r="E21">
            <v>10503.727231666666</v>
          </cell>
          <cell r="F21">
            <v>10503.727231666666</v>
          </cell>
          <cell r="G21">
            <v>10503.727231666666</v>
          </cell>
          <cell r="H21">
            <v>10503.727231666666</v>
          </cell>
          <cell r="I21">
            <v>10503.727231666666</v>
          </cell>
          <cell r="J21">
            <v>10503.727231666666</v>
          </cell>
          <cell r="K21">
            <v>10503.727231666666</v>
          </cell>
          <cell r="L21">
            <v>10503.727231666666</v>
          </cell>
          <cell r="M21">
            <v>10503.727231666666</v>
          </cell>
          <cell r="N21">
            <v>10503.727231666666</v>
          </cell>
        </row>
        <row r="22">
          <cell r="C22"/>
          <cell r="D22"/>
          <cell r="E22"/>
          <cell r="F22"/>
          <cell r="G22"/>
          <cell r="H22"/>
          <cell r="I22"/>
          <cell r="J22"/>
          <cell r="K22"/>
          <cell r="L22"/>
        </row>
        <row r="23">
          <cell r="C23"/>
          <cell r="D23"/>
          <cell r="E23"/>
          <cell r="F23"/>
          <cell r="G23"/>
          <cell r="H23"/>
          <cell r="I23"/>
          <cell r="J23"/>
          <cell r="K23"/>
          <cell r="L23"/>
        </row>
        <row r="24">
          <cell r="C24"/>
          <cell r="D24"/>
          <cell r="E24"/>
          <cell r="F24"/>
          <cell r="G24"/>
          <cell r="H24"/>
          <cell r="I24"/>
          <cell r="J24"/>
          <cell r="K24"/>
          <cell r="L24"/>
        </row>
        <row r="25">
          <cell r="C25">
            <v>12500</v>
          </cell>
          <cell r="D25">
            <v>12500</v>
          </cell>
          <cell r="E25">
            <v>12500</v>
          </cell>
          <cell r="F25">
            <v>12500</v>
          </cell>
          <cell r="G25">
            <v>12500</v>
          </cell>
          <cell r="H25">
            <v>12500</v>
          </cell>
          <cell r="I25">
            <v>12500</v>
          </cell>
          <cell r="J25">
            <v>12500</v>
          </cell>
          <cell r="K25">
            <v>12500</v>
          </cell>
          <cell r="L25">
            <v>12500</v>
          </cell>
          <cell r="M25">
            <v>12500</v>
          </cell>
          <cell r="N25">
            <v>12500</v>
          </cell>
        </row>
        <row r="26">
          <cell r="C26">
            <v>1250</v>
          </cell>
          <cell r="D26">
            <v>1250</v>
          </cell>
          <cell r="E26">
            <v>1250</v>
          </cell>
          <cell r="F26">
            <v>1250</v>
          </cell>
          <cell r="G26">
            <v>1250</v>
          </cell>
          <cell r="H26">
            <v>1250</v>
          </cell>
          <cell r="I26">
            <v>1250</v>
          </cell>
          <cell r="J26">
            <v>1250</v>
          </cell>
          <cell r="K26">
            <v>1250</v>
          </cell>
          <cell r="L26">
            <v>1250</v>
          </cell>
          <cell r="M26">
            <v>1250</v>
          </cell>
          <cell r="N26">
            <v>1250</v>
          </cell>
        </row>
        <row r="27">
          <cell r="C27"/>
          <cell r="D27"/>
          <cell r="E27"/>
          <cell r="F27"/>
          <cell r="G27"/>
          <cell r="H27"/>
          <cell r="I27"/>
          <cell r="J27"/>
          <cell r="K27"/>
          <cell r="L27"/>
        </row>
        <row r="28"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1375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</row>
        <row r="29">
          <cell r="C29"/>
          <cell r="D29"/>
          <cell r="E29"/>
          <cell r="F29"/>
          <cell r="G29"/>
          <cell r="H29"/>
          <cell r="I29"/>
          <cell r="J29"/>
          <cell r="K29"/>
          <cell r="L29"/>
        </row>
        <row r="30">
          <cell r="C30">
            <v>0</v>
          </cell>
          <cell r="D30">
            <v>3333.3333333333335</v>
          </cell>
          <cell r="E30">
            <v>3333.3333333333335</v>
          </cell>
          <cell r="F30">
            <v>3333.3333333333335</v>
          </cell>
          <cell r="G30">
            <v>3333.3333333333335</v>
          </cell>
          <cell r="H30">
            <v>3333.3333333333335</v>
          </cell>
          <cell r="I30">
            <v>3333.3333333333335</v>
          </cell>
          <cell r="J30">
            <v>3333.3333333333335</v>
          </cell>
          <cell r="K30">
            <v>3333.3333333333335</v>
          </cell>
          <cell r="L30">
            <v>3333.3333333333335</v>
          </cell>
          <cell r="M30">
            <v>3333.3333333333335</v>
          </cell>
          <cell r="N30">
            <v>3333.3333333333335</v>
          </cell>
        </row>
        <row r="31">
          <cell r="C31">
            <v>0</v>
          </cell>
          <cell r="D31">
            <v>2916.6666666666665</v>
          </cell>
          <cell r="E31">
            <v>2916.6666666666665</v>
          </cell>
          <cell r="F31">
            <v>2916.6666666666665</v>
          </cell>
          <cell r="G31">
            <v>2916.6666666666665</v>
          </cell>
          <cell r="H31">
            <v>2916.6666666666665</v>
          </cell>
          <cell r="I31">
            <v>2916.6666666666665</v>
          </cell>
          <cell r="J31">
            <v>2916.6666666666665</v>
          </cell>
          <cell r="K31">
            <v>2916.6666666666665</v>
          </cell>
          <cell r="L31">
            <v>2916.6666666666665</v>
          </cell>
          <cell r="M31">
            <v>2916.6666666666665</v>
          </cell>
          <cell r="N31">
            <v>2916.6666666666665</v>
          </cell>
        </row>
        <row r="32">
          <cell r="C32">
            <v>0</v>
          </cell>
          <cell r="D32">
            <v>2083.3333333333335</v>
          </cell>
          <cell r="E32">
            <v>2083.3333333333335</v>
          </cell>
          <cell r="F32">
            <v>2083.3333333333335</v>
          </cell>
          <cell r="G32">
            <v>2083.3333333333335</v>
          </cell>
          <cell r="H32">
            <v>2083.3333333333335</v>
          </cell>
          <cell r="I32">
            <v>2083.3333333333335</v>
          </cell>
          <cell r="J32">
            <v>2083.3333333333335</v>
          </cell>
          <cell r="K32">
            <v>2083.3333333333335</v>
          </cell>
          <cell r="L32">
            <v>2083.3333333333335</v>
          </cell>
          <cell r="M32">
            <v>2083.3333333333335</v>
          </cell>
          <cell r="N32">
            <v>2083.3333333333335</v>
          </cell>
        </row>
        <row r="33">
          <cell r="C33"/>
          <cell r="D33"/>
          <cell r="E33"/>
          <cell r="F33"/>
          <cell r="G33"/>
          <cell r="H33"/>
          <cell r="I33"/>
          <cell r="J33"/>
          <cell r="K33"/>
          <cell r="L33"/>
        </row>
      </sheetData>
      <sheetData sheetId="7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E8C45-715F-45D3-99FD-F5265B04C77C}">
  <dimension ref="A1:BO1000"/>
  <sheetViews>
    <sheetView topLeftCell="AP975" workbookViewId="0">
      <selection activeCell="Q998" sqref="Q998"/>
    </sheetView>
  </sheetViews>
  <sheetFormatPr baseColWidth="10" defaultRowHeight="15" x14ac:dyDescent="0.25"/>
  <cols>
    <col min="2" max="2" width="43.7109375" customWidth="1"/>
    <col min="3" max="3" width="14" customWidth="1"/>
    <col min="4" max="15" width="11.7109375" customWidth="1"/>
    <col min="16" max="16" width="13" bestFit="1" customWidth="1"/>
    <col min="17" max="28" width="13" customWidth="1"/>
    <col min="29" max="41" width="12.7109375" customWidth="1"/>
    <col min="43" max="43" width="14" style="18" customWidth="1"/>
    <col min="44" max="44" width="13.140625" customWidth="1"/>
    <col min="45" max="45" width="13.7109375" customWidth="1"/>
    <col min="46" max="46" width="12.7109375" customWidth="1"/>
    <col min="47" max="47" width="13.42578125" customWidth="1"/>
    <col min="48" max="48" width="12.140625" customWidth="1"/>
    <col min="51" max="51" width="16.7109375" customWidth="1"/>
    <col min="255" max="255" width="43.7109375" customWidth="1"/>
    <col min="256" max="258" width="0" hidden="1" customWidth="1"/>
    <col min="259" max="271" width="11.7109375" customWidth="1"/>
    <col min="272" max="272" width="13" bestFit="1" customWidth="1"/>
    <col min="273" max="284" width="13" customWidth="1"/>
    <col min="285" max="297" width="12.7109375" customWidth="1"/>
    <col min="299" max="299" width="14" customWidth="1"/>
    <col min="300" max="300" width="13.140625" customWidth="1"/>
    <col min="301" max="301" width="13.7109375" customWidth="1"/>
    <col min="302" max="302" width="12.7109375" customWidth="1"/>
    <col min="303" max="303" width="13.42578125" customWidth="1"/>
    <col min="511" max="511" width="43.7109375" customWidth="1"/>
    <col min="512" max="514" width="0" hidden="1" customWidth="1"/>
    <col min="515" max="527" width="11.7109375" customWidth="1"/>
    <col min="528" max="528" width="13" bestFit="1" customWidth="1"/>
    <col min="529" max="540" width="13" customWidth="1"/>
    <col min="541" max="553" width="12.7109375" customWidth="1"/>
    <col min="555" max="555" width="14" customWidth="1"/>
    <col min="556" max="556" width="13.140625" customWidth="1"/>
    <col min="557" max="557" width="13.7109375" customWidth="1"/>
    <col min="558" max="558" width="12.7109375" customWidth="1"/>
    <col min="559" max="559" width="13.42578125" customWidth="1"/>
    <col min="767" max="767" width="43.7109375" customWidth="1"/>
    <col min="768" max="770" width="0" hidden="1" customWidth="1"/>
    <col min="771" max="783" width="11.7109375" customWidth="1"/>
    <col min="784" max="784" width="13" bestFit="1" customWidth="1"/>
    <col min="785" max="796" width="13" customWidth="1"/>
    <col min="797" max="809" width="12.7109375" customWidth="1"/>
    <col min="811" max="811" width="14" customWidth="1"/>
    <col min="812" max="812" width="13.140625" customWidth="1"/>
    <col min="813" max="813" width="13.7109375" customWidth="1"/>
    <col min="814" max="814" width="12.7109375" customWidth="1"/>
    <col min="815" max="815" width="13.42578125" customWidth="1"/>
    <col min="1023" max="1023" width="43.7109375" customWidth="1"/>
    <col min="1024" max="1026" width="0" hidden="1" customWidth="1"/>
    <col min="1027" max="1039" width="11.7109375" customWidth="1"/>
    <col min="1040" max="1040" width="13" bestFit="1" customWidth="1"/>
    <col min="1041" max="1052" width="13" customWidth="1"/>
    <col min="1053" max="1065" width="12.7109375" customWidth="1"/>
    <col min="1067" max="1067" width="14" customWidth="1"/>
    <col min="1068" max="1068" width="13.140625" customWidth="1"/>
    <col min="1069" max="1069" width="13.7109375" customWidth="1"/>
    <col min="1070" max="1070" width="12.7109375" customWidth="1"/>
    <col min="1071" max="1071" width="13.42578125" customWidth="1"/>
    <col min="1279" max="1279" width="43.7109375" customWidth="1"/>
    <col min="1280" max="1282" width="0" hidden="1" customWidth="1"/>
    <col min="1283" max="1295" width="11.7109375" customWidth="1"/>
    <col min="1296" max="1296" width="13" bestFit="1" customWidth="1"/>
    <col min="1297" max="1308" width="13" customWidth="1"/>
    <col min="1309" max="1321" width="12.7109375" customWidth="1"/>
    <col min="1323" max="1323" width="14" customWidth="1"/>
    <col min="1324" max="1324" width="13.140625" customWidth="1"/>
    <col min="1325" max="1325" width="13.7109375" customWidth="1"/>
    <col min="1326" max="1326" width="12.7109375" customWidth="1"/>
    <col min="1327" max="1327" width="13.42578125" customWidth="1"/>
    <col min="1535" max="1535" width="43.7109375" customWidth="1"/>
    <col min="1536" max="1538" width="0" hidden="1" customWidth="1"/>
    <col min="1539" max="1551" width="11.7109375" customWidth="1"/>
    <col min="1552" max="1552" width="13" bestFit="1" customWidth="1"/>
    <col min="1553" max="1564" width="13" customWidth="1"/>
    <col min="1565" max="1577" width="12.7109375" customWidth="1"/>
    <col min="1579" max="1579" width="14" customWidth="1"/>
    <col min="1580" max="1580" width="13.140625" customWidth="1"/>
    <col min="1581" max="1581" width="13.7109375" customWidth="1"/>
    <col min="1582" max="1582" width="12.7109375" customWidth="1"/>
    <col min="1583" max="1583" width="13.42578125" customWidth="1"/>
    <col min="1791" max="1791" width="43.7109375" customWidth="1"/>
    <col min="1792" max="1794" width="0" hidden="1" customWidth="1"/>
    <col min="1795" max="1807" width="11.7109375" customWidth="1"/>
    <col min="1808" max="1808" width="13" bestFit="1" customWidth="1"/>
    <col min="1809" max="1820" width="13" customWidth="1"/>
    <col min="1821" max="1833" width="12.7109375" customWidth="1"/>
    <col min="1835" max="1835" width="14" customWidth="1"/>
    <col min="1836" max="1836" width="13.140625" customWidth="1"/>
    <col min="1837" max="1837" width="13.7109375" customWidth="1"/>
    <col min="1838" max="1838" width="12.7109375" customWidth="1"/>
    <col min="1839" max="1839" width="13.42578125" customWidth="1"/>
    <col min="2047" max="2047" width="43.7109375" customWidth="1"/>
    <col min="2048" max="2050" width="0" hidden="1" customWidth="1"/>
    <col min="2051" max="2063" width="11.7109375" customWidth="1"/>
    <col min="2064" max="2064" width="13" bestFit="1" customWidth="1"/>
    <col min="2065" max="2076" width="13" customWidth="1"/>
    <col min="2077" max="2089" width="12.7109375" customWidth="1"/>
    <col min="2091" max="2091" width="14" customWidth="1"/>
    <col min="2092" max="2092" width="13.140625" customWidth="1"/>
    <col min="2093" max="2093" width="13.7109375" customWidth="1"/>
    <col min="2094" max="2094" width="12.7109375" customWidth="1"/>
    <col min="2095" max="2095" width="13.42578125" customWidth="1"/>
    <col min="2303" max="2303" width="43.7109375" customWidth="1"/>
    <col min="2304" max="2306" width="0" hidden="1" customWidth="1"/>
    <col min="2307" max="2319" width="11.7109375" customWidth="1"/>
    <col min="2320" max="2320" width="13" bestFit="1" customWidth="1"/>
    <col min="2321" max="2332" width="13" customWidth="1"/>
    <col min="2333" max="2345" width="12.7109375" customWidth="1"/>
    <col min="2347" max="2347" width="14" customWidth="1"/>
    <col min="2348" max="2348" width="13.140625" customWidth="1"/>
    <col min="2349" max="2349" width="13.7109375" customWidth="1"/>
    <col min="2350" max="2350" width="12.7109375" customWidth="1"/>
    <col min="2351" max="2351" width="13.42578125" customWidth="1"/>
    <col min="2559" max="2559" width="43.7109375" customWidth="1"/>
    <col min="2560" max="2562" width="0" hidden="1" customWidth="1"/>
    <col min="2563" max="2575" width="11.7109375" customWidth="1"/>
    <col min="2576" max="2576" width="13" bestFit="1" customWidth="1"/>
    <col min="2577" max="2588" width="13" customWidth="1"/>
    <col min="2589" max="2601" width="12.7109375" customWidth="1"/>
    <col min="2603" max="2603" width="14" customWidth="1"/>
    <col min="2604" max="2604" width="13.140625" customWidth="1"/>
    <col min="2605" max="2605" width="13.7109375" customWidth="1"/>
    <col min="2606" max="2606" width="12.7109375" customWidth="1"/>
    <col min="2607" max="2607" width="13.42578125" customWidth="1"/>
    <col min="2815" max="2815" width="43.7109375" customWidth="1"/>
    <col min="2816" max="2818" width="0" hidden="1" customWidth="1"/>
    <col min="2819" max="2831" width="11.7109375" customWidth="1"/>
    <col min="2832" max="2832" width="13" bestFit="1" customWidth="1"/>
    <col min="2833" max="2844" width="13" customWidth="1"/>
    <col min="2845" max="2857" width="12.7109375" customWidth="1"/>
    <col min="2859" max="2859" width="14" customWidth="1"/>
    <col min="2860" max="2860" width="13.140625" customWidth="1"/>
    <col min="2861" max="2861" width="13.7109375" customWidth="1"/>
    <col min="2862" max="2862" width="12.7109375" customWidth="1"/>
    <col min="2863" max="2863" width="13.42578125" customWidth="1"/>
    <col min="3071" max="3071" width="43.7109375" customWidth="1"/>
    <col min="3072" max="3074" width="0" hidden="1" customWidth="1"/>
    <col min="3075" max="3087" width="11.7109375" customWidth="1"/>
    <col min="3088" max="3088" width="13" bestFit="1" customWidth="1"/>
    <col min="3089" max="3100" width="13" customWidth="1"/>
    <col min="3101" max="3113" width="12.7109375" customWidth="1"/>
    <col min="3115" max="3115" width="14" customWidth="1"/>
    <col min="3116" max="3116" width="13.140625" customWidth="1"/>
    <col min="3117" max="3117" width="13.7109375" customWidth="1"/>
    <col min="3118" max="3118" width="12.7109375" customWidth="1"/>
    <col min="3119" max="3119" width="13.42578125" customWidth="1"/>
    <col min="3327" max="3327" width="43.7109375" customWidth="1"/>
    <col min="3328" max="3330" width="0" hidden="1" customWidth="1"/>
    <col min="3331" max="3343" width="11.7109375" customWidth="1"/>
    <col min="3344" max="3344" width="13" bestFit="1" customWidth="1"/>
    <col min="3345" max="3356" width="13" customWidth="1"/>
    <col min="3357" max="3369" width="12.7109375" customWidth="1"/>
    <col min="3371" max="3371" width="14" customWidth="1"/>
    <col min="3372" max="3372" width="13.140625" customWidth="1"/>
    <col min="3373" max="3373" width="13.7109375" customWidth="1"/>
    <col min="3374" max="3374" width="12.7109375" customWidth="1"/>
    <col min="3375" max="3375" width="13.42578125" customWidth="1"/>
    <col min="3583" max="3583" width="43.7109375" customWidth="1"/>
    <col min="3584" max="3586" width="0" hidden="1" customWidth="1"/>
    <col min="3587" max="3599" width="11.7109375" customWidth="1"/>
    <col min="3600" max="3600" width="13" bestFit="1" customWidth="1"/>
    <col min="3601" max="3612" width="13" customWidth="1"/>
    <col min="3613" max="3625" width="12.7109375" customWidth="1"/>
    <col min="3627" max="3627" width="14" customWidth="1"/>
    <col min="3628" max="3628" width="13.140625" customWidth="1"/>
    <col min="3629" max="3629" width="13.7109375" customWidth="1"/>
    <col min="3630" max="3630" width="12.7109375" customWidth="1"/>
    <col min="3631" max="3631" width="13.42578125" customWidth="1"/>
    <col min="3839" max="3839" width="43.7109375" customWidth="1"/>
    <col min="3840" max="3842" width="0" hidden="1" customWidth="1"/>
    <col min="3843" max="3855" width="11.7109375" customWidth="1"/>
    <col min="3856" max="3856" width="13" bestFit="1" customWidth="1"/>
    <col min="3857" max="3868" width="13" customWidth="1"/>
    <col min="3869" max="3881" width="12.7109375" customWidth="1"/>
    <col min="3883" max="3883" width="14" customWidth="1"/>
    <col min="3884" max="3884" width="13.140625" customWidth="1"/>
    <col min="3885" max="3885" width="13.7109375" customWidth="1"/>
    <col min="3886" max="3886" width="12.7109375" customWidth="1"/>
    <col min="3887" max="3887" width="13.42578125" customWidth="1"/>
    <col min="4095" max="4095" width="43.7109375" customWidth="1"/>
    <col min="4096" max="4098" width="0" hidden="1" customWidth="1"/>
    <col min="4099" max="4111" width="11.7109375" customWidth="1"/>
    <col min="4112" max="4112" width="13" bestFit="1" customWidth="1"/>
    <col min="4113" max="4124" width="13" customWidth="1"/>
    <col min="4125" max="4137" width="12.7109375" customWidth="1"/>
    <col min="4139" max="4139" width="14" customWidth="1"/>
    <col min="4140" max="4140" width="13.140625" customWidth="1"/>
    <col min="4141" max="4141" width="13.7109375" customWidth="1"/>
    <col min="4142" max="4142" width="12.7109375" customWidth="1"/>
    <col min="4143" max="4143" width="13.42578125" customWidth="1"/>
    <col min="4351" max="4351" width="43.7109375" customWidth="1"/>
    <col min="4352" max="4354" width="0" hidden="1" customWidth="1"/>
    <col min="4355" max="4367" width="11.7109375" customWidth="1"/>
    <col min="4368" max="4368" width="13" bestFit="1" customWidth="1"/>
    <col min="4369" max="4380" width="13" customWidth="1"/>
    <col min="4381" max="4393" width="12.7109375" customWidth="1"/>
    <col min="4395" max="4395" width="14" customWidth="1"/>
    <col min="4396" max="4396" width="13.140625" customWidth="1"/>
    <col min="4397" max="4397" width="13.7109375" customWidth="1"/>
    <col min="4398" max="4398" width="12.7109375" customWidth="1"/>
    <col min="4399" max="4399" width="13.42578125" customWidth="1"/>
    <col min="4607" max="4607" width="43.7109375" customWidth="1"/>
    <col min="4608" max="4610" width="0" hidden="1" customWidth="1"/>
    <col min="4611" max="4623" width="11.7109375" customWidth="1"/>
    <col min="4624" max="4624" width="13" bestFit="1" customWidth="1"/>
    <col min="4625" max="4636" width="13" customWidth="1"/>
    <col min="4637" max="4649" width="12.7109375" customWidth="1"/>
    <col min="4651" max="4651" width="14" customWidth="1"/>
    <col min="4652" max="4652" width="13.140625" customWidth="1"/>
    <col min="4653" max="4653" width="13.7109375" customWidth="1"/>
    <col min="4654" max="4654" width="12.7109375" customWidth="1"/>
    <col min="4655" max="4655" width="13.42578125" customWidth="1"/>
    <col min="4863" max="4863" width="43.7109375" customWidth="1"/>
    <col min="4864" max="4866" width="0" hidden="1" customWidth="1"/>
    <col min="4867" max="4879" width="11.7109375" customWidth="1"/>
    <col min="4880" max="4880" width="13" bestFit="1" customWidth="1"/>
    <col min="4881" max="4892" width="13" customWidth="1"/>
    <col min="4893" max="4905" width="12.7109375" customWidth="1"/>
    <col min="4907" max="4907" width="14" customWidth="1"/>
    <col min="4908" max="4908" width="13.140625" customWidth="1"/>
    <col min="4909" max="4909" width="13.7109375" customWidth="1"/>
    <col min="4910" max="4910" width="12.7109375" customWidth="1"/>
    <col min="4911" max="4911" width="13.42578125" customWidth="1"/>
    <col min="5119" max="5119" width="43.7109375" customWidth="1"/>
    <col min="5120" max="5122" width="0" hidden="1" customWidth="1"/>
    <col min="5123" max="5135" width="11.7109375" customWidth="1"/>
    <col min="5136" max="5136" width="13" bestFit="1" customWidth="1"/>
    <col min="5137" max="5148" width="13" customWidth="1"/>
    <col min="5149" max="5161" width="12.7109375" customWidth="1"/>
    <col min="5163" max="5163" width="14" customWidth="1"/>
    <col min="5164" max="5164" width="13.140625" customWidth="1"/>
    <col min="5165" max="5165" width="13.7109375" customWidth="1"/>
    <col min="5166" max="5166" width="12.7109375" customWidth="1"/>
    <col min="5167" max="5167" width="13.42578125" customWidth="1"/>
    <col min="5375" max="5375" width="43.7109375" customWidth="1"/>
    <col min="5376" max="5378" width="0" hidden="1" customWidth="1"/>
    <col min="5379" max="5391" width="11.7109375" customWidth="1"/>
    <col min="5392" max="5392" width="13" bestFit="1" customWidth="1"/>
    <col min="5393" max="5404" width="13" customWidth="1"/>
    <col min="5405" max="5417" width="12.7109375" customWidth="1"/>
    <col min="5419" max="5419" width="14" customWidth="1"/>
    <col min="5420" max="5420" width="13.140625" customWidth="1"/>
    <col min="5421" max="5421" width="13.7109375" customWidth="1"/>
    <col min="5422" max="5422" width="12.7109375" customWidth="1"/>
    <col min="5423" max="5423" width="13.42578125" customWidth="1"/>
    <col min="5631" max="5631" width="43.7109375" customWidth="1"/>
    <col min="5632" max="5634" width="0" hidden="1" customWidth="1"/>
    <col min="5635" max="5647" width="11.7109375" customWidth="1"/>
    <col min="5648" max="5648" width="13" bestFit="1" customWidth="1"/>
    <col min="5649" max="5660" width="13" customWidth="1"/>
    <col min="5661" max="5673" width="12.7109375" customWidth="1"/>
    <col min="5675" max="5675" width="14" customWidth="1"/>
    <col min="5676" max="5676" width="13.140625" customWidth="1"/>
    <col min="5677" max="5677" width="13.7109375" customWidth="1"/>
    <col min="5678" max="5678" width="12.7109375" customWidth="1"/>
    <col min="5679" max="5679" width="13.42578125" customWidth="1"/>
    <col min="5887" max="5887" width="43.7109375" customWidth="1"/>
    <col min="5888" max="5890" width="0" hidden="1" customWidth="1"/>
    <col min="5891" max="5903" width="11.7109375" customWidth="1"/>
    <col min="5904" max="5904" width="13" bestFit="1" customWidth="1"/>
    <col min="5905" max="5916" width="13" customWidth="1"/>
    <col min="5917" max="5929" width="12.7109375" customWidth="1"/>
    <col min="5931" max="5931" width="14" customWidth="1"/>
    <col min="5932" max="5932" width="13.140625" customWidth="1"/>
    <col min="5933" max="5933" width="13.7109375" customWidth="1"/>
    <col min="5934" max="5934" width="12.7109375" customWidth="1"/>
    <col min="5935" max="5935" width="13.42578125" customWidth="1"/>
    <col min="6143" max="6143" width="43.7109375" customWidth="1"/>
    <col min="6144" max="6146" width="0" hidden="1" customWidth="1"/>
    <col min="6147" max="6159" width="11.7109375" customWidth="1"/>
    <col min="6160" max="6160" width="13" bestFit="1" customWidth="1"/>
    <col min="6161" max="6172" width="13" customWidth="1"/>
    <col min="6173" max="6185" width="12.7109375" customWidth="1"/>
    <col min="6187" max="6187" width="14" customWidth="1"/>
    <col min="6188" max="6188" width="13.140625" customWidth="1"/>
    <col min="6189" max="6189" width="13.7109375" customWidth="1"/>
    <col min="6190" max="6190" width="12.7109375" customWidth="1"/>
    <col min="6191" max="6191" width="13.42578125" customWidth="1"/>
    <col min="6399" max="6399" width="43.7109375" customWidth="1"/>
    <col min="6400" max="6402" width="0" hidden="1" customWidth="1"/>
    <col min="6403" max="6415" width="11.7109375" customWidth="1"/>
    <col min="6416" max="6416" width="13" bestFit="1" customWidth="1"/>
    <col min="6417" max="6428" width="13" customWidth="1"/>
    <col min="6429" max="6441" width="12.7109375" customWidth="1"/>
    <col min="6443" max="6443" width="14" customWidth="1"/>
    <col min="6444" max="6444" width="13.140625" customWidth="1"/>
    <col min="6445" max="6445" width="13.7109375" customWidth="1"/>
    <col min="6446" max="6446" width="12.7109375" customWidth="1"/>
    <col min="6447" max="6447" width="13.42578125" customWidth="1"/>
    <col min="6655" max="6655" width="43.7109375" customWidth="1"/>
    <col min="6656" max="6658" width="0" hidden="1" customWidth="1"/>
    <col min="6659" max="6671" width="11.7109375" customWidth="1"/>
    <col min="6672" max="6672" width="13" bestFit="1" customWidth="1"/>
    <col min="6673" max="6684" width="13" customWidth="1"/>
    <col min="6685" max="6697" width="12.7109375" customWidth="1"/>
    <col min="6699" max="6699" width="14" customWidth="1"/>
    <col min="6700" max="6700" width="13.140625" customWidth="1"/>
    <col min="6701" max="6701" width="13.7109375" customWidth="1"/>
    <col min="6702" max="6702" width="12.7109375" customWidth="1"/>
    <col min="6703" max="6703" width="13.42578125" customWidth="1"/>
    <col min="6911" max="6911" width="43.7109375" customWidth="1"/>
    <col min="6912" max="6914" width="0" hidden="1" customWidth="1"/>
    <col min="6915" max="6927" width="11.7109375" customWidth="1"/>
    <col min="6928" max="6928" width="13" bestFit="1" customWidth="1"/>
    <col min="6929" max="6940" width="13" customWidth="1"/>
    <col min="6941" max="6953" width="12.7109375" customWidth="1"/>
    <col min="6955" max="6955" width="14" customWidth="1"/>
    <col min="6956" max="6956" width="13.140625" customWidth="1"/>
    <col min="6957" max="6957" width="13.7109375" customWidth="1"/>
    <col min="6958" max="6958" width="12.7109375" customWidth="1"/>
    <col min="6959" max="6959" width="13.42578125" customWidth="1"/>
    <col min="7167" max="7167" width="43.7109375" customWidth="1"/>
    <col min="7168" max="7170" width="0" hidden="1" customWidth="1"/>
    <col min="7171" max="7183" width="11.7109375" customWidth="1"/>
    <col min="7184" max="7184" width="13" bestFit="1" customWidth="1"/>
    <col min="7185" max="7196" width="13" customWidth="1"/>
    <col min="7197" max="7209" width="12.7109375" customWidth="1"/>
    <col min="7211" max="7211" width="14" customWidth="1"/>
    <col min="7212" max="7212" width="13.140625" customWidth="1"/>
    <col min="7213" max="7213" width="13.7109375" customWidth="1"/>
    <col min="7214" max="7214" width="12.7109375" customWidth="1"/>
    <col min="7215" max="7215" width="13.42578125" customWidth="1"/>
    <col min="7423" max="7423" width="43.7109375" customWidth="1"/>
    <col min="7424" max="7426" width="0" hidden="1" customWidth="1"/>
    <col min="7427" max="7439" width="11.7109375" customWidth="1"/>
    <col min="7440" max="7440" width="13" bestFit="1" customWidth="1"/>
    <col min="7441" max="7452" width="13" customWidth="1"/>
    <col min="7453" max="7465" width="12.7109375" customWidth="1"/>
    <col min="7467" max="7467" width="14" customWidth="1"/>
    <col min="7468" max="7468" width="13.140625" customWidth="1"/>
    <col min="7469" max="7469" width="13.7109375" customWidth="1"/>
    <col min="7470" max="7470" width="12.7109375" customWidth="1"/>
    <col min="7471" max="7471" width="13.42578125" customWidth="1"/>
    <col min="7679" max="7679" width="43.7109375" customWidth="1"/>
    <col min="7680" max="7682" width="0" hidden="1" customWidth="1"/>
    <col min="7683" max="7695" width="11.7109375" customWidth="1"/>
    <col min="7696" max="7696" width="13" bestFit="1" customWidth="1"/>
    <col min="7697" max="7708" width="13" customWidth="1"/>
    <col min="7709" max="7721" width="12.7109375" customWidth="1"/>
    <col min="7723" max="7723" width="14" customWidth="1"/>
    <col min="7724" max="7724" width="13.140625" customWidth="1"/>
    <col min="7725" max="7725" width="13.7109375" customWidth="1"/>
    <col min="7726" max="7726" width="12.7109375" customWidth="1"/>
    <col min="7727" max="7727" width="13.42578125" customWidth="1"/>
    <col min="7935" max="7935" width="43.7109375" customWidth="1"/>
    <col min="7936" max="7938" width="0" hidden="1" customWidth="1"/>
    <col min="7939" max="7951" width="11.7109375" customWidth="1"/>
    <col min="7952" max="7952" width="13" bestFit="1" customWidth="1"/>
    <col min="7953" max="7964" width="13" customWidth="1"/>
    <col min="7965" max="7977" width="12.7109375" customWidth="1"/>
    <col min="7979" max="7979" width="14" customWidth="1"/>
    <col min="7980" max="7980" width="13.140625" customWidth="1"/>
    <col min="7981" max="7981" width="13.7109375" customWidth="1"/>
    <col min="7982" max="7982" width="12.7109375" customWidth="1"/>
    <col min="7983" max="7983" width="13.42578125" customWidth="1"/>
    <col min="8191" max="8191" width="43.7109375" customWidth="1"/>
    <col min="8192" max="8194" width="0" hidden="1" customWidth="1"/>
    <col min="8195" max="8207" width="11.7109375" customWidth="1"/>
    <col min="8208" max="8208" width="13" bestFit="1" customWidth="1"/>
    <col min="8209" max="8220" width="13" customWidth="1"/>
    <col min="8221" max="8233" width="12.7109375" customWidth="1"/>
    <col min="8235" max="8235" width="14" customWidth="1"/>
    <col min="8236" max="8236" width="13.140625" customWidth="1"/>
    <col min="8237" max="8237" width="13.7109375" customWidth="1"/>
    <col min="8238" max="8238" width="12.7109375" customWidth="1"/>
    <col min="8239" max="8239" width="13.42578125" customWidth="1"/>
    <col min="8447" max="8447" width="43.7109375" customWidth="1"/>
    <col min="8448" max="8450" width="0" hidden="1" customWidth="1"/>
    <col min="8451" max="8463" width="11.7109375" customWidth="1"/>
    <col min="8464" max="8464" width="13" bestFit="1" customWidth="1"/>
    <col min="8465" max="8476" width="13" customWidth="1"/>
    <col min="8477" max="8489" width="12.7109375" customWidth="1"/>
    <col min="8491" max="8491" width="14" customWidth="1"/>
    <col min="8492" max="8492" width="13.140625" customWidth="1"/>
    <col min="8493" max="8493" width="13.7109375" customWidth="1"/>
    <col min="8494" max="8494" width="12.7109375" customWidth="1"/>
    <col min="8495" max="8495" width="13.42578125" customWidth="1"/>
    <col min="8703" max="8703" width="43.7109375" customWidth="1"/>
    <col min="8704" max="8706" width="0" hidden="1" customWidth="1"/>
    <col min="8707" max="8719" width="11.7109375" customWidth="1"/>
    <col min="8720" max="8720" width="13" bestFit="1" customWidth="1"/>
    <col min="8721" max="8732" width="13" customWidth="1"/>
    <col min="8733" max="8745" width="12.7109375" customWidth="1"/>
    <col min="8747" max="8747" width="14" customWidth="1"/>
    <col min="8748" max="8748" width="13.140625" customWidth="1"/>
    <col min="8749" max="8749" width="13.7109375" customWidth="1"/>
    <col min="8750" max="8750" width="12.7109375" customWidth="1"/>
    <col min="8751" max="8751" width="13.42578125" customWidth="1"/>
    <col min="8959" max="8959" width="43.7109375" customWidth="1"/>
    <col min="8960" max="8962" width="0" hidden="1" customWidth="1"/>
    <col min="8963" max="8975" width="11.7109375" customWidth="1"/>
    <col min="8976" max="8976" width="13" bestFit="1" customWidth="1"/>
    <col min="8977" max="8988" width="13" customWidth="1"/>
    <col min="8989" max="9001" width="12.7109375" customWidth="1"/>
    <col min="9003" max="9003" width="14" customWidth="1"/>
    <col min="9004" max="9004" width="13.140625" customWidth="1"/>
    <col min="9005" max="9005" width="13.7109375" customWidth="1"/>
    <col min="9006" max="9006" width="12.7109375" customWidth="1"/>
    <col min="9007" max="9007" width="13.42578125" customWidth="1"/>
    <col min="9215" max="9215" width="43.7109375" customWidth="1"/>
    <col min="9216" max="9218" width="0" hidden="1" customWidth="1"/>
    <col min="9219" max="9231" width="11.7109375" customWidth="1"/>
    <col min="9232" max="9232" width="13" bestFit="1" customWidth="1"/>
    <col min="9233" max="9244" width="13" customWidth="1"/>
    <col min="9245" max="9257" width="12.7109375" customWidth="1"/>
    <col min="9259" max="9259" width="14" customWidth="1"/>
    <col min="9260" max="9260" width="13.140625" customWidth="1"/>
    <col min="9261" max="9261" width="13.7109375" customWidth="1"/>
    <col min="9262" max="9262" width="12.7109375" customWidth="1"/>
    <col min="9263" max="9263" width="13.42578125" customWidth="1"/>
    <col min="9471" max="9471" width="43.7109375" customWidth="1"/>
    <col min="9472" max="9474" width="0" hidden="1" customWidth="1"/>
    <col min="9475" max="9487" width="11.7109375" customWidth="1"/>
    <col min="9488" max="9488" width="13" bestFit="1" customWidth="1"/>
    <col min="9489" max="9500" width="13" customWidth="1"/>
    <col min="9501" max="9513" width="12.7109375" customWidth="1"/>
    <col min="9515" max="9515" width="14" customWidth="1"/>
    <col min="9516" max="9516" width="13.140625" customWidth="1"/>
    <col min="9517" max="9517" width="13.7109375" customWidth="1"/>
    <col min="9518" max="9518" width="12.7109375" customWidth="1"/>
    <col min="9519" max="9519" width="13.42578125" customWidth="1"/>
    <col min="9727" max="9727" width="43.7109375" customWidth="1"/>
    <col min="9728" max="9730" width="0" hidden="1" customWidth="1"/>
    <col min="9731" max="9743" width="11.7109375" customWidth="1"/>
    <col min="9744" max="9744" width="13" bestFit="1" customWidth="1"/>
    <col min="9745" max="9756" width="13" customWidth="1"/>
    <col min="9757" max="9769" width="12.7109375" customWidth="1"/>
    <col min="9771" max="9771" width="14" customWidth="1"/>
    <col min="9772" max="9772" width="13.140625" customWidth="1"/>
    <col min="9773" max="9773" width="13.7109375" customWidth="1"/>
    <col min="9774" max="9774" width="12.7109375" customWidth="1"/>
    <col min="9775" max="9775" width="13.42578125" customWidth="1"/>
    <col min="9983" max="9983" width="43.7109375" customWidth="1"/>
    <col min="9984" max="9986" width="0" hidden="1" customWidth="1"/>
    <col min="9987" max="9999" width="11.7109375" customWidth="1"/>
    <col min="10000" max="10000" width="13" bestFit="1" customWidth="1"/>
    <col min="10001" max="10012" width="13" customWidth="1"/>
    <col min="10013" max="10025" width="12.7109375" customWidth="1"/>
    <col min="10027" max="10027" width="14" customWidth="1"/>
    <col min="10028" max="10028" width="13.140625" customWidth="1"/>
    <col min="10029" max="10029" width="13.7109375" customWidth="1"/>
    <col min="10030" max="10030" width="12.7109375" customWidth="1"/>
    <col min="10031" max="10031" width="13.42578125" customWidth="1"/>
    <col min="10239" max="10239" width="43.7109375" customWidth="1"/>
    <col min="10240" max="10242" width="0" hidden="1" customWidth="1"/>
    <col min="10243" max="10255" width="11.7109375" customWidth="1"/>
    <col min="10256" max="10256" width="13" bestFit="1" customWidth="1"/>
    <col min="10257" max="10268" width="13" customWidth="1"/>
    <col min="10269" max="10281" width="12.7109375" customWidth="1"/>
    <col min="10283" max="10283" width="14" customWidth="1"/>
    <col min="10284" max="10284" width="13.140625" customWidth="1"/>
    <col min="10285" max="10285" width="13.7109375" customWidth="1"/>
    <col min="10286" max="10286" width="12.7109375" customWidth="1"/>
    <col min="10287" max="10287" width="13.42578125" customWidth="1"/>
    <col min="10495" max="10495" width="43.7109375" customWidth="1"/>
    <col min="10496" max="10498" width="0" hidden="1" customWidth="1"/>
    <col min="10499" max="10511" width="11.7109375" customWidth="1"/>
    <col min="10512" max="10512" width="13" bestFit="1" customWidth="1"/>
    <col min="10513" max="10524" width="13" customWidth="1"/>
    <col min="10525" max="10537" width="12.7109375" customWidth="1"/>
    <col min="10539" max="10539" width="14" customWidth="1"/>
    <col min="10540" max="10540" width="13.140625" customWidth="1"/>
    <col min="10541" max="10541" width="13.7109375" customWidth="1"/>
    <col min="10542" max="10542" width="12.7109375" customWidth="1"/>
    <col min="10543" max="10543" width="13.42578125" customWidth="1"/>
    <col min="10751" max="10751" width="43.7109375" customWidth="1"/>
    <col min="10752" max="10754" width="0" hidden="1" customWidth="1"/>
    <col min="10755" max="10767" width="11.7109375" customWidth="1"/>
    <col min="10768" max="10768" width="13" bestFit="1" customWidth="1"/>
    <col min="10769" max="10780" width="13" customWidth="1"/>
    <col min="10781" max="10793" width="12.7109375" customWidth="1"/>
    <col min="10795" max="10795" width="14" customWidth="1"/>
    <col min="10796" max="10796" width="13.140625" customWidth="1"/>
    <col min="10797" max="10797" width="13.7109375" customWidth="1"/>
    <col min="10798" max="10798" width="12.7109375" customWidth="1"/>
    <col min="10799" max="10799" width="13.42578125" customWidth="1"/>
    <col min="11007" max="11007" width="43.7109375" customWidth="1"/>
    <col min="11008" max="11010" width="0" hidden="1" customWidth="1"/>
    <col min="11011" max="11023" width="11.7109375" customWidth="1"/>
    <col min="11024" max="11024" width="13" bestFit="1" customWidth="1"/>
    <col min="11025" max="11036" width="13" customWidth="1"/>
    <col min="11037" max="11049" width="12.7109375" customWidth="1"/>
    <col min="11051" max="11051" width="14" customWidth="1"/>
    <col min="11052" max="11052" width="13.140625" customWidth="1"/>
    <col min="11053" max="11053" width="13.7109375" customWidth="1"/>
    <col min="11054" max="11054" width="12.7109375" customWidth="1"/>
    <col min="11055" max="11055" width="13.42578125" customWidth="1"/>
    <col min="11263" max="11263" width="43.7109375" customWidth="1"/>
    <col min="11264" max="11266" width="0" hidden="1" customWidth="1"/>
    <col min="11267" max="11279" width="11.7109375" customWidth="1"/>
    <col min="11280" max="11280" width="13" bestFit="1" customWidth="1"/>
    <col min="11281" max="11292" width="13" customWidth="1"/>
    <col min="11293" max="11305" width="12.7109375" customWidth="1"/>
    <col min="11307" max="11307" width="14" customWidth="1"/>
    <col min="11308" max="11308" width="13.140625" customWidth="1"/>
    <col min="11309" max="11309" width="13.7109375" customWidth="1"/>
    <col min="11310" max="11310" width="12.7109375" customWidth="1"/>
    <col min="11311" max="11311" width="13.42578125" customWidth="1"/>
    <col min="11519" max="11519" width="43.7109375" customWidth="1"/>
    <col min="11520" max="11522" width="0" hidden="1" customWidth="1"/>
    <col min="11523" max="11535" width="11.7109375" customWidth="1"/>
    <col min="11536" max="11536" width="13" bestFit="1" customWidth="1"/>
    <col min="11537" max="11548" width="13" customWidth="1"/>
    <col min="11549" max="11561" width="12.7109375" customWidth="1"/>
    <col min="11563" max="11563" width="14" customWidth="1"/>
    <col min="11564" max="11564" width="13.140625" customWidth="1"/>
    <col min="11565" max="11565" width="13.7109375" customWidth="1"/>
    <col min="11566" max="11566" width="12.7109375" customWidth="1"/>
    <col min="11567" max="11567" width="13.42578125" customWidth="1"/>
    <col min="11775" max="11775" width="43.7109375" customWidth="1"/>
    <col min="11776" max="11778" width="0" hidden="1" customWidth="1"/>
    <col min="11779" max="11791" width="11.7109375" customWidth="1"/>
    <col min="11792" max="11792" width="13" bestFit="1" customWidth="1"/>
    <col min="11793" max="11804" width="13" customWidth="1"/>
    <col min="11805" max="11817" width="12.7109375" customWidth="1"/>
    <col min="11819" max="11819" width="14" customWidth="1"/>
    <col min="11820" max="11820" width="13.140625" customWidth="1"/>
    <col min="11821" max="11821" width="13.7109375" customWidth="1"/>
    <col min="11822" max="11822" width="12.7109375" customWidth="1"/>
    <col min="11823" max="11823" width="13.42578125" customWidth="1"/>
    <col min="12031" max="12031" width="43.7109375" customWidth="1"/>
    <col min="12032" max="12034" width="0" hidden="1" customWidth="1"/>
    <col min="12035" max="12047" width="11.7109375" customWidth="1"/>
    <col min="12048" max="12048" width="13" bestFit="1" customWidth="1"/>
    <col min="12049" max="12060" width="13" customWidth="1"/>
    <col min="12061" max="12073" width="12.7109375" customWidth="1"/>
    <col min="12075" max="12075" width="14" customWidth="1"/>
    <col min="12076" max="12076" width="13.140625" customWidth="1"/>
    <col min="12077" max="12077" width="13.7109375" customWidth="1"/>
    <col min="12078" max="12078" width="12.7109375" customWidth="1"/>
    <col min="12079" max="12079" width="13.42578125" customWidth="1"/>
    <col min="12287" max="12287" width="43.7109375" customWidth="1"/>
    <col min="12288" max="12290" width="0" hidden="1" customWidth="1"/>
    <col min="12291" max="12303" width="11.7109375" customWidth="1"/>
    <col min="12304" max="12304" width="13" bestFit="1" customWidth="1"/>
    <col min="12305" max="12316" width="13" customWidth="1"/>
    <col min="12317" max="12329" width="12.7109375" customWidth="1"/>
    <col min="12331" max="12331" width="14" customWidth="1"/>
    <col min="12332" max="12332" width="13.140625" customWidth="1"/>
    <col min="12333" max="12333" width="13.7109375" customWidth="1"/>
    <col min="12334" max="12334" width="12.7109375" customWidth="1"/>
    <col min="12335" max="12335" width="13.42578125" customWidth="1"/>
    <col min="12543" max="12543" width="43.7109375" customWidth="1"/>
    <col min="12544" max="12546" width="0" hidden="1" customWidth="1"/>
    <col min="12547" max="12559" width="11.7109375" customWidth="1"/>
    <col min="12560" max="12560" width="13" bestFit="1" customWidth="1"/>
    <col min="12561" max="12572" width="13" customWidth="1"/>
    <col min="12573" max="12585" width="12.7109375" customWidth="1"/>
    <col min="12587" max="12587" width="14" customWidth="1"/>
    <col min="12588" max="12588" width="13.140625" customWidth="1"/>
    <col min="12589" max="12589" width="13.7109375" customWidth="1"/>
    <col min="12590" max="12590" width="12.7109375" customWidth="1"/>
    <col min="12591" max="12591" width="13.42578125" customWidth="1"/>
    <col min="12799" max="12799" width="43.7109375" customWidth="1"/>
    <col min="12800" max="12802" width="0" hidden="1" customWidth="1"/>
    <col min="12803" max="12815" width="11.7109375" customWidth="1"/>
    <col min="12816" max="12816" width="13" bestFit="1" customWidth="1"/>
    <col min="12817" max="12828" width="13" customWidth="1"/>
    <col min="12829" max="12841" width="12.7109375" customWidth="1"/>
    <col min="12843" max="12843" width="14" customWidth="1"/>
    <col min="12844" max="12844" width="13.140625" customWidth="1"/>
    <col min="12845" max="12845" width="13.7109375" customWidth="1"/>
    <col min="12846" max="12846" width="12.7109375" customWidth="1"/>
    <col min="12847" max="12847" width="13.42578125" customWidth="1"/>
    <col min="13055" max="13055" width="43.7109375" customWidth="1"/>
    <col min="13056" max="13058" width="0" hidden="1" customWidth="1"/>
    <col min="13059" max="13071" width="11.7109375" customWidth="1"/>
    <col min="13072" max="13072" width="13" bestFit="1" customWidth="1"/>
    <col min="13073" max="13084" width="13" customWidth="1"/>
    <col min="13085" max="13097" width="12.7109375" customWidth="1"/>
    <col min="13099" max="13099" width="14" customWidth="1"/>
    <col min="13100" max="13100" width="13.140625" customWidth="1"/>
    <col min="13101" max="13101" width="13.7109375" customWidth="1"/>
    <col min="13102" max="13102" width="12.7109375" customWidth="1"/>
    <col min="13103" max="13103" width="13.42578125" customWidth="1"/>
    <col min="13311" max="13311" width="43.7109375" customWidth="1"/>
    <col min="13312" max="13314" width="0" hidden="1" customWidth="1"/>
    <col min="13315" max="13327" width="11.7109375" customWidth="1"/>
    <col min="13328" max="13328" width="13" bestFit="1" customWidth="1"/>
    <col min="13329" max="13340" width="13" customWidth="1"/>
    <col min="13341" max="13353" width="12.7109375" customWidth="1"/>
    <col min="13355" max="13355" width="14" customWidth="1"/>
    <col min="13356" max="13356" width="13.140625" customWidth="1"/>
    <col min="13357" max="13357" width="13.7109375" customWidth="1"/>
    <col min="13358" max="13358" width="12.7109375" customWidth="1"/>
    <col min="13359" max="13359" width="13.42578125" customWidth="1"/>
    <col min="13567" max="13567" width="43.7109375" customWidth="1"/>
    <col min="13568" max="13570" width="0" hidden="1" customWidth="1"/>
    <col min="13571" max="13583" width="11.7109375" customWidth="1"/>
    <col min="13584" max="13584" width="13" bestFit="1" customWidth="1"/>
    <col min="13585" max="13596" width="13" customWidth="1"/>
    <col min="13597" max="13609" width="12.7109375" customWidth="1"/>
    <col min="13611" max="13611" width="14" customWidth="1"/>
    <col min="13612" max="13612" width="13.140625" customWidth="1"/>
    <col min="13613" max="13613" width="13.7109375" customWidth="1"/>
    <col min="13614" max="13614" width="12.7109375" customWidth="1"/>
    <col min="13615" max="13615" width="13.42578125" customWidth="1"/>
    <col min="13823" max="13823" width="43.7109375" customWidth="1"/>
    <col min="13824" max="13826" width="0" hidden="1" customWidth="1"/>
    <col min="13827" max="13839" width="11.7109375" customWidth="1"/>
    <col min="13840" max="13840" width="13" bestFit="1" customWidth="1"/>
    <col min="13841" max="13852" width="13" customWidth="1"/>
    <col min="13853" max="13865" width="12.7109375" customWidth="1"/>
    <col min="13867" max="13867" width="14" customWidth="1"/>
    <col min="13868" max="13868" width="13.140625" customWidth="1"/>
    <col min="13869" max="13869" width="13.7109375" customWidth="1"/>
    <col min="13870" max="13870" width="12.7109375" customWidth="1"/>
    <col min="13871" max="13871" width="13.42578125" customWidth="1"/>
    <col min="14079" max="14079" width="43.7109375" customWidth="1"/>
    <col min="14080" max="14082" width="0" hidden="1" customWidth="1"/>
    <col min="14083" max="14095" width="11.7109375" customWidth="1"/>
    <col min="14096" max="14096" width="13" bestFit="1" customWidth="1"/>
    <col min="14097" max="14108" width="13" customWidth="1"/>
    <col min="14109" max="14121" width="12.7109375" customWidth="1"/>
    <col min="14123" max="14123" width="14" customWidth="1"/>
    <col min="14124" max="14124" width="13.140625" customWidth="1"/>
    <col min="14125" max="14125" width="13.7109375" customWidth="1"/>
    <col min="14126" max="14126" width="12.7109375" customWidth="1"/>
    <col min="14127" max="14127" width="13.42578125" customWidth="1"/>
    <col min="14335" max="14335" width="43.7109375" customWidth="1"/>
    <col min="14336" max="14338" width="0" hidden="1" customWidth="1"/>
    <col min="14339" max="14351" width="11.7109375" customWidth="1"/>
    <col min="14352" max="14352" width="13" bestFit="1" customWidth="1"/>
    <col min="14353" max="14364" width="13" customWidth="1"/>
    <col min="14365" max="14377" width="12.7109375" customWidth="1"/>
    <col min="14379" max="14379" width="14" customWidth="1"/>
    <col min="14380" max="14380" width="13.140625" customWidth="1"/>
    <col min="14381" max="14381" width="13.7109375" customWidth="1"/>
    <col min="14382" max="14382" width="12.7109375" customWidth="1"/>
    <col min="14383" max="14383" width="13.42578125" customWidth="1"/>
    <col min="14591" max="14591" width="43.7109375" customWidth="1"/>
    <col min="14592" max="14594" width="0" hidden="1" customWidth="1"/>
    <col min="14595" max="14607" width="11.7109375" customWidth="1"/>
    <col min="14608" max="14608" width="13" bestFit="1" customWidth="1"/>
    <col min="14609" max="14620" width="13" customWidth="1"/>
    <col min="14621" max="14633" width="12.7109375" customWidth="1"/>
    <col min="14635" max="14635" width="14" customWidth="1"/>
    <col min="14636" max="14636" width="13.140625" customWidth="1"/>
    <col min="14637" max="14637" width="13.7109375" customWidth="1"/>
    <col min="14638" max="14638" width="12.7109375" customWidth="1"/>
    <col min="14639" max="14639" width="13.42578125" customWidth="1"/>
    <col min="14847" max="14847" width="43.7109375" customWidth="1"/>
    <col min="14848" max="14850" width="0" hidden="1" customWidth="1"/>
    <col min="14851" max="14863" width="11.7109375" customWidth="1"/>
    <col min="14864" max="14864" width="13" bestFit="1" customWidth="1"/>
    <col min="14865" max="14876" width="13" customWidth="1"/>
    <col min="14877" max="14889" width="12.7109375" customWidth="1"/>
    <col min="14891" max="14891" width="14" customWidth="1"/>
    <col min="14892" max="14892" width="13.140625" customWidth="1"/>
    <col min="14893" max="14893" width="13.7109375" customWidth="1"/>
    <col min="14894" max="14894" width="12.7109375" customWidth="1"/>
    <col min="14895" max="14895" width="13.42578125" customWidth="1"/>
    <col min="15103" max="15103" width="43.7109375" customWidth="1"/>
    <col min="15104" max="15106" width="0" hidden="1" customWidth="1"/>
    <col min="15107" max="15119" width="11.7109375" customWidth="1"/>
    <col min="15120" max="15120" width="13" bestFit="1" customWidth="1"/>
    <col min="15121" max="15132" width="13" customWidth="1"/>
    <col min="15133" max="15145" width="12.7109375" customWidth="1"/>
    <col min="15147" max="15147" width="14" customWidth="1"/>
    <col min="15148" max="15148" width="13.140625" customWidth="1"/>
    <col min="15149" max="15149" width="13.7109375" customWidth="1"/>
    <col min="15150" max="15150" width="12.7109375" customWidth="1"/>
    <col min="15151" max="15151" width="13.42578125" customWidth="1"/>
    <col min="15359" max="15359" width="43.7109375" customWidth="1"/>
    <col min="15360" max="15362" width="0" hidden="1" customWidth="1"/>
    <col min="15363" max="15375" width="11.7109375" customWidth="1"/>
    <col min="15376" max="15376" width="13" bestFit="1" customWidth="1"/>
    <col min="15377" max="15388" width="13" customWidth="1"/>
    <col min="15389" max="15401" width="12.7109375" customWidth="1"/>
    <col min="15403" max="15403" width="14" customWidth="1"/>
    <col min="15404" max="15404" width="13.140625" customWidth="1"/>
    <col min="15405" max="15405" width="13.7109375" customWidth="1"/>
    <col min="15406" max="15406" width="12.7109375" customWidth="1"/>
    <col min="15407" max="15407" width="13.42578125" customWidth="1"/>
    <col min="15615" max="15615" width="43.7109375" customWidth="1"/>
    <col min="15616" max="15618" width="0" hidden="1" customWidth="1"/>
    <col min="15619" max="15631" width="11.7109375" customWidth="1"/>
    <col min="15632" max="15632" width="13" bestFit="1" customWidth="1"/>
    <col min="15633" max="15644" width="13" customWidth="1"/>
    <col min="15645" max="15657" width="12.7109375" customWidth="1"/>
    <col min="15659" max="15659" width="14" customWidth="1"/>
    <col min="15660" max="15660" width="13.140625" customWidth="1"/>
    <col min="15661" max="15661" width="13.7109375" customWidth="1"/>
    <col min="15662" max="15662" width="12.7109375" customWidth="1"/>
    <col min="15663" max="15663" width="13.42578125" customWidth="1"/>
    <col min="15871" max="15871" width="43.7109375" customWidth="1"/>
    <col min="15872" max="15874" width="0" hidden="1" customWidth="1"/>
    <col min="15875" max="15887" width="11.7109375" customWidth="1"/>
    <col min="15888" max="15888" width="13" bestFit="1" customWidth="1"/>
    <col min="15889" max="15900" width="13" customWidth="1"/>
    <col min="15901" max="15913" width="12.7109375" customWidth="1"/>
    <col min="15915" max="15915" width="14" customWidth="1"/>
    <col min="15916" max="15916" width="13.140625" customWidth="1"/>
    <col min="15917" max="15917" width="13.7109375" customWidth="1"/>
    <col min="15918" max="15918" width="12.7109375" customWidth="1"/>
    <col min="15919" max="15919" width="13.42578125" customWidth="1"/>
    <col min="16127" max="16127" width="43.7109375" customWidth="1"/>
    <col min="16128" max="16130" width="0" hidden="1" customWidth="1"/>
    <col min="16131" max="16143" width="11.7109375" customWidth="1"/>
    <col min="16144" max="16144" width="13" bestFit="1" customWidth="1"/>
    <col min="16145" max="16156" width="13" customWidth="1"/>
    <col min="16157" max="16169" width="12.7109375" customWidth="1"/>
    <col min="16171" max="16171" width="14" customWidth="1"/>
    <col min="16172" max="16172" width="13.140625" customWidth="1"/>
    <col min="16173" max="16173" width="13.7109375" customWidth="1"/>
    <col min="16174" max="16174" width="12.7109375" customWidth="1"/>
    <col min="16175" max="16175" width="13.42578125" customWidth="1"/>
  </cols>
  <sheetData>
    <row r="1" spans="1:67" x14ac:dyDescent="0.25">
      <c r="A1" s="16" t="s">
        <v>181</v>
      </c>
      <c r="B1" s="16" t="s">
        <v>182</v>
      </c>
      <c r="C1" s="16" t="s">
        <v>183</v>
      </c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 t="s">
        <v>184</v>
      </c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 t="s">
        <v>185</v>
      </c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BC1" t="s">
        <v>186</v>
      </c>
    </row>
    <row r="2" spans="1:67" x14ac:dyDescent="0.25">
      <c r="A2" s="16"/>
      <c r="B2" s="16"/>
      <c r="C2" s="19" t="s">
        <v>1191</v>
      </c>
      <c r="D2" s="16" t="s">
        <v>187</v>
      </c>
      <c r="E2" s="16" t="s">
        <v>188</v>
      </c>
      <c r="F2" s="16" t="s">
        <v>189</v>
      </c>
      <c r="G2" s="16" t="s">
        <v>190</v>
      </c>
      <c r="H2" s="16" t="s">
        <v>191</v>
      </c>
      <c r="I2" s="16" t="s">
        <v>192</v>
      </c>
      <c r="J2" s="16" t="s">
        <v>193</v>
      </c>
      <c r="K2" s="16" t="s">
        <v>194</v>
      </c>
      <c r="L2" s="16" t="s">
        <v>195</v>
      </c>
      <c r="M2" s="16" t="s">
        <v>196</v>
      </c>
      <c r="N2" s="16" t="s">
        <v>197</v>
      </c>
      <c r="O2" s="16" t="s">
        <v>198</v>
      </c>
      <c r="P2" s="19">
        <v>0</v>
      </c>
      <c r="Q2" s="16" t="s">
        <v>187</v>
      </c>
      <c r="R2" s="16" t="s">
        <v>188</v>
      </c>
      <c r="S2" s="16" t="s">
        <v>189</v>
      </c>
      <c r="T2" s="16" t="s">
        <v>190</v>
      </c>
      <c r="U2" s="16" t="s">
        <v>191</v>
      </c>
      <c r="V2" s="16" t="s">
        <v>192</v>
      </c>
      <c r="W2" s="16" t="s">
        <v>193</v>
      </c>
      <c r="X2" s="16" t="s">
        <v>194</v>
      </c>
      <c r="Y2" s="16" t="s">
        <v>195</v>
      </c>
      <c r="Z2" s="16" t="s">
        <v>196</v>
      </c>
      <c r="AA2" s="16" t="s">
        <v>197</v>
      </c>
      <c r="AB2" s="16" t="s">
        <v>198</v>
      </c>
      <c r="AC2" s="19">
        <v>0</v>
      </c>
      <c r="AD2" s="16" t="s">
        <v>187</v>
      </c>
      <c r="AE2" s="16" t="s">
        <v>188</v>
      </c>
      <c r="AF2" s="16" t="s">
        <v>189</v>
      </c>
      <c r="AG2" s="16" t="s">
        <v>190</v>
      </c>
      <c r="AH2" s="16" t="s">
        <v>191</v>
      </c>
      <c r="AI2" s="16" t="s">
        <v>192</v>
      </c>
      <c r="AJ2" s="16" t="s">
        <v>193</v>
      </c>
      <c r="AK2" s="16" t="s">
        <v>194</v>
      </c>
      <c r="AL2" s="16" t="s">
        <v>195</v>
      </c>
      <c r="AM2" s="16" t="s">
        <v>196</v>
      </c>
      <c r="AN2" s="16" t="s">
        <v>197</v>
      </c>
      <c r="AO2" s="16" t="s">
        <v>198</v>
      </c>
      <c r="AP2" s="16" t="s">
        <v>186</v>
      </c>
      <c r="AQ2" s="20" t="s">
        <v>187</v>
      </c>
      <c r="AR2" s="16" t="s">
        <v>188</v>
      </c>
      <c r="AS2" s="16" t="s">
        <v>189</v>
      </c>
      <c r="AT2" s="16" t="s">
        <v>190</v>
      </c>
      <c r="AU2" s="16" t="s">
        <v>191</v>
      </c>
      <c r="AV2" s="16" t="s">
        <v>192</v>
      </c>
      <c r="AW2" s="16" t="s">
        <v>193</v>
      </c>
      <c r="AX2" s="16" t="s">
        <v>194</v>
      </c>
      <c r="AY2" s="16" t="s">
        <v>195</v>
      </c>
      <c r="AZ2" s="16" t="s">
        <v>196</v>
      </c>
      <c r="BA2" s="16" t="s">
        <v>197</v>
      </c>
      <c r="BB2" s="16" t="s">
        <v>198</v>
      </c>
      <c r="BC2" s="16" t="s">
        <v>187</v>
      </c>
      <c r="BD2" s="16" t="s">
        <v>188</v>
      </c>
      <c r="BE2" s="16" t="s">
        <v>189</v>
      </c>
      <c r="BF2" s="16" t="s">
        <v>190</v>
      </c>
      <c r="BG2" s="16" t="s">
        <v>191</v>
      </c>
      <c r="BH2" s="16" t="s">
        <v>192</v>
      </c>
      <c r="BI2" s="16" t="s">
        <v>193</v>
      </c>
      <c r="BJ2" s="16" t="s">
        <v>194</v>
      </c>
      <c r="BK2" s="16" t="s">
        <v>195</v>
      </c>
      <c r="BL2" s="16" t="s">
        <v>196</v>
      </c>
      <c r="BM2" s="16" t="s">
        <v>197</v>
      </c>
      <c r="BN2" s="16" t="s">
        <v>198</v>
      </c>
    </row>
    <row r="3" spans="1:67" x14ac:dyDescent="0.25">
      <c r="A3" s="16">
        <v>25825</v>
      </c>
      <c r="B3" s="16" t="s">
        <v>199</v>
      </c>
      <c r="C3" s="17">
        <v>120000</v>
      </c>
      <c r="D3" s="17">
        <f t="shared" ref="D3:O3" si="0">+$C3*BC3</f>
        <v>10701.78791384907</v>
      </c>
      <c r="E3" s="17">
        <f t="shared" si="0"/>
        <v>12798.333460134238</v>
      </c>
      <c r="F3" s="17">
        <f t="shared" si="0"/>
        <v>11326.618901825717</v>
      </c>
      <c r="G3" s="17">
        <f t="shared" si="0"/>
        <v>8579.4779842260596</v>
      </c>
      <c r="H3" s="17">
        <f t="shared" si="0"/>
        <v>12442.286172644115</v>
      </c>
      <c r="I3" s="17">
        <f t="shared" si="0"/>
        <v>10196.439714305356</v>
      </c>
      <c r="J3" s="17">
        <f t="shared" si="0"/>
        <v>10151.265465271525</v>
      </c>
      <c r="K3" s="17">
        <f t="shared" si="0"/>
        <v>6893.6526555335959</v>
      </c>
      <c r="L3" s="17">
        <f t="shared" si="0"/>
        <v>10218.462281466896</v>
      </c>
      <c r="M3" s="17">
        <f t="shared" si="0"/>
        <v>8898.9670695642217</v>
      </c>
      <c r="N3" s="17">
        <f t="shared" si="0"/>
        <v>9086.1827030528602</v>
      </c>
      <c r="O3" s="17">
        <f t="shared" si="0"/>
        <v>8874.6671238810741</v>
      </c>
      <c r="P3" s="17">
        <v>750000</v>
      </c>
      <c r="Q3" s="17">
        <f t="shared" ref="Q3:AB3" si="1">+$P3*BC3</f>
        <v>66886.174461556686</v>
      </c>
      <c r="R3" s="17">
        <f t="shared" si="1"/>
        <v>79989.584125838985</v>
      </c>
      <c r="S3" s="17">
        <f t="shared" si="1"/>
        <v>70791.368136410732</v>
      </c>
      <c r="T3" s="17">
        <f t="shared" si="1"/>
        <v>53621.737401412865</v>
      </c>
      <c r="U3" s="17">
        <f t="shared" si="1"/>
        <v>77764.288579025728</v>
      </c>
      <c r="V3" s="17">
        <f t="shared" si="1"/>
        <v>63727.748214408479</v>
      </c>
      <c r="W3" s="17">
        <f t="shared" si="1"/>
        <v>63445.409157947026</v>
      </c>
      <c r="X3" s="17">
        <f t="shared" si="1"/>
        <v>43085.329097084978</v>
      </c>
      <c r="Y3" s="17">
        <f t="shared" si="1"/>
        <v>63865.389259168107</v>
      </c>
      <c r="Z3" s="17">
        <f t="shared" si="1"/>
        <v>55618.54418477638</v>
      </c>
      <c r="AA3" s="17">
        <f t="shared" si="1"/>
        <v>56788.641894080378</v>
      </c>
      <c r="AB3" s="17">
        <f t="shared" si="1"/>
        <v>55466.669524256715</v>
      </c>
      <c r="AC3" s="17">
        <v>100000</v>
      </c>
      <c r="AD3" s="17">
        <f t="shared" ref="AD3:AO3" si="2">+$AC3*BC3</f>
        <v>8918.1565948742245</v>
      </c>
      <c r="AE3" s="17">
        <f t="shared" si="2"/>
        <v>10665.277883445198</v>
      </c>
      <c r="AF3" s="17">
        <f t="shared" si="2"/>
        <v>9438.8490848547644</v>
      </c>
      <c r="AG3" s="17">
        <f t="shared" si="2"/>
        <v>7149.564986855049</v>
      </c>
      <c r="AH3" s="17">
        <f t="shared" si="2"/>
        <v>10368.571810536763</v>
      </c>
      <c r="AI3" s="17">
        <f t="shared" si="2"/>
        <v>8497.0330952544646</v>
      </c>
      <c r="AJ3" s="17">
        <f t="shared" si="2"/>
        <v>8459.3878877262705</v>
      </c>
      <c r="AK3" s="17">
        <f t="shared" si="2"/>
        <v>5744.7105462779964</v>
      </c>
      <c r="AL3" s="17">
        <f t="shared" si="2"/>
        <v>8515.385234555748</v>
      </c>
      <c r="AM3" s="17">
        <f t="shared" si="2"/>
        <v>7415.8058913035175</v>
      </c>
      <c r="AN3" s="17">
        <f t="shared" si="2"/>
        <v>7571.8189192107166</v>
      </c>
      <c r="AO3" s="17">
        <f t="shared" si="2"/>
        <v>7395.5559365675617</v>
      </c>
      <c r="AP3" s="17">
        <f>+AC3+P3+C3</f>
        <v>970000</v>
      </c>
      <c r="AQ3" s="18">
        <f>+AD3+Q3+D3</f>
        <v>86506.118970279975</v>
      </c>
      <c r="AR3" s="18">
        <f t="shared" ref="AR3:BB3" si="3">+AE3+R3+E3</f>
        <v>103453.19546941842</v>
      </c>
      <c r="AS3" s="18">
        <f t="shared" si="3"/>
        <v>91556.836123091212</v>
      </c>
      <c r="AT3" s="18">
        <f t="shared" si="3"/>
        <v>69350.780372493973</v>
      </c>
      <c r="AU3" s="18">
        <f t="shared" si="3"/>
        <v>100575.14656220662</v>
      </c>
      <c r="AV3" s="18">
        <f t="shared" si="3"/>
        <v>82421.22102396829</v>
      </c>
      <c r="AW3" s="18">
        <f t="shared" si="3"/>
        <v>82056.06251094483</v>
      </c>
      <c r="AX3" s="18">
        <f t="shared" si="3"/>
        <v>55723.692298896567</v>
      </c>
      <c r="AY3" s="18">
        <f t="shared" si="3"/>
        <v>82599.236775190759</v>
      </c>
      <c r="AZ3" s="18">
        <f t="shared" si="3"/>
        <v>71933.31714564412</v>
      </c>
      <c r="BA3" s="18">
        <f t="shared" si="3"/>
        <v>73446.64351634396</v>
      </c>
      <c r="BB3" s="18">
        <f t="shared" si="3"/>
        <v>71736.892584705347</v>
      </c>
      <c r="BC3" s="23">
        <v>8.9181565948742242E-2</v>
      </c>
      <c r="BD3" s="23">
        <v>0.10665277883445198</v>
      </c>
      <c r="BE3" s="23">
        <v>9.438849084854764E-2</v>
      </c>
      <c r="BF3" s="23">
        <v>7.149564986855049E-2</v>
      </c>
      <c r="BG3" s="23">
        <v>0.10368571810536763</v>
      </c>
      <c r="BH3" s="23">
        <v>8.4970330952544637E-2</v>
      </c>
      <c r="BI3" s="23">
        <v>8.4593878877262704E-2</v>
      </c>
      <c r="BJ3" s="23">
        <v>5.7447105462779965E-2</v>
      </c>
      <c r="BK3" s="23">
        <v>8.5153852345557474E-2</v>
      </c>
      <c r="BL3" s="23">
        <v>7.4158058913035174E-2</v>
      </c>
      <c r="BM3" s="23">
        <v>7.5718189192107169E-2</v>
      </c>
      <c r="BN3" s="23">
        <v>7.3955559365675619E-2</v>
      </c>
      <c r="BO3" s="46">
        <f>SUM(BC3:BN3)</f>
        <v>1.0014011787146229</v>
      </c>
    </row>
    <row r="4" spans="1:67" x14ac:dyDescent="0.25">
      <c r="A4" s="16">
        <v>2081</v>
      </c>
      <c r="B4" s="16" t="s">
        <v>200</v>
      </c>
      <c r="C4" s="17">
        <v>400000</v>
      </c>
      <c r="D4" s="17">
        <f t="shared" ref="D4:D67" si="4">+$C4*BC4</f>
        <v>35672.626379496898</v>
      </c>
      <c r="E4" s="17">
        <f t="shared" ref="E4:E67" si="5">+$C4*BD4</f>
        <v>42661.111533780793</v>
      </c>
      <c r="F4" s="17">
        <f t="shared" ref="F4:F67" si="6">+$C4*BE4</f>
        <v>37755.396339419058</v>
      </c>
      <c r="G4" s="17">
        <f t="shared" ref="G4:G67" si="7">+$C4*BF4</f>
        <v>28598.259947420196</v>
      </c>
      <c r="H4" s="17">
        <f t="shared" ref="H4:H67" si="8">+$C4*BG4</f>
        <v>41474.287242147053</v>
      </c>
      <c r="I4" s="17">
        <f t="shared" ref="I4:I67" si="9">+$C4*BH4</f>
        <v>33988.132381017858</v>
      </c>
      <c r="J4" s="17">
        <f t="shared" ref="J4:J67" si="10">+$C4*BI4</f>
        <v>33837.551550905082</v>
      </c>
      <c r="K4" s="17">
        <f t="shared" ref="K4:K67" si="11">+$C4*BJ4</f>
        <v>22978.842185111986</v>
      </c>
      <c r="L4" s="17">
        <f t="shared" ref="L4:L67" si="12">+$C4*BK4</f>
        <v>34061.540938222992</v>
      </c>
      <c r="M4" s="17">
        <f t="shared" ref="M4:M67" si="13">+$C4*BL4</f>
        <v>29663.22356521407</v>
      </c>
      <c r="N4" s="17">
        <f t="shared" ref="N4:N67" si="14">+$C4*BM4</f>
        <v>30287.275676842866</v>
      </c>
      <c r="O4" s="17">
        <f t="shared" ref="O4:O67" si="15">+$C4*BN4</f>
        <v>29582.223746270247</v>
      </c>
      <c r="P4" s="17">
        <v>2000</v>
      </c>
      <c r="Q4" s="17">
        <f t="shared" ref="Q4:Q67" si="16">+$P4*BC4</f>
        <v>178.36313189748449</v>
      </c>
      <c r="R4" s="17">
        <f t="shared" ref="R4:R67" si="17">+$P4*BD4</f>
        <v>213.30555766890396</v>
      </c>
      <c r="S4" s="17">
        <f t="shared" ref="S4:S67" si="18">+$P4*BE4</f>
        <v>188.77698169709529</v>
      </c>
      <c r="T4" s="17">
        <f t="shared" ref="T4:T67" si="19">+$P4*BF4</f>
        <v>142.99129973710097</v>
      </c>
      <c r="U4" s="17">
        <f t="shared" ref="U4:U67" si="20">+$P4*BG4</f>
        <v>207.37143621073525</v>
      </c>
      <c r="V4" s="17">
        <f t="shared" ref="V4:V67" si="21">+$P4*BH4</f>
        <v>169.94066190508929</v>
      </c>
      <c r="W4" s="17">
        <f t="shared" ref="W4:W67" si="22">+$P4*BI4</f>
        <v>169.18775775452542</v>
      </c>
      <c r="X4" s="17">
        <f t="shared" ref="X4:X67" si="23">+$P4*BJ4</f>
        <v>114.89421092555993</v>
      </c>
      <c r="Y4" s="17">
        <f t="shared" ref="Y4:Y67" si="24">+$P4*BK4</f>
        <v>170.30770469111494</v>
      </c>
      <c r="Z4" s="17">
        <f t="shared" ref="Z4:Z67" si="25">+$P4*BL4</f>
        <v>148.31611782607035</v>
      </c>
      <c r="AA4" s="17">
        <f t="shared" ref="AA4:AA67" si="26">+$P4*BM4</f>
        <v>151.43637838421435</v>
      </c>
      <c r="AB4" s="17">
        <f t="shared" ref="AB4:AB67" si="27">+$P4*BN4</f>
        <v>147.91111873135125</v>
      </c>
      <c r="AC4" s="17">
        <v>0</v>
      </c>
      <c r="AD4" s="17">
        <f t="shared" ref="AD4:AD67" si="28">+$AC4*BC4</f>
        <v>0</v>
      </c>
      <c r="AE4" s="17">
        <f t="shared" ref="AE4:AE67" si="29">+$AC4*BD4</f>
        <v>0</v>
      </c>
      <c r="AF4" s="17">
        <f t="shared" ref="AF4:AF67" si="30">+$AC4*BE4</f>
        <v>0</v>
      </c>
      <c r="AG4" s="17">
        <f t="shared" ref="AG4:AG67" si="31">+$AC4*BF4</f>
        <v>0</v>
      </c>
      <c r="AH4" s="17">
        <f t="shared" ref="AH4:AH67" si="32">+$AC4*BG4</f>
        <v>0</v>
      </c>
      <c r="AI4" s="17">
        <f t="shared" ref="AI4:AI67" si="33">+$AC4*BH4</f>
        <v>0</v>
      </c>
      <c r="AJ4" s="17">
        <f t="shared" ref="AJ4:AJ67" si="34">+$AC4*BI4</f>
        <v>0</v>
      </c>
      <c r="AK4" s="17">
        <f t="shared" ref="AK4:AK67" si="35">+$AC4*BJ4</f>
        <v>0</v>
      </c>
      <c r="AL4" s="17">
        <f t="shared" ref="AL4:AL67" si="36">+$AC4*BK4</f>
        <v>0</v>
      </c>
      <c r="AM4" s="17">
        <f t="shared" ref="AM4:AM67" si="37">+$AC4*BL4</f>
        <v>0</v>
      </c>
      <c r="AN4" s="17">
        <f t="shared" ref="AN4:AN67" si="38">+$AC4*BM4</f>
        <v>0</v>
      </c>
      <c r="AO4" s="17">
        <f t="shared" ref="AO4:AO67" si="39">+$AC4*BN4</f>
        <v>0</v>
      </c>
      <c r="AP4" s="17">
        <f t="shared" ref="AP4:AP67" si="40">+AC4+P4+C4</f>
        <v>402000</v>
      </c>
      <c r="AQ4" s="18">
        <v>89181.565948742238</v>
      </c>
      <c r="AR4" s="18">
        <v>106652.77883445198</v>
      </c>
      <c r="AS4" s="18">
        <v>94388.490848547634</v>
      </c>
      <c r="AT4" s="18">
        <v>71495.649868550492</v>
      </c>
      <c r="AU4" s="18">
        <v>103685.71810536763</v>
      </c>
      <c r="AV4" s="18">
        <v>84970.330952544638</v>
      </c>
      <c r="AW4" s="18">
        <v>84593.878877262701</v>
      </c>
      <c r="AX4" s="18">
        <v>57447.105462779968</v>
      </c>
      <c r="AY4" s="18">
        <v>85153.852345557476</v>
      </c>
      <c r="AZ4" s="18">
        <v>74158.058913035173</v>
      </c>
      <c r="BA4" s="18">
        <v>75718.189192107166</v>
      </c>
      <c r="BB4" s="18">
        <v>73955.559365675625</v>
      </c>
      <c r="BC4" s="23">
        <v>8.9181565948742242E-2</v>
      </c>
      <c r="BD4" s="23">
        <v>0.10665277883445198</v>
      </c>
      <c r="BE4" s="23">
        <v>9.438849084854764E-2</v>
      </c>
      <c r="BF4" s="23">
        <v>7.149564986855049E-2</v>
      </c>
      <c r="BG4" s="23">
        <v>0.10368571810536763</v>
      </c>
      <c r="BH4" s="23">
        <v>8.4970330952544637E-2</v>
      </c>
      <c r="BI4" s="23">
        <v>8.4593878877262704E-2</v>
      </c>
      <c r="BJ4" s="23">
        <v>5.7447105462779965E-2</v>
      </c>
      <c r="BK4" s="23">
        <v>8.5153852345557474E-2</v>
      </c>
      <c r="BL4" s="23">
        <v>7.4158058913035174E-2</v>
      </c>
      <c r="BM4" s="23">
        <v>7.5718189192107169E-2</v>
      </c>
      <c r="BN4" s="23">
        <v>7.3955559365675619E-2</v>
      </c>
      <c r="BO4" s="23">
        <f t="shared" ref="BO4:BO67" si="41">SUM(BC4:BN4)</f>
        <v>1.0014011787146229</v>
      </c>
    </row>
    <row r="5" spans="1:67" x14ac:dyDescent="0.25">
      <c r="A5" s="16">
        <v>31403</v>
      </c>
      <c r="B5" s="16" t="s">
        <v>201</v>
      </c>
      <c r="C5" s="17">
        <v>45000</v>
      </c>
      <c r="D5" s="17">
        <f t="shared" si="4"/>
        <v>4013.170467693401</v>
      </c>
      <c r="E5" s="17">
        <f t="shared" si="5"/>
        <v>4799.3750475503393</v>
      </c>
      <c r="F5" s="17">
        <f t="shared" si="6"/>
        <v>4247.4820881846435</v>
      </c>
      <c r="G5" s="17">
        <f t="shared" si="7"/>
        <v>3217.3042440847721</v>
      </c>
      <c r="H5" s="17">
        <f t="shared" si="8"/>
        <v>4665.8573147415436</v>
      </c>
      <c r="I5" s="17">
        <f t="shared" si="9"/>
        <v>3823.6648928645086</v>
      </c>
      <c r="J5" s="17">
        <f t="shared" si="10"/>
        <v>3806.7245494768217</v>
      </c>
      <c r="K5" s="17">
        <f t="shared" si="11"/>
        <v>2585.1197458250986</v>
      </c>
      <c r="L5" s="17">
        <f t="shared" si="12"/>
        <v>3831.9233555500864</v>
      </c>
      <c r="M5" s="17">
        <f t="shared" si="13"/>
        <v>3337.1126510865829</v>
      </c>
      <c r="N5" s="17">
        <f t="shared" si="14"/>
        <v>3407.3185136448228</v>
      </c>
      <c r="O5" s="17">
        <f t="shared" si="15"/>
        <v>3328.0001714554028</v>
      </c>
      <c r="P5" s="17">
        <v>400000</v>
      </c>
      <c r="Q5" s="17">
        <f t="shared" si="16"/>
        <v>35672.626379496898</v>
      </c>
      <c r="R5" s="17">
        <f t="shared" si="17"/>
        <v>42661.111533780793</v>
      </c>
      <c r="S5" s="17">
        <f t="shared" si="18"/>
        <v>37755.396339419058</v>
      </c>
      <c r="T5" s="17">
        <f t="shared" si="19"/>
        <v>28598.259947420196</v>
      </c>
      <c r="U5" s="17">
        <f t="shared" si="20"/>
        <v>41474.287242147053</v>
      </c>
      <c r="V5" s="17">
        <f t="shared" si="21"/>
        <v>33988.132381017858</v>
      </c>
      <c r="W5" s="17">
        <f t="shared" si="22"/>
        <v>33837.551550905082</v>
      </c>
      <c r="X5" s="17">
        <f t="shared" si="23"/>
        <v>22978.842185111986</v>
      </c>
      <c r="Y5" s="17">
        <f t="shared" si="24"/>
        <v>34061.540938222992</v>
      </c>
      <c r="Z5" s="17">
        <f t="shared" si="25"/>
        <v>29663.22356521407</v>
      </c>
      <c r="AA5" s="17">
        <f t="shared" si="26"/>
        <v>30287.275676842866</v>
      </c>
      <c r="AB5" s="17">
        <f t="shared" si="27"/>
        <v>29582.223746270247</v>
      </c>
      <c r="AC5" s="17">
        <v>0</v>
      </c>
      <c r="AD5" s="17">
        <f t="shared" si="28"/>
        <v>0</v>
      </c>
      <c r="AE5" s="17">
        <f t="shared" si="29"/>
        <v>0</v>
      </c>
      <c r="AF5" s="17">
        <f t="shared" si="30"/>
        <v>0</v>
      </c>
      <c r="AG5" s="17">
        <f t="shared" si="31"/>
        <v>0</v>
      </c>
      <c r="AH5" s="17">
        <f t="shared" si="32"/>
        <v>0</v>
      </c>
      <c r="AI5" s="17">
        <f t="shared" si="33"/>
        <v>0</v>
      </c>
      <c r="AJ5" s="17">
        <f t="shared" si="34"/>
        <v>0</v>
      </c>
      <c r="AK5" s="17">
        <f t="shared" si="35"/>
        <v>0</v>
      </c>
      <c r="AL5" s="17">
        <f t="shared" si="36"/>
        <v>0</v>
      </c>
      <c r="AM5" s="17">
        <f t="shared" si="37"/>
        <v>0</v>
      </c>
      <c r="AN5" s="17">
        <f t="shared" si="38"/>
        <v>0</v>
      </c>
      <c r="AO5" s="17">
        <f t="shared" si="39"/>
        <v>0</v>
      </c>
      <c r="AP5" s="17">
        <f t="shared" si="40"/>
        <v>445000</v>
      </c>
      <c r="AQ5" s="18">
        <v>40336.822278616113</v>
      </c>
      <c r="AR5" s="18">
        <v>48239.051866822629</v>
      </c>
      <c r="AS5" s="18">
        <v>42691.914410798097</v>
      </c>
      <c r="AT5" s="18">
        <v>32337.482435545386</v>
      </c>
      <c r="AU5" s="18">
        <v>46897.050299057781</v>
      </c>
      <c r="AV5" s="18">
        <v>38432.080689835937</v>
      </c>
      <c r="AW5" s="18">
        <v>38261.811416185919</v>
      </c>
      <c r="AX5" s="18">
        <v>25983.325800815379</v>
      </c>
      <c r="AY5" s="18">
        <v>38515.087415895643</v>
      </c>
      <c r="AZ5" s="18">
        <v>33541.690046365809</v>
      </c>
      <c r="BA5" s="18">
        <v>34247.33697159007</v>
      </c>
      <c r="BB5" s="18">
        <v>33450.099501095079</v>
      </c>
      <c r="BC5" s="23">
        <v>8.9181565948742242E-2</v>
      </c>
      <c r="BD5" s="23">
        <v>0.10665277883445198</v>
      </c>
      <c r="BE5" s="23">
        <v>9.438849084854764E-2</v>
      </c>
      <c r="BF5" s="23">
        <v>7.149564986855049E-2</v>
      </c>
      <c r="BG5" s="23">
        <v>0.10368571810536763</v>
      </c>
      <c r="BH5" s="23">
        <v>8.4970330952544637E-2</v>
      </c>
      <c r="BI5" s="23">
        <v>8.4593878877262704E-2</v>
      </c>
      <c r="BJ5" s="23">
        <v>5.7447105462779965E-2</v>
      </c>
      <c r="BK5" s="23">
        <v>8.5153852345557474E-2</v>
      </c>
      <c r="BL5" s="23">
        <v>7.4158058913035174E-2</v>
      </c>
      <c r="BM5" s="23">
        <v>7.5718189192107169E-2</v>
      </c>
      <c r="BN5" s="23">
        <v>7.3955559365675619E-2</v>
      </c>
      <c r="BO5" s="23">
        <f t="shared" si="41"/>
        <v>1.0014011787146229</v>
      </c>
    </row>
    <row r="6" spans="1:67" x14ac:dyDescent="0.25">
      <c r="A6" s="16">
        <v>1422</v>
      </c>
      <c r="B6" s="16" t="s">
        <v>202</v>
      </c>
      <c r="C6" s="17">
        <v>350000</v>
      </c>
      <c r="D6" s="17">
        <f t="shared" si="4"/>
        <v>31213.548082059784</v>
      </c>
      <c r="E6" s="17">
        <f t="shared" si="5"/>
        <v>37328.472592058191</v>
      </c>
      <c r="F6" s="17">
        <f t="shared" si="6"/>
        <v>33035.971796991675</v>
      </c>
      <c r="G6" s="17">
        <f t="shared" si="7"/>
        <v>25023.477453992673</v>
      </c>
      <c r="H6" s="17">
        <f t="shared" si="8"/>
        <v>36290.001336878668</v>
      </c>
      <c r="I6" s="17">
        <f t="shared" si="9"/>
        <v>29739.615833390624</v>
      </c>
      <c r="J6" s="17">
        <f t="shared" si="10"/>
        <v>29607.857607041948</v>
      </c>
      <c r="K6" s="17">
        <f t="shared" si="11"/>
        <v>20106.486911972988</v>
      </c>
      <c r="L6" s="17">
        <f t="shared" si="12"/>
        <v>29803.848320945115</v>
      </c>
      <c r="M6" s="17">
        <f t="shared" si="13"/>
        <v>25955.32061956231</v>
      </c>
      <c r="N6" s="17">
        <f t="shared" si="14"/>
        <v>26501.366217237508</v>
      </c>
      <c r="O6" s="17">
        <f t="shared" si="15"/>
        <v>25884.445777986468</v>
      </c>
      <c r="P6" s="17">
        <v>0</v>
      </c>
      <c r="Q6" s="17">
        <f t="shared" si="16"/>
        <v>0</v>
      </c>
      <c r="R6" s="17">
        <f t="shared" si="17"/>
        <v>0</v>
      </c>
      <c r="S6" s="17">
        <f t="shared" si="18"/>
        <v>0</v>
      </c>
      <c r="T6" s="17">
        <f t="shared" si="19"/>
        <v>0</v>
      </c>
      <c r="U6" s="17">
        <f t="shared" si="20"/>
        <v>0</v>
      </c>
      <c r="V6" s="17">
        <f t="shared" si="21"/>
        <v>0</v>
      </c>
      <c r="W6" s="17">
        <f t="shared" si="22"/>
        <v>0</v>
      </c>
      <c r="X6" s="17">
        <f t="shared" si="23"/>
        <v>0</v>
      </c>
      <c r="Y6" s="17">
        <f t="shared" si="24"/>
        <v>0</v>
      </c>
      <c r="Z6" s="17">
        <f t="shared" si="25"/>
        <v>0</v>
      </c>
      <c r="AA6" s="17">
        <f t="shared" si="26"/>
        <v>0</v>
      </c>
      <c r="AB6" s="17">
        <f t="shared" si="27"/>
        <v>0</v>
      </c>
      <c r="AC6" s="17">
        <v>500</v>
      </c>
      <c r="AD6" s="17">
        <f t="shared" si="28"/>
        <v>44.590782974371123</v>
      </c>
      <c r="AE6" s="17">
        <f t="shared" si="29"/>
        <v>53.32638941722599</v>
      </c>
      <c r="AF6" s="17">
        <f t="shared" si="30"/>
        <v>47.194245424273824</v>
      </c>
      <c r="AG6" s="17">
        <f t="shared" si="31"/>
        <v>35.747824934275243</v>
      </c>
      <c r="AH6" s="17">
        <f t="shared" si="32"/>
        <v>51.842859052683814</v>
      </c>
      <c r="AI6" s="17">
        <f t="shared" si="33"/>
        <v>42.485165476272321</v>
      </c>
      <c r="AJ6" s="17">
        <f t="shared" si="34"/>
        <v>42.296939438631355</v>
      </c>
      <c r="AK6" s="17">
        <f t="shared" si="35"/>
        <v>28.723552731389983</v>
      </c>
      <c r="AL6" s="17">
        <f t="shared" si="36"/>
        <v>42.576926172778734</v>
      </c>
      <c r="AM6" s="17">
        <f t="shared" si="37"/>
        <v>37.079029456517588</v>
      </c>
      <c r="AN6" s="17">
        <f t="shared" si="38"/>
        <v>37.859094596053588</v>
      </c>
      <c r="AO6" s="17">
        <f t="shared" si="39"/>
        <v>36.977779682837813</v>
      </c>
      <c r="AP6" s="17">
        <f t="shared" si="40"/>
        <v>350500</v>
      </c>
      <c r="AQ6" s="18">
        <v>37902.165528215453</v>
      </c>
      <c r="AR6" s="18">
        <v>45327.431004642094</v>
      </c>
      <c r="AS6" s="18">
        <v>40115.108610632749</v>
      </c>
      <c r="AT6" s="18">
        <v>30385.65119413396</v>
      </c>
      <c r="AU6" s="18">
        <v>44066.430194781242</v>
      </c>
      <c r="AV6" s="18">
        <v>36112.39065483147</v>
      </c>
      <c r="AW6" s="18">
        <v>35952.398522836651</v>
      </c>
      <c r="AX6" s="18">
        <v>24415.019821681486</v>
      </c>
      <c r="AY6" s="18">
        <v>36190.387246861923</v>
      </c>
      <c r="AZ6" s="18">
        <v>31517.17503803995</v>
      </c>
      <c r="BA6" s="18">
        <v>32180.230406645547</v>
      </c>
      <c r="BB6" s="18">
        <v>31431.112730412136</v>
      </c>
      <c r="BC6" s="23">
        <v>8.9181565948742242E-2</v>
      </c>
      <c r="BD6" s="23">
        <v>0.10665277883445198</v>
      </c>
      <c r="BE6" s="23">
        <v>9.438849084854764E-2</v>
      </c>
      <c r="BF6" s="23">
        <v>7.149564986855049E-2</v>
      </c>
      <c r="BG6" s="23">
        <v>0.10368571810536763</v>
      </c>
      <c r="BH6" s="23">
        <v>8.4970330952544637E-2</v>
      </c>
      <c r="BI6" s="23">
        <v>8.4593878877262704E-2</v>
      </c>
      <c r="BJ6" s="23">
        <v>5.7447105462779965E-2</v>
      </c>
      <c r="BK6" s="23">
        <v>8.5153852345557474E-2</v>
      </c>
      <c r="BL6" s="23">
        <v>7.4158058913035174E-2</v>
      </c>
      <c r="BM6" s="23">
        <v>7.5718189192107169E-2</v>
      </c>
      <c r="BN6" s="23">
        <v>7.3955559365675619E-2</v>
      </c>
      <c r="BO6" s="23">
        <f t="shared" si="41"/>
        <v>1.0014011787146229</v>
      </c>
    </row>
    <row r="7" spans="1:67" x14ac:dyDescent="0.25">
      <c r="A7" s="16">
        <v>1500</v>
      </c>
      <c r="B7" s="16" t="s">
        <v>203</v>
      </c>
      <c r="C7" s="17">
        <v>360000</v>
      </c>
      <c r="D7" s="17">
        <f t="shared" si="4"/>
        <v>32105.363741547208</v>
      </c>
      <c r="E7" s="17">
        <f t="shared" si="5"/>
        <v>38395.000380402715</v>
      </c>
      <c r="F7" s="17">
        <f t="shared" si="6"/>
        <v>33979.856705477148</v>
      </c>
      <c r="G7" s="17">
        <f t="shared" si="7"/>
        <v>25738.433952678177</v>
      </c>
      <c r="H7" s="17">
        <f t="shared" si="8"/>
        <v>37326.858517932349</v>
      </c>
      <c r="I7" s="17">
        <f t="shared" si="9"/>
        <v>30589.319142916069</v>
      </c>
      <c r="J7" s="17">
        <f t="shared" si="10"/>
        <v>30453.796395814574</v>
      </c>
      <c r="K7" s="17">
        <f t="shared" si="11"/>
        <v>20680.957966600788</v>
      </c>
      <c r="L7" s="17">
        <f t="shared" si="12"/>
        <v>30655.386844400691</v>
      </c>
      <c r="M7" s="17">
        <f t="shared" si="13"/>
        <v>26696.901208692663</v>
      </c>
      <c r="N7" s="17">
        <f t="shared" si="14"/>
        <v>27258.548109158583</v>
      </c>
      <c r="O7" s="17">
        <f t="shared" si="15"/>
        <v>26624.001371643222</v>
      </c>
      <c r="P7" s="17">
        <v>1500</v>
      </c>
      <c r="Q7" s="17">
        <f t="shared" si="16"/>
        <v>133.77234892311336</v>
      </c>
      <c r="R7" s="17">
        <f t="shared" si="17"/>
        <v>159.97916825167798</v>
      </c>
      <c r="S7" s="17">
        <f t="shared" si="18"/>
        <v>141.58273627282145</v>
      </c>
      <c r="T7" s="17">
        <f t="shared" si="19"/>
        <v>107.24347480282573</v>
      </c>
      <c r="U7" s="17">
        <f t="shared" si="20"/>
        <v>155.52857715805143</v>
      </c>
      <c r="V7" s="17">
        <f t="shared" si="21"/>
        <v>127.45549642881696</v>
      </c>
      <c r="W7" s="17">
        <f t="shared" si="22"/>
        <v>126.89081831589405</v>
      </c>
      <c r="X7" s="17">
        <f t="shared" si="23"/>
        <v>86.170658194169945</v>
      </c>
      <c r="Y7" s="17">
        <f t="shared" si="24"/>
        <v>127.73077851833621</v>
      </c>
      <c r="Z7" s="17">
        <f t="shared" si="25"/>
        <v>111.23708836955277</v>
      </c>
      <c r="AA7" s="17">
        <f t="shared" si="26"/>
        <v>113.57728378816076</v>
      </c>
      <c r="AB7" s="17">
        <f t="shared" si="27"/>
        <v>110.93333904851343</v>
      </c>
      <c r="AC7" s="17">
        <v>25000</v>
      </c>
      <c r="AD7" s="17">
        <f t="shared" si="28"/>
        <v>2229.5391487185561</v>
      </c>
      <c r="AE7" s="17">
        <f t="shared" si="29"/>
        <v>2666.3194708612996</v>
      </c>
      <c r="AF7" s="17">
        <f t="shared" si="30"/>
        <v>2359.7122712136911</v>
      </c>
      <c r="AG7" s="17">
        <f t="shared" si="31"/>
        <v>1787.3912467137623</v>
      </c>
      <c r="AH7" s="17">
        <f t="shared" si="32"/>
        <v>2592.1429526341908</v>
      </c>
      <c r="AI7" s="17">
        <f t="shared" si="33"/>
        <v>2124.2582738136161</v>
      </c>
      <c r="AJ7" s="17">
        <f t="shared" si="34"/>
        <v>2114.8469719315676</v>
      </c>
      <c r="AK7" s="17">
        <f t="shared" si="35"/>
        <v>1436.1776365694991</v>
      </c>
      <c r="AL7" s="17">
        <f t="shared" si="36"/>
        <v>2128.846308638937</v>
      </c>
      <c r="AM7" s="17">
        <f t="shared" si="37"/>
        <v>1853.9514728258794</v>
      </c>
      <c r="AN7" s="17">
        <f t="shared" si="38"/>
        <v>1892.9547298026791</v>
      </c>
      <c r="AO7" s="17">
        <f t="shared" si="39"/>
        <v>1848.8889841418904</v>
      </c>
      <c r="AP7" s="17">
        <f t="shared" si="40"/>
        <v>386500</v>
      </c>
      <c r="AQ7" s="18">
        <v>31303.337866288297</v>
      </c>
      <c r="AR7" s="18">
        <v>37435.852742844298</v>
      </c>
      <c r="AS7" s="18">
        <v>33131.004017347812</v>
      </c>
      <c r="AT7" s="18">
        <v>25095.460704193327</v>
      </c>
      <c r="AU7" s="18">
        <v>36394.394191581516</v>
      </c>
      <c r="AV7" s="18">
        <v>29825.165662000265</v>
      </c>
      <c r="AW7" s="18">
        <v>29693.028416173154</v>
      </c>
      <c r="AX7" s="18">
        <v>20164.325806695026</v>
      </c>
      <c r="AY7" s="18">
        <v>29889.58292256367</v>
      </c>
      <c r="AZ7" s="18">
        <v>26029.984436437135</v>
      </c>
      <c r="BA7" s="18">
        <v>26577.600804479905</v>
      </c>
      <c r="BB7" s="18">
        <v>25958.905714267017</v>
      </c>
      <c r="BC7" s="23">
        <v>8.9181565948742242E-2</v>
      </c>
      <c r="BD7" s="23">
        <v>0.10665277883445198</v>
      </c>
      <c r="BE7" s="23">
        <v>9.438849084854764E-2</v>
      </c>
      <c r="BF7" s="23">
        <v>7.149564986855049E-2</v>
      </c>
      <c r="BG7" s="23">
        <v>0.10368571810536763</v>
      </c>
      <c r="BH7" s="23">
        <v>8.4970330952544637E-2</v>
      </c>
      <c r="BI7" s="23">
        <v>8.4593878877262704E-2</v>
      </c>
      <c r="BJ7" s="23">
        <v>5.7447105462779965E-2</v>
      </c>
      <c r="BK7" s="23">
        <v>8.5153852345557474E-2</v>
      </c>
      <c r="BL7" s="23">
        <v>7.4158058913035174E-2</v>
      </c>
      <c r="BM7" s="23">
        <v>7.5718189192107169E-2</v>
      </c>
      <c r="BN7" s="23">
        <v>7.3955559365675619E-2</v>
      </c>
      <c r="BO7" s="23">
        <f t="shared" si="41"/>
        <v>1.0014011787146229</v>
      </c>
    </row>
    <row r="8" spans="1:67" x14ac:dyDescent="0.25">
      <c r="A8" s="16">
        <v>2106</v>
      </c>
      <c r="B8" s="16" t="s">
        <v>204</v>
      </c>
      <c r="C8" s="17">
        <v>80000</v>
      </c>
      <c r="D8" s="17">
        <f t="shared" si="4"/>
        <v>7134.5252758993793</v>
      </c>
      <c r="E8" s="17">
        <f t="shared" si="5"/>
        <v>8532.222306756159</v>
      </c>
      <c r="F8" s="17">
        <f t="shared" si="6"/>
        <v>7551.0792678838116</v>
      </c>
      <c r="G8" s="17">
        <f t="shared" si="7"/>
        <v>5719.6519894840394</v>
      </c>
      <c r="H8" s="17">
        <f t="shared" si="8"/>
        <v>8294.8574484294095</v>
      </c>
      <c r="I8" s="17">
        <f t="shared" si="9"/>
        <v>6797.6264762035707</v>
      </c>
      <c r="J8" s="17">
        <f t="shared" si="10"/>
        <v>6767.5103101810164</v>
      </c>
      <c r="K8" s="17">
        <f t="shared" si="11"/>
        <v>4595.7684370223969</v>
      </c>
      <c r="L8" s="17">
        <f t="shared" si="12"/>
        <v>6812.3081876445976</v>
      </c>
      <c r="M8" s="17">
        <f t="shared" si="13"/>
        <v>5932.6447130428141</v>
      </c>
      <c r="N8" s="17">
        <f t="shared" si="14"/>
        <v>6057.4551353685738</v>
      </c>
      <c r="O8" s="17">
        <f t="shared" si="15"/>
        <v>5916.4447492540494</v>
      </c>
      <c r="P8" s="17">
        <v>15000</v>
      </c>
      <c r="Q8" s="17">
        <f t="shared" si="16"/>
        <v>1337.7234892311337</v>
      </c>
      <c r="R8" s="17">
        <f t="shared" si="17"/>
        <v>1599.7916825167797</v>
      </c>
      <c r="S8" s="17">
        <f t="shared" si="18"/>
        <v>1415.8273627282147</v>
      </c>
      <c r="T8" s="17">
        <f t="shared" si="19"/>
        <v>1072.4347480282574</v>
      </c>
      <c r="U8" s="17">
        <f t="shared" si="20"/>
        <v>1555.2857715805144</v>
      </c>
      <c r="V8" s="17">
        <f t="shared" si="21"/>
        <v>1274.5549642881695</v>
      </c>
      <c r="W8" s="17">
        <f t="shared" si="22"/>
        <v>1268.9081831589406</v>
      </c>
      <c r="X8" s="17">
        <f t="shared" si="23"/>
        <v>861.70658194169948</v>
      </c>
      <c r="Y8" s="17">
        <f t="shared" si="24"/>
        <v>1277.3077851833621</v>
      </c>
      <c r="Z8" s="17">
        <f t="shared" si="25"/>
        <v>1112.3708836955277</v>
      </c>
      <c r="AA8" s="17">
        <f t="shared" si="26"/>
        <v>1135.7728378816075</v>
      </c>
      <c r="AB8" s="17">
        <f t="shared" si="27"/>
        <v>1109.3333904851343</v>
      </c>
      <c r="AC8" s="17">
        <v>0</v>
      </c>
      <c r="AD8" s="17">
        <f t="shared" si="28"/>
        <v>0</v>
      </c>
      <c r="AE8" s="17">
        <f t="shared" si="29"/>
        <v>0</v>
      </c>
      <c r="AF8" s="17">
        <f t="shared" si="30"/>
        <v>0</v>
      </c>
      <c r="AG8" s="17">
        <f t="shared" si="31"/>
        <v>0</v>
      </c>
      <c r="AH8" s="17">
        <f t="shared" si="32"/>
        <v>0</v>
      </c>
      <c r="AI8" s="17">
        <f t="shared" si="33"/>
        <v>0</v>
      </c>
      <c r="AJ8" s="17">
        <f t="shared" si="34"/>
        <v>0</v>
      </c>
      <c r="AK8" s="17">
        <f t="shared" si="35"/>
        <v>0</v>
      </c>
      <c r="AL8" s="17">
        <f t="shared" si="36"/>
        <v>0</v>
      </c>
      <c r="AM8" s="17">
        <f t="shared" si="37"/>
        <v>0</v>
      </c>
      <c r="AN8" s="17">
        <f t="shared" si="38"/>
        <v>0</v>
      </c>
      <c r="AO8" s="17">
        <f t="shared" si="39"/>
        <v>0</v>
      </c>
      <c r="AP8" s="17">
        <f t="shared" si="40"/>
        <v>95000</v>
      </c>
      <c r="AQ8" s="18">
        <v>26930.911053773962</v>
      </c>
      <c r="AR8" s="18">
        <v>32206.840840620618</v>
      </c>
      <c r="AS8" s="18">
        <v>28503.290164283604</v>
      </c>
      <c r="AT8" s="18">
        <v>21590.145529047582</v>
      </c>
      <c r="AU8" s="18">
        <v>31310.852440595852</v>
      </c>
      <c r="AV8" s="18">
        <v>25659.208837036454</v>
      </c>
      <c r="AW8" s="18">
        <v>25545.528422843534</v>
      </c>
      <c r="AX8" s="18">
        <v>17347.787864636826</v>
      </c>
      <c r="AY8" s="18">
        <v>25714.628342840311</v>
      </c>
      <c r="AZ8" s="18">
        <v>22394.135685567049</v>
      </c>
      <c r="BA8" s="18">
        <v>22865.261409039274</v>
      </c>
      <c r="BB8" s="18">
        <v>22332.985186129707</v>
      </c>
      <c r="BC8" s="23">
        <v>8.9181565948742242E-2</v>
      </c>
      <c r="BD8" s="23">
        <v>0.10665277883445198</v>
      </c>
      <c r="BE8" s="23">
        <v>9.438849084854764E-2</v>
      </c>
      <c r="BF8" s="23">
        <v>7.149564986855049E-2</v>
      </c>
      <c r="BG8" s="23">
        <v>0.10368571810536763</v>
      </c>
      <c r="BH8" s="23">
        <v>8.4970330952544637E-2</v>
      </c>
      <c r="BI8" s="23">
        <v>8.4593878877262704E-2</v>
      </c>
      <c r="BJ8" s="23">
        <v>5.7447105462779965E-2</v>
      </c>
      <c r="BK8" s="23">
        <v>8.5153852345557474E-2</v>
      </c>
      <c r="BL8" s="23">
        <v>7.4158058913035174E-2</v>
      </c>
      <c r="BM8" s="23">
        <v>7.5718189192107169E-2</v>
      </c>
      <c r="BN8" s="23">
        <v>7.3955559365675619E-2</v>
      </c>
      <c r="BO8" s="23">
        <f t="shared" si="41"/>
        <v>1.0014011787146229</v>
      </c>
    </row>
    <row r="9" spans="1:67" x14ac:dyDescent="0.25">
      <c r="A9" s="16">
        <v>22464</v>
      </c>
      <c r="B9" s="16" t="s">
        <v>205</v>
      </c>
      <c r="C9" s="17">
        <v>340150</v>
      </c>
      <c r="D9" s="17">
        <f t="shared" si="4"/>
        <v>30335.109657464673</v>
      </c>
      <c r="E9" s="17">
        <f t="shared" si="5"/>
        <v>36277.942720538842</v>
      </c>
      <c r="F9" s="17">
        <f t="shared" si="6"/>
        <v>32106.24516213348</v>
      </c>
      <c r="G9" s="17">
        <f t="shared" si="7"/>
        <v>24319.245302787451</v>
      </c>
      <c r="H9" s="17">
        <f t="shared" si="8"/>
        <v>35268.697013540797</v>
      </c>
      <c r="I9" s="17">
        <f t="shared" si="9"/>
        <v>28902.658073508057</v>
      </c>
      <c r="J9" s="17">
        <f t="shared" si="10"/>
        <v>28774.607900100909</v>
      </c>
      <c r="K9" s="17">
        <f t="shared" si="11"/>
        <v>19540.632923164605</v>
      </c>
      <c r="L9" s="17">
        <f t="shared" si="12"/>
        <v>28965.082875341373</v>
      </c>
      <c r="M9" s="17">
        <f t="shared" si="13"/>
        <v>25224.863739268916</v>
      </c>
      <c r="N9" s="17">
        <f t="shared" si="14"/>
        <v>25755.542053695255</v>
      </c>
      <c r="O9" s="17">
        <f t="shared" si="15"/>
        <v>25155.983518234563</v>
      </c>
      <c r="P9" s="17">
        <v>5000</v>
      </c>
      <c r="Q9" s="17">
        <f t="shared" si="16"/>
        <v>445.9078297437112</v>
      </c>
      <c r="R9" s="17">
        <f t="shared" si="17"/>
        <v>533.26389417225994</v>
      </c>
      <c r="S9" s="17">
        <f t="shared" si="18"/>
        <v>471.94245424273822</v>
      </c>
      <c r="T9" s="17">
        <f t="shared" si="19"/>
        <v>357.47824934275246</v>
      </c>
      <c r="U9" s="17">
        <f t="shared" si="20"/>
        <v>518.42859052683809</v>
      </c>
      <c r="V9" s="17">
        <f t="shared" si="21"/>
        <v>424.85165476272317</v>
      </c>
      <c r="W9" s="17">
        <f t="shared" si="22"/>
        <v>422.96939438631352</v>
      </c>
      <c r="X9" s="17">
        <f t="shared" si="23"/>
        <v>287.23552731389981</v>
      </c>
      <c r="Y9" s="17">
        <f t="shared" si="24"/>
        <v>425.76926172778735</v>
      </c>
      <c r="Z9" s="17">
        <f t="shared" si="25"/>
        <v>370.79029456517588</v>
      </c>
      <c r="AA9" s="17">
        <f t="shared" si="26"/>
        <v>378.59094596053586</v>
      </c>
      <c r="AB9" s="17">
        <f t="shared" si="27"/>
        <v>369.77779682837809</v>
      </c>
      <c r="AC9" s="17">
        <v>0</v>
      </c>
      <c r="AD9" s="17">
        <f t="shared" si="28"/>
        <v>0</v>
      </c>
      <c r="AE9" s="17">
        <f t="shared" si="29"/>
        <v>0</v>
      </c>
      <c r="AF9" s="17">
        <f t="shared" si="30"/>
        <v>0</v>
      </c>
      <c r="AG9" s="17">
        <f t="shared" si="31"/>
        <v>0</v>
      </c>
      <c r="AH9" s="17">
        <f t="shared" si="32"/>
        <v>0</v>
      </c>
      <c r="AI9" s="17">
        <f t="shared" si="33"/>
        <v>0</v>
      </c>
      <c r="AJ9" s="17">
        <f t="shared" si="34"/>
        <v>0</v>
      </c>
      <c r="AK9" s="17">
        <f t="shared" si="35"/>
        <v>0</v>
      </c>
      <c r="AL9" s="17">
        <f t="shared" si="36"/>
        <v>0</v>
      </c>
      <c r="AM9" s="17">
        <f t="shared" si="37"/>
        <v>0</v>
      </c>
      <c r="AN9" s="17">
        <f t="shared" si="38"/>
        <v>0</v>
      </c>
      <c r="AO9" s="17">
        <f t="shared" si="39"/>
        <v>0</v>
      </c>
      <c r="AP9" s="17">
        <f t="shared" si="40"/>
        <v>345150</v>
      </c>
      <c r="AQ9" s="18">
        <v>24792.475333750343</v>
      </c>
      <c r="AR9" s="18">
        <v>29649.47251597765</v>
      </c>
      <c r="AS9" s="18">
        <v>26240.000455896243</v>
      </c>
      <c r="AT9" s="18">
        <v>19875.790663457035</v>
      </c>
      <c r="AU9" s="18">
        <v>28824.629633292199</v>
      </c>
      <c r="AV9" s="18">
        <v>23621.752004807408</v>
      </c>
      <c r="AW9" s="18">
        <v>23517.098327879034</v>
      </c>
      <c r="AX9" s="18">
        <v>15970.29531865283</v>
      </c>
      <c r="AY9" s="18">
        <v>23672.770952064977</v>
      </c>
      <c r="AZ9" s="18">
        <v>20615.940377823779</v>
      </c>
      <c r="BA9" s="18">
        <v>21049.656595405791</v>
      </c>
      <c r="BB9" s="18">
        <v>20559.645503657823</v>
      </c>
      <c r="BC9" s="23">
        <v>8.9181565948742242E-2</v>
      </c>
      <c r="BD9" s="23">
        <v>0.10665277883445198</v>
      </c>
      <c r="BE9" s="23">
        <v>9.438849084854764E-2</v>
      </c>
      <c r="BF9" s="23">
        <v>7.149564986855049E-2</v>
      </c>
      <c r="BG9" s="23">
        <v>0.10368571810536763</v>
      </c>
      <c r="BH9" s="23">
        <v>8.4970330952544637E-2</v>
      </c>
      <c r="BI9" s="23">
        <v>8.4593878877262704E-2</v>
      </c>
      <c r="BJ9" s="23">
        <v>5.7447105462779965E-2</v>
      </c>
      <c r="BK9" s="23">
        <v>8.5153852345557474E-2</v>
      </c>
      <c r="BL9" s="23">
        <v>7.4158058913035174E-2</v>
      </c>
      <c r="BM9" s="23">
        <v>7.5718189192107169E-2</v>
      </c>
      <c r="BN9" s="23">
        <v>7.3955559365675619E-2</v>
      </c>
      <c r="BO9" s="23">
        <f t="shared" si="41"/>
        <v>1.0014011787146229</v>
      </c>
    </row>
    <row r="10" spans="1:67" x14ac:dyDescent="0.25">
      <c r="A10" s="16">
        <v>22467</v>
      </c>
      <c r="B10" s="16" t="s">
        <v>206</v>
      </c>
      <c r="C10" s="17">
        <v>1300000</v>
      </c>
      <c r="D10" s="17">
        <f t="shared" si="4"/>
        <v>115936.03573336492</v>
      </c>
      <c r="E10" s="17">
        <f t="shared" si="5"/>
        <v>138648.61248478759</v>
      </c>
      <c r="F10" s="17">
        <f t="shared" si="6"/>
        <v>122705.03810311193</v>
      </c>
      <c r="G10" s="17">
        <f t="shared" si="7"/>
        <v>92944.344829115638</v>
      </c>
      <c r="H10" s="17">
        <f t="shared" si="8"/>
        <v>134791.43353697791</v>
      </c>
      <c r="I10" s="17">
        <f t="shared" si="9"/>
        <v>110461.43023830802</v>
      </c>
      <c r="J10" s="17">
        <f t="shared" si="10"/>
        <v>109972.04254044151</v>
      </c>
      <c r="K10" s="17">
        <f t="shared" si="11"/>
        <v>74681.237101613951</v>
      </c>
      <c r="L10" s="17">
        <f t="shared" si="12"/>
        <v>110700.00804922472</v>
      </c>
      <c r="M10" s="17">
        <f t="shared" si="13"/>
        <v>96405.476586945733</v>
      </c>
      <c r="N10" s="17">
        <f t="shared" si="14"/>
        <v>98433.645949739323</v>
      </c>
      <c r="O10" s="17">
        <f t="shared" si="15"/>
        <v>96142.227175378299</v>
      </c>
      <c r="P10" s="17">
        <v>0</v>
      </c>
      <c r="Q10" s="17">
        <f t="shared" si="16"/>
        <v>0</v>
      </c>
      <c r="R10" s="17">
        <f t="shared" si="17"/>
        <v>0</v>
      </c>
      <c r="S10" s="17">
        <f t="shared" si="18"/>
        <v>0</v>
      </c>
      <c r="T10" s="17">
        <f t="shared" si="19"/>
        <v>0</v>
      </c>
      <c r="U10" s="17">
        <f t="shared" si="20"/>
        <v>0</v>
      </c>
      <c r="V10" s="17">
        <f t="shared" si="21"/>
        <v>0</v>
      </c>
      <c r="W10" s="17">
        <f t="shared" si="22"/>
        <v>0</v>
      </c>
      <c r="X10" s="17">
        <f t="shared" si="23"/>
        <v>0</v>
      </c>
      <c r="Y10" s="17">
        <f t="shared" si="24"/>
        <v>0</v>
      </c>
      <c r="Z10" s="17">
        <f t="shared" si="25"/>
        <v>0</v>
      </c>
      <c r="AA10" s="17">
        <f t="shared" si="26"/>
        <v>0</v>
      </c>
      <c r="AB10" s="17">
        <f t="shared" si="27"/>
        <v>0</v>
      </c>
      <c r="AC10" s="17">
        <v>30000</v>
      </c>
      <c r="AD10" s="17">
        <f t="shared" si="28"/>
        <v>2675.4469784622675</v>
      </c>
      <c r="AE10" s="17">
        <f t="shared" si="29"/>
        <v>3199.5833650335594</v>
      </c>
      <c r="AF10" s="17">
        <f t="shared" si="30"/>
        <v>2831.6547254564293</v>
      </c>
      <c r="AG10" s="17">
        <f t="shared" si="31"/>
        <v>2144.8694960565149</v>
      </c>
      <c r="AH10" s="17">
        <f t="shared" si="32"/>
        <v>3110.5715431610288</v>
      </c>
      <c r="AI10" s="17">
        <f t="shared" si="33"/>
        <v>2549.1099285763389</v>
      </c>
      <c r="AJ10" s="17">
        <f t="shared" si="34"/>
        <v>2537.8163663178811</v>
      </c>
      <c r="AK10" s="17">
        <f t="shared" si="35"/>
        <v>1723.413163883399</v>
      </c>
      <c r="AL10" s="17">
        <f t="shared" si="36"/>
        <v>2554.6155703667241</v>
      </c>
      <c r="AM10" s="17">
        <f t="shared" si="37"/>
        <v>2224.7417673910554</v>
      </c>
      <c r="AN10" s="17">
        <f t="shared" si="38"/>
        <v>2271.5456757632151</v>
      </c>
      <c r="AO10" s="17">
        <f t="shared" si="39"/>
        <v>2218.6667809702685</v>
      </c>
      <c r="AP10" s="17">
        <f t="shared" si="40"/>
        <v>1330000</v>
      </c>
      <c r="AQ10" s="18">
        <v>22296.744282359436</v>
      </c>
      <c r="AR10" s="18">
        <v>26664.812524615136</v>
      </c>
      <c r="AS10" s="18">
        <v>23598.554491154591</v>
      </c>
      <c r="AT10" s="18">
        <v>17874.996984650479</v>
      </c>
      <c r="AU10" s="18">
        <v>25923.002334999848</v>
      </c>
      <c r="AV10" s="18">
        <v>21243.871653086379</v>
      </c>
      <c r="AW10" s="18">
        <v>21149.752923864366</v>
      </c>
      <c r="AX10" s="18">
        <v>14362.647780837757</v>
      </c>
      <c r="AY10" s="18">
        <v>21289.754785175599</v>
      </c>
      <c r="AZ10" s="18">
        <v>18540.639631854447</v>
      </c>
      <c r="BA10" s="18">
        <v>18930.695867238646</v>
      </c>
      <c r="BB10" s="18">
        <v>18490.011673298923</v>
      </c>
      <c r="BC10" s="23">
        <v>8.9181565948742242E-2</v>
      </c>
      <c r="BD10" s="23">
        <v>0.10665277883445198</v>
      </c>
      <c r="BE10" s="23">
        <v>9.438849084854764E-2</v>
      </c>
      <c r="BF10" s="23">
        <v>7.149564986855049E-2</v>
      </c>
      <c r="BG10" s="23">
        <v>0.10368571810536763</v>
      </c>
      <c r="BH10" s="23">
        <v>8.4970330952544637E-2</v>
      </c>
      <c r="BI10" s="23">
        <v>8.4593878877262704E-2</v>
      </c>
      <c r="BJ10" s="23">
        <v>5.7447105462779965E-2</v>
      </c>
      <c r="BK10" s="23">
        <v>8.5153852345557474E-2</v>
      </c>
      <c r="BL10" s="23">
        <v>7.4158058913035174E-2</v>
      </c>
      <c r="BM10" s="23">
        <v>7.5718189192107169E-2</v>
      </c>
      <c r="BN10" s="23">
        <v>7.3955559365675619E-2</v>
      </c>
      <c r="BO10" s="23">
        <f t="shared" si="41"/>
        <v>1.0014011787146229</v>
      </c>
    </row>
    <row r="11" spans="1:67" x14ac:dyDescent="0.25">
      <c r="A11" s="16">
        <v>1118</v>
      </c>
      <c r="B11" s="16" t="s">
        <v>207</v>
      </c>
      <c r="C11" s="17">
        <v>250000</v>
      </c>
      <c r="D11" s="17">
        <f t="shared" si="4"/>
        <v>22295.39148718556</v>
      </c>
      <c r="E11" s="17">
        <f t="shared" si="5"/>
        <v>26663.194708612995</v>
      </c>
      <c r="F11" s="17">
        <f t="shared" si="6"/>
        <v>23597.122712136908</v>
      </c>
      <c r="G11" s="17">
        <f t="shared" si="7"/>
        <v>17873.912467137623</v>
      </c>
      <c r="H11" s="17">
        <f t="shared" si="8"/>
        <v>25921.429526341908</v>
      </c>
      <c r="I11" s="17">
        <f t="shared" si="9"/>
        <v>21242.58273813616</v>
      </c>
      <c r="J11" s="17">
        <f t="shared" si="10"/>
        <v>21148.469719315675</v>
      </c>
      <c r="K11" s="17">
        <f t="shared" si="11"/>
        <v>14361.776365694992</v>
      </c>
      <c r="L11" s="17">
        <f t="shared" si="12"/>
        <v>21288.463086389369</v>
      </c>
      <c r="M11" s="17">
        <f t="shared" si="13"/>
        <v>18539.514728258793</v>
      </c>
      <c r="N11" s="17">
        <f t="shared" si="14"/>
        <v>18929.547298026791</v>
      </c>
      <c r="O11" s="17">
        <f t="shared" si="15"/>
        <v>18488.889841418906</v>
      </c>
      <c r="P11" s="17">
        <v>60000</v>
      </c>
      <c r="Q11" s="17">
        <f t="shared" si="16"/>
        <v>5350.8939569245349</v>
      </c>
      <c r="R11" s="17">
        <f t="shared" si="17"/>
        <v>6399.1667300671188</v>
      </c>
      <c r="S11" s="17">
        <f t="shared" si="18"/>
        <v>5663.3094509128587</v>
      </c>
      <c r="T11" s="17">
        <f t="shared" si="19"/>
        <v>4289.7389921130298</v>
      </c>
      <c r="U11" s="17">
        <f t="shared" si="20"/>
        <v>6221.1430863220576</v>
      </c>
      <c r="V11" s="17">
        <f t="shared" si="21"/>
        <v>5098.2198571526778</v>
      </c>
      <c r="W11" s="17">
        <f t="shared" si="22"/>
        <v>5075.6327326357623</v>
      </c>
      <c r="X11" s="17">
        <f t="shared" si="23"/>
        <v>3446.8263277667979</v>
      </c>
      <c r="Y11" s="17">
        <f t="shared" si="24"/>
        <v>5109.2311407334482</v>
      </c>
      <c r="Z11" s="17">
        <f t="shared" si="25"/>
        <v>4449.4835347821108</v>
      </c>
      <c r="AA11" s="17">
        <f t="shared" si="26"/>
        <v>4543.0913515264301</v>
      </c>
      <c r="AB11" s="17">
        <f t="shared" si="27"/>
        <v>4437.333561940537</v>
      </c>
      <c r="AC11" s="17">
        <v>0</v>
      </c>
      <c r="AD11" s="17">
        <f t="shared" si="28"/>
        <v>0</v>
      </c>
      <c r="AE11" s="17">
        <f t="shared" si="29"/>
        <v>0</v>
      </c>
      <c r="AF11" s="17">
        <f t="shared" si="30"/>
        <v>0</v>
      </c>
      <c r="AG11" s="17">
        <f t="shared" si="31"/>
        <v>0</v>
      </c>
      <c r="AH11" s="17">
        <f t="shared" si="32"/>
        <v>0</v>
      </c>
      <c r="AI11" s="17">
        <f t="shared" si="33"/>
        <v>0</v>
      </c>
      <c r="AJ11" s="17">
        <f t="shared" si="34"/>
        <v>0</v>
      </c>
      <c r="AK11" s="17">
        <f t="shared" si="35"/>
        <v>0</v>
      </c>
      <c r="AL11" s="17">
        <f t="shared" si="36"/>
        <v>0</v>
      </c>
      <c r="AM11" s="17">
        <f t="shared" si="37"/>
        <v>0</v>
      </c>
      <c r="AN11" s="17">
        <f t="shared" si="38"/>
        <v>0</v>
      </c>
      <c r="AO11" s="17">
        <f t="shared" si="39"/>
        <v>0</v>
      </c>
      <c r="AP11" s="17">
        <f t="shared" si="40"/>
        <v>310000</v>
      </c>
      <c r="AQ11" s="18">
        <v>22295.39148718556</v>
      </c>
      <c r="AR11" s="18">
        <v>26663.194708612995</v>
      </c>
      <c r="AS11" s="18">
        <v>23597.122712136908</v>
      </c>
      <c r="AT11" s="18">
        <v>17873.912467137623</v>
      </c>
      <c r="AU11" s="18">
        <v>25921.429526341908</v>
      </c>
      <c r="AV11" s="18">
        <v>21242.58273813616</v>
      </c>
      <c r="AW11" s="18">
        <v>21148.469719315675</v>
      </c>
      <c r="AX11" s="18">
        <v>14361.776365694992</v>
      </c>
      <c r="AY11" s="18">
        <v>21288.463086389369</v>
      </c>
      <c r="AZ11" s="18">
        <v>18539.514728258793</v>
      </c>
      <c r="BA11" s="18">
        <v>18929.547298026791</v>
      </c>
      <c r="BB11" s="18">
        <v>18488.889841418906</v>
      </c>
      <c r="BC11" s="23">
        <v>8.9181565948742242E-2</v>
      </c>
      <c r="BD11" s="23">
        <v>0.10665277883445198</v>
      </c>
      <c r="BE11" s="23">
        <v>9.438849084854764E-2</v>
      </c>
      <c r="BF11" s="23">
        <v>7.149564986855049E-2</v>
      </c>
      <c r="BG11" s="23">
        <v>0.10368571810536763</v>
      </c>
      <c r="BH11" s="23">
        <v>8.4970330952544637E-2</v>
      </c>
      <c r="BI11" s="23">
        <v>8.4593878877262704E-2</v>
      </c>
      <c r="BJ11" s="23">
        <v>5.7447105462779965E-2</v>
      </c>
      <c r="BK11" s="23">
        <v>8.5153852345557474E-2</v>
      </c>
      <c r="BL11" s="23">
        <v>7.4158058913035174E-2</v>
      </c>
      <c r="BM11" s="23">
        <v>7.5718189192107169E-2</v>
      </c>
      <c r="BN11" s="23">
        <v>7.3955559365675619E-2</v>
      </c>
      <c r="BO11" s="23">
        <f t="shared" si="41"/>
        <v>1.0014011787146229</v>
      </c>
    </row>
    <row r="12" spans="1:67" x14ac:dyDescent="0.25">
      <c r="A12" s="16">
        <v>2445</v>
      </c>
      <c r="B12" s="16" t="s">
        <v>208</v>
      </c>
      <c r="C12" s="17">
        <v>180000</v>
      </c>
      <c r="D12" s="17">
        <f t="shared" si="4"/>
        <v>16052.681870773604</v>
      </c>
      <c r="E12" s="17">
        <f t="shared" si="5"/>
        <v>19197.500190201357</v>
      </c>
      <c r="F12" s="17">
        <f t="shared" si="6"/>
        <v>16989.928352738574</v>
      </c>
      <c r="G12" s="17">
        <f t="shared" si="7"/>
        <v>12869.216976339088</v>
      </c>
      <c r="H12" s="17">
        <f t="shared" si="8"/>
        <v>18663.429258966175</v>
      </c>
      <c r="I12" s="17">
        <f t="shared" si="9"/>
        <v>15294.659571458034</v>
      </c>
      <c r="J12" s="17">
        <f t="shared" si="10"/>
        <v>15226.898197907287</v>
      </c>
      <c r="K12" s="17">
        <f t="shared" si="11"/>
        <v>10340.478983300394</v>
      </c>
      <c r="L12" s="17">
        <f t="shared" si="12"/>
        <v>15327.693422200346</v>
      </c>
      <c r="M12" s="17">
        <f t="shared" si="13"/>
        <v>13348.450604346332</v>
      </c>
      <c r="N12" s="17">
        <f t="shared" si="14"/>
        <v>13629.274054579291</v>
      </c>
      <c r="O12" s="17">
        <f t="shared" si="15"/>
        <v>13312.000685821611</v>
      </c>
      <c r="P12" s="17">
        <v>2000</v>
      </c>
      <c r="Q12" s="17">
        <f t="shared" si="16"/>
        <v>178.36313189748449</v>
      </c>
      <c r="R12" s="17">
        <f t="shared" si="17"/>
        <v>213.30555766890396</v>
      </c>
      <c r="S12" s="17">
        <f t="shared" si="18"/>
        <v>188.77698169709529</v>
      </c>
      <c r="T12" s="17">
        <f t="shared" si="19"/>
        <v>142.99129973710097</v>
      </c>
      <c r="U12" s="17">
        <f t="shared" si="20"/>
        <v>207.37143621073525</v>
      </c>
      <c r="V12" s="17">
        <f t="shared" si="21"/>
        <v>169.94066190508929</v>
      </c>
      <c r="W12" s="17">
        <f t="shared" si="22"/>
        <v>169.18775775452542</v>
      </c>
      <c r="X12" s="17">
        <f t="shared" si="23"/>
        <v>114.89421092555993</v>
      </c>
      <c r="Y12" s="17">
        <f t="shared" si="24"/>
        <v>170.30770469111494</v>
      </c>
      <c r="Z12" s="17">
        <f t="shared" si="25"/>
        <v>148.31611782607035</v>
      </c>
      <c r="AA12" s="17">
        <f t="shared" si="26"/>
        <v>151.43637838421435</v>
      </c>
      <c r="AB12" s="17">
        <f t="shared" si="27"/>
        <v>147.91111873135125</v>
      </c>
      <c r="AC12" s="17">
        <v>0</v>
      </c>
      <c r="AD12" s="17">
        <f t="shared" si="28"/>
        <v>0</v>
      </c>
      <c r="AE12" s="17">
        <f t="shared" si="29"/>
        <v>0</v>
      </c>
      <c r="AF12" s="17">
        <f t="shared" si="30"/>
        <v>0</v>
      </c>
      <c r="AG12" s="17">
        <f t="shared" si="31"/>
        <v>0</v>
      </c>
      <c r="AH12" s="17">
        <f t="shared" si="32"/>
        <v>0</v>
      </c>
      <c r="AI12" s="17">
        <f t="shared" si="33"/>
        <v>0</v>
      </c>
      <c r="AJ12" s="17">
        <f t="shared" si="34"/>
        <v>0</v>
      </c>
      <c r="AK12" s="17">
        <f t="shared" si="35"/>
        <v>0</v>
      </c>
      <c r="AL12" s="17">
        <f t="shared" si="36"/>
        <v>0</v>
      </c>
      <c r="AM12" s="17">
        <f t="shared" si="37"/>
        <v>0</v>
      </c>
      <c r="AN12" s="17">
        <f t="shared" si="38"/>
        <v>0</v>
      </c>
      <c r="AO12" s="17">
        <f t="shared" si="39"/>
        <v>0</v>
      </c>
      <c r="AP12" s="17">
        <f t="shared" si="40"/>
        <v>182000</v>
      </c>
      <c r="AQ12" s="18">
        <v>19129.445896005211</v>
      </c>
      <c r="AR12" s="18">
        <v>22877.021059989951</v>
      </c>
      <c r="AS12" s="18">
        <v>20246.331287013469</v>
      </c>
      <c r="AT12" s="18">
        <v>15335.816896804081</v>
      </c>
      <c r="AU12" s="18">
        <v>22240.586533601356</v>
      </c>
      <c r="AV12" s="18">
        <v>18226.135989320825</v>
      </c>
      <c r="AW12" s="18">
        <v>18145.387019172849</v>
      </c>
      <c r="AX12" s="18">
        <v>12322.404121766303</v>
      </c>
      <c r="AY12" s="18">
        <v>18265.501328122078</v>
      </c>
      <c r="AZ12" s="18">
        <v>15906.903636846046</v>
      </c>
      <c r="BA12" s="18">
        <v>16241.551581706988</v>
      </c>
      <c r="BB12" s="18">
        <v>15863.46748393742</v>
      </c>
      <c r="BC12" s="23">
        <v>8.9181565948742242E-2</v>
      </c>
      <c r="BD12" s="23">
        <v>0.10665277883445198</v>
      </c>
      <c r="BE12" s="23">
        <v>9.438849084854764E-2</v>
      </c>
      <c r="BF12" s="23">
        <v>7.149564986855049E-2</v>
      </c>
      <c r="BG12" s="23">
        <v>0.10368571810536763</v>
      </c>
      <c r="BH12" s="23">
        <v>8.4970330952544637E-2</v>
      </c>
      <c r="BI12" s="23">
        <v>8.4593878877262704E-2</v>
      </c>
      <c r="BJ12" s="23">
        <v>5.7447105462779965E-2</v>
      </c>
      <c r="BK12" s="23">
        <v>8.5153852345557474E-2</v>
      </c>
      <c r="BL12" s="23">
        <v>7.4158058913035174E-2</v>
      </c>
      <c r="BM12" s="23">
        <v>7.5718189192107169E-2</v>
      </c>
      <c r="BN12" s="23">
        <v>7.3955559365675619E-2</v>
      </c>
      <c r="BO12" s="23">
        <f t="shared" si="41"/>
        <v>1.0014011787146229</v>
      </c>
    </row>
    <row r="13" spans="1:67" x14ac:dyDescent="0.25">
      <c r="A13" s="16">
        <v>29506</v>
      </c>
      <c r="B13" s="16" t="s">
        <v>209</v>
      </c>
      <c r="C13" s="17">
        <v>38.940000000000005</v>
      </c>
      <c r="D13" s="17">
        <f t="shared" si="4"/>
        <v>3.4727301780440234</v>
      </c>
      <c r="E13" s="17">
        <f t="shared" si="5"/>
        <v>4.1530592078135609</v>
      </c>
      <c r="F13" s="17">
        <f t="shared" si="6"/>
        <v>3.6754878336424457</v>
      </c>
      <c r="G13" s="17">
        <f t="shared" si="7"/>
        <v>2.7840406058813563</v>
      </c>
      <c r="H13" s="17">
        <f t="shared" si="8"/>
        <v>4.0375218630230156</v>
      </c>
      <c r="I13" s="17">
        <f t="shared" si="9"/>
        <v>3.3087446872920885</v>
      </c>
      <c r="J13" s="17">
        <f t="shared" si="10"/>
        <v>3.2940856434806101</v>
      </c>
      <c r="K13" s="17">
        <f t="shared" si="11"/>
        <v>2.2369902867206521</v>
      </c>
      <c r="L13" s="17">
        <f t="shared" si="12"/>
        <v>3.3158910103360086</v>
      </c>
      <c r="M13" s="17">
        <f t="shared" si="13"/>
        <v>2.8877148140735902</v>
      </c>
      <c r="N13" s="17">
        <f t="shared" si="14"/>
        <v>2.9484662871406537</v>
      </c>
      <c r="O13" s="17">
        <f t="shared" si="15"/>
        <v>2.8798294816994088</v>
      </c>
      <c r="P13" s="17">
        <v>100000</v>
      </c>
      <c r="Q13" s="17">
        <f t="shared" si="16"/>
        <v>8918.1565948742245</v>
      </c>
      <c r="R13" s="17">
        <f t="shared" si="17"/>
        <v>10665.277883445198</v>
      </c>
      <c r="S13" s="17">
        <f t="shared" si="18"/>
        <v>9438.8490848547644</v>
      </c>
      <c r="T13" s="17">
        <f t="shared" si="19"/>
        <v>7149.564986855049</v>
      </c>
      <c r="U13" s="17">
        <f t="shared" si="20"/>
        <v>10368.571810536763</v>
      </c>
      <c r="V13" s="17">
        <f t="shared" si="21"/>
        <v>8497.0330952544646</v>
      </c>
      <c r="W13" s="17">
        <f t="shared" si="22"/>
        <v>8459.3878877262705</v>
      </c>
      <c r="X13" s="17">
        <f t="shared" si="23"/>
        <v>5744.7105462779964</v>
      </c>
      <c r="Y13" s="17">
        <f t="shared" si="24"/>
        <v>8515.385234555748</v>
      </c>
      <c r="Z13" s="17">
        <f t="shared" si="25"/>
        <v>7415.8058913035175</v>
      </c>
      <c r="AA13" s="17">
        <f t="shared" si="26"/>
        <v>7571.8189192107166</v>
      </c>
      <c r="AB13" s="17">
        <f t="shared" si="27"/>
        <v>7395.5559365675617</v>
      </c>
      <c r="AC13" s="17">
        <v>0</v>
      </c>
      <c r="AD13" s="17">
        <f t="shared" si="28"/>
        <v>0</v>
      </c>
      <c r="AE13" s="17">
        <f t="shared" si="29"/>
        <v>0</v>
      </c>
      <c r="AF13" s="17">
        <f t="shared" si="30"/>
        <v>0</v>
      </c>
      <c r="AG13" s="17">
        <f t="shared" si="31"/>
        <v>0</v>
      </c>
      <c r="AH13" s="17">
        <f t="shared" si="32"/>
        <v>0</v>
      </c>
      <c r="AI13" s="17">
        <f t="shared" si="33"/>
        <v>0</v>
      </c>
      <c r="AJ13" s="17">
        <f t="shared" si="34"/>
        <v>0</v>
      </c>
      <c r="AK13" s="17">
        <f t="shared" si="35"/>
        <v>0</v>
      </c>
      <c r="AL13" s="17">
        <f t="shared" si="36"/>
        <v>0</v>
      </c>
      <c r="AM13" s="17">
        <f t="shared" si="37"/>
        <v>0</v>
      </c>
      <c r="AN13" s="17">
        <f t="shared" si="38"/>
        <v>0</v>
      </c>
      <c r="AO13" s="17">
        <f t="shared" si="39"/>
        <v>0</v>
      </c>
      <c r="AP13" s="17">
        <f t="shared" si="40"/>
        <v>100038.94</v>
      </c>
      <c r="AQ13" s="18">
        <v>17115.107662722756</v>
      </c>
      <c r="AR13" s="18">
        <v>20468.061676886809</v>
      </c>
      <c r="AS13" s="18">
        <v>18114.384579469228</v>
      </c>
      <c r="AT13" s="18">
        <v>13720.949300440372</v>
      </c>
      <c r="AU13" s="18">
        <v>19898.643958327095</v>
      </c>
      <c r="AV13" s="18">
        <v>16306.916647167211</v>
      </c>
      <c r="AW13" s="18">
        <v>16234.670575574244</v>
      </c>
      <c r="AX13" s="18">
        <v>11024.850084740347</v>
      </c>
      <c r="AY13" s="18">
        <v>16342.136800193373</v>
      </c>
      <c r="AZ13" s="18">
        <v>14231.900380451149</v>
      </c>
      <c r="BA13" s="18">
        <v>14531.30976410716</v>
      </c>
      <c r="BB13" s="18">
        <v>14193.038071656263</v>
      </c>
      <c r="BC13" s="23">
        <v>8.9181565948742242E-2</v>
      </c>
      <c r="BD13" s="23">
        <v>0.10665277883445198</v>
      </c>
      <c r="BE13" s="23">
        <v>9.438849084854764E-2</v>
      </c>
      <c r="BF13" s="23">
        <v>7.149564986855049E-2</v>
      </c>
      <c r="BG13" s="23">
        <v>0.10368571810536763</v>
      </c>
      <c r="BH13" s="23">
        <v>8.4970330952544637E-2</v>
      </c>
      <c r="BI13" s="23">
        <v>8.4593878877262704E-2</v>
      </c>
      <c r="BJ13" s="23">
        <v>5.7447105462779965E-2</v>
      </c>
      <c r="BK13" s="23">
        <v>8.5153852345557474E-2</v>
      </c>
      <c r="BL13" s="23">
        <v>7.4158058913035174E-2</v>
      </c>
      <c r="BM13" s="23">
        <v>7.5718189192107169E-2</v>
      </c>
      <c r="BN13" s="23">
        <v>7.3955559365675619E-2</v>
      </c>
      <c r="BO13" s="23">
        <f t="shared" si="41"/>
        <v>1.0014011787146229</v>
      </c>
    </row>
    <row r="14" spans="1:67" x14ac:dyDescent="0.25">
      <c r="A14" s="16">
        <v>4172</v>
      </c>
      <c r="B14" s="16" t="s">
        <v>210</v>
      </c>
      <c r="C14" s="17">
        <v>200000</v>
      </c>
      <c r="D14" s="17">
        <f t="shared" si="4"/>
        <v>17836.313189748449</v>
      </c>
      <c r="E14" s="17">
        <f t="shared" si="5"/>
        <v>21330.555766890397</v>
      </c>
      <c r="F14" s="17">
        <f t="shared" si="6"/>
        <v>18877.698169709529</v>
      </c>
      <c r="G14" s="17">
        <f t="shared" si="7"/>
        <v>14299.129973710098</v>
      </c>
      <c r="H14" s="17">
        <f t="shared" si="8"/>
        <v>20737.143621073526</v>
      </c>
      <c r="I14" s="17">
        <f t="shared" si="9"/>
        <v>16994.066190508929</v>
      </c>
      <c r="J14" s="17">
        <f t="shared" si="10"/>
        <v>16918.775775452541</v>
      </c>
      <c r="K14" s="17">
        <f t="shared" si="11"/>
        <v>11489.421092555993</v>
      </c>
      <c r="L14" s="17">
        <f t="shared" si="12"/>
        <v>17030.770469111496</v>
      </c>
      <c r="M14" s="17">
        <f t="shared" si="13"/>
        <v>14831.611782607035</v>
      </c>
      <c r="N14" s="17">
        <f t="shared" si="14"/>
        <v>15143.637838421433</v>
      </c>
      <c r="O14" s="17">
        <f t="shared" si="15"/>
        <v>14791.111873135123</v>
      </c>
      <c r="P14" s="17">
        <v>45000</v>
      </c>
      <c r="Q14" s="17">
        <f t="shared" si="16"/>
        <v>4013.170467693401</v>
      </c>
      <c r="R14" s="17">
        <f t="shared" si="17"/>
        <v>4799.3750475503393</v>
      </c>
      <c r="S14" s="17">
        <f t="shared" si="18"/>
        <v>4247.4820881846435</v>
      </c>
      <c r="T14" s="17">
        <f t="shared" si="19"/>
        <v>3217.3042440847721</v>
      </c>
      <c r="U14" s="17">
        <f t="shared" si="20"/>
        <v>4665.8573147415436</v>
      </c>
      <c r="V14" s="17">
        <f t="shared" si="21"/>
        <v>3823.6648928645086</v>
      </c>
      <c r="W14" s="17">
        <f t="shared" si="22"/>
        <v>3806.7245494768217</v>
      </c>
      <c r="X14" s="17">
        <f t="shared" si="23"/>
        <v>2585.1197458250986</v>
      </c>
      <c r="Y14" s="17">
        <f t="shared" si="24"/>
        <v>3831.9233555500864</v>
      </c>
      <c r="Z14" s="17">
        <f t="shared" si="25"/>
        <v>3337.1126510865829</v>
      </c>
      <c r="AA14" s="17">
        <f t="shared" si="26"/>
        <v>3407.3185136448228</v>
      </c>
      <c r="AB14" s="17">
        <f t="shared" si="27"/>
        <v>3328.0001714554028</v>
      </c>
      <c r="AC14" s="17">
        <v>0</v>
      </c>
      <c r="AD14" s="17">
        <f t="shared" si="28"/>
        <v>0</v>
      </c>
      <c r="AE14" s="17">
        <f t="shared" si="29"/>
        <v>0</v>
      </c>
      <c r="AF14" s="17">
        <f t="shared" si="30"/>
        <v>0</v>
      </c>
      <c r="AG14" s="17">
        <f t="shared" si="31"/>
        <v>0</v>
      </c>
      <c r="AH14" s="17">
        <f t="shared" si="32"/>
        <v>0</v>
      </c>
      <c r="AI14" s="17">
        <f t="shared" si="33"/>
        <v>0</v>
      </c>
      <c r="AJ14" s="17">
        <f t="shared" si="34"/>
        <v>0</v>
      </c>
      <c r="AK14" s="17">
        <f t="shared" si="35"/>
        <v>0</v>
      </c>
      <c r="AL14" s="17">
        <f t="shared" si="36"/>
        <v>0</v>
      </c>
      <c r="AM14" s="17">
        <f t="shared" si="37"/>
        <v>0</v>
      </c>
      <c r="AN14" s="17">
        <f t="shared" si="38"/>
        <v>0</v>
      </c>
      <c r="AO14" s="17">
        <f t="shared" si="39"/>
        <v>0</v>
      </c>
      <c r="AP14" s="17">
        <f t="shared" si="40"/>
        <v>245000</v>
      </c>
      <c r="AQ14" s="18">
        <v>13915.797018181835</v>
      </c>
      <c r="AR14" s="18">
        <v>16641.986557382323</v>
      </c>
      <c r="AS14" s="18">
        <v>14728.280060207075</v>
      </c>
      <c r="AT14" s="18">
        <v>11156.105420099759</v>
      </c>
      <c r="AU14" s="18">
        <v>16179.009546300373</v>
      </c>
      <c r="AV14" s="18">
        <v>13258.680373284256</v>
      </c>
      <c r="AW14" s="18">
        <v>13199.939190496463</v>
      </c>
      <c r="AX14" s="18">
        <v>8963.9854424803962</v>
      </c>
      <c r="AY14" s="18">
        <v>13287.316856917301</v>
      </c>
      <c r="AZ14" s="18">
        <v>11571.544905247561</v>
      </c>
      <c r="BA14" s="18">
        <v>11814.985980255859</v>
      </c>
      <c r="BB14" s="18">
        <v>11539.947090527095</v>
      </c>
      <c r="BC14" s="23">
        <v>8.9181565948742242E-2</v>
      </c>
      <c r="BD14" s="23">
        <v>0.10665277883445198</v>
      </c>
      <c r="BE14" s="23">
        <v>9.438849084854764E-2</v>
      </c>
      <c r="BF14" s="23">
        <v>7.149564986855049E-2</v>
      </c>
      <c r="BG14" s="23">
        <v>0.10368571810536763</v>
      </c>
      <c r="BH14" s="23">
        <v>8.4970330952544637E-2</v>
      </c>
      <c r="BI14" s="23">
        <v>8.4593878877262704E-2</v>
      </c>
      <c r="BJ14" s="23">
        <v>5.7447105462779965E-2</v>
      </c>
      <c r="BK14" s="23">
        <v>8.5153852345557474E-2</v>
      </c>
      <c r="BL14" s="23">
        <v>7.4158058913035174E-2</v>
      </c>
      <c r="BM14" s="23">
        <v>7.5718189192107169E-2</v>
      </c>
      <c r="BN14" s="23">
        <v>7.3955559365675619E-2</v>
      </c>
      <c r="BO14" s="23">
        <f t="shared" si="41"/>
        <v>1.0014011787146229</v>
      </c>
    </row>
    <row r="15" spans="1:67" x14ac:dyDescent="0.25">
      <c r="A15" s="16">
        <v>3293</v>
      </c>
      <c r="B15" s="16" t="s">
        <v>211</v>
      </c>
      <c r="C15" s="17">
        <v>0</v>
      </c>
      <c r="D15" s="17">
        <f t="shared" si="4"/>
        <v>0</v>
      </c>
      <c r="E15" s="17">
        <f t="shared" si="5"/>
        <v>0</v>
      </c>
      <c r="F15" s="17">
        <f t="shared" si="6"/>
        <v>0</v>
      </c>
      <c r="G15" s="17">
        <f t="shared" si="7"/>
        <v>0</v>
      </c>
      <c r="H15" s="17">
        <f t="shared" si="8"/>
        <v>0</v>
      </c>
      <c r="I15" s="17">
        <f t="shared" si="9"/>
        <v>0</v>
      </c>
      <c r="J15" s="17">
        <f t="shared" si="10"/>
        <v>0</v>
      </c>
      <c r="K15" s="17">
        <f t="shared" si="11"/>
        <v>0</v>
      </c>
      <c r="L15" s="17">
        <f t="shared" si="12"/>
        <v>0</v>
      </c>
      <c r="M15" s="17">
        <f t="shared" si="13"/>
        <v>0</v>
      </c>
      <c r="N15" s="17">
        <f t="shared" si="14"/>
        <v>0</v>
      </c>
      <c r="O15" s="17">
        <f t="shared" si="15"/>
        <v>0</v>
      </c>
      <c r="P15" s="17">
        <v>70000</v>
      </c>
      <c r="Q15" s="17">
        <f t="shared" si="16"/>
        <v>6242.7096164119566</v>
      </c>
      <c r="R15" s="17">
        <f t="shared" si="17"/>
        <v>7465.6945184116385</v>
      </c>
      <c r="S15" s="17">
        <f t="shared" si="18"/>
        <v>6607.1943593983351</v>
      </c>
      <c r="T15" s="17">
        <f t="shared" si="19"/>
        <v>5004.6954907985346</v>
      </c>
      <c r="U15" s="17">
        <f t="shared" si="20"/>
        <v>7258.0002673757335</v>
      </c>
      <c r="V15" s="17">
        <f t="shared" si="21"/>
        <v>5947.9231666781243</v>
      </c>
      <c r="W15" s="17">
        <f t="shared" si="22"/>
        <v>5921.5715214083893</v>
      </c>
      <c r="X15" s="17">
        <f t="shared" si="23"/>
        <v>4021.2973823945977</v>
      </c>
      <c r="Y15" s="17">
        <f t="shared" si="24"/>
        <v>5960.7696641890234</v>
      </c>
      <c r="Z15" s="17">
        <f t="shared" si="25"/>
        <v>5191.0641239124625</v>
      </c>
      <c r="AA15" s="17">
        <f t="shared" si="26"/>
        <v>5300.273243447502</v>
      </c>
      <c r="AB15" s="17">
        <f t="shared" si="27"/>
        <v>5176.8891555972932</v>
      </c>
      <c r="AC15" s="17">
        <v>0</v>
      </c>
      <c r="AD15" s="17">
        <f t="shared" si="28"/>
        <v>0</v>
      </c>
      <c r="AE15" s="17">
        <f t="shared" si="29"/>
        <v>0</v>
      </c>
      <c r="AF15" s="17">
        <f t="shared" si="30"/>
        <v>0</v>
      </c>
      <c r="AG15" s="17">
        <f t="shared" si="31"/>
        <v>0</v>
      </c>
      <c r="AH15" s="17">
        <f t="shared" si="32"/>
        <v>0</v>
      </c>
      <c r="AI15" s="17">
        <f t="shared" si="33"/>
        <v>0</v>
      </c>
      <c r="AJ15" s="17">
        <f t="shared" si="34"/>
        <v>0</v>
      </c>
      <c r="AK15" s="17">
        <f t="shared" si="35"/>
        <v>0</v>
      </c>
      <c r="AL15" s="17">
        <f t="shared" si="36"/>
        <v>0</v>
      </c>
      <c r="AM15" s="17">
        <f t="shared" si="37"/>
        <v>0</v>
      </c>
      <c r="AN15" s="17">
        <f t="shared" si="38"/>
        <v>0</v>
      </c>
      <c r="AO15" s="17">
        <f t="shared" si="39"/>
        <v>0</v>
      </c>
      <c r="AP15" s="17">
        <f t="shared" si="40"/>
        <v>70000</v>
      </c>
      <c r="AQ15" s="18">
        <v>15606.774041029892</v>
      </c>
      <c r="AR15" s="18">
        <v>18664.236296029096</v>
      </c>
      <c r="AS15" s="18">
        <v>16517.985898495837</v>
      </c>
      <c r="AT15" s="18">
        <v>12511.738726996336</v>
      </c>
      <c r="AU15" s="18">
        <v>18145.000668439334</v>
      </c>
      <c r="AV15" s="18">
        <v>14869.807916695312</v>
      </c>
      <c r="AW15" s="18">
        <v>14803.928803520974</v>
      </c>
      <c r="AX15" s="18">
        <v>10053.243455986494</v>
      </c>
      <c r="AY15" s="18">
        <v>14901.924160472558</v>
      </c>
      <c r="AZ15" s="18">
        <v>12977.660309781155</v>
      </c>
      <c r="BA15" s="18">
        <v>13250.683108618754</v>
      </c>
      <c r="BB15" s="18">
        <v>12942.222888993234</v>
      </c>
      <c r="BC15" s="23">
        <v>8.9181565948742242E-2</v>
      </c>
      <c r="BD15" s="23">
        <v>0.10665277883445198</v>
      </c>
      <c r="BE15" s="23">
        <v>9.438849084854764E-2</v>
      </c>
      <c r="BF15" s="23">
        <v>7.149564986855049E-2</v>
      </c>
      <c r="BG15" s="23">
        <v>0.10368571810536763</v>
      </c>
      <c r="BH15" s="23">
        <v>8.4970330952544637E-2</v>
      </c>
      <c r="BI15" s="23">
        <v>8.4593878877262704E-2</v>
      </c>
      <c r="BJ15" s="23">
        <v>5.7447105462779965E-2</v>
      </c>
      <c r="BK15" s="23">
        <v>8.5153852345557474E-2</v>
      </c>
      <c r="BL15" s="23">
        <v>7.4158058913035174E-2</v>
      </c>
      <c r="BM15" s="23">
        <v>7.5718189192107169E-2</v>
      </c>
      <c r="BN15" s="23">
        <v>7.3955559365675619E-2</v>
      </c>
      <c r="BO15" s="23">
        <f t="shared" si="41"/>
        <v>1.0014011787146229</v>
      </c>
    </row>
    <row r="16" spans="1:67" x14ac:dyDescent="0.25">
      <c r="A16" s="16">
        <v>1089</v>
      </c>
      <c r="B16" s="16" t="s">
        <v>212</v>
      </c>
      <c r="C16" s="17">
        <v>150000</v>
      </c>
      <c r="D16" s="17">
        <f t="shared" si="4"/>
        <v>13377.234892311337</v>
      </c>
      <c r="E16" s="17">
        <f t="shared" si="5"/>
        <v>15997.916825167798</v>
      </c>
      <c r="F16" s="17">
        <f t="shared" si="6"/>
        <v>14158.273627282146</v>
      </c>
      <c r="G16" s="17">
        <f t="shared" si="7"/>
        <v>10724.347480282573</v>
      </c>
      <c r="H16" s="17">
        <f t="shared" si="8"/>
        <v>15552.857715805145</v>
      </c>
      <c r="I16" s="17">
        <f t="shared" si="9"/>
        <v>12745.549642881695</v>
      </c>
      <c r="J16" s="17">
        <f t="shared" si="10"/>
        <v>12689.081831589405</v>
      </c>
      <c r="K16" s="17">
        <f t="shared" si="11"/>
        <v>8617.0658194169955</v>
      </c>
      <c r="L16" s="17">
        <f t="shared" si="12"/>
        <v>12773.077851833621</v>
      </c>
      <c r="M16" s="17">
        <f t="shared" si="13"/>
        <v>11123.708836955277</v>
      </c>
      <c r="N16" s="17">
        <f t="shared" si="14"/>
        <v>11357.728378816075</v>
      </c>
      <c r="O16" s="17">
        <f t="shared" si="15"/>
        <v>11093.333904851343</v>
      </c>
      <c r="P16" s="17">
        <v>0</v>
      </c>
      <c r="Q16" s="17">
        <f t="shared" si="16"/>
        <v>0</v>
      </c>
      <c r="R16" s="17">
        <f t="shared" si="17"/>
        <v>0</v>
      </c>
      <c r="S16" s="17">
        <f t="shared" si="18"/>
        <v>0</v>
      </c>
      <c r="T16" s="17">
        <f t="shared" si="19"/>
        <v>0</v>
      </c>
      <c r="U16" s="17">
        <f t="shared" si="20"/>
        <v>0</v>
      </c>
      <c r="V16" s="17">
        <f t="shared" si="21"/>
        <v>0</v>
      </c>
      <c r="W16" s="17">
        <f t="shared" si="22"/>
        <v>0</v>
      </c>
      <c r="X16" s="17">
        <f t="shared" si="23"/>
        <v>0</v>
      </c>
      <c r="Y16" s="17">
        <f t="shared" si="24"/>
        <v>0</v>
      </c>
      <c r="Z16" s="17">
        <f t="shared" si="25"/>
        <v>0</v>
      </c>
      <c r="AA16" s="17">
        <f t="shared" si="26"/>
        <v>0</v>
      </c>
      <c r="AB16" s="17">
        <f t="shared" si="27"/>
        <v>0</v>
      </c>
      <c r="AC16" s="17">
        <v>0</v>
      </c>
      <c r="AD16" s="17">
        <f t="shared" si="28"/>
        <v>0</v>
      </c>
      <c r="AE16" s="17">
        <f t="shared" si="29"/>
        <v>0</v>
      </c>
      <c r="AF16" s="17">
        <f t="shared" si="30"/>
        <v>0</v>
      </c>
      <c r="AG16" s="17">
        <f t="shared" si="31"/>
        <v>0</v>
      </c>
      <c r="AH16" s="17">
        <f t="shared" si="32"/>
        <v>0</v>
      </c>
      <c r="AI16" s="17">
        <f t="shared" si="33"/>
        <v>0</v>
      </c>
      <c r="AJ16" s="17">
        <f t="shared" si="34"/>
        <v>0</v>
      </c>
      <c r="AK16" s="17">
        <f t="shared" si="35"/>
        <v>0</v>
      </c>
      <c r="AL16" s="17">
        <f t="shared" si="36"/>
        <v>0</v>
      </c>
      <c r="AM16" s="17">
        <f t="shared" si="37"/>
        <v>0</v>
      </c>
      <c r="AN16" s="17">
        <f t="shared" si="38"/>
        <v>0</v>
      </c>
      <c r="AO16" s="17">
        <f t="shared" si="39"/>
        <v>0</v>
      </c>
      <c r="AP16" s="17">
        <f t="shared" si="40"/>
        <v>150000</v>
      </c>
      <c r="AQ16" s="18">
        <v>17883.858914728964</v>
      </c>
      <c r="AR16" s="18">
        <v>21387.415989481524</v>
      </c>
      <c r="AS16" s="18">
        <v>18928.019883389577</v>
      </c>
      <c r="AT16" s="18">
        <v>14337.246735507117</v>
      </c>
      <c r="AU16" s="18">
        <v>20792.422002709911</v>
      </c>
      <c r="AV16" s="18">
        <v>17039.366762930982</v>
      </c>
      <c r="AW16" s="18">
        <v>16963.875648473891</v>
      </c>
      <c r="AX16" s="18">
        <v>11520.048097679786</v>
      </c>
      <c r="AY16" s="18">
        <v>17076.168883027891</v>
      </c>
      <c r="AZ16" s="18">
        <v>14871.147965187576</v>
      </c>
      <c r="BA16" s="18">
        <v>15184.005779498179</v>
      </c>
      <c r="BB16" s="18">
        <v>14830.540096321984</v>
      </c>
      <c r="BC16" s="23">
        <v>8.9181565948742242E-2</v>
      </c>
      <c r="BD16" s="23">
        <v>0.10665277883445198</v>
      </c>
      <c r="BE16" s="23">
        <v>9.438849084854764E-2</v>
      </c>
      <c r="BF16" s="23">
        <v>7.149564986855049E-2</v>
      </c>
      <c r="BG16" s="23">
        <v>0.10368571810536763</v>
      </c>
      <c r="BH16" s="23">
        <v>8.4970330952544637E-2</v>
      </c>
      <c r="BI16" s="23">
        <v>8.4593878877262704E-2</v>
      </c>
      <c r="BJ16" s="23">
        <v>5.7447105462779965E-2</v>
      </c>
      <c r="BK16" s="23">
        <v>8.5153852345557474E-2</v>
      </c>
      <c r="BL16" s="23">
        <v>7.4158058913035174E-2</v>
      </c>
      <c r="BM16" s="23">
        <v>7.5718189192107169E-2</v>
      </c>
      <c r="BN16" s="23">
        <v>7.3955559365675619E-2</v>
      </c>
      <c r="BO16" s="23">
        <f t="shared" si="41"/>
        <v>1.0014011787146229</v>
      </c>
    </row>
    <row r="17" spans="1:67" x14ac:dyDescent="0.25">
      <c r="A17" s="16">
        <v>5345</v>
      </c>
      <c r="B17" s="16" t="s">
        <v>213</v>
      </c>
      <c r="C17" s="17">
        <v>0</v>
      </c>
      <c r="D17" s="17">
        <f t="shared" si="4"/>
        <v>0</v>
      </c>
      <c r="E17" s="17">
        <f t="shared" si="5"/>
        <v>0</v>
      </c>
      <c r="F17" s="17">
        <f t="shared" si="6"/>
        <v>0</v>
      </c>
      <c r="G17" s="17">
        <f t="shared" si="7"/>
        <v>0</v>
      </c>
      <c r="H17" s="17">
        <f t="shared" si="8"/>
        <v>0</v>
      </c>
      <c r="I17" s="17">
        <f t="shared" si="9"/>
        <v>0</v>
      </c>
      <c r="J17" s="17">
        <f t="shared" si="10"/>
        <v>0</v>
      </c>
      <c r="K17" s="17">
        <f t="shared" si="11"/>
        <v>0</v>
      </c>
      <c r="L17" s="17">
        <f t="shared" si="12"/>
        <v>0</v>
      </c>
      <c r="M17" s="17">
        <f t="shared" si="13"/>
        <v>0</v>
      </c>
      <c r="N17" s="17">
        <f t="shared" si="14"/>
        <v>0</v>
      </c>
      <c r="O17" s="17">
        <f t="shared" si="15"/>
        <v>0</v>
      </c>
      <c r="P17" s="17">
        <v>190000</v>
      </c>
      <c r="Q17" s="17">
        <f t="shared" si="16"/>
        <v>16944.497530261026</v>
      </c>
      <c r="R17" s="17">
        <f t="shared" si="17"/>
        <v>20264.027978545877</v>
      </c>
      <c r="S17" s="17">
        <f t="shared" si="18"/>
        <v>17933.813261224052</v>
      </c>
      <c r="T17" s="17">
        <f t="shared" si="19"/>
        <v>13584.173475024592</v>
      </c>
      <c r="U17" s="17">
        <f t="shared" si="20"/>
        <v>19700.286440019849</v>
      </c>
      <c r="V17" s="17">
        <f t="shared" si="21"/>
        <v>16144.362880983481</v>
      </c>
      <c r="W17" s="17">
        <f t="shared" si="22"/>
        <v>16072.836986679913</v>
      </c>
      <c r="X17" s="17">
        <f t="shared" si="23"/>
        <v>10914.950037928193</v>
      </c>
      <c r="Y17" s="17">
        <f t="shared" si="24"/>
        <v>16179.23194565592</v>
      </c>
      <c r="Z17" s="17">
        <f t="shared" si="25"/>
        <v>14090.031193476683</v>
      </c>
      <c r="AA17" s="17">
        <f t="shared" si="26"/>
        <v>14386.455946500362</v>
      </c>
      <c r="AB17" s="17">
        <f t="shared" si="27"/>
        <v>14051.556279478367</v>
      </c>
      <c r="AC17" s="17">
        <v>0</v>
      </c>
      <c r="AD17" s="17">
        <f t="shared" si="28"/>
        <v>0</v>
      </c>
      <c r="AE17" s="17">
        <f t="shared" si="29"/>
        <v>0</v>
      </c>
      <c r="AF17" s="17">
        <f t="shared" si="30"/>
        <v>0</v>
      </c>
      <c r="AG17" s="17">
        <f t="shared" si="31"/>
        <v>0</v>
      </c>
      <c r="AH17" s="17">
        <f t="shared" si="32"/>
        <v>0</v>
      </c>
      <c r="AI17" s="17">
        <f t="shared" si="33"/>
        <v>0</v>
      </c>
      <c r="AJ17" s="17">
        <f t="shared" si="34"/>
        <v>0</v>
      </c>
      <c r="AK17" s="17">
        <f t="shared" si="35"/>
        <v>0</v>
      </c>
      <c r="AL17" s="17">
        <f t="shared" si="36"/>
        <v>0</v>
      </c>
      <c r="AM17" s="17">
        <f t="shared" si="37"/>
        <v>0</v>
      </c>
      <c r="AN17" s="17">
        <f t="shared" si="38"/>
        <v>0</v>
      </c>
      <c r="AO17" s="17">
        <f t="shared" si="39"/>
        <v>0</v>
      </c>
      <c r="AP17" s="17">
        <f t="shared" si="40"/>
        <v>190000</v>
      </c>
      <c r="AQ17" s="18">
        <v>13377.234892311337</v>
      </c>
      <c r="AR17" s="18">
        <v>15997.916825167798</v>
      </c>
      <c r="AS17" s="18">
        <v>14158.273627282146</v>
      </c>
      <c r="AT17" s="18">
        <v>10724.347480282573</v>
      </c>
      <c r="AU17" s="18">
        <v>15552.857715805145</v>
      </c>
      <c r="AV17" s="18">
        <v>12745.549642881695</v>
      </c>
      <c r="AW17" s="18">
        <v>12689.081831589405</v>
      </c>
      <c r="AX17" s="18">
        <v>8617.0658194169955</v>
      </c>
      <c r="AY17" s="18">
        <v>12773.077851833621</v>
      </c>
      <c r="AZ17" s="18">
        <v>11123.708836955277</v>
      </c>
      <c r="BA17" s="18">
        <v>11357.728378816075</v>
      </c>
      <c r="BB17" s="18">
        <v>11093.333904851343</v>
      </c>
      <c r="BC17" s="23">
        <v>8.9181565948742242E-2</v>
      </c>
      <c r="BD17" s="23">
        <v>0.10665277883445198</v>
      </c>
      <c r="BE17" s="23">
        <v>9.438849084854764E-2</v>
      </c>
      <c r="BF17" s="23">
        <v>7.149564986855049E-2</v>
      </c>
      <c r="BG17" s="23">
        <v>0.10368571810536763</v>
      </c>
      <c r="BH17" s="23">
        <v>8.4970330952544637E-2</v>
      </c>
      <c r="BI17" s="23">
        <v>8.4593878877262704E-2</v>
      </c>
      <c r="BJ17" s="23">
        <v>5.7447105462779965E-2</v>
      </c>
      <c r="BK17" s="23">
        <v>8.5153852345557474E-2</v>
      </c>
      <c r="BL17" s="23">
        <v>7.4158058913035174E-2</v>
      </c>
      <c r="BM17" s="23">
        <v>7.5718189192107169E-2</v>
      </c>
      <c r="BN17" s="23">
        <v>7.3955559365675619E-2</v>
      </c>
      <c r="BO17" s="23">
        <f t="shared" si="41"/>
        <v>1.0014011787146229</v>
      </c>
    </row>
    <row r="18" spans="1:67" x14ac:dyDescent="0.25">
      <c r="A18" s="16">
        <v>4436</v>
      </c>
      <c r="B18" s="16" t="s">
        <v>214</v>
      </c>
      <c r="C18" s="17">
        <v>0</v>
      </c>
      <c r="D18" s="17">
        <f t="shared" si="4"/>
        <v>0</v>
      </c>
      <c r="E18" s="17">
        <f t="shared" si="5"/>
        <v>0</v>
      </c>
      <c r="F18" s="17">
        <f t="shared" si="6"/>
        <v>0</v>
      </c>
      <c r="G18" s="17">
        <f t="shared" si="7"/>
        <v>0</v>
      </c>
      <c r="H18" s="17">
        <f t="shared" si="8"/>
        <v>0</v>
      </c>
      <c r="I18" s="17">
        <f t="shared" si="9"/>
        <v>0</v>
      </c>
      <c r="J18" s="17">
        <f t="shared" si="10"/>
        <v>0</v>
      </c>
      <c r="K18" s="17">
        <f t="shared" si="11"/>
        <v>0</v>
      </c>
      <c r="L18" s="17">
        <f t="shared" si="12"/>
        <v>0</v>
      </c>
      <c r="M18" s="17">
        <f t="shared" si="13"/>
        <v>0</v>
      </c>
      <c r="N18" s="17">
        <f t="shared" si="14"/>
        <v>0</v>
      </c>
      <c r="O18" s="17">
        <f t="shared" si="15"/>
        <v>0</v>
      </c>
      <c r="P18" s="17">
        <v>30000</v>
      </c>
      <c r="Q18" s="17">
        <f t="shared" si="16"/>
        <v>2675.4469784622675</v>
      </c>
      <c r="R18" s="17">
        <f t="shared" si="17"/>
        <v>3199.5833650335594</v>
      </c>
      <c r="S18" s="17">
        <f t="shared" si="18"/>
        <v>2831.6547254564293</v>
      </c>
      <c r="T18" s="17">
        <f t="shared" si="19"/>
        <v>2144.8694960565149</v>
      </c>
      <c r="U18" s="17">
        <f t="shared" si="20"/>
        <v>3110.5715431610288</v>
      </c>
      <c r="V18" s="17">
        <f t="shared" si="21"/>
        <v>2549.1099285763389</v>
      </c>
      <c r="W18" s="17">
        <f t="shared" si="22"/>
        <v>2537.8163663178811</v>
      </c>
      <c r="X18" s="17">
        <f t="shared" si="23"/>
        <v>1723.413163883399</v>
      </c>
      <c r="Y18" s="17">
        <f t="shared" si="24"/>
        <v>2554.6155703667241</v>
      </c>
      <c r="Z18" s="17">
        <f t="shared" si="25"/>
        <v>2224.7417673910554</v>
      </c>
      <c r="AA18" s="17">
        <f t="shared" si="26"/>
        <v>2271.5456757632151</v>
      </c>
      <c r="AB18" s="17">
        <f t="shared" si="27"/>
        <v>2218.6667809702685</v>
      </c>
      <c r="AC18" s="17">
        <v>300000</v>
      </c>
      <c r="AD18" s="17">
        <f t="shared" si="28"/>
        <v>26754.469784622674</v>
      </c>
      <c r="AE18" s="17">
        <f t="shared" si="29"/>
        <v>31995.833650335597</v>
      </c>
      <c r="AF18" s="17">
        <f t="shared" si="30"/>
        <v>28316.547254564292</v>
      </c>
      <c r="AG18" s="17">
        <f t="shared" si="31"/>
        <v>21448.694960565146</v>
      </c>
      <c r="AH18" s="17">
        <f t="shared" si="32"/>
        <v>31105.71543161029</v>
      </c>
      <c r="AI18" s="17">
        <f t="shared" si="33"/>
        <v>25491.09928576339</v>
      </c>
      <c r="AJ18" s="17">
        <f t="shared" si="34"/>
        <v>25378.16366317881</v>
      </c>
      <c r="AK18" s="17">
        <f t="shared" si="35"/>
        <v>17234.131638833991</v>
      </c>
      <c r="AL18" s="17">
        <f t="shared" si="36"/>
        <v>25546.155703667242</v>
      </c>
      <c r="AM18" s="17">
        <f t="shared" si="37"/>
        <v>22247.417673910553</v>
      </c>
      <c r="AN18" s="17">
        <f t="shared" si="38"/>
        <v>22715.45675763215</v>
      </c>
      <c r="AO18" s="17">
        <f t="shared" si="39"/>
        <v>22186.667809702685</v>
      </c>
      <c r="AP18" s="17">
        <f t="shared" si="40"/>
        <v>330000</v>
      </c>
      <c r="AQ18" s="18">
        <v>15785.137172927376</v>
      </c>
      <c r="AR18" s="18">
        <v>18877.541853698</v>
      </c>
      <c r="AS18" s="18">
        <v>16706.762880192931</v>
      </c>
      <c r="AT18" s="18">
        <v>12654.730026733436</v>
      </c>
      <c r="AU18" s="18">
        <v>18352.372104650069</v>
      </c>
      <c r="AV18" s="18">
        <v>15039.7485786004</v>
      </c>
      <c r="AW18" s="18">
        <v>14973.116561275499</v>
      </c>
      <c r="AX18" s="18">
        <v>10168.137666912055</v>
      </c>
      <c r="AY18" s="18">
        <v>15072.231865163672</v>
      </c>
      <c r="AZ18" s="18">
        <v>13125.976427607226</v>
      </c>
      <c r="BA18" s="18">
        <v>13402.119487002969</v>
      </c>
      <c r="BB18" s="18">
        <v>13090.134007724584</v>
      </c>
      <c r="BC18" s="23">
        <v>8.9181565948742242E-2</v>
      </c>
      <c r="BD18" s="23">
        <v>0.10665277883445198</v>
      </c>
      <c r="BE18" s="23">
        <v>9.438849084854764E-2</v>
      </c>
      <c r="BF18" s="23">
        <v>7.149564986855049E-2</v>
      </c>
      <c r="BG18" s="23">
        <v>0.10368571810536763</v>
      </c>
      <c r="BH18" s="23">
        <v>8.4970330952544637E-2</v>
      </c>
      <c r="BI18" s="23">
        <v>8.4593878877262704E-2</v>
      </c>
      <c r="BJ18" s="23">
        <v>5.7447105462779965E-2</v>
      </c>
      <c r="BK18" s="23">
        <v>8.5153852345557474E-2</v>
      </c>
      <c r="BL18" s="23">
        <v>7.4158058913035174E-2</v>
      </c>
      <c r="BM18" s="23">
        <v>7.5718189192107169E-2</v>
      </c>
      <c r="BN18" s="23">
        <v>7.3955559365675619E-2</v>
      </c>
      <c r="BO18" s="23">
        <f t="shared" si="41"/>
        <v>1.0014011787146229</v>
      </c>
    </row>
    <row r="19" spans="1:67" x14ac:dyDescent="0.25">
      <c r="A19" s="16">
        <v>32015</v>
      </c>
      <c r="B19" s="16" t="s">
        <v>215</v>
      </c>
      <c r="C19" s="17">
        <v>122.35299999999999</v>
      </c>
      <c r="D19" s="17">
        <f t="shared" si="4"/>
        <v>10.911632138526459</v>
      </c>
      <c r="E19" s="17">
        <f t="shared" si="5"/>
        <v>13.049287448731702</v>
      </c>
      <c r="F19" s="17">
        <f t="shared" si="6"/>
        <v>11.548715020792349</v>
      </c>
      <c r="G19" s="17">
        <f t="shared" si="7"/>
        <v>8.7477072483667584</v>
      </c>
      <c r="H19" s="17">
        <f t="shared" si="8"/>
        <v>12.686258667346046</v>
      </c>
      <c r="I19" s="17">
        <f t="shared" si="9"/>
        <v>10.396374903036694</v>
      </c>
      <c r="J19" s="17">
        <f t="shared" si="10"/>
        <v>10.350314862269723</v>
      </c>
      <c r="K19" s="17">
        <f t="shared" si="11"/>
        <v>7.0288256946875167</v>
      </c>
      <c r="L19" s="17">
        <f t="shared" si="12"/>
        <v>10.418829296035993</v>
      </c>
      <c r="M19" s="17">
        <f t="shared" si="13"/>
        <v>9.0734609821865924</v>
      </c>
      <c r="N19" s="17">
        <f t="shared" si="14"/>
        <v>9.2643476022218874</v>
      </c>
      <c r="O19" s="17">
        <f t="shared" si="15"/>
        <v>9.0486845550685082</v>
      </c>
      <c r="P19" s="17">
        <v>20000</v>
      </c>
      <c r="Q19" s="17">
        <f t="shared" si="16"/>
        <v>1783.6313189748448</v>
      </c>
      <c r="R19" s="17">
        <f t="shared" si="17"/>
        <v>2133.0555766890398</v>
      </c>
      <c r="S19" s="17">
        <f t="shared" si="18"/>
        <v>1887.7698169709529</v>
      </c>
      <c r="T19" s="17">
        <f t="shared" si="19"/>
        <v>1429.9129973710099</v>
      </c>
      <c r="U19" s="17">
        <f t="shared" si="20"/>
        <v>2073.7143621073524</v>
      </c>
      <c r="V19" s="17">
        <f t="shared" si="21"/>
        <v>1699.4066190508927</v>
      </c>
      <c r="W19" s="17">
        <f t="shared" si="22"/>
        <v>1691.8775775452541</v>
      </c>
      <c r="X19" s="17">
        <f t="shared" si="23"/>
        <v>1148.9421092555992</v>
      </c>
      <c r="Y19" s="17">
        <f t="shared" si="24"/>
        <v>1703.0770469111494</v>
      </c>
      <c r="Z19" s="17">
        <f t="shared" si="25"/>
        <v>1483.1611782607035</v>
      </c>
      <c r="AA19" s="17">
        <f t="shared" si="26"/>
        <v>1514.3637838421434</v>
      </c>
      <c r="AB19" s="17">
        <f t="shared" si="27"/>
        <v>1479.1111873135123</v>
      </c>
      <c r="AC19" s="17">
        <v>10000</v>
      </c>
      <c r="AD19" s="17">
        <f t="shared" si="28"/>
        <v>891.81565948742241</v>
      </c>
      <c r="AE19" s="17">
        <f t="shared" si="29"/>
        <v>1066.5277883445199</v>
      </c>
      <c r="AF19" s="17">
        <f t="shared" si="30"/>
        <v>943.88490848547644</v>
      </c>
      <c r="AG19" s="17">
        <f t="shared" si="31"/>
        <v>714.95649868550493</v>
      </c>
      <c r="AH19" s="17">
        <f t="shared" si="32"/>
        <v>1036.8571810536762</v>
      </c>
      <c r="AI19" s="17">
        <f t="shared" si="33"/>
        <v>849.70330952544634</v>
      </c>
      <c r="AJ19" s="17">
        <f t="shared" si="34"/>
        <v>845.93878877262705</v>
      </c>
      <c r="AK19" s="17">
        <f t="shared" si="35"/>
        <v>574.47105462779962</v>
      </c>
      <c r="AL19" s="17">
        <f t="shared" si="36"/>
        <v>851.5385234555747</v>
      </c>
      <c r="AM19" s="17">
        <f t="shared" si="37"/>
        <v>741.58058913035177</v>
      </c>
      <c r="AN19" s="17">
        <f t="shared" si="38"/>
        <v>757.18189192107172</v>
      </c>
      <c r="AO19" s="17">
        <f t="shared" si="39"/>
        <v>739.55559365675617</v>
      </c>
      <c r="AP19" s="17">
        <f t="shared" si="40"/>
        <v>30122.352999999999</v>
      </c>
      <c r="AQ19" s="18">
        <v>10880.151045746554</v>
      </c>
      <c r="AR19" s="18">
        <v>13011.639017803142</v>
      </c>
      <c r="AS19" s="18">
        <v>11515.395883522811</v>
      </c>
      <c r="AT19" s="18">
        <v>8722.4692839631589</v>
      </c>
      <c r="AU19" s="18">
        <v>12649.65760885485</v>
      </c>
      <c r="AV19" s="18">
        <v>10366.380376210445</v>
      </c>
      <c r="AW19" s="18">
        <v>10320.45322302605</v>
      </c>
      <c r="AX19" s="18">
        <v>7008.5468664591554</v>
      </c>
      <c r="AY19" s="18">
        <v>10388.769986158011</v>
      </c>
      <c r="AZ19" s="18">
        <v>9047.2831873902905</v>
      </c>
      <c r="BA19" s="18">
        <v>9237.6190814370748</v>
      </c>
      <c r="BB19" s="18">
        <v>9022.578242612426</v>
      </c>
      <c r="BC19" s="23">
        <v>8.9181565948742242E-2</v>
      </c>
      <c r="BD19" s="23">
        <v>0.10665277883445198</v>
      </c>
      <c r="BE19" s="23">
        <v>9.438849084854764E-2</v>
      </c>
      <c r="BF19" s="23">
        <v>7.149564986855049E-2</v>
      </c>
      <c r="BG19" s="23">
        <v>0.10368571810536763</v>
      </c>
      <c r="BH19" s="23">
        <v>8.4970330952544637E-2</v>
      </c>
      <c r="BI19" s="23">
        <v>8.4593878877262704E-2</v>
      </c>
      <c r="BJ19" s="23">
        <v>5.7447105462779965E-2</v>
      </c>
      <c r="BK19" s="23">
        <v>8.5153852345557474E-2</v>
      </c>
      <c r="BL19" s="23">
        <v>7.4158058913035174E-2</v>
      </c>
      <c r="BM19" s="23">
        <v>7.5718189192107169E-2</v>
      </c>
      <c r="BN19" s="23">
        <v>7.3955559365675619E-2</v>
      </c>
      <c r="BO19" s="23">
        <f t="shared" si="41"/>
        <v>1.0014011787146229</v>
      </c>
    </row>
    <row r="20" spans="1:67" x14ac:dyDescent="0.25">
      <c r="A20" s="16">
        <v>2474</v>
      </c>
      <c r="B20" s="16" t="s">
        <v>216</v>
      </c>
      <c r="C20" s="17">
        <v>100000</v>
      </c>
      <c r="D20" s="17">
        <f t="shared" si="4"/>
        <v>8918.1565948742245</v>
      </c>
      <c r="E20" s="17">
        <f t="shared" si="5"/>
        <v>10665.277883445198</v>
      </c>
      <c r="F20" s="17">
        <f t="shared" si="6"/>
        <v>9438.8490848547644</v>
      </c>
      <c r="G20" s="17">
        <f t="shared" si="7"/>
        <v>7149.564986855049</v>
      </c>
      <c r="H20" s="17">
        <f t="shared" si="8"/>
        <v>10368.571810536763</v>
      </c>
      <c r="I20" s="17">
        <f t="shared" si="9"/>
        <v>8497.0330952544646</v>
      </c>
      <c r="J20" s="17">
        <f t="shared" si="10"/>
        <v>8459.3878877262705</v>
      </c>
      <c r="K20" s="17">
        <f t="shared" si="11"/>
        <v>5744.7105462779964</v>
      </c>
      <c r="L20" s="17">
        <f t="shared" si="12"/>
        <v>8515.385234555748</v>
      </c>
      <c r="M20" s="17">
        <f t="shared" si="13"/>
        <v>7415.8058913035175</v>
      </c>
      <c r="N20" s="17">
        <f t="shared" si="14"/>
        <v>7571.8189192107166</v>
      </c>
      <c r="O20" s="17">
        <f t="shared" si="15"/>
        <v>7395.5559365675617</v>
      </c>
      <c r="P20" s="17">
        <v>1500</v>
      </c>
      <c r="Q20" s="17">
        <f t="shared" si="16"/>
        <v>133.77234892311336</v>
      </c>
      <c r="R20" s="17">
        <f t="shared" si="17"/>
        <v>159.97916825167798</v>
      </c>
      <c r="S20" s="17">
        <f t="shared" si="18"/>
        <v>141.58273627282145</v>
      </c>
      <c r="T20" s="17">
        <f t="shared" si="19"/>
        <v>107.24347480282573</v>
      </c>
      <c r="U20" s="17">
        <f t="shared" si="20"/>
        <v>155.52857715805143</v>
      </c>
      <c r="V20" s="17">
        <f t="shared" si="21"/>
        <v>127.45549642881696</v>
      </c>
      <c r="W20" s="17">
        <f t="shared" si="22"/>
        <v>126.89081831589405</v>
      </c>
      <c r="X20" s="17">
        <f t="shared" si="23"/>
        <v>86.170658194169945</v>
      </c>
      <c r="Y20" s="17">
        <f t="shared" si="24"/>
        <v>127.73077851833621</v>
      </c>
      <c r="Z20" s="17">
        <f t="shared" si="25"/>
        <v>111.23708836955277</v>
      </c>
      <c r="AA20" s="17">
        <f t="shared" si="26"/>
        <v>113.57728378816076</v>
      </c>
      <c r="AB20" s="17">
        <f t="shared" si="27"/>
        <v>110.93333904851343</v>
      </c>
      <c r="AC20" s="17">
        <v>0</v>
      </c>
      <c r="AD20" s="17">
        <f t="shared" si="28"/>
        <v>0</v>
      </c>
      <c r="AE20" s="17">
        <f t="shared" si="29"/>
        <v>0</v>
      </c>
      <c r="AF20" s="17">
        <f t="shared" si="30"/>
        <v>0</v>
      </c>
      <c r="AG20" s="17">
        <f t="shared" si="31"/>
        <v>0</v>
      </c>
      <c r="AH20" s="17">
        <f t="shared" si="32"/>
        <v>0</v>
      </c>
      <c r="AI20" s="17">
        <f t="shared" si="33"/>
        <v>0</v>
      </c>
      <c r="AJ20" s="17">
        <f t="shared" si="34"/>
        <v>0</v>
      </c>
      <c r="AK20" s="17">
        <f t="shared" si="35"/>
        <v>0</v>
      </c>
      <c r="AL20" s="17">
        <f t="shared" si="36"/>
        <v>0</v>
      </c>
      <c r="AM20" s="17">
        <f t="shared" si="37"/>
        <v>0</v>
      </c>
      <c r="AN20" s="17">
        <f t="shared" si="38"/>
        <v>0</v>
      </c>
      <c r="AO20" s="17">
        <f t="shared" si="39"/>
        <v>0</v>
      </c>
      <c r="AP20" s="17">
        <f t="shared" si="40"/>
        <v>101500</v>
      </c>
      <c r="AQ20" s="18">
        <v>7591.3447377816174</v>
      </c>
      <c r="AR20" s="18">
        <v>9078.5354883771506</v>
      </c>
      <c r="AS20" s="18">
        <v>8034.5704371473421</v>
      </c>
      <c r="AT20" s="18">
        <v>6085.8779460751584</v>
      </c>
      <c r="AU20" s="18">
        <v>8825.9722976235953</v>
      </c>
      <c r="AV20" s="18">
        <v>7232.8745058693312</v>
      </c>
      <c r="AW20" s="18">
        <v>7200.8300194295998</v>
      </c>
      <c r="AX20" s="18">
        <v>4890.0327900309849</v>
      </c>
      <c r="AY20" s="18">
        <v>7248.4962786684218</v>
      </c>
      <c r="AZ20" s="18">
        <v>6312.5084685901766</v>
      </c>
      <c r="BA20" s="18">
        <v>6445.3104289313314</v>
      </c>
      <c r="BB20" s="18">
        <v>6295.271230637496</v>
      </c>
      <c r="BC20" s="23">
        <v>8.9181565948742242E-2</v>
      </c>
      <c r="BD20" s="23">
        <v>0.10665277883445198</v>
      </c>
      <c r="BE20" s="23">
        <v>9.438849084854764E-2</v>
      </c>
      <c r="BF20" s="23">
        <v>7.149564986855049E-2</v>
      </c>
      <c r="BG20" s="23">
        <v>0.10368571810536763</v>
      </c>
      <c r="BH20" s="23">
        <v>8.4970330952544637E-2</v>
      </c>
      <c r="BI20" s="23">
        <v>8.4593878877262704E-2</v>
      </c>
      <c r="BJ20" s="23">
        <v>5.7447105462779965E-2</v>
      </c>
      <c r="BK20" s="23">
        <v>8.5153852345557474E-2</v>
      </c>
      <c r="BL20" s="23">
        <v>7.4158058913035174E-2</v>
      </c>
      <c r="BM20" s="23">
        <v>7.5718189192107169E-2</v>
      </c>
      <c r="BN20" s="23">
        <v>7.3955559365675619E-2</v>
      </c>
      <c r="BO20" s="23">
        <f t="shared" si="41"/>
        <v>1.0014011787146229</v>
      </c>
    </row>
    <row r="21" spans="1:67" x14ac:dyDescent="0.25">
      <c r="A21" s="16">
        <v>2824</v>
      </c>
      <c r="B21" s="16" t="s">
        <v>217</v>
      </c>
      <c r="C21" s="17">
        <v>30000</v>
      </c>
      <c r="D21" s="17">
        <f t="shared" si="4"/>
        <v>2675.4469784622675</v>
      </c>
      <c r="E21" s="17">
        <f t="shared" si="5"/>
        <v>3199.5833650335594</v>
      </c>
      <c r="F21" s="17">
        <f t="shared" si="6"/>
        <v>2831.6547254564293</v>
      </c>
      <c r="G21" s="17">
        <f t="shared" si="7"/>
        <v>2144.8694960565149</v>
      </c>
      <c r="H21" s="17">
        <f t="shared" si="8"/>
        <v>3110.5715431610288</v>
      </c>
      <c r="I21" s="17">
        <f t="shared" si="9"/>
        <v>2549.1099285763389</v>
      </c>
      <c r="J21" s="17">
        <f t="shared" si="10"/>
        <v>2537.8163663178811</v>
      </c>
      <c r="K21" s="17">
        <f t="shared" si="11"/>
        <v>1723.413163883399</v>
      </c>
      <c r="L21" s="17">
        <f t="shared" si="12"/>
        <v>2554.6155703667241</v>
      </c>
      <c r="M21" s="17">
        <f t="shared" si="13"/>
        <v>2224.7417673910554</v>
      </c>
      <c r="N21" s="17">
        <f t="shared" si="14"/>
        <v>2271.5456757632151</v>
      </c>
      <c r="O21" s="17">
        <f t="shared" si="15"/>
        <v>2218.6667809702685</v>
      </c>
      <c r="P21" s="17">
        <v>25000</v>
      </c>
      <c r="Q21" s="17">
        <f t="shared" si="16"/>
        <v>2229.5391487185561</v>
      </c>
      <c r="R21" s="17">
        <f t="shared" si="17"/>
        <v>2666.3194708612996</v>
      </c>
      <c r="S21" s="17">
        <f t="shared" si="18"/>
        <v>2359.7122712136911</v>
      </c>
      <c r="T21" s="17">
        <f t="shared" si="19"/>
        <v>1787.3912467137623</v>
      </c>
      <c r="U21" s="17">
        <f t="shared" si="20"/>
        <v>2592.1429526341908</v>
      </c>
      <c r="V21" s="17">
        <f t="shared" si="21"/>
        <v>2124.2582738136161</v>
      </c>
      <c r="W21" s="17">
        <f t="shared" si="22"/>
        <v>2114.8469719315676</v>
      </c>
      <c r="X21" s="17">
        <f t="shared" si="23"/>
        <v>1436.1776365694991</v>
      </c>
      <c r="Y21" s="17">
        <f t="shared" si="24"/>
        <v>2128.846308638937</v>
      </c>
      <c r="Z21" s="17">
        <f t="shared" si="25"/>
        <v>1853.9514728258794</v>
      </c>
      <c r="AA21" s="17">
        <f t="shared" si="26"/>
        <v>1892.9547298026791</v>
      </c>
      <c r="AB21" s="17">
        <f t="shared" si="27"/>
        <v>1848.8889841418904</v>
      </c>
      <c r="AC21" s="17">
        <v>6000</v>
      </c>
      <c r="AD21" s="17">
        <f t="shared" si="28"/>
        <v>535.08939569245342</v>
      </c>
      <c r="AE21" s="17">
        <f t="shared" si="29"/>
        <v>639.9166730067119</v>
      </c>
      <c r="AF21" s="17">
        <f t="shared" si="30"/>
        <v>566.3309450912858</v>
      </c>
      <c r="AG21" s="17">
        <f t="shared" si="31"/>
        <v>428.97389921130292</v>
      </c>
      <c r="AH21" s="17">
        <f t="shared" si="32"/>
        <v>622.11430863220573</v>
      </c>
      <c r="AI21" s="17">
        <f t="shared" si="33"/>
        <v>509.82198571526783</v>
      </c>
      <c r="AJ21" s="17">
        <f t="shared" si="34"/>
        <v>507.56327326357621</v>
      </c>
      <c r="AK21" s="17">
        <f t="shared" si="35"/>
        <v>344.68263277667978</v>
      </c>
      <c r="AL21" s="17">
        <f t="shared" si="36"/>
        <v>510.92311407334483</v>
      </c>
      <c r="AM21" s="17">
        <f t="shared" si="37"/>
        <v>444.94835347821106</v>
      </c>
      <c r="AN21" s="17">
        <f t="shared" si="38"/>
        <v>454.30913515264302</v>
      </c>
      <c r="AO21" s="17">
        <f t="shared" si="39"/>
        <v>443.73335619405373</v>
      </c>
      <c r="AP21" s="17">
        <f t="shared" si="40"/>
        <v>61000</v>
      </c>
      <c r="AQ21" s="18">
        <v>9364.0644246179345</v>
      </c>
      <c r="AR21" s="18">
        <v>11198.541777617458</v>
      </c>
      <c r="AS21" s="18">
        <v>9910.7915390975031</v>
      </c>
      <c r="AT21" s="18">
        <v>7507.0432361978019</v>
      </c>
      <c r="AU21" s="18">
        <v>10887.0004010636</v>
      </c>
      <c r="AV21" s="18">
        <v>8921.8847500171869</v>
      </c>
      <c r="AW21" s="18">
        <v>8882.3572821125836</v>
      </c>
      <c r="AX21" s="18">
        <v>6031.9460735918965</v>
      </c>
      <c r="AY21" s="18">
        <v>8941.1544962835342</v>
      </c>
      <c r="AZ21" s="18">
        <v>7786.5961858686933</v>
      </c>
      <c r="BA21" s="18">
        <v>7950.4098651712529</v>
      </c>
      <c r="BB21" s="18">
        <v>7765.3337333959398</v>
      </c>
      <c r="BC21" s="23">
        <v>8.9181565948742242E-2</v>
      </c>
      <c r="BD21" s="23">
        <v>0.10665277883445198</v>
      </c>
      <c r="BE21" s="23">
        <v>9.438849084854764E-2</v>
      </c>
      <c r="BF21" s="23">
        <v>7.149564986855049E-2</v>
      </c>
      <c r="BG21" s="23">
        <v>0.10368571810536763</v>
      </c>
      <c r="BH21" s="23">
        <v>8.4970330952544637E-2</v>
      </c>
      <c r="BI21" s="23">
        <v>8.4593878877262704E-2</v>
      </c>
      <c r="BJ21" s="23">
        <v>5.7447105462779965E-2</v>
      </c>
      <c r="BK21" s="23">
        <v>8.5153852345557474E-2</v>
      </c>
      <c r="BL21" s="23">
        <v>7.4158058913035174E-2</v>
      </c>
      <c r="BM21" s="23">
        <v>7.5718189192107169E-2</v>
      </c>
      <c r="BN21" s="23">
        <v>7.3955559365675619E-2</v>
      </c>
      <c r="BO21" s="23">
        <f t="shared" si="41"/>
        <v>1.0014011787146229</v>
      </c>
    </row>
    <row r="22" spans="1:67" x14ac:dyDescent="0.25">
      <c r="A22" s="16">
        <v>4918</v>
      </c>
      <c r="B22" s="16" t="s">
        <v>218</v>
      </c>
      <c r="C22" s="17">
        <v>0</v>
      </c>
      <c r="D22" s="17">
        <f t="shared" si="4"/>
        <v>0</v>
      </c>
      <c r="E22" s="17">
        <f t="shared" si="5"/>
        <v>0</v>
      </c>
      <c r="F22" s="17">
        <f t="shared" si="6"/>
        <v>0</v>
      </c>
      <c r="G22" s="17">
        <f t="shared" si="7"/>
        <v>0</v>
      </c>
      <c r="H22" s="17">
        <f t="shared" si="8"/>
        <v>0</v>
      </c>
      <c r="I22" s="17">
        <f t="shared" si="9"/>
        <v>0</v>
      </c>
      <c r="J22" s="17">
        <f t="shared" si="10"/>
        <v>0</v>
      </c>
      <c r="K22" s="17">
        <f t="shared" si="11"/>
        <v>0</v>
      </c>
      <c r="L22" s="17">
        <f t="shared" si="12"/>
        <v>0</v>
      </c>
      <c r="M22" s="17">
        <f t="shared" si="13"/>
        <v>0</v>
      </c>
      <c r="N22" s="17">
        <f t="shared" si="14"/>
        <v>0</v>
      </c>
      <c r="O22" s="17">
        <f t="shared" si="15"/>
        <v>0</v>
      </c>
      <c r="P22" s="17">
        <v>140000</v>
      </c>
      <c r="Q22" s="17">
        <f t="shared" si="16"/>
        <v>12485.419232823913</v>
      </c>
      <c r="R22" s="17">
        <f t="shared" si="17"/>
        <v>14931.389036823277</v>
      </c>
      <c r="S22" s="17">
        <f t="shared" si="18"/>
        <v>13214.38871879667</v>
      </c>
      <c r="T22" s="17">
        <f t="shared" si="19"/>
        <v>10009.390981597069</v>
      </c>
      <c r="U22" s="17">
        <f t="shared" si="20"/>
        <v>14516.000534751467</v>
      </c>
      <c r="V22" s="17">
        <f t="shared" si="21"/>
        <v>11895.846333356249</v>
      </c>
      <c r="W22" s="17">
        <f t="shared" si="22"/>
        <v>11843.143042816779</v>
      </c>
      <c r="X22" s="17">
        <f t="shared" si="23"/>
        <v>8042.5947647891953</v>
      </c>
      <c r="Y22" s="17">
        <f t="shared" si="24"/>
        <v>11921.539328378047</v>
      </c>
      <c r="Z22" s="17">
        <f t="shared" si="25"/>
        <v>10382.128247824925</v>
      </c>
      <c r="AA22" s="17">
        <f t="shared" si="26"/>
        <v>10600.546486895004</v>
      </c>
      <c r="AB22" s="17">
        <f t="shared" si="27"/>
        <v>10353.778311194586</v>
      </c>
      <c r="AC22" s="17">
        <v>0</v>
      </c>
      <c r="AD22" s="17">
        <f t="shared" si="28"/>
        <v>0</v>
      </c>
      <c r="AE22" s="17">
        <f t="shared" si="29"/>
        <v>0</v>
      </c>
      <c r="AF22" s="17">
        <f t="shared" si="30"/>
        <v>0</v>
      </c>
      <c r="AG22" s="17">
        <f t="shared" si="31"/>
        <v>0</v>
      </c>
      <c r="AH22" s="17">
        <f t="shared" si="32"/>
        <v>0</v>
      </c>
      <c r="AI22" s="17">
        <f t="shared" si="33"/>
        <v>0</v>
      </c>
      <c r="AJ22" s="17">
        <f t="shared" si="34"/>
        <v>0</v>
      </c>
      <c r="AK22" s="17">
        <f t="shared" si="35"/>
        <v>0</v>
      </c>
      <c r="AL22" s="17">
        <f t="shared" si="36"/>
        <v>0</v>
      </c>
      <c r="AM22" s="17">
        <f t="shared" si="37"/>
        <v>0</v>
      </c>
      <c r="AN22" s="17">
        <f t="shared" si="38"/>
        <v>0</v>
      </c>
      <c r="AO22" s="17">
        <f t="shared" si="39"/>
        <v>0</v>
      </c>
      <c r="AP22" s="17">
        <f t="shared" si="40"/>
        <v>140000</v>
      </c>
      <c r="AQ22" s="18">
        <v>8918.1565948742245</v>
      </c>
      <c r="AR22" s="18">
        <v>10665.277883445198</v>
      </c>
      <c r="AS22" s="18">
        <v>9438.8490848547644</v>
      </c>
      <c r="AT22" s="18">
        <v>7149.564986855049</v>
      </c>
      <c r="AU22" s="18">
        <v>10368.571810536763</v>
      </c>
      <c r="AV22" s="18">
        <v>8497.0330952544646</v>
      </c>
      <c r="AW22" s="18">
        <v>8459.3878877262705</v>
      </c>
      <c r="AX22" s="18">
        <v>5744.7105462779964</v>
      </c>
      <c r="AY22" s="18">
        <v>8515.385234555748</v>
      </c>
      <c r="AZ22" s="18">
        <v>7415.8058913035175</v>
      </c>
      <c r="BA22" s="18">
        <v>7571.8189192107166</v>
      </c>
      <c r="BB22" s="18">
        <v>7395.5559365675617</v>
      </c>
      <c r="BC22" s="23">
        <v>8.9181565948742242E-2</v>
      </c>
      <c r="BD22" s="23">
        <v>0.10665277883445198</v>
      </c>
      <c r="BE22" s="23">
        <v>9.438849084854764E-2</v>
      </c>
      <c r="BF22" s="23">
        <v>7.149564986855049E-2</v>
      </c>
      <c r="BG22" s="23">
        <v>0.10368571810536763</v>
      </c>
      <c r="BH22" s="23">
        <v>8.4970330952544637E-2</v>
      </c>
      <c r="BI22" s="23">
        <v>8.4593878877262704E-2</v>
      </c>
      <c r="BJ22" s="23">
        <v>5.7447105462779965E-2</v>
      </c>
      <c r="BK22" s="23">
        <v>8.5153852345557474E-2</v>
      </c>
      <c r="BL22" s="23">
        <v>7.4158058913035174E-2</v>
      </c>
      <c r="BM22" s="23">
        <v>7.5718189192107169E-2</v>
      </c>
      <c r="BN22" s="23">
        <v>7.3955559365675619E-2</v>
      </c>
      <c r="BO22" s="23">
        <f t="shared" si="41"/>
        <v>1.0014011787146229</v>
      </c>
    </row>
    <row r="23" spans="1:67" x14ac:dyDescent="0.25">
      <c r="A23" s="16">
        <v>5190</v>
      </c>
      <c r="B23" s="16" t="s">
        <v>219</v>
      </c>
      <c r="C23" s="17">
        <v>25000</v>
      </c>
      <c r="D23" s="17">
        <f t="shared" si="4"/>
        <v>2229.5391487185561</v>
      </c>
      <c r="E23" s="17">
        <f t="shared" si="5"/>
        <v>2666.3194708612996</v>
      </c>
      <c r="F23" s="17">
        <f t="shared" si="6"/>
        <v>2359.7122712136911</v>
      </c>
      <c r="G23" s="17">
        <f t="shared" si="7"/>
        <v>1787.3912467137623</v>
      </c>
      <c r="H23" s="17">
        <f t="shared" si="8"/>
        <v>2592.1429526341908</v>
      </c>
      <c r="I23" s="17">
        <f t="shared" si="9"/>
        <v>2124.2582738136161</v>
      </c>
      <c r="J23" s="17">
        <f t="shared" si="10"/>
        <v>2114.8469719315676</v>
      </c>
      <c r="K23" s="17">
        <f t="shared" si="11"/>
        <v>1436.1776365694991</v>
      </c>
      <c r="L23" s="17">
        <f t="shared" si="12"/>
        <v>2128.846308638937</v>
      </c>
      <c r="M23" s="17">
        <f t="shared" si="13"/>
        <v>1853.9514728258794</v>
      </c>
      <c r="N23" s="17">
        <f t="shared" si="14"/>
        <v>1892.9547298026791</v>
      </c>
      <c r="O23" s="17">
        <f t="shared" si="15"/>
        <v>1848.8889841418904</v>
      </c>
      <c r="P23" s="17">
        <v>15000</v>
      </c>
      <c r="Q23" s="17">
        <f t="shared" si="16"/>
        <v>1337.7234892311337</v>
      </c>
      <c r="R23" s="17">
        <f t="shared" si="17"/>
        <v>1599.7916825167797</v>
      </c>
      <c r="S23" s="17">
        <f t="shared" si="18"/>
        <v>1415.8273627282147</v>
      </c>
      <c r="T23" s="17">
        <f t="shared" si="19"/>
        <v>1072.4347480282574</v>
      </c>
      <c r="U23" s="17">
        <f t="shared" si="20"/>
        <v>1555.2857715805144</v>
      </c>
      <c r="V23" s="17">
        <f t="shared" si="21"/>
        <v>1274.5549642881695</v>
      </c>
      <c r="W23" s="17">
        <f t="shared" si="22"/>
        <v>1268.9081831589406</v>
      </c>
      <c r="X23" s="17">
        <f t="shared" si="23"/>
        <v>861.70658194169948</v>
      </c>
      <c r="Y23" s="17">
        <f t="shared" si="24"/>
        <v>1277.3077851833621</v>
      </c>
      <c r="Z23" s="17">
        <f t="shared" si="25"/>
        <v>1112.3708836955277</v>
      </c>
      <c r="AA23" s="17">
        <f t="shared" si="26"/>
        <v>1135.7728378816075</v>
      </c>
      <c r="AB23" s="17">
        <f t="shared" si="27"/>
        <v>1109.3333904851343</v>
      </c>
      <c r="AC23" s="17">
        <v>5000</v>
      </c>
      <c r="AD23" s="17">
        <f t="shared" si="28"/>
        <v>445.9078297437112</v>
      </c>
      <c r="AE23" s="17">
        <f t="shared" si="29"/>
        <v>533.26389417225994</v>
      </c>
      <c r="AF23" s="17">
        <f t="shared" si="30"/>
        <v>471.94245424273822</v>
      </c>
      <c r="AG23" s="17">
        <f t="shared" si="31"/>
        <v>357.47824934275246</v>
      </c>
      <c r="AH23" s="17">
        <f t="shared" si="32"/>
        <v>518.42859052683809</v>
      </c>
      <c r="AI23" s="17">
        <f t="shared" si="33"/>
        <v>424.85165476272317</v>
      </c>
      <c r="AJ23" s="17">
        <f t="shared" si="34"/>
        <v>422.96939438631352</v>
      </c>
      <c r="AK23" s="17">
        <f t="shared" si="35"/>
        <v>287.23552731389981</v>
      </c>
      <c r="AL23" s="17">
        <f t="shared" si="36"/>
        <v>425.76926172778735</v>
      </c>
      <c r="AM23" s="17">
        <f t="shared" si="37"/>
        <v>370.79029456517588</v>
      </c>
      <c r="AN23" s="17">
        <f t="shared" si="38"/>
        <v>378.59094596053586</v>
      </c>
      <c r="AO23" s="17">
        <f t="shared" si="39"/>
        <v>369.77779682837809</v>
      </c>
      <c r="AP23" s="17">
        <f t="shared" si="40"/>
        <v>45000</v>
      </c>
      <c r="AQ23" s="18">
        <v>12485.419232823913</v>
      </c>
      <c r="AR23" s="18">
        <v>14931.389036823277</v>
      </c>
      <c r="AS23" s="18">
        <v>13214.38871879667</v>
      </c>
      <c r="AT23" s="18">
        <v>10009.390981597069</v>
      </c>
      <c r="AU23" s="18">
        <v>14516.000534751467</v>
      </c>
      <c r="AV23" s="18">
        <v>11895.846333356249</v>
      </c>
      <c r="AW23" s="18">
        <v>11843.143042816779</v>
      </c>
      <c r="AX23" s="18">
        <v>8042.5947647891953</v>
      </c>
      <c r="AY23" s="18">
        <v>11921.539328378047</v>
      </c>
      <c r="AZ23" s="18">
        <v>10382.128247824925</v>
      </c>
      <c r="BA23" s="18">
        <v>10600.546486895004</v>
      </c>
      <c r="BB23" s="18">
        <v>10353.778311194586</v>
      </c>
      <c r="BC23" s="23">
        <v>8.9181565948742242E-2</v>
      </c>
      <c r="BD23" s="23">
        <v>0.10665277883445198</v>
      </c>
      <c r="BE23" s="23">
        <v>9.438849084854764E-2</v>
      </c>
      <c r="BF23" s="23">
        <v>7.149564986855049E-2</v>
      </c>
      <c r="BG23" s="23">
        <v>0.10368571810536763</v>
      </c>
      <c r="BH23" s="23">
        <v>8.4970330952544637E-2</v>
      </c>
      <c r="BI23" s="23">
        <v>8.4593878877262704E-2</v>
      </c>
      <c r="BJ23" s="23">
        <v>5.7447105462779965E-2</v>
      </c>
      <c r="BK23" s="23">
        <v>8.5153852345557474E-2</v>
      </c>
      <c r="BL23" s="23">
        <v>7.4158058913035174E-2</v>
      </c>
      <c r="BM23" s="23">
        <v>7.5718189192107169E-2</v>
      </c>
      <c r="BN23" s="23">
        <v>7.3955559365675619E-2</v>
      </c>
      <c r="BO23" s="23">
        <f t="shared" si="41"/>
        <v>1.0014011787146229</v>
      </c>
    </row>
    <row r="24" spans="1:67" x14ac:dyDescent="0.25">
      <c r="A24" s="16">
        <v>34710</v>
      </c>
      <c r="B24" s="16" t="s">
        <v>220</v>
      </c>
      <c r="C24" s="17">
        <v>80000</v>
      </c>
      <c r="D24" s="17">
        <f t="shared" si="4"/>
        <v>7134.5252758993793</v>
      </c>
      <c r="E24" s="17">
        <f t="shared" si="5"/>
        <v>8532.222306756159</v>
      </c>
      <c r="F24" s="17">
        <f t="shared" si="6"/>
        <v>7551.0792678838116</v>
      </c>
      <c r="G24" s="17">
        <f t="shared" si="7"/>
        <v>5719.6519894840394</v>
      </c>
      <c r="H24" s="17">
        <f t="shared" si="8"/>
        <v>8294.8574484294095</v>
      </c>
      <c r="I24" s="17">
        <f t="shared" si="9"/>
        <v>6797.6264762035707</v>
      </c>
      <c r="J24" s="17">
        <f t="shared" si="10"/>
        <v>6767.5103101810164</v>
      </c>
      <c r="K24" s="17">
        <f t="shared" si="11"/>
        <v>4595.7684370223969</v>
      </c>
      <c r="L24" s="17">
        <f t="shared" si="12"/>
        <v>6812.3081876445976</v>
      </c>
      <c r="M24" s="17">
        <f t="shared" si="13"/>
        <v>5932.6447130428141</v>
      </c>
      <c r="N24" s="17">
        <f t="shared" si="14"/>
        <v>6057.4551353685738</v>
      </c>
      <c r="O24" s="17">
        <f t="shared" si="15"/>
        <v>5916.4447492540494</v>
      </c>
      <c r="P24" s="17">
        <v>2000</v>
      </c>
      <c r="Q24" s="17">
        <f t="shared" si="16"/>
        <v>178.36313189748449</v>
      </c>
      <c r="R24" s="17">
        <f t="shared" si="17"/>
        <v>213.30555766890396</v>
      </c>
      <c r="S24" s="17">
        <f t="shared" si="18"/>
        <v>188.77698169709529</v>
      </c>
      <c r="T24" s="17">
        <f t="shared" si="19"/>
        <v>142.99129973710097</v>
      </c>
      <c r="U24" s="17">
        <f t="shared" si="20"/>
        <v>207.37143621073525</v>
      </c>
      <c r="V24" s="17">
        <f t="shared" si="21"/>
        <v>169.94066190508929</v>
      </c>
      <c r="W24" s="17">
        <f t="shared" si="22"/>
        <v>169.18775775452542</v>
      </c>
      <c r="X24" s="17">
        <f t="shared" si="23"/>
        <v>114.89421092555993</v>
      </c>
      <c r="Y24" s="17">
        <f t="shared" si="24"/>
        <v>170.30770469111494</v>
      </c>
      <c r="Z24" s="17">
        <f t="shared" si="25"/>
        <v>148.31611782607035</v>
      </c>
      <c r="AA24" s="17">
        <f t="shared" si="26"/>
        <v>151.43637838421435</v>
      </c>
      <c r="AB24" s="17">
        <f t="shared" si="27"/>
        <v>147.91111873135125</v>
      </c>
      <c r="AC24" s="17">
        <v>15000</v>
      </c>
      <c r="AD24" s="17">
        <f t="shared" si="28"/>
        <v>1337.7234892311337</v>
      </c>
      <c r="AE24" s="17">
        <f t="shared" si="29"/>
        <v>1599.7916825167797</v>
      </c>
      <c r="AF24" s="17">
        <f t="shared" si="30"/>
        <v>1415.8273627282147</v>
      </c>
      <c r="AG24" s="17">
        <f t="shared" si="31"/>
        <v>1072.4347480282574</v>
      </c>
      <c r="AH24" s="17">
        <f t="shared" si="32"/>
        <v>1555.2857715805144</v>
      </c>
      <c r="AI24" s="17">
        <f t="shared" si="33"/>
        <v>1274.5549642881695</v>
      </c>
      <c r="AJ24" s="17">
        <f t="shared" si="34"/>
        <v>1268.9081831589406</v>
      </c>
      <c r="AK24" s="17">
        <f t="shared" si="35"/>
        <v>861.70658194169948</v>
      </c>
      <c r="AL24" s="17">
        <f t="shared" si="36"/>
        <v>1277.3077851833621</v>
      </c>
      <c r="AM24" s="17">
        <f t="shared" si="37"/>
        <v>1112.3708836955277</v>
      </c>
      <c r="AN24" s="17">
        <f t="shared" si="38"/>
        <v>1135.7728378816075</v>
      </c>
      <c r="AO24" s="17">
        <f t="shared" si="39"/>
        <v>1109.3333904851343</v>
      </c>
      <c r="AP24" s="17">
        <f t="shared" si="40"/>
        <v>97000</v>
      </c>
      <c r="AQ24" s="18">
        <v>8472.2487651305128</v>
      </c>
      <c r="AR24" s="18">
        <v>10132.013989272938</v>
      </c>
      <c r="AS24" s="18">
        <v>8966.9066306120258</v>
      </c>
      <c r="AT24" s="18">
        <v>6792.0867375122962</v>
      </c>
      <c r="AU24" s="18">
        <v>9850.1432200099243</v>
      </c>
      <c r="AV24" s="18">
        <v>8072.1814404917404</v>
      </c>
      <c r="AW24" s="18">
        <v>8036.4184933399565</v>
      </c>
      <c r="AX24" s="18">
        <v>5457.4750189640963</v>
      </c>
      <c r="AY24" s="18">
        <v>8089.6159728279599</v>
      </c>
      <c r="AZ24" s="18">
        <v>7045.0155967383416</v>
      </c>
      <c r="BA24" s="18">
        <v>7193.2279732501811</v>
      </c>
      <c r="BB24" s="18">
        <v>7025.7781397391836</v>
      </c>
      <c r="BC24" s="23">
        <v>8.9181565948742242E-2</v>
      </c>
      <c r="BD24" s="23">
        <v>0.10665277883445198</v>
      </c>
      <c r="BE24" s="23">
        <v>9.438849084854764E-2</v>
      </c>
      <c r="BF24" s="23">
        <v>7.149564986855049E-2</v>
      </c>
      <c r="BG24" s="23">
        <v>0.10368571810536763</v>
      </c>
      <c r="BH24" s="23">
        <v>8.4970330952544637E-2</v>
      </c>
      <c r="BI24" s="23">
        <v>8.4593878877262704E-2</v>
      </c>
      <c r="BJ24" s="23">
        <v>5.7447105462779965E-2</v>
      </c>
      <c r="BK24" s="23">
        <v>8.5153852345557474E-2</v>
      </c>
      <c r="BL24" s="23">
        <v>7.4158058913035174E-2</v>
      </c>
      <c r="BM24" s="23">
        <v>7.5718189192107169E-2</v>
      </c>
      <c r="BN24" s="23">
        <v>7.3955559365675619E-2</v>
      </c>
      <c r="BO24" s="23">
        <f t="shared" si="41"/>
        <v>1.0014011787146229</v>
      </c>
    </row>
    <row r="25" spans="1:67" x14ac:dyDescent="0.25">
      <c r="A25" s="16">
        <v>2794</v>
      </c>
      <c r="B25" s="16" t="s">
        <v>221</v>
      </c>
      <c r="C25" s="17">
        <v>200000</v>
      </c>
      <c r="D25" s="17">
        <f t="shared" si="4"/>
        <v>17836.313189748449</v>
      </c>
      <c r="E25" s="17">
        <f t="shared" si="5"/>
        <v>21330.555766890397</v>
      </c>
      <c r="F25" s="17">
        <f t="shared" si="6"/>
        <v>18877.698169709529</v>
      </c>
      <c r="G25" s="17">
        <f t="shared" si="7"/>
        <v>14299.129973710098</v>
      </c>
      <c r="H25" s="17">
        <f t="shared" si="8"/>
        <v>20737.143621073526</v>
      </c>
      <c r="I25" s="17">
        <f t="shared" si="9"/>
        <v>16994.066190508929</v>
      </c>
      <c r="J25" s="17">
        <f t="shared" si="10"/>
        <v>16918.775775452541</v>
      </c>
      <c r="K25" s="17">
        <f t="shared" si="11"/>
        <v>11489.421092555993</v>
      </c>
      <c r="L25" s="17">
        <f t="shared" si="12"/>
        <v>17030.770469111496</v>
      </c>
      <c r="M25" s="17">
        <f t="shared" si="13"/>
        <v>14831.611782607035</v>
      </c>
      <c r="N25" s="17">
        <f t="shared" si="14"/>
        <v>15143.637838421433</v>
      </c>
      <c r="O25" s="17">
        <f t="shared" si="15"/>
        <v>14791.111873135123</v>
      </c>
      <c r="P25" s="17">
        <v>1000</v>
      </c>
      <c r="Q25" s="17">
        <f t="shared" si="16"/>
        <v>89.181565948742247</v>
      </c>
      <c r="R25" s="17">
        <f t="shared" si="17"/>
        <v>106.65277883445198</v>
      </c>
      <c r="S25" s="17">
        <f t="shared" si="18"/>
        <v>94.388490848547647</v>
      </c>
      <c r="T25" s="17">
        <f t="shared" si="19"/>
        <v>71.495649868550487</v>
      </c>
      <c r="U25" s="17">
        <f t="shared" si="20"/>
        <v>103.68571810536763</v>
      </c>
      <c r="V25" s="17">
        <f t="shared" si="21"/>
        <v>84.970330952544643</v>
      </c>
      <c r="W25" s="17">
        <f t="shared" si="22"/>
        <v>84.593878877262711</v>
      </c>
      <c r="X25" s="17">
        <f t="shared" si="23"/>
        <v>57.447105462779966</v>
      </c>
      <c r="Y25" s="17">
        <f t="shared" si="24"/>
        <v>85.153852345557468</v>
      </c>
      <c r="Z25" s="17">
        <f t="shared" si="25"/>
        <v>74.158058913035177</v>
      </c>
      <c r="AA25" s="17">
        <f t="shared" si="26"/>
        <v>75.718189192107175</v>
      </c>
      <c r="AB25" s="17">
        <f t="shared" si="27"/>
        <v>73.955559365675626</v>
      </c>
      <c r="AC25" s="17">
        <v>0</v>
      </c>
      <c r="AD25" s="17">
        <f t="shared" si="28"/>
        <v>0</v>
      </c>
      <c r="AE25" s="17">
        <f t="shared" si="29"/>
        <v>0</v>
      </c>
      <c r="AF25" s="17">
        <f t="shared" si="30"/>
        <v>0</v>
      </c>
      <c r="AG25" s="17">
        <f t="shared" si="31"/>
        <v>0</v>
      </c>
      <c r="AH25" s="17">
        <f t="shared" si="32"/>
        <v>0</v>
      </c>
      <c r="AI25" s="17">
        <f t="shared" si="33"/>
        <v>0</v>
      </c>
      <c r="AJ25" s="17">
        <f t="shared" si="34"/>
        <v>0</v>
      </c>
      <c r="AK25" s="17">
        <f t="shared" si="35"/>
        <v>0</v>
      </c>
      <c r="AL25" s="17">
        <f t="shared" si="36"/>
        <v>0</v>
      </c>
      <c r="AM25" s="17">
        <f t="shared" si="37"/>
        <v>0</v>
      </c>
      <c r="AN25" s="17">
        <f t="shared" si="38"/>
        <v>0</v>
      </c>
      <c r="AO25" s="17">
        <f t="shared" si="39"/>
        <v>0</v>
      </c>
      <c r="AP25" s="17">
        <f t="shared" si="40"/>
        <v>201000</v>
      </c>
      <c r="AQ25" s="18">
        <v>13005.616020455454</v>
      </c>
      <c r="AR25" s="18">
        <v>15553.495548986866</v>
      </c>
      <c r="AS25" s="18">
        <v>13764.957541024174</v>
      </c>
      <c r="AT25" s="18">
        <v>10426.425679245523</v>
      </c>
      <c r="AU25" s="18">
        <v>15120.800157945821</v>
      </c>
      <c r="AV25" s="18">
        <v>12391.478953565091</v>
      </c>
      <c r="AW25" s="18">
        <v>12336.579815058883</v>
      </c>
      <c r="AX25" s="18">
        <v>8377.6841905304336</v>
      </c>
      <c r="AY25" s="18">
        <v>12418.242430340502</v>
      </c>
      <c r="AZ25" s="18">
        <v>10814.692798729129</v>
      </c>
      <c r="BA25" s="18">
        <v>11042.211290198078</v>
      </c>
      <c r="BB25" s="18">
        <v>10785.161680619047</v>
      </c>
      <c r="BC25" s="23">
        <v>8.9181565948742242E-2</v>
      </c>
      <c r="BD25" s="23">
        <v>0.10665277883445198</v>
      </c>
      <c r="BE25" s="23">
        <v>9.438849084854764E-2</v>
      </c>
      <c r="BF25" s="23">
        <v>7.149564986855049E-2</v>
      </c>
      <c r="BG25" s="23">
        <v>0.10368571810536763</v>
      </c>
      <c r="BH25" s="23">
        <v>8.4970330952544637E-2</v>
      </c>
      <c r="BI25" s="23">
        <v>8.4593878877262704E-2</v>
      </c>
      <c r="BJ25" s="23">
        <v>5.7447105462779965E-2</v>
      </c>
      <c r="BK25" s="23">
        <v>8.5153852345557474E-2</v>
      </c>
      <c r="BL25" s="23">
        <v>7.4158058913035174E-2</v>
      </c>
      <c r="BM25" s="23">
        <v>7.5718189192107169E-2</v>
      </c>
      <c r="BN25" s="23">
        <v>7.3955559365675619E-2</v>
      </c>
      <c r="BO25" s="23">
        <f t="shared" si="41"/>
        <v>1.0014011787146229</v>
      </c>
    </row>
    <row r="26" spans="1:67" x14ac:dyDescent="0.25">
      <c r="A26" s="16">
        <v>4277</v>
      </c>
      <c r="B26" s="16" t="s">
        <v>222</v>
      </c>
      <c r="C26" s="17">
        <v>0</v>
      </c>
      <c r="D26" s="17">
        <f t="shared" si="4"/>
        <v>0</v>
      </c>
      <c r="E26" s="17">
        <f t="shared" si="5"/>
        <v>0</v>
      </c>
      <c r="F26" s="17">
        <f t="shared" si="6"/>
        <v>0</v>
      </c>
      <c r="G26" s="17">
        <f t="shared" si="7"/>
        <v>0</v>
      </c>
      <c r="H26" s="17">
        <f t="shared" si="8"/>
        <v>0</v>
      </c>
      <c r="I26" s="17">
        <f t="shared" si="9"/>
        <v>0</v>
      </c>
      <c r="J26" s="17">
        <f t="shared" si="10"/>
        <v>0</v>
      </c>
      <c r="K26" s="17">
        <f t="shared" si="11"/>
        <v>0</v>
      </c>
      <c r="L26" s="17">
        <f t="shared" si="12"/>
        <v>0</v>
      </c>
      <c r="M26" s="17">
        <f t="shared" si="13"/>
        <v>0</v>
      </c>
      <c r="N26" s="17">
        <f t="shared" si="14"/>
        <v>0</v>
      </c>
      <c r="O26" s="17">
        <f t="shared" si="15"/>
        <v>0</v>
      </c>
      <c r="P26" s="17">
        <v>100000</v>
      </c>
      <c r="Q26" s="17">
        <f t="shared" si="16"/>
        <v>8918.1565948742245</v>
      </c>
      <c r="R26" s="17">
        <f t="shared" si="17"/>
        <v>10665.277883445198</v>
      </c>
      <c r="S26" s="17">
        <f t="shared" si="18"/>
        <v>9438.8490848547644</v>
      </c>
      <c r="T26" s="17">
        <f t="shared" si="19"/>
        <v>7149.564986855049</v>
      </c>
      <c r="U26" s="17">
        <f t="shared" si="20"/>
        <v>10368.571810536763</v>
      </c>
      <c r="V26" s="17">
        <f t="shared" si="21"/>
        <v>8497.0330952544646</v>
      </c>
      <c r="W26" s="17">
        <f t="shared" si="22"/>
        <v>8459.3878877262705</v>
      </c>
      <c r="X26" s="17">
        <f t="shared" si="23"/>
        <v>5744.7105462779964</v>
      </c>
      <c r="Y26" s="17">
        <f t="shared" si="24"/>
        <v>8515.385234555748</v>
      </c>
      <c r="Z26" s="17">
        <f t="shared" si="25"/>
        <v>7415.8058913035175</v>
      </c>
      <c r="AA26" s="17">
        <f t="shared" si="26"/>
        <v>7571.8189192107166</v>
      </c>
      <c r="AB26" s="17">
        <f t="shared" si="27"/>
        <v>7395.5559365675617</v>
      </c>
      <c r="AC26" s="17">
        <v>1300000</v>
      </c>
      <c r="AD26" s="17">
        <f t="shared" si="28"/>
        <v>115936.03573336492</v>
      </c>
      <c r="AE26" s="17">
        <f t="shared" si="29"/>
        <v>138648.61248478759</v>
      </c>
      <c r="AF26" s="17">
        <f t="shared" si="30"/>
        <v>122705.03810311193</v>
      </c>
      <c r="AG26" s="17">
        <f t="shared" si="31"/>
        <v>92944.344829115638</v>
      </c>
      <c r="AH26" s="17">
        <f t="shared" si="32"/>
        <v>134791.43353697791</v>
      </c>
      <c r="AI26" s="17">
        <f t="shared" si="33"/>
        <v>110461.43023830802</v>
      </c>
      <c r="AJ26" s="17">
        <f t="shared" si="34"/>
        <v>109972.04254044151</v>
      </c>
      <c r="AK26" s="17">
        <f t="shared" si="35"/>
        <v>74681.237101613951</v>
      </c>
      <c r="AL26" s="17">
        <f t="shared" si="36"/>
        <v>110700.00804922472</v>
      </c>
      <c r="AM26" s="17">
        <f t="shared" si="37"/>
        <v>96405.476586945733</v>
      </c>
      <c r="AN26" s="17">
        <f t="shared" si="38"/>
        <v>98433.645949739323</v>
      </c>
      <c r="AO26" s="17">
        <f t="shared" si="39"/>
        <v>96142.227175378299</v>
      </c>
      <c r="AP26" s="17">
        <f t="shared" si="40"/>
        <v>1400000</v>
      </c>
      <c r="AQ26" s="18">
        <v>8026.3409353868019</v>
      </c>
      <c r="AR26" s="18">
        <v>9598.7500951006787</v>
      </c>
      <c r="AS26" s="18">
        <v>8494.9641763692871</v>
      </c>
      <c r="AT26" s="18">
        <v>6434.6084881695442</v>
      </c>
      <c r="AU26" s="18">
        <v>9331.7146294830873</v>
      </c>
      <c r="AV26" s="18">
        <v>7647.3297857290172</v>
      </c>
      <c r="AW26" s="18">
        <v>7613.4490989536434</v>
      </c>
      <c r="AX26" s="18">
        <v>5170.2394916501971</v>
      </c>
      <c r="AY26" s="18">
        <v>7663.8467111001728</v>
      </c>
      <c r="AZ26" s="18">
        <v>6674.2253021731658</v>
      </c>
      <c r="BA26" s="18">
        <v>6814.6370272896456</v>
      </c>
      <c r="BB26" s="18">
        <v>6656.0003429108056</v>
      </c>
      <c r="BC26" s="23">
        <v>8.9181565948742242E-2</v>
      </c>
      <c r="BD26" s="23">
        <v>0.10665277883445198</v>
      </c>
      <c r="BE26" s="23">
        <v>9.438849084854764E-2</v>
      </c>
      <c r="BF26" s="23">
        <v>7.149564986855049E-2</v>
      </c>
      <c r="BG26" s="23">
        <v>0.10368571810536763</v>
      </c>
      <c r="BH26" s="23">
        <v>8.4970330952544637E-2</v>
      </c>
      <c r="BI26" s="23">
        <v>8.4593878877262704E-2</v>
      </c>
      <c r="BJ26" s="23">
        <v>5.7447105462779965E-2</v>
      </c>
      <c r="BK26" s="23">
        <v>8.5153852345557474E-2</v>
      </c>
      <c r="BL26" s="23">
        <v>7.4158058913035174E-2</v>
      </c>
      <c r="BM26" s="23">
        <v>7.5718189192107169E-2</v>
      </c>
      <c r="BN26" s="23">
        <v>7.3955559365675619E-2</v>
      </c>
      <c r="BO26" s="23">
        <f t="shared" si="41"/>
        <v>1.0014011787146229</v>
      </c>
    </row>
    <row r="27" spans="1:67" x14ac:dyDescent="0.25">
      <c r="A27" s="16">
        <v>16432</v>
      </c>
      <c r="B27" s="16" t="s">
        <v>223</v>
      </c>
      <c r="C27" s="17">
        <v>0</v>
      </c>
      <c r="D27" s="17">
        <f t="shared" si="4"/>
        <v>0</v>
      </c>
      <c r="E27" s="17">
        <f t="shared" si="5"/>
        <v>0</v>
      </c>
      <c r="F27" s="17">
        <f t="shared" si="6"/>
        <v>0</v>
      </c>
      <c r="G27" s="17">
        <f t="shared" si="7"/>
        <v>0</v>
      </c>
      <c r="H27" s="17">
        <f t="shared" si="8"/>
        <v>0</v>
      </c>
      <c r="I27" s="17">
        <f t="shared" si="9"/>
        <v>0</v>
      </c>
      <c r="J27" s="17">
        <f t="shared" si="10"/>
        <v>0</v>
      </c>
      <c r="K27" s="17">
        <f t="shared" si="11"/>
        <v>0</v>
      </c>
      <c r="L27" s="17">
        <f t="shared" si="12"/>
        <v>0</v>
      </c>
      <c r="M27" s="17">
        <f t="shared" si="13"/>
        <v>0</v>
      </c>
      <c r="N27" s="17">
        <f t="shared" si="14"/>
        <v>0</v>
      </c>
      <c r="O27" s="17">
        <f t="shared" si="15"/>
        <v>0</v>
      </c>
      <c r="P27" s="17">
        <v>100000</v>
      </c>
      <c r="Q27" s="17">
        <f t="shared" si="16"/>
        <v>8918.1565948742245</v>
      </c>
      <c r="R27" s="17">
        <f t="shared" si="17"/>
        <v>10665.277883445198</v>
      </c>
      <c r="S27" s="17">
        <f t="shared" si="18"/>
        <v>9438.8490848547644</v>
      </c>
      <c r="T27" s="17">
        <f t="shared" si="19"/>
        <v>7149.564986855049</v>
      </c>
      <c r="U27" s="17">
        <f t="shared" si="20"/>
        <v>10368.571810536763</v>
      </c>
      <c r="V27" s="17">
        <f t="shared" si="21"/>
        <v>8497.0330952544646</v>
      </c>
      <c r="W27" s="17">
        <f t="shared" si="22"/>
        <v>8459.3878877262705</v>
      </c>
      <c r="X27" s="17">
        <f t="shared" si="23"/>
        <v>5744.7105462779964</v>
      </c>
      <c r="Y27" s="17">
        <f t="shared" si="24"/>
        <v>8515.385234555748</v>
      </c>
      <c r="Z27" s="17">
        <f t="shared" si="25"/>
        <v>7415.8058913035175</v>
      </c>
      <c r="AA27" s="17">
        <f t="shared" si="26"/>
        <v>7571.8189192107166</v>
      </c>
      <c r="AB27" s="17">
        <f t="shared" si="27"/>
        <v>7395.5559365675617</v>
      </c>
      <c r="AC27" s="17">
        <v>0</v>
      </c>
      <c r="AD27" s="17">
        <f t="shared" si="28"/>
        <v>0</v>
      </c>
      <c r="AE27" s="17">
        <f t="shared" si="29"/>
        <v>0</v>
      </c>
      <c r="AF27" s="17">
        <f t="shared" si="30"/>
        <v>0</v>
      </c>
      <c r="AG27" s="17">
        <f t="shared" si="31"/>
        <v>0</v>
      </c>
      <c r="AH27" s="17">
        <f t="shared" si="32"/>
        <v>0</v>
      </c>
      <c r="AI27" s="17">
        <f t="shared" si="33"/>
        <v>0</v>
      </c>
      <c r="AJ27" s="17">
        <f t="shared" si="34"/>
        <v>0</v>
      </c>
      <c r="AK27" s="17">
        <f t="shared" si="35"/>
        <v>0</v>
      </c>
      <c r="AL27" s="17">
        <f t="shared" si="36"/>
        <v>0</v>
      </c>
      <c r="AM27" s="17">
        <f t="shared" si="37"/>
        <v>0</v>
      </c>
      <c r="AN27" s="17">
        <f t="shared" si="38"/>
        <v>0</v>
      </c>
      <c r="AO27" s="17">
        <f t="shared" si="39"/>
        <v>0</v>
      </c>
      <c r="AP27" s="17">
        <f t="shared" si="40"/>
        <v>100000</v>
      </c>
      <c r="AQ27" s="18">
        <v>11593.603573336492</v>
      </c>
      <c r="AR27" s="18">
        <v>13864.861248478757</v>
      </c>
      <c r="AS27" s="18">
        <v>12270.503810311193</v>
      </c>
      <c r="AT27" s="18">
        <v>9294.4344829115635</v>
      </c>
      <c r="AU27" s="18">
        <v>13479.143353697791</v>
      </c>
      <c r="AV27" s="18">
        <v>11046.143023830802</v>
      </c>
      <c r="AW27" s="18">
        <v>10997.204254044151</v>
      </c>
      <c r="AX27" s="18">
        <v>7468.1237101613951</v>
      </c>
      <c r="AY27" s="18">
        <v>11070.000804922471</v>
      </c>
      <c r="AZ27" s="18">
        <v>9640.5476586945733</v>
      </c>
      <c r="BA27" s="18">
        <v>9843.3645949739312</v>
      </c>
      <c r="BB27" s="18">
        <v>9614.2227175378302</v>
      </c>
      <c r="BC27" s="23">
        <v>8.9181565948742242E-2</v>
      </c>
      <c r="BD27" s="23">
        <v>0.10665277883445198</v>
      </c>
      <c r="BE27" s="23">
        <v>9.438849084854764E-2</v>
      </c>
      <c r="BF27" s="23">
        <v>7.149564986855049E-2</v>
      </c>
      <c r="BG27" s="23">
        <v>0.10368571810536763</v>
      </c>
      <c r="BH27" s="23">
        <v>8.4970330952544637E-2</v>
      </c>
      <c r="BI27" s="23">
        <v>8.4593878877262704E-2</v>
      </c>
      <c r="BJ27" s="23">
        <v>5.7447105462779965E-2</v>
      </c>
      <c r="BK27" s="23">
        <v>8.5153852345557474E-2</v>
      </c>
      <c r="BL27" s="23">
        <v>7.4158058913035174E-2</v>
      </c>
      <c r="BM27" s="23">
        <v>7.5718189192107169E-2</v>
      </c>
      <c r="BN27" s="23">
        <v>7.3955559365675619E-2</v>
      </c>
      <c r="BO27" s="23">
        <f t="shared" si="41"/>
        <v>1.0014011787146229</v>
      </c>
    </row>
    <row r="28" spans="1:67" x14ac:dyDescent="0.25">
      <c r="A28" s="16">
        <v>1929</v>
      </c>
      <c r="B28" s="16" t="s">
        <v>224</v>
      </c>
      <c r="C28" s="17">
        <v>70000</v>
      </c>
      <c r="D28" s="17">
        <f t="shared" si="4"/>
        <v>6242.7096164119566</v>
      </c>
      <c r="E28" s="17">
        <f t="shared" si="5"/>
        <v>7465.6945184116385</v>
      </c>
      <c r="F28" s="17">
        <f t="shared" si="6"/>
        <v>6607.1943593983351</v>
      </c>
      <c r="G28" s="17">
        <f t="shared" si="7"/>
        <v>5004.6954907985346</v>
      </c>
      <c r="H28" s="17">
        <f t="shared" si="8"/>
        <v>7258.0002673757335</v>
      </c>
      <c r="I28" s="17">
        <f t="shared" si="9"/>
        <v>5947.9231666781243</v>
      </c>
      <c r="J28" s="17">
        <f t="shared" si="10"/>
        <v>5921.5715214083893</v>
      </c>
      <c r="K28" s="17">
        <f t="shared" si="11"/>
        <v>4021.2973823945977</v>
      </c>
      <c r="L28" s="17">
        <f t="shared" si="12"/>
        <v>5960.7696641890234</v>
      </c>
      <c r="M28" s="17">
        <f t="shared" si="13"/>
        <v>5191.0641239124625</v>
      </c>
      <c r="N28" s="17">
        <f t="shared" si="14"/>
        <v>5300.273243447502</v>
      </c>
      <c r="O28" s="17">
        <f t="shared" si="15"/>
        <v>5176.8891555972932</v>
      </c>
      <c r="P28" s="17">
        <v>4000</v>
      </c>
      <c r="Q28" s="17">
        <f t="shared" si="16"/>
        <v>356.72626379496899</v>
      </c>
      <c r="R28" s="17">
        <f t="shared" si="17"/>
        <v>426.61111533780792</v>
      </c>
      <c r="S28" s="17">
        <f t="shared" si="18"/>
        <v>377.55396339419059</v>
      </c>
      <c r="T28" s="17">
        <f t="shared" si="19"/>
        <v>285.98259947420195</v>
      </c>
      <c r="U28" s="17">
        <f t="shared" si="20"/>
        <v>414.74287242147051</v>
      </c>
      <c r="V28" s="17">
        <f t="shared" si="21"/>
        <v>339.88132381017857</v>
      </c>
      <c r="W28" s="17">
        <f t="shared" si="22"/>
        <v>338.37551550905084</v>
      </c>
      <c r="X28" s="17">
        <f t="shared" si="23"/>
        <v>229.78842185111986</v>
      </c>
      <c r="Y28" s="17">
        <f t="shared" si="24"/>
        <v>340.61540938222987</v>
      </c>
      <c r="Z28" s="17">
        <f t="shared" si="25"/>
        <v>296.63223565214071</v>
      </c>
      <c r="AA28" s="17">
        <f t="shared" si="26"/>
        <v>302.8727567684287</v>
      </c>
      <c r="AB28" s="17">
        <f t="shared" si="27"/>
        <v>295.8222374627025</v>
      </c>
      <c r="AC28" s="17">
        <v>0</v>
      </c>
      <c r="AD28" s="17">
        <f t="shared" si="28"/>
        <v>0</v>
      </c>
      <c r="AE28" s="17">
        <f t="shared" si="29"/>
        <v>0</v>
      </c>
      <c r="AF28" s="17">
        <f t="shared" si="30"/>
        <v>0</v>
      </c>
      <c r="AG28" s="17">
        <f t="shared" si="31"/>
        <v>0</v>
      </c>
      <c r="AH28" s="17">
        <f t="shared" si="32"/>
        <v>0</v>
      </c>
      <c r="AI28" s="17">
        <f t="shared" si="33"/>
        <v>0</v>
      </c>
      <c r="AJ28" s="17">
        <f t="shared" si="34"/>
        <v>0</v>
      </c>
      <c r="AK28" s="17">
        <f t="shared" si="35"/>
        <v>0</v>
      </c>
      <c r="AL28" s="17">
        <f t="shared" si="36"/>
        <v>0</v>
      </c>
      <c r="AM28" s="17">
        <f t="shared" si="37"/>
        <v>0</v>
      </c>
      <c r="AN28" s="17">
        <f t="shared" si="38"/>
        <v>0</v>
      </c>
      <c r="AO28" s="17">
        <f t="shared" si="39"/>
        <v>0</v>
      </c>
      <c r="AP28" s="17">
        <f t="shared" si="40"/>
        <v>74000</v>
      </c>
      <c r="AQ28" s="18">
        <v>8918.1565948742245</v>
      </c>
      <c r="AR28" s="18">
        <v>10665.277883445198</v>
      </c>
      <c r="AS28" s="18">
        <v>9438.8490848547644</v>
      </c>
      <c r="AT28" s="18">
        <v>7149.564986855049</v>
      </c>
      <c r="AU28" s="18">
        <v>10368.571810536763</v>
      </c>
      <c r="AV28" s="18">
        <v>8497.0330952544646</v>
      </c>
      <c r="AW28" s="18">
        <v>8459.3878877262705</v>
      </c>
      <c r="AX28" s="18">
        <v>5744.7105462779964</v>
      </c>
      <c r="AY28" s="18">
        <v>8515.385234555748</v>
      </c>
      <c r="AZ28" s="18">
        <v>7415.8058913035175</v>
      </c>
      <c r="BA28" s="18">
        <v>7571.8189192107166</v>
      </c>
      <c r="BB28" s="18">
        <v>7395.5559365675617</v>
      </c>
      <c r="BC28" s="23">
        <v>8.9181565948742242E-2</v>
      </c>
      <c r="BD28" s="23">
        <v>0.10665277883445198</v>
      </c>
      <c r="BE28" s="23">
        <v>9.438849084854764E-2</v>
      </c>
      <c r="BF28" s="23">
        <v>7.149564986855049E-2</v>
      </c>
      <c r="BG28" s="23">
        <v>0.10368571810536763</v>
      </c>
      <c r="BH28" s="23">
        <v>8.4970330952544637E-2</v>
      </c>
      <c r="BI28" s="23">
        <v>8.4593878877262704E-2</v>
      </c>
      <c r="BJ28" s="23">
        <v>5.7447105462779965E-2</v>
      </c>
      <c r="BK28" s="23">
        <v>8.5153852345557474E-2</v>
      </c>
      <c r="BL28" s="23">
        <v>7.4158058913035174E-2</v>
      </c>
      <c r="BM28" s="23">
        <v>7.5718189192107169E-2</v>
      </c>
      <c r="BN28" s="23">
        <v>7.3955559365675619E-2</v>
      </c>
      <c r="BO28" s="23">
        <f t="shared" si="41"/>
        <v>1.0014011787146229</v>
      </c>
    </row>
    <row r="29" spans="1:67" x14ac:dyDescent="0.25">
      <c r="A29" s="16">
        <v>31112</v>
      </c>
      <c r="B29" s="16" t="s">
        <v>225</v>
      </c>
      <c r="C29" s="17">
        <v>0</v>
      </c>
      <c r="D29" s="17">
        <f t="shared" si="4"/>
        <v>0</v>
      </c>
      <c r="E29" s="17">
        <f t="shared" si="5"/>
        <v>0</v>
      </c>
      <c r="F29" s="17">
        <f t="shared" si="6"/>
        <v>0</v>
      </c>
      <c r="G29" s="17">
        <f t="shared" si="7"/>
        <v>0</v>
      </c>
      <c r="H29" s="17">
        <f t="shared" si="8"/>
        <v>0</v>
      </c>
      <c r="I29" s="17">
        <f t="shared" si="9"/>
        <v>0</v>
      </c>
      <c r="J29" s="17">
        <f t="shared" si="10"/>
        <v>0</v>
      </c>
      <c r="K29" s="17">
        <f t="shared" si="11"/>
        <v>0</v>
      </c>
      <c r="L29" s="17">
        <f t="shared" si="12"/>
        <v>0</v>
      </c>
      <c r="M29" s="17">
        <f t="shared" si="13"/>
        <v>0</v>
      </c>
      <c r="N29" s="17">
        <f t="shared" si="14"/>
        <v>0</v>
      </c>
      <c r="O29" s="17">
        <f t="shared" si="15"/>
        <v>0</v>
      </c>
      <c r="P29" s="17">
        <v>95000</v>
      </c>
      <c r="Q29" s="17">
        <f t="shared" si="16"/>
        <v>8472.2487651305128</v>
      </c>
      <c r="R29" s="17">
        <f t="shared" si="17"/>
        <v>10132.013989272938</v>
      </c>
      <c r="S29" s="17">
        <f t="shared" si="18"/>
        <v>8966.9066306120258</v>
      </c>
      <c r="T29" s="17">
        <f t="shared" si="19"/>
        <v>6792.0867375122962</v>
      </c>
      <c r="U29" s="17">
        <f t="shared" si="20"/>
        <v>9850.1432200099243</v>
      </c>
      <c r="V29" s="17">
        <f t="shared" si="21"/>
        <v>8072.1814404917404</v>
      </c>
      <c r="W29" s="17">
        <f t="shared" si="22"/>
        <v>8036.4184933399565</v>
      </c>
      <c r="X29" s="17">
        <f t="shared" si="23"/>
        <v>5457.4750189640963</v>
      </c>
      <c r="Y29" s="17">
        <f t="shared" si="24"/>
        <v>8089.6159728279599</v>
      </c>
      <c r="Z29" s="17">
        <f t="shared" si="25"/>
        <v>7045.0155967383416</v>
      </c>
      <c r="AA29" s="17">
        <f t="shared" si="26"/>
        <v>7193.2279732501811</v>
      </c>
      <c r="AB29" s="17">
        <f t="shared" si="27"/>
        <v>7025.7781397391836</v>
      </c>
      <c r="AC29" s="17">
        <v>0</v>
      </c>
      <c r="AD29" s="17">
        <f t="shared" si="28"/>
        <v>0</v>
      </c>
      <c r="AE29" s="17">
        <f t="shared" si="29"/>
        <v>0</v>
      </c>
      <c r="AF29" s="17">
        <f t="shared" si="30"/>
        <v>0</v>
      </c>
      <c r="AG29" s="17">
        <f t="shared" si="31"/>
        <v>0</v>
      </c>
      <c r="AH29" s="17">
        <f t="shared" si="32"/>
        <v>0</v>
      </c>
      <c r="AI29" s="17">
        <f t="shared" si="33"/>
        <v>0</v>
      </c>
      <c r="AJ29" s="17">
        <f t="shared" si="34"/>
        <v>0</v>
      </c>
      <c r="AK29" s="17">
        <f t="shared" si="35"/>
        <v>0</v>
      </c>
      <c r="AL29" s="17">
        <f t="shared" si="36"/>
        <v>0</v>
      </c>
      <c r="AM29" s="17">
        <f t="shared" si="37"/>
        <v>0</v>
      </c>
      <c r="AN29" s="17">
        <f t="shared" si="38"/>
        <v>0</v>
      </c>
      <c r="AO29" s="17">
        <f t="shared" si="39"/>
        <v>0</v>
      </c>
      <c r="AP29" s="17">
        <f t="shared" si="40"/>
        <v>95000</v>
      </c>
      <c r="AQ29" s="18">
        <v>7580.4331056430901</v>
      </c>
      <c r="AR29" s="18">
        <v>9065.4862009284188</v>
      </c>
      <c r="AS29" s="18">
        <v>8023.0217221265493</v>
      </c>
      <c r="AT29" s="18">
        <v>6077.1302388267914</v>
      </c>
      <c r="AU29" s="18">
        <v>8813.2860389562484</v>
      </c>
      <c r="AV29" s="18">
        <v>7222.478130966294</v>
      </c>
      <c r="AW29" s="18">
        <v>7190.4797045673295</v>
      </c>
      <c r="AX29" s="18">
        <v>4883.003964336297</v>
      </c>
      <c r="AY29" s="18">
        <v>7238.0774493723857</v>
      </c>
      <c r="AZ29" s="18">
        <v>6303.43500760799</v>
      </c>
      <c r="BA29" s="18">
        <v>6436.0460813291093</v>
      </c>
      <c r="BB29" s="18">
        <v>6286.2225460824275</v>
      </c>
      <c r="BC29" s="23">
        <v>8.9181565948742242E-2</v>
      </c>
      <c r="BD29" s="23">
        <v>0.10665277883445198</v>
      </c>
      <c r="BE29" s="23">
        <v>9.438849084854764E-2</v>
      </c>
      <c r="BF29" s="23">
        <v>7.149564986855049E-2</v>
      </c>
      <c r="BG29" s="23">
        <v>0.10368571810536763</v>
      </c>
      <c r="BH29" s="23">
        <v>8.4970330952544637E-2</v>
      </c>
      <c r="BI29" s="23">
        <v>8.4593878877262704E-2</v>
      </c>
      <c r="BJ29" s="23">
        <v>5.7447105462779965E-2</v>
      </c>
      <c r="BK29" s="23">
        <v>8.5153852345557474E-2</v>
      </c>
      <c r="BL29" s="23">
        <v>7.4158058913035174E-2</v>
      </c>
      <c r="BM29" s="23">
        <v>7.5718189192107169E-2</v>
      </c>
      <c r="BN29" s="23">
        <v>7.3955559365675619E-2</v>
      </c>
      <c r="BO29" s="23">
        <f t="shared" si="41"/>
        <v>1.0014011787146229</v>
      </c>
    </row>
    <row r="30" spans="1:67" x14ac:dyDescent="0.25">
      <c r="A30" s="16">
        <v>1678</v>
      </c>
      <c r="B30" s="16" t="s">
        <v>226</v>
      </c>
      <c r="C30" s="17">
        <v>19000</v>
      </c>
      <c r="D30" s="17">
        <f t="shared" si="4"/>
        <v>1694.4497530261026</v>
      </c>
      <c r="E30" s="17">
        <f t="shared" si="5"/>
        <v>2026.4027978545878</v>
      </c>
      <c r="F30" s="17">
        <f t="shared" si="6"/>
        <v>1793.3813261224052</v>
      </c>
      <c r="G30" s="17">
        <f t="shared" si="7"/>
        <v>1358.4173475024593</v>
      </c>
      <c r="H30" s="17">
        <f t="shared" si="8"/>
        <v>1970.028644001985</v>
      </c>
      <c r="I30" s="17">
        <f t="shared" si="9"/>
        <v>1614.4362880983481</v>
      </c>
      <c r="J30" s="17">
        <f t="shared" si="10"/>
        <v>1607.2836986679913</v>
      </c>
      <c r="K30" s="17">
        <f t="shared" si="11"/>
        <v>1091.4950037928193</v>
      </c>
      <c r="L30" s="17">
        <f t="shared" si="12"/>
        <v>1617.923194565592</v>
      </c>
      <c r="M30" s="17">
        <f t="shared" si="13"/>
        <v>1409.0031193476684</v>
      </c>
      <c r="N30" s="17">
        <f t="shared" si="14"/>
        <v>1438.6455946500362</v>
      </c>
      <c r="O30" s="17">
        <f t="shared" si="15"/>
        <v>1405.1556279478368</v>
      </c>
      <c r="P30" s="17">
        <v>60000</v>
      </c>
      <c r="Q30" s="17">
        <f t="shared" si="16"/>
        <v>5350.8939569245349</v>
      </c>
      <c r="R30" s="17">
        <f t="shared" si="17"/>
        <v>6399.1667300671188</v>
      </c>
      <c r="S30" s="17">
        <f t="shared" si="18"/>
        <v>5663.3094509128587</v>
      </c>
      <c r="T30" s="17">
        <f t="shared" si="19"/>
        <v>4289.7389921130298</v>
      </c>
      <c r="U30" s="17">
        <f t="shared" si="20"/>
        <v>6221.1430863220576</v>
      </c>
      <c r="V30" s="17">
        <f t="shared" si="21"/>
        <v>5098.2198571526778</v>
      </c>
      <c r="W30" s="17">
        <f t="shared" si="22"/>
        <v>5075.6327326357623</v>
      </c>
      <c r="X30" s="17">
        <f t="shared" si="23"/>
        <v>3446.8263277667979</v>
      </c>
      <c r="Y30" s="17">
        <f t="shared" si="24"/>
        <v>5109.2311407334482</v>
      </c>
      <c r="Z30" s="17">
        <f t="shared" si="25"/>
        <v>4449.4835347821108</v>
      </c>
      <c r="AA30" s="17">
        <f t="shared" si="26"/>
        <v>4543.0913515264301</v>
      </c>
      <c r="AB30" s="17">
        <f t="shared" si="27"/>
        <v>4437.333561940537</v>
      </c>
      <c r="AC30" s="17">
        <v>0</v>
      </c>
      <c r="AD30" s="17">
        <f t="shared" si="28"/>
        <v>0</v>
      </c>
      <c r="AE30" s="17">
        <f t="shared" si="29"/>
        <v>0</v>
      </c>
      <c r="AF30" s="17">
        <f t="shared" si="30"/>
        <v>0</v>
      </c>
      <c r="AG30" s="17">
        <f t="shared" si="31"/>
        <v>0</v>
      </c>
      <c r="AH30" s="17">
        <f t="shared" si="32"/>
        <v>0</v>
      </c>
      <c r="AI30" s="17">
        <f t="shared" si="33"/>
        <v>0</v>
      </c>
      <c r="AJ30" s="17">
        <f t="shared" si="34"/>
        <v>0</v>
      </c>
      <c r="AK30" s="17">
        <f t="shared" si="35"/>
        <v>0</v>
      </c>
      <c r="AL30" s="17">
        <f t="shared" si="36"/>
        <v>0</v>
      </c>
      <c r="AM30" s="17">
        <f t="shared" si="37"/>
        <v>0</v>
      </c>
      <c r="AN30" s="17">
        <f t="shared" si="38"/>
        <v>0</v>
      </c>
      <c r="AO30" s="17">
        <f t="shared" si="39"/>
        <v>0</v>
      </c>
      <c r="AP30" s="17">
        <f t="shared" si="40"/>
        <v>79000</v>
      </c>
      <c r="AQ30" s="18">
        <v>7580.4331056430901</v>
      </c>
      <c r="AR30" s="18">
        <v>9065.4862009284188</v>
      </c>
      <c r="AS30" s="18">
        <v>8023.0217221265493</v>
      </c>
      <c r="AT30" s="18">
        <v>6077.1302388267914</v>
      </c>
      <c r="AU30" s="18">
        <v>8813.2860389562484</v>
      </c>
      <c r="AV30" s="18">
        <v>7222.478130966294</v>
      </c>
      <c r="AW30" s="18">
        <v>7190.4797045673295</v>
      </c>
      <c r="AX30" s="18">
        <v>4883.003964336297</v>
      </c>
      <c r="AY30" s="18">
        <v>7238.0774493723857</v>
      </c>
      <c r="AZ30" s="18">
        <v>6303.43500760799</v>
      </c>
      <c r="BA30" s="18">
        <v>6436.0460813291093</v>
      </c>
      <c r="BB30" s="18">
        <v>6286.2225460824275</v>
      </c>
      <c r="BC30" s="23">
        <v>8.9181565948742242E-2</v>
      </c>
      <c r="BD30" s="23">
        <v>0.10665277883445198</v>
      </c>
      <c r="BE30" s="23">
        <v>9.438849084854764E-2</v>
      </c>
      <c r="BF30" s="23">
        <v>7.149564986855049E-2</v>
      </c>
      <c r="BG30" s="23">
        <v>0.10368571810536763</v>
      </c>
      <c r="BH30" s="23">
        <v>8.4970330952544637E-2</v>
      </c>
      <c r="BI30" s="23">
        <v>8.4593878877262704E-2</v>
      </c>
      <c r="BJ30" s="23">
        <v>5.7447105462779965E-2</v>
      </c>
      <c r="BK30" s="23">
        <v>8.5153852345557474E-2</v>
      </c>
      <c r="BL30" s="23">
        <v>7.4158058913035174E-2</v>
      </c>
      <c r="BM30" s="23">
        <v>7.5718189192107169E-2</v>
      </c>
      <c r="BN30" s="23">
        <v>7.3955559365675619E-2</v>
      </c>
      <c r="BO30" s="23">
        <f t="shared" si="41"/>
        <v>1.0014011787146229</v>
      </c>
    </row>
    <row r="31" spans="1:67" x14ac:dyDescent="0.25">
      <c r="A31" s="16">
        <v>963</v>
      </c>
      <c r="B31" s="16" t="s">
        <v>227</v>
      </c>
      <c r="C31" s="17">
        <v>0</v>
      </c>
      <c r="D31" s="17">
        <f t="shared" si="4"/>
        <v>0</v>
      </c>
      <c r="E31" s="17">
        <f t="shared" si="5"/>
        <v>0</v>
      </c>
      <c r="F31" s="17">
        <f t="shared" si="6"/>
        <v>0</v>
      </c>
      <c r="G31" s="17">
        <f t="shared" si="7"/>
        <v>0</v>
      </c>
      <c r="H31" s="17">
        <f t="shared" si="8"/>
        <v>0</v>
      </c>
      <c r="I31" s="17">
        <f t="shared" si="9"/>
        <v>0</v>
      </c>
      <c r="J31" s="17">
        <f t="shared" si="10"/>
        <v>0</v>
      </c>
      <c r="K31" s="17">
        <f t="shared" si="11"/>
        <v>0</v>
      </c>
      <c r="L31" s="17">
        <f t="shared" si="12"/>
        <v>0</v>
      </c>
      <c r="M31" s="17">
        <f t="shared" si="13"/>
        <v>0</v>
      </c>
      <c r="N31" s="17">
        <f t="shared" si="14"/>
        <v>0</v>
      </c>
      <c r="O31" s="17">
        <f t="shared" si="15"/>
        <v>0</v>
      </c>
      <c r="P31" s="17">
        <v>100000</v>
      </c>
      <c r="Q31" s="17">
        <f t="shared" si="16"/>
        <v>8918.1565948742245</v>
      </c>
      <c r="R31" s="17">
        <f t="shared" si="17"/>
        <v>10665.277883445198</v>
      </c>
      <c r="S31" s="17">
        <f t="shared" si="18"/>
        <v>9438.8490848547644</v>
      </c>
      <c r="T31" s="17">
        <f t="shared" si="19"/>
        <v>7149.564986855049</v>
      </c>
      <c r="U31" s="17">
        <f t="shared" si="20"/>
        <v>10368.571810536763</v>
      </c>
      <c r="V31" s="17">
        <f t="shared" si="21"/>
        <v>8497.0330952544646</v>
      </c>
      <c r="W31" s="17">
        <f t="shared" si="22"/>
        <v>8459.3878877262705</v>
      </c>
      <c r="X31" s="17">
        <f t="shared" si="23"/>
        <v>5744.7105462779964</v>
      </c>
      <c r="Y31" s="17">
        <f t="shared" si="24"/>
        <v>8515.385234555748</v>
      </c>
      <c r="Z31" s="17">
        <f t="shared" si="25"/>
        <v>7415.8058913035175</v>
      </c>
      <c r="AA31" s="17">
        <f t="shared" si="26"/>
        <v>7571.8189192107166</v>
      </c>
      <c r="AB31" s="17">
        <f t="shared" si="27"/>
        <v>7395.5559365675617</v>
      </c>
      <c r="AC31" s="17">
        <v>85000</v>
      </c>
      <c r="AD31" s="17">
        <f t="shared" si="28"/>
        <v>7580.4331056430901</v>
      </c>
      <c r="AE31" s="17">
        <f t="shared" si="29"/>
        <v>9065.4862009284188</v>
      </c>
      <c r="AF31" s="17">
        <f t="shared" si="30"/>
        <v>8023.0217221265493</v>
      </c>
      <c r="AG31" s="17">
        <f t="shared" si="31"/>
        <v>6077.1302388267914</v>
      </c>
      <c r="AH31" s="17">
        <f t="shared" si="32"/>
        <v>8813.2860389562484</v>
      </c>
      <c r="AI31" s="17">
        <f t="shared" si="33"/>
        <v>7222.478130966294</v>
      </c>
      <c r="AJ31" s="17">
        <f t="shared" si="34"/>
        <v>7190.4797045673295</v>
      </c>
      <c r="AK31" s="17">
        <f t="shared" si="35"/>
        <v>4883.003964336297</v>
      </c>
      <c r="AL31" s="17">
        <f t="shared" si="36"/>
        <v>7238.0774493723857</v>
      </c>
      <c r="AM31" s="17">
        <f t="shared" si="37"/>
        <v>6303.43500760799</v>
      </c>
      <c r="AN31" s="17">
        <f t="shared" si="38"/>
        <v>6436.0460813291093</v>
      </c>
      <c r="AO31" s="17">
        <f t="shared" si="39"/>
        <v>6286.2225460824275</v>
      </c>
      <c r="AP31" s="17">
        <f t="shared" si="40"/>
        <v>185000</v>
      </c>
      <c r="AQ31" s="18">
        <v>7580.4331056430901</v>
      </c>
      <c r="AR31" s="18">
        <v>9065.4862009284188</v>
      </c>
      <c r="AS31" s="18">
        <v>8023.0217221265493</v>
      </c>
      <c r="AT31" s="18">
        <v>6077.1302388267914</v>
      </c>
      <c r="AU31" s="18">
        <v>8813.2860389562484</v>
      </c>
      <c r="AV31" s="18">
        <v>7222.478130966294</v>
      </c>
      <c r="AW31" s="18">
        <v>7190.4797045673295</v>
      </c>
      <c r="AX31" s="18">
        <v>4883.003964336297</v>
      </c>
      <c r="AY31" s="18">
        <v>7238.0774493723857</v>
      </c>
      <c r="AZ31" s="18">
        <v>6303.43500760799</v>
      </c>
      <c r="BA31" s="18">
        <v>6436.0460813291093</v>
      </c>
      <c r="BB31" s="18">
        <v>6286.2225460824275</v>
      </c>
      <c r="BC31" s="23">
        <v>8.9181565948742242E-2</v>
      </c>
      <c r="BD31" s="23">
        <v>0.10665277883445198</v>
      </c>
      <c r="BE31" s="23">
        <v>9.438849084854764E-2</v>
      </c>
      <c r="BF31" s="23">
        <v>7.149564986855049E-2</v>
      </c>
      <c r="BG31" s="23">
        <v>0.10368571810536763</v>
      </c>
      <c r="BH31" s="23">
        <v>8.4970330952544637E-2</v>
      </c>
      <c r="BI31" s="23">
        <v>8.4593878877262704E-2</v>
      </c>
      <c r="BJ31" s="23">
        <v>5.7447105462779965E-2</v>
      </c>
      <c r="BK31" s="23">
        <v>8.5153852345557474E-2</v>
      </c>
      <c r="BL31" s="23">
        <v>7.4158058913035174E-2</v>
      </c>
      <c r="BM31" s="23">
        <v>7.5718189192107169E-2</v>
      </c>
      <c r="BN31" s="23">
        <v>7.3955559365675619E-2</v>
      </c>
      <c r="BO31" s="23">
        <f t="shared" si="41"/>
        <v>1.0014011787146229</v>
      </c>
    </row>
    <row r="32" spans="1:67" x14ac:dyDescent="0.25">
      <c r="A32" s="16">
        <v>31110</v>
      </c>
      <c r="B32" s="16" t="s">
        <v>228</v>
      </c>
      <c r="C32" s="17">
        <v>0</v>
      </c>
      <c r="D32" s="17">
        <f t="shared" si="4"/>
        <v>0</v>
      </c>
      <c r="E32" s="17">
        <f t="shared" si="5"/>
        <v>0</v>
      </c>
      <c r="F32" s="17">
        <f t="shared" si="6"/>
        <v>0</v>
      </c>
      <c r="G32" s="17">
        <f t="shared" si="7"/>
        <v>0</v>
      </c>
      <c r="H32" s="17">
        <f t="shared" si="8"/>
        <v>0</v>
      </c>
      <c r="I32" s="17">
        <f t="shared" si="9"/>
        <v>0</v>
      </c>
      <c r="J32" s="17">
        <f t="shared" si="10"/>
        <v>0</v>
      </c>
      <c r="K32" s="17">
        <f t="shared" si="11"/>
        <v>0</v>
      </c>
      <c r="L32" s="17">
        <f t="shared" si="12"/>
        <v>0</v>
      </c>
      <c r="M32" s="17">
        <f t="shared" si="13"/>
        <v>0</v>
      </c>
      <c r="N32" s="17">
        <f t="shared" si="14"/>
        <v>0</v>
      </c>
      <c r="O32" s="17">
        <f t="shared" si="15"/>
        <v>0</v>
      </c>
      <c r="P32" s="17">
        <v>60000</v>
      </c>
      <c r="Q32" s="17">
        <f t="shared" si="16"/>
        <v>5350.8939569245349</v>
      </c>
      <c r="R32" s="17">
        <f t="shared" si="17"/>
        <v>6399.1667300671188</v>
      </c>
      <c r="S32" s="17">
        <f t="shared" si="18"/>
        <v>5663.3094509128587</v>
      </c>
      <c r="T32" s="17">
        <f t="shared" si="19"/>
        <v>4289.7389921130298</v>
      </c>
      <c r="U32" s="17">
        <f t="shared" si="20"/>
        <v>6221.1430863220576</v>
      </c>
      <c r="V32" s="17">
        <f t="shared" si="21"/>
        <v>5098.2198571526778</v>
      </c>
      <c r="W32" s="17">
        <f t="shared" si="22"/>
        <v>5075.6327326357623</v>
      </c>
      <c r="X32" s="17">
        <f t="shared" si="23"/>
        <v>3446.8263277667979</v>
      </c>
      <c r="Y32" s="17">
        <f t="shared" si="24"/>
        <v>5109.2311407334482</v>
      </c>
      <c r="Z32" s="17">
        <f t="shared" si="25"/>
        <v>4449.4835347821108</v>
      </c>
      <c r="AA32" s="17">
        <f t="shared" si="26"/>
        <v>4543.0913515264301</v>
      </c>
      <c r="AB32" s="17">
        <f t="shared" si="27"/>
        <v>4437.333561940537</v>
      </c>
      <c r="AC32" s="17">
        <v>0</v>
      </c>
      <c r="AD32" s="17">
        <f t="shared" si="28"/>
        <v>0</v>
      </c>
      <c r="AE32" s="17">
        <f t="shared" si="29"/>
        <v>0</v>
      </c>
      <c r="AF32" s="17">
        <f t="shared" si="30"/>
        <v>0</v>
      </c>
      <c r="AG32" s="17">
        <f t="shared" si="31"/>
        <v>0</v>
      </c>
      <c r="AH32" s="17">
        <f t="shared" si="32"/>
        <v>0</v>
      </c>
      <c r="AI32" s="17">
        <f t="shared" si="33"/>
        <v>0</v>
      </c>
      <c r="AJ32" s="17">
        <f t="shared" si="34"/>
        <v>0</v>
      </c>
      <c r="AK32" s="17">
        <f t="shared" si="35"/>
        <v>0</v>
      </c>
      <c r="AL32" s="17">
        <f t="shared" si="36"/>
        <v>0</v>
      </c>
      <c r="AM32" s="17">
        <f t="shared" si="37"/>
        <v>0</v>
      </c>
      <c r="AN32" s="17">
        <f t="shared" si="38"/>
        <v>0</v>
      </c>
      <c r="AO32" s="17">
        <f t="shared" si="39"/>
        <v>0</v>
      </c>
      <c r="AP32" s="17">
        <f t="shared" si="40"/>
        <v>60000</v>
      </c>
      <c r="AQ32" s="18">
        <v>11147.69574359278</v>
      </c>
      <c r="AR32" s="18">
        <v>13331.597354306497</v>
      </c>
      <c r="AS32" s="18">
        <v>11798.561356068454</v>
      </c>
      <c r="AT32" s="18">
        <v>8936.9562335688115</v>
      </c>
      <c r="AU32" s="18">
        <v>12960.714763170954</v>
      </c>
      <c r="AV32" s="18">
        <v>10621.29136906808</v>
      </c>
      <c r="AW32" s="18">
        <v>10574.234859657838</v>
      </c>
      <c r="AX32" s="18">
        <v>7180.888182847496</v>
      </c>
      <c r="AY32" s="18">
        <v>10644.231543194684</v>
      </c>
      <c r="AZ32" s="18">
        <v>9269.7573641293966</v>
      </c>
      <c r="BA32" s="18">
        <v>9464.7736490133957</v>
      </c>
      <c r="BB32" s="18">
        <v>9244.4449207094531</v>
      </c>
      <c r="BC32" s="23">
        <v>8.9181565948742242E-2</v>
      </c>
      <c r="BD32" s="23">
        <v>0.10665277883445198</v>
      </c>
      <c r="BE32" s="23">
        <v>9.438849084854764E-2</v>
      </c>
      <c r="BF32" s="23">
        <v>7.149564986855049E-2</v>
      </c>
      <c r="BG32" s="23">
        <v>0.10368571810536763</v>
      </c>
      <c r="BH32" s="23">
        <v>8.4970330952544637E-2</v>
      </c>
      <c r="BI32" s="23">
        <v>8.4593878877262704E-2</v>
      </c>
      <c r="BJ32" s="23">
        <v>5.7447105462779965E-2</v>
      </c>
      <c r="BK32" s="23">
        <v>8.5153852345557474E-2</v>
      </c>
      <c r="BL32" s="23">
        <v>7.4158058913035174E-2</v>
      </c>
      <c r="BM32" s="23">
        <v>7.5718189192107169E-2</v>
      </c>
      <c r="BN32" s="23">
        <v>7.3955559365675619E-2</v>
      </c>
      <c r="BO32" s="23">
        <f t="shared" si="41"/>
        <v>1.0014011787146229</v>
      </c>
    </row>
    <row r="33" spans="1:67" x14ac:dyDescent="0.25">
      <c r="A33" s="16">
        <v>27102</v>
      </c>
      <c r="B33" s="16" t="s">
        <v>229</v>
      </c>
      <c r="C33" s="17">
        <v>800.80000000000007</v>
      </c>
      <c r="D33" s="17">
        <f t="shared" si="4"/>
        <v>71.416598011752797</v>
      </c>
      <c r="E33" s="17">
        <f t="shared" si="5"/>
        <v>85.407545290629159</v>
      </c>
      <c r="F33" s="17">
        <f t="shared" si="6"/>
        <v>75.586303471516956</v>
      </c>
      <c r="G33" s="17">
        <f t="shared" si="7"/>
        <v>57.253716414735237</v>
      </c>
      <c r="H33" s="17">
        <f t="shared" si="8"/>
        <v>83.031523058778404</v>
      </c>
      <c r="I33" s="17">
        <f t="shared" si="9"/>
        <v>68.044241026797749</v>
      </c>
      <c r="J33" s="17">
        <f t="shared" si="10"/>
        <v>67.742778204911986</v>
      </c>
      <c r="K33" s="17">
        <f t="shared" si="11"/>
        <v>46.003642054594202</v>
      </c>
      <c r="L33" s="17">
        <f t="shared" si="12"/>
        <v>68.19120495832243</v>
      </c>
      <c r="M33" s="17">
        <f t="shared" si="13"/>
        <v>59.385773577558574</v>
      </c>
      <c r="N33" s="17">
        <f t="shared" si="14"/>
        <v>60.635125905039423</v>
      </c>
      <c r="O33" s="17">
        <f t="shared" si="15"/>
        <v>59.223611940033038</v>
      </c>
      <c r="P33" s="17">
        <v>45000</v>
      </c>
      <c r="Q33" s="17">
        <f t="shared" si="16"/>
        <v>4013.170467693401</v>
      </c>
      <c r="R33" s="17">
        <f t="shared" si="17"/>
        <v>4799.3750475503393</v>
      </c>
      <c r="S33" s="17">
        <f t="shared" si="18"/>
        <v>4247.4820881846435</v>
      </c>
      <c r="T33" s="17">
        <f t="shared" si="19"/>
        <v>3217.3042440847721</v>
      </c>
      <c r="U33" s="17">
        <f t="shared" si="20"/>
        <v>4665.8573147415436</v>
      </c>
      <c r="V33" s="17">
        <f t="shared" si="21"/>
        <v>3823.6648928645086</v>
      </c>
      <c r="W33" s="17">
        <f t="shared" si="22"/>
        <v>3806.7245494768217</v>
      </c>
      <c r="X33" s="17">
        <f t="shared" si="23"/>
        <v>2585.1197458250986</v>
      </c>
      <c r="Y33" s="17">
        <f t="shared" si="24"/>
        <v>3831.9233555500864</v>
      </c>
      <c r="Z33" s="17">
        <f t="shared" si="25"/>
        <v>3337.1126510865829</v>
      </c>
      <c r="AA33" s="17">
        <f t="shared" si="26"/>
        <v>3407.3185136448228</v>
      </c>
      <c r="AB33" s="17">
        <f t="shared" si="27"/>
        <v>3328.0001714554028</v>
      </c>
      <c r="AC33" s="17">
        <v>0</v>
      </c>
      <c r="AD33" s="17">
        <f t="shared" si="28"/>
        <v>0</v>
      </c>
      <c r="AE33" s="17">
        <f t="shared" si="29"/>
        <v>0</v>
      </c>
      <c r="AF33" s="17">
        <f t="shared" si="30"/>
        <v>0</v>
      </c>
      <c r="AG33" s="17">
        <f t="shared" si="31"/>
        <v>0</v>
      </c>
      <c r="AH33" s="17">
        <f t="shared" si="32"/>
        <v>0</v>
      </c>
      <c r="AI33" s="17">
        <f t="shared" si="33"/>
        <v>0</v>
      </c>
      <c r="AJ33" s="17">
        <f t="shared" si="34"/>
        <v>0</v>
      </c>
      <c r="AK33" s="17">
        <f t="shared" si="35"/>
        <v>0</v>
      </c>
      <c r="AL33" s="17">
        <f t="shared" si="36"/>
        <v>0</v>
      </c>
      <c r="AM33" s="17">
        <f t="shared" si="37"/>
        <v>0</v>
      </c>
      <c r="AN33" s="17">
        <f t="shared" si="38"/>
        <v>0</v>
      </c>
      <c r="AO33" s="17">
        <f t="shared" si="39"/>
        <v>0</v>
      </c>
      <c r="AP33" s="17">
        <f t="shared" si="40"/>
        <v>45800.800000000003</v>
      </c>
      <c r="AQ33" s="18">
        <v>7134.5252758993793</v>
      </c>
      <c r="AR33" s="18">
        <v>8532.222306756159</v>
      </c>
      <c r="AS33" s="18">
        <v>7551.0792678838116</v>
      </c>
      <c r="AT33" s="18">
        <v>5719.6519894840394</v>
      </c>
      <c r="AU33" s="18">
        <v>8294.8574484294095</v>
      </c>
      <c r="AV33" s="18">
        <v>6797.6264762035707</v>
      </c>
      <c r="AW33" s="18">
        <v>6767.5103101810164</v>
      </c>
      <c r="AX33" s="18">
        <v>4595.7684370223969</v>
      </c>
      <c r="AY33" s="18">
        <v>6812.3081876445976</v>
      </c>
      <c r="AZ33" s="18">
        <v>5932.6447130428141</v>
      </c>
      <c r="BA33" s="18">
        <v>6057.4551353685738</v>
      </c>
      <c r="BB33" s="18">
        <v>5916.4447492540494</v>
      </c>
      <c r="BC33" s="23">
        <v>8.9181565948742242E-2</v>
      </c>
      <c r="BD33" s="23">
        <v>0.10665277883445198</v>
      </c>
      <c r="BE33" s="23">
        <v>9.438849084854764E-2</v>
      </c>
      <c r="BF33" s="23">
        <v>7.149564986855049E-2</v>
      </c>
      <c r="BG33" s="23">
        <v>0.10368571810536763</v>
      </c>
      <c r="BH33" s="23">
        <v>8.4970330952544637E-2</v>
      </c>
      <c r="BI33" s="23">
        <v>8.4593878877262704E-2</v>
      </c>
      <c r="BJ33" s="23">
        <v>5.7447105462779965E-2</v>
      </c>
      <c r="BK33" s="23">
        <v>8.5153852345557474E-2</v>
      </c>
      <c r="BL33" s="23">
        <v>7.4158058913035174E-2</v>
      </c>
      <c r="BM33" s="23">
        <v>7.5718189192107169E-2</v>
      </c>
      <c r="BN33" s="23">
        <v>7.3955559365675619E-2</v>
      </c>
      <c r="BO33" s="23">
        <f t="shared" si="41"/>
        <v>1.0014011787146229</v>
      </c>
    </row>
    <row r="34" spans="1:67" x14ac:dyDescent="0.25">
      <c r="A34" s="16">
        <v>3602</v>
      </c>
      <c r="B34" s="16" t="s">
        <v>230</v>
      </c>
      <c r="C34" s="17">
        <v>0</v>
      </c>
      <c r="D34" s="17">
        <f t="shared" si="4"/>
        <v>0</v>
      </c>
      <c r="E34" s="17">
        <f t="shared" si="5"/>
        <v>0</v>
      </c>
      <c r="F34" s="17">
        <f t="shared" si="6"/>
        <v>0</v>
      </c>
      <c r="G34" s="17">
        <f t="shared" si="7"/>
        <v>0</v>
      </c>
      <c r="H34" s="17">
        <f t="shared" si="8"/>
        <v>0</v>
      </c>
      <c r="I34" s="17">
        <f t="shared" si="9"/>
        <v>0</v>
      </c>
      <c r="J34" s="17">
        <f t="shared" si="10"/>
        <v>0</v>
      </c>
      <c r="K34" s="17">
        <f t="shared" si="11"/>
        <v>0</v>
      </c>
      <c r="L34" s="17">
        <f t="shared" si="12"/>
        <v>0</v>
      </c>
      <c r="M34" s="17">
        <f t="shared" si="13"/>
        <v>0</v>
      </c>
      <c r="N34" s="17">
        <f t="shared" si="14"/>
        <v>0</v>
      </c>
      <c r="O34" s="17">
        <f t="shared" si="15"/>
        <v>0</v>
      </c>
      <c r="P34" s="17">
        <v>80000</v>
      </c>
      <c r="Q34" s="17">
        <f t="shared" si="16"/>
        <v>7134.5252758993793</v>
      </c>
      <c r="R34" s="17">
        <f t="shared" si="17"/>
        <v>8532.222306756159</v>
      </c>
      <c r="S34" s="17">
        <f t="shared" si="18"/>
        <v>7551.0792678838116</v>
      </c>
      <c r="T34" s="17">
        <f t="shared" si="19"/>
        <v>5719.6519894840394</v>
      </c>
      <c r="U34" s="17">
        <f t="shared" si="20"/>
        <v>8294.8574484294095</v>
      </c>
      <c r="V34" s="17">
        <f t="shared" si="21"/>
        <v>6797.6264762035707</v>
      </c>
      <c r="W34" s="17">
        <f t="shared" si="22"/>
        <v>6767.5103101810164</v>
      </c>
      <c r="X34" s="17">
        <f t="shared" si="23"/>
        <v>4595.7684370223969</v>
      </c>
      <c r="Y34" s="17">
        <f t="shared" si="24"/>
        <v>6812.3081876445976</v>
      </c>
      <c r="Z34" s="17">
        <f t="shared" si="25"/>
        <v>5932.6447130428141</v>
      </c>
      <c r="AA34" s="17">
        <f t="shared" si="26"/>
        <v>6057.4551353685738</v>
      </c>
      <c r="AB34" s="17">
        <f t="shared" si="27"/>
        <v>5916.4447492540494</v>
      </c>
      <c r="AC34" s="17">
        <v>0</v>
      </c>
      <c r="AD34" s="17">
        <f t="shared" si="28"/>
        <v>0</v>
      </c>
      <c r="AE34" s="17">
        <f t="shared" si="29"/>
        <v>0</v>
      </c>
      <c r="AF34" s="17">
        <f t="shared" si="30"/>
        <v>0</v>
      </c>
      <c r="AG34" s="17">
        <f t="shared" si="31"/>
        <v>0</v>
      </c>
      <c r="AH34" s="17">
        <f t="shared" si="32"/>
        <v>0</v>
      </c>
      <c r="AI34" s="17">
        <f t="shared" si="33"/>
        <v>0</v>
      </c>
      <c r="AJ34" s="17">
        <f t="shared" si="34"/>
        <v>0</v>
      </c>
      <c r="AK34" s="17">
        <f t="shared" si="35"/>
        <v>0</v>
      </c>
      <c r="AL34" s="17">
        <f t="shared" si="36"/>
        <v>0</v>
      </c>
      <c r="AM34" s="17">
        <f t="shared" si="37"/>
        <v>0</v>
      </c>
      <c r="AN34" s="17">
        <f t="shared" si="38"/>
        <v>0</v>
      </c>
      <c r="AO34" s="17">
        <f t="shared" si="39"/>
        <v>0</v>
      </c>
      <c r="AP34" s="17">
        <f t="shared" si="40"/>
        <v>80000</v>
      </c>
      <c r="AQ34" s="18">
        <v>6314.1262144237098</v>
      </c>
      <c r="AR34" s="18">
        <v>7551.1020637022684</v>
      </c>
      <c r="AS34" s="18">
        <v>6682.7806628698518</v>
      </c>
      <c r="AT34" s="18">
        <v>5061.9492072132698</v>
      </c>
      <c r="AU34" s="18">
        <v>7341.0317904345129</v>
      </c>
      <c r="AV34" s="18">
        <v>6015.9674077049222</v>
      </c>
      <c r="AW34" s="18">
        <v>5989.314299613302</v>
      </c>
      <c r="AX34" s="18">
        <v>4067.301024449192</v>
      </c>
      <c r="AY34" s="18">
        <v>6028.9608691473459</v>
      </c>
      <c r="AZ34" s="18">
        <v>5250.4498974900207</v>
      </c>
      <c r="BA34" s="18">
        <v>5360.9083693525417</v>
      </c>
      <c r="BB34" s="18">
        <v>5236.1127675373264</v>
      </c>
      <c r="BC34" s="23">
        <v>8.9181565948742242E-2</v>
      </c>
      <c r="BD34" s="23">
        <v>0.10665277883445198</v>
      </c>
      <c r="BE34" s="23">
        <v>9.438849084854764E-2</v>
      </c>
      <c r="BF34" s="23">
        <v>7.149564986855049E-2</v>
      </c>
      <c r="BG34" s="23">
        <v>0.10368571810536763</v>
      </c>
      <c r="BH34" s="23">
        <v>8.4970330952544637E-2</v>
      </c>
      <c r="BI34" s="23">
        <v>8.4593878877262704E-2</v>
      </c>
      <c r="BJ34" s="23">
        <v>5.7447105462779965E-2</v>
      </c>
      <c r="BK34" s="23">
        <v>8.5153852345557474E-2</v>
      </c>
      <c r="BL34" s="23">
        <v>7.4158058913035174E-2</v>
      </c>
      <c r="BM34" s="23">
        <v>7.5718189192107169E-2</v>
      </c>
      <c r="BN34" s="23">
        <v>7.3955559365675619E-2</v>
      </c>
      <c r="BO34" s="23">
        <f t="shared" si="41"/>
        <v>1.0014011787146229</v>
      </c>
    </row>
    <row r="35" spans="1:67" x14ac:dyDescent="0.25">
      <c r="A35" s="16">
        <v>29626</v>
      </c>
      <c r="B35" s="16" t="s">
        <v>231</v>
      </c>
      <c r="C35" s="17">
        <v>0</v>
      </c>
      <c r="D35" s="17">
        <f t="shared" si="4"/>
        <v>0</v>
      </c>
      <c r="E35" s="17">
        <f t="shared" si="5"/>
        <v>0</v>
      </c>
      <c r="F35" s="17">
        <f t="shared" si="6"/>
        <v>0</v>
      </c>
      <c r="G35" s="17">
        <f t="shared" si="7"/>
        <v>0</v>
      </c>
      <c r="H35" s="17">
        <f t="shared" si="8"/>
        <v>0</v>
      </c>
      <c r="I35" s="17">
        <f t="shared" si="9"/>
        <v>0</v>
      </c>
      <c r="J35" s="17">
        <f t="shared" si="10"/>
        <v>0</v>
      </c>
      <c r="K35" s="17">
        <f t="shared" si="11"/>
        <v>0</v>
      </c>
      <c r="L35" s="17">
        <f t="shared" si="12"/>
        <v>0</v>
      </c>
      <c r="M35" s="17">
        <f t="shared" si="13"/>
        <v>0</v>
      </c>
      <c r="N35" s="17">
        <f t="shared" si="14"/>
        <v>0</v>
      </c>
      <c r="O35" s="17">
        <f t="shared" si="15"/>
        <v>0</v>
      </c>
      <c r="P35" s="17">
        <v>40000</v>
      </c>
      <c r="Q35" s="17">
        <f t="shared" si="16"/>
        <v>3567.2626379496896</v>
      </c>
      <c r="R35" s="17">
        <f t="shared" si="17"/>
        <v>4266.1111533780795</v>
      </c>
      <c r="S35" s="17">
        <f t="shared" si="18"/>
        <v>3775.5396339419058</v>
      </c>
      <c r="T35" s="17">
        <f t="shared" si="19"/>
        <v>2859.8259947420197</v>
      </c>
      <c r="U35" s="17">
        <f t="shared" si="20"/>
        <v>4147.4287242147047</v>
      </c>
      <c r="V35" s="17">
        <f t="shared" si="21"/>
        <v>3398.8132381017854</v>
      </c>
      <c r="W35" s="17">
        <f t="shared" si="22"/>
        <v>3383.7551550905082</v>
      </c>
      <c r="X35" s="17">
        <f t="shared" si="23"/>
        <v>2297.8842185111985</v>
      </c>
      <c r="Y35" s="17">
        <f t="shared" si="24"/>
        <v>3406.1540938222988</v>
      </c>
      <c r="Z35" s="17">
        <f t="shared" si="25"/>
        <v>2966.3223565214071</v>
      </c>
      <c r="AA35" s="17">
        <f t="shared" si="26"/>
        <v>3028.7275676842869</v>
      </c>
      <c r="AB35" s="17">
        <f t="shared" si="27"/>
        <v>2958.2223746270247</v>
      </c>
      <c r="AC35" s="17">
        <v>0</v>
      </c>
      <c r="AD35" s="17">
        <f t="shared" si="28"/>
        <v>0</v>
      </c>
      <c r="AE35" s="17">
        <f t="shared" si="29"/>
        <v>0</v>
      </c>
      <c r="AF35" s="17">
        <f t="shared" si="30"/>
        <v>0</v>
      </c>
      <c r="AG35" s="17">
        <f t="shared" si="31"/>
        <v>0</v>
      </c>
      <c r="AH35" s="17">
        <f t="shared" si="32"/>
        <v>0</v>
      </c>
      <c r="AI35" s="17">
        <f t="shared" si="33"/>
        <v>0</v>
      </c>
      <c r="AJ35" s="17">
        <f t="shared" si="34"/>
        <v>0</v>
      </c>
      <c r="AK35" s="17">
        <f t="shared" si="35"/>
        <v>0</v>
      </c>
      <c r="AL35" s="17">
        <f t="shared" si="36"/>
        <v>0</v>
      </c>
      <c r="AM35" s="17">
        <f t="shared" si="37"/>
        <v>0</v>
      </c>
      <c r="AN35" s="17">
        <f t="shared" si="38"/>
        <v>0</v>
      </c>
      <c r="AO35" s="17">
        <f t="shared" si="39"/>
        <v>0</v>
      </c>
      <c r="AP35" s="17">
        <f t="shared" si="40"/>
        <v>40000</v>
      </c>
      <c r="AQ35" s="18">
        <v>6688.6174461556684</v>
      </c>
      <c r="AR35" s="18">
        <v>7998.9584125838992</v>
      </c>
      <c r="AS35" s="18">
        <v>7079.1368136410729</v>
      </c>
      <c r="AT35" s="18">
        <v>5362.1737401412865</v>
      </c>
      <c r="AU35" s="18">
        <v>7776.4288579025724</v>
      </c>
      <c r="AV35" s="18">
        <v>6372.7748214408475</v>
      </c>
      <c r="AW35" s="18">
        <v>6344.5409157947024</v>
      </c>
      <c r="AX35" s="18">
        <v>4308.5329097084978</v>
      </c>
      <c r="AY35" s="18">
        <v>6386.5389259168105</v>
      </c>
      <c r="AZ35" s="18">
        <v>5561.8544184776383</v>
      </c>
      <c r="BA35" s="18">
        <v>5678.8641894080374</v>
      </c>
      <c r="BB35" s="18">
        <v>5546.6669524256713</v>
      </c>
      <c r="BC35" s="23">
        <v>8.9181565948742242E-2</v>
      </c>
      <c r="BD35" s="23">
        <v>0.10665277883445198</v>
      </c>
      <c r="BE35" s="23">
        <v>9.438849084854764E-2</v>
      </c>
      <c r="BF35" s="23">
        <v>7.149564986855049E-2</v>
      </c>
      <c r="BG35" s="23">
        <v>0.10368571810536763</v>
      </c>
      <c r="BH35" s="23">
        <v>8.4970330952544637E-2</v>
      </c>
      <c r="BI35" s="23">
        <v>8.4593878877262704E-2</v>
      </c>
      <c r="BJ35" s="23">
        <v>5.7447105462779965E-2</v>
      </c>
      <c r="BK35" s="23">
        <v>8.5153852345557474E-2</v>
      </c>
      <c r="BL35" s="23">
        <v>7.4158058913035174E-2</v>
      </c>
      <c r="BM35" s="23">
        <v>7.5718189192107169E-2</v>
      </c>
      <c r="BN35" s="23">
        <v>7.3955559365675619E-2</v>
      </c>
      <c r="BO35" s="23">
        <f t="shared" si="41"/>
        <v>1.0014011787146229</v>
      </c>
    </row>
    <row r="36" spans="1:67" x14ac:dyDescent="0.25">
      <c r="A36" s="16">
        <v>3643</v>
      </c>
      <c r="B36" s="16" t="s">
        <v>232</v>
      </c>
      <c r="C36" s="17">
        <v>0</v>
      </c>
      <c r="D36" s="17">
        <f t="shared" si="4"/>
        <v>0</v>
      </c>
      <c r="E36" s="17">
        <f t="shared" si="5"/>
        <v>0</v>
      </c>
      <c r="F36" s="17">
        <f t="shared" si="6"/>
        <v>0</v>
      </c>
      <c r="G36" s="17">
        <f t="shared" si="7"/>
        <v>0</v>
      </c>
      <c r="H36" s="17">
        <f t="shared" si="8"/>
        <v>0</v>
      </c>
      <c r="I36" s="17">
        <f t="shared" si="9"/>
        <v>0</v>
      </c>
      <c r="J36" s="17">
        <f t="shared" si="10"/>
        <v>0</v>
      </c>
      <c r="K36" s="17">
        <f t="shared" si="11"/>
        <v>0</v>
      </c>
      <c r="L36" s="17">
        <f t="shared" si="12"/>
        <v>0</v>
      </c>
      <c r="M36" s="17">
        <f t="shared" si="13"/>
        <v>0</v>
      </c>
      <c r="N36" s="17">
        <f t="shared" si="14"/>
        <v>0</v>
      </c>
      <c r="O36" s="17">
        <f t="shared" si="15"/>
        <v>0</v>
      </c>
      <c r="P36" s="17">
        <v>70000</v>
      </c>
      <c r="Q36" s="17">
        <f t="shared" si="16"/>
        <v>6242.7096164119566</v>
      </c>
      <c r="R36" s="17">
        <f t="shared" si="17"/>
        <v>7465.6945184116385</v>
      </c>
      <c r="S36" s="17">
        <f t="shared" si="18"/>
        <v>6607.1943593983351</v>
      </c>
      <c r="T36" s="17">
        <f t="shared" si="19"/>
        <v>5004.6954907985346</v>
      </c>
      <c r="U36" s="17">
        <f t="shared" si="20"/>
        <v>7258.0002673757335</v>
      </c>
      <c r="V36" s="17">
        <f t="shared" si="21"/>
        <v>5947.9231666781243</v>
      </c>
      <c r="W36" s="17">
        <f t="shared" si="22"/>
        <v>5921.5715214083893</v>
      </c>
      <c r="X36" s="17">
        <f t="shared" si="23"/>
        <v>4021.2973823945977</v>
      </c>
      <c r="Y36" s="17">
        <f t="shared" si="24"/>
        <v>5960.7696641890234</v>
      </c>
      <c r="Z36" s="17">
        <f t="shared" si="25"/>
        <v>5191.0641239124625</v>
      </c>
      <c r="AA36" s="17">
        <f t="shared" si="26"/>
        <v>5300.273243447502</v>
      </c>
      <c r="AB36" s="17">
        <f t="shared" si="27"/>
        <v>5176.8891555972932</v>
      </c>
      <c r="AC36" s="17">
        <v>0</v>
      </c>
      <c r="AD36" s="17">
        <f t="shared" si="28"/>
        <v>0</v>
      </c>
      <c r="AE36" s="17">
        <f t="shared" si="29"/>
        <v>0</v>
      </c>
      <c r="AF36" s="17">
        <f t="shared" si="30"/>
        <v>0</v>
      </c>
      <c r="AG36" s="17">
        <f t="shared" si="31"/>
        <v>0</v>
      </c>
      <c r="AH36" s="17">
        <f t="shared" si="32"/>
        <v>0</v>
      </c>
      <c r="AI36" s="17">
        <f t="shared" si="33"/>
        <v>0</v>
      </c>
      <c r="AJ36" s="17">
        <f t="shared" si="34"/>
        <v>0</v>
      </c>
      <c r="AK36" s="17">
        <f t="shared" si="35"/>
        <v>0</v>
      </c>
      <c r="AL36" s="17">
        <f t="shared" si="36"/>
        <v>0</v>
      </c>
      <c r="AM36" s="17">
        <f t="shared" si="37"/>
        <v>0</v>
      </c>
      <c r="AN36" s="17">
        <f t="shared" si="38"/>
        <v>0</v>
      </c>
      <c r="AO36" s="17">
        <f t="shared" si="39"/>
        <v>0</v>
      </c>
      <c r="AP36" s="17">
        <f t="shared" si="40"/>
        <v>70000</v>
      </c>
      <c r="AQ36" s="18">
        <v>5350.8939569245349</v>
      </c>
      <c r="AR36" s="18">
        <v>6399.1667300671188</v>
      </c>
      <c r="AS36" s="18">
        <v>5663.3094509128587</v>
      </c>
      <c r="AT36" s="18">
        <v>4289.7389921130298</v>
      </c>
      <c r="AU36" s="18">
        <v>6221.1430863220576</v>
      </c>
      <c r="AV36" s="18">
        <v>5098.2198571526778</v>
      </c>
      <c r="AW36" s="18">
        <v>5075.6327326357623</v>
      </c>
      <c r="AX36" s="18">
        <v>3446.8263277667979</v>
      </c>
      <c r="AY36" s="18">
        <v>5109.2311407334482</v>
      </c>
      <c r="AZ36" s="18">
        <v>4449.4835347821108</v>
      </c>
      <c r="BA36" s="18">
        <v>4543.0913515264301</v>
      </c>
      <c r="BB36" s="18">
        <v>4437.333561940537</v>
      </c>
      <c r="BC36" s="23">
        <v>8.9181565948742242E-2</v>
      </c>
      <c r="BD36" s="23">
        <v>0.10665277883445198</v>
      </c>
      <c r="BE36" s="23">
        <v>9.438849084854764E-2</v>
      </c>
      <c r="BF36" s="23">
        <v>7.149564986855049E-2</v>
      </c>
      <c r="BG36" s="23">
        <v>0.10368571810536763</v>
      </c>
      <c r="BH36" s="23">
        <v>8.4970330952544637E-2</v>
      </c>
      <c r="BI36" s="23">
        <v>8.4593878877262704E-2</v>
      </c>
      <c r="BJ36" s="23">
        <v>5.7447105462779965E-2</v>
      </c>
      <c r="BK36" s="23">
        <v>8.5153852345557474E-2</v>
      </c>
      <c r="BL36" s="23">
        <v>7.4158058913035174E-2</v>
      </c>
      <c r="BM36" s="23">
        <v>7.5718189192107169E-2</v>
      </c>
      <c r="BN36" s="23">
        <v>7.3955559365675619E-2</v>
      </c>
      <c r="BO36" s="23">
        <f t="shared" si="41"/>
        <v>1.0014011787146229</v>
      </c>
    </row>
    <row r="37" spans="1:67" x14ac:dyDescent="0.25">
      <c r="A37" s="16">
        <v>1702</v>
      </c>
      <c r="B37" s="16" t="s">
        <v>233</v>
      </c>
      <c r="C37" s="17">
        <v>0</v>
      </c>
      <c r="D37" s="17">
        <f t="shared" si="4"/>
        <v>0</v>
      </c>
      <c r="E37" s="17">
        <f t="shared" si="5"/>
        <v>0</v>
      </c>
      <c r="F37" s="17">
        <f t="shared" si="6"/>
        <v>0</v>
      </c>
      <c r="G37" s="17">
        <f t="shared" si="7"/>
        <v>0</v>
      </c>
      <c r="H37" s="17">
        <f t="shared" si="8"/>
        <v>0</v>
      </c>
      <c r="I37" s="17">
        <f t="shared" si="9"/>
        <v>0</v>
      </c>
      <c r="J37" s="17">
        <f t="shared" si="10"/>
        <v>0</v>
      </c>
      <c r="K37" s="17">
        <f t="shared" si="11"/>
        <v>0</v>
      </c>
      <c r="L37" s="17">
        <f t="shared" si="12"/>
        <v>0</v>
      </c>
      <c r="M37" s="17">
        <f t="shared" si="13"/>
        <v>0</v>
      </c>
      <c r="N37" s="17">
        <f t="shared" si="14"/>
        <v>0</v>
      </c>
      <c r="O37" s="17">
        <f t="shared" si="15"/>
        <v>0</v>
      </c>
      <c r="P37" s="17">
        <v>55000</v>
      </c>
      <c r="Q37" s="17">
        <f t="shared" si="16"/>
        <v>4904.9861271808231</v>
      </c>
      <c r="R37" s="17">
        <f t="shared" si="17"/>
        <v>5865.902835894859</v>
      </c>
      <c r="S37" s="17">
        <f t="shared" si="18"/>
        <v>5191.36699667012</v>
      </c>
      <c r="T37" s="17">
        <f t="shared" si="19"/>
        <v>3932.2607427702769</v>
      </c>
      <c r="U37" s="17">
        <f t="shared" si="20"/>
        <v>5702.7144957952196</v>
      </c>
      <c r="V37" s="17">
        <f t="shared" si="21"/>
        <v>4673.3682023899546</v>
      </c>
      <c r="W37" s="17">
        <f t="shared" si="22"/>
        <v>4652.6633382494483</v>
      </c>
      <c r="X37" s="17">
        <f t="shared" si="23"/>
        <v>3159.5908004528983</v>
      </c>
      <c r="Y37" s="17">
        <f t="shared" si="24"/>
        <v>4683.4618790056611</v>
      </c>
      <c r="Z37" s="17">
        <f t="shared" si="25"/>
        <v>4078.6932402169346</v>
      </c>
      <c r="AA37" s="17">
        <f t="shared" si="26"/>
        <v>4164.5004055658947</v>
      </c>
      <c r="AB37" s="17">
        <f t="shared" si="27"/>
        <v>4067.555765112159</v>
      </c>
      <c r="AC37" s="17">
        <v>0</v>
      </c>
      <c r="AD37" s="17">
        <f t="shared" si="28"/>
        <v>0</v>
      </c>
      <c r="AE37" s="17">
        <f t="shared" si="29"/>
        <v>0</v>
      </c>
      <c r="AF37" s="17">
        <f t="shared" si="30"/>
        <v>0</v>
      </c>
      <c r="AG37" s="17">
        <f t="shared" si="31"/>
        <v>0</v>
      </c>
      <c r="AH37" s="17">
        <f t="shared" si="32"/>
        <v>0</v>
      </c>
      <c r="AI37" s="17">
        <f t="shared" si="33"/>
        <v>0</v>
      </c>
      <c r="AJ37" s="17">
        <f t="shared" si="34"/>
        <v>0</v>
      </c>
      <c r="AK37" s="17">
        <f t="shared" si="35"/>
        <v>0</v>
      </c>
      <c r="AL37" s="17">
        <f t="shared" si="36"/>
        <v>0</v>
      </c>
      <c r="AM37" s="17">
        <f t="shared" si="37"/>
        <v>0</v>
      </c>
      <c r="AN37" s="17">
        <f t="shared" si="38"/>
        <v>0</v>
      </c>
      <c r="AO37" s="17">
        <f t="shared" si="39"/>
        <v>0</v>
      </c>
      <c r="AP37" s="17">
        <f t="shared" si="40"/>
        <v>55000</v>
      </c>
      <c r="AQ37" s="18">
        <v>5284.007782462978</v>
      </c>
      <c r="AR37" s="18">
        <v>6319.1771459412803</v>
      </c>
      <c r="AS37" s="18">
        <v>5592.518082776448</v>
      </c>
      <c r="AT37" s="18">
        <v>4236.1172547116166</v>
      </c>
      <c r="AU37" s="18">
        <v>6143.378797743032</v>
      </c>
      <c r="AV37" s="18">
        <v>5034.4921089382697</v>
      </c>
      <c r="AW37" s="18">
        <v>5012.187323477815</v>
      </c>
      <c r="AX37" s="18">
        <v>3403.740998669713</v>
      </c>
      <c r="AY37" s="18">
        <v>5045.3657514742799</v>
      </c>
      <c r="AZ37" s="18">
        <v>4393.8649905973343</v>
      </c>
      <c r="BA37" s="18">
        <v>4486.3027096323494</v>
      </c>
      <c r="BB37" s="18">
        <v>4381.8668924162803</v>
      </c>
      <c r="BC37" s="23">
        <v>8.9181565948742242E-2</v>
      </c>
      <c r="BD37" s="23">
        <v>0.10665277883445198</v>
      </c>
      <c r="BE37" s="23">
        <v>9.438849084854764E-2</v>
      </c>
      <c r="BF37" s="23">
        <v>7.149564986855049E-2</v>
      </c>
      <c r="BG37" s="23">
        <v>0.10368571810536763</v>
      </c>
      <c r="BH37" s="23">
        <v>8.4970330952544637E-2</v>
      </c>
      <c r="BI37" s="23">
        <v>8.4593878877262704E-2</v>
      </c>
      <c r="BJ37" s="23">
        <v>5.7447105462779965E-2</v>
      </c>
      <c r="BK37" s="23">
        <v>8.5153852345557474E-2</v>
      </c>
      <c r="BL37" s="23">
        <v>7.4158058913035174E-2</v>
      </c>
      <c r="BM37" s="23">
        <v>7.5718189192107169E-2</v>
      </c>
      <c r="BN37" s="23">
        <v>7.3955559365675619E-2</v>
      </c>
      <c r="BO37" s="23">
        <f t="shared" si="41"/>
        <v>1.0014011787146229</v>
      </c>
    </row>
    <row r="38" spans="1:67" x14ac:dyDescent="0.25">
      <c r="A38" s="16">
        <v>1978</v>
      </c>
      <c r="B38" s="16" t="s">
        <v>234</v>
      </c>
      <c r="C38" s="17">
        <v>38000</v>
      </c>
      <c r="D38" s="17">
        <f t="shared" si="4"/>
        <v>3388.8995060522052</v>
      </c>
      <c r="E38" s="17">
        <f t="shared" si="5"/>
        <v>4052.8055957091756</v>
      </c>
      <c r="F38" s="17">
        <f t="shared" si="6"/>
        <v>3586.7626522448104</v>
      </c>
      <c r="G38" s="17">
        <f t="shared" si="7"/>
        <v>2716.8346950049186</v>
      </c>
      <c r="H38" s="17">
        <f t="shared" si="8"/>
        <v>3940.0572880039699</v>
      </c>
      <c r="I38" s="17">
        <f t="shared" si="9"/>
        <v>3228.8725761966962</v>
      </c>
      <c r="J38" s="17">
        <f t="shared" si="10"/>
        <v>3214.5673973359826</v>
      </c>
      <c r="K38" s="17">
        <f t="shared" si="11"/>
        <v>2182.9900075856385</v>
      </c>
      <c r="L38" s="17">
        <f t="shared" si="12"/>
        <v>3235.846389131184</v>
      </c>
      <c r="M38" s="17">
        <f t="shared" si="13"/>
        <v>2818.0062386953368</v>
      </c>
      <c r="N38" s="17">
        <f t="shared" si="14"/>
        <v>2877.2911893000723</v>
      </c>
      <c r="O38" s="17">
        <f t="shared" si="15"/>
        <v>2810.3112558956736</v>
      </c>
      <c r="P38" s="17">
        <v>20000</v>
      </c>
      <c r="Q38" s="17">
        <f t="shared" si="16"/>
        <v>1783.6313189748448</v>
      </c>
      <c r="R38" s="17">
        <f t="shared" si="17"/>
        <v>2133.0555766890398</v>
      </c>
      <c r="S38" s="17">
        <f t="shared" si="18"/>
        <v>1887.7698169709529</v>
      </c>
      <c r="T38" s="17">
        <f t="shared" si="19"/>
        <v>1429.9129973710099</v>
      </c>
      <c r="U38" s="17">
        <f t="shared" si="20"/>
        <v>2073.7143621073524</v>
      </c>
      <c r="V38" s="17">
        <f t="shared" si="21"/>
        <v>1699.4066190508927</v>
      </c>
      <c r="W38" s="17">
        <f t="shared" si="22"/>
        <v>1691.8775775452541</v>
      </c>
      <c r="X38" s="17">
        <f t="shared" si="23"/>
        <v>1148.9421092555992</v>
      </c>
      <c r="Y38" s="17">
        <f t="shared" si="24"/>
        <v>1703.0770469111494</v>
      </c>
      <c r="Z38" s="17">
        <f t="shared" si="25"/>
        <v>1483.1611782607035</v>
      </c>
      <c r="AA38" s="17">
        <f t="shared" si="26"/>
        <v>1514.3637838421434</v>
      </c>
      <c r="AB38" s="17">
        <f t="shared" si="27"/>
        <v>1479.1111873135123</v>
      </c>
      <c r="AC38" s="17">
        <v>0</v>
      </c>
      <c r="AD38" s="17">
        <f t="shared" si="28"/>
        <v>0</v>
      </c>
      <c r="AE38" s="17">
        <f t="shared" si="29"/>
        <v>0</v>
      </c>
      <c r="AF38" s="17">
        <f t="shared" si="30"/>
        <v>0</v>
      </c>
      <c r="AG38" s="17">
        <f t="shared" si="31"/>
        <v>0</v>
      </c>
      <c r="AH38" s="17">
        <f t="shared" si="32"/>
        <v>0</v>
      </c>
      <c r="AI38" s="17">
        <f t="shared" si="33"/>
        <v>0</v>
      </c>
      <c r="AJ38" s="17">
        <f t="shared" si="34"/>
        <v>0</v>
      </c>
      <c r="AK38" s="17">
        <f t="shared" si="35"/>
        <v>0</v>
      </c>
      <c r="AL38" s="17">
        <f t="shared" si="36"/>
        <v>0</v>
      </c>
      <c r="AM38" s="17">
        <f t="shared" si="37"/>
        <v>0</v>
      </c>
      <c r="AN38" s="17">
        <f t="shared" si="38"/>
        <v>0</v>
      </c>
      <c r="AO38" s="17">
        <f t="shared" si="39"/>
        <v>0</v>
      </c>
      <c r="AP38" s="17">
        <f t="shared" si="40"/>
        <v>58000</v>
      </c>
      <c r="AQ38" s="18">
        <v>4985.2495365346913</v>
      </c>
      <c r="AR38" s="18">
        <v>5961.8903368458659</v>
      </c>
      <c r="AS38" s="18">
        <v>5276.3166384338128</v>
      </c>
      <c r="AT38" s="18">
        <v>3996.6068276519723</v>
      </c>
      <c r="AU38" s="18">
        <v>5796.0316420900508</v>
      </c>
      <c r="AV38" s="18">
        <v>4749.8415002472448</v>
      </c>
      <c r="AW38" s="18">
        <v>4728.7978292389853</v>
      </c>
      <c r="AX38" s="18">
        <v>3211.2931953694001</v>
      </c>
      <c r="AY38" s="18">
        <v>4760.1003461166629</v>
      </c>
      <c r="AZ38" s="18">
        <v>4145.4354932386659</v>
      </c>
      <c r="BA38" s="18">
        <v>4232.6467758387907</v>
      </c>
      <c r="BB38" s="18">
        <v>4134.1157685412672</v>
      </c>
      <c r="BC38" s="23">
        <v>8.9181565948742242E-2</v>
      </c>
      <c r="BD38" s="23">
        <v>0.10665277883445198</v>
      </c>
      <c r="BE38" s="23">
        <v>9.438849084854764E-2</v>
      </c>
      <c r="BF38" s="23">
        <v>7.149564986855049E-2</v>
      </c>
      <c r="BG38" s="23">
        <v>0.10368571810536763</v>
      </c>
      <c r="BH38" s="23">
        <v>8.4970330952544637E-2</v>
      </c>
      <c r="BI38" s="23">
        <v>8.4593878877262704E-2</v>
      </c>
      <c r="BJ38" s="23">
        <v>5.7447105462779965E-2</v>
      </c>
      <c r="BK38" s="23">
        <v>8.5153852345557474E-2</v>
      </c>
      <c r="BL38" s="23">
        <v>7.4158058913035174E-2</v>
      </c>
      <c r="BM38" s="23">
        <v>7.5718189192107169E-2</v>
      </c>
      <c r="BN38" s="23">
        <v>7.3955559365675619E-2</v>
      </c>
      <c r="BO38" s="23">
        <f t="shared" si="41"/>
        <v>1.0014011787146229</v>
      </c>
    </row>
    <row r="39" spans="1:67" x14ac:dyDescent="0.25">
      <c r="A39" s="16">
        <v>3406</v>
      </c>
      <c r="B39" s="16" t="s">
        <v>235</v>
      </c>
      <c r="C39" s="17">
        <v>0</v>
      </c>
      <c r="D39" s="17">
        <f t="shared" si="4"/>
        <v>0</v>
      </c>
      <c r="E39" s="17">
        <f t="shared" si="5"/>
        <v>0</v>
      </c>
      <c r="F39" s="17">
        <f t="shared" si="6"/>
        <v>0</v>
      </c>
      <c r="G39" s="17">
        <f t="shared" si="7"/>
        <v>0</v>
      </c>
      <c r="H39" s="17">
        <f t="shared" si="8"/>
        <v>0</v>
      </c>
      <c r="I39" s="17">
        <f t="shared" si="9"/>
        <v>0</v>
      </c>
      <c r="J39" s="17">
        <f t="shared" si="10"/>
        <v>0</v>
      </c>
      <c r="K39" s="17">
        <f t="shared" si="11"/>
        <v>0</v>
      </c>
      <c r="L39" s="17">
        <f t="shared" si="12"/>
        <v>0</v>
      </c>
      <c r="M39" s="17">
        <f t="shared" si="13"/>
        <v>0</v>
      </c>
      <c r="N39" s="17">
        <f t="shared" si="14"/>
        <v>0</v>
      </c>
      <c r="O39" s="17">
        <f t="shared" si="15"/>
        <v>0</v>
      </c>
      <c r="P39" s="17">
        <v>30000</v>
      </c>
      <c r="Q39" s="17">
        <f t="shared" si="16"/>
        <v>2675.4469784622675</v>
      </c>
      <c r="R39" s="17">
        <f t="shared" si="17"/>
        <v>3199.5833650335594</v>
      </c>
      <c r="S39" s="17">
        <f t="shared" si="18"/>
        <v>2831.6547254564293</v>
      </c>
      <c r="T39" s="17">
        <f t="shared" si="19"/>
        <v>2144.8694960565149</v>
      </c>
      <c r="U39" s="17">
        <f t="shared" si="20"/>
        <v>3110.5715431610288</v>
      </c>
      <c r="V39" s="17">
        <f t="shared" si="21"/>
        <v>2549.1099285763389</v>
      </c>
      <c r="W39" s="17">
        <f t="shared" si="22"/>
        <v>2537.8163663178811</v>
      </c>
      <c r="X39" s="17">
        <f t="shared" si="23"/>
        <v>1723.413163883399</v>
      </c>
      <c r="Y39" s="17">
        <f t="shared" si="24"/>
        <v>2554.6155703667241</v>
      </c>
      <c r="Z39" s="17">
        <f t="shared" si="25"/>
        <v>2224.7417673910554</v>
      </c>
      <c r="AA39" s="17">
        <f t="shared" si="26"/>
        <v>2271.5456757632151</v>
      </c>
      <c r="AB39" s="17">
        <f t="shared" si="27"/>
        <v>2218.6667809702685</v>
      </c>
      <c r="AC39" s="17">
        <v>12000</v>
      </c>
      <c r="AD39" s="17">
        <f t="shared" si="28"/>
        <v>1070.1787913849068</v>
      </c>
      <c r="AE39" s="17">
        <f t="shared" si="29"/>
        <v>1279.8333460134238</v>
      </c>
      <c r="AF39" s="17">
        <f t="shared" si="30"/>
        <v>1132.6618901825716</v>
      </c>
      <c r="AG39" s="17">
        <f t="shared" si="31"/>
        <v>857.94779842260584</v>
      </c>
      <c r="AH39" s="17">
        <f t="shared" si="32"/>
        <v>1244.2286172644115</v>
      </c>
      <c r="AI39" s="17">
        <f t="shared" si="33"/>
        <v>1019.6439714305357</v>
      </c>
      <c r="AJ39" s="17">
        <f t="shared" si="34"/>
        <v>1015.1265465271524</v>
      </c>
      <c r="AK39" s="17">
        <f t="shared" si="35"/>
        <v>689.36526555335956</v>
      </c>
      <c r="AL39" s="17">
        <f t="shared" si="36"/>
        <v>1021.8462281466897</v>
      </c>
      <c r="AM39" s="17">
        <f t="shared" si="37"/>
        <v>889.89670695642212</v>
      </c>
      <c r="AN39" s="17">
        <f t="shared" si="38"/>
        <v>908.61827030528605</v>
      </c>
      <c r="AO39" s="17">
        <f t="shared" si="39"/>
        <v>887.46671238810745</v>
      </c>
      <c r="AP39" s="17">
        <f t="shared" si="40"/>
        <v>42000</v>
      </c>
      <c r="AQ39" s="18">
        <v>4682.0322123089672</v>
      </c>
      <c r="AR39" s="18">
        <v>5599.2708888087291</v>
      </c>
      <c r="AS39" s="18">
        <v>4955.3957695487516</v>
      </c>
      <c r="AT39" s="18">
        <v>3753.5216180989009</v>
      </c>
      <c r="AU39" s="18">
        <v>5443.5002005318001</v>
      </c>
      <c r="AV39" s="18">
        <v>4460.9423750085934</v>
      </c>
      <c r="AW39" s="18">
        <v>4441.1786410562918</v>
      </c>
      <c r="AX39" s="18">
        <v>3015.9730367959482</v>
      </c>
      <c r="AY39" s="18">
        <v>4470.5772481417671</v>
      </c>
      <c r="AZ39" s="18">
        <v>3893.2980929343466</v>
      </c>
      <c r="BA39" s="18">
        <v>3975.2049325856265</v>
      </c>
      <c r="BB39" s="18">
        <v>3882.6668666979699</v>
      </c>
      <c r="BC39" s="23">
        <v>8.9181565948742242E-2</v>
      </c>
      <c r="BD39" s="23">
        <v>0.10665277883445198</v>
      </c>
      <c r="BE39" s="23">
        <v>9.438849084854764E-2</v>
      </c>
      <c r="BF39" s="23">
        <v>7.149564986855049E-2</v>
      </c>
      <c r="BG39" s="23">
        <v>0.10368571810536763</v>
      </c>
      <c r="BH39" s="23">
        <v>8.4970330952544637E-2</v>
      </c>
      <c r="BI39" s="23">
        <v>8.4593878877262704E-2</v>
      </c>
      <c r="BJ39" s="23">
        <v>5.7447105462779965E-2</v>
      </c>
      <c r="BK39" s="23">
        <v>8.5153852345557474E-2</v>
      </c>
      <c r="BL39" s="23">
        <v>7.4158058913035174E-2</v>
      </c>
      <c r="BM39" s="23">
        <v>7.5718189192107169E-2</v>
      </c>
      <c r="BN39" s="23">
        <v>7.3955559365675619E-2</v>
      </c>
      <c r="BO39" s="23">
        <f t="shared" si="41"/>
        <v>1.0014011787146229</v>
      </c>
    </row>
    <row r="40" spans="1:67" x14ac:dyDescent="0.25">
      <c r="A40" s="16">
        <v>20122</v>
      </c>
      <c r="B40" s="16" t="s">
        <v>236</v>
      </c>
      <c r="C40" s="17">
        <v>90000</v>
      </c>
      <c r="D40" s="17">
        <f t="shared" si="4"/>
        <v>8026.3409353868019</v>
      </c>
      <c r="E40" s="17">
        <f t="shared" si="5"/>
        <v>9598.7500951006787</v>
      </c>
      <c r="F40" s="17">
        <f t="shared" si="6"/>
        <v>8494.9641763692871</v>
      </c>
      <c r="G40" s="17">
        <f t="shared" si="7"/>
        <v>6434.6084881695442</v>
      </c>
      <c r="H40" s="17">
        <f t="shared" si="8"/>
        <v>9331.7146294830873</v>
      </c>
      <c r="I40" s="17">
        <f t="shared" si="9"/>
        <v>7647.3297857290172</v>
      </c>
      <c r="J40" s="17">
        <f t="shared" si="10"/>
        <v>7613.4490989536434</v>
      </c>
      <c r="K40" s="17">
        <f t="shared" si="11"/>
        <v>5170.2394916501971</v>
      </c>
      <c r="L40" s="17">
        <f t="shared" si="12"/>
        <v>7663.8467111001728</v>
      </c>
      <c r="M40" s="17">
        <f t="shared" si="13"/>
        <v>6674.2253021731658</v>
      </c>
      <c r="N40" s="17">
        <f t="shared" si="14"/>
        <v>6814.6370272896456</v>
      </c>
      <c r="O40" s="17">
        <f t="shared" si="15"/>
        <v>6656.0003429108056</v>
      </c>
      <c r="P40" s="17">
        <v>0</v>
      </c>
      <c r="Q40" s="17">
        <f t="shared" si="16"/>
        <v>0</v>
      </c>
      <c r="R40" s="17">
        <f t="shared" si="17"/>
        <v>0</v>
      </c>
      <c r="S40" s="17">
        <f t="shared" si="18"/>
        <v>0</v>
      </c>
      <c r="T40" s="17">
        <f t="shared" si="19"/>
        <v>0</v>
      </c>
      <c r="U40" s="17">
        <f t="shared" si="20"/>
        <v>0</v>
      </c>
      <c r="V40" s="17">
        <f t="shared" si="21"/>
        <v>0</v>
      </c>
      <c r="W40" s="17">
        <f t="shared" si="22"/>
        <v>0</v>
      </c>
      <c r="X40" s="17">
        <f t="shared" si="23"/>
        <v>0</v>
      </c>
      <c r="Y40" s="17">
        <f t="shared" si="24"/>
        <v>0</v>
      </c>
      <c r="Z40" s="17">
        <f t="shared" si="25"/>
        <v>0</v>
      </c>
      <c r="AA40" s="17">
        <f t="shared" si="26"/>
        <v>0</v>
      </c>
      <c r="AB40" s="17">
        <f t="shared" si="27"/>
        <v>0</v>
      </c>
      <c r="AC40" s="17">
        <v>0</v>
      </c>
      <c r="AD40" s="17">
        <f t="shared" si="28"/>
        <v>0</v>
      </c>
      <c r="AE40" s="17">
        <f t="shared" si="29"/>
        <v>0</v>
      </c>
      <c r="AF40" s="17">
        <f t="shared" si="30"/>
        <v>0</v>
      </c>
      <c r="AG40" s="17">
        <f t="shared" si="31"/>
        <v>0</v>
      </c>
      <c r="AH40" s="17">
        <f t="shared" si="32"/>
        <v>0</v>
      </c>
      <c r="AI40" s="17">
        <f t="shared" si="33"/>
        <v>0</v>
      </c>
      <c r="AJ40" s="17">
        <f t="shared" si="34"/>
        <v>0</v>
      </c>
      <c r="AK40" s="17">
        <f t="shared" si="35"/>
        <v>0</v>
      </c>
      <c r="AL40" s="17">
        <f t="shared" si="36"/>
        <v>0</v>
      </c>
      <c r="AM40" s="17">
        <f t="shared" si="37"/>
        <v>0</v>
      </c>
      <c r="AN40" s="17">
        <f t="shared" si="38"/>
        <v>0</v>
      </c>
      <c r="AO40" s="17">
        <f t="shared" si="39"/>
        <v>0</v>
      </c>
      <c r="AP40" s="17">
        <f t="shared" si="40"/>
        <v>90000</v>
      </c>
      <c r="AQ40" s="18">
        <v>4904.9861271808231</v>
      </c>
      <c r="AR40" s="18">
        <v>5865.902835894859</v>
      </c>
      <c r="AS40" s="18">
        <v>5191.36699667012</v>
      </c>
      <c r="AT40" s="18">
        <v>3932.2607427702769</v>
      </c>
      <c r="AU40" s="18">
        <v>5702.7144957952196</v>
      </c>
      <c r="AV40" s="18">
        <v>4673.3682023899546</v>
      </c>
      <c r="AW40" s="18">
        <v>4652.6633382494483</v>
      </c>
      <c r="AX40" s="18">
        <v>3159.5908004528983</v>
      </c>
      <c r="AY40" s="18">
        <v>4683.4618790056611</v>
      </c>
      <c r="AZ40" s="18">
        <v>4078.6932402169346</v>
      </c>
      <c r="BA40" s="18">
        <v>4164.5004055658947</v>
      </c>
      <c r="BB40" s="18">
        <v>4067.555765112159</v>
      </c>
      <c r="BC40" s="23">
        <v>8.9181565948742242E-2</v>
      </c>
      <c r="BD40" s="23">
        <v>0.10665277883445198</v>
      </c>
      <c r="BE40" s="23">
        <v>9.438849084854764E-2</v>
      </c>
      <c r="BF40" s="23">
        <v>7.149564986855049E-2</v>
      </c>
      <c r="BG40" s="23">
        <v>0.10368571810536763</v>
      </c>
      <c r="BH40" s="23">
        <v>8.4970330952544637E-2</v>
      </c>
      <c r="BI40" s="23">
        <v>8.4593878877262704E-2</v>
      </c>
      <c r="BJ40" s="23">
        <v>5.7447105462779965E-2</v>
      </c>
      <c r="BK40" s="23">
        <v>8.5153852345557474E-2</v>
      </c>
      <c r="BL40" s="23">
        <v>7.4158058913035174E-2</v>
      </c>
      <c r="BM40" s="23">
        <v>7.5718189192107169E-2</v>
      </c>
      <c r="BN40" s="23">
        <v>7.3955559365675619E-2</v>
      </c>
      <c r="BO40" s="23">
        <f t="shared" si="41"/>
        <v>1.0014011787146229</v>
      </c>
    </row>
    <row r="41" spans="1:67" x14ac:dyDescent="0.25">
      <c r="A41" s="16">
        <v>5328</v>
      </c>
      <c r="B41" s="16" t="s">
        <v>237</v>
      </c>
      <c r="C41" s="17">
        <v>0</v>
      </c>
      <c r="D41" s="17">
        <f t="shared" si="4"/>
        <v>0</v>
      </c>
      <c r="E41" s="17">
        <f t="shared" si="5"/>
        <v>0</v>
      </c>
      <c r="F41" s="17">
        <f t="shared" si="6"/>
        <v>0</v>
      </c>
      <c r="G41" s="17">
        <f t="shared" si="7"/>
        <v>0</v>
      </c>
      <c r="H41" s="17">
        <f t="shared" si="8"/>
        <v>0</v>
      </c>
      <c r="I41" s="17">
        <f t="shared" si="9"/>
        <v>0</v>
      </c>
      <c r="J41" s="17">
        <f t="shared" si="10"/>
        <v>0</v>
      </c>
      <c r="K41" s="17">
        <f t="shared" si="11"/>
        <v>0</v>
      </c>
      <c r="L41" s="17">
        <f t="shared" si="12"/>
        <v>0</v>
      </c>
      <c r="M41" s="17">
        <f t="shared" si="13"/>
        <v>0</v>
      </c>
      <c r="N41" s="17">
        <f t="shared" si="14"/>
        <v>0</v>
      </c>
      <c r="O41" s="17">
        <f t="shared" si="15"/>
        <v>0</v>
      </c>
      <c r="P41" s="17">
        <v>49000</v>
      </c>
      <c r="Q41" s="17">
        <f t="shared" si="16"/>
        <v>4369.8967314883703</v>
      </c>
      <c r="R41" s="17">
        <f t="shared" si="17"/>
        <v>5225.9861628881472</v>
      </c>
      <c r="S41" s="17">
        <f t="shared" si="18"/>
        <v>4625.0360515788343</v>
      </c>
      <c r="T41" s="17">
        <f t="shared" si="19"/>
        <v>3503.2868435589739</v>
      </c>
      <c r="U41" s="17">
        <f t="shared" si="20"/>
        <v>5080.6001871630142</v>
      </c>
      <c r="V41" s="17">
        <f t="shared" si="21"/>
        <v>4163.5462166746875</v>
      </c>
      <c r="W41" s="17">
        <f t="shared" si="22"/>
        <v>4145.1000649858725</v>
      </c>
      <c r="X41" s="17">
        <f t="shared" si="23"/>
        <v>2814.9081676762185</v>
      </c>
      <c r="Y41" s="17">
        <f t="shared" si="24"/>
        <v>4172.5387649323166</v>
      </c>
      <c r="Z41" s="17">
        <f t="shared" si="25"/>
        <v>3633.7448867387234</v>
      </c>
      <c r="AA41" s="17">
        <f t="shared" si="26"/>
        <v>3710.1912704132515</v>
      </c>
      <c r="AB41" s="17">
        <f t="shared" si="27"/>
        <v>3623.8224089181053</v>
      </c>
      <c r="AC41" s="17">
        <v>0</v>
      </c>
      <c r="AD41" s="17">
        <f t="shared" si="28"/>
        <v>0</v>
      </c>
      <c r="AE41" s="17">
        <f t="shared" si="29"/>
        <v>0</v>
      </c>
      <c r="AF41" s="17">
        <f t="shared" si="30"/>
        <v>0</v>
      </c>
      <c r="AG41" s="17">
        <f t="shared" si="31"/>
        <v>0</v>
      </c>
      <c r="AH41" s="17">
        <f t="shared" si="32"/>
        <v>0</v>
      </c>
      <c r="AI41" s="17">
        <f t="shared" si="33"/>
        <v>0</v>
      </c>
      <c r="AJ41" s="17">
        <f t="shared" si="34"/>
        <v>0</v>
      </c>
      <c r="AK41" s="17">
        <f t="shared" si="35"/>
        <v>0</v>
      </c>
      <c r="AL41" s="17">
        <f t="shared" si="36"/>
        <v>0</v>
      </c>
      <c r="AM41" s="17">
        <f t="shared" si="37"/>
        <v>0</v>
      </c>
      <c r="AN41" s="17">
        <f t="shared" si="38"/>
        <v>0</v>
      </c>
      <c r="AO41" s="17">
        <f t="shared" si="39"/>
        <v>0</v>
      </c>
      <c r="AP41" s="17">
        <f t="shared" si="40"/>
        <v>49000</v>
      </c>
      <c r="AQ41" s="18">
        <v>4459.0782974371123</v>
      </c>
      <c r="AR41" s="18">
        <v>5332.6389417225992</v>
      </c>
      <c r="AS41" s="18">
        <v>4719.4245424273822</v>
      </c>
      <c r="AT41" s="18">
        <v>3574.7824934275245</v>
      </c>
      <c r="AU41" s="18">
        <v>5184.2859052683816</v>
      </c>
      <c r="AV41" s="18">
        <v>4248.5165476272323</v>
      </c>
      <c r="AW41" s="18">
        <v>4229.6939438631352</v>
      </c>
      <c r="AX41" s="18">
        <v>2872.3552731389982</v>
      </c>
      <c r="AY41" s="18">
        <v>4257.692617277874</v>
      </c>
      <c r="AZ41" s="18">
        <v>3707.9029456517587</v>
      </c>
      <c r="BA41" s="18">
        <v>3785.9094596053583</v>
      </c>
      <c r="BB41" s="18">
        <v>3697.7779682837809</v>
      </c>
      <c r="BC41" s="23">
        <v>8.9181565948742242E-2</v>
      </c>
      <c r="BD41" s="23">
        <v>0.10665277883445198</v>
      </c>
      <c r="BE41" s="23">
        <v>9.438849084854764E-2</v>
      </c>
      <c r="BF41" s="23">
        <v>7.149564986855049E-2</v>
      </c>
      <c r="BG41" s="23">
        <v>0.10368571810536763</v>
      </c>
      <c r="BH41" s="23">
        <v>8.4970330952544637E-2</v>
      </c>
      <c r="BI41" s="23">
        <v>8.4593878877262704E-2</v>
      </c>
      <c r="BJ41" s="23">
        <v>5.7447105462779965E-2</v>
      </c>
      <c r="BK41" s="23">
        <v>8.5153852345557474E-2</v>
      </c>
      <c r="BL41" s="23">
        <v>7.4158058913035174E-2</v>
      </c>
      <c r="BM41" s="23">
        <v>7.5718189192107169E-2</v>
      </c>
      <c r="BN41" s="23">
        <v>7.3955559365675619E-2</v>
      </c>
      <c r="BO41" s="23">
        <f t="shared" si="41"/>
        <v>1.0014011787146229</v>
      </c>
    </row>
    <row r="42" spans="1:67" x14ac:dyDescent="0.25">
      <c r="A42" s="16">
        <v>5139</v>
      </c>
      <c r="B42" s="16" t="s">
        <v>238</v>
      </c>
      <c r="C42" s="17">
        <v>0</v>
      </c>
      <c r="D42" s="17">
        <f t="shared" si="4"/>
        <v>0</v>
      </c>
      <c r="E42" s="17">
        <f t="shared" si="5"/>
        <v>0</v>
      </c>
      <c r="F42" s="17">
        <f t="shared" si="6"/>
        <v>0</v>
      </c>
      <c r="G42" s="17">
        <f t="shared" si="7"/>
        <v>0</v>
      </c>
      <c r="H42" s="17">
        <f t="shared" si="8"/>
        <v>0</v>
      </c>
      <c r="I42" s="17">
        <f t="shared" si="9"/>
        <v>0</v>
      </c>
      <c r="J42" s="17">
        <f t="shared" si="10"/>
        <v>0</v>
      </c>
      <c r="K42" s="17">
        <f t="shared" si="11"/>
        <v>0</v>
      </c>
      <c r="L42" s="17">
        <f t="shared" si="12"/>
        <v>0</v>
      </c>
      <c r="M42" s="17">
        <f t="shared" si="13"/>
        <v>0</v>
      </c>
      <c r="N42" s="17">
        <f t="shared" si="14"/>
        <v>0</v>
      </c>
      <c r="O42" s="17">
        <f t="shared" si="15"/>
        <v>0</v>
      </c>
      <c r="P42" s="17">
        <v>10000</v>
      </c>
      <c r="Q42" s="17">
        <f t="shared" si="16"/>
        <v>891.81565948742241</v>
      </c>
      <c r="R42" s="17">
        <f t="shared" si="17"/>
        <v>1066.5277883445199</v>
      </c>
      <c r="S42" s="17">
        <f t="shared" si="18"/>
        <v>943.88490848547644</v>
      </c>
      <c r="T42" s="17">
        <f t="shared" si="19"/>
        <v>714.95649868550493</v>
      </c>
      <c r="U42" s="17">
        <f t="shared" si="20"/>
        <v>1036.8571810536762</v>
      </c>
      <c r="V42" s="17">
        <f t="shared" si="21"/>
        <v>849.70330952544634</v>
      </c>
      <c r="W42" s="17">
        <f t="shared" si="22"/>
        <v>845.93878877262705</v>
      </c>
      <c r="X42" s="17">
        <f t="shared" si="23"/>
        <v>574.47105462779962</v>
      </c>
      <c r="Y42" s="17">
        <f t="shared" si="24"/>
        <v>851.5385234555747</v>
      </c>
      <c r="Z42" s="17">
        <f t="shared" si="25"/>
        <v>741.58058913035177</v>
      </c>
      <c r="AA42" s="17">
        <f t="shared" si="26"/>
        <v>757.18189192107172</v>
      </c>
      <c r="AB42" s="17">
        <f t="shared" si="27"/>
        <v>739.55559365675617</v>
      </c>
      <c r="AC42" s="17">
        <v>0</v>
      </c>
      <c r="AD42" s="17">
        <f t="shared" si="28"/>
        <v>0</v>
      </c>
      <c r="AE42" s="17">
        <f t="shared" si="29"/>
        <v>0</v>
      </c>
      <c r="AF42" s="17">
        <f t="shared" si="30"/>
        <v>0</v>
      </c>
      <c r="AG42" s="17">
        <f t="shared" si="31"/>
        <v>0</v>
      </c>
      <c r="AH42" s="17">
        <f t="shared" si="32"/>
        <v>0</v>
      </c>
      <c r="AI42" s="17">
        <f t="shared" si="33"/>
        <v>0</v>
      </c>
      <c r="AJ42" s="17">
        <f t="shared" si="34"/>
        <v>0</v>
      </c>
      <c r="AK42" s="17">
        <f t="shared" si="35"/>
        <v>0</v>
      </c>
      <c r="AL42" s="17">
        <f t="shared" si="36"/>
        <v>0</v>
      </c>
      <c r="AM42" s="17">
        <f t="shared" si="37"/>
        <v>0</v>
      </c>
      <c r="AN42" s="17">
        <f t="shared" si="38"/>
        <v>0</v>
      </c>
      <c r="AO42" s="17">
        <f t="shared" si="39"/>
        <v>0</v>
      </c>
      <c r="AP42" s="17">
        <f t="shared" si="40"/>
        <v>10000</v>
      </c>
      <c r="AQ42" s="18">
        <v>4369.8967314883703</v>
      </c>
      <c r="AR42" s="18">
        <v>5225.9861628881472</v>
      </c>
      <c r="AS42" s="18">
        <v>4625.0360515788343</v>
      </c>
      <c r="AT42" s="18">
        <v>3503.2868435589739</v>
      </c>
      <c r="AU42" s="18">
        <v>5080.6001871630142</v>
      </c>
      <c r="AV42" s="18">
        <v>4163.5462166746875</v>
      </c>
      <c r="AW42" s="18">
        <v>4145.1000649858725</v>
      </c>
      <c r="AX42" s="18">
        <v>2814.9081676762185</v>
      </c>
      <c r="AY42" s="18">
        <v>4172.5387649323166</v>
      </c>
      <c r="AZ42" s="18">
        <v>3633.7448867387234</v>
      </c>
      <c r="BA42" s="18">
        <v>3710.1912704132515</v>
      </c>
      <c r="BB42" s="18">
        <v>3623.8224089181053</v>
      </c>
      <c r="BC42" s="23">
        <v>8.9181565948742242E-2</v>
      </c>
      <c r="BD42" s="23">
        <v>0.10665277883445198</v>
      </c>
      <c r="BE42" s="23">
        <v>9.438849084854764E-2</v>
      </c>
      <c r="BF42" s="23">
        <v>7.149564986855049E-2</v>
      </c>
      <c r="BG42" s="23">
        <v>0.10368571810536763</v>
      </c>
      <c r="BH42" s="23">
        <v>8.4970330952544637E-2</v>
      </c>
      <c r="BI42" s="23">
        <v>8.4593878877262704E-2</v>
      </c>
      <c r="BJ42" s="23">
        <v>5.7447105462779965E-2</v>
      </c>
      <c r="BK42" s="23">
        <v>8.5153852345557474E-2</v>
      </c>
      <c r="BL42" s="23">
        <v>7.4158058913035174E-2</v>
      </c>
      <c r="BM42" s="23">
        <v>7.5718189192107169E-2</v>
      </c>
      <c r="BN42" s="23">
        <v>7.3955559365675619E-2</v>
      </c>
      <c r="BO42" s="23">
        <f t="shared" si="41"/>
        <v>1.0014011787146229</v>
      </c>
    </row>
    <row r="43" spans="1:67" x14ac:dyDescent="0.25">
      <c r="A43" s="16">
        <v>2502</v>
      </c>
      <c r="B43" s="16" t="s">
        <v>239</v>
      </c>
      <c r="C43" s="17">
        <v>35000</v>
      </c>
      <c r="D43" s="17">
        <f t="shared" si="4"/>
        <v>3121.3548082059783</v>
      </c>
      <c r="E43" s="17">
        <f t="shared" si="5"/>
        <v>3732.8472592058192</v>
      </c>
      <c r="F43" s="17">
        <f t="shared" si="6"/>
        <v>3303.5971796991676</v>
      </c>
      <c r="G43" s="17">
        <f t="shared" si="7"/>
        <v>2502.3477453992673</v>
      </c>
      <c r="H43" s="17">
        <f t="shared" si="8"/>
        <v>3629.0001336878668</v>
      </c>
      <c r="I43" s="17">
        <f t="shared" si="9"/>
        <v>2973.9615833390621</v>
      </c>
      <c r="J43" s="17">
        <f t="shared" si="10"/>
        <v>2960.7857607041947</v>
      </c>
      <c r="K43" s="17">
        <f t="shared" si="11"/>
        <v>2010.6486911972988</v>
      </c>
      <c r="L43" s="17">
        <f t="shared" si="12"/>
        <v>2980.3848320945117</v>
      </c>
      <c r="M43" s="17">
        <f t="shared" si="13"/>
        <v>2595.5320619562312</v>
      </c>
      <c r="N43" s="17">
        <f t="shared" si="14"/>
        <v>2650.136621723751</v>
      </c>
      <c r="O43" s="17">
        <f t="shared" si="15"/>
        <v>2588.4445777986466</v>
      </c>
      <c r="P43" s="17">
        <v>0</v>
      </c>
      <c r="Q43" s="17">
        <f t="shared" si="16"/>
        <v>0</v>
      </c>
      <c r="R43" s="17">
        <f t="shared" si="17"/>
        <v>0</v>
      </c>
      <c r="S43" s="17">
        <f t="shared" si="18"/>
        <v>0</v>
      </c>
      <c r="T43" s="17">
        <f t="shared" si="19"/>
        <v>0</v>
      </c>
      <c r="U43" s="17">
        <f t="shared" si="20"/>
        <v>0</v>
      </c>
      <c r="V43" s="17">
        <f t="shared" si="21"/>
        <v>0</v>
      </c>
      <c r="W43" s="17">
        <f t="shared" si="22"/>
        <v>0</v>
      </c>
      <c r="X43" s="17">
        <f t="shared" si="23"/>
        <v>0</v>
      </c>
      <c r="Y43" s="17">
        <f t="shared" si="24"/>
        <v>0</v>
      </c>
      <c r="Z43" s="17">
        <f t="shared" si="25"/>
        <v>0</v>
      </c>
      <c r="AA43" s="17">
        <f t="shared" si="26"/>
        <v>0</v>
      </c>
      <c r="AB43" s="17">
        <f t="shared" si="27"/>
        <v>0</v>
      </c>
      <c r="AC43" s="17">
        <v>0</v>
      </c>
      <c r="AD43" s="17">
        <f t="shared" si="28"/>
        <v>0</v>
      </c>
      <c r="AE43" s="17">
        <f t="shared" si="29"/>
        <v>0</v>
      </c>
      <c r="AF43" s="17">
        <f t="shared" si="30"/>
        <v>0</v>
      </c>
      <c r="AG43" s="17">
        <f t="shared" si="31"/>
        <v>0</v>
      </c>
      <c r="AH43" s="17">
        <f t="shared" si="32"/>
        <v>0</v>
      </c>
      <c r="AI43" s="17">
        <f t="shared" si="33"/>
        <v>0</v>
      </c>
      <c r="AJ43" s="17">
        <f t="shared" si="34"/>
        <v>0</v>
      </c>
      <c r="AK43" s="17">
        <f t="shared" si="35"/>
        <v>0</v>
      </c>
      <c r="AL43" s="17">
        <f t="shared" si="36"/>
        <v>0</v>
      </c>
      <c r="AM43" s="17">
        <f t="shared" si="37"/>
        <v>0</v>
      </c>
      <c r="AN43" s="17">
        <f t="shared" si="38"/>
        <v>0</v>
      </c>
      <c r="AO43" s="17">
        <f t="shared" si="39"/>
        <v>0</v>
      </c>
      <c r="AP43" s="17">
        <f t="shared" si="40"/>
        <v>35000</v>
      </c>
      <c r="AQ43" s="18">
        <v>4280.7151655396274</v>
      </c>
      <c r="AR43" s="18">
        <v>5119.3333840536952</v>
      </c>
      <c r="AS43" s="18">
        <v>4530.6475607302864</v>
      </c>
      <c r="AT43" s="18">
        <v>3431.7911936904234</v>
      </c>
      <c r="AU43" s="18">
        <v>4976.9144690576459</v>
      </c>
      <c r="AV43" s="18">
        <v>4078.5758857221426</v>
      </c>
      <c r="AW43" s="18">
        <v>4060.5061861086097</v>
      </c>
      <c r="AX43" s="18">
        <v>2757.4610622134383</v>
      </c>
      <c r="AY43" s="18">
        <v>4087.3849125867587</v>
      </c>
      <c r="AZ43" s="18">
        <v>3559.5868278256885</v>
      </c>
      <c r="BA43" s="18">
        <v>3634.4730812211442</v>
      </c>
      <c r="BB43" s="18">
        <v>3549.8668495524298</v>
      </c>
      <c r="BC43" s="23">
        <v>8.9181565948742242E-2</v>
      </c>
      <c r="BD43" s="23">
        <v>0.10665277883445198</v>
      </c>
      <c r="BE43" s="23">
        <v>9.438849084854764E-2</v>
      </c>
      <c r="BF43" s="23">
        <v>7.149564986855049E-2</v>
      </c>
      <c r="BG43" s="23">
        <v>0.10368571810536763</v>
      </c>
      <c r="BH43" s="23">
        <v>8.4970330952544637E-2</v>
      </c>
      <c r="BI43" s="23">
        <v>8.4593878877262704E-2</v>
      </c>
      <c r="BJ43" s="23">
        <v>5.7447105462779965E-2</v>
      </c>
      <c r="BK43" s="23">
        <v>8.5153852345557474E-2</v>
      </c>
      <c r="BL43" s="23">
        <v>7.4158058913035174E-2</v>
      </c>
      <c r="BM43" s="23">
        <v>7.5718189192107169E-2</v>
      </c>
      <c r="BN43" s="23">
        <v>7.3955559365675619E-2</v>
      </c>
      <c r="BO43" s="23">
        <f t="shared" si="41"/>
        <v>1.0014011787146229</v>
      </c>
    </row>
    <row r="44" spans="1:67" x14ac:dyDescent="0.25">
      <c r="A44" s="16">
        <v>3202</v>
      </c>
      <c r="B44" s="16" t="s">
        <v>240</v>
      </c>
      <c r="C44" s="17">
        <v>4000</v>
      </c>
      <c r="D44" s="17">
        <f t="shared" si="4"/>
        <v>356.72626379496899</v>
      </c>
      <c r="E44" s="17">
        <f t="shared" si="5"/>
        <v>426.61111533780792</v>
      </c>
      <c r="F44" s="17">
        <f t="shared" si="6"/>
        <v>377.55396339419059</v>
      </c>
      <c r="G44" s="17">
        <f t="shared" si="7"/>
        <v>285.98259947420195</v>
      </c>
      <c r="H44" s="17">
        <f t="shared" si="8"/>
        <v>414.74287242147051</v>
      </c>
      <c r="I44" s="17">
        <f t="shared" si="9"/>
        <v>339.88132381017857</v>
      </c>
      <c r="J44" s="17">
        <f t="shared" si="10"/>
        <v>338.37551550905084</v>
      </c>
      <c r="K44" s="17">
        <f t="shared" si="11"/>
        <v>229.78842185111986</v>
      </c>
      <c r="L44" s="17">
        <f t="shared" si="12"/>
        <v>340.61540938222987</v>
      </c>
      <c r="M44" s="17">
        <f t="shared" si="13"/>
        <v>296.63223565214071</v>
      </c>
      <c r="N44" s="17">
        <f t="shared" si="14"/>
        <v>302.8727567684287</v>
      </c>
      <c r="O44" s="17">
        <f t="shared" si="15"/>
        <v>295.8222374627025</v>
      </c>
      <c r="P44" s="17">
        <v>35000</v>
      </c>
      <c r="Q44" s="17">
        <f t="shared" si="16"/>
        <v>3121.3548082059783</v>
      </c>
      <c r="R44" s="17">
        <f t="shared" si="17"/>
        <v>3732.8472592058192</v>
      </c>
      <c r="S44" s="17">
        <f t="shared" si="18"/>
        <v>3303.5971796991676</v>
      </c>
      <c r="T44" s="17">
        <f t="shared" si="19"/>
        <v>2502.3477453992673</v>
      </c>
      <c r="U44" s="17">
        <f t="shared" si="20"/>
        <v>3629.0001336878668</v>
      </c>
      <c r="V44" s="17">
        <f t="shared" si="21"/>
        <v>2973.9615833390621</v>
      </c>
      <c r="W44" s="17">
        <f t="shared" si="22"/>
        <v>2960.7857607041947</v>
      </c>
      <c r="X44" s="17">
        <f t="shared" si="23"/>
        <v>2010.6486911972988</v>
      </c>
      <c r="Y44" s="17">
        <f t="shared" si="24"/>
        <v>2980.3848320945117</v>
      </c>
      <c r="Z44" s="17">
        <f t="shared" si="25"/>
        <v>2595.5320619562312</v>
      </c>
      <c r="AA44" s="17">
        <f t="shared" si="26"/>
        <v>2650.136621723751</v>
      </c>
      <c r="AB44" s="17">
        <f t="shared" si="27"/>
        <v>2588.4445777986466</v>
      </c>
      <c r="AC44" s="17">
        <v>0</v>
      </c>
      <c r="AD44" s="17">
        <f t="shared" si="28"/>
        <v>0</v>
      </c>
      <c r="AE44" s="17">
        <f t="shared" si="29"/>
        <v>0</v>
      </c>
      <c r="AF44" s="17">
        <f t="shared" si="30"/>
        <v>0</v>
      </c>
      <c r="AG44" s="17">
        <f t="shared" si="31"/>
        <v>0</v>
      </c>
      <c r="AH44" s="17">
        <f t="shared" si="32"/>
        <v>0</v>
      </c>
      <c r="AI44" s="17">
        <f t="shared" si="33"/>
        <v>0</v>
      </c>
      <c r="AJ44" s="17">
        <f t="shared" si="34"/>
        <v>0</v>
      </c>
      <c r="AK44" s="17">
        <f t="shared" si="35"/>
        <v>0</v>
      </c>
      <c r="AL44" s="17">
        <f t="shared" si="36"/>
        <v>0</v>
      </c>
      <c r="AM44" s="17">
        <f t="shared" si="37"/>
        <v>0</v>
      </c>
      <c r="AN44" s="17">
        <f t="shared" si="38"/>
        <v>0</v>
      </c>
      <c r="AO44" s="17">
        <f t="shared" si="39"/>
        <v>0</v>
      </c>
      <c r="AP44" s="17">
        <f t="shared" si="40"/>
        <v>39000</v>
      </c>
      <c r="AQ44" s="18">
        <v>4057.7612506677719</v>
      </c>
      <c r="AR44" s="18">
        <v>4852.7014369675653</v>
      </c>
      <c r="AS44" s="18">
        <v>4294.676333608918</v>
      </c>
      <c r="AT44" s="18">
        <v>3253.0520690190474</v>
      </c>
      <c r="AU44" s="18">
        <v>4717.7001737942273</v>
      </c>
      <c r="AV44" s="18">
        <v>3866.150058340781</v>
      </c>
      <c r="AW44" s="18">
        <v>3849.0214889154531</v>
      </c>
      <c r="AX44" s="18">
        <v>2613.8432985564882</v>
      </c>
      <c r="AY44" s="18">
        <v>3874.5002817228651</v>
      </c>
      <c r="AZ44" s="18">
        <v>3374.1916805431006</v>
      </c>
      <c r="BA44" s="18">
        <v>3445.177608240876</v>
      </c>
      <c r="BB44" s="18">
        <v>3364.9779511382408</v>
      </c>
      <c r="BC44" s="23">
        <v>8.9181565948742242E-2</v>
      </c>
      <c r="BD44" s="23">
        <v>0.10665277883445198</v>
      </c>
      <c r="BE44" s="23">
        <v>9.438849084854764E-2</v>
      </c>
      <c r="BF44" s="23">
        <v>7.149564986855049E-2</v>
      </c>
      <c r="BG44" s="23">
        <v>0.10368571810536763</v>
      </c>
      <c r="BH44" s="23">
        <v>8.4970330952544637E-2</v>
      </c>
      <c r="BI44" s="23">
        <v>8.4593878877262704E-2</v>
      </c>
      <c r="BJ44" s="23">
        <v>5.7447105462779965E-2</v>
      </c>
      <c r="BK44" s="23">
        <v>8.5153852345557474E-2</v>
      </c>
      <c r="BL44" s="23">
        <v>7.4158058913035174E-2</v>
      </c>
      <c r="BM44" s="23">
        <v>7.5718189192107169E-2</v>
      </c>
      <c r="BN44" s="23">
        <v>7.3955559365675619E-2</v>
      </c>
      <c r="BO44" s="23">
        <f t="shared" si="41"/>
        <v>1.0014011787146229</v>
      </c>
    </row>
    <row r="45" spans="1:67" x14ac:dyDescent="0.25">
      <c r="A45" s="16">
        <v>27046</v>
      </c>
      <c r="B45" s="16" t="s">
        <v>241</v>
      </c>
      <c r="C45" s="17">
        <v>0</v>
      </c>
      <c r="D45" s="17">
        <f t="shared" si="4"/>
        <v>0</v>
      </c>
      <c r="E45" s="17">
        <f t="shared" si="5"/>
        <v>0</v>
      </c>
      <c r="F45" s="17">
        <f t="shared" si="6"/>
        <v>0</v>
      </c>
      <c r="G45" s="17">
        <f t="shared" si="7"/>
        <v>0</v>
      </c>
      <c r="H45" s="17">
        <f t="shared" si="8"/>
        <v>0</v>
      </c>
      <c r="I45" s="17">
        <f t="shared" si="9"/>
        <v>0</v>
      </c>
      <c r="J45" s="17">
        <f t="shared" si="10"/>
        <v>0</v>
      </c>
      <c r="K45" s="17">
        <f t="shared" si="11"/>
        <v>0</v>
      </c>
      <c r="L45" s="17">
        <f t="shared" si="12"/>
        <v>0</v>
      </c>
      <c r="M45" s="17">
        <f t="shared" si="13"/>
        <v>0</v>
      </c>
      <c r="N45" s="17">
        <f t="shared" si="14"/>
        <v>0</v>
      </c>
      <c r="O45" s="17">
        <f t="shared" si="15"/>
        <v>0</v>
      </c>
      <c r="P45" s="17">
        <v>20000</v>
      </c>
      <c r="Q45" s="17">
        <f t="shared" si="16"/>
        <v>1783.6313189748448</v>
      </c>
      <c r="R45" s="17">
        <f t="shared" si="17"/>
        <v>2133.0555766890398</v>
      </c>
      <c r="S45" s="17">
        <f t="shared" si="18"/>
        <v>1887.7698169709529</v>
      </c>
      <c r="T45" s="17">
        <f t="shared" si="19"/>
        <v>1429.9129973710099</v>
      </c>
      <c r="U45" s="17">
        <f t="shared" si="20"/>
        <v>2073.7143621073524</v>
      </c>
      <c r="V45" s="17">
        <f t="shared" si="21"/>
        <v>1699.4066190508927</v>
      </c>
      <c r="W45" s="17">
        <f t="shared" si="22"/>
        <v>1691.8775775452541</v>
      </c>
      <c r="X45" s="17">
        <f t="shared" si="23"/>
        <v>1148.9421092555992</v>
      </c>
      <c r="Y45" s="17">
        <f t="shared" si="24"/>
        <v>1703.0770469111494</v>
      </c>
      <c r="Z45" s="17">
        <f t="shared" si="25"/>
        <v>1483.1611782607035</v>
      </c>
      <c r="AA45" s="17">
        <f t="shared" si="26"/>
        <v>1514.3637838421434</v>
      </c>
      <c r="AB45" s="17">
        <f t="shared" si="27"/>
        <v>1479.1111873135123</v>
      </c>
      <c r="AC45" s="17">
        <v>0</v>
      </c>
      <c r="AD45" s="17">
        <f t="shared" si="28"/>
        <v>0</v>
      </c>
      <c r="AE45" s="17">
        <f t="shared" si="29"/>
        <v>0</v>
      </c>
      <c r="AF45" s="17">
        <f t="shared" si="30"/>
        <v>0</v>
      </c>
      <c r="AG45" s="17">
        <f t="shared" si="31"/>
        <v>0</v>
      </c>
      <c r="AH45" s="17">
        <f t="shared" si="32"/>
        <v>0</v>
      </c>
      <c r="AI45" s="17">
        <f t="shared" si="33"/>
        <v>0</v>
      </c>
      <c r="AJ45" s="17">
        <f t="shared" si="34"/>
        <v>0</v>
      </c>
      <c r="AK45" s="17">
        <f t="shared" si="35"/>
        <v>0</v>
      </c>
      <c r="AL45" s="17">
        <f t="shared" si="36"/>
        <v>0</v>
      </c>
      <c r="AM45" s="17">
        <f t="shared" si="37"/>
        <v>0</v>
      </c>
      <c r="AN45" s="17">
        <f t="shared" si="38"/>
        <v>0</v>
      </c>
      <c r="AO45" s="17">
        <f t="shared" si="39"/>
        <v>0</v>
      </c>
      <c r="AP45" s="17">
        <f t="shared" si="40"/>
        <v>20000</v>
      </c>
      <c r="AQ45" s="18">
        <v>4013.170467693401</v>
      </c>
      <c r="AR45" s="18">
        <v>4799.3750475503393</v>
      </c>
      <c r="AS45" s="18">
        <v>4247.4820881846435</v>
      </c>
      <c r="AT45" s="18">
        <v>3217.3042440847721</v>
      </c>
      <c r="AU45" s="18">
        <v>4665.8573147415436</v>
      </c>
      <c r="AV45" s="18">
        <v>3823.6648928645086</v>
      </c>
      <c r="AW45" s="18">
        <v>3806.7245494768217</v>
      </c>
      <c r="AX45" s="18">
        <v>2585.1197458250986</v>
      </c>
      <c r="AY45" s="18">
        <v>3831.9233555500864</v>
      </c>
      <c r="AZ45" s="18">
        <v>3337.1126510865829</v>
      </c>
      <c r="BA45" s="18">
        <v>3407.3185136448228</v>
      </c>
      <c r="BB45" s="18">
        <v>3328.0001714554028</v>
      </c>
      <c r="BC45" s="23">
        <v>8.9181565948742242E-2</v>
      </c>
      <c r="BD45" s="23">
        <v>0.10665277883445198</v>
      </c>
      <c r="BE45" s="23">
        <v>9.438849084854764E-2</v>
      </c>
      <c r="BF45" s="23">
        <v>7.149564986855049E-2</v>
      </c>
      <c r="BG45" s="23">
        <v>0.10368571810536763</v>
      </c>
      <c r="BH45" s="23">
        <v>8.4970330952544637E-2</v>
      </c>
      <c r="BI45" s="23">
        <v>8.4593878877262704E-2</v>
      </c>
      <c r="BJ45" s="23">
        <v>5.7447105462779965E-2</v>
      </c>
      <c r="BK45" s="23">
        <v>8.5153852345557474E-2</v>
      </c>
      <c r="BL45" s="23">
        <v>7.4158058913035174E-2</v>
      </c>
      <c r="BM45" s="23">
        <v>7.5718189192107169E-2</v>
      </c>
      <c r="BN45" s="23">
        <v>7.3955559365675619E-2</v>
      </c>
      <c r="BO45" s="23">
        <f t="shared" si="41"/>
        <v>1.0014011787146229</v>
      </c>
    </row>
    <row r="46" spans="1:67" x14ac:dyDescent="0.25">
      <c r="A46" s="16">
        <v>45000</v>
      </c>
      <c r="B46" s="16" t="s">
        <v>242</v>
      </c>
      <c r="C46" s="17">
        <v>0</v>
      </c>
      <c r="D46" s="17">
        <f t="shared" si="4"/>
        <v>0</v>
      </c>
      <c r="E46" s="17">
        <f t="shared" si="5"/>
        <v>0</v>
      </c>
      <c r="F46" s="17">
        <f t="shared" si="6"/>
        <v>0</v>
      </c>
      <c r="G46" s="17">
        <f t="shared" si="7"/>
        <v>0</v>
      </c>
      <c r="H46" s="17">
        <f t="shared" si="8"/>
        <v>0</v>
      </c>
      <c r="I46" s="17">
        <f t="shared" si="9"/>
        <v>0</v>
      </c>
      <c r="J46" s="17">
        <f t="shared" si="10"/>
        <v>0</v>
      </c>
      <c r="K46" s="17">
        <f t="shared" si="11"/>
        <v>0</v>
      </c>
      <c r="L46" s="17">
        <f t="shared" si="12"/>
        <v>0</v>
      </c>
      <c r="M46" s="17">
        <f t="shared" si="13"/>
        <v>0</v>
      </c>
      <c r="N46" s="17">
        <f t="shared" si="14"/>
        <v>0</v>
      </c>
      <c r="O46" s="17">
        <f t="shared" si="15"/>
        <v>0</v>
      </c>
      <c r="P46" s="17">
        <v>0</v>
      </c>
      <c r="Q46" s="17">
        <f t="shared" si="16"/>
        <v>0</v>
      </c>
      <c r="R46" s="17">
        <f t="shared" si="17"/>
        <v>0</v>
      </c>
      <c r="S46" s="17">
        <f t="shared" si="18"/>
        <v>0</v>
      </c>
      <c r="T46" s="17">
        <f t="shared" si="19"/>
        <v>0</v>
      </c>
      <c r="U46" s="17">
        <f t="shared" si="20"/>
        <v>0</v>
      </c>
      <c r="V46" s="17">
        <f t="shared" si="21"/>
        <v>0</v>
      </c>
      <c r="W46" s="17">
        <f t="shared" si="22"/>
        <v>0</v>
      </c>
      <c r="X46" s="17">
        <f t="shared" si="23"/>
        <v>0</v>
      </c>
      <c r="Y46" s="17">
        <f t="shared" si="24"/>
        <v>0</v>
      </c>
      <c r="Z46" s="17">
        <f t="shared" si="25"/>
        <v>0</v>
      </c>
      <c r="AA46" s="17">
        <f t="shared" si="26"/>
        <v>0</v>
      </c>
      <c r="AB46" s="17">
        <f t="shared" si="27"/>
        <v>0</v>
      </c>
      <c r="AC46" s="17">
        <v>0</v>
      </c>
      <c r="AD46" s="17">
        <f t="shared" si="28"/>
        <v>0</v>
      </c>
      <c r="AE46" s="17">
        <f t="shared" si="29"/>
        <v>0</v>
      </c>
      <c r="AF46" s="17">
        <f t="shared" si="30"/>
        <v>0</v>
      </c>
      <c r="AG46" s="17">
        <f t="shared" si="31"/>
        <v>0</v>
      </c>
      <c r="AH46" s="17">
        <f t="shared" si="32"/>
        <v>0</v>
      </c>
      <c r="AI46" s="17">
        <f t="shared" si="33"/>
        <v>0</v>
      </c>
      <c r="AJ46" s="17">
        <f t="shared" si="34"/>
        <v>0</v>
      </c>
      <c r="AK46" s="17">
        <f t="shared" si="35"/>
        <v>0</v>
      </c>
      <c r="AL46" s="17">
        <f t="shared" si="36"/>
        <v>0</v>
      </c>
      <c r="AM46" s="17">
        <f t="shared" si="37"/>
        <v>0</v>
      </c>
      <c r="AN46" s="17">
        <f t="shared" si="38"/>
        <v>0</v>
      </c>
      <c r="AO46" s="17">
        <f t="shared" si="39"/>
        <v>0</v>
      </c>
      <c r="AP46" s="17">
        <f t="shared" si="40"/>
        <v>0</v>
      </c>
      <c r="AQ46" s="18">
        <v>6688.6174461556684</v>
      </c>
      <c r="AR46" s="18">
        <v>7998.9584125838992</v>
      </c>
      <c r="AS46" s="18">
        <v>7079.1368136410729</v>
      </c>
      <c r="AT46" s="18">
        <v>5362.1737401412865</v>
      </c>
      <c r="AU46" s="18">
        <v>7776.4288579025724</v>
      </c>
      <c r="AV46" s="18">
        <v>6372.7748214408475</v>
      </c>
      <c r="AW46" s="18">
        <v>6344.5409157947024</v>
      </c>
      <c r="AX46" s="18">
        <v>4308.5329097084978</v>
      </c>
      <c r="AY46" s="18">
        <v>6386.5389259168105</v>
      </c>
      <c r="AZ46" s="18">
        <v>5561.8544184776383</v>
      </c>
      <c r="BA46" s="18">
        <v>5678.8641894080374</v>
      </c>
      <c r="BB46" s="18">
        <v>5546.6669524256713</v>
      </c>
      <c r="BC46" s="23">
        <v>8.9181565948742242E-2</v>
      </c>
      <c r="BD46" s="23">
        <v>0.10665277883445198</v>
      </c>
      <c r="BE46" s="23">
        <v>9.438849084854764E-2</v>
      </c>
      <c r="BF46" s="23">
        <v>7.149564986855049E-2</v>
      </c>
      <c r="BG46" s="23">
        <v>0.10368571810536763</v>
      </c>
      <c r="BH46" s="23">
        <v>8.4970330952544637E-2</v>
      </c>
      <c r="BI46" s="23">
        <v>8.4593878877262704E-2</v>
      </c>
      <c r="BJ46" s="23">
        <v>5.7447105462779965E-2</v>
      </c>
      <c r="BK46" s="23">
        <v>8.5153852345557474E-2</v>
      </c>
      <c r="BL46" s="23">
        <v>7.4158058913035174E-2</v>
      </c>
      <c r="BM46" s="23">
        <v>7.5718189192107169E-2</v>
      </c>
      <c r="BN46" s="23">
        <v>7.3955559365675619E-2</v>
      </c>
      <c r="BO46" s="23">
        <f t="shared" si="41"/>
        <v>1.0014011787146229</v>
      </c>
    </row>
    <row r="47" spans="1:67" x14ac:dyDescent="0.25">
      <c r="A47" s="16">
        <v>2781</v>
      </c>
      <c r="B47" s="16" t="s">
        <v>243</v>
      </c>
      <c r="C47" s="17">
        <v>7000</v>
      </c>
      <c r="D47" s="17">
        <f t="shared" si="4"/>
        <v>624.27096164119564</v>
      </c>
      <c r="E47" s="17">
        <f t="shared" si="5"/>
        <v>746.56945184116387</v>
      </c>
      <c r="F47" s="17">
        <f t="shared" si="6"/>
        <v>660.71943593983349</v>
      </c>
      <c r="G47" s="17">
        <f t="shared" si="7"/>
        <v>500.46954907985344</v>
      </c>
      <c r="H47" s="17">
        <f t="shared" si="8"/>
        <v>725.80002673757338</v>
      </c>
      <c r="I47" s="17">
        <f t="shared" si="9"/>
        <v>594.79231666781243</v>
      </c>
      <c r="J47" s="17">
        <f t="shared" si="10"/>
        <v>592.15715214083889</v>
      </c>
      <c r="K47" s="17">
        <f t="shared" si="11"/>
        <v>402.12973823945975</v>
      </c>
      <c r="L47" s="17">
        <f t="shared" si="12"/>
        <v>596.07696641890232</v>
      </c>
      <c r="M47" s="17">
        <f t="shared" si="13"/>
        <v>519.10641239124618</v>
      </c>
      <c r="N47" s="17">
        <f t="shared" si="14"/>
        <v>530.02732434475013</v>
      </c>
      <c r="O47" s="17">
        <f t="shared" si="15"/>
        <v>517.68891555972937</v>
      </c>
      <c r="P47" s="17">
        <v>25000</v>
      </c>
      <c r="Q47" s="17">
        <f t="shared" si="16"/>
        <v>2229.5391487185561</v>
      </c>
      <c r="R47" s="17">
        <f t="shared" si="17"/>
        <v>2666.3194708612996</v>
      </c>
      <c r="S47" s="17">
        <f t="shared" si="18"/>
        <v>2359.7122712136911</v>
      </c>
      <c r="T47" s="17">
        <f t="shared" si="19"/>
        <v>1787.3912467137623</v>
      </c>
      <c r="U47" s="17">
        <f t="shared" si="20"/>
        <v>2592.1429526341908</v>
      </c>
      <c r="V47" s="17">
        <f t="shared" si="21"/>
        <v>2124.2582738136161</v>
      </c>
      <c r="W47" s="17">
        <f t="shared" si="22"/>
        <v>2114.8469719315676</v>
      </c>
      <c r="X47" s="17">
        <f t="shared" si="23"/>
        <v>1436.1776365694991</v>
      </c>
      <c r="Y47" s="17">
        <f t="shared" si="24"/>
        <v>2128.846308638937</v>
      </c>
      <c r="Z47" s="17">
        <f t="shared" si="25"/>
        <v>1853.9514728258794</v>
      </c>
      <c r="AA47" s="17">
        <f t="shared" si="26"/>
        <v>1892.9547298026791</v>
      </c>
      <c r="AB47" s="17">
        <f t="shared" si="27"/>
        <v>1848.8889841418904</v>
      </c>
      <c r="AC47" s="17">
        <v>0</v>
      </c>
      <c r="AD47" s="17">
        <f t="shared" si="28"/>
        <v>0</v>
      </c>
      <c r="AE47" s="17">
        <f t="shared" si="29"/>
        <v>0</v>
      </c>
      <c r="AF47" s="17">
        <f t="shared" si="30"/>
        <v>0</v>
      </c>
      <c r="AG47" s="17">
        <f t="shared" si="31"/>
        <v>0</v>
      </c>
      <c r="AH47" s="17">
        <f t="shared" si="32"/>
        <v>0</v>
      </c>
      <c r="AI47" s="17">
        <f t="shared" si="33"/>
        <v>0</v>
      </c>
      <c r="AJ47" s="17">
        <f t="shared" si="34"/>
        <v>0</v>
      </c>
      <c r="AK47" s="17">
        <f t="shared" si="35"/>
        <v>0</v>
      </c>
      <c r="AL47" s="17">
        <f t="shared" si="36"/>
        <v>0</v>
      </c>
      <c r="AM47" s="17">
        <f t="shared" si="37"/>
        <v>0</v>
      </c>
      <c r="AN47" s="17">
        <f t="shared" si="38"/>
        <v>0</v>
      </c>
      <c r="AO47" s="17">
        <f t="shared" si="39"/>
        <v>0</v>
      </c>
      <c r="AP47" s="17">
        <f t="shared" si="40"/>
        <v>32000</v>
      </c>
      <c r="AQ47" s="18">
        <v>6688.6174461556684</v>
      </c>
      <c r="AR47" s="18">
        <v>7998.9584125838992</v>
      </c>
      <c r="AS47" s="18">
        <v>7079.1368136410729</v>
      </c>
      <c r="AT47" s="18">
        <v>5362.1737401412865</v>
      </c>
      <c r="AU47" s="18">
        <v>7776.4288579025724</v>
      </c>
      <c r="AV47" s="18">
        <v>6372.7748214408475</v>
      </c>
      <c r="AW47" s="18">
        <v>6344.5409157947024</v>
      </c>
      <c r="AX47" s="18">
        <v>4308.5329097084978</v>
      </c>
      <c r="AY47" s="18">
        <v>6386.5389259168105</v>
      </c>
      <c r="AZ47" s="18">
        <v>5561.8544184776383</v>
      </c>
      <c r="BA47" s="18">
        <v>5678.8641894080374</v>
      </c>
      <c r="BB47" s="18">
        <v>5546.6669524256713</v>
      </c>
      <c r="BC47" s="23">
        <v>8.9181565948742242E-2</v>
      </c>
      <c r="BD47" s="23">
        <v>0.10665277883445198</v>
      </c>
      <c r="BE47" s="23">
        <v>9.438849084854764E-2</v>
      </c>
      <c r="BF47" s="23">
        <v>7.149564986855049E-2</v>
      </c>
      <c r="BG47" s="23">
        <v>0.10368571810536763</v>
      </c>
      <c r="BH47" s="23">
        <v>8.4970330952544637E-2</v>
      </c>
      <c r="BI47" s="23">
        <v>8.4593878877262704E-2</v>
      </c>
      <c r="BJ47" s="23">
        <v>5.7447105462779965E-2</v>
      </c>
      <c r="BK47" s="23">
        <v>8.5153852345557474E-2</v>
      </c>
      <c r="BL47" s="23">
        <v>7.4158058913035174E-2</v>
      </c>
      <c r="BM47" s="23">
        <v>7.5718189192107169E-2</v>
      </c>
      <c r="BN47" s="23">
        <v>7.3955559365675619E-2</v>
      </c>
      <c r="BO47" s="23">
        <f t="shared" si="41"/>
        <v>1.0014011787146229</v>
      </c>
    </row>
    <row r="48" spans="1:67" x14ac:dyDescent="0.25">
      <c r="A48" s="16">
        <v>2006</v>
      </c>
      <c r="B48" s="16" t="s">
        <v>244</v>
      </c>
      <c r="C48" s="17">
        <v>0</v>
      </c>
      <c r="D48" s="17">
        <f t="shared" si="4"/>
        <v>0</v>
      </c>
      <c r="E48" s="17">
        <f t="shared" si="5"/>
        <v>0</v>
      </c>
      <c r="F48" s="17">
        <f t="shared" si="6"/>
        <v>0</v>
      </c>
      <c r="G48" s="17">
        <f t="shared" si="7"/>
        <v>0</v>
      </c>
      <c r="H48" s="17">
        <f t="shared" si="8"/>
        <v>0</v>
      </c>
      <c r="I48" s="17">
        <f t="shared" si="9"/>
        <v>0</v>
      </c>
      <c r="J48" s="17">
        <f t="shared" si="10"/>
        <v>0</v>
      </c>
      <c r="K48" s="17">
        <f t="shared" si="11"/>
        <v>0</v>
      </c>
      <c r="L48" s="17">
        <f t="shared" si="12"/>
        <v>0</v>
      </c>
      <c r="M48" s="17">
        <f t="shared" si="13"/>
        <v>0</v>
      </c>
      <c r="N48" s="17">
        <f t="shared" si="14"/>
        <v>0</v>
      </c>
      <c r="O48" s="17">
        <f t="shared" si="15"/>
        <v>0</v>
      </c>
      <c r="P48" s="17">
        <v>0</v>
      </c>
      <c r="Q48" s="17">
        <f t="shared" si="16"/>
        <v>0</v>
      </c>
      <c r="R48" s="17">
        <f t="shared" si="17"/>
        <v>0</v>
      </c>
      <c r="S48" s="17">
        <f t="shared" si="18"/>
        <v>0</v>
      </c>
      <c r="T48" s="17">
        <f t="shared" si="19"/>
        <v>0</v>
      </c>
      <c r="U48" s="17">
        <f t="shared" si="20"/>
        <v>0</v>
      </c>
      <c r="V48" s="17">
        <f t="shared" si="21"/>
        <v>0</v>
      </c>
      <c r="W48" s="17">
        <f t="shared" si="22"/>
        <v>0</v>
      </c>
      <c r="X48" s="17">
        <f t="shared" si="23"/>
        <v>0</v>
      </c>
      <c r="Y48" s="17">
        <f t="shared" si="24"/>
        <v>0</v>
      </c>
      <c r="Z48" s="17">
        <f t="shared" si="25"/>
        <v>0</v>
      </c>
      <c r="AA48" s="17">
        <f t="shared" si="26"/>
        <v>0</v>
      </c>
      <c r="AB48" s="17">
        <f t="shared" si="27"/>
        <v>0</v>
      </c>
      <c r="AC48" s="17">
        <v>70000</v>
      </c>
      <c r="AD48" s="17">
        <f t="shared" si="28"/>
        <v>6242.7096164119566</v>
      </c>
      <c r="AE48" s="17">
        <f t="shared" si="29"/>
        <v>7465.6945184116385</v>
      </c>
      <c r="AF48" s="17">
        <f t="shared" si="30"/>
        <v>6607.1943593983351</v>
      </c>
      <c r="AG48" s="17">
        <f t="shared" si="31"/>
        <v>5004.6954907985346</v>
      </c>
      <c r="AH48" s="17">
        <f t="shared" si="32"/>
        <v>7258.0002673757335</v>
      </c>
      <c r="AI48" s="17">
        <f t="shared" si="33"/>
        <v>5947.9231666781243</v>
      </c>
      <c r="AJ48" s="17">
        <f t="shared" si="34"/>
        <v>5921.5715214083893</v>
      </c>
      <c r="AK48" s="17">
        <f t="shared" si="35"/>
        <v>4021.2973823945977</v>
      </c>
      <c r="AL48" s="17">
        <f t="shared" si="36"/>
        <v>5960.7696641890234</v>
      </c>
      <c r="AM48" s="17">
        <f t="shared" si="37"/>
        <v>5191.0641239124625</v>
      </c>
      <c r="AN48" s="17">
        <f t="shared" si="38"/>
        <v>5300.273243447502</v>
      </c>
      <c r="AO48" s="17">
        <f t="shared" si="39"/>
        <v>5176.8891555972932</v>
      </c>
      <c r="AP48" s="17">
        <f t="shared" si="40"/>
        <v>70000</v>
      </c>
      <c r="AQ48" s="18">
        <v>3745.6257698471741</v>
      </c>
      <c r="AR48" s="18">
        <v>4479.4167110469834</v>
      </c>
      <c r="AS48" s="18">
        <v>3964.3166156390007</v>
      </c>
      <c r="AT48" s="18">
        <v>3002.8172944791204</v>
      </c>
      <c r="AU48" s="18">
        <v>4354.8001604254405</v>
      </c>
      <c r="AV48" s="18">
        <v>3568.7539000068746</v>
      </c>
      <c r="AW48" s="18">
        <v>3552.9429128450338</v>
      </c>
      <c r="AX48" s="18">
        <v>2412.7784294367584</v>
      </c>
      <c r="AY48" s="18">
        <v>3576.4617985134137</v>
      </c>
      <c r="AZ48" s="18">
        <v>3114.6384743474773</v>
      </c>
      <c r="BA48" s="18">
        <v>3180.163946068501</v>
      </c>
      <c r="BB48" s="18">
        <v>3106.1334933583762</v>
      </c>
      <c r="BC48" s="23">
        <v>8.9181565948742242E-2</v>
      </c>
      <c r="BD48" s="23">
        <v>0.10665277883445198</v>
      </c>
      <c r="BE48" s="23">
        <v>9.438849084854764E-2</v>
      </c>
      <c r="BF48" s="23">
        <v>7.149564986855049E-2</v>
      </c>
      <c r="BG48" s="23">
        <v>0.10368571810536763</v>
      </c>
      <c r="BH48" s="23">
        <v>8.4970330952544637E-2</v>
      </c>
      <c r="BI48" s="23">
        <v>8.4593878877262704E-2</v>
      </c>
      <c r="BJ48" s="23">
        <v>5.7447105462779965E-2</v>
      </c>
      <c r="BK48" s="23">
        <v>8.5153852345557474E-2</v>
      </c>
      <c r="BL48" s="23">
        <v>7.4158058913035174E-2</v>
      </c>
      <c r="BM48" s="23">
        <v>7.5718189192107169E-2</v>
      </c>
      <c r="BN48" s="23">
        <v>7.3955559365675619E-2</v>
      </c>
      <c r="BO48" s="23">
        <f t="shared" si="41"/>
        <v>1.0014011787146229</v>
      </c>
    </row>
    <row r="49" spans="1:67" x14ac:dyDescent="0.25">
      <c r="A49" s="16">
        <v>27706</v>
      </c>
      <c r="B49" s="16" t="s">
        <v>245</v>
      </c>
      <c r="C49" s="17">
        <v>8000</v>
      </c>
      <c r="D49" s="17">
        <f t="shared" si="4"/>
        <v>713.45252758993797</v>
      </c>
      <c r="E49" s="17">
        <f t="shared" si="5"/>
        <v>853.22223067561583</v>
      </c>
      <c r="F49" s="17">
        <f t="shared" si="6"/>
        <v>755.10792678838118</v>
      </c>
      <c r="G49" s="17">
        <f t="shared" si="7"/>
        <v>571.96519894840389</v>
      </c>
      <c r="H49" s="17">
        <f t="shared" si="8"/>
        <v>829.48574484294102</v>
      </c>
      <c r="I49" s="17">
        <f t="shared" si="9"/>
        <v>679.76264762035714</v>
      </c>
      <c r="J49" s="17">
        <f t="shared" si="10"/>
        <v>676.75103101810168</v>
      </c>
      <c r="K49" s="17">
        <f t="shared" si="11"/>
        <v>459.57684370223973</v>
      </c>
      <c r="L49" s="17">
        <f t="shared" si="12"/>
        <v>681.23081876445974</v>
      </c>
      <c r="M49" s="17">
        <f t="shared" si="13"/>
        <v>593.26447130428141</v>
      </c>
      <c r="N49" s="17">
        <f t="shared" si="14"/>
        <v>605.7455135368574</v>
      </c>
      <c r="O49" s="17">
        <f t="shared" si="15"/>
        <v>591.64447492540501</v>
      </c>
      <c r="P49" s="17">
        <v>37000</v>
      </c>
      <c r="Q49" s="17">
        <f t="shared" si="16"/>
        <v>3299.7179401034628</v>
      </c>
      <c r="R49" s="17">
        <f t="shared" si="17"/>
        <v>3946.1528168747232</v>
      </c>
      <c r="S49" s="17">
        <f t="shared" si="18"/>
        <v>3492.3741613962625</v>
      </c>
      <c r="T49" s="17">
        <f t="shared" si="19"/>
        <v>2645.339045136368</v>
      </c>
      <c r="U49" s="17">
        <f t="shared" si="20"/>
        <v>3836.371569898602</v>
      </c>
      <c r="V49" s="17">
        <f t="shared" si="21"/>
        <v>3143.9022452441513</v>
      </c>
      <c r="W49" s="17">
        <f t="shared" si="22"/>
        <v>3129.9735184587203</v>
      </c>
      <c r="X49" s="17">
        <f t="shared" si="23"/>
        <v>2125.5429021228588</v>
      </c>
      <c r="Y49" s="17">
        <f t="shared" si="24"/>
        <v>3150.6925367856265</v>
      </c>
      <c r="Z49" s="17">
        <f t="shared" si="25"/>
        <v>2743.8481797823015</v>
      </c>
      <c r="AA49" s="17">
        <f t="shared" si="26"/>
        <v>2801.5730001079651</v>
      </c>
      <c r="AB49" s="17">
        <f t="shared" si="27"/>
        <v>2736.3556965299981</v>
      </c>
      <c r="AC49" s="17">
        <v>0</v>
      </c>
      <c r="AD49" s="17">
        <f t="shared" si="28"/>
        <v>0</v>
      </c>
      <c r="AE49" s="17">
        <f t="shared" si="29"/>
        <v>0</v>
      </c>
      <c r="AF49" s="17">
        <f t="shared" si="30"/>
        <v>0</v>
      </c>
      <c r="AG49" s="17">
        <f t="shared" si="31"/>
        <v>0</v>
      </c>
      <c r="AH49" s="17">
        <f t="shared" si="32"/>
        <v>0</v>
      </c>
      <c r="AI49" s="17">
        <f t="shared" si="33"/>
        <v>0</v>
      </c>
      <c r="AJ49" s="17">
        <f t="shared" si="34"/>
        <v>0</v>
      </c>
      <c r="AK49" s="17">
        <f t="shared" si="35"/>
        <v>0</v>
      </c>
      <c r="AL49" s="17">
        <f t="shared" si="36"/>
        <v>0</v>
      </c>
      <c r="AM49" s="17">
        <f t="shared" si="37"/>
        <v>0</v>
      </c>
      <c r="AN49" s="17">
        <f t="shared" si="38"/>
        <v>0</v>
      </c>
      <c r="AO49" s="17">
        <f t="shared" si="39"/>
        <v>0</v>
      </c>
      <c r="AP49" s="17">
        <f t="shared" si="40"/>
        <v>45000</v>
      </c>
      <c r="AQ49" s="18">
        <v>3567.2626379496896</v>
      </c>
      <c r="AR49" s="18">
        <v>4266.1111533780795</v>
      </c>
      <c r="AS49" s="18">
        <v>3775.5396339419058</v>
      </c>
      <c r="AT49" s="18">
        <v>2859.8259947420197</v>
      </c>
      <c r="AU49" s="18">
        <v>4147.4287242147047</v>
      </c>
      <c r="AV49" s="18">
        <v>3398.8132381017854</v>
      </c>
      <c r="AW49" s="18">
        <v>3383.7551550905082</v>
      </c>
      <c r="AX49" s="18">
        <v>2297.8842185111985</v>
      </c>
      <c r="AY49" s="18">
        <v>3406.1540938222988</v>
      </c>
      <c r="AZ49" s="18">
        <v>2966.3223565214071</v>
      </c>
      <c r="BA49" s="18">
        <v>3028.7275676842869</v>
      </c>
      <c r="BB49" s="18">
        <v>2958.2223746270247</v>
      </c>
      <c r="BC49" s="23">
        <v>8.9181565948742242E-2</v>
      </c>
      <c r="BD49" s="23">
        <v>0.10665277883445198</v>
      </c>
      <c r="BE49" s="23">
        <v>9.438849084854764E-2</v>
      </c>
      <c r="BF49" s="23">
        <v>7.149564986855049E-2</v>
      </c>
      <c r="BG49" s="23">
        <v>0.10368571810536763</v>
      </c>
      <c r="BH49" s="23">
        <v>8.4970330952544637E-2</v>
      </c>
      <c r="BI49" s="23">
        <v>8.4593878877262704E-2</v>
      </c>
      <c r="BJ49" s="23">
        <v>5.7447105462779965E-2</v>
      </c>
      <c r="BK49" s="23">
        <v>8.5153852345557474E-2</v>
      </c>
      <c r="BL49" s="23">
        <v>7.4158058913035174E-2</v>
      </c>
      <c r="BM49" s="23">
        <v>7.5718189192107169E-2</v>
      </c>
      <c r="BN49" s="23">
        <v>7.3955559365675619E-2</v>
      </c>
      <c r="BO49" s="23">
        <f t="shared" si="41"/>
        <v>1.0014011787146229</v>
      </c>
    </row>
    <row r="50" spans="1:67" x14ac:dyDescent="0.25">
      <c r="A50" s="16">
        <v>4922</v>
      </c>
      <c r="B50" s="16" t="s">
        <v>246</v>
      </c>
      <c r="C50" s="17">
        <v>0</v>
      </c>
      <c r="D50" s="17">
        <f t="shared" si="4"/>
        <v>0</v>
      </c>
      <c r="E50" s="17">
        <f t="shared" si="5"/>
        <v>0</v>
      </c>
      <c r="F50" s="17">
        <f t="shared" si="6"/>
        <v>0</v>
      </c>
      <c r="G50" s="17">
        <f t="shared" si="7"/>
        <v>0</v>
      </c>
      <c r="H50" s="17">
        <f t="shared" si="8"/>
        <v>0</v>
      </c>
      <c r="I50" s="17">
        <f t="shared" si="9"/>
        <v>0</v>
      </c>
      <c r="J50" s="17">
        <f t="shared" si="10"/>
        <v>0</v>
      </c>
      <c r="K50" s="17">
        <f t="shared" si="11"/>
        <v>0</v>
      </c>
      <c r="L50" s="17">
        <f t="shared" si="12"/>
        <v>0</v>
      </c>
      <c r="M50" s="17">
        <f t="shared" si="13"/>
        <v>0</v>
      </c>
      <c r="N50" s="17">
        <f t="shared" si="14"/>
        <v>0</v>
      </c>
      <c r="O50" s="17">
        <f t="shared" si="15"/>
        <v>0</v>
      </c>
      <c r="P50" s="17">
        <v>0</v>
      </c>
      <c r="Q50" s="17">
        <f t="shared" si="16"/>
        <v>0</v>
      </c>
      <c r="R50" s="17">
        <f t="shared" si="17"/>
        <v>0</v>
      </c>
      <c r="S50" s="17">
        <f t="shared" si="18"/>
        <v>0</v>
      </c>
      <c r="T50" s="17">
        <f t="shared" si="19"/>
        <v>0</v>
      </c>
      <c r="U50" s="17">
        <f t="shared" si="20"/>
        <v>0</v>
      </c>
      <c r="V50" s="17">
        <f t="shared" si="21"/>
        <v>0</v>
      </c>
      <c r="W50" s="17">
        <f t="shared" si="22"/>
        <v>0</v>
      </c>
      <c r="X50" s="17">
        <f t="shared" si="23"/>
        <v>0</v>
      </c>
      <c r="Y50" s="17">
        <f t="shared" si="24"/>
        <v>0</v>
      </c>
      <c r="Z50" s="17">
        <f t="shared" si="25"/>
        <v>0</v>
      </c>
      <c r="AA50" s="17">
        <f t="shared" si="26"/>
        <v>0</v>
      </c>
      <c r="AB50" s="17">
        <f t="shared" si="27"/>
        <v>0</v>
      </c>
      <c r="AC50" s="17">
        <v>0</v>
      </c>
      <c r="AD50" s="17">
        <f t="shared" si="28"/>
        <v>0</v>
      </c>
      <c r="AE50" s="17">
        <f t="shared" si="29"/>
        <v>0</v>
      </c>
      <c r="AF50" s="17">
        <f t="shared" si="30"/>
        <v>0</v>
      </c>
      <c r="AG50" s="17">
        <f t="shared" si="31"/>
        <v>0</v>
      </c>
      <c r="AH50" s="17">
        <f t="shared" si="32"/>
        <v>0</v>
      </c>
      <c r="AI50" s="17">
        <f t="shared" si="33"/>
        <v>0</v>
      </c>
      <c r="AJ50" s="17">
        <f t="shared" si="34"/>
        <v>0</v>
      </c>
      <c r="AK50" s="17">
        <f t="shared" si="35"/>
        <v>0</v>
      </c>
      <c r="AL50" s="17">
        <f t="shared" si="36"/>
        <v>0</v>
      </c>
      <c r="AM50" s="17">
        <f t="shared" si="37"/>
        <v>0</v>
      </c>
      <c r="AN50" s="17">
        <f t="shared" si="38"/>
        <v>0</v>
      </c>
      <c r="AO50" s="17">
        <f t="shared" si="39"/>
        <v>0</v>
      </c>
      <c r="AP50" s="17">
        <f t="shared" si="40"/>
        <v>0</v>
      </c>
      <c r="AQ50" s="18">
        <v>3567.2626379496896</v>
      </c>
      <c r="AR50" s="18">
        <v>4266.1111533780795</v>
      </c>
      <c r="AS50" s="18">
        <v>3775.5396339419058</v>
      </c>
      <c r="AT50" s="18">
        <v>2859.8259947420197</v>
      </c>
      <c r="AU50" s="18">
        <v>4147.4287242147047</v>
      </c>
      <c r="AV50" s="18">
        <v>3398.8132381017854</v>
      </c>
      <c r="AW50" s="18">
        <v>3383.7551550905082</v>
      </c>
      <c r="AX50" s="18">
        <v>2297.8842185111985</v>
      </c>
      <c r="AY50" s="18">
        <v>3406.1540938222988</v>
      </c>
      <c r="AZ50" s="18">
        <v>2966.3223565214071</v>
      </c>
      <c r="BA50" s="18">
        <v>3028.7275676842869</v>
      </c>
      <c r="BB50" s="18">
        <v>2958.2223746270247</v>
      </c>
      <c r="BC50" s="23">
        <v>8.9181565948742242E-2</v>
      </c>
      <c r="BD50" s="23">
        <v>0.10665277883445198</v>
      </c>
      <c r="BE50" s="23">
        <v>9.438849084854764E-2</v>
      </c>
      <c r="BF50" s="23">
        <v>7.149564986855049E-2</v>
      </c>
      <c r="BG50" s="23">
        <v>0.10368571810536763</v>
      </c>
      <c r="BH50" s="23">
        <v>8.4970330952544637E-2</v>
      </c>
      <c r="BI50" s="23">
        <v>8.4593878877262704E-2</v>
      </c>
      <c r="BJ50" s="23">
        <v>5.7447105462779965E-2</v>
      </c>
      <c r="BK50" s="23">
        <v>8.5153852345557474E-2</v>
      </c>
      <c r="BL50" s="23">
        <v>7.4158058913035174E-2</v>
      </c>
      <c r="BM50" s="23">
        <v>7.5718189192107169E-2</v>
      </c>
      <c r="BN50" s="23">
        <v>7.3955559365675619E-2</v>
      </c>
      <c r="BO50" s="23">
        <f t="shared" si="41"/>
        <v>1.0014011787146229</v>
      </c>
    </row>
    <row r="51" spans="1:67" x14ac:dyDescent="0.25">
      <c r="A51" s="16">
        <v>2385</v>
      </c>
      <c r="B51" s="16" t="s">
        <v>247</v>
      </c>
      <c r="C51" s="17">
        <v>40000</v>
      </c>
      <c r="D51" s="17">
        <f t="shared" si="4"/>
        <v>3567.2626379496896</v>
      </c>
      <c r="E51" s="17">
        <f t="shared" si="5"/>
        <v>4266.1111533780795</v>
      </c>
      <c r="F51" s="17">
        <f t="shared" si="6"/>
        <v>3775.5396339419058</v>
      </c>
      <c r="G51" s="17">
        <f t="shared" si="7"/>
        <v>2859.8259947420197</v>
      </c>
      <c r="H51" s="17">
        <f t="shared" si="8"/>
        <v>4147.4287242147047</v>
      </c>
      <c r="I51" s="17">
        <f t="shared" si="9"/>
        <v>3398.8132381017854</v>
      </c>
      <c r="J51" s="17">
        <f t="shared" si="10"/>
        <v>3383.7551550905082</v>
      </c>
      <c r="K51" s="17">
        <f t="shared" si="11"/>
        <v>2297.8842185111985</v>
      </c>
      <c r="L51" s="17">
        <f t="shared" si="12"/>
        <v>3406.1540938222988</v>
      </c>
      <c r="M51" s="17">
        <f t="shared" si="13"/>
        <v>2966.3223565214071</v>
      </c>
      <c r="N51" s="17">
        <f t="shared" si="14"/>
        <v>3028.7275676842869</v>
      </c>
      <c r="O51" s="17">
        <f t="shared" si="15"/>
        <v>2958.2223746270247</v>
      </c>
      <c r="P51" s="17">
        <v>0</v>
      </c>
      <c r="Q51" s="17">
        <f t="shared" si="16"/>
        <v>0</v>
      </c>
      <c r="R51" s="17">
        <f t="shared" si="17"/>
        <v>0</v>
      </c>
      <c r="S51" s="17">
        <f t="shared" si="18"/>
        <v>0</v>
      </c>
      <c r="T51" s="17">
        <f t="shared" si="19"/>
        <v>0</v>
      </c>
      <c r="U51" s="17">
        <f t="shared" si="20"/>
        <v>0</v>
      </c>
      <c r="V51" s="17">
        <f t="shared" si="21"/>
        <v>0</v>
      </c>
      <c r="W51" s="17">
        <f t="shared" si="22"/>
        <v>0</v>
      </c>
      <c r="X51" s="17">
        <f t="shared" si="23"/>
        <v>0</v>
      </c>
      <c r="Y51" s="17">
        <f t="shared" si="24"/>
        <v>0</v>
      </c>
      <c r="Z51" s="17">
        <f t="shared" si="25"/>
        <v>0</v>
      </c>
      <c r="AA51" s="17">
        <f t="shared" si="26"/>
        <v>0</v>
      </c>
      <c r="AB51" s="17">
        <f t="shared" si="27"/>
        <v>0</v>
      </c>
      <c r="AC51" s="17">
        <v>2900</v>
      </c>
      <c r="AD51" s="17">
        <f t="shared" si="28"/>
        <v>258.62654125135248</v>
      </c>
      <c r="AE51" s="17">
        <f t="shared" si="29"/>
        <v>309.29305861991077</v>
      </c>
      <c r="AF51" s="17">
        <f t="shared" si="30"/>
        <v>273.72662346078818</v>
      </c>
      <c r="AG51" s="17">
        <f t="shared" si="31"/>
        <v>207.33738461879642</v>
      </c>
      <c r="AH51" s="17">
        <f t="shared" si="32"/>
        <v>300.6885825055661</v>
      </c>
      <c r="AI51" s="17">
        <f t="shared" si="33"/>
        <v>246.41395976237945</v>
      </c>
      <c r="AJ51" s="17">
        <f t="shared" si="34"/>
        <v>245.32224874406185</v>
      </c>
      <c r="AK51" s="17">
        <f t="shared" si="35"/>
        <v>166.5966058420619</v>
      </c>
      <c r="AL51" s="17">
        <f t="shared" si="36"/>
        <v>246.94617180211668</v>
      </c>
      <c r="AM51" s="17">
        <f t="shared" si="37"/>
        <v>215.058370847802</v>
      </c>
      <c r="AN51" s="17">
        <f t="shared" si="38"/>
        <v>219.58274865711078</v>
      </c>
      <c r="AO51" s="17">
        <f t="shared" si="39"/>
        <v>214.47112216045929</v>
      </c>
      <c r="AP51" s="17">
        <f t="shared" si="40"/>
        <v>42900</v>
      </c>
      <c r="AQ51" s="18">
        <v>3215.6375597269885</v>
      </c>
      <c r="AR51" s="18">
        <v>3845.6005769896019</v>
      </c>
      <c r="AS51" s="18">
        <v>3403.3846922242519</v>
      </c>
      <c r="AT51" s="18">
        <v>2577.9329464402986</v>
      </c>
      <c r="AU51" s="18">
        <v>3738.6166748688615</v>
      </c>
      <c r="AV51" s="18">
        <v>3063.7922172220924</v>
      </c>
      <c r="AW51" s="18">
        <v>3050.2184094532367</v>
      </c>
      <c r="AX51" s="18">
        <v>2071.3817710925496</v>
      </c>
      <c r="AY51" s="18">
        <v>3070.4094847942347</v>
      </c>
      <c r="AZ51" s="18">
        <v>2673.9319618390919</v>
      </c>
      <c r="BA51" s="18">
        <v>2730.1858913376464</v>
      </c>
      <c r="BB51" s="18">
        <v>2666.6303951600389</v>
      </c>
      <c r="BC51" s="23">
        <v>8.9181565948742242E-2</v>
      </c>
      <c r="BD51" s="23">
        <v>0.10665277883445198</v>
      </c>
      <c r="BE51" s="23">
        <v>9.438849084854764E-2</v>
      </c>
      <c r="BF51" s="23">
        <v>7.149564986855049E-2</v>
      </c>
      <c r="BG51" s="23">
        <v>0.10368571810536763</v>
      </c>
      <c r="BH51" s="23">
        <v>8.4970330952544637E-2</v>
      </c>
      <c r="BI51" s="23">
        <v>8.4593878877262704E-2</v>
      </c>
      <c r="BJ51" s="23">
        <v>5.7447105462779965E-2</v>
      </c>
      <c r="BK51" s="23">
        <v>8.5153852345557474E-2</v>
      </c>
      <c r="BL51" s="23">
        <v>7.4158058913035174E-2</v>
      </c>
      <c r="BM51" s="23">
        <v>7.5718189192107169E-2</v>
      </c>
      <c r="BN51" s="23">
        <v>7.3955559365675619E-2</v>
      </c>
      <c r="BO51" s="23">
        <f t="shared" si="41"/>
        <v>1.0014011787146229</v>
      </c>
    </row>
    <row r="52" spans="1:67" x14ac:dyDescent="0.25">
      <c r="A52" s="16">
        <v>4236</v>
      </c>
      <c r="B52" s="16" t="s">
        <v>248</v>
      </c>
      <c r="C52" s="17">
        <v>15000</v>
      </c>
      <c r="D52" s="17">
        <f t="shared" si="4"/>
        <v>1337.7234892311337</v>
      </c>
      <c r="E52" s="17">
        <f t="shared" si="5"/>
        <v>1599.7916825167797</v>
      </c>
      <c r="F52" s="17">
        <f t="shared" si="6"/>
        <v>1415.8273627282147</v>
      </c>
      <c r="G52" s="17">
        <f t="shared" si="7"/>
        <v>1072.4347480282574</v>
      </c>
      <c r="H52" s="17">
        <f t="shared" si="8"/>
        <v>1555.2857715805144</v>
      </c>
      <c r="I52" s="17">
        <f t="shared" si="9"/>
        <v>1274.5549642881695</v>
      </c>
      <c r="J52" s="17">
        <f t="shared" si="10"/>
        <v>1268.9081831589406</v>
      </c>
      <c r="K52" s="17">
        <f t="shared" si="11"/>
        <v>861.70658194169948</v>
      </c>
      <c r="L52" s="17">
        <f t="shared" si="12"/>
        <v>1277.3077851833621</v>
      </c>
      <c r="M52" s="17">
        <f t="shared" si="13"/>
        <v>1112.3708836955277</v>
      </c>
      <c r="N52" s="17">
        <f t="shared" si="14"/>
        <v>1135.7728378816075</v>
      </c>
      <c r="O52" s="17">
        <f t="shared" si="15"/>
        <v>1109.3333904851343</v>
      </c>
      <c r="P52" s="17">
        <v>10000</v>
      </c>
      <c r="Q52" s="17">
        <f t="shared" si="16"/>
        <v>891.81565948742241</v>
      </c>
      <c r="R52" s="17">
        <f t="shared" si="17"/>
        <v>1066.5277883445199</v>
      </c>
      <c r="S52" s="17">
        <f t="shared" si="18"/>
        <v>943.88490848547644</v>
      </c>
      <c r="T52" s="17">
        <f t="shared" si="19"/>
        <v>714.95649868550493</v>
      </c>
      <c r="U52" s="17">
        <f t="shared" si="20"/>
        <v>1036.8571810536762</v>
      </c>
      <c r="V52" s="17">
        <f t="shared" si="21"/>
        <v>849.70330952544634</v>
      </c>
      <c r="W52" s="17">
        <f t="shared" si="22"/>
        <v>845.93878877262705</v>
      </c>
      <c r="X52" s="17">
        <f t="shared" si="23"/>
        <v>574.47105462779962</v>
      </c>
      <c r="Y52" s="17">
        <f t="shared" si="24"/>
        <v>851.5385234555747</v>
      </c>
      <c r="Z52" s="17">
        <f t="shared" si="25"/>
        <v>741.58058913035177</v>
      </c>
      <c r="AA52" s="17">
        <f t="shared" si="26"/>
        <v>757.18189192107172</v>
      </c>
      <c r="AB52" s="17">
        <f t="shared" si="27"/>
        <v>739.55559365675617</v>
      </c>
      <c r="AC52" s="17">
        <v>0</v>
      </c>
      <c r="AD52" s="17">
        <f t="shared" si="28"/>
        <v>0</v>
      </c>
      <c r="AE52" s="17">
        <f t="shared" si="29"/>
        <v>0</v>
      </c>
      <c r="AF52" s="17">
        <f t="shared" si="30"/>
        <v>0</v>
      </c>
      <c r="AG52" s="17">
        <f t="shared" si="31"/>
        <v>0</v>
      </c>
      <c r="AH52" s="17">
        <f t="shared" si="32"/>
        <v>0</v>
      </c>
      <c r="AI52" s="17">
        <f t="shared" si="33"/>
        <v>0</v>
      </c>
      <c r="AJ52" s="17">
        <f t="shared" si="34"/>
        <v>0</v>
      </c>
      <c r="AK52" s="17">
        <f t="shared" si="35"/>
        <v>0</v>
      </c>
      <c r="AL52" s="17">
        <f t="shared" si="36"/>
        <v>0</v>
      </c>
      <c r="AM52" s="17">
        <f t="shared" si="37"/>
        <v>0</v>
      </c>
      <c r="AN52" s="17">
        <f t="shared" si="38"/>
        <v>0</v>
      </c>
      <c r="AO52" s="17">
        <f t="shared" si="39"/>
        <v>0</v>
      </c>
      <c r="AP52" s="17">
        <f t="shared" si="40"/>
        <v>25000</v>
      </c>
      <c r="AQ52" s="18">
        <v>3140.0408433560865</v>
      </c>
      <c r="AR52" s="18">
        <v>3755.1940026494444</v>
      </c>
      <c r="AS52" s="18">
        <v>3323.3742114096817</v>
      </c>
      <c r="AT52" s="18">
        <v>2517.3280859249248</v>
      </c>
      <c r="AU52" s="18">
        <v>3650.7251948310482</v>
      </c>
      <c r="AV52" s="18">
        <v>2991.7652468428869</v>
      </c>
      <c r="AW52" s="18">
        <v>2978.5105469575897</v>
      </c>
      <c r="AX52" s="18">
        <v>2022.685468310704</v>
      </c>
      <c r="AY52" s="18">
        <v>2998.2269484687713</v>
      </c>
      <c r="AZ52" s="18">
        <v>2611.0702517241616</v>
      </c>
      <c r="BA52" s="18">
        <v>2666.0017024687945</v>
      </c>
      <c r="BB52" s="18">
        <v>2603.940338241418</v>
      </c>
      <c r="BC52" s="23">
        <v>8.9181565948742242E-2</v>
      </c>
      <c r="BD52" s="23">
        <v>0.10665277883445198</v>
      </c>
      <c r="BE52" s="23">
        <v>9.438849084854764E-2</v>
      </c>
      <c r="BF52" s="23">
        <v>7.149564986855049E-2</v>
      </c>
      <c r="BG52" s="23">
        <v>0.10368571810536763</v>
      </c>
      <c r="BH52" s="23">
        <v>8.4970330952544637E-2</v>
      </c>
      <c r="BI52" s="23">
        <v>8.4593878877262704E-2</v>
      </c>
      <c r="BJ52" s="23">
        <v>5.7447105462779965E-2</v>
      </c>
      <c r="BK52" s="23">
        <v>8.5153852345557474E-2</v>
      </c>
      <c r="BL52" s="23">
        <v>7.4158058913035174E-2</v>
      </c>
      <c r="BM52" s="23">
        <v>7.5718189192107169E-2</v>
      </c>
      <c r="BN52" s="23">
        <v>7.3955559365675619E-2</v>
      </c>
      <c r="BO52" s="23">
        <f t="shared" si="41"/>
        <v>1.0014011787146229</v>
      </c>
    </row>
    <row r="53" spans="1:67" x14ac:dyDescent="0.25">
      <c r="A53" s="16">
        <v>5086</v>
      </c>
      <c r="B53" s="16" t="s">
        <v>249</v>
      </c>
      <c r="C53" s="17">
        <v>0</v>
      </c>
      <c r="D53" s="17">
        <f t="shared" si="4"/>
        <v>0</v>
      </c>
      <c r="E53" s="17">
        <f t="shared" si="5"/>
        <v>0</v>
      </c>
      <c r="F53" s="17">
        <f t="shared" si="6"/>
        <v>0</v>
      </c>
      <c r="G53" s="17">
        <f t="shared" si="7"/>
        <v>0</v>
      </c>
      <c r="H53" s="17">
        <f t="shared" si="8"/>
        <v>0</v>
      </c>
      <c r="I53" s="17">
        <f t="shared" si="9"/>
        <v>0</v>
      </c>
      <c r="J53" s="17">
        <f t="shared" si="10"/>
        <v>0</v>
      </c>
      <c r="K53" s="17">
        <f t="shared" si="11"/>
        <v>0</v>
      </c>
      <c r="L53" s="17">
        <f t="shared" si="12"/>
        <v>0</v>
      </c>
      <c r="M53" s="17">
        <f t="shared" si="13"/>
        <v>0</v>
      </c>
      <c r="N53" s="17">
        <f t="shared" si="14"/>
        <v>0</v>
      </c>
      <c r="O53" s="17">
        <f t="shared" si="15"/>
        <v>0</v>
      </c>
      <c r="P53" s="17">
        <v>0</v>
      </c>
      <c r="Q53" s="17">
        <f t="shared" si="16"/>
        <v>0</v>
      </c>
      <c r="R53" s="17">
        <f t="shared" si="17"/>
        <v>0</v>
      </c>
      <c r="S53" s="17">
        <f t="shared" si="18"/>
        <v>0</v>
      </c>
      <c r="T53" s="17">
        <f t="shared" si="19"/>
        <v>0</v>
      </c>
      <c r="U53" s="17">
        <f t="shared" si="20"/>
        <v>0</v>
      </c>
      <c r="V53" s="17">
        <f t="shared" si="21"/>
        <v>0</v>
      </c>
      <c r="W53" s="17">
        <f t="shared" si="22"/>
        <v>0</v>
      </c>
      <c r="X53" s="17">
        <f t="shared" si="23"/>
        <v>0</v>
      </c>
      <c r="Y53" s="17">
        <f t="shared" si="24"/>
        <v>0</v>
      </c>
      <c r="Z53" s="17">
        <f t="shared" si="25"/>
        <v>0</v>
      </c>
      <c r="AA53" s="17">
        <f t="shared" si="26"/>
        <v>0</v>
      </c>
      <c r="AB53" s="17">
        <f t="shared" si="27"/>
        <v>0</v>
      </c>
      <c r="AC53" s="17">
        <v>50000</v>
      </c>
      <c r="AD53" s="17">
        <f t="shared" si="28"/>
        <v>4459.0782974371123</v>
      </c>
      <c r="AE53" s="17">
        <f t="shared" si="29"/>
        <v>5332.6389417225992</v>
      </c>
      <c r="AF53" s="17">
        <f t="shared" si="30"/>
        <v>4719.4245424273822</v>
      </c>
      <c r="AG53" s="17">
        <f t="shared" si="31"/>
        <v>3574.7824934275245</v>
      </c>
      <c r="AH53" s="17">
        <f t="shared" si="32"/>
        <v>5184.2859052683816</v>
      </c>
      <c r="AI53" s="17">
        <f t="shared" si="33"/>
        <v>4248.5165476272323</v>
      </c>
      <c r="AJ53" s="17">
        <f t="shared" si="34"/>
        <v>4229.6939438631352</v>
      </c>
      <c r="AK53" s="17">
        <f t="shared" si="35"/>
        <v>2872.3552731389982</v>
      </c>
      <c r="AL53" s="17">
        <f t="shared" si="36"/>
        <v>4257.692617277874</v>
      </c>
      <c r="AM53" s="17">
        <f t="shared" si="37"/>
        <v>3707.9029456517587</v>
      </c>
      <c r="AN53" s="17">
        <f t="shared" si="38"/>
        <v>3785.9094596053583</v>
      </c>
      <c r="AO53" s="17">
        <f t="shared" si="39"/>
        <v>3697.7779682837809</v>
      </c>
      <c r="AP53" s="17">
        <f t="shared" si="40"/>
        <v>50000</v>
      </c>
      <c r="AQ53" s="18">
        <v>3121.3548082059783</v>
      </c>
      <c r="AR53" s="18">
        <v>3732.8472592058192</v>
      </c>
      <c r="AS53" s="18">
        <v>3303.5971796991676</v>
      </c>
      <c r="AT53" s="18">
        <v>2502.3477453992673</v>
      </c>
      <c r="AU53" s="18">
        <v>3629.0001336878668</v>
      </c>
      <c r="AV53" s="18">
        <v>2973.9615833390621</v>
      </c>
      <c r="AW53" s="18">
        <v>2960.7857607041947</v>
      </c>
      <c r="AX53" s="18">
        <v>2010.6486911972988</v>
      </c>
      <c r="AY53" s="18">
        <v>2980.3848320945117</v>
      </c>
      <c r="AZ53" s="18">
        <v>2595.5320619562312</v>
      </c>
      <c r="BA53" s="18">
        <v>2650.136621723751</v>
      </c>
      <c r="BB53" s="18">
        <v>2588.4445777986466</v>
      </c>
      <c r="BC53" s="23">
        <v>8.9181565948742242E-2</v>
      </c>
      <c r="BD53" s="23">
        <v>0.10665277883445198</v>
      </c>
      <c r="BE53" s="23">
        <v>9.438849084854764E-2</v>
      </c>
      <c r="BF53" s="23">
        <v>7.149564986855049E-2</v>
      </c>
      <c r="BG53" s="23">
        <v>0.10368571810536763</v>
      </c>
      <c r="BH53" s="23">
        <v>8.4970330952544637E-2</v>
      </c>
      <c r="BI53" s="23">
        <v>8.4593878877262704E-2</v>
      </c>
      <c r="BJ53" s="23">
        <v>5.7447105462779965E-2</v>
      </c>
      <c r="BK53" s="23">
        <v>8.5153852345557474E-2</v>
      </c>
      <c r="BL53" s="23">
        <v>7.4158058913035174E-2</v>
      </c>
      <c r="BM53" s="23">
        <v>7.5718189192107169E-2</v>
      </c>
      <c r="BN53" s="23">
        <v>7.3955559365675619E-2</v>
      </c>
      <c r="BO53" s="23">
        <f t="shared" si="41"/>
        <v>1.0014011787146229</v>
      </c>
    </row>
    <row r="54" spans="1:67" x14ac:dyDescent="0.25">
      <c r="A54" s="16">
        <v>5487</v>
      </c>
      <c r="B54" s="16" t="s">
        <v>250</v>
      </c>
      <c r="C54" s="17">
        <v>0</v>
      </c>
      <c r="D54" s="17">
        <f t="shared" si="4"/>
        <v>0</v>
      </c>
      <c r="E54" s="17">
        <f t="shared" si="5"/>
        <v>0</v>
      </c>
      <c r="F54" s="17">
        <f t="shared" si="6"/>
        <v>0</v>
      </c>
      <c r="G54" s="17">
        <f t="shared" si="7"/>
        <v>0</v>
      </c>
      <c r="H54" s="17">
        <f t="shared" si="8"/>
        <v>0</v>
      </c>
      <c r="I54" s="17">
        <f t="shared" si="9"/>
        <v>0</v>
      </c>
      <c r="J54" s="17">
        <f t="shared" si="10"/>
        <v>0</v>
      </c>
      <c r="K54" s="17">
        <f t="shared" si="11"/>
        <v>0</v>
      </c>
      <c r="L54" s="17">
        <f t="shared" si="12"/>
        <v>0</v>
      </c>
      <c r="M54" s="17">
        <f t="shared" si="13"/>
        <v>0</v>
      </c>
      <c r="N54" s="17">
        <f t="shared" si="14"/>
        <v>0</v>
      </c>
      <c r="O54" s="17">
        <f t="shared" si="15"/>
        <v>0</v>
      </c>
      <c r="P54" s="17">
        <v>0</v>
      </c>
      <c r="Q54" s="17">
        <f t="shared" si="16"/>
        <v>0</v>
      </c>
      <c r="R54" s="17">
        <f t="shared" si="17"/>
        <v>0</v>
      </c>
      <c r="S54" s="17">
        <f t="shared" si="18"/>
        <v>0</v>
      </c>
      <c r="T54" s="17">
        <f t="shared" si="19"/>
        <v>0</v>
      </c>
      <c r="U54" s="17">
        <f t="shared" si="20"/>
        <v>0</v>
      </c>
      <c r="V54" s="17">
        <f t="shared" si="21"/>
        <v>0</v>
      </c>
      <c r="W54" s="17">
        <f t="shared" si="22"/>
        <v>0</v>
      </c>
      <c r="X54" s="17">
        <f t="shared" si="23"/>
        <v>0</v>
      </c>
      <c r="Y54" s="17">
        <f t="shared" si="24"/>
        <v>0</v>
      </c>
      <c r="Z54" s="17">
        <f t="shared" si="25"/>
        <v>0</v>
      </c>
      <c r="AA54" s="17">
        <f t="shared" si="26"/>
        <v>0</v>
      </c>
      <c r="AB54" s="17">
        <f t="shared" si="27"/>
        <v>0</v>
      </c>
      <c r="AC54" s="17">
        <v>18000</v>
      </c>
      <c r="AD54" s="17">
        <f t="shared" si="28"/>
        <v>1605.2681870773604</v>
      </c>
      <c r="AE54" s="17">
        <f t="shared" si="29"/>
        <v>1919.7500190201356</v>
      </c>
      <c r="AF54" s="17">
        <f t="shared" si="30"/>
        <v>1698.9928352738575</v>
      </c>
      <c r="AG54" s="17">
        <f t="shared" si="31"/>
        <v>1286.9216976339087</v>
      </c>
      <c r="AH54" s="17">
        <f t="shared" si="32"/>
        <v>1866.3429258966173</v>
      </c>
      <c r="AI54" s="17">
        <f t="shared" si="33"/>
        <v>1529.4659571458035</v>
      </c>
      <c r="AJ54" s="17">
        <f t="shared" si="34"/>
        <v>1522.6898197907287</v>
      </c>
      <c r="AK54" s="17">
        <f t="shared" si="35"/>
        <v>1034.0478983300393</v>
      </c>
      <c r="AL54" s="17">
        <f t="shared" si="36"/>
        <v>1532.7693422200346</v>
      </c>
      <c r="AM54" s="17">
        <f t="shared" si="37"/>
        <v>1334.8450604346331</v>
      </c>
      <c r="AN54" s="17">
        <f t="shared" si="38"/>
        <v>1362.9274054579291</v>
      </c>
      <c r="AO54" s="17">
        <f t="shared" si="39"/>
        <v>1331.2000685821611</v>
      </c>
      <c r="AP54" s="17">
        <f t="shared" si="40"/>
        <v>18000</v>
      </c>
      <c r="AQ54" s="18">
        <v>3121.3548082059783</v>
      </c>
      <c r="AR54" s="18">
        <v>3732.8472592058192</v>
      </c>
      <c r="AS54" s="18">
        <v>3303.5971796991676</v>
      </c>
      <c r="AT54" s="18">
        <v>2502.3477453992673</v>
      </c>
      <c r="AU54" s="18">
        <v>3629.0001336878668</v>
      </c>
      <c r="AV54" s="18">
        <v>2973.9615833390621</v>
      </c>
      <c r="AW54" s="18">
        <v>2960.7857607041947</v>
      </c>
      <c r="AX54" s="18">
        <v>2010.6486911972988</v>
      </c>
      <c r="AY54" s="18">
        <v>2980.3848320945117</v>
      </c>
      <c r="AZ54" s="18">
        <v>2595.5320619562312</v>
      </c>
      <c r="BA54" s="18">
        <v>2650.136621723751</v>
      </c>
      <c r="BB54" s="18">
        <v>2588.4445777986466</v>
      </c>
      <c r="BC54" s="23">
        <v>8.9181565948742242E-2</v>
      </c>
      <c r="BD54" s="23">
        <v>0.10665277883445198</v>
      </c>
      <c r="BE54" s="23">
        <v>9.438849084854764E-2</v>
      </c>
      <c r="BF54" s="23">
        <v>7.149564986855049E-2</v>
      </c>
      <c r="BG54" s="23">
        <v>0.10368571810536763</v>
      </c>
      <c r="BH54" s="23">
        <v>8.4970330952544637E-2</v>
      </c>
      <c r="BI54" s="23">
        <v>8.4593878877262704E-2</v>
      </c>
      <c r="BJ54" s="23">
        <v>5.7447105462779965E-2</v>
      </c>
      <c r="BK54" s="23">
        <v>8.5153852345557474E-2</v>
      </c>
      <c r="BL54" s="23">
        <v>7.4158058913035174E-2</v>
      </c>
      <c r="BM54" s="23">
        <v>7.5718189192107169E-2</v>
      </c>
      <c r="BN54" s="23">
        <v>7.3955559365675619E-2</v>
      </c>
      <c r="BO54" s="23">
        <f t="shared" si="41"/>
        <v>1.0014011787146229</v>
      </c>
    </row>
    <row r="55" spans="1:67" x14ac:dyDescent="0.25">
      <c r="A55" s="16">
        <v>17248</v>
      </c>
      <c r="B55" s="16" t="s">
        <v>251</v>
      </c>
      <c r="C55" s="17">
        <v>20000</v>
      </c>
      <c r="D55" s="17">
        <f t="shared" si="4"/>
        <v>1783.6313189748448</v>
      </c>
      <c r="E55" s="17">
        <f t="shared" si="5"/>
        <v>2133.0555766890398</v>
      </c>
      <c r="F55" s="17">
        <f t="shared" si="6"/>
        <v>1887.7698169709529</v>
      </c>
      <c r="G55" s="17">
        <f t="shared" si="7"/>
        <v>1429.9129973710099</v>
      </c>
      <c r="H55" s="17">
        <f t="shared" si="8"/>
        <v>2073.7143621073524</v>
      </c>
      <c r="I55" s="17">
        <f t="shared" si="9"/>
        <v>1699.4066190508927</v>
      </c>
      <c r="J55" s="17">
        <f t="shared" si="10"/>
        <v>1691.8775775452541</v>
      </c>
      <c r="K55" s="17">
        <f t="shared" si="11"/>
        <v>1148.9421092555992</v>
      </c>
      <c r="L55" s="17">
        <f t="shared" si="12"/>
        <v>1703.0770469111494</v>
      </c>
      <c r="M55" s="17">
        <f t="shared" si="13"/>
        <v>1483.1611782607035</v>
      </c>
      <c r="N55" s="17">
        <f t="shared" si="14"/>
        <v>1514.3637838421434</v>
      </c>
      <c r="O55" s="17">
        <f t="shared" si="15"/>
        <v>1479.1111873135123</v>
      </c>
      <c r="P55" s="17">
        <v>5000</v>
      </c>
      <c r="Q55" s="17">
        <f t="shared" si="16"/>
        <v>445.9078297437112</v>
      </c>
      <c r="R55" s="17">
        <f t="shared" si="17"/>
        <v>533.26389417225994</v>
      </c>
      <c r="S55" s="17">
        <f t="shared" si="18"/>
        <v>471.94245424273822</v>
      </c>
      <c r="T55" s="17">
        <f t="shared" si="19"/>
        <v>357.47824934275246</v>
      </c>
      <c r="U55" s="17">
        <f t="shared" si="20"/>
        <v>518.42859052683809</v>
      </c>
      <c r="V55" s="17">
        <f t="shared" si="21"/>
        <v>424.85165476272317</v>
      </c>
      <c r="W55" s="17">
        <f t="shared" si="22"/>
        <v>422.96939438631352</v>
      </c>
      <c r="X55" s="17">
        <f t="shared" si="23"/>
        <v>287.23552731389981</v>
      </c>
      <c r="Y55" s="17">
        <f t="shared" si="24"/>
        <v>425.76926172778735</v>
      </c>
      <c r="Z55" s="17">
        <f t="shared" si="25"/>
        <v>370.79029456517588</v>
      </c>
      <c r="AA55" s="17">
        <f t="shared" si="26"/>
        <v>378.59094596053586</v>
      </c>
      <c r="AB55" s="17">
        <f t="shared" si="27"/>
        <v>369.77779682837809</v>
      </c>
      <c r="AC55" s="17">
        <v>0</v>
      </c>
      <c r="AD55" s="17">
        <f t="shared" si="28"/>
        <v>0</v>
      </c>
      <c r="AE55" s="17">
        <f t="shared" si="29"/>
        <v>0</v>
      </c>
      <c r="AF55" s="17">
        <f t="shared" si="30"/>
        <v>0</v>
      </c>
      <c r="AG55" s="17">
        <f t="shared" si="31"/>
        <v>0</v>
      </c>
      <c r="AH55" s="17">
        <f t="shared" si="32"/>
        <v>0</v>
      </c>
      <c r="AI55" s="17">
        <f t="shared" si="33"/>
        <v>0</v>
      </c>
      <c r="AJ55" s="17">
        <f t="shared" si="34"/>
        <v>0</v>
      </c>
      <c r="AK55" s="17">
        <f t="shared" si="35"/>
        <v>0</v>
      </c>
      <c r="AL55" s="17">
        <f t="shared" si="36"/>
        <v>0</v>
      </c>
      <c r="AM55" s="17">
        <f t="shared" si="37"/>
        <v>0</v>
      </c>
      <c r="AN55" s="17">
        <f t="shared" si="38"/>
        <v>0</v>
      </c>
      <c r="AO55" s="17">
        <f t="shared" si="39"/>
        <v>0</v>
      </c>
      <c r="AP55" s="17">
        <f t="shared" si="40"/>
        <v>25000</v>
      </c>
      <c r="AQ55" s="18">
        <v>3121.3548082059783</v>
      </c>
      <c r="AR55" s="18">
        <v>3732.8472592058192</v>
      </c>
      <c r="AS55" s="18">
        <v>3303.5971796991676</v>
      </c>
      <c r="AT55" s="18">
        <v>2502.3477453992673</v>
      </c>
      <c r="AU55" s="18">
        <v>3629.0001336878668</v>
      </c>
      <c r="AV55" s="18">
        <v>2973.9615833390621</v>
      </c>
      <c r="AW55" s="18">
        <v>2960.7857607041947</v>
      </c>
      <c r="AX55" s="18">
        <v>2010.6486911972988</v>
      </c>
      <c r="AY55" s="18">
        <v>2980.3848320945117</v>
      </c>
      <c r="AZ55" s="18">
        <v>2595.5320619562312</v>
      </c>
      <c r="BA55" s="18">
        <v>2650.136621723751</v>
      </c>
      <c r="BB55" s="18">
        <v>2588.4445777986466</v>
      </c>
      <c r="BC55" s="23">
        <v>8.9181565948742242E-2</v>
      </c>
      <c r="BD55" s="23">
        <v>0.10665277883445198</v>
      </c>
      <c r="BE55" s="23">
        <v>9.438849084854764E-2</v>
      </c>
      <c r="BF55" s="23">
        <v>7.149564986855049E-2</v>
      </c>
      <c r="BG55" s="23">
        <v>0.10368571810536763</v>
      </c>
      <c r="BH55" s="23">
        <v>8.4970330952544637E-2</v>
      </c>
      <c r="BI55" s="23">
        <v>8.4593878877262704E-2</v>
      </c>
      <c r="BJ55" s="23">
        <v>5.7447105462779965E-2</v>
      </c>
      <c r="BK55" s="23">
        <v>8.5153852345557474E-2</v>
      </c>
      <c r="BL55" s="23">
        <v>7.4158058913035174E-2</v>
      </c>
      <c r="BM55" s="23">
        <v>7.5718189192107169E-2</v>
      </c>
      <c r="BN55" s="23">
        <v>7.3955559365675619E-2</v>
      </c>
      <c r="BO55" s="23">
        <f t="shared" si="41"/>
        <v>1.0014011787146229</v>
      </c>
    </row>
    <row r="56" spans="1:67" x14ac:dyDescent="0.25">
      <c r="A56" s="16">
        <v>5318</v>
      </c>
      <c r="B56" s="16" t="s">
        <v>252</v>
      </c>
      <c r="C56" s="17">
        <v>30000</v>
      </c>
      <c r="D56" s="17">
        <f t="shared" si="4"/>
        <v>2675.4469784622675</v>
      </c>
      <c r="E56" s="17">
        <f t="shared" si="5"/>
        <v>3199.5833650335594</v>
      </c>
      <c r="F56" s="17">
        <f t="shared" si="6"/>
        <v>2831.6547254564293</v>
      </c>
      <c r="G56" s="17">
        <f t="shared" si="7"/>
        <v>2144.8694960565149</v>
      </c>
      <c r="H56" s="17">
        <f t="shared" si="8"/>
        <v>3110.5715431610288</v>
      </c>
      <c r="I56" s="17">
        <f t="shared" si="9"/>
        <v>2549.1099285763389</v>
      </c>
      <c r="J56" s="17">
        <f t="shared" si="10"/>
        <v>2537.8163663178811</v>
      </c>
      <c r="K56" s="17">
        <f t="shared" si="11"/>
        <v>1723.413163883399</v>
      </c>
      <c r="L56" s="17">
        <f t="shared" si="12"/>
        <v>2554.6155703667241</v>
      </c>
      <c r="M56" s="17">
        <f t="shared" si="13"/>
        <v>2224.7417673910554</v>
      </c>
      <c r="N56" s="17">
        <f t="shared" si="14"/>
        <v>2271.5456757632151</v>
      </c>
      <c r="O56" s="17">
        <f t="shared" si="15"/>
        <v>2218.6667809702685</v>
      </c>
      <c r="P56" s="17">
        <v>0</v>
      </c>
      <c r="Q56" s="17">
        <f t="shared" si="16"/>
        <v>0</v>
      </c>
      <c r="R56" s="17">
        <f t="shared" si="17"/>
        <v>0</v>
      </c>
      <c r="S56" s="17">
        <f t="shared" si="18"/>
        <v>0</v>
      </c>
      <c r="T56" s="17">
        <f t="shared" si="19"/>
        <v>0</v>
      </c>
      <c r="U56" s="17">
        <f t="shared" si="20"/>
        <v>0</v>
      </c>
      <c r="V56" s="17">
        <f t="shared" si="21"/>
        <v>0</v>
      </c>
      <c r="W56" s="17">
        <f t="shared" si="22"/>
        <v>0</v>
      </c>
      <c r="X56" s="17">
        <f t="shared" si="23"/>
        <v>0</v>
      </c>
      <c r="Y56" s="17">
        <f t="shared" si="24"/>
        <v>0</v>
      </c>
      <c r="Z56" s="17">
        <f t="shared" si="25"/>
        <v>0</v>
      </c>
      <c r="AA56" s="17">
        <f t="shared" si="26"/>
        <v>0</v>
      </c>
      <c r="AB56" s="17">
        <f t="shared" si="27"/>
        <v>0</v>
      </c>
      <c r="AC56" s="17">
        <v>0</v>
      </c>
      <c r="AD56" s="17">
        <f t="shared" si="28"/>
        <v>0</v>
      </c>
      <c r="AE56" s="17">
        <f t="shared" si="29"/>
        <v>0</v>
      </c>
      <c r="AF56" s="17">
        <f t="shared" si="30"/>
        <v>0</v>
      </c>
      <c r="AG56" s="17">
        <f t="shared" si="31"/>
        <v>0</v>
      </c>
      <c r="AH56" s="17">
        <f t="shared" si="32"/>
        <v>0</v>
      </c>
      <c r="AI56" s="17">
        <f t="shared" si="33"/>
        <v>0</v>
      </c>
      <c r="AJ56" s="17">
        <f t="shared" si="34"/>
        <v>0</v>
      </c>
      <c r="AK56" s="17">
        <f t="shared" si="35"/>
        <v>0</v>
      </c>
      <c r="AL56" s="17">
        <f t="shared" si="36"/>
        <v>0</v>
      </c>
      <c r="AM56" s="17">
        <f t="shared" si="37"/>
        <v>0</v>
      </c>
      <c r="AN56" s="17">
        <f t="shared" si="38"/>
        <v>0</v>
      </c>
      <c r="AO56" s="17">
        <f t="shared" si="39"/>
        <v>0</v>
      </c>
      <c r="AP56" s="17">
        <f t="shared" si="40"/>
        <v>30000</v>
      </c>
      <c r="AQ56" s="18">
        <v>3121.3548082059783</v>
      </c>
      <c r="AR56" s="18">
        <v>3732.8472592058192</v>
      </c>
      <c r="AS56" s="18">
        <v>3303.5971796991676</v>
      </c>
      <c r="AT56" s="18">
        <v>2502.3477453992673</v>
      </c>
      <c r="AU56" s="18">
        <v>3629.0001336878668</v>
      </c>
      <c r="AV56" s="18">
        <v>2973.9615833390621</v>
      </c>
      <c r="AW56" s="18">
        <v>2960.7857607041947</v>
      </c>
      <c r="AX56" s="18">
        <v>2010.6486911972988</v>
      </c>
      <c r="AY56" s="18">
        <v>2980.3848320945117</v>
      </c>
      <c r="AZ56" s="18">
        <v>2595.5320619562312</v>
      </c>
      <c r="BA56" s="18">
        <v>2650.136621723751</v>
      </c>
      <c r="BB56" s="18">
        <v>2588.4445777986466</v>
      </c>
      <c r="BC56" s="23">
        <v>8.9181565948742242E-2</v>
      </c>
      <c r="BD56" s="23">
        <v>0.10665277883445198</v>
      </c>
      <c r="BE56" s="23">
        <v>9.438849084854764E-2</v>
      </c>
      <c r="BF56" s="23">
        <v>7.149564986855049E-2</v>
      </c>
      <c r="BG56" s="23">
        <v>0.10368571810536763</v>
      </c>
      <c r="BH56" s="23">
        <v>8.4970330952544637E-2</v>
      </c>
      <c r="BI56" s="23">
        <v>8.4593878877262704E-2</v>
      </c>
      <c r="BJ56" s="23">
        <v>5.7447105462779965E-2</v>
      </c>
      <c r="BK56" s="23">
        <v>8.5153852345557474E-2</v>
      </c>
      <c r="BL56" s="23">
        <v>7.4158058913035174E-2</v>
      </c>
      <c r="BM56" s="23">
        <v>7.5718189192107169E-2</v>
      </c>
      <c r="BN56" s="23">
        <v>7.3955559365675619E-2</v>
      </c>
      <c r="BO56" s="23">
        <f t="shared" si="41"/>
        <v>1.0014011787146229</v>
      </c>
    </row>
    <row r="57" spans="1:67" x14ac:dyDescent="0.25">
      <c r="A57" s="16">
        <v>1730</v>
      </c>
      <c r="B57" s="16" t="s">
        <v>253</v>
      </c>
      <c r="C57" s="17">
        <v>50000</v>
      </c>
      <c r="D57" s="17">
        <f t="shared" si="4"/>
        <v>4459.0782974371123</v>
      </c>
      <c r="E57" s="17">
        <f t="shared" si="5"/>
        <v>5332.6389417225992</v>
      </c>
      <c r="F57" s="17">
        <f t="shared" si="6"/>
        <v>4719.4245424273822</v>
      </c>
      <c r="G57" s="17">
        <f t="shared" si="7"/>
        <v>3574.7824934275245</v>
      </c>
      <c r="H57" s="17">
        <f t="shared" si="8"/>
        <v>5184.2859052683816</v>
      </c>
      <c r="I57" s="17">
        <f t="shared" si="9"/>
        <v>4248.5165476272323</v>
      </c>
      <c r="J57" s="17">
        <f t="shared" si="10"/>
        <v>4229.6939438631352</v>
      </c>
      <c r="K57" s="17">
        <f t="shared" si="11"/>
        <v>2872.3552731389982</v>
      </c>
      <c r="L57" s="17">
        <f t="shared" si="12"/>
        <v>4257.692617277874</v>
      </c>
      <c r="M57" s="17">
        <f t="shared" si="13"/>
        <v>3707.9029456517587</v>
      </c>
      <c r="N57" s="17">
        <f t="shared" si="14"/>
        <v>3785.9094596053583</v>
      </c>
      <c r="O57" s="17">
        <f t="shared" si="15"/>
        <v>3697.7779682837809</v>
      </c>
      <c r="P57" s="17">
        <v>0</v>
      </c>
      <c r="Q57" s="17">
        <f t="shared" si="16"/>
        <v>0</v>
      </c>
      <c r="R57" s="17">
        <f t="shared" si="17"/>
        <v>0</v>
      </c>
      <c r="S57" s="17">
        <f t="shared" si="18"/>
        <v>0</v>
      </c>
      <c r="T57" s="17">
        <f t="shared" si="19"/>
        <v>0</v>
      </c>
      <c r="U57" s="17">
        <f t="shared" si="20"/>
        <v>0</v>
      </c>
      <c r="V57" s="17">
        <f t="shared" si="21"/>
        <v>0</v>
      </c>
      <c r="W57" s="17">
        <f t="shared" si="22"/>
        <v>0</v>
      </c>
      <c r="X57" s="17">
        <f t="shared" si="23"/>
        <v>0</v>
      </c>
      <c r="Y57" s="17">
        <f t="shared" si="24"/>
        <v>0</v>
      </c>
      <c r="Z57" s="17">
        <f t="shared" si="25"/>
        <v>0</v>
      </c>
      <c r="AA57" s="17">
        <f t="shared" si="26"/>
        <v>0</v>
      </c>
      <c r="AB57" s="17">
        <f t="shared" si="27"/>
        <v>0</v>
      </c>
      <c r="AC57" s="17">
        <v>0</v>
      </c>
      <c r="AD57" s="17">
        <f t="shared" si="28"/>
        <v>0</v>
      </c>
      <c r="AE57" s="17">
        <f t="shared" si="29"/>
        <v>0</v>
      </c>
      <c r="AF57" s="17">
        <f t="shared" si="30"/>
        <v>0</v>
      </c>
      <c r="AG57" s="17">
        <f t="shared" si="31"/>
        <v>0</v>
      </c>
      <c r="AH57" s="17">
        <f t="shared" si="32"/>
        <v>0</v>
      </c>
      <c r="AI57" s="17">
        <f t="shared" si="33"/>
        <v>0</v>
      </c>
      <c r="AJ57" s="17">
        <f t="shared" si="34"/>
        <v>0</v>
      </c>
      <c r="AK57" s="17">
        <f t="shared" si="35"/>
        <v>0</v>
      </c>
      <c r="AL57" s="17">
        <f t="shared" si="36"/>
        <v>0</v>
      </c>
      <c r="AM57" s="17">
        <f t="shared" si="37"/>
        <v>0</v>
      </c>
      <c r="AN57" s="17">
        <f t="shared" si="38"/>
        <v>0</v>
      </c>
      <c r="AO57" s="17">
        <f t="shared" si="39"/>
        <v>0</v>
      </c>
      <c r="AP57" s="17">
        <f t="shared" si="40"/>
        <v>50000</v>
      </c>
      <c r="AQ57" s="18">
        <v>3032.1732422572363</v>
      </c>
      <c r="AR57" s="18">
        <v>3626.1944803713673</v>
      </c>
      <c r="AS57" s="18">
        <v>3209.2086888506196</v>
      </c>
      <c r="AT57" s="18">
        <v>2430.8520955307167</v>
      </c>
      <c r="AU57" s="18">
        <v>3525.3144155824994</v>
      </c>
      <c r="AV57" s="18">
        <v>2888.9912523865178</v>
      </c>
      <c r="AW57" s="18">
        <v>2876.1918818269319</v>
      </c>
      <c r="AX57" s="18">
        <v>1953.2015857345189</v>
      </c>
      <c r="AY57" s="18">
        <v>2895.2309797489543</v>
      </c>
      <c r="AZ57" s="18">
        <v>2521.3740030431959</v>
      </c>
      <c r="BA57" s="18">
        <v>2574.4184325316437</v>
      </c>
      <c r="BB57" s="18">
        <v>2514.4890184329711</v>
      </c>
      <c r="BC57" s="23">
        <v>8.9181565948742242E-2</v>
      </c>
      <c r="BD57" s="23">
        <v>0.10665277883445198</v>
      </c>
      <c r="BE57" s="23">
        <v>9.438849084854764E-2</v>
      </c>
      <c r="BF57" s="23">
        <v>7.149564986855049E-2</v>
      </c>
      <c r="BG57" s="23">
        <v>0.10368571810536763</v>
      </c>
      <c r="BH57" s="23">
        <v>8.4970330952544637E-2</v>
      </c>
      <c r="BI57" s="23">
        <v>8.4593878877262704E-2</v>
      </c>
      <c r="BJ57" s="23">
        <v>5.7447105462779965E-2</v>
      </c>
      <c r="BK57" s="23">
        <v>8.5153852345557474E-2</v>
      </c>
      <c r="BL57" s="23">
        <v>7.4158058913035174E-2</v>
      </c>
      <c r="BM57" s="23">
        <v>7.5718189192107169E-2</v>
      </c>
      <c r="BN57" s="23">
        <v>7.3955559365675619E-2</v>
      </c>
      <c r="BO57" s="23">
        <f t="shared" si="41"/>
        <v>1.0014011787146229</v>
      </c>
    </row>
    <row r="58" spans="1:67" x14ac:dyDescent="0.25">
      <c r="A58" s="16">
        <v>6630</v>
      </c>
      <c r="B58" s="16" t="s">
        <v>254</v>
      </c>
      <c r="C58" s="17">
        <v>33000</v>
      </c>
      <c r="D58" s="17">
        <f t="shared" ref="D58:O58" si="42">+$C58*BC58</f>
        <v>2942.9916763084939</v>
      </c>
      <c r="E58" s="17">
        <f t="shared" si="42"/>
        <v>3519.5417015369153</v>
      </c>
      <c r="F58" s="17">
        <f t="shared" si="42"/>
        <v>3114.8201980020722</v>
      </c>
      <c r="G58" s="17">
        <f t="shared" si="42"/>
        <v>2359.3564456621662</v>
      </c>
      <c r="H58" s="17">
        <f t="shared" si="42"/>
        <v>3421.6286974771315</v>
      </c>
      <c r="I58" s="17">
        <f t="shared" si="42"/>
        <v>2804.0209214339729</v>
      </c>
      <c r="J58" s="17">
        <f t="shared" si="42"/>
        <v>2791.5980029496691</v>
      </c>
      <c r="K58" s="17">
        <f t="shared" si="42"/>
        <v>1895.7544802717389</v>
      </c>
      <c r="L58" s="17">
        <f t="shared" si="42"/>
        <v>2810.0771274033968</v>
      </c>
      <c r="M58" s="17">
        <f t="shared" si="42"/>
        <v>2447.2159441301606</v>
      </c>
      <c r="N58" s="17">
        <f t="shared" si="42"/>
        <v>2498.7002433395364</v>
      </c>
      <c r="O58" s="17">
        <f t="shared" si="42"/>
        <v>2440.5334590672956</v>
      </c>
      <c r="P58" s="17">
        <v>0</v>
      </c>
      <c r="Q58" s="17">
        <f t="shared" ref="Q58:AB58" si="43">+$P58*BC58</f>
        <v>0</v>
      </c>
      <c r="R58" s="17">
        <f t="shared" si="43"/>
        <v>0</v>
      </c>
      <c r="S58" s="17">
        <f t="shared" si="43"/>
        <v>0</v>
      </c>
      <c r="T58" s="17">
        <f t="shared" si="43"/>
        <v>0</v>
      </c>
      <c r="U58" s="17">
        <f t="shared" si="43"/>
        <v>0</v>
      </c>
      <c r="V58" s="17">
        <f t="shared" si="43"/>
        <v>0</v>
      </c>
      <c r="W58" s="17">
        <f t="shared" si="43"/>
        <v>0</v>
      </c>
      <c r="X58" s="17">
        <f t="shared" si="43"/>
        <v>0</v>
      </c>
      <c r="Y58" s="17">
        <f t="shared" si="43"/>
        <v>0</v>
      </c>
      <c r="Z58" s="17">
        <f t="shared" si="43"/>
        <v>0</v>
      </c>
      <c r="AA58" s="17">
        <f t="shared" si="43"/>
        <v>0</v>
      </c>
      <c r="AB58" s="17">
        <f t="shared" si="43"/>
        <v>0</v>
      </c>
      <c r="AC58" s="17">
        <v>0</v>
      </c>
      <c r="AD58" s="17">
        <f t="shared" ref="AD58:AO58" si="44">+$AC58*BC58</f>
        <v>0</v>
      </c>
      <c r="AE58" s="17">
        <f t="shared" si="44"/>
        <v>0</v>
      </c>
      <c r="AF58" s="17">
        <f t="shared" si="44"/>
        <v>0</v>
      </c>
      <c r="AG58" s="17">
        <f t="shared" si="44"/>
        <v>0</v>
      </c>
      <c r="AH58" s="17">
        <f t="shared" si="44"/>
        <v>0</v>
      </c>
      <c r="AI58" s="17">
        <f t="shared" si="44"/>
        <v>0</v>
      </c>
      <c r="AJ58" s="17">
        <f t="shared" si="44"/>
        <v>0</v>
      </c>
      <c r="AK58" s="17">
        <f t="shared" si="44"/>
        <v>0</v>
      </c>
      <c r="AL58" s="17">
        <f t="shared" si="44"/>
        <v>0</v>
      </c>
      <c r="AM58" s="17">
        <f t="shared" si="44"/>
        <v>0</v>
      </c>
      <c r="AN58" s="17">
        <f t="shared" si="44"/>
        <v>0</v>
      </c>
      <c r="AO58" s="17">
        <f t="shared" si="44"/>
        <v>0</v>
      </c>
      <c r="AP58" s="17">
        <f t="shared" si="40"/>
        <v>33000</v>
      </c>
      <c r="AQ58" s="18">
        <v>2942.9916763084939</v>
      </c>
      <c r="AR58" s="18">
        <v>3519.5417015369153</v>
      </c>
      <c r="AS58" s="18">
        <v>3114.8201980020722</v>
      </c>
      <c r="AT58" s="18">
        <v>2359.3564456621662</v>
      </c>
      <c r="AU58" s="18">
        <v>3421.6286974771315</v>
      </c>
      <c r="AV58" s="18">
        <v>2804.0209214339729</v>
      </c>
      <c r="AW58" s="18">
        <v>2791.5980029496691</v>
      </c>
      <c r="AX58" s="18">
        <v>1895.7544802717389</v>
      </c>
      <c r="AY58" s="18">
        <v>2810.0771274033968</v>
      </c>
      <c r="AZ58" s="18">
        <v>2447.2159441301606</v>
      </c>
      <c r="BA58" s="18">
        <v>2498.7002433395364</v>
      </c>
      <c r="BB58" s="18">
        <v>2440.5334590672956</v>
      </c>
      <c r="BC58" s="23">
        <v>8.9181565948742242E-2</v>
      </c>
      <c r="BD58" s="23">
        <v>0.10665277883445198</v>
      </c>
      <c r="BE58" s="23">
        <v>9.438849084854764E-2</v>
      </c>
      <c r="BF58" s="23">
        <v>7.149564986855049E-2</v>
      </c>
      <c r="BG58" s="23">
        <v>0.10368571810536763</v>
      </c>
      <c r="BH58" s="23">
        <v>8.4970330952544637E-2</v>
      </c>
      <c r="BI58" s="23">
        <v>8.4593878877262704E-2</v>
      </c>
      <c r="BJ58" s="23">
        <v>5.7447105462779965E-2</v>
      </c>
      <c r="BK58" s="23">
        <v>8.5153852345557474E-2</v>
      </c>
      <c r="BL58" s="23">
        <v>7.4158058913035174E-2</v>
      </c>
      <c r="BM58" s="23">
        <v>7.5718189192107169E-2</v>
      </c>
      <c r="BN58" s="23">
        <v>7.3955559365675619E-2</v>
      </c>
      <c r="BO58" s="23">
        <f>SUM(BC58:BN58)</f>
        <v>1.0014011787146229</v>
      </c>
    </row>
    <row r="59" spans="1:67" x14ac:dyDescent="0.25">
      <c r="A59" s="16">
        <v>2427</v>
      </c>
      <c r="B59" s="16" t="s">
        <v>255</v>
      </c>
      <c r="C59" s="17">
        <v>0</v>
      </c>
      <c r="D59" s="17">
        <f t="shared" si="4"/>
        <v>0</v>
      </c>
      <c r="E59" s="17">
        <f t="shared" si="5"/>
        <v>0</v>
      </c>
      <c r="F59" s="17">
        <f t="shared" si="6"/>
        <v>0</v>
      </c>
      <c r="G59" s="17">
        <f t="shared" si="7"/>
        <v>0</v>
      </c>
      <c r="H59" s="17">
        <f t="shared" si="8"/>
        <v>0</v>
      </c>
      <c r="I59" s="17">
        <f t="shared" si="9"/>
        <v>0</v>
      </c>
      <c r="J59" s="17">
        <f t="shared" si="10"/>
        <v>0</v>
      </c>
      <c r="K59" s="17">
        <f t="shared" si="11"/>
        <v>0</v>
      </c>
      <c r="L59" s="17">
        <f t="shared" si="12"/>
        <v>0</v>
      </c>
      <c r="M59" s="17">
        <f t="shared" si="13"/>
        <v>0</v>
      </c>
      <c r="N59" s="17">
        <f t="shared" si="14"/>
        <v>0</v>
      </c>
      <c r="O59" s="17">
        <f t="shared" si="15"/>
        <v>0</v>
      </c>
      <c r="P59" s="17">
        <v>0</v>
      </c>
      <c r="Q59" s="17">
        <f t="shared" si="16"/>
        <v>0</v>
      </c>
      <c r="R59" s="17">
        <f t="shared" si="17"/>
        <v>0</v>
      </c>
      <c r="S59" s="17">
        <f t="shared" si="18"/>
        <v>0</v>
      </c>
      <c r="T59" s="17">
        <f t="shared" si="19"/>
        <v>0</v>
      </c>
      <c r="U59" s="17">
        <f t="shared" si="20"/>
        <v>0</v>
      </c>
      <c r="V59" s="17">
        <f t="shared" si="21"/>
        <v>0</v>
      </c>
      <c r="W59" s="17">
        <f t="shared" si="22"/>
        <v>0</v>
      </c>
      <c r="X59" s="17">
        <f t="shared" si="23"/>
        <v>0</v>
      </c>
      <c r="Y59" s="17">
        <f t="shared" si="24"/>
        <v>0</v>
      </c>
      <c r="Z59" s="17">
        <f t="shared" si="25"/>
        <v>0</v>
      </c>
      <c r="AA59" s="17">
        <f t="shared" si="26"/>
        <v>0</v>
      </c>
      <c r="AB59" s="17">
        <f t="shared" si="27"/>
        <v>0</v>
      </c>
      <c r="AC59" s="17">
        <v>40000</v>
      </c>
      <c r="AD59" s="17">
        <f t="shared" si="28"/>
        <v>3567.2626379496896</v>
      </c>
      <c r="AE59" s="17">
        <f t="shared" si="29"/>
        <v>4266.1111533780795</v>
      </c>
      <c r="AF59" s="17">
        <f t="shared" si="30"/>
        <v>3775.5396339419058</v>
      </c>
      <c r="AG59" s="17">
        <f t="shared" si="31"/>
        <v>2859.8259947420197</v>
      </c>
      <c r="AH59" s="17">
        <f t="shared" si="32"/>
        <v>4147.4287242147047</v>
      </c>
      <c r="AI59" s="17">
        <f t="shared" si="33"/>
        <v>3398.8132381017854</v>
      </c>
      <c r="AJ59" s="17">
        <f t="shared" si="34"/>
        <v>3383.7551550905082</v>
      </c>
      <c r="AK59" s="17">
        <f t="shared" si="35"/>
        <v>2297.8842185111985</v>
      </c>
      <c r="AL59" s="17">
        <f t="shared" si="36"/>
        <v>3406.1540938222988</v>
      </c>
      <c r="AM59" s="17">
        <f t="shared" si="37"/>
        <v>2966.3223565214071</v>
      </c>
      <c r="AN59" s="17">
        <f t="shared" si="38"/>
        <v>3028.7275676842869</v>
      </c>
      <c r="AO59" s="17">
        <f t="shared" si="39"/>
        <v>2958.2223746270247</v>
      </c>
      <c r="AP59" s="17">
        <f t="shared" si="40"/>
        <v>40000</v>
      </c>
      <c r="AQ59" s="18">
        <v>2942.9916763084939</v>
      </c>
      <c r="AR59" s="18">
        <v>3519.5417015369153</v>
      </c>
      <c r="AS59" s="18">
        <v>3114.8201980020722</v>
      </c>
      <c r="AT59" s="18">
        <v>2359.3564456621662</v>
      </c>
      <c r="AU59" s="18">
        <v>3421.6286974771315</v>
      </c>
      <c r="AV59" s="18">
        <v>2804.0209214339729</v>
      </c>
      <c r="AW59" s="18">
        <v>2791.5980029496691</v>
      </c>
      <c r="AX59" s="18">
        <v>1895.7544802717389</v>
      </c>
      <c r="AY59" s="18">
        <v>2810.0771274033968</v>
      </c>
      <c r="AZ59" s="18">
        <v>2447.2159441301606</v>
      </c>
      <c r="BA59" s="18">
        <v>2498.7002433395364</v>
      </c>
      <c r="BB59" s="18">
        <v>2440.5334590672956</v>
      </c>
      <c r="BC59" s="23">
        <v>8.9181565948742242E-2</v>
      </c>
      <c r="BD59" s="23">
        <v>0.10665277883445198</v>
      </c>
      <c r="BE59" s="23">
        <v>9.438849084854764E-2</v>
      </c>
      <c r="BF59" s="23">
        <v>7.149564986855049E-2</v>
      </c>
      <c r="BG59" s="23">
        <v>0.10368571810536763</v>
      </c>
      <c r="BH59" s="23">
        <v>8.4970330952544637E-2</v>
      </c>
      <c r="BI59" s="23">
        <v>8.4593878877262704E-2</v>
      </c>
      <c r="BJ59" s="23">
        <v>5.7447105462779965E-2</v>
      </c>
      <c r="BK59" s="23">
        <v>8.5153852345557474E-2</v>
      </c>
      <c r="BL59" s="23">
        <v>7.4158058913035174E-2</v>
      </c>
      <c r="BM59" s="23">
        <v>7.5718189192107169E-2</v>
      </c>
      <c r="BN59" s="23">
        <v>7.3955559365675619E-2</v>
      </c>
      <c r="BO59" s="23">
        <f t="shared" si="41"/>
        <v>1.0014011787146229</v>
      </c>
    </row>
    <row r="60" spans="1:67" x14ac:dyDescent="0.25">
      <c r="A60" s="16">
        <v>3088</v>
      </c>
      <c r="B60" s="16" t="s">
        <v>256</v>
      </c>
      <c r="C60" s="17">
        <v>0</v>
      </c>
      <c r="D60" s="17">
        <f t="shared" si="4"/>
        <v>0</v>
      </c>
      <c r="E60" s="17">
        <f t="shared" si="5"/>
        <v>0</v>
      </c>
      <c r="F60" s="17">
        <f t="shared" si="6"/>
        <v>0</v>
      </c>
      <c r="G60" s="17">
        <f t="shared" si="7"/>
        <v>0</v>
      </c>
      <c r="H60" s="17">
        <f t="shared" si="8"/>
        <v>0</v>
      </c>
      <c r="I60" s="17">
        <f t="shared" si="9"/>
        <v>0</v>
      </c>
      <c r="J60" s="17">
        <f t="shared" si="10"/>
        <v>0</v>
      </c>
      <c r="K60" s="17">
        <f t="shared" si="11"/>
        <v>0</v>
      </c>
      <c r="L60" s="17">
        <f t="shared" si="12"/>
        <v>0</v>
      </c>
      <c r="M60" s="17">
        <f t="shared" si="13"/>
        <v>0</v>
      </c>
      <c r="N60" s="17">
        <f t="shared" si="14"/>
        <v>0</v>
      </c>
      <c r="O60" s="17">
        <f t="shared" si="15"/>
        <v>0</v>
      </c>
      <c r="P60" s="17">
        <v>40000</v>
      </c>
      <c r="Q60" s="17">
        <f t="shared" si="16"/>
        <v>3567.2626379496896</v>
      </c>
      <c r="R60" s="17">
        <f t="shared" si="17"/>
        <v>4266.1111533780795</v>
      </c>
      <c r="S60" s="17">
        <f t="shared" si="18"/>
        <v>3775.5396339419058</v>
      </c>
      <c r="T60" s="17">
        <f t="shared" si="19"/>
        <v>2859.8259947420197</v>
      </c>
      <c r="U60" s="17">
        <f t="shared" si="20"/>
        <v>4147.4287242147047</v>
      </c>
      <c r="V60" s="17">
        <f t="shared" si="21"/>
        <v>3398.8132381017854</v>
      </c>
      <c r="W60" s="17">
        <f t="shared" si="22"/>
        <v>3383.7551550905082</v>
      </c>
      <c r="X60" s="17">
        <f t="shared" si="23"/>
        <v>2297.8842185111985</v>
      </c>
      <c r="Y60" s="17">
        <f t="shared" si="24"/>
        <v>3406.1540938222988</v>
      </c>
      <c r="Z60" s="17">
        <f t="shared" si="25"/>
        <v>2966.3223565214071</v>
      </c>
      <c r="AA60" s="17">
        <f t="shared" si="26"/>
        <v>3028.7275676842869</v>
      </c>
      <c r="AB60" s="17">
        <f t="shared" si="27"/>
        <v>2958.2223746270247</v>
      </c>
      <c r="AC60" s="17">
        <v>0</v>
      </c>
      <c r="AD60" s="17">
        <f t="shared" si="28"/>
        <v>0</v>
      </c>
      <c r="AE60" s="17">
        <f t="shared" si="29"/>
        <v>0</v>
      </c>
      <c r="AF60" s="17">
        <f t="shared" si="30"/>
        <v>0</v>
      </c>
      <c r="AG60" s="17">
        <f t="shared" si="31"/>
        <v>0</v>
      </c>
      <c r="AH60" s="17">
        <f t="shared" si="32"/>
        <v>0</v>
      </c>
      <c r="AI60" s="17">
        <f t="shared" si="33"/>
        <v>0</v>
      </c>
      <c r="AJ60" s="17">
        <f t="shared" si="34"/>
        <v>0</v>
      </c>
      <c r="AK60" s="17">
        <f t="shared" si="35"/>
        <v>0</v>
      </c>
      <c r="AL60" s="17">
        <f t="shared" si="36"/>
        <v>0</v>
      </c>
      <c r="AM60" s="17">
        <f t="shared" si="37"/>
        <v>0</v>
      </c>
      <c r="AN60" s="17">
        <f t="shared" si="38"/>
        <v>0</v>
      </c>
      <c r="AO60" s="17">
        <f t="shared" si="39"/>
        <v>0</v>
      </c>
      <c r="AP60" s="17">
        <f t="shared" si="40"/>
        <v>40000</v>
      </c>
      <c r="AQ60" s="18">
        <v>2684.3651350571413</v>
      </c>
      <c r="AR60" s="18">
        <v>3210.2486429170049</v>
      </c>
      <c r="AS60" s="18">
        <v>2841.0935745412839</v>
      </c>
      <c r="AT60" s="18">
        <v>2152.0190610433697</v>
      </c>
      <c r="AU60" s="18">
        <v>3120.9401149715654</v>
      </c>
      <c r="AV60" s="18">
        <v>2557.6069616715936</v>
      </c>
      <c r="AW60" s="18">
        <v>2546.2757542056074</v>
      </c>
      <c r="AX60" s="18">
        <v>1729.1578744296769</v>
      </c>
      <c r="AY60" s="18">
        <v>2563.1309556012798</v>
      </c>
      <c r="AZ60" s="18">
        <v>2232.157573282359</v>
      </c>
      <c r="BA60" s="18">
        <v>2279.1174946824258</v>
      </c>
      <c r="BB60" s="18">
        <v>2226.0623369068362</v>
      </c>
      <c r="BC60" s="23">
        <v>8.9181565948742242E-2</v>
      </c>
      <c r="BD60" s="23">
        <v>0.10665277883445198</v>
      </c>
      <c r="BE60" s="23">
        <v>9.438849084854764E-2</v>
      </c>
      <c r="BF60" s="23">
        <v>7.149564986855049E-2</v>
      </c>
      <c r="BG60" s="23">
        <v>0.10368571810536763</v>
      </c>
      <c r="BH60" s="23">
        <v>8.4970330952544637E-2</v>
      </c>
      <c r="BI60" s="23">
        <v>8.4593878877262704E-2</v>
      </c>
      <c r="BJ60" s="23">
        <v>5.7447105462779965E-2</v>
      </c>
      <c r="BK60" s="23">
        <v>8.5153852345557474E-2</v>
      </c>
      <c r="BL60" s="23">
        <v>7.4158058913035174E-2</v>
      </c>
      <c r="BM60" s="23">
        <v>7.5718189192107169E-2</v>
      </c>
      <c r="BN60" s="23">
        <v>7.3955559365675619E-2</v>
      </c>
      <c r="BO60" s="23">
        <f t="shared" si="41"/>
        <v>1.0014011787146229</v>
      </c>
    </row>
    <row r="61" spans="1:67" x14ac:dyDescent="0.25">
      <c r="A61" s="16">
        <v>300</v>
      </c>
      <c r="B61" s="16" t="s">
        <v>257</v>
      </c>
      <c r="C61" s="17">
        <v>0</v>
      </c>
      <c r="D61" s="17">
        <f t="shared" si="4"/>
        <v>0</v>
      </c>
      <c r="E61" s="17">
        <f t="shared" si="5"/>
        <v>0</v>
      </c>
      <c r="F61" s="17">
        <f t="shared" si="6"/>
        <v>0</v>
      </c>
      <c r="G61" s="17">
        <f t="shared" si="7"/>
        <v>0</v>
      </c>
      <c r="H61" s="17">
        <f t="shared" si="8"/>
        <v>0</v>
      </c>
      <c r="I61" s="17">
        <f t="shared" si="9"/>
        <v>0</v>
      </c>
      <c r="J61" s="17">
        <f t="shared" si="10"/>
        <v>0</v>
      </c>
      <c r="K61" s="17">
        <f t="shared" si="11"/>
        <v>0</v>
      </c>
      <c r="L61" s="17">
        <f t="shared" si="12"/>
        <v>0</v>
      </c>
      <c r="M61" s="17">
        <f t="shared" si="13"/>
        <v>0</v>
      </c>
      <c r="N61" s="17">
        <f t="shared" si="14"/>
        <v>0</v>
      </c>
      <c r="O61" s="17">
        <f t="shared" si="15"/>
        <v>0</v>
      </c>
      <c r="P61" s="17">
        <v>0</v>
      </c>
      <c r="Q61" s="17">
        <f t="shared" si="16"/>
        <v>0</v>
      </c>
      <c r="R61" s="17">
        <f t="shared" si="17"/>
        <v>0</v>
      </c>
      <c r="S61" s="17">
        <f t="shared" si="18"/>
        <v>0</v>
      </c>
      <c r="T61" s="17">
        <f t="shared" si="19"/>
        <v>0</v>
      </c>
      <c r="U61" s="17">
        <f t="shared" si="20"/>
        <v>0</v>
      </c>
      <c r="V61" s="17">
        <f t="shared" si="21"/>
        <v>0</v>
      </c>
      <c r="W61" s="17">
        <f t="shared" si="22"/>
        <v>0</v>
      </c>
      <c r="X61" s="17">
        <f t="shared" si="23"/>
        <v>0</v>
      </c>
      <c r="Y61" s="17">
        <f t="shared" si="24"/>
        <v>0</v>
      </c>
      <c r="Z61" s="17">
        <f t="shared" si="25"/>
        <v>0</v>
      </c>
      <c r="AA61" s="17">
        <f t="shared" si="26"/>
        <v>0</v>
      </c>
      <c r="AB61" s="17">
        <f t="shared" si="27"/>
        <v>0</v>
      </c>
      <c r="AC61" s="17">
        <v>0</v>
      </c>
      <c r="AD61" s="17">
        <f t="shared" si="28"/>
        <v>0</v>
      </c>
      <c r="AE61" s="17">
        <f t="shared" si="29"/>
        <v>0</v>
      </c>
      <c r="AF61" s="17">
        <f t="shared" si="30"/>
        <v>0</v>
      </c>
      <c r="AG61" s="17">
        <f t="shared" si="31"/>
        <v>0</v>
      </c>
      <c r="AH61" s="17">
        <f t="shared" si="32"/>
        <v>0</v>
      </c>
      <c r="AI61" s="17">
        <f t="shared" si="33"/>
        <v>0</v>
      </c>
      <c r="AJ61" s="17">
        <f t="shared" si="34"/>
        <v>0</v>
      </c>
      <c r="AK61" s="17">
        <f t="shared" si="35"/>
        <v>0</v>
      </c>
      <c r="AL61" s="17">
        <f t="shared" si="36"/>
        <v>0</v>
      </c>
      <c r="AM61" s="17">
        <f t="shared" si="37"/>
        <v>0</v>
      </c>
      <c r="AN61" s="17">
        <f t="shared" si="38"/>
        <v>0</v>
      </c>
      <c r="AO61" s="17">
        <f t="shared" si="39"/>
        <v>0</v>
      </c>
      <c r="AP61" s="17">
        <f t="shared" si="40"/>
        <v>0</v>
      </c>
      <c r="AQ61" s="18">
        <v>3576.1807945445639</v>
      </c>
      <c r="AR61" s="18">
        <v>4276.7764312615245</v>
      </c>
      <c r="AS61" s="18">
        <v>3784.9784830267604</v>
      </c>
      <c r="AT61" s="18">
        <v>2866.9755597288745</v>
      </c>
      <c r="AU61" s="18">
        <v>4157.7972960252418</v>
      </c>
      <c r="AV61" s="18">
        <v>3407.31027119704</v>
      </c>
      <c r="AW61" s="18">
        <v>3392.2145429782345</v>
      </c>
      <c r="AX61" s="18">
        <v>2303.6289290574764</v>
      </c>
      <c r="AY61" s="18">
        <v>3414.6694790568545</v>
      </c>
      <c r="AZ61" s="18">
        <v>2973.7381624127106</v>
      </c>
      <c r="BA61" s="18">
        <v>3036.2993866034976</v>
      </c>
      <c r="BB61" s="18">
        <v>2965.6179305635924</v>
      </c>
      <c r="BC61" s="23">
        <v>8.9181565948742242E-2</v>
      </c>
      <c r="BD61" s="23">
        <v>0.10665277883445198</v>
      </c>
      <c r="BE61" s="23">
        <v>9.438849084854764E-2</v>
      </c>
      <c r="BF61" s="23">
        <v>7.149564986855049E-2</v>
      </c>
      <c r="BG61" s="23">
        <v>0.10368571810536763</v>
      </c>
      <c r="BH61" s="23">
        <v>8.4970330952544637E-2</v>
      </c>
      <c r="BI61" s="23">
        <v>8.4593878877262704E-2</v>
      </c>
      <c r="BJ61" s="23">
        <v>5.7447105462779965E-2</v>
      </c>
      <c r="BK61" s="23">
        <v>8.5153852345557474E-2</v>
      </c>
      <c r="BL61" s="23">
        <v>7.4158058913035174E-2</v>
      </c>
      <c r="BM61" s="23">
        <v>7.5718189192107169E-2</v>
      </c>
      <c r="BN61" s="23">
        <v>7.3955559365675619E-2</v>
      </c>
      <c r="BO61" s="23">
        <f t="shared" si="41"/>
        <v>1.0014011787146229</v>
      </c>
    </row>
    <row r="62" spans="1:67" x14ac:dyDescent="0.25">
      <c r="A62" s="16">
        <v>2497</v>
      </c>
      <c r="B62" s="16" t="s">
        <v>258</v>
      </c>
      <c r="C62" s="17">
        <v>0</v>
      </c>
      <c r="D62" s="17">
        <f t="shared" si="4"/>
        <v>0</v>
      </c>
      <c r="E62" s="17">
        <f t="shared" si="5"/>
        <v>0</v>
      </c>
      <c r="F62" s="17">
        <f t="shared" si="6"/>
        <v>0</v>
      </c>
      <c r="G62" s="17">
        <f t="shared" si="7"/>
        <v>0</v>
      </c>
      <c r="H62" s="17">
        <f t="shared" si="8"/>
        <v>0</v>
      </c>
      <c r="I62" s="17">
        <f t="shared" si="9"/>
        <v>0</v>
      </c>
      <c r="J62" s="17">
        <f t="shared" si="10"/>
        <v>0</v>
      </c>
      <c r="K62" s="17">
        <f t="shared" si="11"/>
        <v>0</v>
      </c>
      <c r="L62" s="17">
        <f t="shared" si="12"/>
        <v>0</v>
      </c>
      <c r="M62" s="17">
        <f t="shared" si="13"/>
        <v>0</v>
      </c>
      <c r="N62" s="17">
        <f t="shared" si="14"/>
        <v>0</v>
      </c>
      <c r="O62" s="17">
        <f t="shared" si="15"/>
        <v>0</v>
      </c>
      <c r="P62" s="17">
        <v>20000</v>
      </c>
      <c r="Q62" s="17">
        <f t="shared" si="16"/>
        <v>1783.6313189748448</v>
      </c>
      <c r="R62" s="17">
        <f t="shared" si="17"/>
        <v>2133.0555766890398</v>
      </c>
      <c r="S62" s="17">
        <f t="shared" si="18"/>
        <v>1887.7698169709529</v>
      </c>
      <c r="T62" s="17">
        <f t="shared" si="19"/>
        <v>1429.9129973710099</v>
      </c>
      <c r="U62" s="17">
        <f t="shared" si="20"/>
        <v>2073.7143621073524</v>
      </c>
      <c r="V62" s="17">
        <f t="shared" si="21"/>
        <v>1699.4066190508927</v>
      </c>
      <c r="W62" s="17">
        <f t="shared" si="22"/>
        <v>1691.8775775452541</v>
      </c>
      <c r="X62" s="17">
        <f t="shared" si="23"/>
        <v>1148.9421092555992</v>
      </c>
      <c r="Y62" s="17">
        <f t="shared" si="24"/>
        <v>1703.0770469111494</v>
      </c>
      <c r="Z62" s="17">
        <f t="shared" si="25"/>
        <v>1483.1611782607035</v>
      </c>
      <c r="AA62" s="17">
        <f t="shared" si="26"/>
        <v>1514.3637838421434</v>
      </c>
      <c r="AB62" s="17">
        <f t="shared" si="27"/>
        <v>1479.1111873135123</v>
      </c>
      <c r="AC62" s="17">
        <v>0</v>
      </c>
      <c r="AD62" s="17">
        <f t="shared" si="28"/>
        <v>0</v>
      </c>
      <c r="AE62" s="17">
        <f t="shared" si="29"/>
        <v>0</v>
      </c>
      <c r="AF62" s="17">
        <f t="shared" si="30"/>
        <v>0</v>
      </c>
      <c r="AG62" s="17">
        <f t="shared" si="31"/>
        <v>0</v>
      </c>
      <c r="AH62" s="17">
        <f t="shared" si="32"/>
        <v>0</v>
      </c>
      <c r="AI62" s="17">
        <f t="shared" si="33"/>
        <v>0</v>
      </c>
      <c r="AJ62" s="17">
        <f t="shared" si="34"/>
        <v>0</v>
      </c>
      <c r="AK62" s="17">
        <f t="shared" si="35"/>
        <v>0</v>
      </c>
      <c r="AL62" s="17">
        <f t="shared" si="36"/>
        <v>0</v>
      </c>
      <c r="AM62" s="17">
        <f t="shared" si="37"/>
        <v>0</v>
      </c>
      <c r="AN62" s="17">
        <f t="shared" si="38"/>
        <v>0</v>
      </c>
      <c r="AO62" s="17">
        <f t="shared" si="39"/>
        <v>0</v>
      </c>
      <c r="AP62" s="17">
        <f t="shared" si="40"/>
        <v>20000</v>
      </c>
      <c r="AQ62" s="18">
        <v>3567.2626379496896</v>
      </c>
      <c r="AR62" s="18">
        <v>4266.1111533780795</v>
      </c>
      <c r="AS62" s="18">
        <v>3775.5396339419058</v>
      </c>
      <c r="AT62" s="18">
        <v>2859.8259947420197</v>
      </c>
      <c r="AU62" s="18">
        <v>4147.4287242147047</v>
      </c>
      <c r="AV62" s="18">
        <v>3398.8132381017854</v>
      </c>
      <c r="AW62" s="18">
        <v>3383.7551550905082</v>
      </c>
      <c r="AX62" s="18">
        <v>2297.8842185111985</v>
      </c>
      <c r="AY62" s="18">
        <v>3406.1540938222988</v>
      </c>
      <c r="AZ62" s="18">
        <v>2966.3223565214071</v>
      </c>
      <c r="BA62" s="18">
        <v>3028.7275676842869</v>
      </c>
      <c r="BB62" s="18">
        <v>2958.2223746270247</v>
      </c>
      <c r="BC62" s="23">
        <v>8.9181565948742242E-2</v>
      </c>
      <c r="BD62" s="23">
        <v>0.10665277883445198</v>
      </c>
      <c r="BE62" s="23">
        <v>9.438849084854764E-2</v>
      </c>
      <c r="BF62" s="23">
        <v>7.149564986855049E-2</v>
      </c>
      <c r="BG62" s="23">
        <v>0.10368571810536763</v>
      </c>
      <c r="BH62" s="23">
        <v>8.4970330952544637E-2</v>
      </c>
      <c r="BI62" s="23">
        <v>8.4593878877262704E-2</v>
      </c>
      <c r="BJ62" s="23">
        <v>5.7447105462779965E-2</v>
      </c>
      <c r="BK62" s="23">
        <v>8.5153852345557474E-2</v>
      </c>
      <c r="BL62" s="23">
        <v>7.4158058913035174E-2</v>
      </c>
      <c r="BM62" s="23">
        <v>7.5718189192107169E-2</v>
      </c>
      <c r="BN62" s="23">
        <v>7.3955559365675619E-2</v>
      </c>
      <c r="BO62" s="23">
        <f t="shared" si="41"/>
        <v>1.0014011787146229</v>
      </c>
    </row>
    <row r="63" spans="1:67" x14ac:dyDescent="0.25">
      <c r="A63" s="16">
        <v>3821</v>
      </c>
      <c r="B63" s="16" t="s">
        <v>259</v>
      </c>
      <c r="C63" s="17">
        <v>30000</v>
      </c>
      <c r="D63" s="17">
        <f t="shared" si="4"/>
        <v>2675.4469784622675</v>
      </c>
      <c r="E63" s="17">
        <f t="shared" si="5"/>
        <v>3199.5833650335594</v>
      </c>
      <c r="F63" s="17">
        <f t="shared" si="6"/>
        <v>2831.6547254564293</v>
      </c>
      <c r="G63" s="17">
        <f t="shared" si="7"/>
        <v>2144.8694960565149</v>
      </c>
      <c r="H63" s="17">
        <f t="shared" si="8"/>
        <v>3110.5715431610288</v>
      </c>
      <c r="I63" s="17">
        <f t="shared" si="9"/>
        <v>2549.1099285763389</v>
      </c>
      <c r="J63" s="17">
        <f t="shared" si="10"/>
        <v>2537.8163663178811</v>
      </c>
      <c r="K63" s="17">
        <f t="shared" si="11"/>
        <v>1723.413163883399</v>
      </c>
      <c r="L63" s="17">
        <f t="shared" si="12"/>
        <v>2554.6155703667241</v>
      </c>
      <c r="M63" s="17">
        <f t="shared" si="13"/>
        <v>2224.7417673910554</v>
      </c>
      <c r="N63" s="17">
        <f t="shared" si="14"/>
        <v>2271.5456757632151</v>
      </c>
      <c r="O63" s="17">
        <f t="shared" si="15"/>
        <v>2218.6667809702685</v>
      </c>
      <c r="P63" s="17">
        <v>500</v>
      </c>
      <c r="Q63" s="17">
        <f t="shared" si="16"/>
        <v>44.590782974371123</v>
      </c>
      <c r="R63" s="17">
        <f t="shared" si="17"/>
        <v>53.32638941722599</v>
      </c>
      <c r="S63" s="17">
        <f t="shared" si="18"/>
        <v>47.194245424273824</v>
      </c>
      <c r="T63" s="17">
        <f t="shared" si="19"/>
        <v>35.747824934275243</v>
      </c>
      <c r="U63" s="17">
        <f t="shared" si="20"/>
        <v>51.842859052683814</v>
      </c>
      <c r="V63" s="17">
        <f t="shared" si="21"/>
        <v>42.485165476272321</v>
      </c>
      <c r="W63" s="17">
        <f t="shared" si="22"/>
        <v>42.296939438631355</v>
      </c>
      <c r="X63" s="17">
        <f t="shared" si="23"/>
        <v>28.723552731389983</v>
      </c>
      <c r="Y63" s="17">
        <f t="shared" si="24"/>
        <v>42.576926172778734</v>
      </c>
      <c r="Z63" s="17">
        <f t="shared" si="25"/>
        <v>37.079029456517588</v>
      </c>
      <c r="AA63" s="17">
        <f t="shared" si="26"/>
        <v>37.859094596053588</v>
      </c>
      <c r="AB63" s="17">
        <f t="shared" si="27"/>
        <v>36.977779682837813</v>
      </c>
      <c r="AC63" s="17">
        <v>0</v>
      </c>
      <c r="AD63" s="17">
        <f t="shared" si="28"/>
        <v>0</v>
      </c>
      <c r="AE63" s="17">
        <f t="shared" si="29"/>
        <v>0</v>
      </c>
      <c r="AF63" s="17">
        <f t="shared" si="30"/>
        <v>0</v>
      </c>
      <c r="AG63" s="17">
        <f t="shared" si="31"/>
        <v>0</v>
      </c>
      <c r="AH63" s="17">
        <f t="shared" si="32"/>
        <v>0</v>
      </c>
      <c r="AI63" s="17">
        <f t="shared" si="33"/>
        <v>0</v>
      </c>
      <c r="AJ63" s="17">
        <f t="shared" si="34"/>
        <v>0</v>
      </c>
      <c r="AK63" s="17">
        <f t="shared" si="35"/>
        <v>0</v>
      </c>
      <c r="AL63" s="17">
        <f t="shared" si="36"/>
        <v>0</v>
      </c>
      <c r="AM63" s="17">
        <f t="shared" si="37"/>
        <v>0</v>
      </c>
      <c r="AN63" s="17">
        <f t="shared" si="38"/>
        <v>0</v>
      </c>
      <c r="AO63" s="17">
        <f t="shared" si="39"/>
        <v>0</v>
      </c>
      <c r="AP63" s="17">
        <f t="shared" si="40"/>
        <v>30500</v>
      </c>
      <c r="AQ63" s="18">
        <v>2675.4469784622675</v>
      </c>
      <c r="AR63" s="18">
        <v>3199.5833650335594</v>
      </c>
      <c r="AS63" s="18">
        <v>2831.6547254564293</v>
      </c>
      <c r="AT63" s="18">
        <v>2144.8694960565149</v>
      </c>
      <c r="AU63" s="18">
        <v>3110.5715431610288</v>
      </c>
      <c r="AV63" s="18">
        <v>2549.1099285763389</v>
      </c>
      <c r="AW63" s="18">
        <v>2537.8163663178811</v>
      </c>
      <c r="AX63" s="18">
        <v>1723.413163883399</v>
      </c>
      <c r="AY63" s="18">
        <v>2554.6155703667241</v>
      </c>
      <c r="AZ63" s="18">
        <v>2224.7417673910554</v>
      </c>
      <c r="BA63" s="18">
        <v>2271.5456757632151</v>
      </c>
      <c r="BB63" s="18">
        <v>2218.6667809702685</v>
      </c>
      <c r="BC63" s="23">
        <v>8.9181565948742242E-2</v>
      </c>
      <c r="BD63" s="23">
        <v>0.10665277883445198</v>
      </c>
      <c r="BE63" s="23">
        <v>9.438849084854764E-2</v>
      </c>
      <c r="BF63" s="23">
        <v>7.149564986855049E-2</v>
      </c>
      <c r="BG63" s="23">
        <v>0.10368571810536763</v>
      </c>
      <c r="BH63" s="23">
        <v>8.4970330952544637E-2</v>
      </c>
      <c r="BI63" s="23">
        <v>8.4593878877262704E-2</v>
      </c>
      <c r="BJ63" s="23">
        <v>5.7447105462779965E-2</v>
      </c>
      <c r="BK63" s="23">
        <v>8.5153852345557474E-2</v>
      </c>
      <c r="BL63" s="23">
        <v>7.4158058913035174E-2</v>
      </c>
      <c r="BM63" s="23">
        <v>7.5718189192107169E-2</v>
      </c>
      <c r="BN63" s="23">
        <v>7.3955559365675619E-2</v>
      </c>
      <c r="BO63" s="23">
        <f t="shared" si="41"/>
        <v>1.0014011787146229</v>
      </c>
    </row>
    <row r="64" spans="1:67" x14ac:dyDescent="0.25">
      <c r="A64" s="16">
        <v>5029</v>
      </c>
      <c r="B64" s="16" t="s">
        <v>260</v>
      </c>
      <c r="C64" s="17">
        <v>0</v>
      </c>
      <c r="D64" s="17">
        <f t="shared" si="4"/>
        <v>0</v>
      </c>
      <c r="E64" s="17">
        <f t="shared" si="5"/>
        <v>0</v>
      </c>
      <c r="F64" s="17">
        <f t="shared" si="6"/>
        <v>0</v>
      </c>
      <c r="G64" s="17">
        <f t="shared" si="7"/>
        <v>0</v>
      </c>
      <c r="H64" s="17">
        <f t="shared" si="8"/>
        <v>0</v>
      </c>
      <c r="I64" s="17">
        <f t="shared" si="9"/>
        <v>0</v>
      </c>
      <c r="J64" s="17">
        <f t="shared" si="10"/>
        <v>0</v>
      </c>
      <c r="K64" s="17">
        <f t="shared" si="11"/>
        <v>0</v>
      </c>
      <c r="L64" s="17">
        <f t="shared" si="12"/>
        <v>0</v>
      </c>
      <c r="M64" s="17">
        <f t="shared" si="13"/>
        <v>0</v>
      </c>
      <c r="N64" s="17">
        <f t="shared" si="14"/>
        <v>0</v>
      </c>
      <c r="O64" s="17">
        <f t="shared" si="15"/>
        <v>0</v>
      </c>
      <c r="P64" s="17">
        <v>0</v>
      </c>
      <c r="Q64" s="17">
        <f t="shared" si="16"/>
        <v>0</v>
      </c>
      <c r="R64" s="17">
        <f t="shared" si="17"/>
        <v>0</v>
      </c>
      <c r="S64" s="17">
        <f t="shared" si="18"/>
        <v>0</v>
      </c>
      <c r="T64" s="17">
        <f t="shared" si="19"/>
        <v>0</v>
      </c>
      <c r="U64" s="17">
        <f t="shared" si="20"/>
        <v>0</v>
      </c>
      <c r="V64" s="17">
        <f t="shared" si="21"/>
        <v>0</v>
      </c>
      <c r="W64" s="17">
        <f t="shared" si="22"/>
        <v>0</v>
      </c>
      <c r="X64" s="17">
        <f t="shared" si="23"/>
        <v>0</v>
      </c>
      <c r="Y64" s="17">
        <f t="shared" si="24"/>
        <v>0</v>
      </c>
      <c r="Z64" s="17">
        <f t="shared" si="25"/>
        <v>0</v>
      </c>
      <c r="AA64" s="17">
        <f t="shared" si="26"/>
        <v>0</v>
      </c>
      <c r="AB64" s="17">
        <f t="shared" si="27"/>
        <v>0</v>
      </c>
      <c r="AC64" s="17">
        <v>0</v>
      </c>
      <c r="AD64" s="17">
        <f t="shared" si="28"/>
        <v>0</v>
      </c>
      <c r="AE64" s="17">
        <f t="shared" si="29"/>
        <v>0</v>
      </c>
      <c r="AF64" s="17">
        <f t="shared" si="30"/>
        <v>0</v>
      </c>
      <c r="AG64" s="17">
        <f t="shared" si="31"/>
        <v>0</v>
      </c>
      <c r="AH64" s="17">
        <f t="shared" si="32"/>
        <v>0</v>
      </c>
      <c r="AI64" s="17">
        <f t="shared" si="33"/>
        <v>0</v>
      </c>
      <c r="AJ64" s="17">
        <f t="shared" si="34"/>
        <v>0</v>
      </c>
      <c r="AK64" s="17">
        <f t="shared" si="35"/>
        <v>0</v>
      </c>
      <c r="AL64" s="17">
        <f t="shared" si="36"/>
        <v>0</v>
      </c>
      <c r="AM64" s="17">
        <f t="shared" si="37"/>
        <v>0</v>
      </c>
      <c r="AN64" s="17">
        <f t="shared" si="38"/>
        <v>0</v>
      </c>
      <c r="AO64" s="17">
        <f t="shared" si="39"/>
        <v>0</v>
      </c>
      <c r="AP64" s="17">
        <f t="shared" si="40"/>
        <v>0</v>
      </c>
      <c r="AQ64" s="18">
        <v>2675.4469784622675</v>
      </c>
      <c r="AR64" s="18">
        <v>3199.5833650335594</v>
      </c>
      <c r="AS64" s="18">
        <v>2831.6547254564293</v>
      </c>
      <c r="AT64" s="18">
        <v>2144.8694960565149</v>
      </c>
      <c r="AU64" s="18">
        <v>3110.5715431610288</v>
      </c>
      <c r="AV64" s="18">
        <v>2549.1099285763389</v>
      </c>
      <c r="AW64" s="18">
        <v>2537.8163663178811</v>
      </c>
      <c r="AX64" s="18">
        <v>1723.413163883399</v>
      </c>
      <c r="AY64" s="18">
        <v>2554.6155703667241</v>
      </c>
      <c r="AZ64" s="18">
        <v>2224.7417673910554</v>
      </c>
      <c r="BA64" s="18">
        <v>2271.5456757632151</v>
      </c>
      <c r="BB64" s="18">
        <v>2218.6667809702685</v>
      </c>
      <c r="BC64" s="23">
        <v>8.9181565948742242E-2</v>
      </c>
      <c r="BD64" s="23">
        <v>0.10665277883445198</v>
      </c>
      <c r="BE64" s="23">
        <v>9.438849084854764E-2</v>
      </c>
      <c r="BF64" s="23">
        <v>7.149564986855049E-2</v>
      </c>
      <c r="BG64" s="23">
        <v>0.10368571810536763</v>
      </c>
      <c r="BH64" s="23">
        <v>8.4970330952544637E-2</v>
      </c>
      <c r="BI64" s="23">
        <v>8.4593878877262704E-2</v>
      </c>
      <c r="BJ64" s="23">
        <v>5.7447105462779965E-2</v>
      </c>
      <c r="BK64" s="23">
        <v>8.5153852345557474E-2</v>
      </c>
      <c r="BL64" s="23">
        <v>7.4158058913035174E-2</v>
      </c>
      <c r="BM64" s="23">
        <v>7.5718189192107169E-2</v>
      </c>
      <c r="BN64" s="23">
        <v>7.3955559365675619E-2</v>
      </c>
      <c r="BO64" s="23">
        <f t="shared" si="41"/>
        <v>1.0014011787146229</v>
      </c>
    </row>
    <row r="65" spans="1:67" x14ac:dyDescent="0.25">
      <c r="A65" s="16">
        <v>11410</v>
      </c>
      <c r="B65" s="16" t="s">
        <v>261</v>
      </c>
      <c r="C65" s="17">
        <v>0</v>
      </c>
      <c r="D65" s="17">
        <f t="shared" si="4"/>
        <v>0</v>
      </c>
      <c r="E65" s="17">
        <f t="shared" si="5"/>
        <v>0</v>
      </c>
      <c r="F65" s="17">
        <f t="shared" si="6"/>
        <v>0</v>
      </c>
      <c r="G65" s="17">
        <f t="shared" si="7"/>
        <v>0</v>
      </c>
      <c r="H65" s="17">
        <f t="shared" si="8"/>
        <v>0</v>
      </c>
      <c r="I65" s="17">
        <f t="shared" si="9"/>
        <v>0</v>
      </c>
      <c r="J65" s="17">
        <f t="shared" si="10"/>
        <v>0</v>
      </c>
      <c r="K65" s="17">
        <f t="shared" si="11"/>
        <v>0</v>
      </c>
      <c r="L65" s="17">
        <f t="shared" si="12"/>
        <v>0</v>
      </c>
      <c r="M65" s="17">
        <f t="shared" si="13"/>
        <v>0</v>
      </c>
      <c r="N65" s="17">
        <f t="shared" si="14"/>
        <v>0</v>
      </c>
      <c r="O65" s="17">
        <f t="shared" si="15"/>
        <v>0</v>
      </c>
      <c r="P65" s="17">
        <v>30000</v>
      </c>
      <c r="Q65" s="17">
        <f t="shared" si="16"/>
        <v>2675.4469784622675</v>
      </c>
      <c r="R65" s="17">
        <f t="shared" si="17"/>
        <v>3199.5833650335594</v>
      </c>
      <c r="S65" s="17">
        <f t="shared" si="18"/>
        <v>2831.6547254564293</v>
      </c>
      <c r="T65" s="17">
        <f t="shared" si="19"/>
        <v>2144.8694960565149</v>
      </c>
      <c r="U65" s="17">
        <f t="shared" si="20"/>
        <v>3110.5715431610288</v>
      </c>
      <c r="V65" s="17">
        <f t="shared" si="21"/>
        <v>2549.1099285763389</v>
      </c>
      <c r="W65" s="17">
        <f t="shared" si="22"/>
        <v>2537.8163663178811</v>
      </c>
      <c r="X65" s="17">
        <f t="shared" si="23"/>
        <v>1723.413163883399</v>
      </c>
      <c r="Y65" s="17">
        <f t="shared" si="24"/>
        <v>2554.6155703667241</v>
      </c>
      <c r="Z65" s="17">
        <f t="shared" si="25"/>
        <v>2224.7417673910554</v>
      </c>
      <c r="AA65" s="17">
        <f t="shared" si="26"/>
        <v>2271.5456757632151</v>
      </c>
      <c r="AB65" s="17">
        <f t="shared" si="27"/>
        <v>2218.6667809702685</v>
      </c>
      <c r="AC65" s="17">
        <v>0</v>
      </c>
      <c r="AD65" s="17">
        <f t="shared" si="28"/>
        <v>0</v>
      </c>
      <c r="AE65" s="17">
        <f t="shared" si="29"/>
        <v>0</v>
      </c>
      <c r="AF65" s="17">
        <f t="shared" si="30"/>
        <v>0</v>
      </c>
      <c r="AG65" s="17">
        <f t="shared" si="31"/>
        <v>0</v>
      </c>
      <c r="AH65" s="17">
        <f t="shared" si="32"/>
        <v>0</v>
      </c>
      <c r="AI65" s="17">
        <f t="shared" si="33"/>
        <v>0</v>
      </c>
      <c r="AJ65" s="17">
        <f t="shared" si="34"/>
        <v>0</v>
      </c>
      <c r="AK65" s="17">
        <f t="shared" si="35"/>
        <v>0</v>
      </c>
      <c r="AL65" s="17">
        <f t="shared" si="36"/>
        <v>0</v>
      </c>
      <c r="AM65" s="17">
        <f t="shared" si="37"/>
        <v>0</v>
      </c>
      <c r="AN65" s="17">
        <f t="shared" si="38"/>
        <v>0</v>
      </c>
      <c r="AO65" s="17">
        <f t="shared" si="39"/>
        <v>0</v>
      </c>
      <c r="AP65" s="17">
        <f t="shared" si="40"/>
        <v>30000</v>
      </c>
      <c r="AQ65" s="18">
        <v>2675.4469784622675</v>
      </c>
      <c r="AR65" s="18">
        <v>3199.5833650335594</v>
      </c>
      <c r="AS65" s="18">
        <v>2831.6547254564293</v>
      </c>
      <c r="AT65" s="18">
        <v>2144.8694960565149</v>
      </c>
      <c r="AU65" s="18">
        <v>3110.5715431610288</v>
      </c>
      <c r="AV65" s="18">
        <v>2549.1099285763389</v>
      </c>
      <c r="AW65" s="18">
        <v>2537.8163663178811</v>
      </c>
      <c r="AX65" s="18">
        <v>1723.413163883399</v>
      </c>
      <c r="AY65" s="18">
        <v>2554.6155703667241</v>
      </c>
      <c r="AZ65" s="18">
        <v>2224.7417673910554</v>
      </c>
      <c r="BA65" s="18">
        <v>2271.5456757632151</v>
      </c>
      <c r="BB65" s="18">
        <v>2218.6667809702685</v>
      </c>
      <c r="BC65" s="23">
        <v>8.9181565948742242E-2</v>
      </c>
      <c r="BD65" s="23">
        <v>0.10665277883445198</v>
      </c>
      <c r="BE65" s="23">
        <v>9.438849084854764E-2</v>
      </c>
      <c r="BF65" s="23">
        <v>7.149564986855049E-2</v>
      </c>
      <c r="BG65" s="23">
        <v>0.10368571810536763</v>
      </c>
      <c r="BH65" s="23">
        <v>8.4970330952544637E-2</v>
      </c>
      <c r="BI65" s="23">
        <v>8.4593878877262704E-2</v>
      </c>
      <c r="BJ65" s="23">
        <v>5.7447105462779965E-2</v>
      </c>
      <c r="BK65" s="23">
        <v>8.5153852345557474E-2</v>
      </c>
      <c r="BL65" s="23">
        <v>7.4158058913035174E-2</v>
      </c>
      <c r="BM65" s="23">
        <v>7.5718189192107169E-2</v>
      </c>
      <c r="BN65" s="23">
        <v>7.3955559365675619E-2</v>
      </c>
      <c r="BO65" s="23">
        <f t="shared" si="41"/>
        <v>1.0014011787146229</v>
      </c>
    </row>
    <row r="66" spans="1:67" x14ac:dyDescent="0.25">
      <c r="A66" s="16">
        <v>16814</v>
      </c>
      <c r="B66" s="16" t="s">
        <v>262</v>
      </c>
      <c r="C66" s="17">
        <v>0</v>
      </c>
      <c r="D66" s="17">
        <f t="shared" si="4"/>
        <v>0</v>
      </c>
      <c r="E66" s="17">
        <f t="shared" si="5"/>
        <v>0</v>
      </c>
      <c r="F66" s="17">
        <f t="shared" si="6"/>
        <v>0</v>
      </c>
      <c r="G66" s="17">
        <f t="shared" si="7"/>
        <v>0</v>
      </c>
      <c r="H66" s="17">
        <f t="shared" si="8"/>
        <v>0</v>
      </c>
      <c r="I66" s="17">
        <f t="shared" si="9"/>
        <v>0</v>
      </c>
      <c r="J66" s="17">
        <f t="shared" si="10"/>
        <v>0</v>
      </c>
      <c r="K66" s="17">
        <f t="shared" si="11"/>
        <v>0</v>
      </c>
      <c r="L66" s="17">
        <f t="shared" si="12"/>
        <v>0</v>
      </c>
      <c r="M66" s="17">
        <f t="shared" si="13"/>
        <v>0</v>
      </c>
      <c r="N66" s="17">
        <f t="shared" si="14"/>
        <v>0</v>
      </c>
      <c r="O66" s="17">
        <f t="shared" si="15"/>
        <v>0</v>
      </c>
      <c r="P66" s="17">
        <v>25000</v>
      </c>
      <c r="Q66" s="17">
        <f t="shared" si="16"/>
        <v>2229.5391487185561</v>
      </c>
      <c r="R66" s="17">
        <f t="shared" si="17"/>
        <v>2666.3194708612996</v>
      </c>
      <c r="S66" s="17">
        <f t="shared" si="18"/>
        <v>2359.7122712136911</v>
      </c>
      <c r="T66" s="17">
        <f t="shared" si="19"/>
        <v>1787.3912467137623</v>
      </c>
      <c r="U66" s="17">
        <f t="shared" si="20"/>
        <v>2592.1429526341908</v>
      </c>
      <c r="V66" s="17">
        <f t="shared" si="21"/>
        <v>2124.2582738136161</v>
      </c>
      <c r="W66" s="17">
        <f t="shared" si="22"/>
        <v>2114.8469719315676</v>
      </c>
      <c r="X66" s="17">
        <f t="shared" si="23"/>
        <v>1436.1776365694991</v>
      </c>
      <c r="Y66" s="17">
        <f t="shared" si="24"/>
        <v>2128.846308638937</v>
      </c>
      <c r="Z66" s="17">
        <f t="shared" si="25"/>
        <v>1853.9514728258794</v>
      </c>
      <c r="AA66" s="17">
        <f t="shared" si="26"/>
        <v>1892.9547298026791</v>
      </c>
      <c r="AB66" s="17">
        <f t="shared" si="27"/>
        <v>1848.8889841418904</v>
      </c>
      <c r="AC66" s="17">
        <v>0</v>
      </c>
      <c r="AD66" s="17">
        <f t="shared" si="28"/>
        <v>0</v>
      </c>
      <c r="AE66" s="17">
        <f t="shared" si="29"/>
        <v>0</v>
      </c>
      <c r="AF66" s="17">
        <f t="shared" si="30"/>
        <v>0</v>
      </c>
      <c r="AG66" s="17">
        <f t="shared" si="31"/>
        <v>0</v>
      </c>
      <c r="AH66" s="17">
        <f t="shared" si="32"/>
        <v>0</v>
      </c>
      <c r="AI66" s="17">
        <f t="shared" si="33"/>
        <v>0</v>
      </c>
      <c r="AJ66" s="17">
        <f t="shared" si="34"/>
        <v>0</v>
      </c>
      <c r="AK66" s="17">
        <f t="shared" si="35"/>
        <v>0</v>
      </c>
      <c r="AL66" s="17">
        <f t="shared" si="36"/>
        <v>0</v>
      </c>
      <c r="AM66" s="17">
        <f t="shared" si="37"/>
        <v>0</v>
      </c>
      <c r="AN66" s="17">
        <f t="shared" si="38"/>
        <v>0</v>
      </c>
      <c r="AO66" s="17">
        <f t="shared" si="39"/>
        <v>0</v>
      </c>
      <c r="AP66" s="17">
        <f t="shared" si="40"/>
        <v>25000</v>
      </c>
      <c r="AQ66" s="18">
        <v>2675.4469784622675</v>
      </c>
      <c r="AR66" s="18">
        <v>3199.5833650335594</v>
      </c>
      <c r="AS66" s="18">
        <v>2831.6547254564293</v>
      </c>
      <c r="AT66" s="18">
        <v>2144.8694960565149</v>
      </c>
      <c r="AU66" s="18">
        <v>3110.5715431610288</v>
      </c>
      <c r="AV66" s="18">
        <v>2549.1099285763389</v>
      </c>
      <c r="AW66" s="18">
        <v>2537.8163663178811</v>
      </c>
      <c r="AX66" s="18">
        <v>1723.413163883399</v>
      </c>
      <c r="AY66" s="18">
        <v>2554.6155703667241</v>
      </c>
      <c r="AZ66" s="18">
        <v>2224.7417673910554</v>
      </c>
      <c r="BA66" s="18">
        <v>2271.5456757632151</v>
      </c>
      <c r="BB66" s="18">
        <v>2218.6667809702685</v>
      </c>
      <c r="BC66" s="23">
        <v>8.9181565948742242E-2</v>
      </c>
      <c r="BD66" s="23">
        <v>0.10665277883445198</v>
      </c>
      <c r="BE66" s="23">
        <v>9.438849084854764E-2</v>
      </c>
      <c r="BF66" s="23">
        <v>7.149564986855049E-2</v>
      </c>
      <c r="BG66" s="23">
        <v>0.10368571810536763</v>
      </c>
      <c r="BH66" s="23">
        <v>8.4970330952544637E-2</v>
      </c>
      <c r="BI66" s="23">
        <v>8.4593878877262704E-2</v>
      </c>
      <c r="BJ66" s="23">
        <v>5.7447105462779965E-2</v>
      </c>
      <c r="BK66" s="23">
        <v>8.5153852345557474E-2</v>
      </c>
      <c r="BL66" s="23">
        <v>7.4158058913035174E-2</v>
      </c>
      <c r="BM66" s="23">
        <v>7.5718189192107169E-2</v>
      </c>
      <c r="BN66" s="23">
        <v>7.3955559365675619E-2</v>
      </c>
      <c r="BO66" s="23">
        <f t="shared" si="41"/>
        <v>1.0014011787146229</v>
      </c>
    </row>
    <row r="67" spans="1:67" x14ac:dyDescent="0.25">
      <c r="A67" s="16">
        <v>17323</v>
      </c>
      <c r="B67" s="16" t="s">
        <v>263</v>
      </c>
      <c r="C67" s="17">
        <v>30000</v>
      </c>
      <c r="D67" s="17">
        <f t="shared" si="4"/>
        <v>2675.4469784622675</v>
      </c>
      <c r="E67" s="17">
        <f t="shared" si="5"/>
        <v>3199.5833650335594</v>
      </c>
      <c r="F67" s="17">
        <f t="shared" si="6"/>
        <v>2831.6547254564293</v>
      </c>
      <c r="G67" s="17">
        <f t="shared" si="7"/>
        <v>2144.8694960565149</v>
      </c>
      <c r="H67" s="17">
        <f t="shared" si="8"/>
        <v>3110.5715431610288</v>
      </c>
      <c r="I67" s="17">
        <f t="shared" si="9"/>
        <v>2549.1099285763389</v>
      </c>
      <c r="J67" s="17">
        <f t="shared" si="10"/>
        <v>2537.8163663178811</v>
      </c>
      <c r="K67" s="17">
        <f t="shared" si="11"/>
        <v>1723.413163883399</v>
      </c>
      <c r="L67" s="17">
        <f t="shared" si="12"/>
        <v>2554.6155703667241</v>
      </c>
      <c r="M67" s="17">
        <f t="shared" si="13"/>
        <v>2224.7417673910554</v>
      </c>
      <c r="N67" s="17">
        <f t="shared" si="14"/>
        <v>2271.5456757632151</v>
      </c>
      <c r="O67" s="17">
        <f t="shared" si="15"/>
        <v>2218.6667809702685</v>
      </c>
      <c r="P67" s="17">
        <v>0</v>
      </c>
      <c r="Q67" s="17">
        <f t="shared" si="16"/>
        <v>0</v>
      </c>
      <c r="R67" s="17">
        <f t="shared" si="17"/>
        <v>0</v>
      </c>
      <c r="S67" s="17">
        <f t="shared" si="18"/>
        <v>0</v>
      </c>
      <c r="T67" s="17">
        <f t="shared" si="19"/>
        <v>0</v>
      </c>
      <c r="U67" s="17">
        <f t="shared" si="20"/>
        <v>0</v>
      </c>
      <c r="V67" s="17">
        <f t="shared" si="21"/>
        <v>0</v>
      </c>
      <c r="W67" s="17">
        <f t="shared" si="22"/>
        <v>0</v>
      </c>
      <c r="X67" s="17">
        <f t="shared" si="23"/>
        <v>0</v>
      </c>
      <c r="Y67" s="17">
        <f t="shared" si="24"/>
        <v>0</v>
      </c>
      <c r="Z67" s="17">
        <f t="shared" si="25"/>
        <v>0</v>
      </c>
      <c r="AA67" s="17">
        <f t="shared" si="26"/>
        <v>0</v>
      </c>
      <c r="AB67" s="17">
        <f t="shared" si="27"/>
        <v>0</v>
      </c>
      <c r="AC67" s="17">
        <v>0</v>
      </c>
      <c r="AD67" s="17">
        <f t="shared" si="28"/>
        <v>0</v>
      </c>
      <c r="AE67" s="17">
        <f t="shared" si="29"/>
        <v>0</v>
      </c>
      <c r="AF67" s="17">
        <f t="shared" si="30"/>
        <v>0</v>
      </c>
      <c r="AG67" s="17">
        <f t="shared" si="31"/>
        <v>0</v>
      </c>
      <c r="AH67" s="17">
        <f t="shared" si="32"/>
        <v>0</v>
      </c>
      <c r="AI67" s="17">
        <f t="shared" si="33"/>
        <v>0</v>
      </c>
      <c r="AJ67" s="17">
        <f t="shared" si="34"/>
        <v>0</v>
      </c>
      <c r="AK67" s="17">
        <f t="shared" si="35"/>
        <v>0</v>
      </c>
      <c r="AL67" s="17">
        <f t="shared" si="36"/>
        <v>0</v>
      </c>
      <c r="AM67" s="17">
        <f t="shared" si="37"/>
        <v>0</v>
      </c>
      <c r="AN67" s="17">
        <f t="shared" si="38"/>
        <v>0</v>
      </c>
      <c r="AO67" s="17">
        <f t="shared" si="39"/>
        <v>0</v>
      </c>
      <c r="AP67" s="17">
        <f t="shared" si="40"/>
        <v>30000</v>
      </c>
      <c r="AQ67" s="18">
        <v>2675.4469784622675</v>
      </c>
      <c r="AR67" s="18">
        <v>3199.5833650335594</v>
      </c>
      <c r="AS67" s="18">
        <v>2831.6547254564293</v>
      </c>
      <c r="AT67" s="18">
        <v>2144.8694960565149</v>
      </c>
      <c r="AU67" s="18">
        <v>3110.5715431610288</v>
      </c>
      <c r="AV67" s="18">
        <v>2549.1099285763389</v>
      </c>
      <c r="AW67" s="18">
        <v>2537.8163663178811</v>
      </c>
      <c r="AX67" s="18">
        <v>1723.413163883399</v>
      </c>
      <c r="AY67" s="18">
        <v>2554.6155703667241</v>
      </c>
      <c r="AZ67" s="18">
        <v>2224.7417673910554</v>
      </c>
      <c r="BA67" s="18">
        <v>2271.5456757632151</v>
      </c>
      <c r="BB67" s="18">
        <v>2218.6667809702685</v>
      </c>
      <c r="BC67" s="23">
        <v>8.9181565948742242E-2</v>
      </c>
      <c r="BD67" s="23">
        <v>0.10665277883445198</v>
      </c>
      <c r="BE67" s="23">
        <v>9.438849084854764E-2</v>
      </c>
      <c r="BF67" s="23">
        <v>7.149564986855049E-2</v>
      </c>
      <c r="BG67" s="23">
        <v>0.10368571810536763</v>
      </c>
      <c r="BH67" s="23">
        <v>8.4970330952544637E-2</v>
      </c>
      <c r="BI67" s="23">
        <v>8.4593878877262704E-2</v>
      </c>
      <c r="BJ67" s="23">
        <v>5.7447105462779965E-2</v>
      </c>
      <c r="BK67" s="23">
        <v>8.5153852345557474E-2</v>
      </c>
      <c r="BL67" s="23">
        <v>7.4158058913035174E-2</v>
      </c>
      <c r="BM67" s="23">
        <v>7.5718189192107169E-2</v>
      </c>
      <c r="BN67" s="23">
        <v>7.3955559365675619E-2</v>
      </c>
      <c r="BO67" s="23">
        <f t="shared" si="41"/>
        <v>1.0014011787146229</v>
      </c>
    </row>
    <row r="68" spans="1:67" x14ac:dyDescent="0.25">
      <c r="A68" s="16">
        <v>31012</v>
      </c>
      <c r="B68" s="16" t="s">
        <v>264</v>
      </c>
      <c r="C68" s="17">
        <v>0</v>
      </c>
      <c r="D68" s="17">
        <f t="shared" ref="D68:D131" si="45">+$C68*BC68</f>
        <v>0</v>
      </c>
      <c r="E68" s="17">
        <f t="shared" ref="E68:E131" si="46">+$C68*BD68</f>
        <v>0</v>
      </c>
      <c r="F68" s="17">
        <f t="shared" ref="F68:F131" si="47">+$C68*BE68</f>
        <v>0</v>
      </c>
      <c r="G68" s="17">
        <f t="shared" ref="G68:G131" si="48">+$C68*BF68</f>
        <v>0</v>
      </c>
      <c r="H68" s="17">
        <f t="shared" ref="H68:H131" si="49">+$C68*BG68</f>
        <v>0</v>
      </c>
      <c r="I68" s="17">
        <f t="shared" ref="I68:I131" si="50">+$C68*BH68</f>
        <v>0</v>
      </c>
      <c r="J68" s="17">
        <f t="shared" ref="J68:J131" si="51">+$C68*BI68</f>
        <v>0</v>
      </c>
      <c r="K68" s="17">
        <f t="shared" ref="K68:K131" si="52">+$C68*BJ68</f>
        <v>0</v>
      </c>
      <c r="L68" s="17">
        <f t="shared" ref="L68:L131" si="53">+$C68*BK68</f>
        <v>0</v>
      </c>
      <c r="M68" s="17">
        <f t="shared" ref="M68:M131" si="54">+$C68*BL68</f>
        <v>0</v>
      </c>
      <c r="N68" s="17">
        <f t="shared" ref="N68:N131" si="55">+$C68*BM68</f>
        <v>0</v>
      </c>
      <c r="O68" s="17">
        <f t="shared" ref="O68:O131" si="56">+$C68*BN68</f>
        <v>0</v>
      </c>
      <c r="P68" s="17">
        <v>55000</v>
      </c>
      <c r="Q68" s="17">
        <f t="shared" ref="Q68:Q131" si="57">+$P68*BC68</f>
        <v>4904.9861271808231</v>
      </c>
      <c r="R68" s="17">
        <f t="shared" ref="R68:R131" si="58">+$P68*BD68</f>
        <v>5865.902835894859</v>
      </c>
      <c r="S68" s="17">
        <f t="shared" ref="S68:S131" si="59">+$P68*BE68</f>
        <v>5191.36699667012</v>
      </c>
      <c r="T68" s="17">
        <f t="shared" ref="T68:T131" si="60">+$P68*BF68</f>
        <v>3932.2607427702769</v>
      </c>
      <c r="U68" s="17">
        <f t="shared" ref="U68:U131" si="61">+$P68*BG68</f>
        <v>5702.7144957952196</v>
      </c>
      <c r="V68" s="17">
        <f t="shared" ref="V68:V131" si="62">+$P68*BH68</f>
        <v>4673.3682023899546</v>
      </c>
      <c r="W68" s="17">
        <f t="shared" ref="W68:W131" si="63">+$P68*BI68</f>
        <v>4652.6633382494483</v>
      </c>
      <c r="X68" s="17">
        <f t="shared" ref="X68:X131" si="64">+$P68*BJ68</f>
        <v>3159.5908004528983</v>
      </c>
      <c r="Y68" s="17">
        <f t="shared" ref="Y68:Y131" si="65">+$P68*BK68</f>
        <v>4683.4618790056611</v>
      </c>
      <c r="Z68" s="17">
        <f t="shared" ref="Z68:Z131" si="66">+$P68*BL68</f>
        <v>4078.6932402169346</v>
      </c>
      <c r="AA68" s="17">
        <f t="shared" ref="AA68:AA131" si="67">+$P68*BM68</f>
        <v>4164.5004055658947</v>
      </c>
      <c r="AB68" s="17">
        <f t="shared" ref="AB68:AB131" si="68">+$P68*BN68</f>
        <v>4067.555765112159</v>
      </c>
      <c r="AC68" s="17">
        <v>0</v>
      </c>
      <c r="AD68" s="17">
        <f t="shared" ref="AD68:AD131" si="69">+$AC68*BC68</f>
        <v>0</v>
      </c>
      <c r="AE68" s="17">
        <f t="shared" ref="AE68:AE131" si="70">+$AC68*BD68</f>
        <v>0</v>
      </c>
      <c r="AF68" s="17">
        <f t="shared" ref="AF68:AF131" si="71">+$AC68*BE68</f>
        <v>0</v>
      </c>
      <c r="AG68" s="17">
        <f t="shared" ref="AG68:AG131" si="72">+$AC68*BF68</f>
        <v>0</v>
      </c>
      <c r="AH68" s="17">
        <f t="shared" ref="AH68:AH131" si="73">+$AC68*BG68</f>
        <v>0</v>
      </c>
      <c r="AI68" s="17">
        <f t="shared" ref="AI68:AI131" si="74">+$AC68*BH68</f>
        <v>0</v>
      </c>
      <c r="AJ68" s="17">
        <f t="shared" ref="AJ68:AJ131" si="75">+$AC68*BI68</f>
        <v>0</v>
      </c>
      <c r="AK68" s="17">
        <f t="shared" ref="AK68:AK131" si="76">+$AC68*BJ68</f>
        <v>0</v>
      </c>
      <c r="AL68" s="17">
        <f t="shared" ref="AL68:AL131" si="77">+$AC68*BK68</f>
        <v>0</v>
      </c>
      <c r="AM68" s="17">
        <f t="shared" ref="AM68:AM131" si="78">+$AC68*BL68</f>
        <v>0</v>
      </c>
      <c r="AN68" s="17">
        <f t="shared" ref="AN68:AN131" si="79">+$AC68*BM68</f>
        <v>0</v>
      </c>
      <c r="AO68" s="17">
        <f t="shared" ref="AO68:AO131" si="80">+$AC68*BN68</f>
        <v>0</v>
      </c>
      <c r="AP68" s="17">
        <f t="shared" ref="AP68:AP131" si="81">+AC68+P68+C68</f>
        <v>55000</v>
      </c>
      <c r="AQ68" s="18">
        <v>2675.4469784622675</v>
      </c>
      <c r="AR68" s="18">
        <v>3199.5833650335594</v>
      </c>
      <c r="AS68" s="18">
        <v>2831.6547254564293</v>
      </c>
      <c r="AT68" s="18">
        <v>2144.8694960565149</v>
      </c>
      <c r="AU68" s="18">
        <v>3110.5715431610288</v>
      </c>
      <c r="AV68" s="18">
        <v>2549.1099285763389</v>
      </c>
      <c r="AW68" s="18">
        <v>2537.8163663178811</v>
      </c>
      <c r="AX68" s="18">
        <v>1723.413163883399</v>
      </c>
      <c r="AY68" s="18">
        <v>2554.6155703667241</v>
      </c>
      <c r="AZ68" s="18">
        <v>2224.7417673910554</v>
      </c>
      <c r="BA68" s="18">
        <v>2271.5456757632151</v>
      </c>
      <c r="BB68" s="18">
        <v>2218.6667809702685</v>
      </c>
      <c r="BC68" s="23">
        <v>8.9181565948742242E-2</v>
      </c>
      <c r="BD68" s="23">
        <v>0.10665277883445198</v>
      </c>
      <c r="BE68" s="23">
        <v>9.438849084854764E-2</v>
      </c>
      <c r="BF68" s="23">
        <v>7.149564986855049E-2</v>
      </c>
      <c r="BG68" s="23">
        <v>0.10368571810536763</v>
      </c>
      <c r="BH68" s="23">
        <v>8.4970330952544637E-2</v>
      </c>
      <c r="BI68" s="23">
        <v>8.4593878877262704E-2</v>
      </c>
      <c r="BJ68" s="23">
        <v>5.7447105462779965E-2</v>
      </c>
      <c r="BK68" s="23">
        <v>8.5153852345557474E-2</v>
      </c>
      <c r="BL68" s="23">
        <v>7.4158058913035174E-2</v>
      </c>
      <c r="BM68" s="23">
        <v>7.5718189192107169E-2</v>
      </c>
      <c r="BN68" s="23">
        <v>7.3955559365675619E-2</v>
      </c>
      <c r="BO68" s="23">
        <f t="shared" ref="BO68:BO75" si="82">SUM(BC68:BN68)</f>
        <v>1.0014011787146229</v>
      </c>
    </row>
    <row r="69" spans="1:67" x14ac:dyDescent="0.25">
      <c r="A69" s="16">
        <v>2898</v>
      </c>
      <c r="B69" s="16" t="s">
        <v>265</v>
      </c>
      <c r="C69" s="17">
        <v>12000</v>
      </c>
      <c r="D69" s="17">
        <f t="shared" si="45"/>
        <v>1070.1787913849068</v>
      </c>
      <c r="E69" s="17">
        <f t="shared" si="46"/>
        <v>1279.8333460134238</v>
      </c>
      <c r="F69" s="17">
        <f t="shared" si="47"/>
        <v>1132.6618901825716</v>
      </c>
      <c r="G69" s="17">
        <f t="shared" si="48"/>
        <v>857.94779842260584</v>
      </c>
      <c r="H69" s="17">
        <f t="shared" si="49"/>
        <v>1244.2286172644115</v>
      </c>
      <c r="I69" s="17">
        <f t="shared" si="50"/>
        <v>1019.6439714305357</v>
      </c>
      <c r="J69" s="17">
        <f t="shared" si="51"/>
        <v>1015.1265465271524</v>
      </c>
      <c r="K69" s="17">
        <f t="shared" si="52"/>
        <v>689.36526555335956</v>
      </c>
      <c r="L69" s="17">
        <f t="shared" si="53"/>
        <v>1021.8462281466897</v>
      </c>
      <c r="M69" s="17">
        <f t="shared" si="54"/>
        <v>889.89670695642212</v>
      </c>
      <c r="N69" s="17">
        <f t="shared" si="55"/>
        <v>908.61827030528605</v>
      </c>
      <c r="O69" s="17">
        <f t="shared" si="56"/>
        <v>887.46671238810745</v>
      </c>
      <c r="P69" s="17">
        <v>9000</v>
      </c>
      <c r="Q69" s="17">
        <f t="shared" si="57"/>
        <v>802.63409353868019</v>
      </c>
      <c r="R69" s="17">
        <f t="shared" si="58"/>
        <v>959.8750095100678</v>
      </c>
      <c r="S69" s="17">
        <f t="shared" si="59"/>
        <v>849.49641763692875</v>
      </c>
      <c r="T69" s="17">
        <f t="shared" si="60"/>
        <v>643.46084881695435</v>
      </c>
      <c r="U69" s="17">
        <f t="shared" si="61"/>
        <v>933.17146294830866</v>
      </c>
      <c r="V69" s="17">
        <f t="shared" si="62"/>
        <v>764.73297857290174</v>
      </c>
      <c r="W69" s="17">
        <f t="shared" si="63"/>
        <v>761.34490989536437</v>
      </c>
      <c r="X69" s="17">
        <f t="shared" si="64"/>
        <v>517.02394916501964</v>
      </c>
      <c r="Y69" s="17">
        <f t="shared" si="65"/>
        <v>766.38467111001728</v>
      </c>
      <c r="Z69" s="17">
        <f t="shared" si="66"/>
        <v>667.42253021731653</v>
      </c>
      <c r="AA69" s="17">
        <f t="shared" si="67"/>
        <v>681.46370272896456</v>
      </c>
      <c r="AB69" s="17">
        <f t="shared" si="68"/>
        <v>665.60003429108053</v>
      </c>
      <c r="AC69" s="17">
        <v>0</v>
      </c>
      <c r="AD69" s="17">
        <f t="shared" si="69"/>
        <v>0</v>
      </c>
      <c r="AE69" s="17">
        <f t="shared" si="70"/>
        <v>0</v>
      </c>
      <c r="AF69" s="17">
        <f t="shared" si="71"/>
        <v>0</v>
      </c>
      <c r="AG69" s="17">
        <f t="shared" si="72"/>
        <v>0</v>
      </c>
      <c r="AH69" s="17">
        <f t="shared" si="73"/>
        <v>0</v>
      </c>
      <c r="AI69" s="17">
        <f t="shared" si="74"/>
        <v>0</v>
      </c>
      <c r="AJ69" s="17">
        <f t="shared" si="75"/>
        <v>0</v>
      </c>
      <c r="AK69" s="17">
        <f t="shared" si="76"/>
        <v>0</v>
      </c>
      <c r="AL69" s="17">
        <f t="shared" si="77"/>
        <v>0</v>
      </c>
      <c r="AM69" s="17">
        <f t="shared" si="78"/>
        <v>0</v>
      </c>
      <c r="AN69" s="17">
        <f t="shared" si="79"/>
        <v>0</v>
      </c>
      <c r="AO69" s="17">
        <f t="shared" si="80"/>
        <v>0</v>
      </c>
      <c r="AP69" s="17">
        <f t="shared" si="81"/>
        <v>21000</v>
      </c>
      <c r="AQ69" s="18">
        <v>2853.8101103597519</v>
      </c>
      <c r="AR69" s="18">
        <v>3412.8889227024633</v>
      </c>
      <c r="AS69" s="18">
        <v>3020.4317071535247</v>
      </c>
      <c r="AT69" s="18">
        <v>2287.8607957936156</v>
      </c>
      <c r="AU69" s="18">
        <v>3317.9429793717641</v>
      </c>
      <c r="AV69" s="18">
        <v>2719.0505904814286</v>
      </c>
      <c r="AW69" s="18">
        <v>2707.0041240724067</v>
      </c>
      <c r="AX69" s="18">
        <v>1838.3073748089589</v>
      </c>
      <c r="AY69" s="18">
        <v>2724.923275057839</v>
      </c>
      <c r="AZ69" s="18">
        <v>2373.0578852171257</v>
      </c>
      <c r="BA69" s="18">
        <v>2422.9820541474296</v>
      </c>
      <c r="BB69" s="18">
        <v>2366.57789970162</v>
      </c>
      <c r="BC69" s="23">
        <v>8.9181565948742242E-2</v>
      </c>
      <c r="BD69" s="23">
        <v>0.10665277883445198</v>
      </c>
      <c r="BE69" s="23">
        <v>9.438849084854764E-2</v>
      </c>
      <c r="BF69" s="23">
        <v>7.149564986855049E-2</v>
      </c>
      <c r="BG69" s="23">
        <v>0.10368571810536763</v>
      </c>
      <c r="BH69" s="23">
        <v>8.4970330952544637E-2</v>
      </c>
      <c r="BI69" s="23">
        <v>8.4593878877262704E-2</v>
      </c>
      <c r="BJ69" s="23">
        <v>5.7447105462779965E-2</v>
      </c>
      <c r="BK69" s="23">
        <v>8.5153852345557474E-2</v>
      </c>
      <c r="BL69" s="23">
        <v>7.4158058913035174E-2</v>
      </c>
      <c r="BM69" s="23">
        <v>7.5718189192107169E-2</v>
      </c>
      <c r="BN69" s="23">
        <v>7.3955559365675619E-2</v>
      </c>
      <c r="BO69" s="23">
        <f t="shared" si="82"/>
        <v>1.0014011787146229</v>
      </c>
    </row>
    <row r="70" spans="1:67" x14ac:dyDescent="0.25">
      <c r="A70" s="16">
        <v>3705</v>
      </c>
      <c r="B70" s="16" t="s">
        <v>266</v>
      </c>
      <c r="C70" s="17">
        <v>28000</v>
      </c>
      <c r="D70" s="17">
        <f t="shared" si="45"/>
        <v>2497.0838465647826</v>
      </c>
      <c r="E70" s="17">
        <f t="shared" si="46"/>
        <v>2986.2778073646555</v>
      </c>
      <c r="F70" s="17">
        <f t="shared" si="47"/>
        <v>2642.877743759334</v>
      </c>
      <c r="G70" s="17">
        <f t="shared" si="48"/>
        <v>2001.8781963194137</v>
      </c>
      <c r="H70" s="17">
        <f t="shared" si="49"/>
        <v>2903.2001069502935</v>
      </c>
      <c r="I70" s="17">
        <f t="shared" si="50"/>
        <v>2379.1692666712497</v>
      </c>
      <c r="J70" s="17">
        <f t="shared" si="51"/>
        <v>2368.6286085633556</v>
      </c>
      <c r="K70" s="17">
        <f t="shared" si="52"/>
        <v>1608.518952957839</v>
      </c>
      <c r="L70" s="17">
        <f t="shared" si="53"/>
        <v>2384.3078656756093</v>
      </c>
      <c r="M70" s="17">
        <f t="shared" si="54"/>
        <v>2076.4256495649847</v>
      </c>
      <c r="N70" s="17">
        <f t="shared" si="55"/>
        <v>2120.1092973790005</v>
      </c>
      <c r="O70" s="17">
        <f t="shared" si="56"/>
        <v>2070.7556622389175</v>
      </c>
      <c r="P70" s="17">
        <v>0</v>
      </c>
      <c r="Q70" s="17">
        <f t="shared" si="57"/>
        <v>0</v>
      </c>
      <c r="R70" s="17">
        <f t="shared" si="58"/>
        <v>0</v>
      </c>
      <c r="S70" s="17">
        <f t="shared" si="59"/>
        <v>0</v>
      </c>
      <c r="T70" s="17">
        <f t="shared" si="60"/>
        <v>0</v>
      </c>
      <c r="U70" s="17">
        <f t="shared" si="61"/>
        <v>0</v>
      </c>
      <c r="V70" s="17">
        <f t="shared" si="62"/>
        <v>0</v>
      </c>
      <c r="W70" s="17">
        <f t="shared" si="63"/>
        <v>0</v>
      </c>
      <c r="X70" s="17">
        <f t="shared" si="64"/>
        <v>0</v>
      </c>
      <c r="Y70" s="17">
        <f t="shared" si="65"/>
        <v>0</v>
      </c>
      <c r="Z70" s="17">
        <f t="shared" si="66"/>
        <v>0</v>
      </c>
      <c r="AA70" s="17">
        <f t="shared" si="67"/>
        <v>0</v>
      </c>
      <c r="AB70" s="17">
        <f t="shared" si="68"/>
        <v>0</v>
      </c>
      <c r="AC70" s="17">
        <v>3500</v>
      </c>
      <c r="AD70" s="17">
        <f t="shared" si="69"/>
        <v>312.13548082059782</v>
      </c>
      <c r="AE70" s="17">
        <f t="shared" si="70"/>
        <v>373.28472592058193</v>
      </c>
      <c r="AF70" s="17">
        <f t="shared" si="71"/>
        <v>330.35971796991674</v>
      </c>
      <c r="AG70" s="17">
        <f t="shared" si="72"/>
        <v>250.23477453992672</v>
      </c>
      <c r="AH70" s="17">
        <f t="shared" si="73"/>
        <v>362.90001336878669</v>
      </c>
      <c r="AI70" s="17">
        <f t="shared" si="74"/>
        <v>297.39615833390621</v>
      </c>
      <c r="AJ70" s="17">
        <f t="shared" si="75"/>
        <v>296.07857607041944</v>
      </c>
      <c r="AK70" s="17">
        <f t="shared" si="76"/>
        <v>201.06486911972988</v>
      </c>
      <c r="AL70" s="17">
        <f t="shared" si="77"/>
        <v>298.03848320945116</v>
      </c>
      <c r="AM70" s="17">
        <f t="shared" si="78"/>
        <v>259.55320619562309</v>
      </c>
      <c r="AN70" s="17">
        <f t="shared" si="79"/>
        <v>265.01366217237506</v>
      </c>
      <c r="AO70" s="17">
        <f t="shared" si="80"/>
        <v>258.84445777986468</v>
      </c>
      <c r="AP70" s="17">
        <f t="shared" si="81"/>
        <v>31500</v>
      </c>
      <c r="AQ70" s="18">
        <v>2407.9022806160406</v>
      </c>
      <c r="AR70" s="18">
        <v>2879.6250285302035</v>
      </c>
      <c r="AS70" s="18">
        <v>2548.4892529107865</v>
      </c>
      <c r="AT70" s="18">
        <v>1930.3825464508632</v>
      </c>
      <c r="AU70" s="18">
        <v>2799.5143888449261</v>
      </c>
      <c r="AV70" s="18">
        <v>2294.1989357187053</v>
      </c>
      <c r="AW70" s="18">
        <v>2284.0347296860932</v>
      </c>
      <c r="AX70" s="18">
        <v>1551.071847495059</v>
      </c>
      <c r="AY70" s="18">
        <v>2299.1540133300518</v>
      </c>
      <c r="AZ70" s="18">
        <v>2002.2675906519496</v>
      </c>
      <c r="BA70" s="18">
        <v>2044.3911081868935</v>
      </c>
      <c r="BB70" s="18">
        <v>1996.8001028732417</v>
      </c>
      <c r="BC70" s="23">
        <v>8.9181565948742242E-2</v>
      </c>
      <c r="BD70" s="23">
        <v>0.10665277883445198</v>
      </c>
      <c r="BE70" s="23">
        <v>9.438849084854764E-2</v>
      </c>
      <c r="BF70" s="23">
        <v>7.149564986855049E-2</v>
      </c>
      <c r="BG70" s="23">
        <v>0.10368571810536763</v>
      </c>
      <c r="BH70" s="23">
        <v>8.4970330952544637E-2</v>
      </c>
      <c r="BI70" s="23">
        <v>8.4593878877262704E-2</v>
      </c>
      <c r="BJ70" s="23">
        <v>5.7447105462779965E-2</v>
      </c>
      <c r="BK70" s="23">
        <v>8.5153852345557474E-2</v>
      </c>
      <c r="BL70" s="23">
        <v>7.4158058913035174E-2</v>
      </c>
      <c r="BM70" s="23">
        <v>7.5718189192107169E-2</v>
      </c>
      <c r="BN70" s="23">
        <v>7.3955559365675619E-2</v>
      </c>
      <c r="BO70" s="23">
        <f t="shared" si="82"/>
        <v>1.0014011787146229</v>
      </c>
    </row>
    <row r="71" spans="1:67" x14ac:dyDescent="0.25">
      <c r="A71" s="16">
        <v>2148</v>
      </c>
      <c r="B71" s="16" t="s">
        <v>267</v>
      </c>
      <c r="C71" s="17">
        <v>170000</v>
      </c>
      <c r="D71" s="17">
        <f t="shared" si="45"/>
        <v>15160.86621128618</v>
      </c>
      <c r="E71" s="17">
        <f t="shared" si="46"/>
        <v>18130.972401856838</v>
      </c>
      <c r="F71" s="17">
        <f t="shared" si="47"/>
        <v>16046.043444253099</v>
      </c>
      <c r="G71" s="17">
        <f t="shared" si="48"/>
        <v>12154.260477653583</v>
      </c>
      <c r="H71" s="17">
        <f t="shared" si="49"/>
        <v>17626.572077912497</v>
      </c>
      <c r="I71" s="17">
        <f t="shared" si="50"/>
        <v>14444.956261932588</v>
      </c>
      <c r="J71" s="17">
        <f t="shared" si="51"/>
        <v>14380.959409134659</v>
      </c>
      <c r="K71" s="17">
        <f t="shared" si="52"/>
        <v>9766.0079286725941</v>
      </c>
      <c r="L71" s="17">
        <f t="shared" si="53"/>
        <v>14476.154898744771</v>
      </c>
      <c r="M71" s="17">
        <f t="shared" si="54"/>
        <v>12606.87001521598</v>
      </c>
      <c r="N71" s="17">
        <f t="shared" si="55"/>
        <v>12872.092162658219</v>
      </c>
      <c r="O71" s="17">
        <f t="shared" si="56"/>
        <v>12572.445092164855</v>
      </c>
      <c r="P71" s="17">
        <v>4500</v>
      </c>
      <c r="Q71" s="17">
        <f t="shared" si="57"/>
        <v>401.3170467693401</v>
      </c>
      <c r="R71" s="17">
        <f t="shared" si="58"/>
        <v>479.9375047550339</v>
      </c>
      <c r="S71" s="17">
        <f t="shared" si="59"/>
        <v>424.74820881846438</v>
      </c>
      <c r="T71" s="17">
        <f t="shared" si="60"/>
        <v>321.73042440847718</v>
      </c>
      <c r="U71" s="17">
        <f t="shared" si="61"/>
        <v>466.58573147415433</v>
      </c>
      <c r="V71" s="17">
        <f t="shared" si="62"/>
        <v>382.36648928645087</v>
      </c>
      <c r="W71" s="17">
        <f t="shared" si="63"/>
        <v>380.67245494768218</v>
      </c>
      <c r="X71" s="17">
        <f t="shared" si="64"/>
        <v>258.51197458250982</v>
      </c>
      <c r="Y71" s="17">
        <f t="shared" si="65"/>
        <v>383.19233555500864</v>
      </c>
      <c r="Z71" s="17">
        <f t="shared" si="66"/>
        <v>333.71126510865827</v>
      </c>
      <c r="AA71" s="17">
        <f t="shared" si="67"/>
        <v>340.73185136448228</v>
      </c>
      <c r="AB71" s="17">
        <f t="shared" si="68"/>
        <v>332.80001714554027</v>
      </c>
      <c r="AC71" s="17">
        <v>0</v>
      </c>
      <c r="AD71" s="17">
        <f t="shared" si="69"/>
        <v>0</v>
      </c>
      <c r="AE71" s="17">
        <f t="shared" si="70"/>
        <v>0</v>
      </c>
      <c r="AF71" s="17">
        <f t="shared" si="71"/>
        <v>0</v>
      </c>
      <c r="AG71" s="17">
        <f t="shared" si="72"/>
        <v>0</v>
      </c>
      <c r="AH71" s="17">
        <f t="shared" si="73"/>
        <v>0</v>
      </c>
      <c r="AI71" s="17">
        <f t="shared" si="74"/>
        <v>0</v>
      </c>
      <c r="AJ71" s="17">
        <f t="shared" si="75"/>
        <v>0</v>
      </c>
      <c r="AK71" s="17">
        <f t="shared" si="76"/>
        <v>0</v>
      </c>
      <c r="AL71" s="17">
        <f t="shared" si="77"/>
        <v>0</v>
      </c>
      <c r="AM71" s="17">
        <f t="shared" si="78"/>
        <v>0</v>
      </c>
      <c r="AN71" s="17">
        <f t="shared" si="79"/>
        <v>0</v>
      </c>
      <c r="AO71" s="17">
        <f t="shared" si="80"/>
        <v>0</v>
      </c>
      <c r="AP71" s="17">
        <f t="shared" si="81"/>
        <v>174500</v>
      </c>
      <c r="AQ71" s="18">
        <v>2429.6401981344807</v>
      </c>
      <c r="AR71" s="18">
        <v>2905.6215367183222</v>
      </c>
      <c r="AS71" s="18">
        <v>2571.496353166629</v>
      </c>
      <c r="AT71" s="18">
        <v>1947.8095396106726</v>
      </c>
      <c r="AU71" s="18">
        <v>2824.7876789473912</v>
      </c>
      <c r="AV71" s="18">
        <v>2314.910368918057</v>
      </c>
      <c r="AW71" s="18">
        <v>2304.6544030685468</v>
      </c>
      <c r="AX71" s="18">
        <v>1565.0745220045062</v>
      </c>
      <c r="AY71" s="18">
        <v>2319.9101796854293</v>
      </c>
      <c r="AZ71" s="18">
        <v>2020.343543353943</v>
      </c>
      <c r="BA71" s="18">
        <v>2062.8473410842803</v>
      </c>
      <c r="BB71" s="18">
        <v>2014.8266965130658</v>
      </c>
      <c r="BC71" s="23">
        <v>8.9181565948742242E-2</v>
      </c>
      <c r="BD71" s="23">
        <v>0.10665277883445198</v>
      </c>
      <c r="BE71" s="23">
        <v>9.438849084854764E-2</v>
      </c>
      <c r="BF71" s="23">
        <v>7.149564986855049E-2</v>
      </c>
      <c r="BG71" s="23">
        <v>0.10368571810536763</v>
      </c>
      <c r="BH71" s="23">
        <v>8.4970330952544637E-2</v>
      </c>
      <c r="BI71" s="23">
        <v>8.4593878877262704E-2</v>
      </c>
      <c r="BJ71" s="23">
        <v>5.7447105462779965E-2</v>
      </c>
      <c r="BK71" s="23">
        <v>8.5153852345557474E-2</v>
      </c>
      <c r="BL71" s="23">
        <v>7.4158058913035174E-2</v>
      </c>
      <c r="BM71" s="23">
        <v>7.5718189192107169E-2</v>
      </c>
      <c r="BN71" s="23">
        <v>7.3955559365675619E-2</v>
      </c>
      <c r="BO71" s="23">
        <f t="shared" si="82"/>
        <v>1.0014011787146229</v>
      </c>
    </row>
    <row r="72" spans="1:67" x14ac:dyDescent="0.25">
      <c r="A72" s="16">
        <v>2500</v>
      </c>
      <c r="B72" s="16" t="s">
        <v>268</v>
      </c>
      <c r="C72" s="17">
        <v>0</v>
      </c>
      <c r="D72" s="17">
        <f t="shared" si="45"/>
        <v>0</v>
      </c>
      <c r="E72" s="17">
        <f t="shared" si="46"/>
        <v>0</v>
      </c>
      <c r="F72" s="17">
        <f t="shared" si="47"/>
        <v>0</v>
      </c>
      <c r="G72" s="17">
        <f t="shared" si="48"/>
        <v>0</v>
      </c>
      <c r="H72" s="17">
        <f t="shared" si="49"/>
        <v>0</v>
      </c>
      <c r="I72" s="17">
        <f t="shared" si="50"/>
        <v>0</v>
      </c>
      <c r="J72" s="17">
        <f t="shared" si="51"/>
        <v>0</v>
      </c>
      <c r="K72" s="17">
        <f t="shared" si="52"/>
        <v>0</v>
      </c>
      <c r="L72" s="17">
        <f t="shared" si="53"/>
        <v>0</v>
      </c>
      <c r="M72" s="17">
        <f t="shared" si="54"/>
        <v>0</v>
      </c>
      <c r="N72" s="17">
        <f t="shared" si="55"/>
        <v>0</v>
      </c>
      <c r="O72" s="17">
        <f t="shared" si="56"/>
        <v>0</v>
      </c>
      <c r="P72" s="17">
        <v>0</v>
      </c>
      <c r="Q72" s="17">
        <f t="shared" si="57"/>
        <v>0</v>
      </c>
      <c r="R72" s="17">
        <f t="shared" si="58"/>
        <v>0</v>
      </c>
      <c r="S72" s="17">
        <f t="shared" si="59"/>
        <v>0</v>
      </c>
      <c r="T72" s="17">
        <f t="shared" si="60"/>
        <v>0</v>
      </c>
      <c r="U72" s="17">
        <f t="shared" si="61"/>
        <v>0</v>
      </c>
      <c r="V72" s="17">
        <f t="shared" si="62"/>
        <v>0</v>
      </c>
      <c r="W72" s="17">
        <f t="shared" si="63"/>
        <v>0</v>
      </c>
      <c r="X72" s="17">
        <f t="shared" si="64"/>
        <v>0</v>
      </c>
      <c r="Y72" s="17">
        <f t="shared" si="65"/>
        <v>0</v>
      </c>
      <c r="Z72" s="17">
        <f t="shared" si="66"/>
        <v>0</v>
      </c>
      <c r="AA72" s="17">
        <f t="shared" si="67"/>
        <v>0</v>
      </c>
      <c r="AB72" s="17">
        <f t="shared" si="68"/>
        <v>0</v>
      </c>
      <c r="AC72" s="17">
        <v>0</v>
      </c>
      <c r="AD72" s="17">
        <f t="shared" si="69"/>
        <v>0</v>
      </c>
      <c r="AE72" s="17">
        <f t="shared" si="70"/>
        <v>0</v>
      </c>
      <c r="AF72" s="17">
        <f t="shared" si="71"/>
        <v>0</v>
      </c>
      <c r="AG72" s="17">
        <f t="shared" si="72"/>
        <v>0</v>
      </c>
      <c r="AH72" s="17">
        <f t="shared" si="73"/>
        <v>0</v>
      </c>
      <c r="AI72" s="17">
        <f t="shared" si="74"/>
        <v>0</v>
      </c>
      <c r="AJ72" s="17">
        <f t="shared" si="75"/>
        <v>0</v>
      </c>
      <c r="AK72" s="17">
        <f t="shared" si="76"/>
        <v>0</v>
      </c>
      <c r="AL72" s="17">
        <f t="shared" si="77"/>
        <v>0</v>
      </c>
      <c r="AM72" s="17">
        <f t="shared" si="78"/>
        <v>0</v>
      </c>
      <c r="AN72" s="17">
        <f t="shared" si="79"/>
        <v>0</v>
      </c>
      <c r="AO72" s="17">
        <f t="shared" si="80"/>
        <v>0</v>
      </c>
      <c r="AP72" s="17">
        <f t="shared" si="81"/>
        <v>0</v>
      </c>
      <c r="AQ72" s="18">
        <v>2238.1670193162672</v>
      </c>
      <c r="AR72" s="18">
        <v>2676.6375939496384</v>
      </c>
      <c r="AS72" s="18">
        <v>2368.8438857608335</v>
      </c>
      <c r="AT72" s="18">
        <v>1794.3080933602951</v>
      </c>
      <c r="AU72" s="18">
        <v>2602.1740274322942</v>
      </c>
      <c r="AV72" s="18">
        <v>2132.4787284816198</v>
      </c>
      <c r="AW72" s="18">
        <v>2123.0310067435485</v>
      </c>
      <c r="AX72" s="18">
        <v>1441.7353567874957</v>
      </c>
      <c r="AY72" s="18">
        <v>2137.0845180841079</v>
      </c>
      <c r="AZ72" s="18">
        <v>1861.1258942354209</v>
      </c>
      <c r="BA72" s="18">
        <v>1900.2800860160696</v>
      </c>
      <c r="BB72" s="18">
        <v>1856.0438147327227</v>
      </c>
      <c r="BC72" s="23">
        <v>8.9181565948742242E-2</v>
      </c>
      <c r="BD72" s="23">
        <v>0.10665277883445198</v>
      </c>
      <c r="BE72" s="23">
        <v>9.438849084854764E-2</v>
      </c>
      <c r="BF72" s="23">
        <v>7.149564986855049E-2</v>
      </c>
      <c r="BG72" s="23">
        <v>0.10368571810536763</v>
      </c>
      <c r="BH72" s="23">
        <v>8.4970330952544637E-2</v>
      </c>
      <c r="BI72" s="23">
        <v>8.4593878877262704E-2</v>
      </c>
      <c r="BJ72" s="23">
        <v>5.7447105462779965E-2</v>
      </c>
      <c r="BK72" s="23">
        <v>8.5153852345557474E-2</v>
      </c>
      <c r="BL72" s="23">
        <v>7.4158058913035174E-2</v>
      </c>
      <c r="BM72" s="23">
        <v>7.5718189192107169E-2</v>
      </c>
      <c r="BN72" s="23">
        <v>7.3955559365675619E-2</v>
      </c>
      <c r="BO72" s="23">
        <f t="shared" si="82"/>
        <v>1.0014011787146229</v>
      </c>
    </row>
    <row r="73" spans="1:67" x14ac:dyDescent="0.25">
      <c r="A73" s="16">
        <v>4881</v>
      </c>
      <c r="B73" s="16" t="s">
        <v>269</v>
      </c>
      <c r="C73" s="17">
        <v>25000</v>
      </c>
      <c r="D73" s="17">
        <f t="shared" si="45"/>
        <v>2229.5391487185561</v>
      </c>
      <c r="E73" s="17">
        <f t="shared" si="46"/>
        <v>2666.3194708612996</v>
      </c>
      <c r="F73" s="17">
        <f t="shared" si="47"/>
        <v>2359.7122712136911</v>
      </c>
      <c r="G73" s="17">
        <f t="shared" si="48"/>
        <v>1787.3912467137623</v>
      </c>
      <c r="H73" s="17">
        <f t="shared" si="49"/>
        <v>2592.1429526341908</v>
      </c>
      <c r="I73" s="17">
        <f t="shared" si="50"/>
        <v>2124.2582738136161</v>
      </c>
      <c r="J73" s="17">
        <f t="shared" si="51"/>
        <v>2114.8469719315676</v>
      </c>
      <c r="K73" s="17">
        <f t="shared" si="52"/>
        <v>1436.1776365694991</v>
      </c>
      <c r="L73" s="17">
        <f t="shared" si="53"/>
        <v>2128.846308638937</v>
      </c>
      <c r="M73" s="17">
        <f t="shared" si="54"/>
        <v>1853.9514728258794</v>
      </c>
      <c r="N73" s="17">
        <f t="shared" si="55"/>
        <v>1892.9547298026791</v>
      </c>
      <c r="O73" s="17">
        <f t="shared" si="56"/>
        <v>1848.8889841418904</v>
      </c>
      <c r="P73" s="17">
        <v>0</v>
      </c>
      <c r="Q73" s="17">
        <f t="shared" si="57"/>
        <v>0</v>
      </c>
      <c r="R73" s="17">
        <f t="shared" si="58"/>
        <v>0</v>
      </c>
      <c r="S73" s="17">
        <f t="shared" si="59"/>
        <v>0</v>
      </c>
      <c r="T73" s="17">
        <f t="shared" si="60"/>
        <v>0</v>
      </c>
      <c r="U73" s="17">
        <f t="shared" si="61"/>
        <v>0</v>
      </c>
      <c r="V73" s="17">
        <f t="shared" si="62"/>
        <v>0</v>
      </c>
      <c r="W73" s="17">
        <f t="shared" si="63"/>
        <v>0</v>
      </c>
      <c r="X73" s="17">
        <f t="shared" si="64"/>
        <v>0</v>
      </c>
      <c r="Y73" s="17">
        <f t="shared" si="65"/>
        <v>0</v>
      </c>
      <c r="Z73" s="17">
        <f t="shared" si="66"/>
        <v>0</v>
      </c>
      <c r="AA73" s="17">
        <f t="shared" si="67"/>
        <v>0</v>
      </c>
      <c r="AB73" s="17">
        <f t="shared" si="68"/>
        <v>0</v>
      </c>
      <c r="AC73" s="17">
        <v>8000</v>
      </c>
      <c r="AD73" s="17">
        <f t="shared" si="69"/>
        <v>713.45252758993797</v>
      </c>
      <c r="AE73" s="17">
        <f t="shared" si="70"/>
        <v>853.22223067561583</v>
      </c>
      <c r="AF73" s="17">
        <f t="shared" si="71"/>
        <v>755.10792678838118</v>
      </c>
      <c r="AG73" s="17">
        <f t="shared" si="72"/>
        <v>571.96519894840389</v>
      </c>
      <c r="AH73" s="17">
        <f t="shared" si="73"/>
        <v>829.48574484294102</v>
      </c>
      <c r="AI73" s="17">
        <f t="shared" si="74"/>
        <v>679.76264762035714</v>
      </c>
      <c r="AJ73" s="17">
        <f t="shared" si="75"/>
        <v>676.75103101810168</v>
      </c>
      <c r="AK73" s="17">
        <f t="shared" si="76"/>
        <v>459.57684370223973</v>
      </c>
      <c r="AL73" s="17">
        <f t="shared" si="77"/>
        <v>681.23081876445974</v>
      </c>
      <c r="AM73" s="17">
        <f t="shared" si="78"/>
        <v>593.26447130428141</v>
      </c>
      <c r="AN73" s="17">
        <f t="shared" si="79"/>
        <v>605.7455135368574</v>
      </c>
      <c r="AO73" s="17">
        <f t="shared" si="80"/>
        <v>591.64447492540501</v>
      </c>
      <c r="AP73" s="17">
        <f t="shared" si="81"/>
        <v>33000</v>
      </c>
      <c r="AQ73" s="18">
        <v>2229.5391487185561</v>
      </c>
      <c r="AR73" s="18">
        <v>2666.3194708612996</v>
      </c>
      <c r="AS73" s="18">
        <v>2359.7122712136911</v>
      </c>
      <c r="AT73" s="18">
        <v>1787.3912467137623</v>
      </c>
      <c r="AU73" s="18">
        <v>2592.1429526341908</v>
      </c>
      <c r="AV73" s="18">
        <v>2124.2582738136161</v>
      </c>
      <c r="AW73" s="18">
        <v>2114.8469719315676</v>
      </c>
      <c r="AX73" s="18">
        <v>1436.1776365694991</v>
      </c>
      <c r="AY73" s="18">
        <v>2128.846308638937</v>
      </c>
      <c r="AZ73" s="18">
        <v>1853.9514728258794</v>
      </c>
      <c r="BA73" s="18">
        <v>1892.9547298026791</v>
      </c>
      <c r="BB73" s="18">
        <v>1848.8889841418904</v>
      </c>
      <c r="BC73" s="23">
        <v>8.9181565948742242E-2</v>
      </c>
      <c r="BD73" s="23">
        <v>0.10665277883445198</v>
      </c>
      <c r="BE73" s="23">
        <v>9.438849084854764E-2</v>
      </c>
      <c r="BF73" s="23">
        <v>7.149564986855049E-2</v>
      </c>
      <c r="BG73" s="23">
        <v>0.10368571810536763</v>
      </c>
      <c r="BH73" s="23">
        <v>8.4970330952544637E-2</v>
      </c>
      <c r="BI73" s="23">
        <v>8.4593878877262704E-2</v>
      </c>
      <c r="BJ73" s="23">
        <v>5.7447105462779965E-2</v>
      </c>
      <c r="BK73" s="23">
        <v>8.5153852345557474E-2</v>
      </c>
      <c r="BL73" s="23">
        <v>7.4158058913035174E-2</v>
      </c>
      <c r="BM73" s="23">
        <v>7.5718189192107169E-2</v>
      </c>
      <c r="BN73" s="23">
        <v>7.3955559365675619E-2</v>
      </c>
      <c r="BO73" s="23">
        <f t="shared" si="82"/>
        <v>1.0014011787146229</v>
      </c>
    </row>
    <row r="74" spans="1:67" x14ac:dyDescent="0.25">
      <c r="A74" s="16">
        <v>1693</v>
      </c>
      <c r="B74" s="16" t="s">
        <v>270</v>
      </c>
      <c r="C74" s="17">
        <v>10000</v>
      </c>
      <c r="D74" s="17">
        <f t="shared" si="45"/>
        <v>891.81565948742241</v>
      </c>
      <c r="E74" s="17">
        <f t="shared" si="46"/>
        <v>1066.5277883445199</v>
      </c>
      <c r="F74" s="17">
        <f t="shared" si="47"/>
        <v>943.88490848547644</v>
      </c>
      <c r="G74" s="17">
        <f t="shared" si="48"/>
        <v>714.95649868550493</v>
      </c>
      <c r="H74" s="17">
        <f t="shared" si="49"/>
        <v>1036.8571810536762</v>
      </c>
      <c r="I74" s="17">
        <f t="shared" si="50"/>
        <v>849.70330952544634</v>
      </c>
      <c r="J74" s="17">
        <f t="shared" si="51"/>
        <v>845.93878877262705</v>
      </c>
      <c r="K74" s="17">
        <f t="shared" si="52"/>
        <v>574.47105462779962</v>
      </c>
      <c r="L74" s="17">
        <f t="shared" si="53"/>
        <v>851.5385234555747</v>
      </c>
      <c r="M74" s="17">
        <f t="shared" si="54"/>
        <v>741.58058913035177</v>
      </c>
      <c r="N74" s="17">
        <f t="shared" si="55"/>
        <v>757.18189192107172</v>
      </c>
      <c r="O74" s="17">
        <f t="shared" si="56"/>
        <v>739.55559365675617</v>
      </c>
      <c r="P74" s="17">
        <v>15000</v>
      </c>
      <c r="Q74" s="17">
        <f t="shared" si="57"/>
        <v>1337.7234892311337</v>
      </c>
      <c r="R74" s="17">
        <f t="shared" si="58"/>
        <v>1599.7916825167797</v>
      </c>
      <c r="S74" s="17">
        <f t="shared" si="59"/>
        <v>1415.8273627282147</v>
      </c>
      <c r="T74" s="17">
        <f t="shared" si="60"/>
        <v>1072.4347480282574</v>
      </c>
      <c r="U74" s="17">
        <f t="shared" si="61"/>
        <v>1555.2857715805144</v>
      </c>
      <c r="V74" s="17">
        <f t="shared" si="62"/>
        <v>1274.5549642881695</v>
      </c>
      <c r="W74" s="17">
        <f t="shared" si="63"/>
        <v>1268.9081831589406</v>
      </c>
      <c r="X74" s="17">
        <f t="shared" si="64"/>
        <v>861.70658194169948</v>
      </c>
      <c r="Y74" s="17">
        <f t="shared" si="65"/>
        <v>1277.3077851833621</v>
      </c>
      <c r="Z74" s="17">
        <f t="shared" si="66"/>
        <v>1112.3708836955277</v>
      </c>
      <c r="AA74" s="17">
        <f t="shared" si="67"/>
        <v>1135.7728378816075</v>
      </c>
      <c r="AB74" s="17">
        <f t="shared" si="68"/>
        <v>1109.3333904851343</v>
      </c>
      <c r="AC74" s="17">
        <v>0</v>
      </c>
      <c r="AD74" s="17">
        <f t="shared" si="69"/>
        <v>0</v>
      </c>
      <c r="AE74" s="17">
        <f t="shared" si="70"/>
        <v>0</v>
      </c>
      <c r="AF74" s="17">
        <f t="shared" si="71"/>
        <v>0</v>
      </c>
      <c r="AG74" s="17">
        <f t="shared" si="72"/>
        <v>0</v>
      </c>
      <c r="AH74" s="17">
        <f t="shared" si="73"/>
        <v>0</v>
      </c>
      <c r="AI74" s="17">
        <f t="shared" si="74"/>
        <v>0</v>
      </c>
      <c r="AJ74" s="17">
        <f t="shared" si="75"/>
        <v>0</v>
      </c>
      <c r="AK74" s="17">
        <f t="shared" si="76"/>
        <v>0</v>
      </c>
      <c r="AL74" s="17">
        <f t="shared" si="77"/>
        <v>0</v>
      </c>
      <c r="AM74" s="17">
        <f t="shared" si="78"/>
        <v>0</v>
      </c>
      <c r="AN74" s="17">
        <f t="shared" si="79"/>
        <v>0</v>
      </c>
      <c r="AO74" s="17">
        <f t="shared" si="80"/>
        <v>0</v>
      </c>
      <c r="AP74" s="17">
        <f t="shared" si="81"/>
        <v>25000</v>
      </c>
      <c r="AQ74" s="18">
        <v>2229.5391487185561</v>
      </c>
      <c r="AR74" s="18">
        <v>2666.3194708612996</v>
      </c>
      <c r="AS74" s="18">
        <v>2359.7122712136911</v>
      </c>
      <c r="AT74" s="18">
        <v>1787.3912467137623</v>
      </c>
      <c r="AU74" s="18">
        <v>2592.1429526341908</v>
      </c>
      <c r="AV74" s="18">
        <v>2124.2582738136161</v>
      </c>
      <c r="AW74" s="18">
        <v>2114.8469719315676</v>
      </c>
      <c r="AX74" s="18">
        <v>1436.1776365694991</v>
      </c>
      <c r="AY74" s="18">
        <v>2128.846308638937</v>
      </c>
      <c r="AZ74" s="18">
        <v>1853.9514728258794</v>
      </c>
      <c r="BA74" s="18">
        <v>1892.9547298026791</v>
      </c>
      <c r="BB74" s="18">
        <v>1848.8889841418904</v>
      </c>
      <c r="BC74" s="23">
        <v>8.9181565948742242E-2</v>
      </c>
      <c r="BD74" s="23">
        <v>0.10665277883445198</v>
      </c>
      <c r="BE74" s="23">
        <v>9.438849084854764E-2</v>
      </c>
      <c r="BF74" s="23">
        <v>7.149564986855049E-2</v>
      </c>
      <c r="BG74" s="23">
        <v>0.10368571810536763</v>
      </c>
      <c r="BH74" s="23">
        <v>8.4970330952544637E-2</v>
      </c>
      <c r="BI74" s="23">
        <v>8.4593878877262704E-2</v>
      </c>
      <c r="BJ74" s="23">
        <v>5.7447105462779965E-2</v>
      </c>
      <c r="BK74" s="23">
        <v>8.5153852345557474E-2</v>
      </c>
      <c r="BL74" s="23">
        <v>7.4158058913035174E-2</v>
      </c>
      <c r="BM74" s="23">
        <v>7.5718189192107169E-2</v>
      </c>
      <c r="BN74" s="23">
        <v>7.3955559365675619E-2</v>
      </c>
      <c r="BO74" s="23">
        <f t="shared" si="82"/>
        <v>1.0014011787146229</v>
      </c>
    </row>
    <row r="75" spans="1:67" x14ac:dyDescent="0.25">
      <c r="A75" s="16">
        <v>2924</v>
      </c>
      <c r="B75" s="16" t="s">
        <v>271</v>
      </c>
      <c r="C75" s="17">
        <v>35000</v>
      </c>
      <c r="D75" s="17">
        <f t="shared" si="45"/>
        <v>3121.3548082059783</v>
      </c>
      <c r="E75" s="17">
        <f t="shared" si="46"/>
        <v>3732.8472592058192</v>
      </c>
      <c r="F75" s="17">
        <f t="shared" si="47"/>
        <v>3303.5971796991676</v>
      </c>
      <c r="G75" s="17">
        <f t="shared" si="48"/>
        <v>2502.3477453992673</v>
      </c>
      <c r="H75" s="17">
        <f t="shared" si="49"/>
        <v>3629.0001336878668</v>
      </c>
      <c r="I75" s="17">
        <f t="shared" si="50"/>
        <v>2973.9615833390621</v>
      </c>
      <c r="J75" s="17">
        <f t="shared" si="51"/>
        <v>2960.7857607041947</v>
      </c>
      <c r="K75" s="17">
        <f t="shared" si="52"/>
        <v>2010.6486911972988</v>
      </c>
      <c r="L75" s="17">
        <f t="shared" si="53"/>
        <v>2980.3848320945117</v>
      </c>
      <c r="M75" s="17">
        <f t="shared" si="54"/>
        <v>2595.5320619562312</v>
      </c>
      <c r="N75" s="17">
        <f t="shared" si="55"/>
        <v>2650.136621723751</v>
      </c>
      <c r="O75" s="17">
        <f t="shared" si="56"/>
        <v>2588.4445777986466</v>
      </c>
      <c r="P75" s="17">
        <v>0</v>
      </c>
      <c r="Q75" s="17">
        <f t="shared" si="57"/>
        <v>0</v>
      </c>
      <c r="R75" s="17">
        <f t="shared" si="58"/>
        <v>0</v>
      </c>
      <c r="S75" s="17">
        <f t="shared" si="59"/>
        <v>0</v>
      </c>
      <c r="T75" s="17">
        <f t="shared" si="60"/>
        <v>0</v>
      </c>
      <c r="U75" s="17">
        <f t="shared" si="61"/>
        <v>0</v>
      </c>
      <c r="V75" s="17">
        <f t="shared" si="62"/>
        <v>0</v>
      </c>
      <c r="W75" s="17">
        <f t="shared" si="63"/>
        <v>0</v>
      </c>
      <c r="X75" s="17">
        <f t="shared" si="64"/>
        <v>0</v>
      </c>
      <c r="Y75" s="17">
        <f t="shared" si="65"/>
        <v>0</v>
      </c>
      <c r="Z75" s="17">
        <f t="shared" si="66"/>
        <v>0</v>
      </c>
      <c r="AA75" s="17">
        <f t="shared" si="67"/>
        <v>0</v>
      </c>
      <c r="AB75" s="17">
        <f t="shared" si="68"/>
        <v>0</v>
      </c>
      <c r="AC75" s="17">
        <v>0</v>
      </c>
      <c r="AD75" s="17">
        <f t="shared" si="69"/>
        <v>0</v>
      </c>
      <c r="AE75" s="17">
        <f t="shared" si="70"/>
        <v>0</v>
      </c>
      <c r="AF75" s="17">
        <f t="shared" si="71"/>
        <v>0</v>
      </c>
      <c r="AG75" s="17">
        <f t="shared" si="72"/>
        <v>0</v>
      </c>
      <c r="AH75" s="17">
        <f t="shared" si="73"/>
        <v>0</v>
      </c>
      <c r="AI75" s="17">
        <f t="shared" si="74"/>
        <v>0</v>
      </c>
      <c r="AJ75" s="17">
        <f t="shared" si="75"/>
        <v>0</v>
      </c>
      <c r="AK75" s="17">
        <f t="shared" si="76"/>
        <v>0</v>
      </c>
      <c r="AL75" s="17">
        <f t="shared" si="77"/>
        <v>0</v>
      </c>
      <c r="AM75" s="17">
        <f t="shared" si="78"/>
        <v>0</v>
      </c>
      <c r="AN75" s="17">
        <f t="shared" si="79"/>
        <v>0</v>
      </c>
      <c r="AO75" s="17">
        <f t="shared" si="80"/>
        <v>0</v>
      </c>
      <c r="AP75" s="17">
        <f t="shared" si="81"/>
        <v>35000</v>
      </c>
      <c r="AQ75" s="18">
        <v>2140.3575827698137</v>
      </c>
      <c r="AR75" s="18">
        <v>2559.6666920268476</v>
      </c>
      <c r="AS75" s="18">
        <v>2265.3237803651432</v>
      </c>
      <c r="AT75" s="18">
        <v>1715.8955968452117</v>
      </c>
      <c r="AU75" s="18">
        <v>2488.4572345288229</v>
      </c>
      <c r="AV75" s="18">
        <v>2039.2879428610713</v>
      </c>
      <c r="AW75" s="18">
        <v>2030.2530930543048</v>
      </c>
      <c r="AX75" s="18">
        <v>1378.7305311067191</v>
      </c>
      <c r="AY75" s="18">
        <v>2043.6924562933793</v>
      </c>
      <c r="AZ75" s="18">
        <v>1779.7934139128442</v>
      </c>
      <c r="BA75" s="18">
        <v>1817.2365406105721</v>
      </c>
      <c r="BB75" s="18">
        <v>1774.9334247762149</v>
      </c>
      <c r="BC75" s="23">
        <v>8.9181565948742242E-2</v>
      </c>
      <c r="BD75" s="23">
        <v>0.10665277883445198</v>
      </c>
      <c r="BE75" s="23">
        <v>9.438849084854764E-2</v>
      </c>
      <c r="BF75" s="23">
        <v>7.149564986855049E-2</v>
      </c>
      <c r="BG75" s="23">
        <v>0.10368571810536763</v>
      </c>
      <c r="BH75" s="23">
        <v>8.4970330952544637E-2</v>
      </c>
      <c r="BI75" s="23">
        <v>8.4593878877262704E-2</v>
      </c>
      <c r="BJ75" s="23">
        <v>5.7447105462779965E-2</v>
      </c>
      <c r="BK75" s="23">
        <v>8.5153852345557474E-2</v>
      </c>
      <c r="BL75" s="23">
        <v>7.4158058913035174E-2</v>
      </c>
      <c r="BM75" s="23">
        <v>7.5718189192107169E-2</v>
      </c>
      <c r="BN75" s="23">
        <v>7.3955559365675619E-2</v>
      </c>
      <c r="BO75" s="23">
        <f t="shared" si="82"/>
        <v>1.0014011787146229</v>
      </c>
    </row>
    <row r="76" spans="1:67" x14ac:dyDescent="0.25">
      <c r="A76" s="16">
        <v>5227</v>
      </c>
      <c r="B76" s="16" t="s">
        <v>272</v>
      </c>
      <c r="C76" s="17">
        <v>24000</v>
      </c>
      <c r="D76" s="17">
        <f t="shared" si="45"/>
        <v>2140.3575827698137</v>
      </c>
      <c r="E76" s="17">
        <f t="shared" si="46"/>
        <v>2559.6666920268476</v>
      </c>
      <c r="F76" s="17">
        <f t="shared" si="47"/>
        <v>2265.3237803651432</v>
      </c>
      <c r="G76" s="17">
        <f t="shared" si="48"/>
        <v>1715.8955968452117</v>
      </c>
      <c r="H76" s="17">
        <f t="shared" si="49"/>
        <v>2488.4572345288229</v>
      </c>
      <c r="I76" s="17">
        <f t="shared" si="50"/>
        <v>2039.2879428610713</v>
      </c>
      <c r="J76" s="17">
        <f t="shared" si="51"/>
        <v>2030.2530930543048</v>
      </c>
      <c r="K76" s="17">
        <f t="shared" si="52"/>
        <v>1378.7305311067191</v>
      </c>
      <c r="L76" s="17">
        <f t="shared" si="53"/>
        <v>2043.6924562933793</v>
      </c>
      <c r="M76" s="17">
        <f t="shared" si="54"/>
        <v>1779.7934139128442</v>
      </c>
      <c r="N76" s="17">
        <f t="shared" si="55"/>
        <v>1817.2365406105721</v>
      </c>
      <c r="O76" s="17">
        <f t="shared" si="56"/>
        <v>1774.9334247762149</v>
      </c>
      <c r="P76" s="17">
        <v>0</v>
      </c>
      <c r="Q76" s="17">
        <f t="shared" si="57"/>
        <v>0</v>
      </c>
      <c r="R76" s="17">
        <f t="shared" si="58"/>
        <v>0</v>
      </c>
      <c r="S76" s="17">
        <f t="shared" si="59"/>
        <v>0</v>
      </c>
      <c r="T76" s="17">
        <f t="shared" si="60"/>
        <v>0</v>
      </c>
      <c r="U76" s="17">
        <f t="shared" si="61"/>
        <v>0</v>
      </c>
      <c r="V76" s="17">
        <f t="shared" si="62"/>
        <v>0</v>
      </c>
      <c r="W76" s="17">
        <f t="shared" si="63"/>
        <v>0</v>
      </c>
      <c r="X76" s="17">
        <f t="shared" si="64"/>
        <v>0</v>
      </c>
      <c r="Y76" s="17">
        <f t="shared" si="65"/>
        <v>0</v>
      </c>
      <c r="Z76" s="17">
        <f t="shared" si="66"/>
        <v>0</v>
      </c>
      <c r="AA76" s="17">
        <f t="shared" si="67"/>
        <v>0</v>
      </c>
      <c r="AB76" s="17">
        <f t="shared" si="68"/>
        <v>0</v>
      </c>
      <c r="AC76" s="17">
        <v>0</v>
      </c>
      <c r="AD76" s="17">
        <f t="shared" si="69"/>
        <v>0</v>
      </c>
      <c r="AE76" s="17">
        <f t="shared" si="70"/>
        <v>0</v>
      </c>
      <c r="AF76" s="17">
        <f t="shared" si="71"/>
        <v>0</v>
      </c>
      <c r="AG76" s="17">
        <f t="shared" si="72"/>
        <v>0</v>
      </c>
      <c r="AH76" s="17">
        <f t="shared" si="73"/>
        <v>0</v>
      </c>
      <c r="AI76" s="17">
        <f t="shared" si="74"/>
        <v>0</v>
      </c>
      <c r="AJ76" s="17">
        <f t="shared" si="75"/>
        <v>0</v>
      </c>
      <c r="AK76" s="17">
        <f t="shared" si="76"/>
        <v>0</v>
      </c>
      <c r="AL76" s="17">
        <f t="shared" si="77"/>
        <v>0</v>
      </c>
      <c r="AM76" s="17">
        <f t="shared" si="78"/>
        <v>0</v>
      </c>
      <c r="AN76" s="17">
        <f t="shared" si="79"/>
        <v>0</v>
      </c>
      <c r="AO76" s="17">
        <f t="shared" si="80"/>
        <v>0</v>
      </c>
      <c r="AP76" s="17">
        <f t="shared" si="81"/>
        <v>24000</v>
      </c>
      <c r="AQ76" s="18">
        <v>2140.3575827698137</v>
      </c>
      <c r="AR76" s="18">
        <v>2559.6666920268476</v>
      </c>
      <c r="AS76" s="18">
        <v>2265.3237803651432</v>
      </c>
      <c r="AT76" s="18">
        <v>1715.8955968452117</v>
      </c>
      <c r="AU76" s="18">
        <v>2488.4572345288229</v>
      </c>
      <c r="AV76" s="18">
        <v>2039.2879428610713</v>
      </c>
      <c r="AW76" s="18">
        <v>2030.2530930543048</v>
      </c>
      <c r="AX76" s="18">
        <v>1378.7305311067191</v>
      </c>
      <c r="AY76" s="18">
        <v>2043.6924562933793</v>
      </c>
      <c r="AZ76" s="18">
        <v>1779.7934139128442</v>
      </c>
      <c r="BA76" s="18">
        <v>1817.2365406105721</v>
      </c>
      <c r="BB76" s="18">
        <v>1774.9334247762149</v>
      </c>
      <c r="BC76" s="23">
        <v>8.9181565948742242E-2</v>
      </c>
      <c r="BD76" s="23">
        <v>0.10665277883445198</v>
      </c>
      <c r="BE76" s="23">
        <v>9.438849084854764E-2</v>
      </c>
      <c r="BF76" s="23">
        <v>7.149564986855049E-2</v>
      </c>
      <c r="BG76" s="23">
        <v>0.10368571810536763</v>
      </c>
      <c r="BH76" s="23">
        <v>8.4970330952544637E-2</v>
      </c>
      <c r="BI76" s="23">
        <v>8.4593878877262704E-2</v>
      </c>
      <c r="BJ76" s="23">
        <v>5.7447105462779965E-2</v>
      </c>
      <c r="BK76" s="23">
        <v>8.5153852345557474E-2</v>
      </c>
      <c r="BL76" s="23">
        <v>7.4158058913035174E-2</v>
      </c>
      <c r="BM76" s="23">
        <v>7.5718189192107169E-2</v>
      </c>
      <c r="BN76" s="23">
        <v>7.3955559365675619E-2</v>
      </c>
    </row>
    <row r="77" spans="1:67" x14ac:dyDescent="0.25">
      <c r="A77" s="16">
        <v>4178</v>
      </c>
      <c r="B77" s="16" t="s">
        <v>273</v>
      </c>
      <c r="C77" s="17">
        <v>25000</v>
      </c>
      <c r="D77" s="17">
        <f t="shared" si="45"/>
        <v>2229.5391487185561</v>
      </c>
      <c r="E77" s="17">
        <f t="shared" si="46"/>
        <v>2666.3194708612996</v>
      </c>
      <c r="F77" s="17">
        <f t="shared" si="47"/>
        <v>2359.7122712136911</v>
      </c>
      <c r="G77" s="17">
        <f t="shared" si="48"/>
        <v>1787.3912467137623</v>
      </c>
      <c r="H77" s="17">
        <f t="shared" si="49"/>
        <v>2592.1429526341908</v>
      </c>
      <c r="I77" s="17">
        <f t="shared" si="50"/>
        <v>2124.2582738136161</v>
      </c>
      <c r="J77" s="17">
        <f t="shared" si="51"/>
        <v>2114.8469719315676</v>
      </c>
      <c r="K77" s="17">
        <f t="shared" si="52"/>
        <v>1436.1776365694991</v>
      </c>
      <c r="L77" s="17">
        <f t="shared" si="53"/>
        <v>2128.846308638937</v>
      </c>
      <c r="M77" s="17">
        <f t="shared" si="54"/>
        <v>1853.9514728258794</v>
      </c>
      <c r="N77" s="17">
        <f t="shared" si="55"/>
        <v>1892.9547298026791</v>
      </c>
      <c r="O77" s="17">
        <f t="shared" si="56"/>
        <v>1848.8889841418904</v>
      </c>
      <c r="P77" s="17">
        <v>3000</v>
      </c>
      <c r="Q77" s="17">
        <f t="shared" si="57"/>
        <v>267.54469784622671</v>
      </c>
      <c r="R77" s="17">
        <f t="shared" si="58"/>
        <v>319.95833650335595</v>
      </c>
      <c r="S77" s="17">
        <f t="shared" si="59"/>
        <v>283.1654725456429</v>
      </c>
      <c r="T77" s="17">
        <f t="shared" si="60"/>
        <v>214.48694960565146</v>
      </c>
      <c r="U77" s="17">
        <f t="shared" si="61"/>
        <v>311.05715431610287</v>
      </c>
      <c r="V77" s="17">
        <f t="shared" si="62"/>
        <v>254.91099285763391</v>
      </c>
      <c r="W77" s="17">
        <f t="shared" si="63"/>
        <v>253.7816366317881</v>
      </c>
      <c r="X77" s="17">
        <f t="shared" si="64"/>
        <v>172.34131638833989</v>
      </c>
      <c r="Y77" s="17">
        <f t="shared" si="65"/>
        <v>255.46155703667242</v>
      </c>
      <c r="Z77" s="17">
        <f t="shared" si="66"/>
        <v>222.47417673910553</v>
      </c>
      <c r="AA77" s="17">
        <f t="shared" si="67"/>
        <v>227.15456757632151</v>
      </c>
      <c r="AB77" s="17">
        <f t="shared" si="68"/>
        <v>221.86667809702686</v>
      </c>
      <c r="AC77" s="17">
        <v>0</v>
      </c>
      <c r="AD77" s="17">
        <f t="shared" si="69"/>
        <v>0</v>
      </c>
      <c r="AE77" s="17">
        <f t="shared" si="70"/>
        <v>0</v>
      </c>
      <c r="AF77" s="17">
        <f t="shared" si="71"/>
        <v>0</v>
      </c>
      <c r="AG77" s="17">
        <f t="shared" si="72"/>
        <v>0</v>
      </c>
      <c r="AH77" s="17">
        <f t="shared" si="73"/>
        <v>0</v>
      </c>
      <c r="AI77" s="17">
        <f t="shared" si="74"/>
        <v>0</v>
      </c>
      <c r="AJ77" s="17">
        <f t="shared" si="75"/>
        <v>0</v>
      </c>
      <c r="AK77" s="17">
        <f t="shared" si="76"/>
        <v>0</v>
      </c>
      <c r="AL77" s="17">
        <f t="shared" si="77"/>
        <v>0</v>
      </c>
      <c r="AM77" s="17">
        <f t="shared" si="78"/>
        <v>0</v>
      </c>
      <c r="AN77" s="17">
        <f t="shared" si="79"/>
        <v>0</v>
      </c>
      <c r="AO77" s="17">
        <f t="shared" si="80"/>
        <v>0</v>
      </c>
      <c r="AP77" s="17">
        <f t="shared" si="81"/>
        <v>28000</v>
      </c>
      <c r="AQ77" s="18">
        <v>2140.3575827698137</v>
      </c>
      <c r="AR77" s="18">
        <v>2559.6666920268476</v>
      </c>
      <c r="AS77" s="18">
        <v>2265.3237803651432</v>
      </c>
      <c r="AT77" s="18">
        <v>1715.8955968452117</v>
      </c>
      <c r="AU77" s="18">
        <v>2488.4572345288229</v>
      </c>
      <c r="AV77" s="18">
        <v>2039.2879428610713</v>
      </c>
      <c r="AW77" s="18">
        <v>2030.2530930543048</v>
      </c>
      <c r="AX77" s="18">
        <v>1378.7305311067191</v>
      </c>
      <c r="AY77" s="18">
        <v>2043.6924562933793</v>
      </c>
      <c r="AZ77" s="18">
        <v>1779.7934139128442</v>
      </c>
      <c r="BA77" s="18">
        <v>1817.2365406105721</v>
      </c>
      <c r="BB77" s="18">
        <v>1774.9334247762149</v>
      </c>
      <c r="BC77" s="23">
        <v>8.9181565948742242E-2</v>
      </c>
      <c r="BD77" s="23">
        <v>0.10665277883445198</v>
      </c>
      <c r="BE77" s="23">
        <v>9.438849084854764E-2</v>
      </c>
      <c r="BF77" s="23">
        <v>7.149564986855049E-2</v>
      </c>
      <c r="BG77" s="23">
        <v>0.10368571810536763</v>
      </c>
      <c r="BH77" s="23">
        <v>8.4970330952544637E-2</v>
      </c>
      <c r="BI77" s="23">
        <v>8.4593878877262704E-2</v>
      </c>
      <c r="BJ77" s="23">
        <v>5.7447105462779965E-2</v>
      </c>
      <c r="BK77" s="23">
        <v>8.5153852345557474E-2</v>
      </c>
      <c r="BL77" s="23">
        <v>7.4158058913035174E-2</v>
      </c>
      <c r="BM77" s="23">
        <v>7.5718189192107169E-2</v>
      </c>
      <c r="BN77" s="23">
        <v>7.3955559365675619E-2</v>
      </c>
    </row>
    <row r="78" spans="1:67" x14ac:dyDescent="0.25">
      <c r="A78" s="16">
        <v>2343</v>
      </c>
      <c r="B78" s="16" t="s">
        <v>274</v>
      </c>
      <c r="C78" s="17">
        <v>8000</v>
      </c>
      <c r="D78" s="17">
        <f t="shared" si="45"/>
        <v>713.45252758993797</v>
      </c>
      <c r="E78" s="17">
        <f t="shared" si="46"/>
        <v>853.22223067561583</v>
      </c>
      <c r="F78" s="17">
        <f t="shared" si="47"/>
        <v>755.10792678838118</v>
      </c>
      <c r="G78" s="17">
        <f t="shared" si="48"/>
        <v>571.96519894840389</v>
      </c>
      <c r="H78" s="17">
        <f t="shared" si="49"/>
        <v>829.48574484294102</v>
      </c>
      <c r="I78" s="17">
        <f t="shared" si="50"/>
        <v>679.76264762035714</v>
      </c>
      <c r="J78" s="17">
        <f t="shared" si="51"/>
        <v>676.75103101810168</v>
      </c>
      <c r="K78" s="17">
        <f t="shared" si="52"/>
        <v>459.57684370223973</v>
      </c>
      <c r="L78" s="17">
        <f t="shared" si="53"/>
        <v>681.23081876445974</v>
      </c>
      <c r="M78" s="17">
        <f t="shared" si="54"/>
        <v>593.26447130428141</v>
      </c>
      <c r="N78" s="17">
        <f t="shared" si="55"/>
        <v>605.7455135368574</v>
      </c>
      <c r="O78" s="17">
        <f t="shared" si="56"/>
        <v>591.64447492540501</v>
      </c>
      <c r="P78" s="17">
        <v>14000</v>
      </c>
      <c r="Q78" s="17">
        <f t="shared" si="57"/>
        <v>1248.5419232823913</v>
      </c>
      <c r="R78" s="17">
        <f t="shared" si="58"/>
        <v>1493.1389036823277</v>
      </c>
      <c r="S78" s="17">
        <f t="shared" si="59"/>
        <v>1321.438871879667</v>
      </c>
      <c r="T78" s="17">
        <f t="shared" si="60"/>
        <v>1000.9390981597069</v>
      </c>
      <c r="U78" s="17">
        <f t="shared" si="61"/>
        <v>1451.6000534751468</v>
      </c>
      <c r="V78" s="17">
        <f t="shared" si="62"/>
        <v>1189.5846333356249</v>
      </c>
      <c r="W78" s="17">
        <f t="shared" si="63"/>
        <v>1184.3143042816778</v>
      </c>
      <c r="X78" s="17">
        <f t="shared" si="64"/>
        <v>804.25947647891951</v>
      </c>
      <c r="Y78" s="17">
        <f t="shared" si="65"/>
        <v>1192.1539328378046</v>
      </c>
      <c r="Z78" s="17">
        <f t="shared" si="66"/>
        <v>1038.2128247824924</v>
      </c>
      <c r="AA78" s="17">
        <f t="shared" si="67"/>
        <v>1060.0546486895003</v>
      </c>
      <c r="AB78" s="17">
        <f t="shared" si="68"/>
        <v>1035.3778311194587</v>
      </c>
      <c r="AC78" s="17">
        <v>0</v>
      </c>
      <c r="AD78" s="17">
        <f t="shared" si="69"/>
        <v>0</v>
      </c>
      <c r="AE78" s="17">
        <f t="shared" si="70"/>
        <v>0</v>
      </c>
      <c r="AF78" s="17">
        <f t="shared" si="71"/>
        <v>0</v>
      </c>
      <c r="AG78" s="17">
        <f t="shared" si="72"/>
        <v>0</v>
      </c>
      <c r="AH78" s="17">
        <f t="shared" si="73"/>
        <v>0</v>
      </c>
      <c r="AI78" s="17">
        <f t="shared" si="74"/>
        <v>0</v>
      </c>
      <c r="AJ78" s="17">
        <f t="shared" si="75"/>
        <v>0</v>
      </c>
      <c r="AK78" s="17">
        <f t="shared" si="76"/>
        <v>0</v>
      </c>
      <c r="AL78" s="17">
        <f t="shared" si="77"/>
        <v>0</v>
      </c>
      <c r="AM78" s="17">
        <f t="shared" si="78"/>
        <v>0</v>
      </c>
      <c r="AN78" s="17">
        <f t="shared" si="79"/>
        <v>0</v>
      </c>
      <c r="AO78" s="17">
        <f t="shared" si="80"/>
        <v>0</v>
      </c>
      <c r="AP78" s="17">
        <f t="shared" si="81"/>
        <v>22000</v>
      </c>
      <c r="AQ78" s="18">
        <v>2095.7667997954427</v>
      </c>
      <c r="AR78" s="18">
        <v>2506.3403026096216</v>
      </c>
      <c r="AS78" s="18">
        <v>2218.1295349408697</v>
      </c>
      <c r="AT78" s="18">
        <v>1680.1477719109364</v>
      </c>
      <c r="AU78" s="18">
        <v>2436.6143754761392</v>
      </c>
      <c r="AV78" s="18">
        <v>1996.8027773847989</v>
      </c>
      <c r="AW78" s="18">
        <v>1987.9561536156737</v>
      </c>
      <c r="AX78" s="18">
        <v>1350.0069783753293</v>
      </c>
      <c r="AY78" s="18">
        <v>2001.1155301206006</v>
      </c>
      <c r="AZ78" s="18">
        <v>1742.7143844563266</v>
      </c>
      <c r="BA78" s="18">
        <v>1779.3774460145185</v>
      </c>
      <c r="BB78" s="18">
        <v>1737.9556450933771</v>
      </c>
      <c r="BC78" s="23">
        <v>8.9181565948742242E-2</v>
      </c>
      <c r="BD78" s="23">
        <v>0.10665277883445198</v>
      </c>
      <c r="BE78" s="23">
        <v>9.438849084854764E-2</v>
      </c>
      <c r="BF78" s="23">
        <v>7.149564986855049E-2</v>
      </c>
      <c r="BG78" s="23">
        <v>0.10368571810536763</v>
      </c>
      <c r="BH78" s="23">
        <v>8.4970330952544637E-2</v>
      </c>
      <c r="BI78" s="23">
        <v>8.4593878877262704E-2</v>
      </c>
      <c r="BJ78" s="23">
        <v>5.7447105462779965E-2</v>
      </c>
      <c r="BK78" s="23">
        <v>8.5153852345557474E-2</v>
      </c>
      <c r="BL78" s="23">
        <v>7.4158058913035174E-2</v>
      </c>
      <c r="BM78" s="23">
        <v>7.5718189192107169E-2</v>
      </c>
      <c r="BN78" s="23">
        <v>7.3955559365675619E-2</v>
      </c>
    </row>
    <row r="79" spans="1:67" x14ac:dyDescent="0.25">
      <c r="A79" s="16">
        <v>4087</v>
      </c>
      <c r="B79" s="16" t="s">
        <v>275</v>
      </c>
      <c r="C79" s="17">
        <v>0</v>
      </c>
      <c r="D79" s="17">
        <f t="shared" si="45"/>
        <v>0</v>
      </c>
      <c r="E79" s="17">
        <f t="shared" si="46"/>
        <v>0</v>
      </c>
      <c r="F79" s="17">
        <f t="shared" si="47"/>
        <v>0</v>
      </c>
      <c r="G79" s="17">
        <f t="shared" si="48"/>
        <v>0</v>
      </c>
      <c r="H79" s="17">
        <f t="shared" si="49"/>
        <v>0</v>
      </c>
      <c r="I79" s="17">
        <f t="shared" si="50"/>
        <v>0</v>
      </c>
      <c r="J79" s="17">
        <f t="shared" si="51"/>
        <v>0</v>
      </c>
      <c r="K79" s="17">
        <f t="shared" si="52"/>
        <v>0</v>
      </c>
      <c r="L79" s="17">
        <f t="shared" si="53"/>
        <v>0</v>
      </c>
      <c r="M79" s="17">
        <f t="shared" si="54"/>
        <v>0</v>
      </c>
      <c r="N79" s="17">
        <f t="shared" si="55"/>
        <v>0</v>
      </c>
      <c r="O79" s="17">
        <f t="shared" si="56"/>
        <v>0</v>
      </c>
      <c r="P79" s="17">
        <v>3000</v>
      </c>
      <c r="Q79" s="17">
        <f t="shared" si="57"/>
        <v>267.54469784622671</v>
      </c>
      <c r="R79" s="17">
        <f t="shared" si="58"/>
        <v>319.95833650335595</v>
      </c>
      <c r="S79" s="17">
        <f t="shared" si="59"/>
        <v>283.1654725456429</v>
      </c>
      <c r="T79" s="17">
        <f t="shared" si="60"/>
        <v>214.48694960565146</v>
      </c>
      <c r="U79" s="17">
        <f t="shared" si="61"/>
        <v>311.05715431610287</v>
      </c>
      <c r="V79" s="17">
        <f t="shared" si="62"/>
        <v>254.91099285763391</v>
      </c>
      <c r="W79" s="17">
        <f t="shared" si="63"/>
        <v>253.7816366317881</v>
      </c>
      <c r="X79" s="17">
        <f t="shared" si="64"/>
        <v>172.34131638833989</v>
      </c>
      <c r="Y79" s="17">
        <f t="shared" si="65"/>
        <v>255.46155703667242</v>
      </c>
      <c r="Z79" s="17">
        <f t="shared" si="66"/>
        <v>222.47417673910553</v>
      </c>
      <c r="AA79" s="17">
        <f t="shared" si="67"/>
        <v>227.15456757632151</v>
      </c>
      <c r="AB79" s="17">
        <f t="shared" si="68"/>
        <v>221.86667809702686</v>
      </c>
      <c r="AC79" s="17">
        <v>0</v>
      </c>
      <c r="AD79" s="17">
        <f t="shared" si="69"/>
        <v>0</v>
      </c>
      <c r="AE79" s="17">
        <f t="shared" si="70"/>
        <v>0</v>
      </c>
      <c r="AF79" s="17">
        <f t="shared" si="71"/>
        <v>0</v>
      </c>
      <c r="AG79" s="17">
        <f t="shared" si="72"/>
        <v>0</v>
      </c>
      <c r="AH79" s="17">
        <f t="shared" si="73"/>
        <v>0</v>
      </c>
      <c r="AI79" s="17">
        <f t="shared" si="74"/>
        <v>0</v>
      </c>
      <c r="AJ79" s="17">
        <f t="shared" si="75"/>
        <v>0</v>
      </c>
      <c r="AK79" s="17">
        <f t="shared" si="76"/>
        <v>0</v>
      </c>
      <c r="AL79" s="17">
        <f t="shared" si="77"/>
        <v>0</v>
      </c>
      <c r="AM79" s="17">
        <f t="shared" si="78"/>
        <v>0</v>
      </c>
      <c r="AN79" s="17">
        <f t="shared" si="79"/>
        <v>0</v>
      </c>
      <c r="AO79" s="17">
        <f t="shared" si="80"/>
        <v>0</v>
      </c>
      <c r="AP79" s="17">
        <f t="shared" si="81"/>
        <v>3000</v>
      </c>
      <c r="AQ79" s="18">
        <v>2051.1760168210717</v>
      </c>
      <c r="AR79" s="18">
        <v>2453.0139131923956</v>
      </c>
      <c r="AS79" s="18">
        <v>2170.9352895165957</v>
      </c>
      <c r="AT79" s="18">
        <v>1644.3999469766613</v>
      </c>
      <c r="AU79" s="18">
        <v>2384.7715164234555</v>
      </c>
      <c r="AV79" s="18">
        <v>1954.3176119085267</v>
      </c>
      <c r="AW79" s="18">
        <v>1945.6592141770423</v>
      </c>
      <c r="AX79" s="18">
        <v>1321.2834256439392</v>
      </c>
      <c r="AY79" s="18">
        <v>1958.5386039478219</v>
      </c>
      <c r="AZ79" s="18">
        <v>1705.6353549998089</v>
      </c>
      <c r="BA79" s="18">
        <v>1741.5183514184648</v>
      </c>
      <c r="BB79" s="18">
        <v>1700.9778654105392</v>
      </c>
      <c r="BC79" s="23">
        <v>8.9181565948742242E-2</v>
      </c>
      <c r="BD79" s="23">
        <v>0.10665277883445198</v>
      </c>
      <c r="BE79" s="23">
        <v>9.438849084854764E-2</v>
      </c>
      <c r="BF79" s="23">
        <v>7.149564986855049E-2</v>
      </c>
      <c r="BG79" s="23">
        <v>0.10368571810536763</v>
      </c>
      <c r="BH79" s="23">
        <v>8.4970330952544637E-2</v>
      </c>
      <c r="BI79" s="23">
        <v>8.4593878877262704E-2</v>
      </c>
      <c r="BJ79" s="23">
        <v>5.7447105462779965E-2</v>
      </c>
      <c r="BK79" s="23">
        <v>8.5153852345557474E-2</v>
      </c>
      <c r="BL79" s="23">
        <v>7.4158058913035174E-2</v>
      </c>
      <c r="BM79" s="23">
        <v>7.5718189192107169E-2</v>
      </c>
      <c r="BN79" s="23">
        <v>7.3955559365675619E-2</v>
      </c>
    </row>
    <row r="80" spans="1:67" x14ac:dyDescent="0.25">
      <c r="A80" s="16">
        <v>11413</v>
      </c>
      <c r="B80" s="16" t="s">
        <v>276</v>
      </c>
      <c r="C80" s="17">
        <v>25000</v>
      </c>
      <c r="D80" s="17">
        <f t="shared" si="45"/>
        <v>2229.5391487185561</v>
      </c>
      <c r="E80" s="17">
        <f t="shared" si="46"/>
        <v>2666.3194708612996</v>
      </c>
      <c r="F80" s="17">
        <f t="shared" si="47"/>
        <v>2359.7122712136911</v>
      </c>
      <c r="G80" s="17">
        <f t="shared" si="48"/>
        <v>1787.3912467137623</v>
      </c>
      <c r="H80" s="17">
        <f t="shared" si="49"/>
        <v>2592.1429526341908</v>
      </c>
      <c r="I80" s="17">
        <f t="shared" si="50"/>
        <v>2124.2582738136161</v>
      </c>
      <c r="J80" s="17">
        <f t="shared" si="51"/>
        <v>2114.8469719315676</v>
      </c>
      <c r="K80" s="17">
        <f t="shared" si="52"/>
        <v>1436.1776365694991</v>
      </c>
      <c r="L80" s="17">
        <f t="shared" si="53"/>
        <v>2128.846308638937</v>
      </c>
      <c r="M80" s="17">
        <f t="shared" si="54"/>
        <v>1853.9514728258794</v>
      </c>
      <c r="N80" s="17">
        <f t="shared" si="55"/>
        <v>1892.9547298026791</v>
      </c>
      <c r="O80" s="17">
        <f t="shared" si="56"/>
        <v>1848.8889841418904</v>
      </c>
      <c r="P80" s="17">
        <v>3000</v>
      </c>
      <c r="Q80" s="17">
        <f t="shared" si="57"/>
        <v>267.54469784622671</v>
      </c>
      <c r="R80" s="17">
        <f t="shared" si="58"/>
        <v>319.95833650335595</v>
      </c>
      <c r="S80" s="17">
        <f t="shared" si="59"/>
        <v>283.1654725456429</v>
      </c>
      <c r="T80" s="17">
        <f t="shared" si="60"/>
        <v>214.48694960565146</v>
      </c>
      <c r="U80" s="17">
        <f t="shared" si="61"/>
        <v>311.05715431610287</v>
      </c>
      <c r="V80" s="17">
        <f t="shared" si="62"/>
        <v>254.91099285763391</v>
      </c>
      <c r="W80" s="17">
        <f t="shared" si="63"/>
        <v>253.7816366317881</v>
      </c>
      <c r="X80" s="17">
        <f t="shared" si="64"/>
        <v>172.34131638833989</v>
      </c>
      <c r="Y80" s="17">
        <f t="shared" si="65"/>
        <v>255.46155703667242</v>
      </c>
      <c r="Z80" s="17">
        <f t="shared" si="66"/>
        <v>222.47417673910553</v>
      </c>
      <c r="AA80" s="17">
        <f t="shared" si="67"/>
        <v>227.15456757632151</v>
      </c>
      <c r="AB80" s="17">
        <f t="shared" si="68"/>
        <v>221.86667809702686</v>
      </c>
      <c r="AC80" s="17">
        <v>0</v>
      </c>
      <c r="AD80" s="17">
        <f t="shared" si="69"/>
        <v>0</v>
      </c>
      <c r="AE80" s="17">
        <f t="shared" si="70"/>
        <v>0</v>
      </c>
      <c r="AF80" s="17">
        <f t="shared" si="71"/>
        <v>0</v>
      </c>
      <c r="AG80" s="17">
        <f t="shared" si="72"/>
        <v>0</v>
      </c>
      <c r="AH80" s="17">
        <f t="shared" si="73"/>
        <v>0</v>
      </c>
      <c r="AI80" s="17">
        <f t="shared" si="74"/>
        <v>0</v>
      </c>
      <c r="AJ80" s="17">
        <f t="shared" si="75"/>
        <v>0</v>
      </c>
      <c r="AK80" s="17">
        <f t="shared" si="76"/>
        <v>0</v>
      </c>
      <c r="AL80" s="17">
        <f t="shared" si="77"/>
        <v>0</v>
      </c>
      <c r="AM80" s="17">
        <f t="shared" si="78"/>
        <v>0</v>
      </c>
      <c r="AN80" s="17">
        <f t="shared" si="79"/>
        <v>0</v>
      </c>
      <c r="AO80" s="17">
        <f t="shared" si="80"/>
        <v>0</v>
      </c>
      <c r="AP80" s="17">
        <f t="shared" si="81"/>
        <v>28000</v>
      </c>
      <c r="AQ80" s="18">
        <v>2051.1760168210717</v>
      </c>
      <c r="AR80" s="18">
        <v>2453.0139131923956</v>
      </c>
      <c r="AS80" s="18">
        <v>2170.9352895165957</v>
      </c>
      <c r="AT80" s="18">
        <v>1644.3999469766613</v>
      </c>
      <c r="AU80" s="18">
        <v>2384.7715164234555</v>
      </c>
      <c r="AV80" s="18">
        <v>1954.3176119085267</v>
      </c>
      <c r="AW80" s="18">
        <v>1945.6592141770423</v>
      </c>
      <c r="AX80" s="18">
        <v>1321.2834256439392</v>
      </c>
      <c r="AY80" s="18">
        <v>1958.5386039478219</v>
      </c>
      <c r="AZ80" s="18">
        <v>1705.6353549998089</v>
      </c>
      <c r="BA80" s="18">
        <v>1741.5183514184648</v>
      </c>
      <c r="BB80" s="18">
        <v>1700.9778654105392</v>
      </c>
      <c r="BC80" s="23">
        <v>8.9181565948742242E-2</v>
      </c>
      <c r="BD80" s="23">
        <v>0.10665277883445198</v>
      </c>
      <c r="BE80" s="23">
        <v>9.438849084854764E-2</v>
      </c>
      <c r="BF80" s="23">
        <v>7.149564986855049E-2</v>
      </c>
      <c r="BG80" s="23">
        <v>0.10368571810536763</v>
      </c>
      <c r="BH80" s="23">
        <v>8.4970330952544637E-2</v>
      </c>
      <c r="BI80" s="23">
        <v>8.4593878877262704E-2</v>
      </c>
      <c r="BJ80" s="23">
        <v>5.7447105462779965E-2</v>
      </c>
      <c r="BK80" s="23">
        <v>8.5153852345557474E-2</v>
      </c>
      <c r="BL80" s="23">
        <v>7.4158058913035174E-2</v>
      </c>
      <c r="BM80" s="23">
        <v>7.5718189192107169E-2</v>
      </c>
      <c r="BN80" s="23">
        <v>7.3955559365675619E-2</v>
      </c>
    </row>
    <row r="81" spans="1:66" x14ac:dyDescent="0.25">
      <c r="A81" s="16">
        <v>1368</v>
      </c>
      <c r="B81" s="16" t="s">
        <v>277</v>
      </c>
      <c r="C81" s="17">
        <v>8000</v>
      </c>
      <c r="D81" s="17">
        <f t="shared" si="45"/>
        <v>713.45252758993797</v>
      </c>
      <c r="E81" s="17">
        <f t="shared" si="46"/>
        <v>853.22223067561583</v>
      </c>
      <c r="F81" s="17">
        <f t="shared" si="47"/>
        <v>755.10792678838118</v>
      </c>
      <c r="G81" s="17">
        <f t="shared" si="48"/>
        <v>571.96519894840389</v>
      </c>
      <c r="H81" s="17">
        <f t="shared" si="49"/>
        <v>829.48574484294102</v>
      </c>
      <c r="I81" s="17">
        <f t="shared" si="50"/>
        <v>679.76264762035714</v>
      </c>
      <c r="J81" s="17">
        <f t="shared" si="51"/>
        <v>676.75103101810168</v>
      </c>
      <c r="K81" s="17">
        <f t="shared" si="52"/>
        <v>459.57684370223973</v>
      </c>
      <c r="L81" s="17">
        <f t="shared" si="53"/>
        <v>681.23081876445974</v>
      </c>
      <c r="M81" s="17">
        <f t="shared" si="54"/>
        <v>593.26447130428141</v>
      </c>
      <c r="N81" s="17">
        <f t="shared" si="55"/>
        <v>605.7455135368574</v>
      </c>
      <c r="O81" s="17">
        <f t="shared" si="56"/>
        <v>591.64447492540501</v>
      </c>
      <c r="P81" s="17">
        <v>15000</v>
      </c>
      <c r="Q81" s="17">
        <f t="shared" si="57"/>
        <v>1337.7234892311337</v>
      </c>
      <c r="R81" s="17">
        <f t="shared" si="58"/>
        <v>1599.7916825167797</v>
      </c>
      <c r="S81" s="17">
        <f t="shared" si="59"/>
        <v>1415.8273627282147</v>
      </c>
      <c r="T81" s="17">
        <f t="shared" si="60"/>
        <v>1072.4347480282574</v>
      </c>
      <c r="U81" s="17">
        <f t="shared" si="61"/>
        <v>1555.2857715805144</v>
      </c>
      <c r="V81" s="17">
        <f t="shared" si="62"/>
        <v>1274.5549642881695</v>
      </c>
      <c r="W81" s="17">
        <f t="shared" si="63"/>
        <v>1268.9081831589406</v>
      </c>
      <c r="X81" s="17">
        <f t="shared" si="64"/>
        <v>861.70658194169948</v>
      </c>
      <c r="Y81" s="17">
        <f t="shared" si="65"/>
        <v>1277.3077851833621</v>
      </c>
      <c r="Z81" s="17">
        <f t="shared" si="66"/>
        <v>1112.3708836955277</v>
      </c>
      <c r="AA81" s="17">
        <f t="shared" si="67"/>
        <v>1135.7728378816075</v>
      </c>
      <c r="AB81" s="17">
        <f t="shared" si="68"/>
        <v>1109.3333904851343</v>
      </c>
      <c r="AC81" s="17">
        <v>0</v>
      </c>
      <c r="AD81" s="17">
        <f t="shared" si="69"/>
        <v>0</v>
      </c>
      <c r="AE81" s="17">
        <f t="shared" si="70"/>
        <v>0</v>
      </c>
      <c r="AF81" s="17">
        <f t="shared" si="71"/>
        <v>0</v>
      </c>
      <c r="AG81" s="17">
        <f t="shared" si="72"/>
        <v>0</v>
      </c>
      <c r="AH81" s="17">
        <f t="shared" si="73"/>
        <v>0</v>
      </c>
      <c r="AI81" s="17">
        <f t="shared" si="74"/>
        <v>0</v>
      </c>
      <c r="AJ81" s="17">
        <f t="shared" si="75"/>
        <v>0</v>
      </c>
      <c r="AK81" s="17">
        <f t="shared" si="76"/>
        <v>0</v>
      </c>
      <c r="AL81" s="17">
        <f t="shared" si="77"/>
        <v>0</v>
      </c>
      <c r="AM81" s="17">
        <f t="shared" si="78"/>
        <v>0</v>
      </c>
      <c r="AN81" s="17">
        <f t="shared" si="79"/>
        <v>0</v>
      </c>
      <c r="AO81" s="17">
        <f t="shared" si="80"/>
        <v>0</v>
      </c>
      <c r="AP81" s="17">
        <f t="shared" si="81"/>
        <v>23000</v>
      </c>
      <c r="AQ81" s="18">
        <v>2051.1760168210717</v>
      </c>
      <c r="AR81" s="18">
        <v>2453.0139131923956</v>
      </c>
      <c r="AS81" s="18">
        <v>2170.9352895165957</v>
      </c>
      <c r="AT81" s="18">
        <v>1644.3999469766613</v>
      </c>
      <c r="AU81" s="18">
        <v>2384.7715164234555</v>
      </c>
      <c r="AV81" s="18">
        <v>1954.3176119085267</v>
      </c>
      <c r="AW81" s="18">
        <v>1945.6592141770423</v>
      </c>
      <c r="AX81" s="18">
        <v>1321.2834256439392</v>
      </c>
      <c r="AY81" s="18">
        <v>1958.5386039478219</v>
      </c>
      <c r="AZ81" s="18">
        <v>1705.6353549998089</v>
      </c>
      <c r="BA81" s="18">
        <v>1741.5183514184648</v>
      </c>
      <c r="BB81" s="18">
        <v>1700.9778654105392</v>
      </c>
      <c r="BC81" s="23">
        <v>8.9181565948742242E-2</v>
      </c>
      <c r="BD81" s="23">
        <v>0.10665277883445198</v>
      </c>
      <c r="BE81" s="23">
        <v>9.438849084854764E-2</v>
      </c>
      <c r="BF81" s="23">
        <v>7.149564986855049E-2</v>
      </c>
      <c r="BG81" s="23">
        <v>0.10368571810536763</v>
      </c>
      <c r="BH81" s="23">
        <v>8.4970330952544637E-2</v>
      </c>
      <c r="BI81" s="23">
        <v>8.4593878877262704E-2</v>
      </c>
      <c r="BJ81" s="23">
        <v>5.7447105462779965E-2</v>
      </c>
      <c r="BK81" s="23">
        <v>8.5153852345557474E-2</v>
      </c>
      <c r="BL81" s="23">
        <v>7.4158058913035174E-2</v>
      </c>
      <c r="BM81" s="23">
        <v>7.5718189192107169E-2</v>
      </c>
      <c r="BN81" s="23">
        <v>7.3955559365675619E-2</v>
      </c>
    </row>
    <row r="82" spans="1:66" x14ac:dyDescent="0.25">
      <c r="A82" s="16">
        <v>15405</v>
      </c>
      <c r="B82" s="16" t="s">
        <v>278</v>
      </c>
      <c r="C82" s="17">
        <v>2200</v>
      </c>
      <c r="D82" s="17">
        <f t="shared" si="45"/>
        <v>196.19944508723293</v>
      </c>
      <c r="E82" s="17">
        <f t="shared" si="46"/>
        <v>234.63611343579436</v>
      </c>
      <c r="F82" s="17">
        <f t="shared" si="47"/>
        <v>207.6546798668048</v>
      </c>
      <c r="G82" s="17">
        <f t="shared" si="48"/>
        <v>157.29042971081108</v>
      </c>
      <c r="H82" s="17">
        <f t="shared" si="49"/>
        <v>228.10857983180878</v>
      </c>
      <c r="I82" s="17">
        <f t="shared" si="50"/>
        <v>186.93472809559819</v>
      </c>
      <c r="J82" s="17">
        <f t="shared" si="51"/>
        <v>186.10653352997795</v>
      </c>
      <c r="K82" s="17">
        <f t="shared" si="52"/>
        <v>126.38363201811592</v>
      </c>
      <c r="L82" s="17">
        <f t="shared" si="53"/>
        <v>187.33847516022644</v>
      </c>
      <c r="M82" s="17">
        <f t="shared" si="54"/>
        <v>163.14772960867739</v>
      </c>
      <c r="N82" s="17">
        <f t="shared" si="55"/>
        <v>166.58001622263578</v>
      </c>
      <c r="O82" s="17">
        <f t="shared" si="56"/>
        <v>162.70223060448637</v>
      </c>
      <c r="P82" s="17">
        <v>10000</v>
      </c>
      <c r="Q82" s="17">
        <f t="shared" si="57"/>
        <v>891.81565948742241</v>
      </c>
      <c r="R82" s="17">
        <f t="shared" si="58"/>
        <v>1066.5277883445199</v>
      </c>
      <c r="S82" s="17">
        <f t="shared" si="59"/>
        <v>943.88490848547644</v>
      </c>
      <c r="T82" s="17">
        <f t="shared" si="60"/>
        <v>714.95649868550493</v>
      </c>
      <c r="U82" s="17">
        <f t="shared" si="61"/>
        <v>1036.8571810536762</v>
      </c>
      <c r="V82" s="17">
        <f t="shared" si="62"/>
        <v>849.70330952544634</v>
      </c>
      <c r="W82" s="17">
        <f t="shared" si="63"/>
        <v>845.93878877262705</v>
      </c>
      <c r="X82" s="17">
        <f t="shared" si="64"/>
        <v>574.47105462779962</v>
      </c>
      <c r="Y82" s="17">
        <f t="shared" si="65"/>
        <v>851.5385234555747</v>
      </c>
      <c r="Z82" s="17">
        <f t="shared" si="66"/>
        <v>741.58058913035177</v>
      </c>
      <c r="AA82" s="17">
        <f t="shared" si="67"/>
        <v>757.18189192107172</v>
      </c>
      <c r="AB82" s="17">
        <f t="shared" si="68"/>
        <v>739.55559365675617</v>
      </c>
      <c r="AC82" s="17">
        <v>0</v>
      </c>
      <c r="AD82" s="17">
        <f t="shared" si="69"/>
        <v>0</v>
      </c>
      <c r="AE82" s="17">
        <f t="shared" si="70"/>
        <v>0</v>
      </c>
      <c r="AF82" s="17">
        <f t="shared" si="71"/>
        <v>0</v>
      </c>
      <c r="AG82" s="17">
        <f t="shared" si="72"/>
        <v>0</v>
      </c>
      <c r="AH82" s="17">
        <f t="shared" si="73"/>
        <v>0</v>
      </c>
      <c r="AI82" s="17">
        <f t="shared" si="74"/>
        <v>0</v>
      </c>
      <c r="AJ82" s="17">
        <f t="shared" si="75"/>
        <v>0</v>
      </c>
      <c r="AK82" s="17">
        <f t="shared" si="76"/>
        <v>0</v>
      </c>
      <c r="AL82" s="17">
        <f t="shared" si="77"/>
        <v>0</v>
      </c>
      <c r="AM82" s="17">
        <f t="shared" si="78"/>
        <v>0</v>
      </c>
      <c r="AN82" s="17">
        <f t="shared" si="79"/>
        <v>0</v>
      </c>
      <c r="AO82" s="17">
        <f t="shared" si="80"/>
        <v>0</v>
      </c>
      <c r="AP82" s="17">
        <f t="shared" si="81"/>
        <v>12200</v>
      </c>
      <c r="AQ82" s="18">
        <v>2006.5852338467005</v>
      </c>
      <c r="AR82" s="18">
        <v>2399.6875237751697</v>
      </c>
      <c r="AS82" s="18">
        <v>2123.7410440923218</v>
      </c>
      <c r="AT82" s="18">
        <v>1608.6521220423861</v>
      </c>
      <c r="AU82" s="18">
        <v>2332.9286573707718</v>
      </c>
      <c r="AV82" s="18">
        <v>1911.8324464322543</v>
      </c>
      <c r="AW82" s="18">
        <v>1903.3622747384109</v>
      </c>
      <c r="AX82" s="18">
        <v>1292.5598729125493</v>
      </c>
      <c r="AY82" s="18">
        <v>1915.9616777750432</v>
      </c>
      <c r="AZ82" s="18">
        <v>1668.5563255432915</v>
      </c>
      <c r="BA82" s="18">
        <v>1703.6592568224114</v>
      </c>
      <c r="BB82" s="18">
        <v>1664.0000857277014</v>
      </c>
      <c r="BC82" s="23">
        <v>8.9181565948742242E-2</v>
      </c>
      <c r="BD82" s="23">
        <v>0.10665277883445198</v>
      </c>
      <c r="BE82" s="23">
        <v>9.438849084854764E-2</v>
      </c>
      <c r="BF82" s="23">
        <v>7.149564986855049E-2</v>
      </c>
      <c r="BG82" s="23">
        <v>0.10368571810536763</v>
      </c>
      <c r="BH82" s="23">
        <v>8.4970330952544637E-2</v>
      </c>
      <c r="BI82" s="23">
        <v>8.4593878877262704E-2</v>
      </c>
      <c r="BJ82" s="23">
        <v>5.7447105462779965E-2</v>
      </c>
      <c r="BK82" s="23">
        <v>8.5153852345557474E-2</v>
      </c>
      <c r="BL82" s="23">
        <v>7.4158058913035174E-2</v>
      </c>
      <c r="BM82" s="23">
        <v>7.5718189192107169E-2</v>
      </c>
      <c r="BN82" s="23">
        <v>7.3955559365675619E-2</v>
      </c>
    </row>
    <row r="83" spans="1:66" x14ac:dyDescent="0.25">
      <c r="A83" s="16">
        <v>5411</v>
      </c>
      <c r="B83" s="16" t="s">
        <v>279</v>
      </c>
      <c r="C83" s="17">
        <v>15000</v>
      </c>
      <c r="D83" s="17">
        <f t="shared" si="45"/>
        <v>1337.7234892311337</v>
      </c>
      <c r="E83" s="17">
        <f t="shared" si="46"/>
        <v>1599.7916825167797</v>
      </c>
      <c r="F83" s="17">
        <f t="shared" si="47"/>
        <v>1415.8273627282147</v>
      </c>
      <c r="G83" s="17">
        <f t="shared" si="48"/>
        <v>1072.4347480282574</v>
      </c>
      <c r="H83" s="17">
        <f t="shared" si="49"/>
        <v>1555.2857715805144</v>
      </c>
      <c r="I83" s="17">
        <f t="shared" si="50"/>
        <v>1274.5549642881695</v>
      </c>
      <c r="J83" s="17">
        <f t="shared" si="51"/>
        <v>1268.9081831589406</v>
      </c>
      <c r="K83" s="17">
        <f t="shared" si="52"/>
        <v>861.70658194169948</v>
      </c>
      <c r="L83" s="17">
        <f t="shared" si="53"/>
        <v>1277.3077851833621</v>
      </c>
      <c r="M83" s="17">
        <f t="shared" si="54"/>
        <v>1112.3708836955277</v>
      </c>
      <c r="N83" s="17">
        <f t="shared" si="55"/>
        <v>1135.7728378816075</v>
      </c>
      <c r="O83" s="17">
        <f t="shared" si="56"/>
        <v>1109.3333904851343</v>
      </c>
      <c r="P83" s="17">
        <v>0</v>
      </c>
      <c r="Q83" s="17">
        <f t="shared" si="57"/>
        <v>0</v>
      </c>
      <c r="R83" s="17">
        <f t="shared" si="58"/>
        <v>0</v>
      </c>
      <c r="S83" s="17">
        <f t="shared" si="59"/>
        <v>0</v>
      </c>
      <c r="T83" s="17">
        <f t="shared" si="60"/>
        <v>0</v>
      </c>
      <c r="U83" s="17">
        <f t="shared" si="61"/>
        <v>0</v>
      </c>
      <c r="V83" s="17">
        <f t="shared" si="62"/>
        <v>0</v>
      </c>
      <c r="W83" s="17">
        <f t="shared" si="63"/>
        <v>0</v>
      </c>
      <c r="X83" s="17">
        <f t="shared" si="64"/>
        <v>0</v>
      </c>
      <c r="Y83" s="17">
        <f t="shared" si="65"/>
        <v>0</v>
      </c>
      <c r="Z83" s="17">
        <f t="shared" si="66"/>
        <v>0</v>
      </c>
      <c r="AA83" s="17">
        <f t="shared" si="67"/>
        <v>0</v>
      </c>
      <c r="AB83" s="17">
        <f t="shared" si="68"/>
        <v>0</v>
      </c>
      <c r="AC83" s="17">
        <v>0</v>
      </c>
      <c r="AD83" s="17">
        <f t="shared" si="69"/>
        <v>0</v>
      </c>
      <c r="AE83" s="17">
        <f t="shared" si="70"/>
        <v>0</v>
      </c>
      <c r="AF83" s="17">
        <f t="shared" si="71"/>
        <v>0</v>
      </c>
      <c r="AG83" s="17">
        <f t="shared" si="72"/>
        <v>0</v>
      </c>
      <c r="AH83" s="17">
        <f t="shared" si="73"/>
        <v>0</v>
      </c>
      <c r="AI83" s="17">
        <f t="shared" si="74"/>
        <v>0</v>
      </c>
      <c r="AJ83" s="17">
        <f t="shared" si="75"/>
        <v>0</v>
      </c>
      <c r="AK83" s="17">
        <f t="shared" si="76"/>
        <v>0</v>
      </c>
      <c r="AL83" s="17">
        <f t="shared" si="77"/>
        <v>0</v>
      </c>
      <c r="AM83" s="17">
        <f t="shared" si="78"/>
        <v>0</v>
      </c>
      <c r="AN83" s="17">
        <f t="shared" si="79"/>
        <v>0</v>
      </c>
      <c r="AO83" s="17">
        <f t="shared" si="80"/>
        <v>0</v>
      </c>
      <c r="AP83" s="17">
        <f t="shared" si="81"/>
        <v>15000</v>
      </c>
      <c r="AQ83" s="18">
        <v>1979.8307640620778</v>
      </c>
      <c r="AR83" s="18">
        <v>2367.6916901248342</v>
      </c>
      <c r="AS83" s="18">
        <v>2095.4244968377575</v>
      </c>
      <c r="AT83" s="18">
        <v>1587.2034270818208</v>
      </c>
      <c r="AU83" s="18">
        <v>2301.8229419391614</v>
      </c>
      <c r="AV83" s="18">
        <v>1886.341347146491</v>
      </c>
      <c r="AW83" s="18">
        <v>1877.984111075232</v>
      </c>
      <c r="AX83" s="18">
        <v>1275.3257412737153</v>
      </c>
      <c r="AY83" s="18">
        <v>1890.415522071376</v>
      </c>
      <c r="AZ83" s="18">
        <v>1646.3089078693808</v>
      </c>
      <c r="BA83" s="18">
        <v>1680.9438000647792</v>
      </c>
      <c r="BB83" s="18">
        <v>1641.8134179179988</v>
      </c>
      <c r="BC83" s="23">
        <v>8.9181565948742242E-2</v>
      </c>
      <c r="BD83" s="23">
        <v>0.10665277883445198</v>
      </c>
      <c r="BE83" s="23">
        <v>9.438849084854764E-2</v>
      </c>
      <c r="BF83" s="23">
        <v>7.149564986855049E-2</v>
      </c>
      <c r="BG83" s="23">
        <v>0.10368571810536763</v>
      </c>
      <c r="BH83" s="23">
        <v>8.4970330952544637E-2</v>
      </c>
      <c r="BI83" s="23">
        <v>8.4593878877262704E-2</v>
      </c>
      <c r="BJ83" s="23">
        <v>5.7447105462779965E-2</v>
      </c>
      <c r="BK83" s="23">
        <v>8.5153852345557474E-2</v>
      </c>
      <c r="BL83" s="23">
        <v>7.4158058913035174E-2</v>
      </c>
      <c r="BM83" s="23">
        <v>7.5718189192107169E-2</v>
      </c>
      <c r="BN83" s="23">
        <v>7.3955559365675619E-2</v>
      </c>
    </row>
    <row r="84" spans="1:66" x14ac:dyDescent="0.25">
      <c r="A84" s="16">
        <v>3380</v>
      </c>
      <c r="B84" s="16" t="s">
        <v>280</v>
      </c>
      <c r="C84" s="17">
        <v>12000</v>
      </c>
      <c r="D84" s="17">
        <f t="shared" si="45"/>
        <v>1070.1787913849068</v>
      </c>
      <c r="E84" s="17">
        <f t="shared" si="46"/>
        <v>1279.8333460134238</v>
      </c>
      <c r="F84" s="17">
        <f t="shared" si="47"/>
        <v>1132.6618901825716</v>
      </c>
      <c r="G84" s="17">
        <f t="shared" si="48"/>
        <v>857.94779842260584</v>
      </c>
      <c r="H84" s="17">
        <f t="shared" si="49"/>
        <v>1244.2286172644115</v>
      </c>
      <c r="I84" s="17">
        <f t="shared" si="50"/>
        <v>1019.6439714305357</v>
      </c>
      <c r="J84" s="17">
        <f t="shared" si="51"/>
        <v>1015.1265465271524</v>
      </c>
      <c r="K84" s="17">
        <f t="shared" si="52"/>
        <v>689.36526555335956</v>
      </c>
      <c r="L84" s="17">
        <f t="shared" si="53"/>
        <v>1021.8462281466897</v>
      </c>
      <c r="M84" s="17">
        <f t="shared" si="54"/>
        <v>889.89670695642212</v>
      </c>
      <c r="N84" s="17">
        <f t="shared" si="55"/>
        <v>908.61827030528605</v>
      </c>
      <c r="O84" s="17">
        <f t="shared" si="56"/>
        <v>887.46671238810745</v>
      </c>
      <c r="P84" s="17">
        <v>2000</v>
      </c>
      <c r="Q84" s="17">
        <f t="shared" si="57"/>
        <v>178.36313189748449</v>
      </c>
      <c r="R84" s="17">
        <f t="shared" si="58"/>
        <v>213.30555766890396</v>
      </c>
      <c r="S84" s="17">
        <f t="shared" si="59"/>
        <v>188.77698169709529</v>
      </c>
      <c r="T84" s="17">
        <f t="shared" si="60"/>
        <v>142.99129973710097</v>
      </c>
      <c r="U84" s="17">
        <f t="shared" si="61"/>
        <v>207.37143621073525</v>
      </c>
      <c r="V84" s="17">
        <f t="shared" si="62"/>
        <v>169.94066190508929</v>
      </c>
      <c r="W84" s="17">
        <f t="shared" si="63"/>
        <v>169.18775775452542</v>
      </c>
      <c r="X84" s="17">
        <f t="shared" si="64"/>
        <v>114.89421092555993</v>
      </c>
      <c r="Y84" s="17">
        <f t="shared" si="65"/>
        <v>170.30770469111494</v>
      </c>
      <c r="Z84" s="17">
        <f t="shared" si="66"/>
        <v>148.31611782607035</v>
      </c>
      <c r="AA84" s="17">
        <f t="shared" si="67"/>
        <v>151.43637838421435</v>
      </c>
      <c r="AB84" s="17">
        <f t="shared" si="68"/>
        <v>147.91111873135125</v>
      </c>
      <c r="AC84" s="17">
        <v>30000</v>
      </c>
      <c r="AD84" s="17">
        <f t="shared" si="69"/>
        <v>2675.4469784622675</v>
      </c>
      <c r="AE84" s="17">
        <f t="shared" si="70"/>
        <v>3199.5833650335594</v>
      </c>
      <c r="AF84" s="17">
        <f t="shared" si="71"/>
        <v>2831.6547254564293</v>
      </c>
      <c r="AG84" s="17">
        <f t="shared" si="72"/>
        <v>2144.8694960565149</v>
      </c>
      <c r="AH84" s="17">
        <f t="shared" si="73"/>
        <v>3110.5715431610288</v>
      </c>
      <c r="AI84" s="17">
        <f t="shared" si="74"/>
        <v>2549.1099285763389</v>
      </c>
      <c r="AJ84" s="17">
        <f t="shared" si="75"/>
        <v>2537.8163663178811</v>
      </c>
      <c r="AK84" s="17">
        <f t="shared" si="76"/>
        <v>1723.413163883399</v>
      </c>
      <c r="AL84" s="17">
        <f t="shared" si="77"/>
        <v>2554.6155703667241</v>
      </c>
      <c r="AM84" s="17">
        <f t="shared" si="78"/>
        <v>2224.7417673910554</v>
      </c>
      <c r="AN84" s="17">
        <f t="shared" si="79"/>
        <v>2271.5456757632151</v>
      </c>
      <c r="AO84" s="17">
        <f t="shared" si="80"/>
        <v>2218.6667809702685</v>
      </c>
      <c r="AP84" s="17">
        <f t="shared" si="81"/>
        <v>44000</v>
      </c>
      <c r="AQ84" s="18">
        <v>1917.4036678979583</v>
      </c>
      <c r="AR84" s="18">
        <v>2293.0347449407177</v>
      </c>
      <c r="AS84" s="18">
        <v>2029.3525532437743</v>
      </c>
      <c r="AT84" s="18">
        <v>1537.1564721738355</v>
      </c>
      <c r="AU84" s="18">
        <v>2229.2429392654039</v>
      </c>
      <c r="AV84" s="18">
        <v>1826.8621154797097</v>
      </c>
      <c r="AW84" s="18">
        <v>1818.7683958611481</v>
      </c>
      <c r="AX84" s="18">
        <v>1235.1127674497693</v>
      </c>
      <c r="AY84" s="18">
        <v>1830.8078254294858</v>
      </c>
      <c r="AZ84" s="18">
        <v>1594.3982666302563</v>
      </c>
      <c r="BA84" s="18">
        <v>1627.9410676303041</v>
      </c>
      <c r="BB84" s="18">
        <v>1590.0445263620259</v>
      </c>
      <c r="BC84" s="23">
        <v>8.9181565948742242E-2</v>
      </c>
      <c r="BD84" s="23">
        <v>0.10665277883445198</v>
      </c>
      <c r="BE84" s="23">
        <v>9.438849084854764E-2</v>
      </c>
      <c r="BF84" s="23">
        <v>7.149564986855049E-2</v>
      </c>
      <c r="BG84" s="23">
        <v>0.10368571810536763</v>
      </c>
      <c r="BH84" s="23">
        <v>8.4970330952544637E-2</v>
      </c>
      <c r="BI84" s="23">
        <v>8.4593878877262704E-2</v>
      </c>
      <c r="BJ84" s="23">
        <v>5.7447105462779965E-2</v>
      </c>
      <c r="BK84" s="23">
        <v>8.5153852345557474E-2</v>
      </c>
      <c r="BL84" s="23">
        <v>7.4158058913035174E-2</v>
      </c>
      <c r="BM84" s="23">
        <v>7.5718189192107169E-2</v>
      </c>
      <c r="BN84" s="23">
        <v>7.3955559365675619E-2</v>
      </c>
    </row>
    <row r="85" spans="1:66" x14ac:dyDescent="0.25">
      <c r="A85" s="16">
        <v>5194</v>
      </c>
      <c r="B85" s="16" t="s">
        <v>281</v>
      </c>
      <c r="C85" s="17">
        <v>0</v>
      </c>
      <c r="D85" s="17">
        <f t="shared" si="45"/>
        <v>0</v>
      </c>
      <c r="E85" s="17">
        <f t="shared" si="46"/>
        <v>0</v>
      </c>
      <c r="F85" s="17">
        <f t="shared" si="47"/>
        <v>0</v>
      </c>
      <c r="G85" s="17">
        <f t="shared" si="48"/>
        <v>0</v>
      </c>
      <c r="H85" s="17">
        <f t="shared" si="49"/>
        <v>0</v>
      </c>
      <c r="I85" s="17">
        <f t="shared" si="50"/>
        <v>0</v>
      </c>
      <c r="J85" s="17">
        <f t="shared" si="51"/>
        <v>0</v>
      </c>
      <c r="K85" s="17">
        <f t="shared" si="52"/>
        <v>0</v>
      </c>
      <c r="L85" s="17">
        <f t="shared" si="53"/>
        <v>0</v>
      </c>
      <c r="M85" s="17">
        <f t="shared" si="54"/>
        <v>0</v>
      </c>
      <c r="N85" s="17">
        <f t="shared" si="55"/>
        <v>0</v>
      </c>
      <c r="O85" s="17">
        <f t="shared" si="56"/>
        <v>0</v>
      </c>
      <c r="P85" s="17">
        <v>0</v>
      </c>
      <c r="Q85" s="17">
        <f t="shared" si="57"/>
        <v>0</v>
      </c>
      <c r="R85" s="17">
        <f t="shared" si="58"/>
        <v>0</v>
      </c>
      <c r="S85" s="17">
        <f t="shared" si="59"/>
        <v>0</v>
      </c>
      <c r="T85" s="17">
        <f t="shared" si="60"/>
        <v>0</v>
      </c>
      <c r="U85" s="17">
        <f t="shared" si="61"/>
        <v>0</v>
      </c>
      <c r="V85" s="17">
        <f t="shared" si="62"/>
        <v>0</v>
      </c>
      <c r="W85" s="17">
        <f t="shared" si="63"/>
        <v>0</v>
      </c>
      <c r="X85" s="17">
        <f t="shared" si="64"/>
        <v>0</v>
      </c>
      <c r="Y85" s="17">
        <f t="shared" si="65"/>
        <v>0</v>
      </c>
      <c r="Z85" s="17">
        <f t="shared" si="66"/>
        <v>0</v>
      </c>
      <c r="AA85" s="17">
        <f t="shared" si="67"/>
        <v>0</v>
      </c>
      <c r="AB85" s="17">
        <f t="shared" si="68"/>
        <v>0</v>
      </c>
      <c r="AC85" s="17">
        <v>0</v>
      </c>
      <c r="AD85" s="17">
        <f t="shared" si="69"/>
        <v>0</v>
      </c>
      <c r="AE85" s="17">
        <f t="shared" si="70"/>
        <v>0</v>
      </c>
      <c r="AF85" s="17">
        <f t="shared" si="71"/>
        <v>0</v>
      </c>
      <c r="AG85" s="17">
        <f t="shared" si="72"/>
        <v>0</v>
      </c>
      <c r="AH85" s="17">
        <f t="shared" si="73"/>
        <v>0</v>
      </c>
      <c r="AI85" s="17">
        <f t="shared" si="74"/>
        <v>0</v>
      </c>
      <c r="AJ85" s="17">
        <f t="shared" si="75"/>
        <v>0</v>
      </c>
      <c r="AK85" s="17">
        <f t="shared" si="76"/>
        <v>0</v>
      </c>
      <c r="AL85" s="17">
        <f t="shared" si="77"/>
        <v>0</v>
      </c>
      <c r="AM85" s="17">
        <f t="shared" si="78"/>
        <v>0</v>
      </c>
      <c r="AN85" s="17">
        <f t="shared" si="79"/>
        <v>0</v>
      </c>
      <c r="AO85" s="17">
        <f t="shared" si="80"/>
        <v>0</v>
      </c>
      <c r="AP85" s="17">
        <f t="shared" si="81"/>
        <v>0</v>
      </c>
      <c r="AQ85" s="18">
        <v>1872.812884923587</v>
      </c>
      <c r="AR85" s="18">
        <v>2239.7083555234917</v>
      </c>
      <c r="AS85" s="18">
        <v>1982.1583078195004</v>
      </c>
      <c r="AT85" s="18">
        <v>1501.4086472395602</v>
      </c>
      <c r="AU85" s="18">
        <v>2177.4000802127202</v>
      </c>
      <c r="AV85" s="18">
        <v>1784.3769500034373</v>
      </c>
      <c r="AW85" s="18">
        <v>1776.4714564225169</v>
      </c>
      <c r="AX85" s="18">
        <v>1206.3892147183792</v>
      </c>
      <c r="AY85" s="18">
        <v>1788.2308992567068</v>
      </c>
      <c r="AZ85" s="18">
        <v>1557.3192371737387</v>
      </c>
      <c r="BA85" s="18">
        <v>1590.0819730342505</v>
      </c>
      <c r="BB85" s="18">
        <v>1553.0667466791881</v>
      </c>
      <c r="BC85" s="23">
        <v>8.9181565948742242E-2</v>
      </c>
      <c r="BD85" s="23">
        <v>0.10665277883445198</v>
      </c>
      <c r="BE85" s="23">
        <v>9.438849084854764E-2</v>
      </c>
      <c r="BF85" s="23">
        <v>7.149564986855049E-2</v>
      </c>
      <c r="BG85" s="23">
        <v>0.10368571810536763</v>
      </c>
      <c r="BH85" s="23">
        <v>8.4970330952544637E-2</v>
      </c>
      <c r="BI85" s="23">
        <v>8.4593878877262704E-2</v>
      </c>
      <c r="BJ85" s="23">
        <v>5.7447105462779965E-2</v>
      </c>
      <c r="BK85" s="23">
        <v>8.5153852345557474E-2</v>
      </c>
      <c r="BL85" s="23">
        <v>7.4158058913035174E-2</v>
      </c>
      <c r="BM85" s="23">
        <v>7.5718189192107169E-2</v>
      </c>
      <c r="BN85" s="23">
        <v>7.3955559365675619E-2</v>
      </c>
    </row>
    <row r="86" spans="1:66" x14ac:dyDescent="0.25">
      <c r="A86" s="16">
        <v>17368</v>
      </c>
      <c r="B86" s="16" t="s">
        <v>282</v>
      </c>
      <c r="C86" s="17">
        <v>21000</v>
      </c>
      <c r="D86" s="17">
        <f t="shared" si="45"/>
        <v>1872.812884923587</v>
      </c>
      <c r="E86" s="17">
        <f t="shared" si="46"/>
        <v>2239.7083555234917</v>
      </c>
      <c r="F86" s="17">
        <f t="shared" si="47"/>
        <v>1982.1583078195004</v>
      </c>
      <c r="G86" s="17">
        <f t="shared" si="48"/>
        <v>1501.4086472395602</v>
      </c>
      <c r="H86" s="17">
        <f t="shared" si="49"/>
        <v>2177.4000802127202</v>
      </c>
      <c r="I86" s="17">
        <f t="shared" si="50"/>
        <v>1784.3769500034373</v>
      </c>
      <c r="J86" s="17">
        <f t="shared" si="51"/>
        <v>1776.4714564225169</v>
      </c>
      <c r="K86" s="17">
        <f t="shared" si="52"/>
        <v>1206.3892147183792</v>
      </c>
      <c r="L86" s="17">
        <f t="shared" si="53"/>
        <v>1788.2308992567068</v>
      </c>
      <c r="M86" s="17">
        <f t="shared" si="54"/>
        <v>1557.3192371737387</v>
      </c>
      <c r="N86" s="17">
        <f t="shared" si="55"/>
        <v>1590.0819730342505</v>
      </c>
      <c r="O86" s="17">
        <f t="shared" si="56"/>
        <v>1553.0667466791881</v>
      </c>
      <c r="P86" s="17">
        <v>0</v>
      </c>
      <c r="Q86" s="17">
        <f t="shared" si="57"/>
        <v>0</v>
      </c>
      <c r="R86" s="17">
        <f t="shared" si="58"/>
        <v>0</v>
      </c>
      <c r="S86" s="17">
        <f t="shared" si="59"/>
        <v>0</v>
      </c>
      <c r="T86" s="17">
        <f t="shared" si="60"/>
        <v>0</v>
      </c>
      <c r="U86" s="17">
        <f t="shared" si="61"/>
        <v>0</v>
      </c>
      <c r="V86" s="17">
        <f t="shared" si="62"/>
        <v>0</v>
      </c>
      <c r="W86" s="17">
        <f t="shared" si="63"/>
        <v>0</v>
      </c>
      <c r="X86" s="17">
        <f t="shared" si="64"/>
        <v>0</v>
      </c>
      <c r="Y86" s="17">
        <f t="shared" si="65"/>
        <v>0</v>
      </c>
      <c r="Z86" s="17">
        <f t="shared" si="66"/>
        <v>0</v>
      </c>
      <c r="AA86" s="17">
        <f t="shared" si="67"/>
        <v>0</v>
      </c>
      <c r="AB86" s="17">
        <f t="shared" si="68"/>
        <v>0</v>
      </c>
      <c r="AC86" s="17">
        <v>0</v>
      </c>
      <c r="AD86" s="17">
        <f t="shared" si="69"/>
        <v>0</v>
      </c>
      <c r="AE86" s="17">
        <f t="shared" si="70"/>
        <v>0</v>
      </c>
      <c r="AF86" s="17">
        <f t="shared" si="71"/>
        <v>0</v>
      </c>
      <c r="AG86" s="17">
        <f t="shared" si="72"/>
        <v>0</v>
      </c>
      <c r="AH86" s="17">
        <f t="shared" si="73"/>
        <v>0</v>
      </c>
      <c r="AI86" s="17">
        <f t="shared" si="74"/>
        <v>0</v>
      </c>
      <c r="AJ86" s="17">
        <f t="shared" si="75"/>
        <v>0</v>
      </c>
      <c r="AK86" s="17">
        <f t="shared" si="76"/>
        <v>0</v>
      </c>
      <c r="AL86" s="17">
        <f t="shared" si="77"/>
        <v>0</v>
      </c>
      <c r="AM86" s="17">
        <f t="shared" si="78"/>
        <v>0</v>
      </c>
      <c r="AN86" s="17">
        <f t="shared" si="79"/>
        <v>0</v>
      </c>
      <c r="AO86" s="17">
        <f t="shared" si="80"/>
        <v>0</v>
      </c>
      <c r="AP86" s="17">
        <f t="shared" si="81"/>
        <v>21000</v>
      </c>
      <c r="AQ86" s="18">
        <v>1872.812884923587</v>
      </c>
      <c r="AR86" s="18">
        <v>2239.7083555234917</v>
      </c>
      <c r="AS86" s="18">
        <v>1982.1583078195004</v>
      </c>
      <c r="AT86" s="18">
        <v>1501.4086472395602</v>
      </c>
      <c r="AU86" s="18">
        <v>2177.4000802127202</v>
      </c>
      <c r="AV86" s="18">
        <v>1784.3769500034373</v>
      </c>
      <c r="AW86" s="18">
        <v>1776.4714564225169</v>
      </c>
      <c r="AX86" s="18">
        <v>1206.3892147183792</v>
      </c>
      <c r="AY86" s="18">
        <v>1788.2308992567068</v>
      </c>
      <c r="AZ86" s="18">
        <v>1557.3192371737387</v>
      </c>
      <c r="BA86" s="18">
        <v>1590.0819730342505</v>
      </c>
      <c r="BB86" s="18">
        <v>1553.0667466791881</v>
      </c>
      <c r="BC86" s="23">
        <v>8.9181565948742242E-2</v>
      </c>
      <c r="BD86" s="23">
        <v>0.10665277883445198</v>
      </c>
      <c r="BE86" s="23">
        <v>9.438849084854764E-2</v>
      </c>
      <c r="BF86" s="23">
        <v>7.149564986855049E-2</v>
      </c>
      <c r="BG86" s="23">
        <v>0.10368571810536763</v>
      </c>
      <c r="BH86" s="23">
        <v>8.4970330952544637E-2</v>
      </c>
      <c r="BI86" s="23">
        <v>8.4593878877262704E-2</v>
      </c>
      <c r="BJ86" s="23">
        <v>5.7447105462779965E-2</v>
      </c>
      <c r="BK86" s="23">
        <v>8.5153852345557474E-2</v>
      </c>
      <c r="BL86" s="23">
        <v>7.4158058913035174E-2</v>
      </c>
      <c r="BM86" s="23">
        <v>7.5718189192107169E-2</v>
      </c>
      <c r="BN86" s="23">
        <v>7.3955559365675619E-2</v>
      </c>
    </row>
    <row r="87" spans="1:66" x14ac:dyDescent="0.25">
      <c r="A87" s="16">
        <v>1352</v>
      </c>
      <c r="B87" s="16" t="s">
        <v>283</v>
      </c>
      <c r="C87" s="17">
        <v>50000</v>
      </c>
      <c r="D87" s="17">
        <f t="shared" si="45"/>
        <v>4459.0782974371123</v>
      </c>
      <c r="E87" s="17">
        <f t="shared" si="46"/>
        <v>5332.6389417225992</v>
      </c>
      <c r="F87" s="17">
        <f t="shared" si="47"/>
        <v>4719.4245424273822</v>
      </c>
      <c r="G87" s="17">
        <f t="shared" si="48"/>
        <v>3574.7824934275245</v>
      </c>
      <c r="H87" s="17">
        <f t="shared" si="49"/>
        <v>5184.2859052683816</v>
      </c>
      <c r="I87" s="17">
        <f t="shared" si="50"/>
        <v>4248.5165476272323</v>
      </c>
      <c r="J87" s="17">
        <f t="shared" si="51"/>
        <v>4229.6939438631352</v>
      </c>
      <c r="K87" s="17">
        <f t="shared" si="52"/>
        <v>2872.3552731389982</v>
      </c>
      <c r="L87" s="17">
        <f t="shared" si="53"/>
        <v>4257.692617277874</v>
      </c>
      <c r="M87" s="17">
        <f t="shared" si="54"/>
        <v>3707.9029456517587</v>
      </c>
      <c r="N87" s="17">
        <f t="shared" si="55"/>
        <v>3785.9094596053583</v>
      </c>
      <c r="O87" s="17">
        <f t="shared" si="56"/>
        <v>3697.7779682837809</v>
      </c>
      <c r="P87" s="17">
        <v>0</v>
      </c>
      <c r="Q87" s="17">
        <f t="shared" si="57"/>
        <v>0</v>
      </c>
      <c r="R87" s="17">
        <f t="shared" si="58"/>
        <v>0</v>
      </c>
      <c r="S87" s="17">
        <f t="shared" si="59"/>
        <v>0</v>
      </c>
      <c r="T87" s="17">
        <f t="shared" si="60"/>
        <v>0</v>
      </c>
      <c r="U87" s="17">
        <f t="shared" si="61"/>
        <v>0</v>
      </c>
      <c r="V87" s="17">
        <f t="shared" si="62"/>
        <v>0</v>
      </c>
      <c r="W87" s="17">
        <f t="shared" si="63"/>
        <v>0</v>
      </c>
      <c r="X87" s="17">
        <f t="shared" si="64"/>
        <v>0</v>
      </c>
      <c r="Y87" s="17">
        <f t="shared" si="65"/>
        <v>0</v>
      </c>
      <c r="Z87" s="17">
        <f t="shared" si="66"/>
        <v>0</v>
      </c>
      <c r="AA87" s="17">
        <f t="shared" si="67"/>
        <v>0</v>
      </c>
      <c r="AB87" s="17">
        <f t="shared" si="68"/>
        <v>0</v>
      </c>
      <c r="AC87" s="17">
        <v>0</v>
      </c>
      <c r="AD87" s="17">
        <f t="shared" si="69"/>
        <v>0</v>
      </c>
      <c r="AE87" s="17">
        <f t="shared" si="70"/>
        <v>0</v>
      </c>
      <c r="AF87" s="17">
        <f t="shared" si="71"/>
        <v>0</v>
      </c>
      <c r="AG87" s="17">
        <f t="shared" si="72"/>
        <v>0</v>
      </c>
      <c r="AH87" s="17">
        <f t="shared" si="73"/>
        <v>0</v>
      </c>
      <c r="AI87" s="17">
        <f t="shared" si="74"/>
        <v>0</v>
      </c>
      <c r="AJ87" s="17">
        <f t="shared" si="75"/>
        <v>0</v>
      </c>
      <c r="AK87" s="17">
        <f t="shared" si="76"/>
        <v>0</v>
      </c>
      <c r="AL87" s="17">
        <f t="shared" si="77"/>
        <v>0</v>
      </c>
      <c r="AM87" s="17">
        <f t="shared" si="78"/>
        <v>0</v>
      </c>
      <c r="AN87" s="17">
        <f t="shared" si="79"/>
        <v>0</v>
      </c>
      <c r="AO87" s="17">
        <f t="shared" si="80"/>
        <v>0</v>
      </c>
      <c r="AP87" s="17">
        <f t="shared" si="81"/>
        <v>50000</v>
      </c>
      <c r="AQ87" s="18">
        <v>1885.9866966639695</v>
      </c>
      <c r="AR87" s="18">
        <v>2255.4629973601382</v>
      </c>
      <c r="AS87" s="18">
        <v>1996.1012812991571</v>
      </c>
      <c r="AT87" s="18">
        <v>1511.9699131424927</v>
      </c>
      <c r="AU87" s="18">
        <v>2192.7164308055271</v>
      </c>
      <c r="AV87" s="18">
        <v>1796.9286823214163</v>
      </c>
      <c r="AW87" s="18">
        <v>1788.9675796163872</v>
      </c>
      <c r="AX87" s="18">
        <v>1214.8752436902357</v>
      </c>
      <c r="AY87" s="18">
        <v>1800.8097411713404</v>
      </c>
      <c r="AZ87" s="18">
        <v>1568.2737914783133</v>
      </c>
      <c r="BA87" s="18">
        <v>1601.2669882235195</v>
      </c>
      <c r="BB87" s="18">
        <v>1563.9913879531264</v>
      </c>
      <c r="BC87" s="23">
        <v>8.9181565948742242E-2</v>
      </c>
      <c r="BD87" s="23">
        <v>0.10665277883445198</v>
      </c>
      <c r="BE87" s="23">
        <v>9.438849084854764E-2</v>
      </c>
      <c r="BF87" s="23">
        <v>7.149564986855049E-2</v>
      </c>
      <c r="BG87" s="23">
        <v>0.10368571810536763</v>
      </c>
      <c r="BH87" s="23">
        <v>8.4970330952544637E-2</v>
      </c>
      <c r="BI87" s="23">
        <v>8.4593878877262704E-2</v>
      </c>
      <c r="BJ87" s="23">
        <v>5.7447105462779965E-2</v>
      </c>
      <c r="BK87" s="23">
        <v>8.5153852345557474E-2</v>
      </c>
      <c r="BL87" s="23">
        <v>7.4158058913035174E-2</v>
      </c>
      <c r="BM87" s="23">
        <v>7.5718189192107169E-2</v>
      </c>
      <c r="BN87" s="23">
        <v>7.3955559365675619E-2</v>
      </c>
    </row>
    <row r="88" spans="1:66" x14ac:dyDescent="0.25">
      <c r="A88" s="16">
        <v>2822</v>
      </c>
      <c r="B88" s="16" t="s">
        <v>284</v>
      </c>
      <c r="C88" s="17">
        <v>0</v>
      </c>
      <c r="D88" s="17">
        <f t="shared" si="45"/>
        <v>0</v>
      </c>
      <c r="E88" s="17">
        <f t="shared" si="46"/>
        <v>0</v>
      </c>
      <c r="F88" s="17">
        <f t="shared" si="47"/>
        <v>0</v>
      </c>
      <c r="G88" s="17">
        <f t="shared" si="48"/>
        <v>0</v>
      </c>
      <c r="H88" s="17">
        <f t="shared" si="49"/>
        <v>0</v>
      </c>
      <c r="I88" s="17">
        <f t="shared" si="50"/>
        <v>0</v>
      </c>
      <c r="J88" s="17">
        <f t="shared" si="51"/>
        <v>0</v>
      </c>
      <c r="K88" s="17">
        <f t="shared" si="52"/>
        <v>0</v>
      </c>
      <c r="L88" s="17">
        <f t="shared" si="53"/>
        <v>0</v>
      </c>
      <c r="M88" s="17">
        <f t="shared" si="54"/>
        <v>0</v>
      </c>
      <c r="N88" s="17">
        <f t="shared" si="55"/>
        <v>0</v>
      </c>
      <c r="O88" s="17">
        <f t="shared" si="56"/>
        <v>0</v>
      </c>
      <c r="P88" s="17">
        <v>12000</v>
      </c>
      <c r="Q88" s="17">
        <f t="shared" si="57"/>
        <v>1070.1787913849068</v>
      </c>
      <c r="R88" s="17">
        <f t="shared" si="58"/>
        <v>1279.8333460134238</v>
      </c>
      <c r="S88" s="17">
        <f t="shared" si="59"/>
        <v>1132.6618901825716</v>
      </c>
      <c r="T88" s="17">
        <f t="shared" si="60"/>
        <v>857.94779842260584</v>
      </c>
      <c r="U88" s="17">
        <f t="shared" si="61"/>
        <v>1244.2286172644115</v>
      </c>
      <c r="V88" s="17">
        <f t="shared" si="62"/>
        <v>1019.6439714305357</v>
      </c>
      <c r="W88" s="17">
        <f t="shared" si="63"/>
        <v>1015.1265465271524</v>
      </c>
      <c r="X88" s="17">
        <f t="shared" si="64"/>
        <v>689.36526555335956</v>
      </c>
      <c r="Y88" s="17">
        <f t="shared" si="65"/>
        <v>1021.8462281466897</v>
      </c>
      <c r="Z88" s="17">
        <f t="shared" si="66"/>
        <v>889.89670695642212</v>
      </c>
      <c r="AA88" s="17">
        <f t="shared" si="67"/>
        <v>908.61827030528605</v>
      </c>
      <c r="AB88" s="17">
        <f t="shared" si="68"/>
        <v>887.46671238810745</v>
      </c>
      <c r="AC88" s="17">
        <v>0</v>
      </c>
      <c r="AD88" s="17">
        <f t="shared" si="69"/>
        <v>0</v>
      </c>
      <c r="AE88" s="17">
        <f t="shared" si="70"/>
        <v>0</v>
      </c>
      <c r="AF88" s="17">
        <f t="shared" si="71"/>
        <v>0</v>
      </c>
      <c r="AG88" s="17">
        <f t="shared" si="72"/>
        <v>0</v>
      </c>
      <c r="AH88" s="17">
        <f t="shared" si="73"/>
        <v>0</v>
      </c>
      <c r="AI88" s="17">
        <f t="shared" si="74"/>
        <v>0</v>
      </c>
      <c r="AJ88" s="17">
        <f t="shared" si="75"/>
        <v>0</v>
      </c>
      <c r="AK88" s="17">
        <f t="shared" si="76"/>
        <v>0</v>
      </c>
      <c r="AL88" s="17">
        <f t="shared" si="77"/>
        <v>0</v>
      </c>
      <c r="AM88" s="17">
        <f t="shared" si="78"/>
        <v>0</v>
      </c>
      <c r="AN88" s="17">
        <f t="shared" si="79"/>
        <v>0</v>
      </c>
      <c r="AO88" s="17">
        <f t="shared" si="80"/>
        <v>0</v>
      </c>
      <c r="AP88" s="17">
        <f t="shared" si="81"/>
        <v>12000</v>
      </c>
      <c r="AQ88" s="18">
        <v>1872.3585940266441</v>
      </c>
      <c r="AR88" s="18">
        <v>2239.1650662681091</v>
      </c>
      <c r="AS88" s="18">
        <v>1981.6774928471179</v>
      </c>
      <c r="AT88" s="18">
        <v>1501.0444483991298</v>
      </c>
      <c r="AU88" s="18">
        <v>2176.8719051646913</v>
      </c>
      <c r="AV88" s="18">
        <v>1783.944111137565</v>
      </c>
      <c r="AW88" s="18">
        <v>1776.0405352035159</v>
      </c>
      <c r="AX88" s="18">
        <v>1206.0965791631518</v>
      </c>
      <c r="AY88" s="18">
        <v>1787.7971255328587</v>
      </c>
      <c r="AZ88" s="18">
        <v>1556.9414760216355</v>
      </c>
      <c r="BA88" s="18">
        <v>1589.6962645785059</v>
      </c>
      <c r="BB88" s="18">
        <v>1552.6900170597792</v>
      </c>
      <c r="BC88" s="23">
        <v>8.9181565948742242E-2</v>
      </c>
      <c r="BD88" s="23">
        <v>0.10665277883445198</v>
      </c>
      <c r="BE88" s="23">
        <v>9.438849084854764E-2</v>
      </c>
      <c r="BF88" s="23">
        <v>7.149564986855049E-2</v>
      </c>
      <c r="BG88" s="23">
        <v>0.10368571810536763</v>
      </c>
      <c r="BH88" s="23">
        <v>8.4970330952544637E-2</v>
      </c>
      <c r="BI88" s="23">
        <v>8.4593878877262704E-2</v>
      </c>
      <c r="BJ88" s="23">
        <v>5.7447105462779965E-2</v>
      </c>
      <c r="BK88" s="23">
        <v>8.5153852345557474E-2</v>
      </c>
      <c r="BL88" s="23">
        <v>7.4158058913035174E-2</v>
      </c>
      <c r="BM88" s="23">
        <v>7.5718189192107169E-2</v>
      </c>
      <c r="BN88" s="23">
        <v>7.3955559365675619E-2</v>
      </c>
    </row>
    <row r="89" spans="1:66" x14ac:dyDescent="0.25">
      <c r="A89" s="16">
        <v>3379</v>
      </c>
      <c r="B89" s="16" t="s">
        <v>285</v>
      </c>
      <c r="C89" s="17">
        <v>20000</v>
      </c>
      <c r="D89" s="17">
        <f t="shared" si="45"/>
        <v>1783.6313189748448</v>
      </c>
      <c r="E89" s="17">
        <f t="shared" si="46"/>
        <v>2133.0555766890398</v>
      </c>
      <c r="F89" s="17">
        <f t="shared" si="47"/>
        <v>1887.7698169709529</v>
      </c>
      <c r="G89" s="17">
        <f t="shared" si="48"/>
        <v>1429.9129973710099</v>
      </c>
      <c r="H89" s="17">
        <f t="shared" si="49"/>
        <v>2073.7143621073524</v>
      </c>
      <c r="I89" s="17">
        <f t="shared" si="50"/>
        <v>1699.4066190508927</v>
      </c>
      <c r="J89" s="17">
        <f t="shared" si="51"/>
        <v>1691.8775775452541</v>
      </c>
      <c r="K89" s="17">
        <f t="shared" si="52"/>
        <v>1148.9421092555992</v>
      </c>
      <c r="L89" s="17">
        <f t="shared" si="53"/>
        <v>1703.0770469111494</v>
      </c>
      <c r="M89" s="17">
        <f t="shared" si="54"/>
        <v>1483.1611782607035</v>
      </c>
      <c r="N89" s="17">
        <f t="shared" si="55"/>
        <v>1514.3637838421434</v>
      </c>
      <c r="O89" s="17">
        <f t="shared" si="56"/>
        <v>1479.1111873135123</v>
      </c>
      <c r="P89" s="17">
        <v>0</v>
      </c>
      <c r="Q89" s="17">
        <f t="shared" si="57"/>
        <v>0</v>
      </c>
      <c r="R89" s="17">
        <f t="shared" si="58"/>
        <v>0</v>
      </c>
      <c r="S89" s="17">
        <f t="shared" si="59"/>
        <v>0</v>
      </c>
      <c r="T89" s="17">
        <f t="shared" si="60"/>
        <v>0</v>
      </c>
      <c r="U89" s="17">
        <f t="shared" si="61"/>
        <v>0</v>
      </c>
      <c r="V89" s="17">
        <f t="shared" si="62"/>
        <v>0</v>
      </c>
      <c r="W89" s="17">
        <f t="shared" si="63"/>
        <v>0</v>
      </c>
      <c r="X89" s="17">
        <f t="shared" si="64"/>
        <v>0</v>
      </c>
      <c r="Y89" s="17">
        <f t="shared" si="65"/>
        <v>0</v>
      </c>
      <c r="Z89" s="17">
        <f t="shared" si="66"/>
        <v>0</v>
      </c>
      <c r="AA89" s="17">
        <f t="shared" si="67"/>
        <v>0</v>
      </c>
      <c r="AB89" s="17">
        <f t="shared" si="68"/>
        <v>0</v>
      </c>
      <c r="AC89" s="17">
        <v>0</v>
      </c>
      <c r="AD89" s="17">
        <f t="shared" si="69"/>
        <v>0</v>
      </c>
      <c r="AE89" s="17">
        <f t="shared" si="70"/>
        <v>0</v>
      </c>
      <c r="AF89" s="17">
        <f t="shared" si="71"/>
        <v>0</v>
      </c>
      <c r="AG89" s="17">
        <f t="shared" si="72"/>
        <v>0</v>
      </c>
      <c r="AH89" s="17">
        <f t="shared" si="73"/>
        <v>0</v>
      </c>
      <c r="AI89" s="17">
        <f t="shared" si="74"/>
        <v>0</v>
      </c>
      <c r="AJ89" s="17">
        <f t="shared" si="75"/>
        <v>0</v>
      </c>
      <c r="AK89" s="17">
        <f t="shared" si="76"/>
        <v>0</v>
      </c>
      <c r="AL89" s="17">
        <f t="shared" si="77"/>
        <v>0</v>
      </c>
      <c r="AM89" s="17">
        <f t="shared" si="78"/>
        <v>0</v>
      </c>
      <c r="AN89" s="17">
        <f t="shared" si="79"/>
        <v>0</v>
      </c>
      <c r="AO89" s="17">
        <f t="shared" si="80"/>
        <v>0</v>
      </c>
      <c r="AP89" s="17">
        <f t="shared" si="81"/>
        <v>20000</v>
      </c>
      <c r="AQ89" s="18">
        <v>1783.6313189748448</v>
      </c>
      <c r="AR89" s="18">
        <v>2133.0555766890398</v>
      </c>
      <c r="AS89" s="18">
        <v>1887.7698169709529</v>
      </c>
      <c r="AT89" s="18">
        <v>1429.9129973710099</v>
      </c>
      <c r="AU89" s="18">
        <v>2073.7143621073524</v>
      </c>
      <c r="AV89" s="18">
        <v>1699.4066190508927</v>
      </c>
      <c r="AW89" s="18">
        <v>1691.8775775452541</v>
      </c>
      <c r="AX89" s="18">
        <v>1148.9421092555992</v>
      </c>
      <c r="AY89" s="18">
        <v>1703.0770469111494</v>
      </c>
      <c r="AZ89" s="18">
        <v>1483.1611782607035</v>
      </c>
      <c r="BA89" s="18">
        <v>1514.3637838421434</v>
      </c>
      <c r="BB89" s="18">
        <v>1479.1111873135123</v>
      </c>
      <c r="BC89" s="23">
        <v>8.9181565948742242E-2</v>
      </c>
      <c r="BD89" s="23">
        <v>0.10665277883445198</v>
      </c>
      <c r="BE89" s="23">
        <v>9.438849084854764E-2</v>
      </c>
      <c r="BF89" s="23">
        <v>7.149564986855049E-2</v>
      </c>
      <c r="BG89" s="23">
        <v>0.10368571810536763</v>
      </c>
      <c r="BH89" s="23">
        <v>8.4970330952544637E-2</v>
      </c>
      <c r="BI89" s="23">
        <v>8.4593878877262704E-2</v>
      </c>
      <c r="BJ89" s="23">
        <v>5.7447105462779965E-2</v>
      </c>
      <c r="BK89" s="23">
        <v>8.5153852345557474E-2</v>
      </c>
      <c r="BL89" s="23">
        <v>7.4158058913035174E-2</v>
      </c>
      <c r="BM89" s="23">
        <v>7.5718189192107169E-2</v>
      </c>
      <c r="BN89" s="23">
        <v>7.3955559365675619E-2</v>
      </c>
    </row>
    <row r="90" spans="1:66" x14ac:dyDescent="0.25">
      <c r="A90" s="16">
        <v>3599</v>
      </c>
      <c r="B90" s="16" t="s">
        <v>286</v>
      </c>
      <c r="C90" s="17">
        <v>0</v>
      </c>
      <c r="D90" s="17">
        <f t="shared" si="45"/>
        <v>0</v>
      </c>
      <c r="E90" s="17">
        <f t="shared" si="46"/>
        <v>0</v>
      </c>
      <c r="F90" s="17">
        <f t="shared" si="47"/>
        <v>0</v>
      </c>
      <c r="G90" s="17">
        <f t="shared" si="48"/>
        <v>0</v>
      </c>
      <c r="H90" s="17">
        <f t="shared" si="49"/>
        <v>0</v>
      </c>
      <c r="I90" s="17">
        <f t="shared" si="50"/>
        <v>0</v>
      </c>
      <c r="J90" s="17">
        <f t="shared" si="51"/>
        <v>0</v>
      </c>
      <c r="K90" s="17">
        <f t="shared" si="52"/>
        <v>0</v>
      </c>
      <c r="L90" s="17">
        <f t="shared" si="53"/>
        <v>0</v>
      </c>
      <c r="M90" s="17">
        <f t="shared" si="54"/>
        <v>0</v>
      </c>
      <c r="N90" s="17">
        <f t="shared" si="55"/>
        <v>0</v>
      </c>
      <c r="O90" s="17">
        <f t="shared" si="56"/>
        <v>0</v>
      </c>
      <c r="P90" s="17">
        <v>20000</v>
      </c>
      <c r="Q90" s="17">
        <f t="shared" si="57"/>
        <v>1783.6313189748448</v>
      </c>
      <c r="R90" s="17">
        <f t="shared" si="58"/>
        <v>2133.0555766890398</v>
      </c>
      <c r="S90" s="17">
        <f t="shared" si="59"/>
        <v>1887.7698169709529</v>
      </c>
      <c r="T90" s="17">
        <f t="shared" si="60"/>
        <v>1429.9129973710099</v>
      </c>
      <c r="U90" s="17">
        <f t="shared" si="61"/>
        <v>2073.7143621073524</v>
      </c>
      <c r="V90" s="17">
        <f t="shared" si="62"/>
        <v>1699.4066190508927</v>
      </c>
      <c r="W90" s="17">
        <f t="shared" si="63"/>
        <v>1691.8775775452541</v>
      </c>
      <c r="X90" s="17">
        <f t="shared" si="64"/>
        <v>1148.9421092555992</v>
      </c>
      <c r="Y90" s="17">
        <f t="shared" si="65"/>
        <v>1703.0770469111494</v>
      </c>
      <c r="Z90" s="17">
        <f t="shared" si="66"/>
        <v>1483.1611782607035</v>
      </c>
      <c r="AA90" s="17">
        <f t="shared" si="67"/>
        <v>1514.3637838421434</v>
      </c>
      <c r="AB90" s="17">
        <f t="shared" si="68"/>
        <v>1479.1111873135123</v>
      </c>
      <c r="AC90" s="17">
        <v>0</v>
      </c>
      <c r="AD90" s="17">
        <f t="shared" si="69"/>
        <v>0</v>
      </c>
      <c r="AE90" s="17">
        <f t="shared" si="70"/>
        <v>0</v>
      </c>
      <c r="AF90" s="17">
        <f t="shared" si="71"/>
        <v>0</v>
      </c>
      <c r="AG90" s="17">
        <f t="shared" si="72"/>
        <v>0</v>
      </c>
      <c r="AH90" s="17">
        <f t="shared" si="73"/>
        <v>0</v>
      </c>
      <c r="AI90" s="17">
        <f t="shared" si="74"/>
        <v>0</v>
      </c>
      <c r="AJ90" s="17">
        <f t="shared" si="75"/>
        <v>0</v>
      </c>
      <c r="AK90" s="17">
        <f t="shared" si="76"/>
        <v>0</v>
      </c>
      <c r="AL90" s="17">
        <f t="shared" si="77"/>
        <v>0</v>
      </c>
      <c r="AM90" s="17">
        <f t="shared" si="78"/>
        <v>0</v>
      </c>
      <c r="AN90" s="17">
        <f t="shared" si="79"/>
        <v>0</v>
      </c>
      <c r="AO90" s="17">
        <f t="shared" si="80"/>
        <v>0</v>
      </c>
      <c r="AP90" s="17">
        <f t="shared" si="81"/>
        <v>20000</v>
      </c>
      <c r="AQ90" s="18">
        <v>1783.6313189748448</v>
      </c>
      <c r="AR90" s="18">
        <v>2133.0555766890398</v>
      </c>
      <c r="AS90" s="18">
        <v>1887.7698169709529</v>
      </c>
      <c r="AT90" s="18">
        <v>1429.9129973710099</v>
      </c>
      <c r="AU90" s="18">
        <v>2073.7143621073524</v>
      </c>
      <c r="AV90" s="18">
        <v>1699.4066190508927</v>
      </c>
      <c r="AW90" s="18">
        <v>1691.8775775452541</v>
      </c>
      <c r="AX90" s="18">
        <v>1148.9421092555992</v>
      </c>
      <c r="AY90" s="18">
        <v>1703.0770469111494</v>
      </c>
      <c r="AZ90" s="18">
        <v>1483.1611782607035</v>
      </c>
      <c r="BA90" s="18">
        <v>1514.3637838421434</v>
      </c>
      <c r="BB90" s="18">
        <v>1479.1111873135123</v>
      </c>
      <c r="BC90" s="23">
        <v>8.9181565948742242E-2</v>
      </c>
      <c r="BD90" s="23">
        <v>0.10665277883445198</v>
      </c>
      <c r="BE90" s="23">
        <v>9.438849084854764E-2</v>
      </c>
      <c r="BF90" s="23">
        <v>7.149564986855049E-2</v>
      </c>
      <c r="BG90" s="23">
        <v>0.10368571810536763</v>
      </c>
      <c r="BH90" s="23">
        <v>8.4970330952544637E-2</v>
      </c>
      <c r="BI90" s="23">
        <v>8.4593878877262704E-2</v>
      </c>
      <c r="BJ90" s="23">
        <v>5.7447105462779965E-2</v>
      </c>
      <c r="BK90" s="23">
        <v>8.5153852345557474E-2</v>
      </c>
      <c r="BL90" s="23">
        <v>7.4158058913035174E-2</v>
      </c>
      <c r="BM90" s="23">
        <v>7.5718189192107169E-2</v>
      </c>
      <c r="BN90" s="23">
        <v>7.3955559365675619E-2</v>
      </c>
    </row>
    <row r="91" spans="1:66" x14ac:dyDescent="0.25">
      <c r="A91" s="16">
        <v>4955</v>
      </c>
      <c r="B91" s="16" t="s">
        <v>287</v>
      </c>
      <c r="C91" s="17">
        <v>0</v>
      </c>
      <c r="D91" s="17">
        <f t="shared" si="45"/>
        <v>0</v>
      </c>
      <c r="E91" s="17">
        <f t="shared" si="46"/>
        <v>0</v>
      </c>
      <c r="F91" s="17">
        <f t="shared" si="47"/>
        <v>0</v>
      </c>
      <c r="G91" s="17">
        <f t="shared" si="48"/>
        <v>0</v>
      </c>
      <c r="H91" s="17">
        <f t="shared" si="49"/>
        <v>0</v>
      </c>
      <c r="I91" s="17">
        <f t="shared" si="50"/>
        <v>0</v>
      </c>
      <c r="J91" s="17">
        <f t="shared" si="51"/>
        <v>0</v>
      </c>
      <c r="K91" s="17">
        <f t="shared" si="52"/>
        <v>0</v>
      </c>
      <c r="L91" s="17">
        <f t="shared" si="53"/>
        <v>0</v>
      </c>
      <c r="M91" s="17">
        <f t="shared" si="54"/>
        <v>0</v>
      </c>
      <c r="N91" s="17">
        <f t="shared" si="55"/>
        <v>0</v>
      </c>
      <c r="O91" s="17">
        <f t="shared" si="56"/>
        <v>0</v>
      </c>
      <c r="P91" s="17">
        <v>20000</v>
      </c>
      <c r="Q91" s="17">
        <f t="shared" si="57"/>
        <v>1783.6313189748448</v>
      </c>
      <c r="R91" s="17">
        <f t="shared" si="58"/>
        <v>2133.0555766890398</v>
      </c>
      <c r="S91" s="17">
        <f t="shared" si="59"/>
        <v>1887.7698169709529</v>
      </c>
      <c r="T91" s="17">
        <f t="shared" si="60"/>
        <v>1429.9129973710099</v>
      </c>
      <c r="U91" s="17">
        <f t="shared" si="61"/>
        <v>2073.7143621073524</v>
      </c>
      <c r="V91" s="17">
        <f t="shared" si="62"/>
        <v>1699.4066190508927</v>
      </c>
      <c r="W91" s="17">
        <f t="shared" si="63"/>
        <v>1691.8775775452541</v>
      </c>
      <c r="X91" s="17">
        <f t="shared" si="64"/>
        <v>1148.9421092555992</v>
      </c>
      <c r="Y91" s="17">
        <f t="shared" si="65"/>
        <v>1703.0770469111494</v>
      </c>
      <c r="Z91" s="17">
        <f t="shared" si="66"/>
        <v>1483.1611782607035</v>
      </c>
      <c r="AA91" s="17">
        <f t="shared" si="67"/>
        <v>1514.3637838421434</v>
      </c>
      <c r="AB91" s="17">
        <f t="shared" si="68"/>
        <v>1479.1111873135123</v>
      </c>
      <c r="AC91" s="17">
        <v>0</v>
      </c>
      <c r="AD91" s="17">
        <f t="shared" si="69"/>
        <v>0</v>
      </c>
      <c r="AE91" s="17">
        <f t="shared" si="70"/>
        <v>0</v>
      </c>
      <c r="AF91" s="17">
        <f t="shared" si="71"/>
        <v>0</v>
      </c>
      <c r="AG91" s="17">
        <f t="shared" si="72"/>
        <v>0</v>
      </c>
      <c r="AH91" s="17">
        <f t="shared" si="73"/>
        <v>0</v>
      </c>
      <c r="AI91" s="17">
        <f t="shared" si="74"/>
        <v>0</v>
      </c>
      <c r="AJ91" s="17">
        <f t="shared" si="75"/>
        <v>0</v>
      </c>
      <c r="AK91" s="17">
        <f t="shared" si="76"/>
        <v>0</v>
      </c>
      <c r="AL91" s="17">
        <f t="shared" si="77"/>
        <v>0</v>
      </c>
      <c r="AM91" s="17">
        <f t="shared" si="78"/>
        <v>0</v>
      </c>
      <c r="AN91" s="17">
        <f t="shared" si="79"/>
        <v>0</v>
      </c>
      <c r="AO91" s="17">
        <f t="shared" si="80"/>
        <v>0</v>
      </c>
      <c r="AP91" s="17">
        <f t="shared" si="81"/>
        <v>20000</v>
      </c>
      <c r="AQ91" s="18">
        <v>1783.6313189748448</v>
      </c>
      <c r="AR91" s="18">
        <v>2133.0555766890398</v>
      </c>
      <c r="AS91" s="18">
        <v>1887.7698169709529</v>
      </c>
      <c r="AT91" s="18">
        <v>1429.9129973710099</v>
      </c>
      <c r="AU91" s="18">
        <v>2073.7143621073524</v>
      </c>
      <c r="AV91" s="18">
        <v>1699.4066190508927</v>
      </c>
      <c r="AW91" s="18">
        <v>1691.8775775452541</v>
      </c>
      <c r="AX91" s="18">
        <v>1148.9421092555992</v>
      </c>
      <c r="AY91" s="18">
        <v>1703.0770469111494</v>
      </c>
      <c r="AZ91" s="18">
        <v>1483.1611782607035</v>
      </c>
      <c r="BA91" s="18">
        <v>1514.3637838421434</v>
      </c>
      <c r="BB91" s="18">
        <v>1479.1111873135123</v>
      </c>
      <c r="BC91" s="23">
        <v>8.9181565948742242E-2</v>
      </c>
      <c r="BD91" s="23">
        <v>0.10665277883445198</v>
      </c>
      <c r="BE91" s="23">
        <v>9.438849084854764E-2</v>
      </c>
      <c r="BF91" s="23">
        <v>7.149564986855049E-2</v>
      </c>
      <c r="BG91" s="23">
        <v>0.10368571810536763</v>
      </c>
      <c r="BH91" s="23">
        <v>8.4970330952544637E-2</v>
      </c>
      <c r="BI91" s="23">
        <v>8.4593878877262704E-2</v>
      </c>
      <c r="BJ91" s="23">
        <v>5.7447105462779965E-2</v>
      </c>
      <c r="BK91" s="23">
        <v>8.5153852345557474E-2</v>
      </c>
      <c r="BL91" s="23">
        <v>7.4158058913035174E-2</v>
      </c>
      <c r="BM91" s="23">
        <v>7.5718189192107169E-2</v>
      </c>
      <c r="BN91" s="23">
        <v>7.3955559365675619E-2</v>
      </c>
    </row>
    <row r="92" spans="1:66" x14ac:dyDescent="0.25">
      <c r="A92" s="16">
        <v>5549</v>
      </c>
      <c r="B92" s="16" t="s">
        <v>288</v>
      </c>
      <c r="C92" s="17">
        <v>0</v>
      </c>
      <c r="D92" s="17">
        <f t="shared" si="45"/>
        <v>0</v>
      </c>
      <c r="E92" s="17">
        <f t="shared" si="46"/>
        <v>0</v>
      </c>
      <c r="F92" s="17">
        <f t="shared" si="47"/>
        <v>0</v>
      </c>
      <c r="G92" s="17">
        <f t="shared" si="48"/>
        <v>0</v>
      </c>
      <c r="H92" s="17">
        <f t="shared" si="49"/>
        <v>0</v>
      </c>
      <c r="I92" s="17">
        <f t="shared" si="50"/>
        <v>0</v>
      </c>
      <c r="J92" s="17">
        <f t="shared" si="51"/>
        <v>0</v>
      </c>
      <c r="K92" s="17">
        <f t="shared" si="52"/>
        <v>0</v>
      </c>
      <c r="L92" s="17">
        <f t="shared" si="53"/>
        <v>0</v>
      </c>
      <c r="M92" s="17">
        <f t="shared" si="54"/>
        <v>0</v>
      </c>
      <c r="N92" s="17">
        <f t="shared" si="55"/>
        <v>0</v>
      </c>
      <c r="O92" s="17">
        <f t="shared" si="56"/>
        <v>0</v>
      </c>
      <c r="P92" s="17">
        <v>0</v>
      </c>
      <c r="Q92" s="17">
        <f t="shared" si="57"/>
        <v>0</v>
      </c>
      <c r="R92" s="17">
        <f t="shared" si="58"/>
        <v>0</v>
      </c>
      <c r="S92" s="17">
        <f t="shared" si="59"/>
        <v>0</v>
      </c>
      <c r="T92" s="17">
        <f t="shared" si="60"/>
        <v>0</v>
      </c>
      <c r="U92" s="17">
        <f t="shared" si="61"/>
        <v>0</v>
      </c>
      <c r="V92" s="17">
        <f t="shared" si="62"/>
        <v>0</v>
      </c>
      <c r="W92" s="17">
        <f t="shared" si="63"/>
        <v>0</v>
      </c>
      <c r="X92" s="17">
        <f t="shared" si="64"/>
        <v>0</v>
      </c>
      <c r="Y92" s="17">
        <f t="shared" si="65"/>
        <v>0</v>
      </c>
      <c r="Z92" s="17">
        <f t="shared" si="66"/>
        <v>0</v>
      </c>
      <c r="AA92" s="17">
        <f t="shared" si="67"/>
        <v>0</v>
      </c>
      <c r="AB92" s="17">
        <f t="shared" si="68"/>
        <v>0</v>
      </c>
      <c r="AC92" s="17">
        <v>1200</v>
      </c>
      <c r="AD92" s="17">
        <f t="shared" si="69"/>
        <v>107.01787913849068</v>
      </c>
      <c r="AE92" s="17">
        <f t="shared" si="70"/>
        <v>127.98333460134238</v>
      </c>
      <c r="AF92" s="17">
        <f t="shared" si="71"/>
        <v>113.26618901825717</v>
      </c>
      <c r="AG92" s="17">
        <f t="shared" si="72"/>
        <v>85.794779842260581</v>
      </c>
      <c r="AH92" s="17">
        <f t="shared" si="73"/>
        <v>124.42286172644116</v>
      </c>
      <c r="AI92" s="17">
        <f t="shared" si="74"/>
        <v>101.96439714305356</v>
      </c>
      <c r="AJ92" s="17">
        <f t="shared" si="75"/>
        <v>101.51265465271524</v>
      </c>
      <c r="AK92" s="17">
        <f t="shared" si="76"/>
        <v>68.936526555335959</v>
      </c>
      <c r="AL92" s="17">
        <f t="shared" si="77"/>
        <v>102.18462281466897</v>
      </c>
      <c r="AM92" s="17">
        <f t="shared" si="78"/>
        <v>88.989670695642204</v>
      </c>
      <c r="AN92" s="17">
        <f t="shared" si="79"/>
        <v>90.861827030528602</v>
      </c>
      <c r="AO92" s="17">
        <f t="shared" si="80"/>
        <v>88.746671238810748</v>
      </c>
      <c r="AP92" s="17">
        <f t="shared" si="81"/>
        <v>1200</v>
      </c>
      <c r="AQ92" s="18">
        <v>1783.6313189748448</v>
      </c>
      <c r="AR92" s="18">
        <v>2133.0555766890398</v>
      </c>
      <c r="AS92" s="18">
        <v>1887.7698169709529</v>
      </c>
      <c r="AT92" s="18">
        <v>1429.9129973710099</v>
      </c>
      <c r="AU92" s="18">
        <v>2073.7143621073524</v>
      </c>
      <c r="AV92" s="18">
        <v>1699.4066190508927</v>
      </c>
      <c r="AW92" s="18">
        <v>1691.8775775452541</v>
      </c>
      <c r="AX92" s="18">
        <v>1148.9421092555992</v>
      </c>
      <c r="AY92" s="18">
        <v>1703.0770469111494</v>
      </c>
      <c r="AZ92" s="18">
        <v>1483.1611782607035</v>
      </c>
      <c r="BA92" s="18">
        <v>1514.3637838421434</v>
      </c>
      <c r="BB92" s="18">
        <v>1479.1111873135123</v>
      </c>
      <c r="BC92" s="23">
        <v>8.9181565948742242E-2</v>
      </c>
      <c r="BD92" s="23">
        <v>0.10665277883445198</v>
      </c>
      <c r="BE92" s="23">
        <v>9.438849084854764E-2</v>
      </c>
      <c r="BF92" s="23">
        <v>7.149564986855049E-2</v>
      </c>
      <c r="BG92" s="23">
        <v>0.10368571810536763</v>
      </c>
      <c r="BH92" s="23">
        <v>8.4970330952544637E-2</v>
      </c>
      <c r="BI92" s="23">
        <v>8.4593878877262704E-2</v>
      </c>
      <c r="BJ92" s="23">
        <v>5.7447105462779965E-2</v>
      </c>
      <c r="BK92" s="23">
        <v>8.5153852345557474E-2</v>
      </c>
      <c r="BL92" s="23">
        <v>7.4158058913035174E-2</v>
      </c>
      <c r="BM92" s="23">
        <v>7.5718189192107169E-2</v>
      </c>
      <c r="BN92" s="23">
        <v>7.3955559365675619E-2</v>
      </c>
    </row>
    <row r="93" spans="1:66" x14ac:dyDescent="0.25">
      <c r="A93" s="16">
        <v>15411</v>
      </c>
      <c r="B93" s="16" t="s">
        <v>289</v>
      </c>
      <c r="C93" s="17">
        <v>0</v>
      </c>
      <c r="D93" s="17">
        <f t="shared" si="45"/>
        <v>0</v>
      </c>
      <c r="E93" s="17">
        <f t="shared" si="46"/>
        <v>0</v>
      </c>
      <c r="F93" s="17">
        <f t="shared" si="47"/>
        <v>0</v>
      </c>
      <c r="G93" s="17">
        <f t="shared" si="48"/>
        <v>0</v>
      </c>
      <c r="H93" s="17">
        <f t="shared" si="49"/>
        <v>0</v>
      </c>
      <c r="I93" s="17">
        <f t="shared" si="50"/>
        <v>0</v>
      </c>
      <c r="J93" s="17">
        <f t="shared" si="51"/>
        <v>0</v>
      </c>
      <c r="K93" s="17">
        <f t="shared" si="52"/>
        <v>0</v>
      </c>
      <c r="L93" s="17">
        <f t="shared" si="53"/>
        <v>0</v>
      </c>
      <c r="M93" s="17">
        <f t="shared" si="54"/>
        <v>0</v>
      </c>
      <c r="N93" s="17">
        <f t="shared" si="55"/>
        <v>0</v>
      </c>
      <c r="O93" s="17">
        <f t="shared" si="56"/>
        <v>0</v>
      </c>
      <c r="P93" s="17">
        <v>35000</v>
      </c>
      <c r="Q93" s="17">
        <f t="shared" si="57"/>
        <v>3121.3548082059783</v>
      </c>
      <c r="R93" s="17">
        <f t="shared" si="58"/>
        <v>3732.8472592058192</v>
      </c>
      <c r="S93" s="17">
        <f t="shared" si="59"/>
        <v>3303.5971796991676</v>
      </c>
      <c r="T93" s="17">
        <f t="shared" si="60"/>
        <v>2502.3477453992673</v>
      </c>
      <c r="U93" s="17">
        <f t="shared" si="61"/>
        <v>3629.0001336878668</v>
      </c>
      <c r="V93" s="17">
        <f t="shared" si="62"/>
        <v>2973.9615833390621</v>
      </c>
      <c r="W93" s="17">
        <f t="shared" si="63"/>
        <v>2960.7857607041947</v>
      </c>
      <c r="X93" s="17">
        <f t="shared" si="64"/>
        <v>2010.6486911972988</v>
      </c>
      <c r="Y93" s="17">
        <f t="shared" si="65"/>
        <v>2980.3848320945117</v>
      </c>
      <c r="Z93" s="17">
        <f t="shared" si="66"/>
        <v>2595.5320619562312</v>
      </c>
      <c r="AA93" s="17">
        <f t="shared" si="67"/>
        <v>2650.136621723751</v>
      </c>
      <c r="AB93" s="17">
        <f t="shared" si="68"/>
        <v>2588.4445777986466</v>
      </c>
      <c r="AC93" s="17">
        <v>0</v>
      </c>
      <c r="AD93" s="17">
        <f t="shared" si="69"/>
        <v>0</v>
      </c>
      <c r="AE93" s="17">
        <f t="shared" si="70"/>
        <v>0</v>
      </c>
      <c r="AF93" s="17">
        <f t="shared" si="71"/>
        <v>0</v>
      </c>
      <c r="AG93" s="17">
        <f t="shared" si="72"/>
        <v>0</v>
      </c>
      <c r="AH93" s="17">
        <f t="shared" si="73"/>
        <v>0</v>
      </c>
      <c r="AI93" s="17">
        <f t="shared" si="74"/>
        <v>0</v>
      </c>
      <c r="AJ93" s="17">
        <f t="shared" si="75"/>
        <v>0</v>
      </c>
      <c r="AK93" s="17">
        <f t="shared" si="76"/>
        <v>0</v>
      </c>
      <c r="AL93" s="17">
        <f t="shared" si="77"/>
        <v>0</v>
      </c>
      <c r="AM93" s="17">
        <f t="shared" si="78"/>
        <v>0</v>
      </c>
      <c r="AN93" s="17">
        <f t="shared" si="79"/>
        <v>0</v>
      </c>
      <c r="AO93" s="17">
        <f t="shared" si="80"/>
        <v>0</v>
      </c>
      <c r="AP93" s="17">
        <f t="shared" si="81"/>
        <v>35000</v>
      </c>
      <c r="AQ93" s="18">
        <v>1791.9697953910522</v>
      </c>
      <c r="AR93" s="18">
        <v>2143.027611510061</v>
      </c>
      <c r="AS93" s="18">
        <v>1896.595140865292</v>
      </c>
      <c r="AT93" s="18">
        <v>1436.5978406337192</v>
      </c>
      <c r="AU93" s="18">
        <v>2083.4089767502046</v>
      </c>
      <c r="AV93" s="18">
        <v>1707.3513449949558</v>
      </c>
      <c r="AW93" s="18">
        <v>1699.7871052202781</v>
      </c>
      <c r="AX93" s="18">
        <v>1154.3134136163692</v>
      </c>
      <c r="AY93" s="18">
        <v>1711.038932105459</v>
      </c>
      <c r="AZ93" s="18">
        <v>1490.0949567690723</v>
      </c>
      <c r="BA93" s="18">
        <v>1521.4434345316054</v>
      </c>
      <c r="BB93" s="18">
        <v>1486.026032114203</v>
      </c>
      <c r="BC93" s="23">
        <v>8.9181565948742242E-2</v>
      </c>
      <c r="BD93" s="23">
        <v>0.10665277883445198</v>
      </c>
      <c r="BE93" s="23">
        <v>9.438849084854764E-2</v>
      </c>
      <c r="BF93" s="23">
        <v>7.149564986855049E-2</v>
      </c>
      <c r="BG93" s="23">
        <v>0.10368571810536763</v>
      </c>
      <c r="BH93" s="23">
        <v>8.4970330952544637E-2</v>
      </c>
      <c r="BI93" s="23">
        <v>8.4593878877262704E-2</v>
      </c>
      <c r="BJ93" s="23">
        <v>5.7447105462779965E-2</v>
      </c>
      <c r="BK93" s="23">
        <v>8.5153852345557474E-2</v>
      </c>
      <c r="BL93" s="23">
        <v>7.4158058913035174E-2</v>
      </c>
      <c r="BM93" s="23">
        <v>7.5718189192107169E-2</v>
      </c>
      <c r="BN93" s="23">
        <v>7.3955559365675619E-2</v>
      </c>
    </row>
    <row r="94" spans="1:66" x14ac:dyDescent="0.25">
      <c r="A94" s="16">
        <v>17023</v>
      </c>
      <c r="B94" s="16" t="s">
        <v>290</v>
      </c>
      <c r="C94" s="17">
        <v>0</v>
      </c>
      <c r="D94" s="17">
        <f t="shared" si="45"/>
        <v>0</v>
      </c>
      <c r="E94" s="17">
        <f t="shared" si="46"/>
        <v>0</v>
      </c>
      <c r="F94" s="17">
        <f t="shared" si="47"/>
        <v>0</v>
      </c>
      <c r="G94" s="17">
        <f t="shared" si="48"/>
        <v>0</v>
      </c>
      <c r="H94" s="17">
        <f t="shared" si="49"/>
        <v>0</v>
      </c>
      <c r="I94" s="17">
        <f t="shared" si="50"/>
        <v>0</v>
      </c>
      <c r="J94" s="17">
        <f t="shared" si="51"/>
        <v>0</v>
      </c>
      <c r="K94" s="17">
        <f t="shared" si="52"/>
        <v>0</v>
      </c>
      <c r="L94" s="17">
        <f t="shared" si="53"/>
        <v>0</v>
      </c>
      <c r="M94" s="17">
        <f t="shared" si="54"/>
        <v>0</v>
      </c>
      <c r="N94" s="17">
        <f t="shared" si="55"/>
        <v>0</v>
      </c>
      <c r="O94" s="17">
        <f t="shared" si="56"/>
        <v>0</v>
      </c>
      <c r="P94" s="17">
        <v>20000</v>
      </c>
      <c r="Q94" s="17">
        <f t="shared" si="57"/>
        <v>1783.6313189748448</v>
      </c>
      <c r="R94" s="17">
        <f t="shared" si="58"/>
        <v>2133.0555766890398</v>
      </c>
      <c r="S94" s="17">
        <f t="shared" si="59"/>
        <v>1887.7698169709529</v>
      </c>
      <c r="T94" s="17">
        <f t="shared" si="60"/>
        <v>1429.9129973710099</v>
      </c>
      <c r="U94" s="17">
        <f t="shared" si="61"/>
        <v>2073.7143621073524</v>
      </c>
      <c r="V94" s="17">
        <f t="shared" si="62"/>
        <v>1699.4066190508927</v>
      </c>
      <c r="W94" s="17">
        <f t="shared" si="63"/>
        <v>1691.8775775452541</v>
      </c>
      <c r="X94" s="17">
        <f t="shared" si="64"/>
        <v>1148.9421092555992</v>
      </c>
      <c r="Y94" s="17">
        <f t="shared" si="65"/>
        <v>1703.0770469111494</v>
      </c>
      <c r="Z94" s="17">
        <f t="shared" si="66"/>
        <v>1483.1611782607035</v>
      </c>
      <c r="AA94" s="17">
        <f t="shared" si="67"/>
        <v>1514.3637838421434</v>
      </c>
      <c r="AB94" s="17">
        <f t="shared" si="68"/>
        <v>1479.1111873135123</v>
      </c>
      <c r="AC94" s="17">
        <v>0</v>
      </c>
      <c r="AD94" s="17">
        <f t="shared" si="69"/>
        <v>0</v>
      </c>
      <c r="AE94" s="17">
        <f t="shared" si="70"/>
        <v>0</v>
      </c>
      <c r="AF94" s="17">
        <f t="shared" si="71"/>
        <v>0</v>
      </c>
      <c r="AG94" s="17">
        <f t="shared" si="72"/>
        <v>0</v>
      </c>
      <c r="AH94" s="17">
        <f t="shared" si="73"/>
        <v>0</v>
      </c>
      <c r="AI94" s="17">
        <f t="shared" si="74"/>
        <v>0</v>
      </c>
      <c r="AJ94" s="17">
        <f t="shared" si="75"/>
        <v>0</v>
      </c>
      <c r="AK94" s="17">
        <f t="shared" si="76"/>
        <v>0</v>
      </c>
      <c r="AL94" s="17">
        <f t="shared" si="77"/>
        <v>0</v>
      </c>
      <c r="AM94" s="17">
        <f t="shared" si="78"/>
        <v>0</v>
      </c>
      <c r="AN94" s="17">
        <f t="shared" si="79"/>
        <v>0</v>
      </c>
      <c r="AO94" s="17">
        <f t="shared" si="80"/>
        <v>0</v>
      </c>
      <c r="AP94" s="17">
        <f t="shared" si="81"/>
        <v>20000</v>
      </c>
      <c r="AQ94" s="18">
        <v>3121.3548082059783</v>
      </c>
      <c r="AR94" s="18">
        <v>3732.8472592058192</v>
      </c>
      <c r="AS94" s="18">
        <v>3303.5971796991676</v>
      </c>
      <c r="AT94" s="18">
        <v>2502.3477453992673</v>
      </c>
      <c r="AU94" s="18">
        <v>3629.0001336878668</v>
      </c>
      <c r="AV94" s="18">
        <v>2973.9615833390621</v>
      </c>
      <c r="AW94" s="18">
        <v>2960.7857607041947</v>
      </c>
      <c r="AX94" s="18">
        <v>2010.6486911972988</v>
      </c>
      <c r="AY94" s="18">
        <v>2980.3848320945117</v>
      </c>
      <c r="AZ94" s="18">
        <v>2595.5320619562312</v>
      </c>
      <c r="BA94" s="18">
        <v>2650.136621723751</v>
      </c>
      <c r="BB94" s="18">
        <v>2588.4445777986466</v>
      </c>
      <c r="BC94" s="23">
        <v>8.9181565948742242E-2</v>
      </c>
      <c r="BD94" s="23">
        <v>0.10665277883445198</v>
      </c>
      <c r="BE94" s="23">
        <v>9.438849084854764E-2</v>
      </c>
      <c r="BF94" s="23">
        <v>7.149564986855049E-2</v>
      </c>
      <c r="BG94" s="23">
        <v>0.10368571810536763</v>
      </c>
      <c r="BH94" s="23">
        <v>8.4970330952544637E-2</v>
      </c>
      <c r="BI94" s="23">
        <v>8.4593878877262704E-2</v>
      </c>
      <c r="BJ94" s="23">
        <v>5.7447105462779965E-2</v>
      </c>
      <c r="BK94" s="23">
        <v>8.5153852345557474E-2</v>
      </c>
      <c r="BL94" s="23">
        <v>7.4158058913035174E-2</v>
      </c>
      <c r="BM94" s="23">
        <v>7.5718189192107169E-2</v>
      </c>
      <c r="BN94" s="23">
        <v>7.3955559365675619E-2</v>
      </c>
    </row>
    <row r="95" spans="1:66" x14ac:dyDescent="0.25">
      <c r="A95" s="16">
        <v>31003</v>
      </c>
      <c r="B95" s="16" t="s">
        <v>291</v>
      </c>
      <c r="C95" s="17">
        <v>0</v>
      </c>
      <c r="D95" s="17">
        <f t="shared" si="45"/>
        <v>0</v>
      </c>
      <c r="E95" s="17">
        <f t="shared" si="46"/>
        <v>0</v>
      </c>
      <c r="F95" s="17">
        <f t="shared" si="47"/>
        <v>0</v>
      </c>
      <c r="G95" s="17">
        <f t="shared" si="48"/>
        <v>0</v>
      </c>
      <c r="H95" s="17">
        <f t="shared" si="49"/>
        <v>0</v>
      </c>
      <c r="I95" s="17">
        <f t="shared" si="50"/>
        <v>0</v>
      </c>
      <c r="J95" s="17">
        <f t="shared" si="51"/>
        <v>0</v>
      </c>
      <c r="K95" s="17">
        <f t="shared" si="52"/>
        <v>0</v>
      </c>
      <c r="L95" s="17">
        <f t="shared" si="53"/>
        <v>0</v>
      </c>
      <c r="M95" s="17">
        <f t="shared" si="54"/>
        <v>0</v>
      </c>
      <c r="N95" s="17">
        <f t="shared" si="55"/>
        <v>0</v>
      </c>
      <c r="O95" s="17">
        <f t="shared" si="56"/>
        <v>0</v>
      </c>
      <c r="P95" s="17">
        <v>25000</v>
      </c>
      <c r="Q95" s="17">
        <f t="shared" si="57"/>
        <v>2229.5391487185561</v>
      </c>
      <c r="R95" s="17">
        <f t="shared" si="58"/>
        <v>2666.3194708612996</v>
      </c>
      <c r="S95" s="17">
        <f t="shared" si="59"/>
        <v>2359.7122712136911</v>
      </c>
      <c r="T95" s="17">
        <f t="shared" si="60"/>
        <v>1787.3912467137623</v>
      </c>
      <c r="U95" s="17">
        <f t="shared" si="61"/>
        <v>2592.1429526341908</v>
      </c>
      <c r="V95" s="17">
        <f t="shared" si="62"/>
        <v>2124.2582738136161</v>
      </c>
      <c r="W95" s="17">
        <f t="shared" si="63"/>
        <v>2114.8469719315676</v>
      </c>
      <c r="X95" s="17">
        <f t="shared" si="64"/>
        <v>1436.1776365694991</v>
      </c>
      <c r="Y95" s="17">
        <f t="shared" si="65"/>
        <v>2128.846308638937</v>
      </c>
      <c r="Z95" s="17">
        <f t="shared" si="66"/>
        <v>1853.9514728258794</v>
      </c>
      <c r="AA95" s="17">
        <f t="shared" si="67"/>
        <v>1892.9547298026791</v>
      </c>
      <c r="AB95" s="17">
        <f t="shared" si="68"/>
        <v>1848.8889841418904</v>
      </c>
      <c r="AC95" s="17">
        <v>0</v>
      </c>
      <c r="AD95" s="17">
        <f t="shared" si="69"/>
        <v>0</v>
      </c>
      <c r="AE95" s="17">
        <f t="shared" si="70"/>
        <v>0</v>
      </c>
      <c r="AF95" s="17">
        <f t="shared" si="71"/>
        <v>0</v>
      </c>
      <c r="AG95" s="17">
        <f t="shared" si="72"/>
        <v>0</v>
      </c>
      <c r="AH95" s="17">
        <f t="shared" si="73"/>
        <v>0</v>
      </c>
      <c r="AI95" s="17">
        <f t="shared" si="74"/>
        <v>0</v>
      </c>
      <c r="AJ95" s="17">
        <f t="shared" si="75"/>
        <v>0</v>
      </c>
      <c r="AK95" s="17">
        <f t="shared" si="76"/>
        <v>0</v>
      </c>
      <c r="AL95" s="17">
        <f t="shared" si="77"/>
        <v>0</v>
      </c>
      <c r="AM95" s="17">
        <f t="shared" si="78"/>
        <v>0</v>
      </c>
      <c r="AN95" s="17">
        <f t="shared" si="79"/>
        <v>0</v>
      </c>
      <c r="AO95" s="17">
        <f t="shared" si="80"/>
        <v>0</v>
      </c>
      <c r="AP95" s="17">
        <f t="shared" si="81"/>
        <v>25000</v>
      </c>
      <c r="AQ95" s="18">
        <v>1783.6313189748448</v>
      </c>
      <c r="AR95" s="18">
        <v>2133.0555766890398</v>
      </c>
      <c r="AS95" s="18">
        <v>1887.7698169709529</v>
      </c>
      <c r="AT95" s="18">
        <v>1429.9129973710099</v>
      </c>
      <c r="AU95" s="18">
        <v>2073.7143621073524</v>
      </c>
      <c r="AV95" s="18">
        <v>1699.4066190508927</v>
      </c>
      <c r="AW95" s="18">
        <v>1691.8775775452541</v>
      </c>
      <c r="AX95" s="18">
        <v>1148.9421092555992</v>
      </c>
      <c r="AY95" s="18">
        <v>1703.0770469111494</v>
      </c>
      <c r="AZ95" s="18">
        <v>1483.1611782607035</v>
      </c>
      <c r="BA95" s="18">
        <v>1514.3637838421434</v>
      </c>
      <c r="BB95" s="18">
        <v>1479.1111873135123</v>
      </c>
      <c r="BC95" s="23">
        <v>8.9181565948742242E-2</v>
      </c>
      <c r="BD95" s="23">
        <v>0.10665277883445198</v>
      </c>
      <c r="BE95" s="23">
        <v>9.438849084854764E-2</v>
      </c>
      <c r="BF95" s="23">
        <v>7.149564986855049E-2</v>
      </c>
      <c r="BG95" s="23">
        <v>0.10368571810536763</v>
      </c>
      <c r="BH95" s="23">
        <v>8.4970330952544637E-2</v>
      </c>
      <c r="BI95" s="23">
        <v>8.4593878877262704E-2</v>
      </c>
      <c r="BJ95" s="23">
        <v>5.7447105462779965E-2</v>
      </c>
      <c r="BK95" s="23">
        <v>8.5153852345557474E-2</v>
      </c>
      <c r="BL95" s="23">
        <v>7.4158058913035174E-2</v>
      </c>
      <c r="BM95" s="23">
        <v>7.5718189192107169E-2</v>
      </c>
      <c r="BN95" s="23">
        <v>7.3955559365675619E-2</v>
      </c>
    </row>
    <row r="96" spans="1:66" x14ac:dyDescent="0.25">
      <c r="A96" s="16">
        <v>32012</v>
      </c>
      <c r="B96" s="16" t="s">
        <v>292</v>
      </c>
      <c r="C96" s="17">
        <v>1000</v>
      </c>
      <c r="D96" s="17">
        <f t="shared" si="45"/>
        <v>89.181565948742247</v>
      </c>
      <c r="E96" s="17">
        <f t="shared" si="46"/>
        <v>106.65277883445198</v>
      </c>
      <c r="F96" s="17">
        <f t="shared" si="47"/>
        <v>94.388490848547647</v>
      </c>
      <c r="G96" s="17">
        <f t="shared" si="48"/>
        <v>71.495649868550487</v>
      </c>
      <c r="H96" s="17">
        <f t="shared" si="49"/>
        <v>103.68571810536763</v>
      </c>
      <c r="I96" s="17">
        <f t="shared" si="50"/>
        <v>84.970330952544643</v>
      </c>
      <c r="J96" s="17">
        <f t="shared" si="51"/>
        <v>84.593878877262711</v>
      </c>
      <c r="K96" s="17">
        <f t="shared" si="52"/>
        <v>57.447105462779966</v>
      </c>
      <c r="L96" s="17">
        <f t="shared" si="53"/>
        <v>85.153852345557468</v>
      </c>
      <c r="M96" s="17">
        <f t="shared" si="54"/>
        <v>74.158058913035177</v>
      </c>
      <c r="N96" s="17">
        <f t="shared" si="55"/>
        <v>75.718189192107175</v>
      </c>
      <c r="O96" s="17">
        <f t="shared" si="56"/>
        <v>73.955559365675626</v>
      </c>
      <c r="P96" s="17">
        <v>2000</v>
      </c>
      <c r="Q96" s="17">
        <f t="shared" si="57"/>
        <v>178.36313189748449</v>
      </c>
      <c r="R96" s="17">
        <f t="shared" si="58"/>
        <v>213.30555766890396</v>
      </c>
      <c r="S96" s="17">
        <f t="shared" si="59"/>
        <v>188.77698169709529</v>
      </c>
      <c r="T96" s="17">
        <f t="shared" si="60"/>
        <v>142.99129973710097</v>
      </c>
      <c r="U96" s="17">
        <f t="shared" si="61"/>
        <v>207.37143621073525</v>
      </c>
      <c r="V96" s="17">
        <f t="shared" si="62"/>
        <v>169.94066190508929</v>
      </c>
      <c r="W96" s="17">
        <f t="shared" si="63"/>
        <v>169.18775775452542</v>
      </c>
      <c r="X96" s="17">
        <f t="shared" si="64"/>
        <v>114.89421092555993</v>
      </c>
      <c r="Y96" s="17">
        <f t="shared" si="65"/>
        <v>170.30770469111494</v>
      </c>
      <c r="Z96" s="17">
        <f t="shared" si="66"/>
        <v>148.31611782607035</v>
      </c>
      <c r="AA96" s="17">
        <f t="shared" si="67"/>
        <v>151.43637838421435</v>
      </c>
      <c r="AB96" s="17">
        <f t="shared" si="68"/>
        <v>147.91111873135125</v>
      </c>
      <c r="AC96" s="17">
        <v>0</v>
      </c>
      <c r="AD96" s="17">
        <f t="shared" si="69"/>
        <v>0</v>
      </c>
      <c r="AE96" s="17">
        <f t="shared" si="70"/>
        <v>0</v>
      </c>
      <c r="AF96" s="17">
        <f t="shared" si="71"/>
        <v>0</v>
      </c>
      <c r="AG96" s="17">
        <f t="shared" si="72"/>
        <v>0</v>
      </c>
      <c r="AH96" s="17">
        <f t="shared" si="73"/>
        <v>0</v>
      </c>
      <c r="AI96" s="17">
        <f t="shared" si="74"/>
        <v>0</v>
      </c>
      <c r="AJ96" s="17">
        <f t="shared" si="75"/>
        <v>0</v>
      </c>
      <c r="AK96" s="17">
        <f t="shared" si="76"/>
        <v>0</v>
      </c>
      <c r="AL96" s="17">
        <f t="shared" si="77"/>
        <v>0</v>
      </c>
      <c r="AM96" s="17">
        <f t="shared" si="78"/>
        <v>0</v>
      </c>
      <c r="AN96" s="17">
        <f t="shared" si="79"/>
        <v>0</v>
      </c>
      <c r="AO96" s="17">
        <f t="shared" si="80"/>
        <v>0</v>
      </c>
      <c r="AP96" s="17">
        <f t="shared" si="81"/>
        <v>3000</v>
      </c>
      <c r="AQ96" s="18">
        <v>1783.6313189748448</v>
      </c>
      <c r="AR96" s="18">
        <v>2133.0555766890398</v>
      </c>
      <c r="AS96" s="18">
        <v>1887.7698169709529</v>
      </c>
      <c r="AT96" s="18">
        <v>1429.9129973710099</v>
      </c>
      <c r="AU96" s="18">
        <v>2073.7143621073524</v>
      </c>
      <c r="AV96" s="18">
        <v>1699.4066190508927</v>
      </c>
      <c r="AW96" s="18">
        <v>1691.8775775452541</v>
      </c>
      <c r="AX96" s="18">
        <v>1148.9421092555992</v>
      </c>
      <c r="AY96" s="18">
        <v>1703.0770469111494</v>
      </c>
      <c r="AZ96" s="18">
        <v>1483.1611782607035</v>
      </c>
      <c r="BA96" s="18">
        <v>1514.3637838421434</v>
      </c>
      <c r="BB96" s="18">
        <v>1479.1111873135123</v>
      </c>
      <c r="BC96" s="23">
        <v>8.9181565948742242E-2</v>
      </c>
      <c r="BD96" s="23">
        <v>0.10665277883445198</v>
      </c>
      <c r="BE96" s="23">
        <v>9.438849084854764E-2</v>
      </c>
      <c r="BF96" s="23">
        <v>7.149564986855049E-2</v>
      </c>
      <c r="BG96" s="23">
        <v>0.10368571810536763</v>
      </c>
      <c r="BH96" s="23">
        <v>8.4970330952544637E-2</v>
      </c>
      <c r="BI96" s="23">
        <v>8.4593878877262704E-2</v>
      </c>
      <c r="BJ96" s="23">
        <v>5.7447105462779965E-2</v>
      </c>
      <c r="BK96" s="23">
        <v>8.5153852345557474E-2</v>
      </c>
      <c r="BL96" s="23">
        <v>7.4158058913035174E-2</v>
      </c>
      <c r="BM96" s="23">
        <v>7.5718189192107169E-2</v>
      </c>
      <c r="BN96" s="23">
        <v>7.3955559365675619E-2</v>
      </c>
    </row>
    <row r="97" spans="1:66" x14ac:dyDescent="0.25">
      <c r="A97" s="16">
        <v>1755</v>
      </c>
      <c r="B97" s="16" t="s">
        <v>293</v>
      </c>
      <c r="C97" s="17">
        <v>0</v>
      </c>
      <c r="D97" s="17">
        <f t="shared" si="45"/>
        <v>0</v>
      </c>
      <c r="E97" s="17">
        <f t="shared" si="46"/>
        <v>0</v>
      </c>
      <c r="F97" s="17">
        <f t="shared" si="47"/>
        <v>0</v>
      </c>
      <c r="G97" s="17">
        <f t="shared" si="48"/>
        <v>0</v>
      </c>
      <c r="H97" s="17">
        <f t="shared" si="49"/>
        <v>0</v>
      </c>
      <c r="I97" s="17">
        <f t="shared" si="50"/>
        <v>0</v>
      </c>
      <c r="J97" s="17">
        <f t="shared" si="51"/>
        <v>0</v>
      </c>
      <c r="K97" s="17">
        <f t="shared" si="52"/>
        <v>0</v>
      </c>
      <c r="L97" s="17">
        <f t="shared" si="53"/>
        <v>0</v>
      </c>
      <c r="M97" s="17">
        <f t="shared" si="54"/>
        <v>0</v>
      </c>
      <c r="N97" s="17">
        <f t="shared" si="55"/>
        <v>0</v>
      </c>
      <c r="O97" s="17">
        <f t="shared" si="56"/>
        <v>0</v>
      </c>
      <c r="P97" s="17">
        <v>14000</v>
      </c>
      <c r="Q97" s="17">
        <f t="shared" si="57"/>
        <v>1248.5419232823913</v>
      </c>
      <c r="R97" s="17">
        <f t="shared" si="58"/>
        <v>1493.1389036823277</v>
      </c>
      <c r="S97" s="17">
        <f t="shared" si="59"/>
        <v>1321.438871879667</v>
      </c>
      <c r="T97" s="17">
        <f t="shared" si="60"/>
        <v>1000.9390981597069</v>
      </c>
      <c r="U97" s="17">
        <f t="shared" si="61"/>
        <v>1451.6000534751468</v>
      </c>
      <c r="V97" s="17">
        <f t="shared" si="62"/>
        <v>1189.5846333356249</v>
      </c>
      <c r="W97" s="17">
        <f t="shared" si="63"/>
        <v>1184.3143042816778</v>
      </c>
      <c r="X97" s="17">
        <f t="shared" si="64"/>
        <v>804.25947647891951</v>
      </c>
      <c r="Y97" s="17">
        <f t="shared" si="65"/>
        <v>1192.1539328378046</v>
      </c>
      <c r="Z97" s="17">
        <f t="shared" si="66"/>
        <v>1038.2128247824924</v>
      </c>
      <c r="AA97" s="17">
        <f t="shared" si="67"/>
        <v>1060.0546486895003</v>
      </c>
      <c r="AB97" s="17">
        <f t="shared" si="68"/>
        <v>1035.3778311194587</v>
      </c>
      <c r="AC97" s="17">
        <v>0</v>
      </c>
      <c r="AD97" s="17">
        <f t="shared" si="69"/>
        <v>0</v>
      </c>
      <c r="AE97" s="17">
        <f t="shared" si="70"/>
        <v>0</v>
      </c>
      <c r="AF97" s="17">
        <f t="shared" si="71"/>
        <v>0</v>
      </c>
      <c r="AG97" s="17">
        <f t="shared" si="72"/>
        <v>0</v>
      </c>
      <c r="AH97" s="17">
        <f t="shared" si="73"/>
        <v>0</v>
      </c>
      <c r="AI97" s="17">
        <f t="shared" si="74"/>
        <v>0</v>
      </c>
      <c r="AJ97" s="17">
        <f t="shared" si="75"/>
        <v>0</v>
      </c>
      <c r="AK97" s="17">
        <f t="shared" si="76"/>
        <v>0</v>
      </c>
      <c r="AL97" s="17">
        <f t="shared" si="77"/>
        <v>0</v>
      </c>
      <c r="AM97" s="17">
        <f t="shared" si="78"/>
        <v>0</v>
      </c>
      <c r="AN97" s="17">
        <f t="shared" si="79"/>
        <v>0</v>
      </c>
      <c r="AO97" s="17">
        <f t="shared" si="80"/>
        <v>0</v>
      </c>
      <c r="AP97" s="17">
        <f t="shared" si="81"/>
        <v>14000</v>
      </c>
      <c r="AQ97" s="18">
        <v>1783.6313189748448</v>
      </c>
      <c r="AR97" s="18">
        <v>2133.0555766890398</v>
      </c>
      <c r="AS97" s="18">
        <v>1887.7698169709529</v>
      </c>
      <c r="AT97" s="18">
        <v>1429.9129973710099</v>
      </c>
      <c r="AU97" s="18">
        <v>2073.7143621073524</v>
      </c>
      <c r="AV97" s="18">
        <v>1699.4066190508927</v>
      </c>
      <c r="AW97" s="18">
        <v>1691.8775775452541</v>
      </c>
      <c r="AX97" s="18">
        <v>1148.9421092555992</v>
      </c>
      <c r="AY97" s="18">
        <v>1703.0770469111494</v>
      </c>
      <c r="AZ97" s="18">
        <v>1483.1611782607035</v>
      </c>
      <c r="BA97" s="18">
        <v>1514.3637838421434</v>
      </c>
      <c r="BB97" s="18">
        <v>1479.1111873135123</v>
      </c>
      <c r="BC97" s="23">
        <v>8.9181565948742242E-2</v>
      </c>
      <c r="BD97" s="23">
        <v>0.10665277883445198</v>
      </c>
      <c r="BE97" s="23">
        <v>9.438849084854764E-2</v>
      </c>
      <c r="BF97" s="23">
        <v>7.149564986855049E-2</v>
      </c>
      <c r="BG97" s="23">
        <v>0.10368571810536763</v>
      </c>
      <c r="BH97" s="23">
        <v>8.4970330952544637E-2</v>
      </c>
      <c r="BI97" s="23">
        <v>8.4593878877262704E-2</v>
      </c>
      <c r="BJ97" s="23">
        <v>5.7447105462779965E-2</v>
      </c>
      <c r="BK97" s="23">
        <v>8.5153852345557474E-2</v>
      </c>
      <c r="BL97" s="23">
        <v>7.4158058913035174E-2</v>
      </c>
      <c r="BM97" s="23">
        <v>7.5718189192107169E-2</v>
      </c>
      <c r="BN97" s="23">
        <v>7.3955559365675619E-2</v>
      </c>
    </row>
    <row r="98" spans="1:66" x14ac:dyDescent="0.25">
      <c r="A98" s="16">
        <v>2156</v>
      </c>
      <c r="B98" s="16" t="s">
        <v>294</v>
      </c>
      <c r="C98" s="17">
        <v>12000</v>
      </c>
      <c r="D98" s="17">
        <f t="shared" si="45"/>
        <v>1070.1787913849068</v>
      </c>
      <c r="E98" s="17">
        <f t="shared" si="46"/>
        <v>1279.8333460134238</v>
      </c>
      <c r="F98" s="17">
        <f t="shared" si="47"/>
        <v>1132.6618901825716</v>
      </c>
      <c r="G98" s="17">
        <f t="shared" si="48"/>
        <v>857.94779842260584</v>
      </c>
      <c r="H98" s="17">
        <f t="shared" si="49"/>
        <v>1244.2286172644115</v>
      </c>
      <c r="I98" s="17">
        <f t="shared" si="50"/>
        <v>1019.6439714305357</v>
      </c>
      <c r="J98" s="17">
        <f t="shared" si="51"/>
        <v>1015.1265465271524</v>
      </c>
      <c r="K98" s="17">
        <f t="shared" si="52"/>
        <v>689.36526555335956</v>
      </c>
      <c r="L98" s="17">
        <f t="shared" si="53"/>
        <v>1021.8462281466897</v>
      </c>
      <c r="M98" s="17">
        <f t="shared" si="54"/>
        <v>889.89670695642212</v>
      </c>
      <c r="N98" s="17">
        <f t="shared" si="55"/>
        <v>908.61827030528605</v>
      </c>
      <c r="O98" s="17">
        <f t="shared" si="56"/>
        <v>887.46671238810745</v>
      </c>
      <c r="P98" s="17">
        <v>3000</v>
      </c>
      <c r="Q98" s="17">
        <f t="shared" si="57"/>
        <v>267.54469784622671</v>
      </c>
      <c r="R98" s="17">
        <f t="shared" si="58"/>
        <v>319.95833650335595</v>
      </c>
      <c r="S98" s="17">
        <f t="shared" si="59"/>
        <v>283.1654725456429</v>
      </c>
      <c r="T98" s="17">
        <f t="shared" si="60"/>
        <v>214.48694960565146</v>
      </c>
      <c r="U98" s="17">
        <f t="shared" si="61"/>
        <v>311.05715431610287</v>
      </c>
      <c r="V98" s="17">
        <f t="shared" si="62"/>
        <v>254.91099285763391</v>
      </c>
      <c r="W98" s="17">
        <f t="shared" si="63"/>
        <v>253.7816366317881</v>
      </c>
      <c r="X98" s="17">
        <f t="shared" si="64"/>
        <v>172.34131638833989</v>
      </c>
      <c r="Y98" s="17">
        <f t="shared" si="65"/>
        <v>255.46155703667242</v>
      </c>
      <c r="Z98" s="17">
        <f t="shared" si="66"/>
        <v>222.47417673910553</v>
      </c>
      <c r="AA98" s="17">
        <f t="shared" si="67"/>
        <v>227.15456757632151</v>
      </c>
      <c r="AB98" s="17">
        <f t="shared" si="68"/>
        <v>221.86667809702686</v>
      </c>
      <c r="AC98" s="17">
        <v>0</v>
      </c>
      <c r="AD98" s="17">
        <f t="shared" si="69"/>
        <v>0</v>
      </c>
      <c r="AE98" s="17">
        <f t="shared" si="70"/>
        <v>0</v>
      </c>
      <c r="AF98" s="17">
        <f t="shared" si="71"/>
        <v>0</v>
      </c>
      <c r="AG98" s="17">
        <f t="shared" si="72"/>
        <v>0</v>
      </c>
      <c r="AH98" s="17">
        <f t="shared" si="73"/>
        <v>0</v>
      </c>
      <c r="AI98" s="17">
        <f t="shared" si="74"/>
        <v>0</v>
      </c>
      <c r="AJ98" s="17">
        <f t="shared" si="75"/>
        <v>0</v>
      </c>
      <c r="AK98" s="17">
        <f t="shared" si="76"/>
        <v>0</v>
      </c>
      <c r="AL98" s="17">
        <f t="shared" si="77"/>
        <v>0</v>
      </c>
      <c r="AM98" s="17">
        <f t="shared" si="78"/>
        <v>0</v>
      </c>
      <c r="AN98" s="17">
        <f t="shared" si="79"/>
        <v>0</v>
      </c>
      <c r="AO98" s="17">
        <f t="shared" si="80"/>
        <v>0</v>
      </c>
      <c r="AP98" s="17">
        <f t="shared" si="81"/>
        <v>15000</v>
      </c>
      <c r="AQ98" s="18">
        <v>1649.8589700517314</v>
      </c>
      <c r="AR98" s="18">
        <v>1973.0764084373616</v>
      </c>
      <c r="AS98" s="18">
        <v>1746.1870806981312</v>
      </c>
      <c r="AT98" s="18">
        <v>1322.669522568184</v>
      </c>
      <c r="AU98" s="18">
        <v>1918.185784949301</v>
      </c>
      <c r="AV98" s="18">
        <v>1571.9511226220757</v>
      </c>
      <c r="AW98" s="18">
        <v>1564.9867592293601</v>
      </c>
      <c r="AX98" s="18">
        <v>1062.7714510614294</v>
      </c>
      <c r="AY98" s="18">
        <v>1575.3462683928133</v>
      </c>
      <c r="AZ98" s="18">
        <v>1371.9240898911507</v>
      </c>
      <c r="BA98" s="18">
        <v>1400.7865000539825</v>
      </c>
      <c r="BB98" s="18">
        <v>1368.1778482649991</v>
      </c>
      <c r="BC98" s="23">
        <v>8.9181565948742242E-2</v>
      </c>
      <c r="BD98" s="23">
        <v>0.10665277883445198</v>
      </c>
      <c r="BE98" s="23">
        <v>9.438849084854764E-2</v>
      </c>
      <c r="BF98" s="23">
        <v>7.149564986855049E-2</v>
      </c>
      <c r="BG98" s="23">
        <v>0.10368571810536763</v>
      </c>
      <c r="BH98" s="23">
        <v>8.4970330952544637E-2</v>
      </c>
      <c r="BI98" s="23">
        <v>8.4593878877262704E-2</v>
      </c>
      <c r="BJ98" s="23">
        <v>5.7447105462779965E-2</v>
      </c>
      <c r="BK98" s="23">
        <v>8.5153852345557474E-2</v>
      </c>
      <c r="BL98" s="23">
        <v>7.4158058913035174E-2</v>
      </c>
      <c r="BM98" s="23">
        <v>7.5718189192107169E-2</v>
      </c>
      <c r="BN98" s="23">
        <v>7.3955559365675619E-2</v>
      </c>
    </row>
    <row r="99" spans="1:66" x14ac:dyDescent="0.25">
      <c r="A99" s="16">
        <v>3629</v>
      </c>
      <c r="B99" s="16" t="s">
        <v>295</v>
      </c>
      <c r="C99" s="17">
        <v>0</v>
      </c>
      <c r="D99" s="17">
        <f t="shared" si="45"/>
        <v>0</v>
      </c>
      <c r="E99" s="17">
        <f t="shared" si="46"/>
        <v>0</v>
      </c>
      <c r="F99" s="17">
        <f t="shared" si="47"/>
        <v>0</v>
      </c>
      <c r="G99" s="17">
        <f t="shared" si="48"/>
        <v>0</v>
      </c>
      <c r="H99" s="17">
        <f t="shared" si="49"/>
        <v>0</v>
      </c>
      <c r="I99" s="17">
        <f t="shared" si="50"/>
        <v>0</v>
      </c>
      <c r="J99" s="17">
        <f t="shared" si="51"/>
        <v>0</v>
      </c>
      <c r="K99" s="17">
        <f t="shared" si="52"/>
        <v>0</v>
      </c>
      <c r="L99" s="17">
        <f t="shared" si="53"/>
        <v>0</v>
      </c>
      <c r="M99" s="17">
        <f t="shared" si="54"/>
        <v>0</v>
      </c>
      <c r="N99" s="17">
        <f t="shared" si="55"/>
        <v>0</v>
      </c>
      <c r="O99" s="17">
        <f t="shared" si="56"/>
        <v>0</v>
      </c>
      <c r="P99" s="17">
        <v>15000</v>
      </c>
      <c r="Q99" s="17">
        <f t="shared" si="57"/>
        <v>1337.7234892311337</v>
      </c>
      <c r="R99" s="17">
        <f t="shared" si="58"/>
        <v>1599.7916825167797</v>
      </c>
      <c r="S99" s="17">
        <f t="shared" si="59"/>
        <v>1415.8273627282147</v>
      </c>
      <c r="T99" s="17">
        <f t="shared" si="60"/>
        <v>1072.4347480282574</v>
      </c>
      <c r="U99" s="17">
        <f t="shared" si="61"/>
        <v>1555.2857715805144</v>
      </c>
      <c r="V99" s="17">
        <f t="shared" si="62"/>
        <v>1274.5549642881695</v>
      </c>
      <c r="W99" s="17">
        <f t="shared" si="63"/>
        <v>1268.9081831589406</v>
      </c>
      <c r="X99" s="17">
        <f t="shared" si="64"/>
        <v>861.70658194169948</v>
      </c>
      <c r="Y99" s="17">
        <f t="shared" si="65"/>
        <v>1277.3077851833621</v>
      </c>
      <c r="Z99" s="17">
        <f t="shared" si="66"/>
        <v>1112.3708836955277</v>
      </c>
      <c r="AA99" s="17">
        <f t="shared" si="67"/>
        <v>1135.7728378816075</v>
      </c>
      <c r="AB99" s="17">
        <f t="shared" si="68"/>
        <v>1109.3333904851343</v>
      </c>
      <c r="AC99" s="17">
        <v>0</v>
      </c>
      <c r="AD99" s="17">
        <f t="shared" si="69"/>
        <v>0</v>
      </c>
      <c r="AE99" s="17">
        <f t="shared" si="70"/>
        <v>0</v>
      </c>
      <c r="AF99" s="17">
        <f t="shared" si="71"/>
        <v>0</v>
      </c>
      <c r="AG99" s="17">
        <f t="shared" si="72"/>
        <v>0</v>
      </c>
      <c r="AH99" s="17">
        <f t="shared" si="73"/>
        <v>0</v>
      </c>
      <c r="AI99" s="17">
        <f t="shared" si="74"/>
        <v>0</v>
      </c>
      <c r="AJ99" s="17">
        <f t="shared" si="75"/>
        <v>0</v>
      </c>
      <c r="AK99" s="17">
        <f t="shared" si="76"/>
        <v>0</v>
      </c>
      <c r="AL99" s="17">
        <f t="shared" si="77"/>
        <v>0</v>
      </c>
      <c r="AM99" s="17">
        <f t="shared" si="78"/>
        <v>0</v>
      </c>
      <c r="AN99" s="17">
        <f t="shared" si="79"/>
        <v>0</v>
      </c>
      <c r="AO99" s="17">
        <f t="shared" si="80"/>
        <v>0</v>
      </c>
      <c r="AP99" s="17">
        <f t="shared" si="81"/>
        <v>15000</v>
      </c>
      <c r="AQ99" s="18">
        <v>2764.6285444110094</v>
      </c>
      <c r="AR99" s="18">
        <v>3306.2361438680114</v>
      </c>
      <c r="AS99" s="18">
        <v>2926.0432163049768</v>
      </c>
      <c r="AT99" s="18">
        <v>2216.365145925065</v>
      </c>
      <c r="AU99" s="18">
        <v>3214.2572612663967</v>
      </c>
      <c r="AV99" s="18">
        <v>2634.0802595288837</v>
      </c>
      <c r="AW99" s="18">
        <v>2622.4102451951439</v>
      </c>
      <c r="AX99" s="18">
        <v>1780.8602693461789</v>
      </c>
      <c r="AY99" s="18">
        <v>2639.7694227122815</v>
      </c>
      <c r="AZ99" s="18">
        <v>2298.8998263040903</v>
      </c>
      <c r="BA99" s="18">
        <v>2347.2638649553223</v>
      </c>
      <c r="BB99" s="18">
        <v>2292.622340335944</v>
      </c>
      <c r="BC99" s="23">
        <v>8.9181565948742242E-2</v>
      </c>
      <c r="BD99" s="23">
        <v>0.10665277883445198</v>
      </c>
      <c r="BE99" s="23">
        <v>9.438849084854764E-2</v>
      </c>
      <c r="BF99" s="23">
        <v>7.149564986855049E-2</v>
      </c>
      <c r="BG99" s="23">
        <v>0.10368571810536763</v>
      </c>
      <c r="BH99" s="23">
        <v>8.4970330952544637E-2</v>
      </c>
      <c r="BI99" s="23">
        <v>8.4593878877262704E-2</v>
      </c>
      <c r="BJ99" s="23">
        <v>5.7447105462779965E-2</v>
      </c>
      <c r="BK99" s="23">
        <v>8.5153852345557474E-2</v>
      </c>
      <c r="BL99" s="23">
        <v>7.4158058913035174E-2</v>
      </c>
      <c r="BM99" s="23">
        <v>7.5718189192107169E-2</v>
      </c>
      <c r="BN99" s="23">
        <v>7.3955559365675619E-2</v>
      </c>
    </row>
    <row r="100" spans="1:66" x14ac:dyDescent="0.25">
      <c r="A100" s="16">
        <v>5117</v>
      </c>
      <c r="B100" s="16" t="s">
        <v>296</v>
      </c>
      <c r="C100" s="17">
        <v>5000</v>
      </c>
      <c r="D100" s="17">
        <f t="shared" si="45"/>
        <v>445.9078297437112</v>
      </c>
      <c r="E100" s="17">
        <f t="shared" si="46"/>
        <v>533.26389417225994</v>
      </c>
      <c r="F100" s="17">
        <f t="shared" si="47"/>
        <v>471.94245424273822</v>
      </c>
      <c r="G100" s="17">
        <f t="shared" si="48"/>
        <v>357.47824934275246</v>
      </c>
      <c r="H100" s="17">
        <f t="shared" si="49"/>
        <v>518.42859052683809</v>
      </c>
      <c r="I100" s="17">
        <f t="shared" si="50"/>
        <v>424.85165476272317</v>
      </c>
      <c r="J100" s="17">
        <f t="shared" si="51"/>
        <v>422.96939438631352</v>
      </c>
      <c r="K100" s="17">
        <f t="shared" si="52"/>
        <v>287.23552731389981</v>
      </c>
      <c r="L100" s="17">
        <f t="shared" si="53"/>
        <v>425.76926172778735</v>
      </c>
      <c r="M100" s="17">
        <f t="shared" si="54"/>
        <v>370.79029456517588</v>
      </c>
      <c r="N100" s="17">
        <f t="shared" si="55"/>
        <v>378.59094596053586</v>
      </c>
      <c r="O100" s="17">
        <f t="shared" si="56"/>
        <v>369.77779682837809</v>
      </c>
      <c r="P100" s="17">
        <v>0</v>
      </c>
      <c r="Q100" s="17">
        <f t="shared" si="57"/>
        <v>0</v>
      </c>
      <c r="R100" s="17">
        <f t="shared" si="58"/>
        <v>0</v>
      </c>
      <c r="S100" s="17">
        <f t="shared" si="59"/>
        <v>0</v>
      </c>
      <c r="T100" s="17">
        <f t="shared" si="60"/>
        <v>0</v>
      </c>
      <c r="U100" s="17">
        <f t="shared" si="61"/>
        <v>0</v>
      </c>
      <c r="V100" s="17">
        <f t="shared" si="62"/>
        <v>0</v>
      </c>
      <c r="W100" s="17">
        <f t="shared" si="63"/>
        <v>0</v>
      </c>
      <c r="X100" s="17">
        <f t="shared" si="64"/>
        <v>0</v>
      </c>
      <c r="Y100" s="17">
        <f t="shared" si="65"/>
        <v>0</v>
      </c>
      <c r="Z100" s="17">
        <f t="shared" si="66"/>
        <v>0</v>
      </c>
      <c r="AA100" s="17">
        <f t="shared" si="67"/>
        <v>0</v>
      </c>
      <c r="AB100" s="17">
        <f t="shared" si="68"/>
        <v>0</v>
      </c>
      <c r="AC100" s="17">
        <v>0</v>
      </c>
      <c r="AD100" s="17">
        <f t="shared" si="69"/>
        <v>0</v>
      </c>
      <c r="AE100" s="17">
        <f t="shared" si="70"/>
        <v>0</v>
      </c>
      <c r="AF100" s="17">
        <f t="shared" si="71"/>
        <v>0</v>
      </c>
      <c r="AG100" s="17">
        <f t="shared" si="72"/>
        <v>0</v>
      </c>
      <c r="AH100" s="17">
        <f t="shared" si="73"/>
        <v>0</v>
      </c>
      <c r="AI100" s="17">
        <f t="shared" si="74"/>
        <v>0</v>
      </c>
      <c r="AJ100" s="17">
        <f t="shared" si="75"/>
        <v>0</v>
      </c>
      <c r="AK100" s="17">
        <f t="shared" si="76"/>
        <v>0</v>
      </c>
      <c r="AL100" s="17">
        <f t="shared" si="77"/>
        <v>0</v>
      </c>
      <c r="AM100" s="17">
        <f t="shared" si="78"/>
        <v>0</v>
      </c>
      <c r="AN100" s="17">
        <f t="shared" si="79"/>
        <v>0</v>
      </c>
      <c r="AO100" s="17">
        <f t="shared" si="80"/>
        <v>0</v>
      </c>
      <c r="AP100" s="17">
        <f t="shared" si="81"/>
        <v>5000</v>
      </c>
      <c r="AQ100" s="18">
        <v>1605.2681870773604</v>
      </c>
      <c r="AR100" s="18">
        <v>1919.7500190201356</v>
      </c>
      <c r="AS100" s="18">
        <v>1698.9928352738575</v>
      </c>
      <c r="AT100" s="18">
        <v>1286.9216976339087</v>
      </c>
      <c r="AU100" s="18">
        <v>1866.3429258966173</v>
      </c>
      <c r="AV100" s="18">
        <v>1529.4659571458035</v>
      </c>
      <c r="AW100" s="18">
        <v>1522.6898197907287</v>
      </c>
      <c r="AX100" s="18">
        <v>1034.0478983300393</v>
      </c>
      <c r="AY100" s="18">
        <v>1532.7693422200346</v>
      </c>
      <c r="AZ100" s="18">
        <v>1334.8450604346331</v>
      </c>
      <c r="BA100" s="18">
        <v>1362.9274054579291</v>
      </c>
      <c r="BB100" s="18">
        <v>1331.2000685821611</v>
      </c>
      <c r="BC100" s="23">
        <v>8.9181565948742242E-2</v>
      </c>
      <c r="BD100" s="23">
        <v>0.10665277883445198</v>
      </c>
      <c r="BE100" s="23">
        <v>9.438849084854764E-2</v>
      </c>
      <c r="BF100" s="23">
        <v>7.149564986855049E-2</v>
      </c>
      <c r="BG100" s="23">
        <v>0.10368571810536763</v>
      </c>
      <c r="BH100" s="23">
        <v>8.4970330952544637E-2</v>
      </c>
      <c r="BI100" s="23">
        <v>8.4593878877262704E-2</v>
      </c>
      <c r="BJ100" s="23">
        <v>5.7447105462779965E-2</v>
      </c>
      <c r="BK100" s="23">
        <v>8.5153852345557474E-2</v>
      </c>
      <c r="BL100" s="23">
        <v>7.4158058913035174E-2</v>
      </c>
      <c r="BM100" s="23">
        <v>7.5718189192107169E-2</v>
      </c>
      <c r="BN100" s="23">
        <v>7.3955559365675619E-2</v>
      </c>
    </row>
    <row r="101" spans="1:66" x14ac:dyDescent="0.25">
      <c r="A101" s="16">
        <v>2954</v>
      </c>
      <c r="B101" s="16" t="s">
        <v>297</v>
      </c>
      <c r="C101" s="17">
        <v>3000</v>
      </c>
      <c r="D101" s="17">
        <f t="shared" si="45"/>
        <v>267.54469784622671</v>
      </c>
      <c r="E101" s="17">
        <f t="shared" si="46"/>
        <v>319.95833650335595</v>
      </c>
      <c r="F101" s="17">
        <f t="shared" si="47"/>
        <v>283.1654725456429</v>
      </c>
      <c r="G101" s="17">
        <f t="shared" si="48"/>
        <v>214.48694960565146</v>
      </c>
      <c r="H101" s="17">
        <f t="shared" si="49"/>
        <v>311.05715431610287</v>
      </c>
      <c r="I101" s="17">
        <f t="shared" si="50"/>
        <v>254.91099285763391</v>
      </c>
      <c r="J101" s="17">
        <f t="shared" si="51"/>
        <v>253.7816366317881</v>
      </c>
      <c r="K101" s="17">
        <f t="shared" si="52"/>
        <v>172.34131638833989</v>
      </c>
      <c r="L101" s="17">
        <f t="shared" si="53"/>
        <v>255.46155703667242</v>
      </c>
      <c r="M101" s="17">
        <f t="shared" si="54"/>
        <v>222.47417673910553</v>
      </c>
      <c r="N101" s="17">
        <f t="shared" si="55"/>
        <v>227.15456757632151</v>
      </c>
      <c r="O101" s="17">
        <f t="shared" si="56"/>
        <v>221.86667809702686</v>
      </c>
      <c r="P101" s="17">
        <v>12000</v>
      </c>
      <c r="Q101" s="17">
        <f t="shared" si="57"/>
        <v>1070.1787913849068</v>
      </c>
      <c r="R101" s="17">
        <f t="shared" si="58"/>
        <v>1279.8333460134238</v>
      </c>
      <c r="S101" s="17">
        <f t="shared" si="59"/>
        <v>1132.6618901825716</v>
      </c>
      <c r="T101" s="17">
        <f t="shared" si="60"/>
        <v>857.94779842260584</v>
      </c>
      <c r="U101" s="17">
        <f t="shared" si="61"/>
        <v>1244.2286172644115</v>
      </c>
      <c r="V101" s="17">
        <f t="shared" si="62"/>
        <v>1019.6439714305357</v>
      </c>
      <c r="W101" s="17">
        <f t="shared" si="63"/>
        <v>1015.1265465271524</v>
      </c>
      <c r="X101" s="17">
        <f t="shared" si="64"/>
        <v>689.36526555335956</v>
      </c>
      <c r="Y101" s="17">
        <f t="shared" si="65"/>
        <v>1021.8462281466897</v>
      </c>
      <c r="Z101" s="17">
        <f t="shared" si="66"/>
        <v>889.89670695642212</v>
      </c>
      <c r="AA101" s="17">
        <f t="shared" si="67"/>
        <v>908.61827030528605</v>
      </c>
      <c r="AB101" s="17">
        <f t="shared" si="68"/>
        <v>887.46671238810745</v>
      </c>
      <c r="AC101" s="17">
        <v>0</v>
      </c>
      <c r="AD101" s="17">
        <f t="shared" si="69"/>
        <v>0</v>
      </c>
      <c r="AE101" s="17">
        <f t="shared" si="70"/>
        <v>0</v>
      </c>
      <c r="AF101" s="17">
        <f t="shared" si="71"/>
        <v>0</v>
      </c>
      <c r="AG101" s="17">
        <f t="shared" si="72"/>
        <v>0</v>
      </c>
      <c r="AH101" s="17">
        <f t="shared" si="73"/>
        <v>0</v>
      </c>
      <c r="AI101" s="17">
        <f t="shared" si="74"/>
        <v>0</v>
      </c>
      <c r="AJ101" s="17">
        <f t="shared" si="75"/>
        <v>0</v>
      </c>
      <c r="AK101" s="17">
        <f t="shared" si="76"/>
        <v>0</v>
      </c>
      <c r="AL101" s="17">
        <f t="shared" si="77"/>
        <v>0</v>
      </c>
      <c r="AM101" s="17">
        <f t="shared" si="78"/>
        <v>0</v>
      </c>
      <c r="AN101" s="17">
        <f t="shared" si="79"/>
        <v>0</v>
      </c>
      <c r="AO101" s="17">
        <f t="shared" si="80"/>
        <v>0</v>
      </c>
      <c r="AP101" s="17">
        <f t="shared" si="81"/>
        <v>15000</v>
      </c>
      <c r="AQ101" s="18">
        <v>1611.7427687652389</v>
      </c>
      <c r="AR101" s="18">
        <v>1927.4930107635168</v>
      </c>
      <c r="AS101" s="18">
        <v>1705.845439709462</v>
      </c>
      <c r="AT101" s="18">
        <v>1292.1122818143656</v>
      </c>
      <c r="AU101" s="18">
        <v>1873.8705090310668</v>
      </c>
      <c r="AV101" s="18">
        <v>1535.6348031729581</v>
      </c>
      <c r="AW101" s="18">
        <v>1528.8313353972178</v>
      </c>
      <c r="AX101" s="18">
        <v>1038.2185581866372</v>
      </c>
      <c r="AY101" s="18">
        <v>1538.951511900322</v>
      </c>
      <c r="AZ101" s="18">
        <v>1340.2289355117193</v>
      </c>
      <c r="BA101" s="18">
        <v>1368.4245459932758</v>
      </c>
      <c r="BB101" s="18">
        <v>1336.5692421921092</v>
      </c>
      <c r="BC101" s="23">
        <v>8.9181565948742242E-2</v>
      </c>
      <c r="BD101" s="23">
        <v>0.10665277883445198</v>
      </c>
      <c r="BE101" s="23">
        <v>9.438849084854764E-2</v>
      </c>
      <c r="BF101" s="23">
        <v>7.149564986855049E-2</v>
      </c>
      <c r="BG101" s="23">
        <v>0.10368571810536763</v>
      </c>
      <c r="BH101" s="23">
        <v>8.4970330952544637E-2</v>
      </c>
      <c r="BI101" s="23">
        <v>8.4593878877262704E-2</v>
      </c>
      <c r="BJ101" s="23">
        <v>5.7447105462779965E-2</v>
      </c>
      <c r="BK101" s="23">
        <v>8.5153852345557474E-2</v>
      </c>
      <c r="BL101" s="23">
        <v>7.4158058913035174E-2</v>
      </c>
      <c r="BM101" s="23">
        <v>7.5718189192107169E-2</v>
      </c>
      <c r="BN101" s="23">
        <v>7.3955559365675619E-2</v>
      </c>
    </row>
    <row r="102" spans="1:66" x14ac:dyDescent="0.25">
      <c r="A102" s="16">
        <v>682</v>
      </c>
      <c r="B102" s="16" t="s">
        <v>298</v>
      </c>
      <c r="C102" s="17">
        <v>0</v>
      </c>
      <c r="D102" s="17">
        <f t="shared" si="45"/>
        <v>0</v>
      </c>
      <c r="E102" s="17">
        <f t="shared" si="46"/>
        <v>0</v>
      </c>
      <c r="F102" s="17">
        <f t="shared" si="47"/>
        <v>0</v>
      </c>
      <c r="G102" s="17">
        <f t="shared" si="48"/>
        <v>0</v>
      </c>
      <c r="H102" s="17">
        <f t="shared" si="49"/>
        <v>0</v>
      </c>
      <c r="I102" s="17">
        <f t="shared" si="50"/>
        <v>0</v>
      </c>
      <c r="J102" s="17">
        <f t="shared" si="51"/>
        <v>0</v>
      </c>
      <c r="K102" s="17">
        <f t="shared" si="52"/>
        <v>0</v>
      </c>
      <c r="L102" s="17">
        <f t="shared" si="53"/>
        <v>0</v>
      </c>
      <c r="M102" s="17">
        <f t="shared" si="54"/>
        <v>0</v>
      </c>
      <c r="N102" s="17">
        <f t="shared" si="55"/>
        <v>0</v>
      </c>
      <c r="O102" s="17">
        <f t="shared" si="56"/>
        <v>0</v>
      </c>
      <c r="P102" s="17">
        <v>15000</v>
      </c>
      <c r="Q102" s="17">
        <f t="shared" si="57"/>
        <v>1337.7234892311337</v>
      </c>
      <c r="R102" s="17">
        <f t="shared" si="58"/>
        <v>1599.7916825167797</v>
      </c>
      <c r="S102" s="17">
        <f t="shared" si="59"/>
        <v>1415.8273627282147</v>
      </c>
      <c r="T102" s="17">
        <f t="shared" si="60"/>
        <v>1072.4347480282574</v>
      </c>
      <c r="U102" s="17">
        <f t="shared" si="61"/>
        <v>1555.2857715805144</v>
      </c>
      <c r="V102" s="17">
        <f t="shared" si="62"/>
        <v>1274.5549642881695</v>
      </c>
      <c r="W102" s="17">
        <f t="shared" si="63"/>
        <v>1268.9081831589406</v>
      </c>
      <c r="X102" s="17">
        <f t="shared" si="64"/>
        <v>861.70658194169948</v>
      </c>
      <c r="Y102" s="17">
        <f t="shared" si="65"/>
        <v>1277.3077851833621</v>
      </c>
      <c r="Z102" s="17">
        <f t="shared" si="66"/>
        <v>1112.3708836955277</v>
      </c>
      <c r="AA102" s="17">
        <f t="shared" si="67"/>
        <v>1135.7728378816075</v>
      </c>
      <c r="AB102" s="17">
        <f t="shared" si="68"/>
        <v>1109.3333904851343</v>
      </c>
      <c r="AC102" s="17">
        <v>0</v>
      </c>
      <c r="AD102" s="17">
        <f t="shared" si="69"/>
        <v>0</v>
      </c>
      <c r="AE102" s="17">
        <f t="shared" si="70"/>
        <v>0</v>
      </c>
      <c r="AF102" s="17">
        <f t="shared" si="71"/>
        <v>0</v>
      </c>
      <c r="AG102" s="17">
        <f t="shared" si="72"/>
        <v>0</v>
      </c>
      <c r="AH102" s="17">
        <f t="shared" si="73"/>
        <v>0</v>
      </c>
      <c r="AI102" s="17">
        <f t="shared" si="74"/>
        <v>0</v>
      </c>
      <c r="AJ102" s="17">
        <f t="shared" si="75"/>
        <v>0</v>
      </c>
      <c r="AK102" s="17">
        <f t="shared" si="76"/>
        <v>0</v>
      </c>
      <c r="AL102" s="17">
        <f t="shared" si="77"/>
        <v>0</v>
      </c>
      <c r="AM102" s="17">
        <f t="shared" si="78"/>
        <v>0</v>
      </c>
      <c r="AN102" s="17">
        <f t="shared" si="79"/>
        <v>0</v>
      </c>
      <c r="AO102" s="17">
        <f t="shared" si="80"/>
        <v>0</v>
      </c>
      <c r="AP102" s="17">
        <f t="shared" si="81"/>
        <v>15000</v>
      </c>
      <c r="AQ102" s="18">
        <v>1560.6774041029892</v>
      </c>
      <c r="AR102" s="18">
        <v>1866.4236296029096</v>
      </c>
      <c r="AS102" s="18">
        <v>1651.7985898495838</v>
      </c>
      <c r="AT102" s="18">
        <v>1251.1738726996336</v>
      </c>
      <c r="AU102" s="18">
        <v>1814.5000668439334</v>
      </c>
      <c r="AV102" s="18">
        <v>1486.9807916695311</v>
      </c>
      <c r="AW102" s="18">
        <v>1480.3928803520973</v>
      </c>
      <c r="AX102" s="18">
        <v>1005.3243455986494</v>
      </c>
      <c r="AY102" s="18">
        <v>1490.1924160472558</v>
      </c>
      <c r="AZ102" s="18">
        <v>1297.7660309781156</v>
      </c>
      <c r="BA102" s="18">
        <v>1325.0683108618755</v>
      </c>
      <c r="BB102" s="18">
        <v>1294.2222888993233</v>
      </c>
      <c r="BC102" s="23">
        <v>8.9181565948742242E-2</v>
      </c>
      <c r="BD102" s="23">
        <v>0.10665277883445198</v>
      </c>
      <c r="BE102" s="23">
        <v>9.438849084854764E-2</v>
      </c>
      <c r="BF102" s="23">
        <v>7.149564986855049E-2</v>
      </c>
      <c r="BG102" s="23">
        <v>0.10368571810536763</v>
      </c>
      <c r="BH102" s="23">
        <v>8.4970330952544637E-2</v>
      </c>
      <c r="BI102" s="23">
        <v>8.4593878877262704E-2</v>
      </c>
      <c r="BJ102" s="23">
        <v>5.7447105462779965E-2</v>
      </c>
      <c r="BK102" s="23">
        <v>8.5153852345557474E-2</v>
      </c>
      <c r="BL102" s="23">
        <v>7.4158058913035174E-2</v>
      </c>
      <c r="BM102" s="23">
        <v>7.5718189192107169E-2</v>
      </c>
      <c r="BN102" s="23">
        <v>7.3955559365675619E-2</v>
      </c>
    </row>
    <row r="103" spans="1:66" x14ac:dyDescent="0.25">
      <c r="A103" s="16">
        <v>1340</v>
      </c>
      <c r="B103" s="16" t="s">
        <v>299</v>
      </c>
      <c r="C103" s="17">
        <v>20000</v>
      </c>
      <c r="D103" s="17">
        <f t="shared" si="45"/>
        <v>1783.6313189748448</v>
      </c>
      <c r="E103" s="17">
        <f t="shared" si="46"/>
        <v>2133.0555766890398</v>
      </c>
      <c r="F103" s="17">
        <f t="shared" si="47"/>
        <v>1887.7698169709529</v>
      </c>
      <c r="G103" s="17">
        <f t="shared" si="48"/>
        <v>1429.9129973710099</v>
      </c>
      <c r="H103" s="17">
        <f t="shared" si="49"/>
        <v>2073.7143621073524</v>
      </c>
      <c r="I103" s="17">
        <f t="shared" si="50"/>
        <v>1699.4066190508927</v>
      </c>
      <c r="J103" s="17">
        <f t="shared" si="51"/>
        <v>1691.8775775452541</v>
      </c>
      <c r="K103" s="17">
        <f t="shared" si="52"/>
        <v>1148.9421092555992</v>
      </c>
      <c r="L103" s="17">
        <f t="shared" si="53"/>
        <v>1703.0770469111494</v>
      </c>
      <c r="M103" s="17">
        <f t="shared" si="54"/>
        <v>1483.1611782607035</v>
      </c>
      <c r="N103" s="17">
        <f t="shared" si="55"/>
        <v>1514.3637838421434</v>
      </c>
      <c r="O103" s="17">
        <f t="shared" si="56"/>
        <v>1479.1111873135123</v>
      </c>
      <c r="P103" s="17">
        <v>0</v>
      </c>
      <c r="Q103" s="17">
        <f t="shared" si="57"/>
        <v>0</v>
      </c>
      <c r="R103" s="17">
        <f t="shared" si="58"/>
        <v>0</v>
      </c>
      <c r="S103" s="17">
        <f t="shared" si="59"/>
        <v>0</v>
      </c>
      <c r="T103" s="17">
        <f t="shared" si="60"/>
        <v>0</v>
      </c>
      <c r="U103" s="17">
        <f t="shared" si="61"/>
        <v>0</v>
      </c>
      <c r="V103" s="17">
        <f t="shared" si="62"/>
        <v>0</v>
      </c>
      <c r="W103" s="17">
        <f t="shared" si="63"/>
        <v>0</v>
      </c>
      <c r="X103" s="17">
        <f t="shared" si="64"/>
        <v>0</v>
      </c>
      <c r="Y103" s="17">
        <f t="shared" si="65"/>
        <v>0</v>
      </c>
      <c r="Z103" s="17">
        <f t="shared" si="66"/>
        <v>0</v>
      </c>
      <c r="AA103" s="17">
        <f t="shared" si="67"/>
        <v>0</v>
      </c>
      <c r="AB103" s="17">
        <f t="shared" si="68"/>
        <v>0</v>
      </c>
      <c r="AC103" s="17">
        <v>1000</v>
      </c>
      <c r="AD103" s="17">
        <f t="shared" si="69"/>
        <v>89.181565948742247</v>
      </c>
      <c r="AE103" s="17">
        <f t="shared" si="70"/>
        <v>106.65277883445198</v>
      </c>
      <c r="AF103" s="17">
        <f t="shared" si="71"/>
        <v>94.388490848547647</v>
      </c>
      <c r="AG103" s="17">
        <f t="shared" si="72"/>
        <v>71.495649868550487</v>
      </c>
      <c r="AH103" s="17">
        <f t="shared" si="73"/>
        <v>103.68571810536763</v>
      </c>
      <c r="AI103" s="17">
        <f t="shared" si="74"/>
        <v>84.970330952544643</v>
      </c>
      <c r="AJ103" s="17">
        <f t="shared" si="75"/>
        <v>84.593878877262711</v>
      </c>
      <c r="AK103" s="17">
        <f t="shared" si="76"/>
        <v>57.447105462779966</v>
      </c>
      <c r="AL103" s="17">
        <f t="shared" si="77"/>
        <v>85.153852345557468</v>
      </c>
      <c r="AM103" s="17">
        <f t="shared" si="78"/>
        <v>74.158058913035177</v>
      </c>
      <c r="AN103" s="17">
        <f t="shared" si="79"/>
        <v>75.718189192107175</v>
      </c>
      <c r="AO103" s="17">
        <f t="shared" si="80"/>
        <v>73.955559365675626</v>
      </c>
      <c r="AP103" s="17">
        <f t="shared" si="81"/>
        <v>21000</v>
      </c>
      <c r="AQ103" s="18">
        <v>1552.4477291972394</v>
      </c>
      <c r="AR103" s="18">
        <v>1856.5817111720667</v>
      </c>
      <c r="AS103" s="18">
        <v>1643.0884199140799</v>
      </c>
      <c r="AT103" s="18">
        <v>1244.5762541297638</v>
      </c>
      <c r="AU103" s="18">
        <v>1804.9319487771702</v>
      </c>
      <c r="AV103" s="18">
        <v>1479.1397295292304</v>
      </c>
      <c r="AW103" s="18">
        <v>1472.5865572093037</v>
      </c>
      <c r="AX103" s="18">
        <v>1000.0231267065441</v>
      </c>
      <c r="AY103" s="18">
        <v>1482.3344185528078</v>
      </c>
      <c r="AZ103" s="18">
        <v>1290.9227253016209</v>
      </c>
      <c r="BA103" s="18">
        <v>1318.0810363632279</v>
      </c>
      <c r="BB103" s="18">
        <v>1287.3976698810588</v>
      </c>
      <c r="BC103" s="23">
        <v>8.9181565948742242E-2</v>
      </c>
      <c r="BD103" s="23">
        <v>0.10665277883445198</v>
      </c>
      <c r="BE103" s="23">
        <v>9.438849084854764E-2</v>
      </c>
      <c r="BF103" s="23">
        <v>7.149564986855049E-2</v>
      </c>
      <c r="BG103" s="23">
        <v>0.10368571810536763</v>
      </c>
      <c r="BH103" s="23">
        <v>8.4970330952544637E-2</v>
      </c>
      <c r="BI103" s="23">
        <v>8.4593878877262704E-2</v>
      </c>
      <c r="BJ103" s="23">
        <v>5.7447105462779965E-2</v>
      </c>
      <c r="BK103" s="23">
        <v>8.5153852345557474E-2</v>
      </c>
      <c r="BL103" s="23">
        <v>7.4158058913035174E-2</v>
      </c>
      <c r="BM103" s="23">
        <v>7.5718189192107169E-2</v>
      </c>
      <c r="BN103" s="23">
        <v>7.3955559365675619E-2</v>
      </c>
    </row>
    <row r="104" spans="1:66" x14ac:dyDescent="0.25">
      <c r="A104" s="16">
        <v>5337</v>
      </c>
      <c r="B104" s="16" t="s">
        <v>300</v>
      </c>
      <c r="C104" s="17">
        <v>0</v>
      </c>
      <c r="D104" s="17">
        <f t="shared" si="45"/>
        <v>0</v>
      </c>
      <c r="E104" s="17">
        <f t="shared" si="46"/>
        <v>0</v>
      </c>
      <c r="F104" s="17">
        <f t="shared" si="47"/>
        <v>0</v>
      </c>
      <c r="G104" s="17">
        <f t="shared" si="48"/>
        <v>0</v>
      </c>
      <c r="H104" s="17">
        <f t="shared" si="49"/>
        <v>0</v>
      </c>
      <c r="I104" s="17">
        <f t="shared" si="50"/>
        <v>0</v>
      </c>
      <c r="J104" s="17">
        <f t="shared" si="51"/>
        <v>0</v>
      </c>
      <c r="K104" s="17">
        <f t="shared" si="52"/>
        <v>0</v>
      </c>
      <c r="L104" s="17">
        <f t="shared" si="53"/>
        <v>0</v>
      </c>
      <c r="M104" s="17">
        <f t="shared" si="54"/>
        <v>0</v>
      </c>
      <c r="N104" s="17">
        <f t="shared" si="55"/>
        <v>0</v>
      </c>
      <c r="O104" s="17">
        <f t="shared" si="56"/>
        <v>0</v>
      </c>
      <c r="P104" s="17">
        <v>20000</v>
      </c>
      <c r="Q104" s="17">
        <f t="shared" si="57"/>
        <v>1783.6313189748448</v>
      </c>
      <c r="R104" s="17">
        <f t="shared" si="58"/>
        <v>2133.0555766890398</v>
      </c>
      <c r="S104" s="17">
        <f t="shared" si="59"/>
        <v>1887.7698169709529</v>
      </c>
      <c r="T104" s="17">
        <f t="shared" si="60"/>
        <v>1429.9129973710099</v>
      </c>
      <c r="U104" s="17">
        <f t="shared" si="61"/>
        <v>2073.7143621073524</v>
      </c>
      <c r="V104" s="17">
        <f t="shared" si="62"/>
        <v>1699.4066190508927</v>
      </c>
      <c r="W104" s="17">
        <f t="shared" si="63"/>
        <v>1691.8775775452541</v>
      </c>
      <c r="X104" s="17">
        <f t="shared" si="64"/>
        <v>1148.9421092555992</v>
      </c>
      <c r="Y104" s="17">
        <f t="shared" si="65"/>
        <v>1703.0770469111494</v>
      </c>
      <c r="Z104" s="17">
        <f t="shared" si="66"/>
        <v>1483.1611782607035</v>
      </c>
      <c r="AA104" s="17">
        <f t="shared" si="67"/>
        <v>1514.3637838421434</v>
      </c>
      <c r="AB104" s="17">
        <f t="shared" si="68"/>
        <v>1479.1111873135123</v>
      </c>
      <c r="AC104" s="17">
        <v>0</v>
      </c>
      <c r="AD104" s="17">
        <f t="shared" si="69"/>
        <v>0</v>
      </c>
      <c r="AE104" s="17">
        <f t="shared" si="70"/>
        <v>0</v>
      </c>
      <c r="AF104" s="17">
        <f t="shared" si="71"/>
        <v>0</v>
      </c>
      <c r="AG104" s="17">
        <f t="shared" si="72"/>
        <v>0</v>
      </c>
      <c r="AH104" s="17">
        <f t="shared" si="73"/>
        <v>0</v>
      </c>
      <c r="AI104" s="17">
        <f t="shared" si="74"/>
        <v>0</v>
      </c>
      <c r="AJ104" s="17">
        <f t="shared" si="75"/>
        <v>0</v>
      </c>
      <c r="AK104" s="17">
        <f t="shared" si="76"/>
        <v>0</v>
      </c>
      <c r="AL104" s="17">
        <f t="shared" si="77"/>
        <v>0</v>
      </c>
      <c r="AM104" s="17">
        <f t="shared" si="78"/>
        <v>0</v>
      </c>
      <c r="AN104" s="17">
        <f t="shared" si="79"/>
        <v>0</v>
      </c>
      <c r="AO104" s="17">
        <f t="shared" si="80"/>
        <v>0</v>
      </c>
      <c r="AP104" s="17">
        <f t="shared" si="81"/>
        <v>20000</v>
      </c>
      <c r="AQ104" s="18">
        <v>1516.0866211286182</v>
      </c>
      <c r="AR104" s="18">
        <v>1813.0972401856836</v>
      </c>
      <c r="AS104" s="18">
        <v>1604.6043444253098</v>
      </c>
      <c r="AT104" s="18">
        <v>1215.4260477653584</v>
      </c>
      <c r="AU104" s="18">
        <v>1762.6572077912497</v>
      </c>
      <c r="AV104" s="18">
        <v>1444.4956261932589</v>
      </c>
      <c r="AW104" s="18">
        <v>1438.0959409134659</v>
      </c>
      <c r="AX104" s="18">
        <v>976.60079286725943</v>
      </c>
      <c r="AY104" s="18">
        <v>1447.6154898744771</v>
      </c>
      <c r="AZ104" s="18">
        <v>1260.6870015215979</v>
      </c>
      <c r="BA104" s="18">
        <v>1287.2092162658219</v>
      </c>
      <c r="BB104" s="18">
        <v>1257.2445092164855</v>
      </c>
      <c r="BC104" s="23">
        <v>8.9181565948742242E-2</v>
      </c>
      <c r="BD104" s="23">
        <v>0.10665277883445198</v>
      </c>
      <c r="BE104" s="23">
        <v>9.438849084854764E-2</v>
      </c>
      <c r="BF104" s="23">
        <v>7.149564986855049E-2</v>
      </c>
      <c r="BG104" s="23">
        <v>0.10368571810536763</v>
      </c>
      <c r="BH104" s="23">
        <v>8.4970330952544637E-2</v>
      </c>
      <c r="BI104" s="23">
        <v>8.4593878877262704E-2</v>
      </c>
      <c r="BJ104" s="23">
        <v>5.7447105462779965E-2</v>
      </c>
      <c r="BK104" s="23">
        <v>8.5153852345557474E-2</v>
      </c>
      <c r="BL104" s="23">
        <v>7.4158058913035174E-2</v>
      </c>
      <c r="BM104" s="23">
        <v>7.5718189192107169E-2</v>
      </c>
      <c r="BN104" s="23">
        <v>7.3955559365675619E-2</v>
      </c>
    </row>
    <row r="105" spans="1:66" x14ac:dyDescent="0.25">
      <c r="A105" s="16">
        <v>23606</v>
      </c>
      <c r="B105" s="16" t="s">
        <v>301</v>
      </c>
      <c r="C105" s="17">
        <v>0</v>
      </c>
      <c r="D105" s="17">
        <f t="shared" si="45"/>
        <v>0</v>
      </c>
      <c r="E105" s="17">
        <f t="shared" si="46"/>
        <v>0</v>
      </c>
      <c r="F105" s="17">
        <f t="shared" si="47"/>
        <v>0</v>
      </c>
      <c r="G105" s="17">
        <f t="shared" si="48"/>
        <v>0</v>
      </c>
      <c r="H105" s="17">
        <f t="shared" si="49"/>
        <v>0</v>
      </c>
      <c r="I105" s="17">
        <f t="shared" si="50"/>
        <v>0</v>
      </c>
      <c r="J105" s="17">
        <f t="shared" si="51"/>
        <v>0</v>
      </c>
      <c r="K105" s="17">
        <f t="shared" si="52"/>
        <v>0</v>
      </c>
      <c r="L105" s="17">
        <f t="shared" si="53"/>
        <v>0</v>
      </c>
      <c r="M105" s="17">
        <f t="shared" si="54"/>
        <v>0</v>
      </c>
      <c r="N105" s="17">
        <f t="shared" si="55"/>
        <v>0</v>
      </c>
      <c r="O105" s="17">
        <f t="shared" si="56"/>
        <v>0</v>
      </c>
      <c r="P105" s="17">
        <v>50000</v>
      </c>
      <c r="Q105" s="17">
        <f t="shared" si="57"/>
        <v>4459.0782974371123</v>
      </c>
      <c r="R105" s="17">
        <f t="shared" si="58"/>
        <v>5332.6389417225992</v>
      </c>
      <c r="S105" s="17">
        <f t="shared" si="59"/>
        <v>4719.4245424273822</v>
      </c>
      <c r="T105" s="17">
        <f t="shared" si="60"/>
        <v>3574.7824934275245</v>
      </c>
      <c r="U105" s="17">
        <f t="shared" si="61"/>
        <v>5184.2859052683816</v>
      </c>
      <c r="V105" s="17">
        <f t="shared" si="62"/>
        <v>4248.5165476272323</v>
      </c>
      <c r="W105" s="17">
        <f t="shared" si="63"/>
        <v>4229.6939438631352</v>
      </c>
      <c r="X105" s="17">
        <f t="shared" si="64"/>
        <v>2872.3552731389982</v>
      </c>
      <c r="Y105" s="17">
        <f t="shared" si="65"/>
        <v>4257.692617277874</v>
      </c>
      <c r="Z105" s="17">
        <f t="shared" si="66"/>
        <v>3707.9029456517587</v>
      </c>
      <c r="AA105" s="17">
        <f t="shared" si="67"/>
        <v>3785.9094596053583</v>
      </c>
      <c r="AB105" s="17">
        <f t="shared" si="68"/>
        <v>3697.7779682837809</v>
      </c>
      <c r="AC105" s="17">
        <v>200</v>
      </c>
      <c r="AD105" s="17">
        <f t="shared" si="69"/>
        <v>17.836313189748449</v>
      </c>
      <c r="AE105" s="17">
        <f t="shared" si="70"/>
        <v>21.330555766890395</v>
      </c>
      <c r="AF105" s="17">
        <f t="shared" si="71"/>
        <v>18.877698169709529</v>
      </c>
      <c r="AG105" s="17">
        <f t="shared" si="72"/>
        <v>14.299129973710098</v>
      </c>
      <c r="AH105" s="17">
        <f t="shared" si="73"/>
        <v>20.737143621073525</v>
      </c>
      <c r="AI105" s="17">
        <f t="shared" si="74"/>
        <v>16.994066190508928</v>
      </c>
      <c r="AJ105" s="17">
        <f t="shared" si="75"/>
        <v>16.918775775452541</v>
      </c>
      <c r="AK105" s="17">
        <f t="shared" si="76"/>
        <v>11.489421092555993</v>
      </c>
      <c r="AL105" s="17">
        <f t="shared" si="77"/>
        <v>17.030770469111495</v>
      </c>
      <c r="AM105" s="17">
        <f t="shared" si="78"/>
        <v>14.831611782607034</v>
      </c>
      <c r="AN105" s="17">
        <f t="shared" si="79"/>
        <v>15.143637838421434</v>
      </c>
      <c r="AO105" s="17">
        <f t="shared" si="80"/>
        <v>14.791111873135124</v>
      </c>
      <c r="AP105" s="17">
        <f t="shared" si="81"/>
        <v>50200</v>
      </c>
      <c r="AQ105" s="18">
        <v>1516.0866211286182</v>
      </c>
      <c r="AR105" s="18">
        <v>1813.0972401856836</v>
      </c>
      <c r="AS105" s="18">
        <v>1604.6043444253098</v>
      </c>
      <c r="AT105" s="18">
        <v>1215.4260477653584</v>
      </c>
      <c r="AU105" s="18">
        <v>1762.6572077912497</v>
      </c>
      <c r="AV105" s="18">
        <v>1444.4956261932589</v>
      </c>
      <c r="AW105" s="18">
        <v>1438.0959409134659</v>
      </c>
      <c r="AX105" s="18">
        <v>976.60079286725943</v>
      </c>
      <c r="AY105" s="18">
        <v>1447.6154898744771</v>
      </c>
      <c r="AZ105" s="18">
        <v>1260.6870015215979</v>
      </c>
      <c r="BA105" s="18">
        <v>1287.2092162658219</v>
      </c>
      <c r="BB105" s="18">
        <v>1257.2445092164855</v>
      </c>
      <c r="BC105" s="23">
        <v>8.9181565948742242E-2</v>
      </c>
      <c r="BD105" s="23">
        <v>0.10665277883445198</v>
      </c>
      <c r="BE105" s="23">
        <v>9.438849084854764E-2</v>
      </c>
      <c r="BF105" s="23">
        <v>7.149564986855049E-2</v>
      </c>
      <c r="BG105" s="23">
        <v>0.10368571810536763</v>
      </c>
      <c r="BH105" s="23">
        <v>8.4970330952544637E-2</v>
      </c>
      <c r="BI105" s="23">
        <v>8.4593878877262704E-2</v>
      </c>
      <c r="BJ105" s="23">
        <v>5.7447105462779965E-2</v>
      </c>
      <c r="BK105" s="23">
        <v>8.5153852345557474E-2</v>
      </c>
      <c r="BL105" s="23">
        <v>7.4158058913035174E-2</v>
      </c>
      <c r="BM105" s="23">
        <v>7.5718189192107169E-2</v>
      </c>
      <c r="BN105" s="23">
        <v>7.3955559365675619E-2</v>
      </c>
    </row>
    <row r="106" spans="1:66" x14ac:dyDescent="0.25">
      <c r="A106" s="16">
        <v>1161</v>
      </c>
      <c r="B106" s="16" t="s">
        <v>302</v>
      </c>
      <c r="C106" s="17">
        <v>0</v>
      </c>
      <c r="D106" s="17">
        <f t="shared" si="45"/>
        <v>0</v>
      </c>
      <c r="E106" s="17">
        <f t="shared" si="46"/>
        <v>0</v>
      </c>
      <c r="F106" s="17">
        <f t="shared" si="47"/>
        <v>0</v>
      </c>
      <c r="G106" s="17">
        <f t="shared" si="48"/>
        <v>0</v>
      </c>
      <c r="H106" s="17">
        <f t="shared" si="49"/>
        <v>0</v>
      </c>
      <c r="I106" s="17">
        <f t="shared" si="50"/>
        <v>0</v>
      </c>
      <c r="J106" s="17">
        <f t="shared" si="51"/>
        <v>0</v>
      </c>
      <c r="K106" s="17">
        <f t="shared" si="52"/>
        <v>0</v>
      </c>
      <c r="L106" s="17">
        <f t="shared" si="53"/>
        <v>0</v>
      </c>
      <c r="M106" s="17">
        <f t="shared" si="54"/>
        <v>0</v>
      </c>
      <c r="N106" s="17">
        <f t="shared" si="55"/>
        <v>0</v>
      </c>
      <c r="O106" s="17">
        <f t="shared" si="56"/>
        <v>0</v>
      </c>
      <c r="P106" s="17">
        <v>6000</v>
      </c>
      <c r="Q106" s="17">
        <f t="shared" si="57"/>
        <v>535.08939569245342</v>
      </c>
      <c r="R106" s="17">
        <f t="shared" si="58"/>
        <v>639.9166730067119</v>
      </c>
      <c r="S106" s="17">
        <f t="shared" si="59"/>
        <v>566.3309450912858</v>
      </c>
      <c r="T106" s="17">
        <f t="shared" si="60"/>
        <v>428.97389921130292</v>
      </c>
      <c r="U106" s="17">
        <f t="shared" si="61"/>
        <v>622.11430863220573</v>
      </c>
      <c r="V106" s="17">
        <f t="shared" si="62"/>
        <v>509.82198571526783</v>
      </c>
      <c r="W106" s="17">
        <f t="shared" si="63"/>
        <v>507.56327326357621</v>
      </c>
      <c r="X106" s="17">
        <f t="shared" si="64"/>
        <v>344.68263277667978</v>
      </c>
      <c r="Y106" s="17">
        <f t="shared" si="65"/>
        <v>510.92311407334483</v>
      </c>
      <c r="Z106" s="17">
        <f t="shared" si="66"/>
        <v>444.94835347821106</v>
      </c>
      <c r="AA106" s="17">
        <f t="shared" si="67"/>
        <v>454.30913515264302</v>
      </c>
      <c r="AB106" s="17">
        <f t="shared" si="68"/>
        <v>443.73335619405373</v>
      </c>
      <c r="AC106" s="17">
        <v>0</v>
      </c>
      <c r="AD106" s="17">
        <f t="shared" si="69"/>
        <v>0</v>
      </c>
      <c r="AE106" s="17">
        <f t="shared" si="70"/>
        <v>0</v>
      </c>
      <c r="AF106" s="17">
        <f t="shared" si="71"/>
        <v>0</v>
      </c>
      <c r="AG106" s="17">
        <f t="shared" si="72"/>
        <v>0</v>
      </c>
      <c r="AH106" s="17">
        <f t="shared" si="73"/>
        <v>0</v>
      </c>
      <c r="AI106" s="17">
        <f t="shared" si="74"/>
        <v>0</v>
      </c>
      <c r="AJ106" s="17">
        <f t="shared" si="75"/>
        <v>0</v>
      </c>
      <c r="AK106" s="17">
        <f t="shared" si="76"/>
        <v>0</v>
      </c>
      <c r="AL106" s="17">
        <f t="shared" si="77"/>
        <v>0</v>
      </c>
      <c r="AM106" s="17">
        <f t="shared" si="78"/>
        <v>0</v>
      </c>
      <c r="AN106" s="17">
        <f t="shared" si="79"/>
        <v>0</v>
      </c>
      <c r="AO106" s="17">
        <f t="shared" si="80"/>
        <v>0</v>
      </c>
      <c r="AP106" s="17">
        <f t="shared" si="81"/>
        <v>6000</v>
      </c>
      <c r="AQ106" s="18">
        <v>2336.5570278570467</v>
      </c>
      <c r="AR106" s="18">
        <v>2794.302805462642</v>
      </c>
      <c r="AS106" s="18">
        <v>2472.9784602319482</v>
      </c>
      <c r="AT106" s="18">
        <v>1873.1860265560229</v>
      </c>
      <c r="AU106" s="18">
        <v>2716.565814360632</v>
      </c>
      <c r="AV106" s="18">
        <v>2226.2226709566694</v>
      </c>
      <c r="AW106" s="18">
        <v>2216.359626584283</v>
      </c>
      <c r="AX106" s="18">
        <v>1505.1141631248352</v>
      </c>
      <c r="AY106" s="18">
        <v>2231.0309314536057</v>
      </c>
      <c r="AZ106" s="18">
        <v>1942.9411435215216</v>
      </c>
      <c r="BA106" s="18">
        <v>1983.8165568332079</v>
      </c>
      <c r="BB106" s="18">
        <v>1937.6356553807011</v>
      </c>
      <c r="BC106" s="23">
        <v>8.9181565948742242E-2</v>
      </c>
      <c r="BD106" s="23">
        <v>0.10665277883445198</v>
      </c>
      <c r="BE106" s="23">
        <v>9.438849084854764E-2</v>
      </c>
      <c r="BF106" s="23">
        <v>7.149564986855049E-2</v>
      </c>
      <c r="BG106" s="23">
        <v>0.10368571810536763</v>
      </c>
      <c r="BH106" s="23">
        <v>8.4970330952544637E-2</v>
      </c>
      <c r="BI106" s="23">
        <v>8.4593878877262704E-2</v>
      </c>
      <c r="BJ106" s="23">
        <v>5.7447105462779965E-2</v>
      </c>
      <c r="BK106" s="23">
        <v>8.5153852345557474E-2</v>
      </c>
      <c r="BL106" s="23">
        <v>7.4158058913035174E-2</v>
      </c>
      <c r="BM106" s="23">
        <v>7.5718189192107169E-2</v>
      </c>
      <c r="BN106" s="23">
        <v>7.3955559365675619E-2</v>
      </c>
    </row>
    <row r="107" spans="1:66" x14ac:dyDescent="0.25">
      <c r="A107" s="16">
        <v>2179</v>
      </c>
      <c r="B107" s="16" t="s">
        <v>303</v>
      </c>
      <c r="C107" s="17">
        <v>400</v>
      </c>
      <c r="D107" s="17">
        <f t="shared" si="45"/>
        <v>35.672626379496897</v>
      </c>
      <c r="E107" s="17">
        <f t="shared" si="46"/>
        <v>42.66111153378079</v>
      </c>
      <c r="F107" s="17">
        <f t="shared" si="47"/>
        <v>37.755396339419057</v>
      </c>
      <c r="G107" s="17">
        <f t="shared" si="48"/>
        <v>28.598259947420196</v>
      </c>
      <c r="H107" s="17">
        <f t="shared" si="49"/>
        <v>41.474287242147049</v>
      </c>
      <c r="I107" s="17">
        <f t="shared" si="50"/>
        <v>33.988132381017856</v>
      </c>
      <c r="J107" s="17">
        <f t="shared" si="51"/>
        <v>33.837551550905083</v>
      </c>
      <c r="K107" s="17">
        <f t="shared" si="52"/>
        <v>22.978842185111986</v>
      </c>
      <c r="L107" s="17">
        <f t="shared" si="53"/>
        <v>34.06154093822299</v>
      </c>
      <c r="M107" s="17">
        <f t="shared" si="54"/>
        <v>29.663223565214068</v>
      </c>
      <c r="N107" s="17">
        <f t="shared" si="55"/>
        <v>30.287275676842867</v>
      </c>
      <c r="O107" s="17">
        <f t="shared" si="56"/>
        <v>29.582223746270248</v>
      </c>
      <c r="P107" s="17">
        <v>0</v>
      </c>
      <c r="Q107" s="17">
        <f t="shared" si="57"/>
        <v>0</v>
      </c>
      <c r="R107" s="17">
        <f t="shared" si="58"/>
        <v>0</v>
      </c>
      <c r="S107" s="17">
        <f t="shared" si="59"/>
        <v>0</v>
      </c>
      <c r="T107" s="17">
        <f t="shared" si="60"/>
        <v>0</v>
      </c>
      <c r="U107" s="17">
        <f t="shared" si="61"/>
        <v>0</v>
      </c>
      <c r="V107" s="17">
        <f t="shared" si="62"/>
        <v>0</v>
      </c>
      <c r="W107" s="17">
        <f t="shared" si="63"/>
        <v>0</v>
      </c>
      <c r="X107" s="17">
        <f t="shared" si="64"/>
        <v>0</v>
      </c>
      <c r="Y107" s="17">
        <f t="shared" si="65"/>
        <v>0</v>
      </c>
      <c r="Z107" s="17">
        <f t="shared" si="66"/>
        <v>0</v>
      </c>
      <c r="AA107" s="17">
        <f t="shared" si="67"/>
        <v>0</v>
      </c>
      <c r="AB107" s="17">
        <f t="shared" si="68"/>
        <v>0</v>
      </c>
      <c r="AC107" s="17">
        <v>0</v>
      </c>
      <c r="AD107" s="17">
        <f t="shared" si="69"/>
        <v>0</v>
      </c>
      <c r="AE107" s="17">
        <f t="shared" si="70"/>
        <v>0</v>
      </c>
      <c r="AF107" s="17">
        <f t="shared" si="71"/>
        <v>0</v>
      </c>
      <c r="AG107" s="17">
        <f t="shared" si="72"/>
        <v>0</v>
      </c>
      <c r="AH107" s="17">
        <f t="shared" si="73"/>
        <v>0</v>
      </c>
      <c r="AI107" s="17">
        <f t="shared" si="74"/>
        <v>0</v>
      </c>
      <c r="AJ107" s="17">
        <f t="shared" si="75"/>
        <v>0</v>
      </c>
      <c r="AK107" s="17">
        <f t="shared" si="76"/>
        <v>0</v>
      </c>
      <c r="AL107" s="17">
        <f t="shared" si="77"/>
        <v>0</v>
      </c>
      <c r="AM107" s="17">
        <f t="shared" si="78"/>
        <v>0</v>
      </c>
      <c r="AN107" s="17">
        <f t="shared" si="79"/>
        <v>0</v>
      </c>
      <c r="AO107" s="17">
        <f t="shared" si="80"/>
        <v>0</v>
      </c>
      <c r="AP107" s="17">
        <f t="shared" si="81"/>
        <v>400</v>
      </c>
      <c r="AQ107" s="18">
        <v>2229.5391487185561</v>
      </c>
      <c r="AR107" s="18">
        <v>2666.3194708612996</v>
      </c>
      <c r="AS107" s="18">
        <v>2359.7122712136911</v>
      </c>
      <c r="AT107" s="18">
        <v>1787.3912467137623</v>
      </c>
      <c r="AU107" s="18">
        <v>2592.1429526341908</v>
      </c>
      <c r="AV107" s="18">
        <v>2124.2582738136161</v>
      </c>
      <c r="AW107" s="18">
        <v>2114.8469719315676</v>
      </c>
      <c r="AX107" s="18">
        <v>1436.1776365694991</v>
      </c>
      <c r="AY107" s="18">
        <v>2128.846308638937</v>
      </c>
      <c r="AZ107" s="18">
        <v>1853.9514728258794</v>
      </c>
      <c r="BA107" s="18">
        <v>1892.9547298026791</v>
      </c>
      <c r="BB107" s="18">
        <v>1848.8889841418904</v>
      </c>
      <c r="BC107" s="23">
        <v>8.9181565948742242E-2</v>
      </c>
      <c r="BD107" s="23">
        <v>0.10665277883445198</v>
      </c>
      <c r="BE107" s="23">
        <v>9.438849084854764E-2</v>
      </c>
      <c r="BF107" s="23">
        <v>7.149564986855049E-2</v>
      </c>
      <c r="BG107" s="23">
        <v>0.10368571810536763</v>
      </c>
      <c r="BH107" s="23">
        <v>8.4970330952544637E-2</v>
      </c>
      <c r="BI107" s="23">
        <v>8.4593878877262704E-2</v>
      </c>
      <c r="BJ107" s="23">
        <v>5.7447105462779965E-2</v>
      </c>
      <c r="BK107" s="23">
        <v>8.5153852345557474E-2</v>
      </c>
      <c r="BL107" s="23">
        <v>7.4158058913035174E-2</v>
      </c>
      <c r="BM107" s="23">
        <v>7.5718189192107169E-2</v>
      </c>
      <c r="BN107" s="23">
        <v>7.3955559365675619E-2</v>
      </c>
    </row>
    <row r="108" spans="1:66" x14ac:dyDescent="0.25">
      <c r="A108" s="16">
        <v>2639</v>
      </c>
      <c r="B108" s="16" t="s">
        <v>304</v>
      </c>
      <c r="C108" s="17">
        <v>15000</v>
      </c>
      <c r="D108" s="17">
        <f t="shared" si="45"/>
        <v>1337.7234892311337</v>
      </c>
      <c r="E108" s="17">
        <f t="shared" si="46"/>
        <v>1599.7916825167797</v>
      </c>
      <c r="F108" s="17">
        <f t="shared" si="47"/>
        <v>1415.8273627282147</v>
      </c>
      <c r="G108" s="17">
        <f t="shared" si="48"/>
        <v>1072.4347480282574</v>
      </c>
      <c r="H108" s="17">
        <f t="shared" si="49"/>
        <v>1555.2857715805144</v>
      </c>
      <c r="I108" s="17">
        <f t="shared" si="50"/>
        <v>1274.5549642881695</v>
      </c>
      <c r="J108" s="17">
        <f t="shared" si="51"/>
        <v>1268.9081831589406</v>
      </c>
      <c r="K108" s="17">
        <f t="shared" si="52"/>
        <v>861.70658194169948</v>
      </c>
      <c r="L108" s="17">
        <f t="shared" si="53"/>
        <v>1277.3077851833621</v>
      </c>
      <c r="M108" s="17">
        <f t="shared" si="54"/>
        <v>1112.3708836955277</v>
      </c>
      <c r="N108" s="17">
        <f t="shared" si="55"/>
        <v>1135.7728378816075</v>
      </c>
      <c r="O108" s="17">
        <f t="shared" si="56"/>
        <v>1109.3333904851343</v>
      </c>
      <c r="P108" s="17">
        <v>10000</v>
      </c>
      <c r="Q108" s="17">
        <f t="shared" si="57"/>
        <v>891.81565948742241</v>
      </c>
      <c r="R108" s="17">
        <f t="shared" si="58"/>
        <v>1066.5277883445199</v>
      </c>
      <c r="S108" s="17">
        <f t="shared" si="59"/>
        <v>943.88490848547644</v>
      </c>
      <c r="T108" s="17">
        <f t="shared" si="60"/>
        <v>714.95649868550493</v>
      </c>
      <c r="U108" s="17">
        <f t="shared" si="61"/>
        <v>1036.8571810536762</v>
      </c>
      <c r="V108" s="17">
        <f t="shared" si="62"/>
        <v>849.70330952544634</v>
      </c>
      <c r="W108" s="17">
        <f t="shared" si="63"/>
        <v>845.93878877262705</v>
      </c>
      <c r="X108" s="17">
        <f t="shared" si="64"/>
        <v>574.47105462779962</v>
      </c>
      <c r="Y108" s="17">
        <f t="shared" si="65"/>
        <v>851.5385234555747</v>
      </c>
      <c r="Z108" s="17">
        <f t="shared" si="66"/>
        <v>741.58058913035177</v>
      </c>
      <c r="AA108" s="17">
        <f t="shared" si="67"/>
        <v>757.18189192107172</v>
      </c>
      <c r="AB108" s="17">
        <f t="shared" si="68"/>
        <v>739.55559365675617</v>
      </c>
      <c r="AC108" s="17">
        <v>0</v>
      </c>
      <c r="AD108" s="17">
        <f t="shared" si="69"/>
        <v>0</v>
      </c>
      <c r="AE108" s="17">
        <f t="shared" si="70"/>
        <v>0</v>
      </c>
      <c r="AF108" s="17">
        <f t="shared" si="71"/>
        <v>0</v>
      </c>
      <c r="AG108" s="17">
        <f t="shared" si="72"/>
        <v>0</v>
      </c>
      <c r="AH108" s="17">
        <f t="shared" si="73"/>
        <v>0</v>
      </c>
      <c r="AI108" s="17">
        <f t="shared" si="74"/>
        <v>0</v>
      </c>
      <c r="AJ108" s="17">
        <f t="shared" si="75"/>
        <v>0</v>
      </c>
      <c r="AK108" s="17">
        <f t="shared" si="76"/>
        <v>0</v>
      </c>
      <c r="AL108" s="17">
        <f t="shared" si="77"/>
        <v>0</v>
      </c>
      <c r="AM108" s="17">
        <f t="shared" si="78"/>
        <v>0</v>
      </c>
      <c r="AN108" s="17">
        <f t="shared" si="79"/>
        <v>0</v>
      </c>
      <c r="AO108" s="17">
        <f t="shared" si="80"/>
        <v>0</v>
      </c>
      <c r="AP108" s="17">
        <f t="shared" si="81"/>
        <v>25000</v>
      </c>
      <c r="AQ108" s="18">
        <v>1496.0172907090791</v>
      </c>
      <c r="AR108" s="18">
        <v>1789.0962054895574</v>
      </c>
      <c r="AS108" s="18">
        <v>1583.3632528332435</v>
      </c>
      <c r="AT108" s="18">
        <v>1199.3367382145896</v>
      </c>
      <c r="AU108" s="18">
        <v>1739.3238774745357</v>
      </c>
      <c r="AV108" s="18">
        <v>1425.373987886029</v>
      </c>
      <c r="AW108" s="18">
        <v>1419.0590190048056</v>
      </c>
      <c r="AX108" s="18">
        <v>963.67295370102079</v>
      </c>
      <c r="AY108" s="18">
        <v>1428.4525520964851</v>
      </c>
      <c r="AZ108" s="18">
        <v>1243.9985461018673</v>
      </c>
      <c r="BA108" s="18">
        <v>1270.1696706882192</v>
      </c>
      <c r="BB108" s="18">
        <v>1240.6016240923932</v>
      </c>
      <c r="BC108" s="23">
        <v>8.9181565948742242E-2</v>
      </c>
      <c r="BD108" s="23">
        <v>0.10665277883445198</v>
      </c>
      <c r="BE108" s="23">
        <v>9.438849084854764E-2</v>
      </c>
      <c r="BF108" s="23">
        <v>7.149564986855049E-2</v>
      </c>
      <c r="BG108" s="23">
        <v>0.10368571810536763</v>
      </c>
      <c r="BH108" s="23">
        <v>8.4970330952544637E-2</v>
      </c>
      <c r="BI108" s="23">
        <v>8.4593878877262704E-2</v>
      </c>
      <c r="BJ108" s="23">
        <v>5.7447105462779965E-2</v>
      </c>
      <c r="BK108" s="23">
        <v>8.5153852345557474E-2</v>
      </c>
      <c r="BL108" s="23">
        <v>7.4158058913035174E-2</v>
      </c>
      <c r="BM108" s="23">
        <v>7.5718189192107169E-2</v>
      </c>
      <c r="BN108" s="23">
        <v>7.3955559365675619E-2</v>
      </c>
    </row>
    <row r="109" spans="1:66" x14ac:dyDescent="0.25">
      <c r="A109" s="16">
        <v>2777</v>
      </c>
      <c r="B109" s="16" t="s">
        <v>305</v>
      </c>
      <c r="C109" s="17">
        <v>149850</v>
      </c>
      <c r="D109" s="17">
        <f t="shared" si="45"/>
        <v>13363.857657419025</v>
      </c>
      <c r="E109" s="17">
        <f t="shared" si="46"/>
        <v>15981.91890834263</v>
      </c>
      <c r="F109" s="17">
        <f t="shared" si="47"/>
        <v>14144.115353654865</v>
      </c>
      <c r="G109" s="17">
        <f t="shared" si="48"/>
        <v>10713.623132802291</v>
      </c>
      <c r="H109" s="17">
        <f t="shared" si="49"/>
        <v>15537.304858089339</v>
      </c>
      <c r="I109" s="17">
        <f t="shared" si="50"/>
        <v>12732.804093238814</v>
      </c>
      <c r="J109" s="17">
        <f t="shared" si="51"/>
        <v>12676.392749757817</v>
      </c>
      <c r="K109" s="17">
        <f t="shared" si="52"/>
        <v>8608.4487535975786</v>
      </c>
      <c r="L109" s="17">
        <f t="shared" si="53"/>
        <v>12760.304773981787</v>
      </c>
      <c r="M109" s="17">
        <f t="shared" si="54"/>
        <v>11112.58512811832</v>
      </c>
      <c r="N109" s="17">
        <f t="shared" si="55"/>
        <v>11346.370650437259</v>
      </c>
      <c r="O109" s="17">
        <f t="shared" si="56"/>
        <v>11082.240570946491</v>
      </c>
      <c r="P109" s="17">
        <v>0</v>
      </c>
      <c r="Q109" s="17">
        <f t="shared" si="57"/>
        <v>0</v>
      </c>
      <c r="R109" s="17">
        <f t="shared" si="58"/>
        <v>0</v>
      </c>
      <c r="S109" s="17">
        <f t="shared" si="59"/>
        <v>0</v>
      </c>
      <c r="T109" s="17">
        <f t="shared" si="60"/>
        <v>0</v>
      </c>
      <c r="U109" s="17">
        <f t="shared" si="61"/>
        <v>0</v>
      </c>
      <c r="V109" s="17">
        <f t="shared" si="62"/>
        <v>0</v>
      </c>
      <c r="W109" s="17">
        <f t="shared" si="63"/>
        <v>0</v>
      </c>
      <c r="X109" s="17">
        <f t="shared" si="64"/>
        <v>0</v>
      </c>
      <c r="Y109" s="17">
        <f t="shared" si="65"/>
        <v>0</v>
      </c>
      <c r="Z109" s="17">
        <f t="shared" si="66"/>
        <v>0</v>
      </c>
      <c r="AA109" s="17">
        <f t="shared" si="67"/>
        <v>0</v>
      </c>
      <c r="AB109" s="17">
        <f t="shared" si="68"/>
        <v>0</v>
      </c>
      <c r="AC109" s="17">
        <v>0</v>
      </c>
      <c r="AD109" s="17">
        <f t="shared" si="69"/>
        <v>0</v>
      </c>
      <c r="AE109" s="17">
        <f t="shared" si="70"/>
        <v>0</v>
      </c>
      <c r="AF109" s="17">
        <f t="shared" si="71"/>
        <v>0</v>
      </c>
      <c r="AG109" s="17">
        <f t="shared" si="72"/>
        <v>0</v>
      </c>
      <c r="AH109" s="17">
        <f t="shared" si="73"/>
        <v>0</v>
      </c>
      <c r="AI109" s="17">
        <f t="shared" si="74"/>
        <v>0</v>
      </c>
      <c r="AJ109" s="17">
        <f t="shared" si="75"/>
        <v>0</v>
      </c>
      <c r="AK109" s="17">
        <f t="shared" si="76"/>
        <v>0</v>
      </c>
      <c r="AL109" s="17">
        <f t="shared" si="77"/>
        <v>0</v>
      </c>
      <c r="AM109" s="17">
        <f t="shared" si="78"/>
        <v>0</v>
      </c>
      <c r="AN109" s="17">
        <f t="shared" si="79"/>
        <v>0</v>
      </c>
      <c r="AO109" s="17">
        <f t="shared" si="80"/>
        <v>0</v>
      </c>
      <c r="AP109" s="17">
        <f t="shared" si="81"/>
        <v>149850</v>
      </c>
      <c r="AQ109" s="18">
        <v>1426.9050551798759</v>
      </c>
      <c r="AR109" s="18">
        <v>1706.4444613512317</v>
      </c>
      <c r="AS109" s="18">
        <v>1510.2158535767624</v>
      </c>
      <c r="AT109" s="18">
        <v>1143.9303978968078</v>
      </c>
      <c r="AU109" s="18">
        <v>1658.971489685882</v>
      </c>
      <c r="AV109" s="18">
        <v>1359.5252952407143</v>
      </c>
      <c r="AW109" s="18">
        <v>1353.5020620362034</v>
      </c>
      <c r="AX109" s="18">
        <v>919.15368740447946</v>
      </c>
      <c r="AY109" s="18">
        <v>1362.4616375289195</v>
      </c>
      <c r="AZ109" s="18">
        <v>1186.5289426085628</v>
      </c>
      <c r="BA109" s="18">
        <v>1211.4910270737148</v>
      </c>
      <c r="BB109" s="18">
        <v>1183.28894985081</v>
      </c>
      <c r="BC109" s="23">
        <v>8.9181565948742242E-2</v>
      </c>
      <c r="BD109" s="23">
        <v>0.10665277883445198</v>
      </c>
      <c r="BE109" s="23">
        <v>9.438849084854764E-2</v>
      </c>
      <c r="BF109" s="23">
        <v>7.149564986855049E-2</v>
      </c>
      <c r="BG109" s="23">
        <v>0.10368571810536763</v>
      </c>
      <c r="BH109" s="23">
        <v>8.4970330952544637E-2</v>
      </c>
      <c r="BI109" s="23">
        <v>8.4593878877262704E-2</v>
      </c>
      <c r="BJ109" s="23">
        <v>5.7447105462779965E-2</v>
      </c>
      <c r="BK109" s="23">
        <v>8.5153852345557474E-2</v>
      </c>
      <c r="BL109" s="23">
        <v>7.4158058913035174E-2</v>
      </c>
      <c r="BM109" s="23">
        <v>7.5718189192107169E-2</v>
      </c>
      <c r="BN109" s="23">
        <v>7.3955559365675619E-2</v>
      </c>
    </row>
    <row r="110" spans="1:66" x14ac:dyDescent="0.25">
      <c r="A110" s="16">
        <v>3810</v>
      </c>
      <c r="B110" s="16" t="s">
        <v>306</v>
      </c>
      <c r="C110" s="17">
        <v>10000</v>
      </c>
      <c r="D110" s="17">
        <f t="shared" si="45"/>
        <v>891.81565948742241</v>
      </c>
      <c r="E110" s="17">
        <f t="shared" si="46"/>
        <v>1066.5277883445199</v>
      </c>
      <c r="F110" s="17">
        <f t="shared" si="47"/>
        <v>943.88490848547644</v>
      </c>
      <c r="G110" s="17">
        <f t="shared" si="48"/>
        <v>714.95649868550493</v>
      </c>
      <c r="H110" s="17">
        <f t="shared" si="49"/>
        <v>1036.8571810536762</v>
      </c>
      <c r="I110" s="17">
        <f t="shared" si="50"/>
        <v>849.70330952544634</v>
      </c>
      <c r="J110" s="17">
        <f t="shared" si="51"/>
        <v>845.93878877262705</v>
      </c>
      <c r="K110" s="17">
        <f t="shared" si="52"/>
        <v>574.47105462779962</v>
      </c>
      <c r="L110" s="17">
        <f t="shared" si="53"/>
        <v>851.5385234555747</v>
      </c>
      <c r="M110" s="17">
        <f t="shared" si="54"/>
        <v>741.58058913035177</v>
      </c>
      <c r="N110" s="17">
        <f t="shared" si="55"/>
        <v>757.18189192107172</v>
      </c>
      <c r="O110" s="17">
        <f t="shared" si="56"/>
        <v>739.55559365675617</v>
      </c>
      <c r="P110" s="17">
        <v>14000</v>
      </c>
      <c r="Q110" s="17">
        <f t="shared" si="57"/>
        <v>1248.5419232823913</v>
      </c>
      <c r="R110" s="17">
        <f t="shared" si="58"/>
        <v>1493.1389036823277</v>
      </c>
      <c r="S110" s="17">
        <f t="shared" si="59"/>
        <v>1321.438871879667</v>
      </c>
      <c r="T110" s="17">
        <f t="shared" si="60"/>
        <v>1000.9390981597069</v>
      </c>
      <c r="U110" s="17">
        <f t="shared" si="61"/>
        <v>1451.6000534751468</v>
      </c>
      <c r="V110" s="17">
        <f t="shared" si="62"/>
        <v>1189.5846333356249</v>
      </c>
      <c r="W110" s="17">
        <f t="shared" si="63"/>
        <v>1184.3143042816778</v>
      </c>
      <c r="X110" s="17">
        <f t="shared" si="64"/>
        <v>804.25947647891951</v>
      </c>
      <c r="Y110" s="17">
        <f t="shared" si="65"/>
        <v>1192.1539328378046</v>
      </c>
      <c r="Z110" s="17">
        <f t="shared" si="66"/>
        <v>1038.2128247824924</v>
      </c>
      <c r="AA110" s="17">
        <f t="shared" si="67"/>
        <v>1060.0546486895003</v>
      </c>
      <c r="AB110" s="17">
        <f t="shared" si="68"/>
        <v>1035.3778311194587</v>
      </c>
      <c r="AC110" s="17">
        <v>1000</v>
      </c>
      <c r="AD110" s="17">
        <f t="shared" si="69"/>
        <v>89.181565948742247</v>
      </c>
      <c r="AE110" s="17">
        <f t="shared" si="70"/>
        <v>106.65277883445198</v>
      </c>
      <c r="AF110" s="17">
        <f t="shared" si="71"/>
        <v>94.388490848547647</v>
      </c>
      <c r="AG110" s="17">
        <f t="shared" si="72"/>
        <v>71.495649868550487</v>
      </c>
      <c r="AH110" s="17">
        <f t="shared" si="73"/>
        <v>103.68571810536763</v>
      </c>
      <c r="AI110" s="17">
        <f t="shared" si="74"/>
        <v>84.970330952544643</v>
      </c>
      <c r="AJ110" s="17">
        <f t="shared" si="75"/>
        <v>84.593878877262711</v>
      </c>
      <c r="AK110" s="17">
        <f t="shared" si="76"/>
        <v>57.447105462779966</v>
      </c>
      <c r="AL110" s="17">
        <f t="shared" si="77"/>
        <v>85.153852345557468</v>
      </c>
      <c r="AM110" s="17">
        <f t="shared" si="78"/>
        <v>74.158058913035177</v>
      </c>
      <c r="AN110" s="17">
        <f t="shared" si="79"/>
        <v>75.718189192107175</v>
      </c>
      <c r="AO110" s="17">
        <f t="shared" si="80"/>
        <v>73.955559365675626</v>
      </c>
      <c r="AP110" s="17">
        <f t="shared" si="81"/>
        <v>25000</v>
      </c>
      <c r="AQ110" s="18">
        <v>1426.9050551798759</v>
      </c>
      <c r="AR110" s="18">
        <v>1706.4444613512317</v>
      </c>
      <c r="AS110" s="18">
        <v>1510.2158535767624</v>
      </c>
      <c r="AT110" s="18">
        <v>1143.9303978968078</v>
      </c>
      <c r="AU110" s="18">
        <v>1658.971489685882</v>
      </c>
      <c r="AV110" s="18">
        <v>1359.5252952407143</v>
      </c>
      <c r="AW110" s="18">
        <v>1353.5020620362034</v>
      </c>
      <c r="AX110" s="18">
        <v>919.15368740447946</v>
      </c>
      <c r="AY110" s="18">
        <v>1362.4616375289195</v>
      </c>
      <c r="AZ110" s="18">
        <v>1186.5289426085628</v>
      </c>
      <c r="BA110" s="18">
        <v>1211.4910270737148</v>
      </c>
      <c r="BB110" s="18">
        <v>1183.28894985081</v>
      </c>
      <c r="BC110" s="23">
        <v>8.9181565948742242E-2</v>
      </c>
      <c r="BD110" s="23">
        <v>0.10665277883445198</v>
      </c>
      <c r="BE110" s="23">
        <v>9.438849084854764E-2</v>
      </c>
      <c r="BF110" s="23">
        <v>7.149564986855049E-2</v>
      </c>
      <c r="BG110" s="23">
        <v>0.10368571810536763</v>
      </c>
      <c r="BH110" s="23">
        <v>8.4970330952544637E-2</v>
      </c>
      <c r="BI110" s="23">
        <v>8.4593878877262704E-2</v>
      </c>
      <c r="BJ110" s="23">
        <v>5.7447105462779965E-2</v>
      </c>
      <c r="BK110" s="23">
        <v>8.5153852345557474E-2</v>
      </c>
      <c r="BL110" s="23">
        <v>7.4158058913035174E-2</v>
      </c>
      <c r="BM110" s="23">
        <v>7.5718189192107169E-2</v>
      </c>
      <c r="BN110" s="23">
        <v>7.3955559365675619E-2</v>
      </c>
    </row>
    <row r="111" spans="1:66" x14ac:dyDescent="0.25">
      <c r="A111" s="16">
        <v>4408</v>
      </c>
      <c r="B111" s="16" t="s">
        <v>307</v>
      </c>
      <c r="C111" s="17">
        <v>15000</v>
      </c>
      <c r="D111" s="17">
        <f t="shared" si="45"/>
        <v>1337.7234892311337</v>
      </c>
      <c r="E111" s="17">
        <f t="shared" si="46"/>
        <v>1599.7916825167797</v>
      </c>
      <c r="F111" s="17">
        <f t="shared" si="47"/>
        <v>1415.8273627282147</v>
      </c>
      <c r="G111" s="17">
        <f t="shared" si="48"/>
        <v>1072.4347480282574</v>
      </c>
      <c r="H111" s="17">
        <f t="shared" si="49"/>
        <v>1555.2857715805144</v>
      </c>
      <c r="I111" s="17">
        <f t="shared" si="50"/>
        <v>1274.5549642881695</v>
      </c>
      <c r="J111" s="17">
        <f t="shared" si="51"/>
        <v>1268.9081831589406</v>
      </c>
      <c r="K111" s="17">
        <f t="shared" si="52"/>
        <v>861.70658194169948</v>
      </c>
      <c r="L111" s="17">
        <f t="shared" si="53"/>
        <v>1277.3077851833621</v>
      </c>
      <c r="M111" s="17">
        <f t="shared" si="54"/>
        <v>1112.3708836955277</v>
      </c>
      <c r="N111" s="17">
        <f t="shared" si="55"/>
        <v>1135.7728378816075</v>
      </c>
      <c r="O111" s="17">
        <f t="shared" si="56"/>
        <v>1109.3333904851343</v>
      </c>
      <c r="P111" s="17">
        <v>15000</v>
      </c>
      <c r="Q111" s="17">
        <f t="shared" si="57"/>
        <v>1337.7234892311337</v>
      </c>
      <c r="R111" s="17">
        <f t="shared" si="58"/>
        <v>1599.7916825167797</v>
      </c>
      <c r="S111" s="17">
        <f t="shared" si="59"/>
        <v>1415.8273627282147</v>
      </c>
      <c r="T111" s="17">
        <f t="shared" si="60"/>
        <v>1072.4347480282574</v>
      </c>
      <c r="U111" s="17">
        <f t="shared" si="61"/>
        <v>1555.2857715805144</v>
      </c>
      <c r="V111" s="17">
        <f t="shared" si="62"/>
        <v>1274.5549642881695</v>
      </c>
      <c r="W111" s="17">
        <f t="shared" si="63"/>
        <v>1268.9081831589406</v>
      </c>
      <c r="X111" s="17">
        <f t="shared" si="64"/>
        <v>861.70658194169948</v>
      </c>
      <c r="Y111" s="17">
        <f t="shared" si="65"/>
        <v>1277.3077851833621</v>
      </c>
      <c r="Z111" s="17">
        <f t="shared" si="66"/>
        <v>1112.3708836955277</v>
      </c>
      <c r="AA111" s="17">
        <f t="shared" si="67"/>
        <v>1135.7728378816075</v>
      </c>
      <c r="AB111" s="17">
        <f t="shared" si="68"/>
        <v>1109.3333904851343</v>
      </c>
      <c r="AC111" s="17">
        <v>0</v>
      </c>
      <c r="AD111" s="17">
        <f t="shared" si="69"/>
        <v>0</v>
      </c>
      <c r="AE111" s="17">
        <f t="shared" si="70"/>
        <v>0</v>
      </c>
      <c r="AF111" s="17">
        <f t="shared" si="71"/>
        <v>0</v>
      </c>
      <c r="AG111" s="17">
        <f t="shared" si="72"/>
        <v>0</v>
      </c>
      <c r="AH111" s="17">
        <f t="shared" si="73"/>
        <v>0</v>
      </c>
      <c r="AI111" s="17">
        <f t="shared" si="74"/>
        <v>0</v>
      </c>
      <c r="AJ111" s="17">
        <f t="shared" si="75"/>
        <v>0</v>
      </c>
      <c r="AK111" s="17">
        <f t="shared" si="76"/>
        <v>0</v>
      </c>
      <c r="AL111" s="17">
        <f t="shared" si="77"/>
        <v>0</v>
      </c>
      <c r="AM111" s="17">
        <f t="shared" si="78"/>
        <v>0</v>
      </c>
      <c r="AN111" s="17">
        <f t="shared" si="79"/>
        <v>0</v>
      </c>
      <c r="AO111" s="17">
        <f t="shared" si="80"/>
        <v>0</v>
      </c>
      <c r="AP111" s="17">
        <f t="shared" si="81"/>
        <v>30000</v>
      </c>
      <c r="AQ111" s="18">
        <v>1516.0866211286182</v>
      </c>
      <c r="AR111" s="18">
        <v>1813.0972401856836</v>
      </c>
      <c r="AS111" s="18">
        <v>1604.6043444253098</v>
      </c>
      <c r="AT111" s="18">
        <v>1215.4260477653584</v>
      </c>
      <c r="AU111" s="18">
        <v>1762.6572077912497</v>
      </c>
      <c r="AV111" s="18">
        <v>1444.4956261932589</v>
      </c>
      <c r="AW111" s="18">
        <v>1438.0959409134659</v>
      </c>
      <c r="AX111" s="18">
        <v>976.60079286725943</v>
      </c>
      <c r="AY111" s="18">
        <v>1447.6154898744771</v>
      </c>
      <c r="AZ111" s="18">
        <v>1260.6870015215979</v>
      </c>
      <c r="BA111" s="18">
        <v>1287.2092162658219</v>
      </c>
      <c r="BB111" s="18">
        <v>1257.2445092164855</v>
      </c>
      <c r="BC111" s="23">
        <v>8.9181565948742242E-2</v>
      </c>
      <c r="BD111" s="23">
        <v>0.10665277883445198</v>
      </c>
      <c r="BE111" s="23">
        <v>9.438849084854764E-2</v>
      </c>
      <c r="BF111" s="23">
        <v>7.149564986855049E-2</v>
      </c>
      <c r="BG111" s="23">
        <v>0.10368571810536763</v>
      </c>
      <c r="BH111" s="23">
        <v>8.4970330952544637E-2</v>
      </c>
      <c r="BI111" s="23">
        <v>8.4593878877262704E-2</v>
      </c>
      <c r="BJ111" s="23">
        <v>5.7447105462779965E-2</v>
      </c>
      <c r="BK111" s="23">
        <v>8.5153852345557474E-2</v>
      </c>
      <c r="BL111" s="23">
        <v>7.4158058913035174E-2</v>
      </c>
      <c r="BM111" s="23">
        <v>7.5718189192107169E-2</v>
      </c>
      <c r="BN111" s="23">
        <v>7.3955559365675619E-2</v>
      </c>
    </row>
    <row r="112" spans="1:66" x14ac:dyDescent="0.25">
      <c r="A112" s="16">
        <v>5544</v>
      </c>
      <c r="B112" s="16" t="s">
        <v>308</v>
      </c>
      <c r="C112" s="17">
        <v>0</v>
      </c>
      <c r="D112" s="17">
        <f t="shared" si="45"/>
        <v>0</v>
      </c>
      <c r="E112" s="17">
        <f t="shared" si="46"/>
        <v>0</v>
      </c>
      <c r="F112" s="17">
        <f t="shared" si="47"/>
        <v>0</v>
      </c>
      <c r="G112" s="17">
        <f t="shared" si="48"/>
        <v>0</v>
      </c>
      <c r="H112" s="17">
        <f t="shared" si="49"/>
        <v>0</v>
      </c>
      <c r="I112" s="17">
        <f t="shared" si="50"/>
        <v>0</v>
      </c>
      <c r="J112" s="17">
        <f t="shared" si="51"/>
        <v>0</v>
      </c>
      <c r="K112" s="17">
        <f t="shared" si="52"/>
        <v>0</v>
      </c>
      <c r="L112" s="17">
        <f t="shared" si="53"/>
        <v>0</v>
      </c>
      <c r="M112" s="17">
        <f t="shared" si="54"/>
        <v>0</v>
      </c>
      <c r="N112" s="17">
        <f t="shared" si="55"/>
        <v>0</v>
      </c>
      <c r="O112" s="17">
        <f t="shared" si="56"/>
        <v>0</v>
      </c>
      <c r="P112" s="17">
        <v>0</v>
      </c>
      <c r="Q112" s="17">
        <f t="shared" si="57"/>
        <v>0</v>
      </c>
      <c r="R112" s="17">
        <f t="shared" si="58"/>
        <v>0</v>
      </c>
      <c r="S112" s="17">
        <f t="shared" si="59"/>
        <v>0</v>
      </c>
      <c r="T112" s="17">
        <f t="shared" si="60"/>
        <v>0</v>
      </c>
      <c r="U112" s="17">
        <f t="shared" si="61"/>
        <v>0</v>
      </c>
      <c r="V112" s="17">
        <f t="shared" si="62"/>
        <v>0</v>
      </c>
      <c r="W112" s="17">
        <f t="shared" si="63"/>
        <v>0</v>
      </c>
      <c r="X112" s="17">
        <f t="shared" si="64"/>
        <v>0</v>
      </c>
      <c r="Y112" s="17">
        <f t="shared" si="65"/>
        <v>0</v>
      </c>
      <c r="Z112" s="17">
        <f t="shared" si="66"/>
        <v>0</v>
      </c>
      <c r="AA112" s="17">
        <f t="shared" si="67"/>
        <v>0</v>
      </c>
      <c r="AB112" s="17">
        <f t="shared" si="68"/>
        <v>0</v>
      </c>
      <c r="AC112" s="17">
        <v>6000</v>
      </c>
      <c r="AD112" s="17">
        <f t="shared" si="69"/>
        <v>535.08939569245342</v>
      </c>
      <c r="AE112" s="17">
        <f t="shared" si="70"/>
        <v>639.9166730067119</v>
      </c>
      <c r="AF112" s="17">
        <f t="shared" si="71"/>
        <v>566.3309450912858</v>
      </c>
      <c r="AG112" s="17">
        <f t="shared" si="72"/>
        <v>428.97389921130292</v>
      </c>
      <c r="AH112" s="17">
        <f t="shared" si="73"/>
        <v>622.11430863220573</v>
      </c>
      <c r="AI112" s="17">
        <f t="shared" si="74"/>
        <v>509.82198571526783</v>
      </c>
      <c r="AJ112" s="17">
        <f t="shared" si="75"/>
        <v>507.56327326357621</v>
      </c>
      <c r="AK112" s="17">
        <f t="shared" si="76"/>
        <v>344.68263277667978</v>
      </c>
      <c r="AL112" s="17">
        <f t="shared" si="77"/>
        <v>510.92311407334483</v>
      </c>
      <c r="AM112" s="17">
        <f t="shared" si="78"/>
        <v>444.94835347821106</v>
      </c>
      <c r="AN112" s="17">
        <f t="shared" si="79"/>
        <v>454.30913515264302</v>
      </c>
      <c r="AO112" s="17">
        <f t="shared" si="80"/>
        <v>443.73335619405373</v>
      </c>
      <c r="AP112" s="17">
        <f t="shared" si="81"/>
        <v>6000</v>
      </c>
      <c r="AQ112" s="18">
        <v>1426.9050551798759</v>
      </c>
      <c r="AR112" s="18">
        <v>1706.4444613512317</v>
      </c>
      <c r="AS112" s="18">
        <v>1510.2158535767624</v>
      </c>
      <c r="AT112" s="18">
        <v>1143.9303978968078</v>
      </c>
      <c r="AU112" s="18">
        <v>1658.971489685882</v>
      </c>
      <c r="AV112" s="18">
        <v>1359.5252952407143</v>
      </c>
      <c r="AW112" s="18">
        <v>1353.5020620362034</v>
      </c>
      <c r="AX112" s="18">
        <v>919.15368740447946</v>
      </c>
      <c r="AY112" s="18">
        <v>1362.4616375289195</v>
      </c>
      <c r="AZ112" s="18">
        <v>1186.5289426085628</v>
      </c>
      <c r="BA112" s="18">
        <v>1211.4910270737148</v>
      </c>
      <c r="BB112" s="18">
        <v>1183.28894985081</v>
      </c>
      <c r="BC112" s="23">
        <v>8.9181565948742242E-2</v>
      </c>
      <c r="BD112" s="23">
        <v>0.10665277883445198</v>
      </c>
      <c r="BE112" s="23">
        <v>9.438849084854764E-2</v>
      </c>
      <c r="BF112" s="23">
        <v>7.149564986855049E-2</v>
      </c>
      <c r="BG112" s="23">
        <v>0.10368571810536763</v>
      </c>
      <c r="BH112" s="23">
        <v>8.4970330952544637E-2</v>
      </c>
      <c r="BI112" s="23">
        <v>8.4593878877262704E-2</v>
      </c>
      <c r="BJ112" s="23">
        <v>5.7447105462779965E-2</v>
      </c>
      <c r="BK112" s="23">
        <v>8.5153852345557474E-2</v>
      </c>
      <c r="BL112" s="23">
        <v>7.4158058913035174E-2</v>
      </c>
      <c r="BM112" s="23">
        <v>7.5718189192107169E-2</v>
      </c>
      <c r="BN112" s="23">
        <v>7.3955559365675619E-2</v>
      </c>
    </row>
    <row r="113" spans="1:66" x14ac:dyDescent="0.25">
      <c r="A113" s="16">
        <v>16088</v>
      </c>
      <c r="B113" s="16" t="s">
        <v>309</v>
      </c>
      <c r="C113" s="17">
        <v>0</v>
      </c>
      <c r="D113" s="17">
        <f t="shared" si="45"/>
        <v>0</v>
      </c>
      <c r="E113" s="17">
        <f t="shared" si="46"/>
        <v>0</v>
      </c>
      <c r="F113" s="17">
        <f t="shared" si="47"/>
        <v>0</v>
      </c>
      <c r="G113" s="17">
        <f t="shared" si="48"/>
        <v>0</v>
      </c>
      <c r="H113" s="17">
        <f t="shared" si="49"/>
        <v>0</v>
      </c>
      <c r="I113" s="17">
        <f t="shared" si="50"/>
        <v>0</v>
      </c>
      <c r="J113" s="17">
        <f t="shared" si="51"/>
        <v>0</v>
      </c>
      <c r="K113" s="17">
        <f t="shared" si="52"/>
        <v>0</v>
      </c>
      <c r="L113" s="17">
        <f t="shared" si="53"/>
        <v>0</v>
      </c>
      <c r="M113" s="17">
        <f t="shared" si="54"/>
        <v>0</v>
      </c>
      <c r="N113" s="17">
        <f t="shared" si="55"/>
        <v>0</v>
      </c>
      <c r="O113" s="17">
        <f t="shared" si="56"/>
        <v>0</v>
      </c>
      <c r="P113" s="17">
        <v>1000</v>
      </c>
      <c r="Q113" s="17">
        <f t="shared" si="57"/>
        <v>89.181565948742247</v>
      </c>
      <c r="R113" s="17">
        <f t="shared" si="58"/>
        <v>106.65277883445198</v>
      </c>
      <c r="S113" s="17">
        <f t="shared" si="59"/>
        <v>94.388490848547647</v>
      </c>
      <c r="T113" s="17">
        <f t="shared" si="60"/>
        <v>71.495649868550487</v>
      </c>
      <c r="U113" s="17">
        <f t="shared" si="61"/>
        <v>103.68571810536763</v>
      </c>
      <c r="V113" s="17">
        <f t="shared" si="62"/>
        <v>84.970330952544643</v>
      </c>
      <c r="W113" s="17">
        <f t="shared" si="63"/>
        <v>84.593878877262711</v>
      </c>
      <c r="X113" s="17">
        <f t="shared" si="64"/>
        <v>57.447105462779966</v>
      </c>
      <c r="Y113" s="17">
        <f t="shared" si="65"/>
        <v>85.153852345557468</v>
      </c>
      <c r="Z113" s="17">
        <f t="shared" si="66"/>
        <v>74.158058913035177</v>
      </c>
      <c r="AA113" s="17">
        <f t="shared" si="67"/>
        <v>75.718189192107175</v>
      </c>
      <c r="AB113" s="17">
        <f t="shared" si="68"/>
        <v>73.955559365675626</v>
      </c>
      <c r="AC113" s="17">
        <v>0</v>
      </c>
      <c r="AD113" s="17">
        <f t="shared" si="69"/>
        <v>0</v>
      </c>
      <c r="AE113" s="17">
        <f t="shared" si="70"/>
        <v>0</v>
      </c>
      <c r="AF113" s="17">
        <f t="shared" si="71"/>
        <v>0</v>
      </c>
      <c r="AG113" s="17">
        <f t="shared" si="72"/>
        <v>0</v>
      </c>
      <c r="AH113" s="17">
        <f t="shared" si="73"/>
        <v>0</v>
      </c>
      <c r="AI113" s="17">
        <f t="shared" si="74"/>
        <v>0</v>
      </c>
      <c r="AJ113" s="17">
        <f t="shared" si="75"/>
        <v>0</v>
      </c>
      <c r="AK113" s="17">
        <f t="shared" si="76"/>
        <v>0</v>
      </c>
      <c r="AL113" s="17">
        <f t="shared" si="77"/>
        <v>0</v>
      </c>
      <c r="AM113" s="17">
        <f t="shared" si="78"/>
        <v>0</v>
      </c>
      <c r="AN113" s="17">
        <f t="shared" si="79"/>
        <v>0</v>
      </c>
      <c r="AO113" s="17">
        <f t="shared" si="80"/>
        <v>0</v>
      </c>
      <c r="AP113" s="17">
        <f t="shared" si="81"/>
        <v>1000</v>
      </c>
      <c r="AQ113" s="18">
        <v>1426.9050551798759</v>
      </c>
      <c r="AR113" s="18">
        <v>1706.4444613512317</v>
      </c>
      <c r="AS113" s="18">
        <v>1510.2158535767624</v>
      </c>
      <c r="AT113" s="18">
        <v>1143.9303978968078</v>
      </c>
      <c r="AU113" s="18">
        <v>1658.971489685882</v>
      </c>
      <c r="AV113" s="18">
        <v>1359.5252952407143</v>
      </c>
      <c r="AW113" s="18">
        <v>1353.5020620362034</v>
      </c>
      <c r="AX113" s="18">
        <v>919.15368740447946</v>
      </c>
      <c r="AY113" s="18">
        <v>1362.4616375289195</v>
      </c>
      <c r="AZ113" s="18">
        <v>1186.5289426085628</v>
      </c>
      <c r="BA113" s="18">
        <v>1211.4910270737148</v>
      </c>
      <c r="BB113" s="18">
        <v>1183.28894985081</v>
      </c>
      <c r="BC113" s="23">
        <v>8.9181565948742242E-2</v>
      </c>
      <c r="BD113" s="23">
        <v>0.10665277883445198</v>
      </c>
      <c r="BE113" s="23">
        <v>9.438849084854764E-2</v>
      </c>
      <c r="BF113" s="23">
        <v>7.149564986855049E-2</v>
      </c>
      <c r="BG113" s="23">
        <v>0.10368571810536763</v>
      </c>
      <c r="BH113" s="23">
        <v>8.4970330952544637E-2</v>
      </c>
      <c r="BI113" s="23">
        <v>8.4593878877262704E-2</v>
      </c>
      <c r="BJ113" s="23">
        <v>5.7447105462779965E-2</v>
      </c>
      <c r="BK113" s="23">
        <v>8.5153852345557474E-2</v>
      </c>
      <c r="BL113" s="23">
        <v>7.4158058913035174E-2</v>
      </c>
      <c r="BM113" s="23">
        <v>7.5718189192107169E-2</v>
      </c>
      <c r="BN113" s="23">
        <v>7.3955559365675619E-2</v>
      </c>
    </row>
    <row r="114" spans="1:66" x14ac:dyDescent="0.25">
      <c r="A114" s="16">
        <v>3451</v>
      </c>
      <c r="B114" s="16" t="s">
        <v>310</v>
      </c>
      <c r="C114" s="17">
        <v>896.11500000000001</v>
      </c>
      <c r="D114" s="17">
        <f t="shared" si="45"/>
        <v>79.916938970157162</v>
      </c>
      <c r="E114" s="17">
        <f t="shared" si="46"/>
        <v>95.573154905234944</v>
      </c>
      <c r="F114" s="17">
        <f t="shared" si="47"/>
        <v>84.582942476746268</v>
      </c>
      <c r="G114" s="17">
        <f t="shared" si="48"/>
        <v>64.068324281956123</v>
      </c>
      <c r="H114" s="17">
        <f t="shared" si="49"/>
        <v>92.914327279991511</v>
      </c>
      <c r="I114" s="17">
        <f t="shared" si="50"/>
        <v>76.143188121539538</v>
      </c>
      <c r="J114" s="17">
        <f t="shared" si="51"/>
        <v>75.805843770098264</v>
      </c>
      <c r="K114" s="17">
        <f t="shared" si="52"/>
        <v>51.479212911779072</v>
      </c>
      <c r="L114" s="17">
        <f t="shared" si="53"/>
        <v>76.30764439463924</v>
      </c>
      <c r="M114" s="17">
        <f t="shared" si="54"/>
        <v>66.454148962854518</v>
      </c>
      <c r="N114" s="17">
        <f t="shared" si="55"/>
        <v>67.852205107885112</v>
      </c>
      <c r="O114" s="17">
        <f t="shared" si="56"/>
        <v>66.272686080972406</v>
      </c>
      <c r="P114" s="17">
        <v>15000</v>
      </c>
      <c r="Q114" s="17">
        <f t="shared" si="57"/>
        <v>1337.7234892311337</v>
      </c>
      <c r="R114" s="17">
        <f t="shared" si="58"/>
        <v>1599.7916825167797</v>
      </c>
      <c r="S114" s="17">
        <f t="shared" si="59"/>
        <v>1415.8273627282147</v>
      </c>
      <c r="T114" s="17">
        <f t="shared" si="60"/>
        <v>1072.4347480282574</v>
      </c>
      <c r="U114" s="17">
        <f t="shared" si="61"/>
        <v>1555.2857715805144</v>
      </c>
      <c r="V114" s="17">
        <f t="shared" si="62"/>
        <v>1274.5549642881695</v>
      </c>
      <c r="W114" s="17">
        <f t="shared" si="63"/>
        <v>1268.9081831589406</v>
      </c>
      <c r="X114" s="17">
        <f t="shared" si="64"/>
        <v>861.70658194169948</v>
      </c>
      <c r="Y114" s="17">
        <f t="shared" si="65"/>
        <v>1277.3077851833621</v>
      </c>
      <c r="Z114" s="17">
        <f t="shared" si="66"/>
        <v>1112.3708836955277</v>
      </c>
      <c r="AA114" s="17">
        <f t="shared" si="67"/>
        <v>1135.7728378816075</v>
      </c>
      <c r="AB114" s="17">
        <f t="shared" si="68"/>
        <v>1109.3333904851343</v>
      </c>
      <c r="AC114" s="17">
        <v>0</v>
      </c>
      <c r="AD114" s="17">
        <f t="shared" si="69"/>
        <v>0</v>
      </c>
      <c r="AE114" s="17">
        <f t="shared" si="70"/>
        <v>0</v>
      </c>
      <c r="AF114" s="17">
        <f t="shared" si="71"/>
        <v>0</v>
      </c>
      <c r="AG114" s="17">
        <f t="shared" si="72"/>
        <v>0</v>
      </c>
      <c r="AH114" s="17">
        <f t="shared" si="73"/>
        <v>0</v>
      </c>
      <c r="AI114" s="17">
        <f t="shared" si="74"/>
        <v>0</v>
      </c>
      <c r="AJ114" s="17">
        <f t="shared" si="75"/>
        <v>0</v>
      </c>
      <c r="AK114" s="17">
        <f t="shared" si="76"/>
        <v>0</v>
      </c>
      <c r="AL114" s="17">
        <f t="shared" si="77"/>
        <v>0</v>
      </c>
      <c r="AM114" s="17">
        <f t="shared" si="78"/>
        <v>0</v>
      </c>
      <c r="AN114" s="17">
        <f t="shared" si="79"/>
        <v>0</v>
      </c>
      <c r="AO114" s="17">
        <f t="shared" si="80"/>
        <v>0</v>
      </c>
      <c r="AP114" s="17">
        <f t="shared" si="81"/>
        <v>15896.115</v>
      </c>
      <c r="AQ114" s="18">
        <v>1529.9097638506732</v>
      </c>
      <c r="AR114" s="18">
        <v>1829.6284209050239</v>
      </c>
      <c r="AS114" s="18">
        <v>1619.2345605068347</v>
      </c>
      <c r="AT114" s="18">
        <v>1226.5078734949836</v>
      </c>
      <c r="AU114" s="18">
        <v>1778.7284940975817</v>
      </c>
      <c r="AV114" s="18">
        <v>1457.6660274909032</v>
      </c>
      <c r="AW114" s="18">
        <v>1451.2079921394418</v>
      </c>
      <c r="AX114" s="18">
        <v>985.50509421399033</v>
      </c>
      <c r="AY114" s="18">
        <v>1460.8143369880383</v>
      </c>
      <c r="AZ114" s="18">
        <v>1272.1815006531185</v>
      </c>
      <c r="BA114" s="18">
        <v>1298.9455355905984</v>
      </c>
      <c r="BB114" s="18">
        <v>1268.7076209181653</v>
      </c>
      <c r="BC114" s="23">
        <v>8.9181565948742242E-2</v>
      </c>
      <c r="BD114" s="23">
        <v>0.10665277883445198</v>
      </c>
      <c r="BE114" s="23">
        <v>9.438849084854764E-2</v>
      </c>
      <c r="BF114" s="23">
        <v>7.149564986855049E-2</v>
      </c>
      <c r="BG114" s="23">
        <v>0.10368571810536763</v>
      </c>
      <c r="BH114" s="23">
        <v>8.4970330952544637E-2</v>
      </c>
      <c r="BI114" s="23">
        <v>8.4593878877262704E-2</v>
      </c>
      <c r="BJ114" s="23">
        <v>5.7447105462779965E-2</v>
      </c>
      <c r="BK114" s="23">
        <v>8.5153852345557474E-2</v>
      </c>
      <c r="BL114" s="23">
        <v>7.4158058913035174E-2</v>
      </c>
      <c r="BM114" s="23">
        <v>7.5718189192107169E-2</v>
      </c>
      <c r="BN114" s="23">
        <v>7.3955559365675619E-2</v>
      </c>
    </row>
    <row r="115" spans="1:66" x14ac:dyDescent="0.25">
      <c r="A115" s="16">
        <v>1223</v>
      </c>
      <c r="B115" s="16" t="s">
        <v>311</v>
      </c>
      <c r="C115" s="17">
        <v>0</v>
      </c>
      <c r="D115" s="17">
        <f t="shared" si="45"/>
        <v>0</v>
      </c>
      <c r="E115" s="17">
        <f t="shared" si="46"/>
        <v>0</v>
      </c>
      <c r="F115" s="17">
        <f t="shared" si="47"/>
        <v>0</v>
      </c>
      <c r="G115" s="17">
        <f t="shared" si="48"/>
        <v>0</v>
      </c>
      <c r="H115" s="17">
        <f t="shared" si="49"/>
        <v>0</v>
      </c>
      <c r="I115" s="17">
        <f t="shared" si="50"/>
        <v>0</v>
      </c>
      <c r="J115" s="17">
        <f t="shared" si="51"/>
        <v>0</v>
      </c>
      <c r="K115" s="17">
        <f t="shared" si="52"/>
        <v>0</v>
      </c>
      <c r="L115" s="17">
        <f t="shared" si="53"/>
        <v>0</v>
      </c>
      <c r="M115" s="17">
        <f t="shared" si="54"/>
        <v>0</v>
      </c>
      <c r="N115" s="17">
        <f t="shared" si="55"/>
        <v>0</v>
      </c>
      <c r="O115" s="17">
        <f t="shared" si="56"/>
        <v>0</v>
      </c>
      <c r="P115" s="17">
        <v>0</v>
      </c>
      <c r="Q115" s="17">
        <f t="shared" si="57"/>
        <v>0</v>
      </c>
      <c r="R115" s="17">
        <f t="shared" si="58"/>
        <v>0</v>
      </c>
      <c r="S115" s="17">
        <f t="shared" si="59"/>
        <v>0</v>
      </c>
      <c r="T115" s="17">
        <f t="shared" si="60"/>
        <v>0</v>
      </c>
      <c r="U115" s="17">
        <f t="shared" si="61"/>
        <v>0</v>
      </c>
      <c r="V115" s="17">
        <f t="shared" si="62"/>
        <v>0</v>
      </c>
      <c r="W115" s="17">
        <f t="shared" si="63"/>
        <v>0</v>
      </c>
      <c r="X115" s="17">
        <f t="shared" si="64"/>
        <v>0</v>
      </c>
      <c r="Y115" s="17">
        <f t="shared" si="65"/>
        <v>0</v>
      </c>
      <c r="Z115" s="17">
        <f t="shared" si="66"/>
        <v>0</v>
      </c>
      <c r="AA115" s="17">
        <f t="shared" si="67"/>
        <v>0</v>
      </c>
      <c r="AB115" s="17">
        <f t="shared" si="68"/>
        <v>0</v>
      </c>
      <c r="AC115" s="17">
        <v>0</v>
      </c>
      <c r="AD115" s="17">
        <f t="shared" si="69"/>
        <v>0</v>
      </c>
      <c r="AE115" s="17">
        <f t="shared" si="70"/>
        <v>0</v>
      </c>
      <c r="AF115" s="17">
        <f t="shared" si="71"/>
        <v>0</v>
      </c>
      <c r="AG115" s="17">
        <f t="shared" si="72"/>
        <v>0</v>
      </c>
      <c r="AH115" s="17">
        <f t="shared" si="73"/>
        <v>0</v>
      </c>
      <c r="AI115" s="17">
        <f t="shared" si="74"/>
        <v>0</v>
      </c>
      <c r="AJ115" s="17">
        <f t="shared" si="75"/>
        <v>0</v>
      </c>
      <c r="AK115" s="17">
        <f t="shared" si="76"/>
        <v>0</v>
      </c>
      <c r="AL115" s="17">
        <f t="shared" si="77"/>
        <v>0</v>
      </c>
      <c r="AM115" s="17">
        <f t="shared" si="78"/>
        <v>0</v>
      </c>
      <c r="AN115" s="17">
        <f t="shared" si="79"/>
        <v>0</v>
      </c>
      <c r="AO115" s="17">
        <f t="shared" si="80"/>
        <v>0</v>
      </c>
      <c r="AP115" s="17">
        <f t="shared" si="81"/>
        <v>0</v>
      </c>
      <c r="AQ115" s="18">
        <v>1417.6404282012907</v>
      </c>
      <c r="AR115" s="18">
        <v>1695.3648374220147</v>
      </c>
      <c r="AS115" s="18">
        <v>1500.4103052049609</v>
      </c>
      <c r="AT115" s="18">
        <v>1136.5030723102134</v>
      </c>
      <c r="AU115" s="18">
        <v>1648.2000988605059</v>
      </c>
      <c r="AV115" s="18">
        <v>1350.6981524097091</v>
      </c>
      <c r="AW115" s="18">
        <v>1344.7140269290387</v>
      </c>
      <c r="AX115" s="18">
        <v>913.18579485347857</v>
      </c>
      <c r="AY115" s="18">
        <v>1353.6154295780013</v>
      </c>
      <c r="AZ115" s="18">
        <v>1178.825032658382</v>
      </c>
      <c r="BA115" s="18">
        <v>1203.6250429894926</v>
      </c>
      <c r="BB115" s="18">
        <v>1175.6060765661066</v>
      </c>
      <c r="BC115" s="23">
        <v>8.9181565948742242E-2</v>
      </c>
      <c r="BD115" s="23">
        <v>0.10665277883445198</v>
      </c>
      <c r="BE115" s="23">
        <v>9.438849084854764E-2</v>
      </c>
      <c r="BF115" s="23">
        <v>7.149564986855049E-2</v>
      </c>
      <c r="BG115" s="23">
        <v>0.10368571810536763</v>
      </c>
      <c r="BH115" s="23">
        <v>8.4970330952544637E-2</v>
      </c>
      <c r="BI115" s="23">
        <v>8.4593878877262704E-2</v>
      </c>
      <c r="BJ115" s="23">
        <v>5.7447105462779965E-2</v>
      </c>
      <c r="BK115" s="23">
        <v>8.5153852345557474E-2</v>
      </c>
      <c r="BL115" s="23">
        <v>7.4158058913035174E-2</v>
      </c>
      <c r="BM115" s="23">
        <v>7.5718189192107169E-2</v>
      </c>
      <c r="BN115" s="23">
        <v>7.3955559365675619E-2</v>
      </c>
    </row>
    <row r="116" spans="1:66" x14ac:dyDescent="0.25">
      <c r="A116" s="16">
        <v>1928</v>
      </c>
      <c r="B116" s="16" t="s">
        <v>312</v>
      </c>
      <c r="C116" s="17">
        <v>0</v>
      </c>
      <c r="D116" s="17">
        <f t="shared" si="45"/>
        <v>0</v>
      </c>
      <c r="E116" s="17">
        <f t="shared" si="46"/>
        <v>0</v>
      </c>
      <c r="F116" s="17">
        <f t="shared" si="47"/>
        <v>0</v>
      </c>
      <c r="G116" s="17">
        <f t="shared" si="48"/>
        <v>0</v>
      </c>
      <c r="H116" s="17">
        <f t="shared" si="49"/>
        <v>0</v>
      </c>
      <c r="I116" s="17">
        <f t="shared" si="50"/>
        <v>0</v>
      </c>
      <c r="J116" s="17">
        <f t="shared" si="51"/>
        <v>0</v>
      </c>
      <c r="K116" s="17">
        <f t="shared" si="52"/>
        <v>0</v>
      </c>
      <c r="L116" s="17">
        <f t="shared" si="53"/>
        <v>0</v>
      </c>
      <c r="M116" s="17">
        <f t="shared" si="54"/>
        <v>0</v>
      </c>
      <c r="N116" s="17">
        <f t="shared" si="55"/>
        <v>0</v>
      </c>
      <c r="O116" s="17">
        <f t="shared" si="56"/>
        <v>0</v>
      </c>
      <c r="P116" s="17">
        <v>1000</v>
      </c>
      <c r="Q116" s="17">
        <f t="shared" si="57"/>
        <v>89.181565948742247</v>
      </c>
      <c r="R116" s="17">
        <f t="shared" si="58"/>
        <v>106.65277883445198</v>
      </c>
      <c r="S116" s="17">
        <f t="shared" si="59"/>
        <v>94.388490848547647</v>
      </c>
      <c r="T116" s="17">
        <f t="shared" si="60"/>
        <v>71.495649868550487</v>
      </c>
      <c r="U116" s="17">
        <f t="shared" si="61"/>
        <v>103.68571810536763</v>
      </c>
      <c r="V116" s="17">
        <f t="shared" si="62"/>
        <v>84.970330952544643</v>
      </c>
      <c r="W116" s="17">
        <f t="shared" si="63"/>
        <v>84.593878877262711</v>
      </c>
      <c r="X116" s="17">
        <f t="shared" si="64"/>
        <v>57.447105462779966</v>
      </c>
      <c r="Y116" s="17">
        <f t="shared" si="65"/>
        <v>85.153852345557468</v>
      </c>
      <c r="Z116" s="17">
        <f t="shared" si="66"/>
        <v>74.158058913035177</v>
      </c>
      <c r="AA116" s="17">
        <f t="shared" si="67"/>
        <v>75.718189192107175</v>
      </c>
      <c r="AB116" s="17">
        <f t="shared" si="68"/>
        <v>73.955559365675626</v>
      </c>
      <c r="AC116" s="17">
        <v>0</v>
      </c>
      <c r="AD116" s="17">
        <f t="shared" si="69"/>
        <v>0</v>
      </c>
      <c r="AE116" s="17">
        <f t="shared" si="70"/>
        <v>0</v>
      </c>
      <c r="AF116" s="17">
        <f t="shared" si="71"/>
        <v>0</v>
      </c>
      <c r="AG116" s="17">
        <f t="shared" si="72"/>
        <v>0</v>
      </c>
      <c r="AH116" s="17">
        <f t="shared" si="73"/>
        <v>0</v>
      </c>
      <c r="AI116" s="17">
        <f t="shared" si="74"/>
        <v>0</v>
      </c>
      <c r="AJ116" s="17">
        <f t="shared" si="75"/>
        <v>0</v>
      </c>
      <c r="AK116" s="17">
        <f t="shared" si="76"/>
        <v>0</v>
      </c>
      <c r="AL116" s="17">
        <f t="shared" si="77"/>
        <v>0</v>
      </c>
      <c r="AM116" s="17">
        <f t="shared" si="78"/>
        <v>0</v>
      </c>
      <c r="AN116" s="17">
        <f t="shared" si="79"/>
        <v>0</v>
      </c>
      <c r="AO116" s="17">
        <f t="shared" si="80"/>
        <v>0</v>
      </c>
      <c r="AP116" s="17">
        <f t="shared" si="81"/>
        <v>1000</v>
      </c>
      <c r="AQ116" s="18">
        <v>1337.7234892311337</v>
      </c>
      <c r="AR116" s="18">
        <v>1599.7916825167797</v>
      </c>
      <c r="AS116" s="18">
        <v>1415.8273627282147</v>
      </c>
      <c r="AT116" s="18">
        <v>1072.4347480282574</v>
      </c>
      <c r="AU116" s="18">
        <v>1555.2857715805144</v>
      </c>
      <c r="AV116" s="18">
        <v>1274.5549642881695</v>
      </c>
      <c r="AW116" s="18">
        <v>1268.9081831589406</v>
      </c>
      <c r="AX116" s="18">
        <v>861.70658194169948</v>
      </c>
      <c r="AY116" s="18">
        <v>1277.3077851833621</v>
      </c>
      <c r="AZ116" s="18">
        <v>1112.3708836955277</v>
      </c>
      <c r="BA116" s="18">
        <v>1135.7728378816075</v>
      </c>
      <c r="BB116" s="18">
        <v>1109.3333904851343</v>
      </c>
      <c r="BC116" s="23">
        <v>8.9181565948742242E-2</v>
      </c>
      <c r="BD116" s="23">
        <v>0.10665277883445198</v>
      </c>
      <c r="BE116" s="23">
        <v>9.438849084854764E-2</v>
      </c>
      <c r="BF116" s="23">
        <v>7.149564986855049E-2</v>
      </c>
      <c r="BG116" s="23">
        <v>0.10368571810536763</v>
      </c>
      <c r="BH116" s="23">
        <v>8.4970330952544637E-2</v>
      </c>
      <c r="BI116" s="23">
        <v>8.4593878877262704E-2</v>
      </c>
      <c r="BJ116" s="23">
        <v>5.7447105462779965E-2</v>
      </c>
      <c r="BK116" s="23">
        <v>8.5153852345557474E-2</v>
      </c>
      <c r="BL116" s="23">
        <v>7.4158058913035174E-2</v>
      </c>
      <c r="BM116" s="23">
        <v>7.5718189192107169E-2</v>
      </c>
      <c r="BN116" s="23">
        <v>7.3955559365675619E-2</v>
      </c>
    </row>
    <row r="117" spans="1:66" x14ac:dyDescent="0.25">
      <c r="A117" s="16">
        <v>3753</v>
      </c>
      <c r="B117" s="16" t="s">
        <v>313</v>
      </c>
      <c r="C117" s="17">
        <v>15000</v>
      </c>
      <c r="D117" s="17">
        <f t="shared" si="45"/>
        <v>1337.7234892311337</v>
      </c>
      <c r="E117" s="17">
        <f t="shared" si="46"/>
        <v>1599.7916825167797</v>
      </c>
      <c r="F117" s="17">
        <f t="shared" si="47"/>
        <v>1415.8273627282147</v>
      </c>
      <c r="G117" s="17">
        <f t="shared" si="48"/>
        <v>1072.4347480282574</v>
      </c>
      <c r="H117" s="17">
        <f t="shared" si="49"/>
        <v>1555.2857715805144</v>
      </c>
      <c r="I117" s="17">
        <f t="shared" si="50"/>
        <v>1274.5549642881695</v>
      </c>
      <c r="J117" s="17">
        <f t="shared" si="51"/>
        <v>1268.9081831589406</v>
      </c>
      <c r="K117" s="17">
        <f t="shared" si="52"/>
        <v>861.70658194169948</v>
      </c>
      <c r="L117" s="17">
        <f t="shared" si="53"/>
        <v>1277.3077851833621</v>
      </c>
      <c r="M117" s="17">
        <f t="shared" si="54"/>
        <v>1112.3708836955277</v>
      </c>
      <c r="N117" s="17">
        <f t="shared" si="55"/>
        <v>1135.7728378816075</v>
      </c>
      <c r="O117" s="17">
        <f t="shared" si="56"/>
        <v>1109.3333904851343</v>
      </c>
      <c r="P117" s="17">
        <v>0</v>
      </c>
      <c r="Q117" s="17">
        <f t="shared" si="57"/>
        <v>0</v>
      </c>
      <c r="R117" s="17">
        <f t="shared" si="58"/>
        <v>0</v>
      </c>
      <c r="S117" s="17">
        <f t="shared" si="59"/>
        <v>0</v>
      </c>
      <c r="T117" s="17">
        <f t="shared" si="60"/>
        <v>0</v>
      </c>
      <c r="U117" s="17">
        <f t="shared" si="61"/>
        <v>0</v>
      </c>
      <c r="V117" s="17">
        <f t="shared" si="62"/>
        <v>0</v>
      </c>
      <c r="W117" s="17">
        <f t="shared" si="63"/>
        <v>0</v>
      </c>
      <c r="X117" s="17">
        <f t="shared" si="64"/>
        <v>0</v>
      </c>
      <c r="Y117" s="17">
        <f t="shared" si="65"/>
        <v>0</v>
      </c>
      <c r="Z117" s="17">
        <f t="shared" si="66"/>
        <v>0</v>
      </c>
      <c r="AA117" s="17">
        <f t="shared" si="67"/>
        <v>0</v>
      </c>
      <c r="AB117" s="17">
        <f t="shared" si="68"/>
        <v>0</v>
      </c>
      <c r="AC117" s="17">
        <v>0</v>
      </c>
      <c r="AD117" s="17">
        <f t="shared" si="69"/>
        <v>0</v>
      </c>
      <c r="AE117" s="17">
        <f t="shared" si="70"/>
        <v>0</v>
      </c>
      <c r="AF117" s="17">
        <f t="shared" si="71"/>
        <v>0</v>
      </c>
      <c r="AG117" s="17">
        <f t="shared" si="72"/>
        <v>0</v>
      </c>
      <c r="AH117" s="17">
        <f t="shared" si="73"/>
        <v>0</v>
      </c>
      <c r="AI117" s="17">
        <f t="shared" si="74"/>
        <v>0</v>
      </c>
      <c r="AJ117" s="17">
        <f t="shared" si="75"/>
        <v>0</v>
      </c>
      <c r="AK117" s="17">
        <f t="shared" si="76"/>
        <v>0</v>
      </c>
      <c r="AL117" s="17">
        <f t="shared" si="77"/>
        <v>0</v>
      </c>
      <c r="AM117" s="17">
        <f t="shared" si="78"/>
        <v>0</v>
      </c>
      <c r="AN117" s="17">
        <f t="shared" si="79"/>
        <v>0</v>
      </c>
      <c r="AO117" s="17">
        <f t="shared" si="80"/>
        <v>0</v>
      </c>
      <c r="AP117" s="17">
        <f t="shared" si="81"/>
        <v>15000</v>
      </c>
      <c r="AQ117" s="18">
        <v>2229.5391487185561</v>
      </c>
      <c r="AR117" s="18">
        <v>2666.3194708612996</v>
      </c>
      <c r="AS117" s="18">
        <v>2359.7122712136911</v>
      </c>
      <c r="AT117" s="18">
        <v>1787.3912467137623</v>
      </c>
      <c r="AU117" s="18">
        <v>2592.1429526341908</v>
      </c>
      <c r="AV117" s="18">
        <v>2124.2582738136161</v>
      </c>
      <c r="AW117" s="18">
        <v>2114.8469719315676</v>
      </c>
      <c r="AX117" s="18">
        <v>1436.1776365694991</v>
      </c>
      <c r="AY117" s="18">
        <v>2128.846308638937</v>
      </c>
      <c r="AZ117" s="18">
        <v>1853.9514728258794</v>
      </c>
      <c r="BA117" s="18">
        <v>1892.9547298026791</v>
      </c>
      <c r="BB117" s="18">
        <v>1848.8889841418904</v>
      </c>
      <c r="BC117" s="23">
        <v>8.9181565948742242E-2</v>
      </c>
      <c r="BD117" s="23">
        <v>0.10665277883445198</v>
      </c>
      <c r="BE117" s="23">
        <v>9.438849084854764E-2</v>
      </c>
      <c r="BF117" s="23">
        <v>7.149564986855049E-2</v>
      </c>
      <c r="BG117" s="23">
        <v>0.10368571810536763</v>
      </c>
      <c r="BH117" s="23">
        <v>8.4970330952544637E-2</v>
      </c>
      <c r="BI117" s="23">
        <v>8.4593878877262704E-2</v>
      </c>
      <c r="BJ117" s="23">
        <v>5.7447105462779965E-2</v>
      </c>
      <c r="BK117" s="23">
        <v>8.5153852345557474E-2</v>
      </c>
      <c r="BL117" s="23">
        <v>7.4158058913035174E-2</v>
      </c>
      <c r="BM117" s="23">
        <v>7.5718189192107169E-2</v>
      </c>
      <c r="BN117" s="23">
        <v>7.3955559365675619E-2</v>
      </c>
    </row>
    <row r="118" spans="1:66" x14ac:dyDescent="0.25">
      <c r="A118" s="16">
        <v>4386</v>
      </c>
      <c r="B118" s="16" t="s">
        <v>314</v>
      </c>
      <c r="C118" s="17">
        <v>0</v>
      </c>
      <c r="D118" s="17">
        <f t="shared" si="45"/>
        <v>0</v>
      </c>
      <c r="E118" s="17">
        <f t="shared" si="46"/>
        <v>0</v>
      </c>
      <c r="F118" s="17">
        <f t="shared" si="47"/>
        <v>0</v>
      </c>
      <c r="G118" s="17">
        <f t="shared" si="48"/>
        <v>0</v>
      </c>
      <c r="H118" s="17">
        <f t="shared" si="49"/>
        <v>0</v>
      </c>
      <c r="I118" s="17">
        <f t="shared" si="50"/>
        <v>0</v>
      </c>
      <c r="J118" s="17">
        <f t="shared" si="51"/>
        <v>0</v>
      </c>
      <c r="K118" s="17">
        <f t="shared" si="52"/>
        <v>0</v>
      </c>
      <c r="L118" s="17">
        <f t="shared" si="53"/>
        <v>0</v>
      </c>
      <c r="M118" s="17">
        <f t="shared" si="54"/>
        <v>0</v>
      </c>
      <c r="N118" s="17">
        <f t="shared" si="55"/>
        <v>0</v>
      </c>
      <c r="O118" s="17">
        <f t="shared" si="56"/>
        <v>0</v>
      </c>
      <c r="P118" s="17">
        <v>2000</v>
      </c>
      <c r="Q118" s="17">
        <f t="shared" si="57"/>
        <v>178.36313189748449</v>
      </c>
      <c r="R118" s="17">
        <f t="shared" si="58"/>
        <v>213.30555766890396</v>
      </c>
      <c r="S118" s="17">
        <f t="shared" si="59"/>
        <v>188.77698169709529</v>
      </c>
      <c r="T118" s="17">
        <f t="shared" si="60"/>
        <v>142.99129973710097</v>
      </c>
      <c r="U118" s="17">
        <f t="shared" si="61"/>
        <v>207.37143621073525</v>
      </c>
      <c r="V118" s="17">
        <f t="shared" si="62"/>
        <v>169.94066190508929</v>
      </c>
      <c r="W118" s="17">
        <f t="shared" si="63"/>
        <v>169.18775775452542</v>
      </c>
      <c r="X118" s="17">
        <f t="shared" si="64"/>
        <v>114.89421092555993</v>
      </c>
      <c r="Y118" s="17">
        <f t="shared" si="65"/>
        <v>170.30770469111494</v>
      </c>
      <c r="Z118" s="17">
        <f t="shared" si="66"/>
        <v>148.31611782607035</v>
      </c>
      <c r="AA118" s="17">
        <f t="shared" si="67"/>
        <v>151.43637838421435</v>
      </c>
      <c r="AB118" s="17">
        <f t="shared" si="68"/>
        <v>147.91111873135125</v>
      </c>
      <c r="AC118" s="17">
        <v>0</v>
      </c>
      <c r="AD118" s="17">
        <f t="shared" si="69"/>
        <v>0</v>
      </c>
      <c r="AE118" s="17">
        <f t="shared" si="70"/>
        <v>0</v>
      </c>
      <c r="AF118" s="17">
        <f t="shared" si="71"/>
        <v>0</v>
      </c>
      <c r="AG118" s="17">
        <f t="shared" si="72"/>
        <v>0</v>
      </c>
      <c r="AH118" s="17">
        <f t="shared" si="73"/>
        <v>0</v>
      </c>
      <c r="AI118" s="17">
        <f t="shared" si="74"/>
        <v>0</v>
      </c>
      <c r="AJ118" s="17">
        <f t="shared" si="75"/>
        <v>0</v>
      </c>
      <c r="AK118" s="17">
        <f t="shared" si="76"/>
        <v>0</v>
      </c>
      <c r="AL118" s="17">
        <f t="shared" si="77"/>
        <v>0</v>
      </c>
      <c r="AM118" s="17">
        <f t="shared" si="78"/>
        <v>0</v>
      </c>
      <c r="AN118" s="17">
        <f t="shared" si="79"/>
        <v>0</v>
      </c>
      <c r="AO118" s="17">
        <f t="shared" si="80"/>
        <v>0</v>
      </c>
      <c r="AP118" s="17">
        <f t="shared" si="81"/>
        <v>2000</v>
      </c>
      <c r="AQ118" s="18">
        <v>1339.0919803606171</v>
      </c>
      <c r="AR118" s="18">
        <v>1601.4282694079943</v>
      </c>
      <c r="AS118" s="18">
        <v>1417.2757541202855</v>
      </c>
      <c r="AT118" s="18">
        <v>1073.5318487754903</v>
      </c>
      <c r="AU118" s="18">
        <v>1556.8768289248412</v>
      </c>
      <c r="AV118" s="18">
        <v>1275.8588340166364</v>
      </c>
      <c r="AW118" s="18">
        <v>1270.2062762303121</v>
      </c>
      <c r="AX118" s="18">
        <v>862.58810777502583</v>
      </c>
      <c r="AY118" s="18">
        <v>1278.6144710476046</v>
      </c>
      <c r="AZ118" s="18">
        <v>1113.508839109548</v>
      </c>
      <c r="BA118" s="18">
        <v>1136.9347334947604</v>
      </c>
      <c r="BB118" s="18">
        <v>1110.4682385436006</v>
      </c>
      <c r="BC118" s="23">
        <v>8.9181565948742242E-2</v>
      </c>
      <c r="BD118" s="23">
        <v>0.10665277883445198</v>
      </c>
      <c r="BE118" s="23">
        <v>9.438849084854764E-2</v>
      </c>
      <c r="BF118" s="23">
        <v>7.149564986855049E-2</v>
      </c>
      <c r="BG118" s="23">
        <v>0.10368571810536763</v>
      </c>
      <c r="BH118" s="23">
        <v>8.4970330952544637E-2</v>
      </c>
      <c r="BI118" s="23">
        <v>8.4593878877262704E-2</v>
      </c>
      <c r="BJ118" s="23">
        <v>5.7447105462779965E-2</v>
      </c>
      <c r="BK118" s="23">
        <v>8.5153852345557474E-2</v>
      </c>
      <c r="BL118" s="23">
        <v>7.4158058913035174E-2</v>
      </c>
      <c r="BM118" s="23">
        <v>7.5718189192107169E-2</v>
      </c>
      <c r="BN118" s="23">
        <v>7.3955559365675619E-2</v>
      </c>
    </row>
    <row r="119" spans="1:66" x14ac:dyDescent="0.25">
      <c r="A119" s="16">
        <v>17086</v>
      </c>
      <c r="B119" s="16" t="s">
        <v>315</v>
      </c>
      <c r="C119" s="17">
        <v>0</v>
      </c>
      <c r="D119" s="17">
        <f t="shared" si="45"/>
        <v>0</v>
      </c>
      <c r="E119" s="17">
        <f t="shared" si="46"/>
        <v>0</v>
      </c>
      <c r="F119" s="17">
        <f t="shared" si="47"/>
        <v>0</v>
      </c>
      <c r="G119" s="17">
        <f t="shared" si="48"/>
        <v>0</v>
      </c>
      <c r="H119" s="17">
        <f t="shared" si="49"/>
        <v>0</v>
      </c>
      <c r="I119" s="17">
        <f t="shared" si="50"/>
        <v>0</v>
      </c>
      <c r="J119" s="17">
        <f t="shared" si="51"/>
        <v>0</v>
      </c>
      <c r="K119" s="17">
        <f t="shared" si="52"/>
        <v>0</v>
      </c>
      <c r="L119" s="17">
        <f t="shared" si="53"/>
        <v>0</v>
      </c>
      <c r="M119" s="17">
        <f t="shared" si="54"/>
        <v>0</v>
      </c>
      <c r="N119" s="17">
        <f t="shared" si="55"/>
        <v>0</v>
      </c>
      <c r="O119" s="17">
        <f t="shared" si="56"/>
        <v>0</v>
      </c>
      <c r="P119" s="17">
        <v>50000</v>
      </c>
      <c r="Q119" s="17">
        <f t="shared" si="57"/>
        <v>4459.0782974371123</v>
      </c>
      <c r="R119" s="17">
        <f t="shared" si="58"/>
        <v>5332.6389417225992</v>
      </c>
      <c r="S119" s="17">
        <f t="shared" si="59"/>
        <v>4719.4245424273822</v>
      </c>
      <c r="T119" s="17">
        <f t="shared" si="60"/>
        <v>3574.7824934275245</v>
      </c>
      <c r="U119" s="17">
        <f t="shared" si="61"/>
        <v>5184.2859052683816</v>
      </c>
      <c r="V119" s="17">
        <f t="shared" si="62"/>
        <v>4248.5165476272323</v>
      </c>
      <c r="W119" s="17">
        <f t="shared" si="63"/>
        <v>4229.6939438631352</v>
      </c>
      <c r="X119" s="17">
        <f t="shared" si="64"/>
        <v>2872.3552731389982</v>
      </c>
      <c r="Y119" s="17">
        <f t="shared" si="65"/>
        <v>4257.692617277874</v>
      </c>
      <c r="Z119" s="17">
        <f t="shared" si="66"/>
        <v>3707.9029456517587</v>
      </c>
      <c r="AA119" s="17">
        <f t="shared" si="67"/>
        <v>3785.9094596053583</v>
      </c>
      <c r="AB119" s="17">
        <f t="shared" si="68"/>
        <v>3697.7779682837809</v>
      </c>
      <c r="AC119" s="17">
        <v>0</v>
      </c>
      <c r="AD119" s="17">
        <f t="shared" si="69"/>
        <v>0</v>
      </c>
      <c r="AE119" s="17">
        <f t="shared" si="70"/>
        <v>0</v>
      </c>
      <c r="AF119" s="17">
        <f t="shared" si="71"/>
        <v>0</v>
      </c>
      <c r="AG119" s="17">
        <f t="shared" si="72"/>
        <v>0</v>
      </c>
      <c r="AH119" s="17">
        <f t="shared" si="73"/>
        <v>0</v>
      </c>
      <c r="AI119" s="17">
        <f t="shared" si="74"/>
        <v>0</v>
      </c>
      <c r="AJ119" s="17">
        <f t="shared" si="75"/>
        <v>0</v>
      </c>
      <c r="AK119" s="17">
        <f t="shared" si="76"/>
        <v>0</v>
      </c>
      <c r="AL119" s="17">
        <f t="shared" si="77"/>
        <v>0</v>
      </c>
      <c r="AM119" s="17">
        <f t="shared" si="78"/>
        <v>0</v>
      </c>
      <c r="AN119" s="17">
        <f t="shared" si="79"/>
        <v>0</v>
      </c>
      <c r="AO119" s="17">
        <f t="shared" si="80"/>
        <v>0</v>
      </c>
      <c r="AP119" s="17">
        <f t="shared" si="81"/>
        <v>50000</v>
      </c>
      <c r="AQ119" s="18">
        <v>1783.6313189748448</v>
      </c>
      <c r="AR119" s="18">
        <v>2133.0555766890398</v>
      </c>
      <c r="AS119" s="18">
        <v>1887.7698169709529</v>
      </c>
      <c r="AT119" s="18">
        <v>1429.9129973710099</v>
      </c>
      <c r="AU119" s="18">
        <v>2073.7143621073524</v>
      </c>
      <c r="AV119" s="18">
        <v>1699.4066190508927</v>
      </c>
      <c r="AW119" s="18">
        <v>1691.8775775452541</v>
      </c>
      <c r="AX119" s="18">
        <v>1148.9421092555992</v>
      </c>
      <c r="AY119" s="18">
        <v>1703.0770469111494</v>
      </c>
      <c r="AZ119" s="18">
        <v>1483.1611782607035</v>
      </c>
      <c r="BA119" s="18">
        <v>1514.3637838421434</v>
      </c>
      <c r="BB119" s="18">
        <v>1479.1111873135123</v>
      </c>
      <c r="BC119" s="23">
        <v>8.9181565948742242E-2</v>
      </c>
      <c r="BD119" s="23">
        <v>0.10665277883445198</v>
      </c>
      <c r="BE119" s="23">
        <v>9.438849084854764E-2</v>
      </c>
      <c r="BF119" s="23">
        <v>7.149564986855049E-2</v>
      </c>
      <c r="BG119" s="23">
        <v>0.10368571810536763</v>
      </c>
      <c r="BH119" s="23">
        <v>8.4970330952544637E-2</v>
      </c>
      <c r="BI119" s="23">
        <v>8.4593878877262704E-2</v>
      </c>
      <c r="BJ119" s="23">
        <v>5.7447105462779965E-2</v>
      </c>
      <c r="BK119" s="23">
        <v>8.5153852345557474E-2</v>
      </c>
      <c r="BL119" s="23">
        <v>7.4158058913035174E-2</v>
      </c>
      <c r="BM119" s="23">
        <v>7.5718189192107169E-2</v>
      </c>
      <c r="BN119" s="23">
        <v>7.3955559365675619E-2</v>
      </c>
    </row>
    <row r="120" spans="1:66" x14ac:dyDescent="0.25">
      <c r="A120" s="16">
        <v>2539</v>
      </c>
      <c r="B120" s="16" t="s">
        <v>316</v>
      </c>
      <c r="C120" s="17">
        <v>0</v>
      </c>
      <c r="D120" s="17">
        <f t="shared" si="45"/>
        <v>0</v>
      </c>
      <c r="E120" s="17">
        <f t="shared" si="46"/>
        <v>0</v>
      </c>
      <c r="F120" s="17">
        <f t="shared" si="47"/>
        <v>0</v>
      </c>
      <c r="G120" s="17">
        <f t="shared" si="48"/>
        <v>0</v>
      </c>
      <c r="H120" s="17">
        <f t="shared" si="49"/>
        <v>0</v>
      </c>
      <c r="I120" s="17">
        <f t="shared" si="50"/>
        <v>0</v>
      </c>
      <c r="J120" s="17">
        <f t="shared" si="51"/>
        <v>0</v>
      </c>
      <c r="K120" s="17">
        <f t="shared" si="52"/>
        <v>0</v>
      </c>
      <c r="L120" s="17">
        <f t="shared" si="53"/>
        <v>0</v>
      </c>
      <c r="M120" s="17">
        <f t="shared" si="54"/>
        <v>0</v>
      </c>
      <c r="N120" s="17">
        <f t="shared" si="55"/>
        <v>0</v>
      </c>
      <c r="O120" s="17">
        <f t="shared" si="56"/>
        <v>0</v>
      </c>
      <c r="P120" s="17">
        <v>6000</v>
      </c>
      <c r="Q120" s="17">
        <f t="shared" si="57"/>
        <v>535.08939569245342</v>
      </c>
      <c r="R120" s="17">
        <f t="shared" si="58"/>
        <v>639.9166730067119</v>
      </c>
      <c r="S120" s="17">
        <f t="shared" si="59"/>
        <v>566.3309450912858</v>
      </c>
      <c r="T120" s="17">
        <f t="shared" si="60"/>
        <v>428.97389921130292</v>
      </c>
      <c r="U120" s="17">
        <f t="shared" si="61"/>
        <v>622.11430863220573</v>
      </c>
      <c r="V120" s="17">
        <f t="shared" si="62"/>
        <v>509.82198571526783</v>
      </c>
      <c r="W120" s="17">
        <f t="shared" si="63"/>
        <v>507.56327326357621</v>
      </c>
      <c r="X120" s="17">
        <f t="shared" si="64"/>
        <v>344.68263277667978</v>
      </c>
      <c r="Y120" s="17">
        <f t="shared" si="65"/>
        <v>510.92311407334483</v>
      </c>
      <c r="Z120" s="17">
        <f t="shared" si="66"/>
        <v>444.94835347821106</v>
      </c>
      <c r="AA120" s="17">
        <f t="shared" si="67"/>
        <v>454.30913515264302</v>
      </c>
      <c r="AB120" s="17">
        <f t="shared" si="68"/>
        <v>443.73335619405373</v>
      </c>
      <c r="AC120" s="17">
        <v>0</v>
      </c>
      <c r="AD120" s="17">
        <f t="shared" si="69"/>
        <v>0</v>
      </c>
      <c r="AE120" s="17">
        <f t="shared" si="70"/>
        <v>0</v>
      </c>
      <c r="AF120" s="17">
        <f t="shared" si="71"/>
        <v>0</v>
      </c>
      <c r="AG120" s="17">
        <f t="shared" si="72"/>
        <v>0</v>
      </c>
      <c r="AH120" s="17">
        <f t="shared" si="73"/>
        <v>0</v>
      </c>
      <c r="AI120" s="17">
        <f t="shared" si="74"/>
        <v>0</v>
      </c>
      <c r="AJ120" s="17">
        <f t="shared" si="75"/>
        <v>0</v>
      </c>
      <c r="AK120" s="17">
        <f t="shared" si="76"/>
        <v>0</v>
      </c>
      <c r="AL120" s="17">
        <f t="shared" si="77"/>
        <v>0</v>
      </c>
      <c r="AM120" s="17">
        <f t="shared" si="78"/>
        <v>0</v>
      </c>
      <c r="AN120" s="17">
        <f t="shared" si="79"/>
        <v>0</v>
      </c>
      <c r="AO120" s="17">
        <f t="shared" si="80"/>
        <v>0</v>
      </c>
      <c r="AP120" s="17">
        <f t="shared" si="81"/>
        <v>6000</v>
      </c>
      <c r="AQ120" s="18">
        <v>4459.0782974371123</v>
      </c>
      <c r="AR120" s="18">
        <v>5332.6389417225992</v>
      </c>
      <c r="AS120" s="18">
        <v>4719.4245424273822</v>
      </c>
      <c r="AT120" s="18">
        <v>3574.7824934275245</v>
      </c>
      <c r="AU120" s="18">
        <v>5184.2859052683816</v>
      </c>
      <c r="AV120" s="18">
        <v>4248.5165476272323</v>
      </c>
      <c r="AW120" s="18">
        <v>4229.6939438631352</v>
      </c>
      <c r="AX120" s="18">
        <v>2872.3552731389982</v>
      </c>
      <c r="AY120" s="18">
        <v>4257.692617277874</v>
      </c>
      <c r="AZ120" s="18">
        <v>3707.9029456517587</v>
      </c>
      <c r="BA120" s="18">
        <v>3785.9094596053583</v>
      </c>
      <c r="BB120" s="18">
        <v>3697.7779682837809</v>
      </c>
      <c r="BC120" s="23">
        <v>8.9181565948742242E-2</v>
      </c>
      <c r="BD120" s="23">
        <v>0.10665277883445198</v>
      </c>
      <c r="BE120" s="23">
        <v>9.438849084854764E-2</v>
      </c>
      <c r="BF120" s="23">
        <v>7.149564986855049E-2</v>
      </c>
      <c r="BG120" s="23">
        <v>0.10368571810536763</v>
      </c>
      <c r="BH120" s="23">
        <v>8.4970330952544637E-2</v>
      </c>
      <c r="BI120" s="23">
        <v>8.4593878877262704E-2</v>
      </c>
      <c r="BJ120" s="23">
        <v>5.7447105462779965E-2</v>
      </c>
      <c r="BK120" s="23">
        <v>8.5153852345557474E-2</v>
      </c>
      <c r="BL120" s="23">
        <v>7.4158058913035174E-2</v>
      </c>
      <c r="BM120" s="23">
        <v>7.5718189192107169E-2</v>
      </c>
      <c r="BN120" s="23">
        <v>7.3955559365675619E-2</v>
      </c>
    </row>
    <row r="121" spans="1:66" x14ac:dyDescent="0.25">
      <c r="A121" s="16">
        <v>1064</v>
      </c>
      <c r="B121" s="16" t="s">
        <v>317</v>
      </c>
      <c r="C121" s="17">
        <v>25000</v>
      </c>
      <c r="D121" s="17">
        <f t="shared" si="45"/>
        <v>2229.5391487185561</v>
      </c>
      <c r="E121" s="17">
        <f t="shared" si="46"/>
        <v>2666.3194708612996</v>
      </c>
      <c r="F121" s="17">
        <f t="shared" si="47"/>
        <v>2359.7122712136911</v>
      </c>
      <c r="G121" s="17">
        <f t="shared" si="48"/>
        <v>1787.3912467137623</v>
      </c>
      <c r="H121" s="17">
        <f t="shared" si="49"/>
        <v>2592.1429526341908</v>
      </c>
      <c r="I121" s="17">
        <f t="shared" si="50"/>
        <v>2124.2582738136161</v>
      </c>
      <c r="J121" s="17">
        <f t="shared" si="51"/>
        <v>2114.8469719315676</v>
      </c>
      <c r="K121" s="17">
        <f t="shared" si="52"/>
        <v>1436.1776365694991</v>
      </c>
      <c r="L121" s="17">
        <f t="shared" si="53"/>
        <v>2128.846308638937</v>
      </c>
      <c r="M121" s="17">
        <f t="shared" si="54"/>
        <v>1853.9514728258794</v>
      </c>
      <c r="N121" s="17">
        <f t="shared" si="55"/>
        <v>1892.9547298026791</v>
      </c>
      <c r="O121" s="17">
        <f t="shared" si="56"/>
        <v>1848.8889841418904</v>
      </c>
      <c r="P121" s="17">
        <v>3000</v>
      </c>
      <c r="Q121" s="17">
        <f t="shared" si="57"/>
        <v>267.54469784622671</v>
      </c>
      <c r="R121" s="17">
        <f t="shared" si="58"/>
        <v>319.95833650335595</v>
      </c>
      <c r="S121" s="17">
        <f t="shared" si="59"/>
        <v>283.1654725456429</v>
      </c>
      <c r="T121" s="17">
        <f t="shared" si="60"/>
        <v>214.48694960565146</v>
      </c>
      <c r="U121" s="17">
        <f t="shared" si="61"/>
        <v>311.05715431610287</v>
      </c>
      <c r="V121" s="17">
        <f t="shared" si="62"/>
        <v>254.91099285763391</v>
      </c>
      <c r="W121" s="17">
        <f t="shared" si="63"/>
        <v>253.7816366317881</v>
      </c>
      <c r="X121" s="17">
        <f t="shared" si="64"/>
        <v>172.34131638833989</v>
      </c>
      <c r="Y121" s="17">
        <f t="shared" si="65"/>
        <v>255.46155703667242</v>
      </c>
      <c r="Z121" s="17">
        <f t="shared" si="66"/>
        <v>222.47417673910553</v>
      </c>
      <c r="AA121" s="17">
        <f t="shared" si="67"/>
        <v>227.15456757632151</v>
      </c>
      <c r="AB121" s="17">
        <f t="shared" si="68"/>
        <v>221.86667809702686</v>
      </c>
      <c r="AC121" s="17">
        <v>0</v>
      </c>
      <c r="AD121" s="17">
        <f t="shared" si="69"/>
        <v>0</v>
      </c>
      <c r="AE121" s="17">
        <f t="shared" si="70"/>
        <v>0</v>
      </c>
      <c r="AF121" s="17">
        <f t="shared" si="71"/>
        <v>0</v>
      </c>
      <c r="AG121" s="17">
        <f t="shared" si="72"/>
        <v>0</v>
      </c>
      <c r="AH121" s="17">
        <f t="shared" si="73"/>
        <v>0</v>
      </c>
      <c r="AI121" s="17">
        <f t="shared" si="74"/>
        <v>0</v>
      </c>
      <c r="AJ121" s="17">
        <f t="shared" si="75"/>
        <v>0</v>
      </c>
      <c r="AK121" s="17">
        <f t="shared" si="76"/>
        <v>0</v>
      </c>
      <c r="AL121" s="17">
        <f t="shared" si="77"/>
        <v>0</v>
      </c>
      <c r="AM121" s="17">
        <f t="shared" si="78"/>
        <v>0</v>
      </c>
      <c r="AN121" s="17">
        <f t="shared" si="79"/>
        <v>0</v>
      </c>
      <c r="AO121" s="17">
        <f t="shared" si="80"/>
        <v>0</v>
      </c>
      <c r="AP121" s="17">
        <f t="shared" si="81"/>
        <v>28000</v>
      </c>
      <c r="AQ121" s="18">
        <v>1296.111994830412</v>
      </c>
      <c r="AR121" s="18">
        <v>1550.0282424820762</v>
      </c>
      <c r="AS121" s="18">
        <v>1371.7863536177181</v>
      </c>
      <c r="AT121" s="18">
        <v>1039.0753782691406</v>
      </c>
      <c r="AU121" s="18">
        <v>1506.9067413125765</v>
      </c>
      <c r="AV121" s="18">
        <v>1234.9084026580288</v>
      </c>
      <c r="AW121" s="18">
        <v>1229.4372714319618</v>
      </c>
      <c r="AX121" s="18">
        <v>834.90216466250456</v>
      </c>
      <c r="AY121" s="18">
        <v>1237.5755937558913</v>
      </c>
      <c r="AZ121" s="18">
        <v>1077.7692525131176</v>
      </c>
      <c r="BA121" s="18">
        <v>1100.4432608318946</v>
      </c>
      <c r="BB121" s="18">
        <v>1074.8262441740255</v>
      </c>
      <c r="BC121" s="23">
        <v>8.9181565948742242E-2</v>
      </c>
      <c r="BD121" s="23">
        <v>0.10665277883445198</v>
      </c>
      <c r="BE121" s="23">
        <v>9.438849084854764E-2</v>
      </c>
      <c r="BF121" s="23">
        <v>7.149564986855049E-2</v>
      </c>
      <c r="BG121" s="23">
        <v>0.10368571810536763</v>
      </c>
      <c r="BH121" s="23">
        <v>8.4970330952544637E-2</v>
      </c>
      <c r="BI121" s="23">
        <v>8.4593878877262704E-2</v>
      </c>
      <c r="BJ121" s="23">
        <v>5.7447105462779965E-2</v>
      </c>
      <c r="BK121" s="23">
        <v>8.5153852345557474E-2</v>
      </c>
      <c r="BL121" s="23">
        <v>7.4158058913035174E-2</v>
      </c>
      <c r="BM121" s="23">
        <v>7.5718189192107169E-2</v>
      </c>
      <c r="BN121" s="23">
        <v>7.3955559365675619E-2</v>
      </c>
    </row>
    <row r="122" spans="1:66" x14ac:dyDescent="0.25">
      <c r="A122" s="16">
        <v>31002</v>
      </c>
      <c r="B122" s="16" t="s">
        <v>318</v>
      </c>
      <c r="C122" s="17">
        <v>0</v>
      </c>
      <c r="D122" s="17">
        <f t="shared" si="45"/>
        <v>0</v>
      </c>
      <c r="E122" s="17">
        <f t="shared" si="46"/>
        <v>0</v>
      </c>
      <c r="F122" s="17">
        <f t="shared" si="47"/>
        <v>0</v>
      </c>
      <c r="G122" s="17">
        <f t="shared" si="48"/>
        <v>0</v>
      </c>
      <c r="H122" s="17">
        <f t="shared" si="49"/>
        <v>0</v>
      </c>
      <c r="I122" s="17">
        <f t="shared" si="50"/>
        <v>0</v>
      </c>
      <c r="J122" s="17">
        <f t="shared" si="51"/>
        <v>0</v>
      </c>
      <c r="K122" s="17">
        <f t="shared" si="52"/>
        <v>0</v>
      </c>
      <c r="L122" s="17">
        <f t="shared" si="53"/>
        <v>0</v>
      </c>
      <c r="M122" s="17">
        <f t="shared" si="54"/>
        <v>0</v>
      </c>
      <c r="N122" s="17">
        <f t="shared" si="55"/>
        <v>0</v>
      </c>
      <c r="O122" s="17">
        <f t="shared" si="56"/>
        <v>0</v>
      </c>
      <c r="P122" s="17">
        <v>40000</v>
      </c>
      <c r="Q122" s="17">
        <f t="shared" si="57"/>
        <v>3567.2626379496896</v>
      </c>
      <c r="R122" s="17">
        <f t="shared" si="58"/>
        <v>4266.1111533780795</v>
      </c>
      <c r="S122" s="17">
        <f t="shared" si="59"/>
        <v>3775.5396339419058</v>
      </c>
      <c r="T122" s="17">
        <f t="shared" si="60"/>
        <v>2859.8259947420197</v>
      </c>
      <c r="U122" s="17">
        <f t="shared" si="61"/>
        <v>4147.4287242147047</v>
      </c>
      <c r="V122" s="17">
        <f t="shared" si="62"/>
        <v>3398.8132381017854</v>
      </c>
      <c r="W122" s="17">
        <f t="shared" si="63"/>
        <v>3383.7551550905082</v>
      </c>
      <c r="X122" s="17">
        <f t="shared" si="64"/>
        <v>2297.8842185111985</v>
      </c>
      <c r="Y122" s="17">
        <f t="shared" si="65"/>
        <v>3406.1540938222988</v>
      </c>
      <c r="Z122" s="17">
        <f t="shared" si="66"/>
        <v>2966.3223565214071</v>
      </c>
      <c r="AA122" s="17">
        <f t="shared" si="67"/>
        <v>3028.7275676842869</v>
      </c>
      <c r="AB122" s="17">
        <f t="shared" si="68"/>
        <v>2958.2223746270247</v>
      </c>
      <c r="AC122" s="17">
        <v>0</v>
      </c>
      <c r="AD122" s="17">
        <f t="shared" si="69"/>
        <v>0</v>
      </c>
      <c r="AE122" s="17">
        <f t="shared" si="70"/>
        <v>0</v>
      </c>
      <c r="AF122" s="17">
        <f t="shared" si="71"/>
        <v>0</v>
      </c>
      <c r="AG122" s="17">
        <f t="shared" si="72"/>
        <v>0</v>
      </c>
      <c r="AH122" s="17">
        <f t="shared" si="73"/>
        <v>0</v>
      </c>
      <c r="AI122" s="17">
        <f t="shared" si="74"/>
        <v>0</v>
      </c>
      <c r="AJ122" s="17">
        <f t="shared" si="75"/>
        <v>0</v>
      </c>
      <c r="AK122" s="17">
        <f t="shared" si="76"/>
        <v>0</v>
      </c>
      <c r="AL122" s="17">
        <f t="shared" si="77"/>
        <v>0</v>
      </c>
      <c r="AM122" s="17">
        <f t="shared" si="78"/>
        <v>0</v>
      </c>
      <c r="AN122" s="17">
        <f t="shared" si="79"/>
        <v>0</v>
      </c>
      <c r="AO122" s="17">
        <f t="shared" si="80"/>
        <v>0</v>
      </c>
      <c r="AP122" s="17">
        <f t="shared" si="81"/>
        <v>40000</v>
      </c>
      <c r="AQ122" s="18">
        <v>1285.1331197911602</v>
      </c>
      <c r="AR122" s="18">
        <v>1536.8985388381034</v>
      </c>
      <c r="AS122" s="18">
        <v>1360.166469674826</v>
      </c>
      <c r="AT122" s="18">
        <v>1030.273763300773</v>
      </c>
      <c r="AU122" s="18">
        <v>1494.1423036137789</v>
      </c>
      <c r="AV122" s="18">
        <v>1224.4479601254538</v>
      </c>
      <c r="AW122" s="18">
        <v>1219.0231727850187</v>
      </c>
      <c r="AX122" s="18">
        <v>827.83002385029806</v>
      </c>
      <c r="AY122" s="18">
        <v>1227.0925584551867</v>
      </c>
      <c r="AZ122" s="18">
        <v>1068.6398763545108</v>
      </c>
      <c r="BA122" s="18">
        <v>1091.121821715022</v>
      </c>
      <c r="BB122" s="18">
        <v>1065.7217971271953</v>
      </c>
      <c r="BC122" s="23">
        <v>8.9181565948742242E-2</v>
      </c>
      <c r="BD122" s="23">
        <v>0.10665277883445198</v>
      </c>
      <c r="BE122" s="23">
        <v>9.438849084854764E-2</v>
      </c>
      <c r="BF122" s="23">
        <v>7.149564986855049E-2</v>
      </c>
      <c r="BG122" s="23">
        <v>0.10368571810536763</v>
      </c>
      <c r="BH122" s="23">
        <v>8.4970330952544637E-2</v>
      </c>
      <c r="BI122" s="23">
        <v>8.4593878877262704E-2</v>
      </c>
      <c r="BJ122" s="23">
        <v>5.7447105462779965E-2</v>
      </c>
      <c r="BK122" s="23">
        <v>8.5153852345557474E-2</v>
      </c>
      <c r="BL122" s="23">
        <v>7.4158058913035174E-2</v>
      </c>
      <c r="BM122" s="23">
        <v>7.5718189192107169E-2</v>
      </c>
      <c r="BN122" s="23">
        <v>7.3955559365675619E-2</v>
      </c>
    </row>
    <row r="123" spans="1:66" x14ac:dyDescent="0.25">
      <c r="A123" s="16">
        <v>2820</v>
      </c>
      <c r="B123" s="16" t="s">
        <v>319</v>
      </c>
      <c r="C123" s="17">
        <v>18000</v>
      </c>
      <c r="D123" s="17">
        <f t="shared" si="45"/>
        <v>1605.2681870773604</v>
      </c>
      <c r="E123" s="17">
        <f t="shared" si="46"/>
        <v>1919.7500190201356</v>
      </c>
      <c r="F123" s="17">
        <f t="shared" si="47"/>
        <v>1698.9928352738575</v>
      </c>
      <c r="G123" s="17">
        <f t="shared" si="48"/>
        <v>1286.9216976339087</v>
      </c>
      <c r="H123" s="17">
        <f t="shared" si="49"/>
        <v>1866.3429258966173</v>
      </c>
      <c r="I123" s="17">
        <f t="shared" si="50"/>
        <v>1529.4659571458035</v>
      </c>
      <c r="J123" s="17">
        <f t="shared" si="51"/>
        <v>1522.6898197907287</v>
      </c>
      <c r="K123" s="17">
        <f t="shared" si="52"/>
        <v>1034.0478983300393</v>
      </c>
      <c r="L123" s="17">
        <f t="shared" si="53"/>
        <v>1532.7693422200346</v>
      </c>
      <c r="M123" s="17">
        <f t="shared" si="54"/>
        <v>1334.8450604346331</v>
      </c>
      <c r="N123" s="17">
        <f t="shared" si="55"/>
        <v>1362.9274054579291</v>
      </c>
      <c r="O123" s="17">
        <f t="shared" si="56"/>
        <v>1331.2000685821611</v>
      </c>
      <c r="P123" s="17">
        <v>0</v>
      </c>
      <c r="Q123" s="17">
        <f t="shared" si="57"/>
        <v>0</v>
      </c>
      <c r="R123" s="17">
        <f t="shared" si="58"/>
        <v>0</v>
      </c>
      <c r="S123" s="17">
        <f t="shared" si="59"/>
        <v>0</v>
      </c>
      <c r="T123" s="17">
        <f t="shared" si="60"/>
        <v>0</v>
      </c>
      <c r="U123" s="17">
        <f t="shared" si="61"/>
        <v>0</v>
      </c>
      <c r="V123" s="17">
        <f t="shared" si="62"/>
        <v>0</v>
      </c>
      <c r="W123" s="17">
        <f t="shared" si="63"/>
        <v>0</v>
      </c>
      <c r="X123" s="17">
        <f t="shared" si="64"/>
        <v>0</v>
      </c>
      <c r="Y123" s="17">
        <f t="shared" si="65"/>
        <v>0</v>
      </c>
      <c r="Z123" s="17">
        <f t="shared" si="66"/>
        <v>0</v>
      </c>
      <c r="AA123" s="17">
        <f t="shared" si="67"/>
        <v>0</v>
      </c>
      <c r="AB123" s="17">
        <f t="shared" si="68"/>
        <v>0</v>
      </c>
      <c r="AC123" s="17">
        <v>0</v>
      </c>
      <c r="AD123" s="17">
        <f t="shared" si="69"/>
        <v>0</v>
      </c>
      <c r="AE123" s="17">
        <f t="shared" si="70"/>
        <v>0</v>
      </c>
      <c r="AF123" s="17">
        <f t="shared" si="71"/>
        <v>0</v>
      </c>
      <c r="AG123" s="17">
        <f t="shared" si="72"/>
        <v>0</v>
      </c>
      <c r="AH123" s="17">
        <f t="shared" si="73"/>
        <v>0</v>
      </c>
      <c r="AI123" s="17">
        <f t="shared" si="74"/>
        <v>0</v>
      </c>
      <c r="AJ123" s="17">
        <f t="shared" si="75"/>
        <v>0</v>
      </c>
      <c r="AK123" s="17">
        <f t="shared" si="76"/>
        <v>0</v>
      </c>
      <c r="AL123" s="17">
        <f t="shared" si="77"/>
        <v>0</v>
      </c>
      <c r="AM123" s="17">
        <f t="shared" si="78"/>
        <v>0</v>
      </c>
      <c r="AN123" s="17">
        <f t="shared" si="79"/>
        <v>0</v>
      </c>
      <c r="AO123" s="17">
        <f t="shared" si="80"/>
        <v>0</v>
      </c>
      <c r="AP123" s="17">
        <f t="shared" si="81"/>
        <v>18000</v>
      </c>
      <c r="AQ123" s="18">
        <v>1248.5419232823913</v>
      </c>
      <c r="AR123" s="18">
        <v>1493.1389036823277</v>
      </c>
      <c r="AS123" s="18">
        <v>1321.438871879667</v>
      </c>
      <c r="AT123" s="18">
        <v>1000.9390981597069</v>
      </c>
      <c r="AU123" s="18">
        <v>1451.6000534751468</v>
      </c>
      <c r="AV123" s="18">
        <v>1189.5846333356249</v>
      </c>
      <c r="AW123" s="18">
        <v>1184.3143042816778</v>
      </c>
      <c r="AX123" s="18">
        <v>804.25947647891951</v>
      </c>
      <c r="AY123" s="18">
        <v>1192.1539328378046</v>
      </c>
      <c r="AZ123" s="18">
        <v>1038.2128247824924</v>
      </c>
      <c r="BA123" s="18">
        <v>1060.0546486895003</v>
      </c>
      <c r="BB123" s="18">
        <v>1035.3778311194587</v>
      </c>
      <c r="BC123" s="23">
        <v>8.9181565948742242E-2</v>
      </c>
      <c r="BD123" s="23">
        <v>0.10665277883445198</v>
      </c>
      <c r="BE123" s="23">
        <v>9.438849084854764E-2</v>
      </c>
      <c r="BF123" s="23">
        <v>7.149564986855049E-2</v>
      </c>
      <c r="BG123" s="23">
        <v>0.10368571810536763</v>
      </c>
      <c r="BH123" s="23">
        <v>8.4970330952544637E-2</v>
      </c>
      <c r="BI123" s="23">
        <v>8.4593878877262704E-2</v>
      </c>
      <c r="BJ123" s="23">
        <v>5.7447105462779965E-2</v>
      </c>
      <c r="BK123" s="23">
        <v>8.5153852345557474E-2</v>
      </c>
      <c r="BL123" s="23">
        <v>7.4158058913035174E-2</v>
      </c>
      <c r="BM123" s="23">
        <v>7.5718189192107169E-2</v>
      </c>
      <c r="BN123" s="23">
        <v>7.3955559365675619E-2</v>
      </c>
    </row>
    <row r="124" spans="1:66" x14ac:dyDescent="0.25">
      <c r="A124" s="16">
        <v>3396</v>
      </c>
      <c r="B124" s="16" t="s">
        <v>320</v>
      </c>
      <c r="C124" s="17">
        <v>15000</v>
      </c>
      <c r="D124" s="17">
        <f t="shared" si="45"/>
        <v>1337.7234892311337</v>
      </c>
      <c r="E124" s="17">
        <f t="shared" si="46"/>
        <v>1599.7916825167797</v>
      </c>
      <c r="F124" s="17">
        <f t="shared" si="47"/>
        <v>1415.8273627282147</v>
      </c>
      <c r="G124" s="17">
        <f t="shared" si="48"/>
        <v>1072.4347480282574</v>
      </c>
      <c r="H124" s="17">
        <f t="shared" si="49"/>
        <v>1555.2857715805144</v>
      </c>
      <c r="I124" s="17">
        <f t="shared" si="50"/>
        <v>1274.5549642881695</v>
      </c>
      <c r="J124" s="17">
        <f t="shared" si="51"/>
        <v>1268.9081831589406</v>
      </c>
      <c r="K124" s="17">
        <f t="shared" si="52"/>
        <v>861.70658194169948</v>
      </c>
      <c r="L124" s="17">
        <f t="shared" si="53"/>
        <v>1277.3077851833621</v>
      </c>
      <c r="M124" s="17">
        <f t="shared" si="54"/>
        <v>1112.3708836955277</v>
      </c>
      <c r="N124" s="17">
        <f t="shared" si="55"/>
        <v>1135.7728378816075</v>
      </c>
      <c r="O124" s="17">
        <f t="shared" si="56"/>
        <v>1109.3333904851343</v>
      </c>
      <c r="P124" s="17">
        <v>0</v>
      </c>
      <c r="Q124" s="17">
        <f t="shared" si="57"/>
        <v>0</v>
      </c>
      <c r="R124" s="17">
        <f t="shared" si="58"/>
        <v>0</v>
      </c>
      <c r="S124" s="17">
        <f t="shared" si="59"/>
        <v>0</v>
      </c>
      <c r="T124" s="17">
        <f t="shared" si="60"/>
        <v>0</v>
      </c>
      <c r="U124" s="17">
        <f t="shared" si="61"/>
        <v>0</v>
      </c>
      <c r="V124" s="17">
        <f t="shared" si="62"/>
        <v>0</v>
      </c>
      <c r="W124" s="17">
        <f t="shared" si="63"/>
        <v>0</v>
      </c>
      <c r="X124" s="17">
        <f t="shared" si="64"/>
        <v>0</v>
      </c>
      <c r="Y124" s="17">
        <f t="shared" si="65"/>
        <v>0</v>
      </c>
      <c r="Z124" s="17">
        <f t="shared" si="66"/>
        <v>0</v>
      </c>
      <c r="AA124" s="17">
        <f t="shared" si="67"/>
        <v>0</v>
      </c>
      <c r="AB124" s="17">
        <f t="shared" si="68"/>
        <v>0</v>
      </c>
      <c r="AC124" s="17">
        <v>0</v>
      </c>
      <c r="AD124" s="17">
        <f t="shared" si="69"/>
        <v>0</v>
      </c>
      <c r="AE124" s="17">
        <f t="shared" si="70"/>
        <v>0</v>
      </c>
      <c r="AF124" s="17">
        <f t="shared" si="71"/>
        <v>0</v>
      </c>
      <c r="AG124" s="17">
        <f t="shared" si="72"/>
        <v>0</v>
      </c>
      <c r="AH124" s="17">
        <f t="shared" si="73"/>
        <v>0</v>
      </c>
      <c r="AI124" s="17">
        <f t="shared" si="74"/>
        <v>0</v>
      </c>
      <c r="AJ124" s="17">
        <f t="shared" si="75"/>
        <v>0</v>
      </c>
      <c r="AK124" s="17">
        <f t="shared" si="76"/>
        <v>0</v>
      </c>
      <c r="AL124" s="17">
        <f t="shared" si="77"/>
        <v>0</v>
      </c>
      <c r="AM124" s="17">
        <f t="shared" si="78"/>
        <v>0</v>
      </c>
      <c r="AN124" s="17">
        <f t="shared" si="79"/>
        <v>0</v>
      </c>
      <c r="AO124" s="17">
        <f t="shared" si="80"/>
        <v>0</v>
      </c>
      <c r="AP124" s="17">
        <f t="shared" si="81"/>
        <v>15000</v>
      </c>
      <c r="AQ124" s="18">
        <v>1159.3603573336491</v>
      </c>
      <c r="AR124" s="18">
        <v>1386.4861248478758</v>
      </c>
      <c r="AS124" s="18">
        <v>1227.0503810311193</v>
      </c>
      <c r="AT124" s="18">
        <v>929.44344829115641</v>
      </c>
      <c r="AU124" s="18">
        <v>1347.9143353697791</v>
      </c>
      <c r="AV124" s="18">
        <v>1104.6143023830803</v>
      </c>
      <c r="AW124" s="18">
        <v>1099.7204254044152</v>
      </c>
      <c r="AX124" s="18">
        <v>746.81237101613954</v>
      </c>
      <c r="AY124" s="18">
        <v>1107.0000804922472</v>
      </c>
      <c r="AZ124" s="18">
        <v>964.05476586945724</v>
      </c>
      <c r="BA124" s="18">
        <v>984.33645949739321</v>
      </c>
      <c r="BB124" s="18">
        <v>961.42227175378309</v>
      </c>
      <c r="BC124" s="23">
        <v>8.9181565948742242E-2</v>
      </c>
      <c r="BD124" s="23">
        <v>0.10665277883445198</v>
      </c>
      <c r="BE124" s="23">
        <v>9.438849084854764E-2</v>
      </c>
      <c r="BF124" s="23">
        <v>7.149564986855049E-2</v>
      </c>
      <c r="BG124" s="23">
        <v>0.10368571810536763</v>
      </c>
      <c r="BH124" s="23">
        <v>8.4970330952544637E-2</v>
      </c>
      <c r="BI124" s="23">
        <v>8.4593878877262704E-2</v>
      </c>
      <c r="BJ124" s="23">
        <v>5.7447105462779965E-2</v>
      </c>
      <c r="BK124" s="23">
        <v>8.5153852345557474E-2</v>
      </c>
      <c r="BL124" s="23">
        <v>7.4158058913035174E-2</v>
      </c>
      <c r="BM124" s="23">
        <v>7.5718189192107169E-2</v>
      </c>
      <c r="BN124" s="23">
        <v>7.3955559365675619E-2</v>
      </c>
    </row>
    <row r="125" spans="1:66" x14ac:dyDescent="0.25">
      <c r="A125" s="16">
        <v>5425</v>
      </c>
      <c r="B125" s="16" t="s">
        <v>321</v>
      </c>
      <c r="C125" s="17">
        <v>13000</v>
      </c>
      <c r="D125" s="17">
        <f t="shared" si="45"/>
        <v>1159.3603573336491</v>
      </c>
      <c r="E125" s="17">
        <f t="shared" si="46"/>
        <v>1386.4861248478758</v>
      </c>
      <c r="F125" s="17">
        <f t="shared" si="47"/>
        <v>1227.0503810311193</v>
      </c>
      <c r="G125" s="17">
        <f t="shared" si="48"/>
        <v>929.44344829115641</v>
      </c>
      <c r="H125" s="17">
        <f t="shared" si="49"/>
        <v>1347.9143353697791</v>
      </c>
      <c r="I125" s="17">
        <f t="shared" si="50"/>
        <v>1104.6143023830803</v>
      </c>
      <c r="J125" s="17">
        <f t="shared" si="51"/>
        <v>1099.7204254044152</v>
      </c>
      <c r="K125" s="17">
        <f t="shared" si="52"/>
        <v>746.81237101613954</v>
      </c>
      <c r="L125" s="17">
        <f t="shared" si="53"/>
        <v>1107.0000804922472</v>
      </c>
      <c r="M125" s="17">
        <f t="shared" si="54"/>
        <v>964.05476586945724</v>
      </c>
      <c r="N125" s="17">
        <f t="shared" si="55"/>
        <v>984.33645949739321</v>
      </c>
      <c r="O125" s="17">
        <f t="shared" si="56"/>
        <v>961.42227175378309</v>
      </c>
      <c r="P125" s="17">
        <v>0</v>
      </c>
      <c r="Q125" s="17">
        <f t="shared" si="57"/>
        <v>0</v>
      </c>
      <c r="R125" s="17">
        <f t="shared" si="58"/>
        <v>0</v>
      </c>
      <c r="S125" s="17">
        <f t="shared" si="59"/>
        <v>0</v>
      </c>
      <c r="T125" s="17">
        <f t="shared" si="60"/>
        <v>0</v>
      </c>
      <c r="U125" s="17">
        <f t="shared" si="61"/>
        <v>0</v>
      </c>
      <c r="V125" s="17">
        <f t="shared" si="62"/>
        <v>0</v>
      </c>
      <c r="W125" s="17">
        <f t="shared" si="63"/>
        <v>0</v>
      </c>
      <c r="X125" s="17">
        <f t="shared" si="64"/>
        <v>0</v>
      </c>
      <c r="Y125" s="17">
        <f t="shared" si="65"/>
        <v>0</v>
      </c>
      <c r="Z125" s="17">
        <f t="shared" si="66"/>
        <v>0</v>
      </c>
      <c r="AA125" s="17">
        <f t="shared" si="67"/>
        <v>0</v>
      </c>
      <c r="AB125" s="17">
        <f t="shared" si="68"/>
        <v>0</v>
      </c>
      <c r="AC125" s="17">
        <v>0</v>
      </c>
      <c r="AD125" s="17">
        <f t="shared" si="69"/>
        <v>0</v>
      </c>
      <c r="AE125" s="17">
        <f t="shared" si="70"/>
        <v>0</v>
      </c>
      <c r="AF125" s="17">
        <f t="shared" si="71"/>
        <v>0</v>
      </c>
      <c r="AG125" s="17">
        <f t="shared" si="72"/>
        <v>0</v>
      </c>
      <c r="AH125" s="17">
        <f t="shared" si="73"/>
        <v>0</v>
      </c>
      <c r="AI125" s="17">
        <f t="shared" si="74"/>
        <v>0</v>
      </c>
      <c r="AJ125" s="17">
        <f t="shared" si="75"/>
        <v>0</v>
      </c>
      <c r="AK125" s="17">
        <f t="shared" si="76"/>
        <v>0</v>
      </c>
      <c r="AL125" s="17">
        <f t="shared" si="77"/>
        <v>0</v>
      </c>
      <c r="AM125" s="17">
        <f t="shared" si="78"/>
        <v>0</v>
      </c>
      <c r="AN125" s="17">
        <f t="shared" si="79"/>
        <v>0</v>
      </c>
      <c r="AO125" s="17">
        <f t="shared" si="80"/>
        <v>0</v>
      </c>
      <c r="AP125" s="17">
        <f t="shared" si="81"/>
        <v>13000</v>
      </c>
      <c r="AQ125" s="18">
        <v>1159.3603573336491</v>
      </c>
      <c r="AR125" s="18">
        <v>1386.4861248478758</v>
      </c>
      <c r="AS125" s="18">
        <v>1227.0503810311193</v>
      </c>
      <c r="AT125" s="18">
        <v>929.44344829115641</v>
      </c>
      <c r="AU125" s="18">
        <v>1347.9143353697791</v>
      </c>
      <c r="AV125" s="18">
        <v>1104.6143023830803</v>
      </c>
      <c r="AW125" s="18">
        <v>1099.7204254044152</v>
      </c>
      <c r="AX125" s="18">
        <v>746.81237101613954</v>
      </c>
      <c r="AY125" s="18">
        <v>1107.0000804922472</v>
      </c>
      <c r="AZ125" s="18">
        <v>964.05476586945724</v>
      </c>
      <c r="BA125" s="18">
        <v>984.33645949739321</v>
      </c>
      <c r="BB125" s="18">
        <v>961.42227175378309</v>
      </c>
      <c r="BC125" s="23">
        <v>8.9181565948742242E-2</v>
      </c>
      <c r="BD125" s="23">
        <v>0.10665277883445198</v>
      </c>
      <c r="BE125" s="23">
        <v>9.438849084854764E-2</v>
      </c>
      <c r="BF125" s="23">
        <v>7.149564986855049E-2</v>
      </c>
      <c r="BG125" s="23">
        <v>0.10368571810536763</v>
      </c>
      <c r="BH125" s="23">
        <v>8.4970330952544637E-2</v>
      </c>
      <c r="BI125" s="23">
        <v>8.4593878877262704E-2</v>
      </c>
      <c r="BJ125" s="23">
        <v>5.7447105462779965E-2</v>
      </c>
      <c r="BK125" s="23">
        <v>8.5153852345557474E-2</v>
      </c>
      <c r="BL125" s="23">
        <v>7.4158058913035174E-2</v>
      </c>
      <c r="BM125" s="23">
        <v>7.5718189192107169E-2</v>
      </c>
      <c r="BN125" s="23">
        <v>7.3955559365675619E-2</v>
      </c>
    </row>
    <row r="126" spans="1:66" x14ac:dyDescent="0.25">
      <c r="A126" s="16">
        <v>20328</v>
      </c>
      <c r="B126" s="16" t="s">
        <v>322</v>
      </c>
      <c r="C126" s="17">
        <v>13000</v>
      </c>
      <c r="D126" s="17">
        <f t="shared" si="45"/>
        <v>1159.3603573336491</v>
      </c>
      <c r="E126" s="17">
        <f t="shared" si="46"/>
        <v>1386.4861248478758</v>
      </c>
      <c r="F126" s="17">
        <f t="shared" si="47"/>
        <v>1227.0503810311193</v>
      </c>
      <c r="G126" s="17">
        <f t="shared" si="48"/>
        <v>929.44344829115641</v>
      </c>
      <c r="H126" s="17">
        <f t="shared" si="49"/>
        <v>1347.9143353697791</v>
      </c>
      <c r="I126" s="17">
        <f t="shared" si="50"/>
        <v>1104.6143023830803</v>
      </c>
      <c r="J126" s="17">
        <f t="shared" si="51"/>
        <v>1099.7204254044152</v>
      </c>
      <c r="K126" s="17">
        <f t="shared" si="52"/>
        <v>746.81237101613954</v>
      </c>
      <c r="L126" s="17">
        <f t="shared" si="53"/>
        <v>1107.0000804922472</v>
      </c>
      <c r="M126" s="17">
        <f t="shared" si="54"/>
        <v>964.05476586945724</v>
      </c>
      <c r="N126" s="17">
        <f t="shared" si="55"/>
        <v>984.33645949739321</v>
      </c>
      <c r="O126" s="17">
        <f t="shared" si="56"/>
        <v>961.42227175378309</v>
      </c>
      <c r="P126" s="17">
        <v>0</v>
      </c>
      <c r="Q126" s="17">
        <f t="shared" si="57"/>
        <v>0</v>
      </c>
      <c r="R126" s="17">
        <f t="shared" si="58"/>
        <v>0</v>
      </c>
      <c r="S126" s="17">
        <f t="shared" si="59"/>
        <v>0</v>
      </c>
      <c r="T126" s="17">
        <f t="shared" si="60"/>
        <v>0</v>
      </c>
      <c r="U126" s="17">
        <f t="shared" si="61"/>
        <v>0</v>
      </c>
      <c r="V126" s="17">
        <f t="shared" si="62"/>
        <v>0</v>
      </c>
      <c r="W126" s="17">
        <f t="shared" si="63"/>
        <v>0</v>
      </c>
      <c r="X126" s="17">
        <f t="shared" si="64"/>
        <v>0</v>
      </c>
      <c r="Y126" s="17">
        <f t="shared" si="65"/>
        <v>0</v>
      </c>
      <c r="Z126" s="17">
        <f t="shared" si="66"/>
        <v>0</v>
      </c>
      <c r="AA126" s="17">
        <f t="shared" si="67"/>
        <v>0</v>
      </c>
      <c r="AB126" s="17">
        <f t="shared" si="68"/>
        <v>0</v>
      </c>
      <c r="AC126" s="17">
        <v>0</v>
      </c>
      <c r="AD126" s="17">
        <f t="shared" si="69"/>
        <v>0</v>
      </c>
      <c r="AE126" s="17">
        <f t="shared" si="70"/>
        <v>0</v>
      </c>
      <c r="AF126" s="17">
        <f t="shared" si="71"/>
        <v>0</v>
      </c>
      <c r="AG126" s="17">
        <f t="shared" si="72"/>
        <v>0</v>
      </c>
      <c r="AH126" s="17">
        <f t="shared" si="73"/>
        <v>0</v>
      </c>
      <c r="AI126" s="17">
        <f t="shared" si="74"/>
        <v>0</v>
      </c>
      <c r="AJ126" s="17">
        <f t="shared" si="75"/>
        <v>0</v>
      </c>
      <c r="AK126" s="17">
        <f t="shared" si="76"/>
        <v>0</v>
      </c>
      <c r="AL126" s="17">
        <f t="shared" si="77"/>
        <v>0</v>
      </c>
      <c r="AM126" s="17">
        <f t="shared" si="78"/>
        <v>0</v>
      </c>
      <c r="AN126" s="17">
        <f t="shared" si="79"/>
        <v>0</v>
      </c>
      <c r="AO126" s="17">
        <f t="shared" si="80"/>
        <v>0</v>
      </c>
      <c r="AP126" s="17">
        <f t="shared" si="81"/>
        <v>13000</v>
      </c>
      <c r="AQ126" s="18">
        <v>1159.3603573336491</v>
      </c>
      <c r="AR126" s="18">
        <v>1386.4861248478758</v>
      </c>
      <c r="AS126" s="18">
        <v>1227.0503810311193</v>
      </c>
      <c r="AT126" s="18">
        <v>929.44344829115641</v>
      </c>
      <c r="AU126" s="18">
        <v>1347.9143353697791</v>
      </c>
      <c r="AV126" s="18">
        <v>1104.6143023830803</v>
      </c>
      <c r="AW126" s="18">
        <v>1099.7204254044152</v>
      </c>
      <c r="AX126" s="18">
        <v>746.81237101613954</v>
      </c>
      <c r="AY126" s="18">
        <v>1107.0000804922472</v>
      </c>
      <c r="AZ126" s="18">
        <v>964.05476586945724</v>
      </c>
      <c r="BA126" s="18">
        <v>984.33645949739321</v>
      </c>
      <c r="BB126" s="18">
        <v>961.42227175378309</v>
      </c>
      <c r="BC126" s="23">
        <v>8.9181565948742242E-2</v>
      </c>
      <c r="BD126" s="23">
        <v>0.10665277883445198</v>
      </c>
      <c r="BE126" s="23">
        <v>9.438849084854764E-2</v>
      </c>
      <c r="BF126" s="23">
        <v>7.149564986855049E-2</v>
      </c>
      <c r="BG126" s="23">
        <v>0.10368571810536763</v>
      </c>
      <c r="BH126" s="23">
        <v>8.4970330952544637E-2</v>
      </c>
      <c r="BI126" s="23">
        <v>8.4593878877262704E-2</v>
      </c>
      <c r="BJ126" s="23">
        <v>5.7447105462779965E-2</v>
      </c>
      <c r="BK126" s="23">
        <v>8.5153852345557474E-2</v>
      </c>
      <c r="BL126" s="23">
        <v>7.4158058913035174E-2</v>
      </c>
      <c r="BM126" s="23">
        <v>7.5718189192107169E-2</v>
      </c>
      <c r="BN126" s="23">
        <v>7.3955559365675619E-2</v>
      </c>
    </row>
    <row r="127" spans="1:66" x14ac:dyDescent="0.25">
      <c r="A127" s="16">
        <v>27041</v>
      </c>
      <c r="B127" s="16" t="s">
        <v>323</v>
      </c>
      <c r="C127" s="17">
        <v>0</v>
      </c>
      <c r="D127" s="17">
        <f t="shared" si="45"/>
        <v>0</v>
      </c>
      <c r="E127" s="17">
        <f t="shared" si="46"/>
        <v>0</v>
      </c>
      <c r="F127" s="17">
        <f t="shared" si="47"/>
        <v>0</v>
      </c>
      <c r="G127" s="17">
        <f t="shared" si="48"/>
        <v>0</v>
      </c>
      <c r="H127" s="17">
        <f t="shared" si="49"/>
        <v>0</v>
      </c>
      <c r="I127" s="17">
        <f t="shared" si="50"/>
        <v>0</v>
      </c>
      <c r="J127" s="17">
        <f t="shared" si="51"/>
        <v>0</v>
      </c>
      <c r="K127" s="17">
        <f t="shared" si="52"/>
        <v>0</v>
      </c>
      <c r="L127" s="17">
        <f t="shared" si="53"/>
        <v>0</v>
      </c>
      <c r="M127" s="17">
        <f t="shared" si="54"/>
        <v>0</v>
      </c>
      <c r="N127" s="17">
        <f t="shared" si="55"/>
        <v>0</v>
      </c>
      <c r="O127" s="17">
        <f t="shared" si="56"/>
        <v>0</v>
      </c>
      <c r="P127" s="17">
        <v>6000</v>
      </c>
      <c r="Q127" s="17">
        <f t="shared" si="57"/>
        <v>535.08939569245342</v>
      </c>
      <c r="R127" s="17">
        <f t="shared" si="58"/>
        <v>639.9166730067119</v>
      </c>
      <c r="S127" s="17">
        <f t="shared" si="59"/>
        <v>566.3309450912858</v>
      </c>
      <c r="T127" s="17">
        <f t="shared" si="60"/>
        <v>428.97389921130292</v>
      </c>
      <c r="U127" s="17">
        <f t="shared" si="61"/>
        <v>622.11430863220573</v>
      </c>
      <c r="V127" s="17">
        <f t="shared" si="62"/>
        <v>509.82198571526783</v>
      </c>
      <c r="W127" s="17">
        <f t="shared" si="63"/>
        <v>507.56327326357621</v>
      </c>
      <c r="X127" s="17">
        <f t="shared" si="64"/>
        <v>344.68263277667978</v>
      </c>
      <c r="Y127" s="17">
        <f t="shared" si="65"/>
        <v>510.92311407334483</v>
      </c>
      <c r="Z127" s="17">
        <f t="shared" si="66"/>
        <v>444.94835347821106</v>
      </c>
      <c r="AA127" s="17">
        <f t="shared" si="67"/>
        <v>454.30913515264302</v>
      </c>
      <c r="AB127" s="17">
        <f t="shared" si="68"/>
        <v>443.73335619405373</v>
      </c>
      <c r="AC127" s="17">
        <v>0</v>
      </c>
      <c r="AD127" s="17">
        <f t="shared" si="69"/>
        <v>0</v>
      </c>
      <c r="AE127" s="17">
        <f t="shared" si="70"/>
        <v>0</v>
      </c>
      <c r="AF127" s="17">
        <f t="shared" si="71"/>
        <v>0</v>
      </c>
      <c r="AG127" s="17">
        <f t="shared" si="72"/>
        <v>0</v>
      </c>
      <c r="AH127" s="17">
        <f t="shared" si="73"/>
        <v>0</v>
      </c>
      <c r="AI127" s="17">
        <f t="shared" si="74"/>
        <v>0</v>
      </c>
      <c r="AJ127" s="17">
        <f t="shared" si="75"/>
        <v>0</v>
      </c>
      <c r="AK127" s="17">
        <f t="shared" si="76"/>
        <v>0</v>
      </c>
      <c r="AL127" s="17">
        <f t="shared" si="77"/>
        <v>0</v>
      </c>
      <c r="AM127" s="17">
        <f t="shared" si="78"/>
        <v>0</v>
      </c>
      <c r="AN127" s="17">
        <f t="shared" si="79"/>
        <v>0</v>
      </c>
      <c r="AO127" s="17">
        <f t="shared" si="80"/>
        <v>0</v>
      </c>
      <c r="AP127" s="17">
        <f t="shared" si="81"/>
        <v>6000</v>
      </c>
      <c r="AQ127" s="18">
        <v>1159.3603573336491</v>
      </c>
      <c r="AR127" s="18">
        <v>1386.4861248478758</v>
      </c>
      <c r="AS127" s="18">
        <v>1227.0503810311193</v>
      </c>
      <c r="AT127" s="18">
        <v>929.44344829115641</v>
      </c>
      <c r="AU127" s="18">
        <v>1347.9143353697791</v>
      </c>
      <c r="AV127" s="18">
        <v>1104.6143023830803</v>
      </c>
      <c r="AW127" s="18">
        <v>1099.7204254044152</v>
      </c>
      <c r="AX127" s="18">
        <v>746.81237101613954</v>
      </c>
      <c r="AY127" s="18">
        <v>1107.0000804922472</v>
      </c>
      <c r="AZ127" s="18">
        <v>964.05476586945724</v>
      </c>
      <c r="BA127" s="18">
        <v>984.33645949739321</v>
      </c>
      <c r="BB127" s="18">
        <v>961.42227175378309</v>
      </c>
      <c r="BC127" s="23">
        <v>8.9181565948742242E-2</v>
      </c>
      <c r="BD127" s="23">
        <v>0.10665277883445198</v>
      </c>
      <c r="BE127" s="23">
        <v>9.438849084854764E-2</v>
      </c>
      <c r="BF127" s="23">
        <v>7.149564986855049E-2</v>
      </c>
      <c r="BG127" s="23">
        <v>0.10368571810536763</v>
      </c>
      <c r="BH127" s="23">
        <v>8.4970330952544637E-2</v>
      </c>
      <c r="BI127" s="23">
        <v>8.4593878877262704E-2</v>
      </c>
      <c r="BJ127" s="23">
        <v>5.7447105462779965E-2</v>
      </c>
      <c r="BK127" s="23">
        <v>8.5153852345557474E-2</v>
      </c>
      <c r="BL127" s="23">
        <v>7.4158058913035174E-2</v>
      </c>
      <c r="BM127" s="23">
        <v>7.5718189192107169E-2</v>
      </c>
      <c r="BN127" s="23">
        <v>7.3955559365675619E-2</v>
      </c>
    </row>
    <row r="128" spans="1:66" x14ac:dyDescent="0.25">
      <c r="A128" s="16">
        <v>3928</v>
      </c>
      <c r="B128" s="16" t="s">
        <v>324</v>
      </c>
      <c r="C128" s="17">
        <v>0</v>
      </c>
      <c r="D128" s="17">
        <f t="shared" si="45"/>
        <v>0</v>
      </c>
      <c r="E128" s="17">
        <f t="shared" si="46"/>
        <v>0</v>
      </c>
      <c r="F128" s="17">
        <f t="shared" si="47"/>
        <v>0</v>
      </c>
      <c r="G128" s="17">
        <f t="shared" si="48"/>
        <v>0</v>
      </c>
      <c r="H128" s="17">
        <f t="shared" si="49"/>
        <v>0</v>
      </c>
      <c r="I128" s="17">
        <f t="shared" si="50"/>
        <v>0</v>
      </c>
      <c r="J128" s="17">
        <f t="shared" si="51"/>
        <v>0</v>
      </c>
      <c r="K128" s="17">
        <f t="shared" si="52"/>
        <v>0</v>
      </c>
      <c r="L128" s="17">
        <f t="shared" si="53"/>
        <v>0</v>
      </c>
      <c r="M128" s="17">
        <f t="shared" si="54"/>
        <v>0</v>
      </c>
      <c r="N128" s="17">
        <f t="shared" si="55"/>
        <v>0</v>
      </c>
      <c r="O128" s="17">
        <f t="shared" si="56"/>
        <v>0</v>
      </c>
      <c r="P128" s="17">
        <v>6000</v>
      </c>
      <c r="Q128" s="17">
        <f t="shared" si="57"/>
        <v>535.08939569245342</v>
      </c>
      <c r="R128" s="17">
        <f t="shared" si="58"/>
        <v>639.9166730067119</v>
      </c>
      <c r="S128" s="17">
        <f t="shared" si="59"/>
        <v>566.3309450912858</v>
      </c>
      <c r="T128" s="17">
        <f t="shared" si="60"/>
        <v>428.97389921130292</v>
      </c>
      <c r="U128" s="17">
        <f t="shared" si="61"/>
        <v>622.11430863220573</v>
      </c>
      <c r="V128" s="17">
        <f t="shared" si="62"/>
        <v>509.82198571526783</v>
      </c>
      <c r="W128" s="17">
        <f t="shared" si="63"/>
        <v>507.56327326357621</v>
      </c>
      <c r="X128" s="17">
        <f t="shared" si="64"/>
        <v>344.68263277667978</v>
      </c>
      <c r="Y128" s="17">
        <f t="shared" si="65"/>
        <v>510.92311407334483</v>
      </c>
      <c r="Z128" s="17">
        <f t="shared" si="66"/>
        <v>444.94835347821106</v>
      </c>
      <c r="AA128" s="17">
        <f t="shared" si="67"/>
        <v>454.30913515264302</v>
      </c>
      <c r="AB128" s="17">
        <f t="shared" si="68"/>
        <v>443.73335619405373</v>
      </c>
      <c r="AC128" s="17">
        <v>0</v>
      </c>
      <c r="AD128" s="17">
        <f t="shared" si="69"/>
        <v>0</v>
      </c>
      <c r="AE128" s="17">
        <f t="shared" si="70"/>
        <v>0</v>
      </c>
      <c r="AF128" s="17">
        <f t="shared" si="71"/>
        <v>0</v>
      </c>
      <c r="AG128" s="17">
        <f t="shared" si="72"/>
        <v>0</v>
      </c>
      <c r="AH128" s="17">
        <f t="shared" si="73"/>
        <v>0</v>
      </c>
      <c r="AI128" s="17">
        <f t="shared" si="74"/>
        <v>0</v>
      </c>
      <c r="AJ128" s="17">
        <f t="shared" si="75"/>
        <v>0</v>
      </c>
      <c r="AK128" s="17">
        <f t="shared" si="76"/>
        <v>0</v>
      </c>
      <c r="AL128" s="17">
        <f t="shared" si="77"/>
        <v>0</v>
      </c>
      <c r="AM128" s="17">
        <f t="shared" si="78"/>
        <v>0</v>
      </c>
      <c r="AN128" s="17">
        <f t="shared" si="79"/>
        <v>0</v>
      </c>
      <c r="AO128" s="17">
        <f t="shared" si="80"/>
        <v>0</v>
      </c>
      <c r="AP128" s="17">
        <f t="shared" si="81"/>
        <v>6000</v>
      </c>
      <c r="AQ128" s="18">
        <v>1159.3603573336491</v>
      </c>
      <c r="AR128" s="18">
        <v>1386.4861248478758</v>
      </c>
      <c r="AS128" s="18">
        <v>1227.0503810311193</v>
      </c>
      <c r="AT128" s="18">
        <v>929.44344829115641</v>
      </c>
      <c r="AU128" s="18">
        <v>1347.9143353697791</v>
      </c>
      <c r="AV128" s="18">
        <v>1104.6143023830803</v>
      </c>
      <c r="AW128" s="18">
        <v>1099.7204254044152</v>
      </c>
      <c r="AX128" s="18">
        <v>746.81237101613954</v>
      </c>
      <c r="AY128" s="18">
        <v>1107.0000804922472</v>
      </c>
      <c r="AZ128" s="18">
        <v>964.05476586945724</v>
      </c>
      <c r="BA128" s="18">
        <v>984.33645949739321</v>
      </c>
      <c r="BB128" s="18">
        <v>961.42227175378309</v>
      </c>
      <c r="BC128" s="23">
        <v>8.9181565948742242E-2</v>
      </c>
      <c r="BD128" s="23">
        <v>0.10665277883445198</v>
      </c>
      <c r="BE128" s="23">
        <v>9.438849084854764E-2</v>
      </c>
      <c r="BF128" s="23">
        <v>7.149564986855049E-2</v>
      </c>
      <c r="BG128" s="23">
        <v>0.10368571810536763</v>
      </c>
      <c r="BH128" s="23">
        <v>8.4970330952544637E-2</v>
      </c>
      <c r="BI128" s="23">
        <v>8.4593878877262704E-2</v>
      </c>
      <c r="BJ128" s="23">
        <v>5.7447105462779965E-2</v>
      </c>
      <c r="BK128" s="23">
        <v>8.5153852345557474E-2</v>
      </c>
      <c r="BL128" s="23">
        <v>7.4158058913035174E-2</v>
      </c>
      <c r="BM128" s="23">
        <v>7.5718189192107169E-2</v>
      </c>
      <c r="BN128" s="23">
        <v>7.3955559365675619E-2</v>
      </c>
    </row>
    <row r="129" spans="1:66" x14ac:dyDescent="0.25">
      <c r="A129" s="16">
        <v>1200</v>
      </c>
      <c r="B129" s="16" t="s">
        <v>325</v>
      </c>
      <c r="C129" s="17">
        <v>0</v>
      </c>
      <c r="D129" s="17">
        <f t="shared" si="45"/>
        <v>0</v>
      </c>
      <c r="E129" s="17">
        <f t="shared" si="46"/>
        <v>0</v>
      </c>
      <c r="F129" s="17">
        <f t="shared" si="47"/>
        <v>0</v>
      </c>
      <c r="G129" s="17">
        <f t="shared" si="48"/>
        <v>0</v>
      </c>
      <c r="H129" s="17">
        <f t="shared" si="49"/>
        <v>0</v>
      </c>
      <c r="I129" s="17">
        <f t="shared" si="50"/>
        <v>0</v>
      </c>
      <c r="J129" s="17">
        <f t="shared" si="51"/>
        <v>0</v>
      </c>
      <c r="K129" s="17">
        <f t="shared" si="52"/>
        <v>0</v>
      </c>
      <c r="L129" s="17">
        <f t="shared" si="53"/>
        <v>0</v>
      </c>
      <c r="M129" s="17">
        <f t="shared" si="54"/>
        <v>0</v>
      </c>
      <c r="N129" s="17">
        <f t="shared" si="55"/>
        <v>0</v>
      </c>
      <c r="O129" s="17">
        <f t="shared" si="56"/>
        <v>0</v>
      </c>
      <c r="P129" s="17">
        <v>0</v>
      </c>
      <c r="Q129" s="17">
        <f t="shared" si="57"/>
        <v>0</v>
      </c>
      <c r="R129" s="17">
        <f t="shared" si="58"/>
        <v>0</v>
      </c>
      <c r="S129" s="17">
        <f t="shared" si="59"/>
        <v>0</v>
      </c>
      <c r="T129" s="17">
        <f t="shared" si="60"/>
        <v>0</v>
      </c>
      <c r="U129" s="17">
        <f t="shared" si="61"/>
        <v>0</v>
      </c>
      <c r="V129" s="17">
        <f t="shared" si="62"/>
        <v>0</v>
      </c>
      <c r="W129" s="17">
        <f t="shared" si="63"/>
        <v>0</v>
      </c>
      <c r="X129" s="17">
        <f t="shared" si="64"/>
        <v>0</v>
      </c>
      <c r="Y129" s="17">
        <f t="shared" si="65"/>
        <v>0</v>
      </c>
      <c r="Z129" s="17">
        <f t="shared" si="66"/>
        <v>0</v>
      </c>
      <c r="AA129" s="17">
        <f t="shared" si="67"/>
        <v>0</v>
      </c>
      <c r="AB129" s="17">
        <f t="shared" si="68"/>
        <v>0</v>
      </c>
      <c r="AC129" s="17">
        <v>0</v>
      </c>
      <c r="AD129" s="17">
        <f t="shared" si="69"/>
        <v>0</v>
      </c>
      <c r="AE129" s="17">
        <f t="shared" si="70"/>
        <v>0</v>
      </c>
      <c r="AF129" s="17">
        <f t="shared" si="71"/>
        <v>0</v>
      </c>
      <c r="AG129" s="17">
        <f t="shared" si="72"/>
        <v>0</v>
      </c>
      <c r="AH129" s="17">
        <f t="shared" si="73"/>
        <v>0</v>
      </c>
      <c r="AI129" s="17">
        <f t="shared" si="74"/>
        <v>0</v>
      </c>
      <c r="AJ129" s="17">
        <f t="shared" si="75"/>
        <v>0</v>
      </c>
      <c r="AK129" s="17">
        <f t="shared" si="76"/>
        <v>0</v>
      </c>
      <c r="AL129" s="17">
        <f t="shared" si="77"/>
        <v>0</v>
      </c>
      <c r="AM129" s="17">
        <f t="shared" si="78"/>
        <v>0</v>
      </c>
      <c r="AN129" s="17">
        <f t="shared" si="79"/>
        <v>0</v>
      </c>
      <c r="AO129" s="17">
        <f t="shared" si="80"/>
        <v>0</v>
      </c>
      <c r="AP129" s="17">
        <f t="shared" si="81"/>
        <v>0</v>
      </c>
      <c r="AQ129" s="18">
        <v>1114.7695743592781</v>
      </c>
      <c r="AR129" s="18">
        <v>1333.1597354306498</v>
      </c>
      <c r="AS129" s="18">
        <v>1179.8561356068456</v>
      </c>
      <c r="AT129" s="18">
        <v>893.69562335688113</v>
      </c>
      <c r="AU129" s="18">
        <v>1296.0714763170954</v>
      </c>
      <c r="AV129" s="18">
        <v>1062.1291369068081</v>
      </c>
      <c r="AW129" s="18">
        <v>1057.4234859657838</v>
      </c>
      <c r="AX129" s="18">
        <v>718.08881828474955</v>
      </c>
      <c r="AY129" s="18">
        <v>1064.4231543194685</v>
      </c>
      <c r="AZ129" s="18">
        <v>926.97573641293968</v>
      </c>
      <c r="BA129" s="18">
        <v>946.47736490133957</v>
      </c>
      <c r="BB129" s="18">
        <v>924.44449207094522</v>
      </c>
      <c r="BC129" s="23">
        <v>8.9181565948742242E-2</v>
      </c>
      <c r="BD129" s="23">
        <v>0.10665277883445198</v>
      </c>
      <c r="BE129" s="23">
        <v>9.438849084854764E-2</v>
      </c>
      <c r="BF129" s="23">
        <v>7.149564986855049E-2</v>
      </c>
      <c r="BG129" s="23">
        <v>0.10368571810536763</v>
      </c>
      <c r="BH129" s="23">
        <v>8.4970330952544637E-2</v>
      </c>
      <c r="BI129" s="23">
        <v>8.4593878877262704E-2</v>
      </c>
      <c r="BJ129" s="23">
        <v>5.7447105462779965E-2</v>
      </c>
      <c r="BK129" s="23">
        <v>8.5153852345557474E-2</v>
      </c>
      <c r="BL129" s="23">
        <v>7.4158058913035174E-2</v>
      </c>
      <c r="BM129" s="23">
        <v>7.5718189192107169E-2</v>
      </c>
      <c r="BN129" s="23">
        <v>7.3955559365675619E-2</v>
      </c>
    </row>
    <row r="130" spans="1:66" x14ac:dyDescent="0.25">
      <c r="A130" s="16">
        <v>1260</v>
      </c>
      <c r="B130" s="16" t="s">
        <v>326</v>
      </c>
      <c r="C130" s="17">
        <v>0</v>
      </c>
      <c r="D130" s="17">
        <f t="shared" si="45"/>
        <v>0</v>
      </c>
      <c r="E130" s="17">
        <f t="shared" si="46"/>
        <v>0</v>
      </c>
      <c r="F130" s="17">
        <f t="shared" si="47"/>
        <v>0</v>
      </c>
      <c r="G130" s="17">
        <f t="shared" si="48"/>
        <v>0</v>
      </c>
      <c r="H130" s="17">
        <f t="shared" si="49"/>
        <v>0</v>
      </c>
      <c r="I130" s="17">
        <f t="shared" si="50"/>
        <v>0</v>
      </c>
      <c r="J130" s="17">
        <f t="shared" si="51"/>
        <v>0</v>
      </c>
      <c r="K130" s="17">
        <f t="shared" si="52"/>
        <v>0</v>
      </c>
      <c r="L130" s="17">
        <f t="shared" si="53"/>
        <v>0</v>
      </c>
      <c r="M130" s="17">
        <f t="shared" si="54"/>
        <v>0</v>
      </c>
      <c r="N130" s="17">
        <f t="shared" si="55"/>
        <v>0</v>
      </c>
      <c r="O130" s="17">
        <f t="shared" si="56"/>
        <v>0</v>
      </c>
      <c r="P130" s="17">
        <v>15000</v>
      </c>
      <c r="Q130" s="17">
        <f t="shared" si="57"/>
        <v>1337.7234892311337</v>
      </c>
      <c r="R130" s="17">
        <f t="shared" si="58"/>
        <v>1599.7916825167797</v>
      </c>
      <c r="S130" s="17">
        <f t="shared" si="59"/>
        <v>1415.8273627282147</v>
      </c>
      <c r="T130" s="17">
        <f t="shared" si="60"/>
        <v>1072.4347480282574</v>
      </c>
      <c r="U130" s="17">
        <f t="shared" si="61"/>
        <v>1555.2857715805144</v>
      </c>
      <c r="V130" s="17">
        <f t="shared" si="62"/>
        <v>1274.5549642881695</v>
      </c>
      <c r="W130" s="17">
        <f t="shared" si="63"/>
        <v>1268.9081831589406</v>
      </c>
      <c r="X130" s="17">
        <f t="shared" si="64"/>
        <v>861.70658194169948</v>
      </c>
      <c r="Y130" s="17">
        <f t="shared" si="65"/>
        <v>1277.3077851833621</v>
      </c>
      <c r="Z130" s="17">
        <f t="shared" si="66"/>
        <v>1112.3708836955277</v>
      </c>
      <c r="AA130" s="17">
        <f t="shared" si="67"/>
        <v>1135.7728378816075</v>
      </c>
      <c r="AB130" s="17">
        <f t="shared" si="68"/>
        <v>1109.3333904851343</v>
      </c>
      <c r="AC130" s="17">
        <v>0</v>
      </c>
      <c r="AD130" s="17">
        <f t="shared" si="69"/>
        <v>0</v>
      </c>
      <c r="AE130" s="17">
        <f t="shared" si="70"/>
        <v>0</v>
      </c>
      <c r="AF130" s="17">
        <f t="shared" si="71"/>
        <v>0</v>
      </c>
      <c r="AG130" s="17">
        <f t="shared" si="72"/>
        <v>0</v>
      </c>
      <c r="AH130" s="17">
        <f t="shared" si="73"/>
        <v>0</v>
      </c>
      <c r="AI130" s="17">
        <f t="shared" si="74"/>
        <v>0</v>
      </c>
      <c r="AJ130" s="17">
        <f t="shared" si="75"/>
        <v>0</v>
      </c>
      <c r="AK130" s="17">
        <f t="shared" si="76"/>
        <v>0</v>
      </c>
      <c r="AL130" s="17">
        <f t="shared" si="77"/>
        <v>0</v>
      </c>
      <c r="AM130" s="17">
        <f t="shared" si="78"/>
        <v>0</v>
      </c>
      <c r="AN130" s="17">
        <f t="shared" si="79"/>
        <v>0</v>
      </c>
      <c r="AO130" s="17">
        <f t="shared" si="80"/>
        <v>0</v>
      </c>
      <c r="AP130" s="17">
        <f t="shared" si="81"/>
        <v>15000</v>
      </c>
      <c r="AQ130" s="18">
        <v>1070.1787913849068</v>
      </c>
      <c r="AR130" s="18">
        <v>1279.8333460134238</v>
      </c>
      <c r="AS130" s="18">
        <v>1132.6618901825716</v>
      </c>
      <c r="AT130" s="18">
        <v>857.94779842260584</v>
      </c>
      <c r="AU130" s="18">
        <v>1244.2286172644115</v>
      </c>
      <c r="AV130" s="18">
        <v>1019.6439714305357</v>
      </c>
      <c r="AW130" s="18">
        <v>1015.1265465271524</v>
      </c>
      <c r="AX130" s="18">
        <v>689.36526555335956</v>
      </c>
      <c r="AY130" s="18">
        <v>1021.8462281466897</v>
      </c>
      <c r="AZ130" s="18">
        <v>889.89670695642212</v>
      </c>
      <c r="BA130" s="18">
        <v>908.61827030528605</v>
      </c>
      <c r="BB130" s="18">
        <v>887.46671238810745</v>
      </c>
      <c r="BC130" s="23">
        <v>8.9181565948742242E-2</v>
      </c>
      <c r="BD130" s="23">
        <v>0.10665277883445198</v>
      </c>
      <c r="BE130" s="23">
        <v>9.438849084854764E-2</v>
      </c>
      <c r="BF130" s="23">
        <v>7.149564986855049E-2</v>
      </c>
      <c r="BG130" s="23">
        <v>0.10368571810536763</v>
      </c>
      <c r="BH130" s="23">
        <v>8.4970330952544637E-2</v>
      </c>
      <c r="BI130" s="23">
        <v>8.4593878877262704E-2</v>
      </c>
      <c r="BJ130" s="23">
        <v>5.7447105462779965E-2</v>
      </c>
      <c r="BK130" s="23">
        <v>8.5153852345557474E-2</v>
      </c>
      <c r="BL130" s="23">
        <v>7.4158058913035174E-2</v>
      </c>
      <c r="BM130" s="23">
        <v>7.5718189192107169E-2</v>
      </c>
      <c r="BN130" s="23">
        <v>7.3955559365675619E-2</v>
      </c>
    </row>
    <row r="131" spans="1:66" x14ac:dyDescent="0.25">
      <c r="A131" s="16">
        <v>3274</v>
      </c>
      <c r="B131" s="16" t="s">
        <v>327</v>
      </c>
      <c r="C131" s="17">
        <v>12000</v>
      </c>
      <c r="D131" s="17">
        <f t="shared" si="45"/>
        <v>1070.1787913849068</v>
      </c>
      <c r="E131" s="17">
        <f t="shared" si="46"/>
        <v>1279.8333460134238</v>
      </c>
      <c r="F131" s="17">
        <f t="shared" si="47"/>
        <v>1132.6618901825716</v>
      </c>
      <c r="G131" s="17">
        <f t="shared" si="48"/>
        <v>857.94779842260584</v>
      </c>
      <c r="H131" s="17">
        <f t="shared" si="49"/>
        <v>1244.2286172644115</v>
      </c>
      <c r="I131" s="17">
        <f t="shared" si="50"/>
        <v>1019.6439714305357</v>
      </c>
      <c r="J131" s="17">
        <f t="shared" si="51"/>
        <v>1015.1265465271524</v>
      </c>
      <c r="K131" s="17">
        <f t="shared" si="52"/>
        <v>689.36526555335956</v>
      </c>
      <c r="L131" s="17">
        <f t="shared" si="53"/>
        <v>1021.8462281466897</v>
      </c>
      <c r="M131" s="17">
        <f t="shared" si="54"/>
        <v>889.89670695642212</v>
      </c>
      <c r="N131" s="17">
        <f t="shared" si="55"/>
        <v>908.61827030528605</v>
      </c>
      <c r="O131" s="17">
        <f t="shared" si="56"/>
        <v>887.46671238810745</v>
      </c>
      <c r="P131" s="17">
        <v>0</v>
      </c>
      <c r="Q131" s="17">
        <f t="shared" si="57"/>
        <v>0</v>
      </c>
      <c r="R131" s="17">
        <f t="shared" si="58"/>
        <v>0</v>
      </c>
      <c r="S131" s="17">
        <f t="shared" si="59"/>
        <v>0</v>
      </c>
      <c r="T131" s="17">
        <f t="shared" si="60"/>
        <v>0</v>
      </c>
      <c r="U131" s="17">
        <f t="shared" si="61"/>
        <v>0</v>
      </c>
      <c r="V131" s="17">
        <f t="shared" si="62"/>
        <v>0</v>
      </c>
      <c r="W131" s="17">
        <f t="shared" si="63"/>
        <v>0</v>
      </c>
      <c r="X131" s="17">
        <f t="shared" si="64"/>
        <v>0</v>
      </c>
      <c r="Y131" s="17">
        <f t="shared" si="65"/>
        <v>0</v>
      </c>
      <c r="Z131" s="17">
        <f t="shared" si="66"/>
        <v>0</v>
      </c>
      <c r="AA131" s="17">
        <f t="shared" si="67"/>
        <v>0</v>
      </c>
      <c r="AB131" s="17">
        <f t="shared" si="68"/>
        <v>0</v>
      </c>
      <c r="AC131" s="17">
        <v>0</v>
      </c>
      <c r="AD131" s="17">
        <f t="shared" si="69"/>
        <v>0</v>
      </c>
      <c r="AE131" s="17">
        <f t="shared" si="70"/>
        <v>0</v>
      </c>
      <c r="AF131" s="17">
        <f t="shared" si="71"/>
        <v>0</v>
      </c>
      <c r="AG131" s="17">
        <f t="shared" si="72"/>
        <v>0</v>
      </c>
      <c r="AH131" s="17">
        <f t="shared" si="73"/>
        <v>0</v>
      </c>
      <c r="AI131" s="17">
        <f t="shared" si="74"/>
        <v>0</v>
      </c>
      <c r="AJ131" s="17">
        <f t="shared" si="75"/>
        <v>0</v>
      </c>
      <c r="AK131" s="17">
        <f t="shared" si="76"/>
        <v>0</v>
      </c>
      <c r="AL131" s="17">
        <f t="shared" si="77"/>
        <v>0</v>
      </c>
      <c r="AM131" s="17">
        <f t="shared" si="78"/>
        <v>0</v>
      </c>
      <c r="AN131" s="17">
        <f t="shared" si="79"/>
        <v>0</v>
      </c>
      <c r="AO131" s="17">
        <f t="shared" si="80"/>
        <v>0</v>
      </c>
      <c r="AP131" s="17">
        <f t="shared" si="81"/>
        <v>12000</v>
      </c>
      <c r="AQ131" s="18">
        <v>1070.1787913849068</v>
      </c>
      <c r="AR131" s="18">
        <v>1279.8333460134238</v>
      </c>
      <c r="AS131" s="18">
        <v>1132.6618901825716</v>
      </c>
      <c r="AT131" s="18">
        <v>857.94779842260584</v>
      </c>
      <c r="AU131" s="18">
        <v>1244.2286172644115</v>
      </c>
      <c r="AV131" s="18">
        <v>1019.6439714305357</v>
      </c>
      <c r="AW131" s="18">
        <v>1015.1265465271524</v>
      </c>
      <c r="AX131" s="18">
        <v>689.36526555335956</v>
      </c>
      <c r="AY131" s="18">
        <v>1021.8462281466897</v>
      </c>
      <c r="AZ131" s="18">
        <v>889.89670695642212</v>
      </c>
      <c r="BA131" s="18">
        <v>908.61827030528605</v>
      </c>
      <c r="BB131" s="18">
        <v>887.46671238810745</v>
      </c>
      <c r="BC131" s="23">
        <v>8.9181565948742242E-2</v>
      </c>
      <c r="BD131" s="23">
        <v>0.10665277883445198</v>
      </c>
      <c r="BE131" s="23">
        <v>9.438849084854764E-2</v>
      </c>
      <c r="BF131" s="23">
        <v>7.149564986855049E-2</v>
      </c>
      <c r="BG131" s="23">
        <v>0.10368571810536763</v>
      </c>
      <c r="BH131" s="23">
        <v>8.4970330952544637E-2</v>
      </c>
      <c r="BI131" s="23">
        <v>8.4593878877262704E-2</v>
      </c>
      <c r="BJ131" s="23">
        <v>5.7447105462779965E-2</v>
      </c>
      <c r="BK131" s="23">
        <v>8.5153852345557474E-2</v>
      </c>
      <c r="BL131" s="23">
        <v>7.4158058913035174E-2</v>
      </c>
      <c r="BM131" s="23">
        <v>7.5718189192107169E-2</v>
      </c>
      <c r="BN131" s="23">
        <v>7.3955559365675619E-2</v>
      </c>
    </row>
    <row r="132" spans="1:66" x14ac:dyDescent="0.25">
      <c r="A132" s="16">
        <v>3570</v>
      </c>
      <c r="B132" s="16" t="s">
        <v>328</v>
      </c>
      <c r="C132" s="17">
        <v>0</v>
      </c>
      <c r="D132" s="17">
        <f t="shared" ref="D132:D195" si="83">+$C132*BC132</f>
        <v>0</v>
      </c>
      <c r="E132" s="17">
        <f t="shared" ref="E132:E195" si="84">+$C132*BD132</f>
        <v>0</v>
      </c>
      <c r="F132" s="17">
        <f t="shared" ref="F132:F195" si="85">+$C132*BE132</f>
        <v>0</v>
      </c>
      <c r="G132" s="17">
        <f t="shared" ref="G132:G195" si="86">+$C132*BF132</f>
        <v>0</v>
      </c>
      <c r="H132" s="17">
        <f t="shared" ref="H132:H195" si="87">+$C132*BG132</f>
        <v>0</v>
      </c>
      <c r="I132" s="17">
        <f t="shared" ref="I132:I195" si="88">+$C132*BH132</f>
        <v>0</v>
      </c>
      <c r="J132" s="17">
        <f t="shared" ref="J132:J195" si="89">+$C132*BI132</f>
        <v>0</v>
      </c>
      <c r="K132" s="17">
        <f t="shared" ref="K132:K195" si="90">+$C132*BJ132</f>
        <v>0</v>
      </c>
      <c r="L132" s="17">
        <f t="shared" ref="L132:L195" si="91">+$C132*BK132</f>
        <v>0</v>
      </c>
      <c r="M132" s="17">
        <f t="shared" ref="M132:M195" si="92">+$C132*BL132</f>
        <v>0</v>
      </c>
      <c r="N132" s="17">
        <f t="shared" ref="N132:N195" si="93">+$C132*BM132</f>
        <v>0</v>
      </c>
      <c r="O132" s="17">
        <f t="shared" ref="O132:O195" si="94">+$C132*BN132</f>
        <v>0</v>
      </c>
      <c r="P132" s="17">
        <v>25000</v>
      </c>
      <c r="Q132" s="17">
        <f t="shared" ref="Q132:Q195" si="95">+$P132*BC132</f>
        <v>2229.5391487185561</v>
      </c>
      <c r="R132" s="17">
        <f t="shared" ref="R132:R195" si="96">+$P132*BD132</f>
        <v>2666.3194708612996</v>
      </c>
      <c r="S132" s="17">
        <f t="shared" ref="S132:S195" si="97">+$P132*BE132</f>
        <v>2359.7122712136911</v>
      </c>
      <c r="T132" s="17">
        <f t="shared" ref="T132:T195" si="98">+$P132*BF132</f>
        <v>1787.3912467137623</v>
      </c>
      <c r="U132" s="17">
        <f t="shared" ref="U132:U195" si="99">+$P132*BG132</f>
        <v>2592.1429526341908</v>
      </c>
      <c r="V132" s="17">
        <f t="shared" ref="V132:V195" si="100">+$P132*BH132</f>
        <v>2124.2582738136161</v>
      </c>
      <c r="W132" s="17">
        <f t="shared" ref="W132:W195" si="101">+$P132*BI132</f>
        <v>2114.8469719315676</v>
      </c>
      <c r="X132" s="17">
        <f t="shared" ref="X132:X195" si="102">+$P132*BJ132</f>
        <v>1436.1776365694991</v>
      </c>
      <c r="Y132" s="17">
        <f t="shared" ref="Y132:Y195" si="103">+$P132*BK132</f>
        <v>2128.846308638937</v>
      </c>
      <c r="Z132" s="17">
        <f t="shared" ref="Z132:Z195" si="104">+$P132*BL132</f>
        <v>1853.9514728258794</v>
      </c>
      <c r="AA132" s="17">
        <f t="shared" ref="AA132:AA195" si="105">+$P132*BM132</f>
        <v>1892.9547298026791</v>
      </c>
      <c r="AB132" s="17">
        <f t="shared" ref="AB132:AB195" si="106">+$P132*BN132</f>
        <v>1848.8889841418904</v>
      </c>
      <c r="AC132" s="17">
        <v>0</v>
      </c>
      <c r="AD132" s="17">
        <f t="shared" ref="AD132:AD195" si="107">+$AC132*BC132</f>
        <v>0</v>
      </c>
      <c r="AE132" s="17">
        <f t="shared" ref="AE132:AE195" si="108">+$AC132*BD132</f>
        <v>0</v>
      </c>
      <c r="AF132" s="17">
        <f t="shared" ref="AF132:AF195" si="109">+$AC132*BE132</f>
        <v>0</v>
      </c>
      <c r="AG132" s="17">
        <f t="shared" ref="AG132:AG195" si="110">+$AC132*BF132</f>
        <v>0</v>
      </c>
      <c r="AH132" s="17">
        <f t="shared" ref="AH132:AH195" si="111">+$AC132*BG132</f>
        <v>0</v>
      </c>
      <c r="AI132" s="17">
        <f t="shared" ref="AI132:AI195" si="112">+$AC132*BH132</f>
        <v>0</v>
      </c>
      <c r="AJ132" s="17">
        <f t="shared" ref="AJ132:AJ195" si="113">+$AC132*BI132</f>
        <v>0</v>
      </c>
      <c r="AK132" s="17">
        <f t="shared" ref="AK132:AK195" si="114">+$AC132*BJ132</f>
        <v>0</v>
      </c>
      <c r="AL132" s="17">
        <f t="shared" ref="AL132:AL195" si="115">+$AC132*BK132</f>
        <v>0</v>
      </c>
      <c r="AM132" s="17">
        <f t="shared" ref="AM132:AM195" si="116">+$AC132*BL132</f>
        <v>0</v>
      </c>
      <c r="AN132" s="17">
        <f t="shared" ref="AN132:AN195" si="117">+$AC132*BM132</f>
        <v>0</v>
      </c>
      <c r="AO132" s="17">
        <f t="shared" ref="AO132:AO195" si="118">+$AC132*BN132</f>
        <v>0</v>
      </c>
      <c r="AP132" s="17">
        <f t="shared" ref="AP132:AP195" si="119">+AC132+P132+C132</f>
        <v>25000</v>
      </c>
      <c r="AQ132" s="18">
        <v>1070.1787913849068</v>
      </c>
      <c r="AR132" s="18">
        <v>1279.8333460134238</v>
      </c>
      <c r="AS132" s="18">
        <v>1132.6618901825716</v>
      </c>
      <c r="AT132" s="18">
        <v>857.94779842260584</v>
      </c>
      <c r="AU132" s="18">
        <v>1244.2286172644115</v>
      </c>
      <c r="AV132" s="18">
        <v>1019.6439714305357</v>
      </c>
      <c r="AW132" s="18">
        <v>1015.1265465271524</v>
      </c>
      <c r="AX132" s="18">
        <v>689.36526555335956</v>
      </c>
      <c r="AY132" s="18">
        <v>1021.8462281466897</v>
      </c>
      <c r="AZ132" s="18">
        <v>889.89670695642212</v>
      </c>
      <c r="BA132" s="18">
        <v>908.61827030528605</v>
      </c>
      <c r="BB132" s="18">
        <v>887.46671238810745</v>
      </c>
      <c r="BC132" s="23">
        <v>8.9181565948742242E-2</v>
      </c>
      <c r="BD132" s="23">
        <v>0.10665277883445198</v>
      </c>
      <c r="BE132" s="23">
        <v>9.438849084854764E-2</v>
      </c>
      <c r="BF132" s="23">
        <v>7.149564986855049E-2</v>
      </c>
      <c r="BG132" s="23">
        <v>0.10368571810536763</v>
      </c>
      <c r="BH132" s="23">
        <v>8.4970330952544637E-2</v>
      </c>
      <c r="BI132" s="23">
        <v>8.4593878877262704E-2</v>
      </c>
      <c r="BJ132" s="23">
        <v>5.7447105462779965E-2</v>
      </c>
      <c r="BK132" s="23">
        <v>8.5153852345557474E-2</v>
      </c>
      <c r="BL132" s="23">
        <v>7.4158058913035174E-2</v>
      </c>
      <c r="BM132" s="23">
        <v>7.5718189192107169E-2</v>
      </c>
      <c r="BN132" s="23">
        <v>7.3955559365675619E-2</v>
      </c>
    </row>
    <row r="133" spans="1:66" x14ac:dyDescent="0.25">
      <c r="A133" s="16">
        <v>3680</v>
      </c>
      <c r="B133" s="16" t="s">
        <v>329</v>
      </c>
      <c r="C133" s="17">
        <v>0</v>
      </c>
      <c r="D133" s="17">
        <f t="shared" si="83"/>
        <v>0</v>
      </c>
      <c r="E133" s="17">
        <f t="shared" si="84"/>
        <v>0</v>
      </c>
      <c r="F133" s="17">
        <f t="shared" si="85"/>
        <v>0</v>
      </c>
      <c r="G133" s="17">
        <f t="shared" si="86"/>
        <v>0</v>
      </c>
      <c r="H133" s="17">
        <f t="shared" si="87"/>
        <v>0</v>
      </c>
      <c r="I133" s="17">
        <f t="shared" si="88"/>
        <v>0</v>
      </c>
      <c r="J133" s="17">
        <f t="shared" si="89"/>
        <v>0</v>
      </c>
      <c r="K133" s="17">
        <f t="shared" si="90"/>
        <v>0</v>
      </c>
      <c r="L133" s="17">
        <f t="shared" si="91"/>
        <v>0</v>
      </c>
      <c r="M133" s="17">
        <f t="shared" si="92"/>
        <v>0</v>
      </c>
      <c r="N133" s="17">
        <f t="shared" si="93"/>
        <v>0</v>
      </c>
      <c r="O133" s="17">
        <f t="shared" si="94"/>
        <v>0</v>
      </c>
      <c r="P133" s="17">
        <v>0</v>
      </c>
      <c r="Q133" s="17">
        <f t="shared" si="95"/>
        <v>0</v>
      </c>
      <c r="R133" s="17">
        <f t="shared" si="96"/>
        <v>0</v>
      </c>
      <c r="S133" s="17">
        <f t="shared" si="97"/>
        <v>0</v>
      </c>
      <c r="T133" s="17">
        <f t="shared" si="98"/>
        <v>0</v>
      </c>
      <c r="U133" s="17">
        <f t="shared" si="99"/>
        <v>0</v>
      </c>
      <c r="V133" s="17">
        <f t="shared" si="100"/>
        <v>0</v>
      </c>
      <c r="W133" s="17">
        <f t="shared" si="101"/>
        <v>0</v>
      </c>
      <c r="X133" s="17">
        <f t="shared" si="102"/>
        <v>0</v>
      </c>
      <c r="Y133" s="17">
        <f t="shared" si="103"/>
        <v>0</v>
      </c>
      <c r="Z133" s="17">
        <f t="shared" si="104"/>
        <v>0</v>
      </c>
      <c r="AA133" s="17">
        <f t="shared" si="105"/>
        <v>0</v>
      </c>
      <c r="AB133" s="17">
        <f t="shared" si="106"/>
        <v>0</v>
      </c>
      <c r="AC133" s="17">
        <v>0</v>
      </c>
      <c r="AD133" s="17">
        <f t="shared" si="107"/>
        <v>0</v>
      </c>
      <c r="AE133" s="17">
        <f t="shared" si="108"/>
        <v>0</v>
      </c>
      <c r="AF133" s="17">
        <f t="shared" si="109"/>
        <v>0</v>
      </c>
      <c r="AG133" s="17">
        <f t="shared" si="110"/>
        <v>0</v>
      </c>
      <c r="AH133" s="17">
        <f t="shared" si="111"/>
        <v>0</v>
      </c>
      <c r="AI133" s="17">
        <f t="shared" si="112"/>
        <v>0</v>
      </c>
      <c r="AJ133" s="17">
        <f t="shared" si="113"/>
        <v>0</v>
      </c>
      <c r="AK133" s="17">
        <f t="shared" si="114"/>
        <v>0</v>
      </c>
      <c r="AL133" s="17">
        <f t="shared" si="115"/>
        <v>0</v>
      </c>
      <c r="AM133" s="17">
        <f t="shared" si="116"/>
        <v>0</v>
      </c>
      <c r="AN133" s="17">
        <f t="shared" si="117"/>
        <v>0</v>
      </c>
      <c r="AO133" s="17">
        <f t="shared" si="118"/>
        <v>0</v>
      </c>
      <c r="AP133" s="17">
        <f t="shared" si="119"/>
        <v>0</v>
      </c>
      <c r="AQ133" s="18">
        <v>1070.1787913849068</v>
      </c>
      <c r="AR133" s="18">
        <v>1279.8333460134238</v>
      </c>
      <c r="AS133" s="18">
        <v>1132.6618901825716</v>
      </c>
      <c r="AT133" s="18">
        <v>857.94779842260584</v>
      </c>
      <c r="AU133" s="18">
        <v>1244.2286172644115</v>
      </c>
      <c r="AV133" s="18">
        <v>1019.6439714305357</v>
      </c>
      <c r="AW133" s="18">
        <v>1015.1265465271524</v>
      </c>
      <c r="AX133" s="18">
        <v>689.36526555335956</v>
      </c>
      <c r="AY133" s="18">
        <v>1021.8462281466897</v>
      </c>
      <c r="AZ133" s="18">
        <v>889.89670695642212</v>
      </c>
      <c r="BA133" s="18">
        <v>908.61827030528605</v>
      </c>
      <c r="BB133" s="18">
        <v>887.46671238810745</v>
      </c>
      <c r="BC133" s="23">
        <v>8.9181565948742242E-2</v>
      </c>
      <c r="BD133" s="23">
        <v>0.10665277883445198</v>
      </c>
      <c r="BE133" s="23">
        <v>9.438849084854764E-2</v>
      </c>
      <c r="BF133" s="23">
        <v>7.149564986855049E-2</v>
      </c>
      <c r="BG133" s="23">
        <v>0.10368571810536763</v>
      </c>
      <c r="BH133" s="23">
        <v>8.4970330952544637E-2</v>
      </c>
      <c r="BI133" s="23">
        <v>8.4593878877262704E-2</v>
      </c>
      <c r="BJ133" s="23">
        <v>5.7447105462779965E-2</v>
      </c>
      <c r="BK133" s="23">
        <v>8.5153852345557474E-2</v>
      </c>
      <c r="BL133" s="23">
        <v>7.4158058913035174E-2</v>
      </c>
      <c r="BM133" s="23">
        <v>7.5718189192107169E-2</v>
      </c>
      <c r="BN133" s="23">
        <v>7.3955559365675619E-2</v>
      </c>
    </row>
    <row r="134" spans="1:66" x14ac:dyDescent="0.25">
      <c r="A134" s="16">
        <v>4174</v>
      </c>
      <c r="B134" s="16" t="s">
        <v>330</v>
      </c>
      <c r="C134" s="17">
        <v>0</v>
      </c>
      <c r="D134" s="17">
        <f t="shared" si="83"/>
        <v>0</v>
      </c>
      <c r="E134" s="17">
        <f t="shared" si="84"/>
        <v>0</v>
      </c>
      <c r="F134" s="17">
        <f t="shared" si="85"/>
        <v>0</v>
      </c>
      <c r="G134" s="17">
        <f t="shared" si="86"/>
        <v>0</v>
      </c>
      <c r="H134" s="17">
        <f t="shared" si="87"/>
        <v>0</v>
      </c>
      <c r="I134" s="17">
        <f t="shared" si="88"/>
        <v>0</v>
      </c>
      <c r="J134" s="17">
        <f t="shared" si="89"/>
        <v>0</v>
      </c>
      <c r="K134" s="17">
        <f t="shared" si="90"/>
        <v>0</v>
      </c>
      <c r="L134" s="17">
        <f t="shared" si="91"/>
        <v>0</v>
      </c>
      <c r="M134" s="17">
        <f t="shared" si="92"/>
        <v>0</v>
      </c>
      <c r="N134" s="17">
        <f t="shared" si="93"/>
        <v>0</v>
      </c>
      <c r="O134" s="17">
        <f t="shared" si="94"/>
        <v>0</v>
      </c>
      <c r="P134" s="17">
        <v>2500</v>
      </c>
      <c r="Q134" s="17">
        <f t="shared" si="95"/>
        <v>222.9539148718556</v>
      </c>
      <c r="R134" s="17">
        <f t="shared" si="96"/>
        <v>266.63194708612997</v>
      </c>
      <c r="S134" s="17">
        <f t="shared" si="97"/>
        <v>235.97122712136911</v>
      </c>
      <c r="T134" s="17">
        <f t="shared" si="98"/>
        <v>178.73912467137623</v>
      </c>
      <c r="U134" s="17">
        <f t="shared" si="99"/>
        <v>259.21429526341905</v>
      </c>
      <c r="V134" s="17">
        <f t="shared" si="100"/>
        <v>212.42582738136159</v>
      </c>
      <c r="W134" s="17">
        <f t="shared" si="101"/>
        <v>211.48469719315676</v>
      </c>
      <c r="X134" s="17">
        <f t="shared" si="102"/>
        <v>143.6177636569499</v>
      </c>
      <c r="Y134" s="17">
        <f t="shared" si="103"/>
        <v>212.88463086389368</v>
      </c>
      <c r="Z134" s="17">
        <f t="shared" si="104"/>
        <v>185.39514728258794</v>
      </c>
      <c r="AA134" s="17">
        <f t="shared" si="105"/>
        <v>189.29547298026793</v>
      </c>
      <c r="AB134" s="17">
        <f t="shared" si="106"/>
        <v>184.88889841418904</v>
      </c>
      <c r="AC134" s="17">
        <v>0</v>
      </c>
      <c r="AD134" s="17">
        <f t="shared" si="107"/>
        <v>0</v>
      </c>
      <c r="AE134" s="17">
        <f t="shared" si="108"/>
        <v>0</v>
      </c>
      <c r="AF134" s="17">
        <f t="shared" si="109"/>
        <v>0</v>
      </c>
      <c r="AG134" s="17">
        <f t="shared" si="110"/>
        <v>0</v>
      </c>
      <c r="AH134" s="17">
        <f t="shared" si="111"/>
        <v>0</v>
      </c>
      <c r="AI134" s="17">
        <f t="shared" si="112"/>
        <v>0</v>
      </c>
      <c r="AJ134" s="17">
        <f t="shared" si="113"/>
        <v>0</v>
      </c>
      <c r="AK134" s="17">
        <f t="shared" si="114"/>
        <v>0</v>
      </c>
      <c r="AL134" s="17">
        <f t="shared" si="115"/>
        <v>0</v>
      </c>
      <c r="AM134" s="17">
        <f t="shared" si="116"/>
        <v>0</v>
      </c>
      <c r="AN134" s="17">
        <f t="shared" si="117"/>
        <v>0</v>
      </c>
      <c r="AO134" s="17">
        <f t="shared" si="118"/>
        <v>0</v>
      </c>
      <c r="AP134" s="17">
        <f t="shared" si="119"/>
        <v>2500</v>
      </c>
      <c r="AQ134" s="18">
        <v>1070.1787913849068</v>
      </c>
      <c r="AR134" s="18">
        <v>1279.8333460134238</v>
      </c>
      <c r="AS134" s="18">
        <v>1132.6618901825716</v>
      </c>
      <c r="AT134" s="18">
        <v>857.94779842260584</v>
      </c>
      <c r="AU134" s="18">
        <v>1244.2286172644115</v>
      </c>
      <c r="AV134" s="18">
        <v>1019.6439714305357</v>
      </c>
      <c r="AW134" s="18">
        <v>1015.1265465271524</v>
      </c>
      <c r="AX134" s="18">
        <v>689.36526555335956</v>
      </c>
      <c r="AY134" s="18">
        <v>1021.8462281466897</v>
      </c>
      <c r="AZ134" s="18">
        <v>889.89670695642212</v>
      </c>
      <c r="BA134" s="18">
        <v>908.61827030528605</v>
      </c>
      <c r="BB134" s="18">
        <v>887.46671238810745</v>
      </c>
      <c r="BC134" s="23">
        <v>8.9181565948742242E-2</v>
      </c>
      <c r="BD134" s="23">
        <v>0.10665277883445198</v>
      </c>
      <c r="BE134" s="23">
        <v>9.438849084854764E-2</v>
      </c>
      <c r="BF134" s="23">
        <v>7.149564986855049E-2</v>
      </c>
      <c r="BG134" s="23">
        <v>0.10368571810536763</v>
      </c>
      <c r="BH134" s="23">
        <v>8.4970330952544637E-2</v>
      </c>
      <c r="BI134" s="23">
        <v>8.4593878877262704E-2</v>
      </c>
      <c r="BJ134" s="23">
        <v>5.7447105462779965E-2</v>
      </c>
      <c r="BK134" s="23">
        <v>8.5153852345557474E-2</v>
      </c>
      <c r="BL134" s="23">
        <v>7.4158058913035174E-2</v>
      </c>
      <c r="BM134" s="23">
        <v>7.5718189192107169E-2</v>
      </c>
      <c r="BN134" s="23">
        <v>7.3955559365675619E-2</v>
      </c>
    </row>
    <row r="135" spans="1:66" x14ac:dyDescent="0.25">
      <c r="A135" s="16">
        <v>4331</v>
      </c>
      <c r="B135" s="16" t="s">
        <v>331</v>
      </c>
      <c r="C135" s="17">
        <v>0</v>
      </c>
      <c r="D135" s="17">
        <f t="shared" si="83"/>
        <v>0</v>
      </c>
      <c r="E135" s="17">
        <f t="shared" si="84"/>
        <v>0</v>
      </c>
      <c r="F135" s="17">
        <f t="shared" si="85"/>
        <v>0</v>
      </c>
      <c r="G135" s="17">
        <f t="shared" si="86"/>
        <v>0</v>
      </c>
      <c r="H135" s="17">
        <f t="shared" si="87"/>
        <v>0</v>
      </c>
      <c r="I135" s="17">
        <f t="shared" si="88"/>
        <v>0</v>
      </c>
      <c r="J135" s="17">
        <f t="shared" si="89"/>
        <v>0</v>
      </c>
      <c r="K135" s="17">
        <f t="shared" si="90"/>
        <v>0</v>
      </c>
      <c r="L135" s="17">
        <f t="shared" si="91"/>
        <v>0</v>
      </c>
      <c r="M135" s="17">
        <f t="shared" si="92"/>
        <v>0</v>
      </c>
      <c r="N135" s="17">
        <f t="shared" si="93"/>
        <v>0</v>
      </c>
      <c r="O135" s="17">
        <f t="shared" si="94"/>
        <v>0</v>
      </c>
      <c r="P135" s="17">
        <v>7000</v>
      </c>
      <c r="Q135" s="17">
        <f t="shared" si="95"/>
        <v>624.27096164119564</v>
      </c>
      <c r="R135" s="17">
        <f t="shared" si="96"/>
        <v>746.56945184116387</v>
      </c>
      <c r="S135" s="17">
        <f t="shared" si="97"/>
        <v>660.71943593983349</v>
      </c>
      <c r="T135" s="17">
        <f t="shared" si="98"/>
        <v>500.46954907985344</v>
      </c>
      <c r="U135" s="17">
        <f t="shared" si="99"/>
        <v>725.80002673757338</v>
      </c>
      <c r="V135" s="17">
        <f t="shared" si="100"/>
        <v>594.79231666781243</v>
      </c>
      <c r="W135" s="17">
        <f t="shared" si="101"/>
        <v>592.15715214083889</v>
      </c>
      <c r="X135" s="17">
        <f t="shared" si="102"/>
        <v>402.12973823945975</v>
      </c>
      <c r="Y135" s="17">
        <f t="shared" si="103"/>
        <v>596.07696641890232</v>
      </c>
      <c r="Z135" s="17">
        <f t="shared" si="104"/>
        <v>519.10641239124618</v>
      </c>
      <c r="AA135" s="17">
        <f t="shared" si="105"/>
        <v>530.02732434475013</v>
      </c>
      <c r="AB135" s="17">
        <f t="shared" si="106"/>
        <v>517.68891555972937</v>
      </c>
      <c r="AC135" s="17">
        <v>0</v>
      </c>
      <c r="AD135" s="17">
        <f t="shared" si="107"/>
        <v>0</v>
      </c>
      <c r="AE135" s="17">
        <f t="shared" si="108"/>
        <v>0</v>
      </c>
      <c r="AF135" s="17">
        <f t="shared" si="109"/>
        <v>0</v>
      </c>
      <c r="AG135" s="17">
        <f t="shared" si="110"/>
        <v>0</v>
      </c>
      <c r="AH135" s="17">
        <f t="shared" si="111"/>
        <v>0</v>
      </c>
      <c r="AI135" s="17">
        <f t="shared" si="112"/>
        <v>0</v>
      </c>
      <c r="AJ135" s="17">
        <f t="shared" si="113"/>
        <v>0</v>
      </c>
      <c r="AK135" s="17">
        <f t="shared" si="114"/>
        <v>0</v>
      </c>
      <c r="AL135" s="17">
        <f t="shared" si="115"/>
        <v>0</v>
      </c>
      <c r="AM135" s="17">
        <f t="shared" si="116"/>
        <v>0</v>
      </c>
      <c r="AN135" s="17">
        <f t="shared" si="117"/>
        <v>0</v>
      </c>
      <c r="AO135" s="17">
        <f t="shared" si="118"/>
        <v>0</v>
      </c>
      <c r="AP135" s="17">
        <f t="shared" si="119"/>
        <v>7000</v>
      </c>
      <c r="AQ135" s="18">
        <v>1070.1787913849068</v>
      </c>
      <c r="AR135" s="18">
        <v>1279.8333460134238</v>
      </c>
      <c r="AS135" s="18">
        <v>1132.6618901825716</v>
      </c>
      <c r="AT135" s="18">
        <v>857.94779842260584</v>
      </c>
      <c r="AU135" s="18">
        <v>1244.2286172644115</v>
      </c>
      <c r="AV135" s="18">
        <v>1019.6439714305357</v>
      </c>
      <c r="AW135" s="18">
        <v>1015.1265465271524</v>
      </c>
      <c r="AX135" s="18">
        <v>689.36526555335956</v>
      </c>
      <c r="AY135" s="18">
        <v>1021.8462281466897</v>
      </c>
      <c r="AZ135" s="18">
        <v>889.89670695642212</v>
      </c>
      <c r="BA135" s="18">
        <v>908.61827030528605</v>
      </c>
      <c r="BB135" s="18">
        <v>887.46671238810745</v>
      </c>
      <c r="BC135" s="23">
        <v>8.9181565948742242E-2</v>
      </c>
      <c r="BD135" s="23">
        <v>0.10665277883445198</v>
      </c>
      <c r="BE135" s="23">
        <v>9.438849084854764E-2</v>
      </c>
      <c r="BF135" s="23">
        <v>7.149564986855049E-2</v>
      </c>
      <c r="BG135" s="23">
        <v>0.10368571810536763</v>
      </c>
      <c r="BH135" s="23">
        <v>8.4970330952544637E-2</v>
      </c>
      <c r="BI135" s="23">
        <v>8.4593878877262704E-2</v>
      </c>
      <c r="BJ135" s="23">
        <v>5.7447105462779965E-2</v>
      </c>
      <c r="BK135" s="23">
        <v>8.5153852345557474E-2</v>
      </c>
      <c r="BL135" s="23">
        <v>7.4158058913035174E-2</v>
      </c>
      <c r="BM135" s="23">
        <v>7.5718189192107169E-2</v>
      </c>
      <c r="BN135" s="23">
        <v>7.3955559365675619E-2</v>
      </c>
    </row>
    <row r="136" spans="1:66" x14ac:dyDescent="0.25">
      <c r="A136" s="16">
        <v>4395</v>
      </c>
      <c r="B136" s="16" t="s">
        <v>332</v>
      </c>
      <c r="C136" s="17">
        <v>0</v>
      </c>
      <c r="D136" s="17">
        <f t="shared" si="83"/>
        <v>0</v>
      </c>
      <c r="E136" s="17">
        <f t="shared" si="84"/>
        <v>0</v>
      </c>
      <c r="F136" s="17">
        <f t="shared" si="85"/>
        <v>0</v>
      </c>
      <c r="G136" s="17">
        <f t="shared" si="86"/>
        <v>0</v>
      </c>
      <c r="H136" s="17">
        <f t="shared" si="87"/>
        <v>0</v>
      </c>
      <c r="I136" s="17">
        <f t="shared" si="88"/>
        <v>0</v>
      </c>
      <c r="J136" s="17">
        <f t="shared" si="89"/>
        <v>0</v>
      </c>
      <c r="K136" s="17">
        <f t="shared" si="90"/>
        <v>0</v>
      </c>
      <c r="L136" s="17">
        <f t="shared" si="91"/>
        <v>0</v>
      </c>
      <c r="M136" s="17">
        <f t="shared" si="92"/>
        <v>0</v>
      </c>
      <c r="N136" s="17">
        <f t="shared" si="93"/>
        <v>0</v>
      </c>
      <c r="O136" s="17">
        <f t="shared" si="94"/>
        <v>0</v>
      </c>
      <c r="P136" s="17">
        <v>18000</v>
      </c>
      <c r="Q136" s="17">
        <f t="shared" si="95"/>
        <v>1605.2681870773604</v>
      </c>
      <c r="R136" s="17">
        <f t="shared" si="96"/>
        <v>1919.7500190201356</v>
      </c>
      <c r="S136" s="17">
        <f t="shared" si="97"/>
        <v>1698.9928352738575</v>
      </c>
      <c r="T136" s="17">
        <f t="shared" si="98"/>
        <v>1286.9216976339087</v>
      </c>
      <c r="U136" s="17">
        <f t="shared" si="99"/>
        <v>1866.3429258966173</v>
      </c>
      <c r="V136" s="17">
        <f t="shared" si="100"/>
        <v>1529.4659571458035</v>
      </c>
      <c r="W136" s="17">
        <f t="shared" si="101"/>
        <v>1522.6898197907287</v>
      </c>
      <c r="X136" s="17">
        <f t="shared" si="102"/>
        <v>1034.0478983300393</v>
      </c>
      <c r="Y136" s="17">
        <f t="shared" si="103"/>
        <v>1532.7693422200346</v>
      </c>
      <c r="Z136" s="17">
        <f t="shared" si="104"/>
        <v>1334.8450604346331</v>
      </c>
      <c r="AA136" s="17">
        <f t="shared" si="105"/>
        <v>1362.9274054579291</v>
      </c>
      <c r="AB136" s="17">
        <f t="shared" si="106"/>
        <v>1331.2000685821611</v>
      </c>
      <c r="AC136" s="17">
        <v>0</v>
      </c>
      <c r="AD136" s="17">
        <f t="shared" si="107"/>
        <v>0</v>
      </c>
      <c r="AE136" s="17">
        <f t="shared" si="108"/>
        <v>0</v>
      </c>
      <c r="AF136" s="17">
        <f t="shared" si="109"/>
        <v>0</v>
      </c>
      <c r="AG136" s="17">
        <f t="shared" si="110"/>
        <v>0</v>
      </c>
      <c r="AH136" s="17">
        <f t="shared" si="111"/>
        <v>0</v>
      </c>
      <c r="AI136" s="17">
        <f t="shared" si="112"/>
        <v>0</v>
      </c>
      <c r="AJ136" s="17">
        <f t="shared" si="113"/>
        <v>0</v>
      </c>
      <c r="AK136" s="17">
        <f t="shared" si="114"/>
        <v>0</v>
      </c>
      <c r="AL136" s="17">
        <f t="shared" si="115"/>
        <v>0</v>
      </c>
      <c r="AM136" s="17">
        <f t="shared" si="116"/>
        <v>0</v>
      </c>
      <c r="AN136" s="17">
        <f t="shared" si="117"/>
        <v>0</v>
      </c>
      <c r="AO136" s="17">
        <f t="shared" si="118"/>
        <v>0</v>
      </c>
      <c r="AP136" s="17">
        <f t="shared" si="119"/>
        <v>18000</v>
      </c>
      <c r="AQ136" s="18">
        <v>1070.1787913849068</v>
      </c>
      <c r="AR136" s="18">
        <v>1279.8333460134238</v>
      </c>
      <c r="AS136" s="18">
        <v>1132.6618901825716</v>
      </c>
      <c r="AT136" s="18">
        <v>857.94779842260584</v>
      </c>
      <c r="AU136" s="18">
        <v>1244.2286172644115</v>
      </c>
      <c r="AV136" s="18">
        <v>1019.6439714305357</v>
      </c>
      <c r="AW136" s="18">
        <v>1015.1265465271524</v>
      </c>
      <c r="AX136" s="18">
        <v>689.36526555335956</v>
      </c>
      <c r="AY136" s="18">
        <v>1021.8462281466897</v>
      </c>
      <c r="AZ136" s="18">
        <v>889.89670695642212</v>
      </c>
      <c r="BA136" s="18">
        <v>908.61827030528605</v>
      </c>
      <c r="BB136" s="18">
        <v>887.46671238810745</v>
      </c>
      <c r="BC136" s="23">
        <v>8.9181565948742242E-2</v>
      </c>
      <c r="BD136" s="23">
        <v>0.10665277883445198</v>
      </c>
      <c r="BE136" s="23">
        <v>9.438849084854764E-2</v>
      </c>
      <c r="BF136" s="23">
        <v>7.149564986855049E-2</v>
      </c>
      <c r="BG136" s="23">
        <v>0.10368571810536763</v>
      </c>
      <c r="BH136" s="23">
        <v>8.4970330952544637E-2</v>
      </c>
      <c r="BI136" s="23">
        <v>8.4593878877262704E-2</v>
      </c>
      <c r="BJ136" s="23">
        <v>5.7447105462779965E-2</v>
      </c>
      <c r="BK136" s="23">
        <v>8.5153852345557474E-2</v>
      </c>
      <c r="BL136" s="23">
        <v>7.4158058913035174E-2</v>
      </c>
      <c r="BM136" s="23">
        <v>7.5718189192107169E-2</v>
      </c>
      <c r="BN136" s="23">
        <v>7.3955559365675619E-2</v>
      </c>
    </row>
    <row r="137" spans="1:66" x14ac:dyDescent="0.25">
      <c r="A137" s="16">
        <v>6549</v>
      </c>
      <c r="B137" s="16" t="s">
        <v>333</v>
      </c>
      <c r="C137" s="17">
        <v>0</v>
      </c>
      <c r="D137" s="17">
        <f t="shared" si="83"/>
        <v>0</v>
      </c>
      <c r="E137" s="17">
        <f t="shared" si="84"/>
        <v>0</v>
      </c>
      <c r="F137" s="17">
        <f t="shared" si="85"/>
        <v>0</v>
      </c>
      <c r="G137" s="17">
        <f t="shared" si="86"/>
        <v>0</v>
      </c>
      <c r="H137" s="17">
        <f t="shared" si="87"/>
        <v>0</v>
      </c>
      <c r="I137" s="17">
        <f t="shared" si="88"/>
        <v>0</v>
      </c>
      <c r="J137" s="17">
        <f t="shared" si="89"/>
        <v>0</v>
      </c>
      <c r="K137" s="17">
        <f t="shared" si="90"/>
        <v>0</v>
      </c>
      <c r="L137" s="17">
        <f t="shared" si="91"/>
        <v>0</v>
      </c>
      <c r="M137" s="17">
        <f t="shared" si="92"/>
        <v>0</v>
      </c>
      <c r="N137" s="17">
        <f t="shared" si="93"/>
        <v>0</v>
      </c>
      <c r="O137" s="17">
        <f t="shared" si="94"/>
        <v>0</v>
      </c>
      <c r="P137" s="17">
        <v>0</v>
      </c>
      <c r="Q137" s="17">
        <f t="shared" si="95"/>
        <v>0</v>
      </c>
      <c r="R137" s="17">
        <f t="shared" si="96"/>
        <v>0</v>
      </c>
      <c r="S137" s="17">
        <f t="shared" si="97"/>
        <v>0</v>
      </c>
      <c r="T137" s="17">
        <f t="shared" si="98"/>
        <v>0</v>
      </c>
      <c r="U137" s="17">
        <f t="shared" si="99"/>
        <v>0</v>
      </c>
      <c r="V137" s="17">
        <f t="shared" si="100"/>
        <v>0</v>
      </c>
      <c r="W137" s="17">
        <f t="shared" si="101"/>
        <v>0</v>
      </c>
      <c r="X137" s="17">
        <f t="shared" si="102"/>
        <v>0</v>
      </c>
      <c r="Y137" s="17">
        <f t="shared" si="103"/>
        <v>0</v>
      </c>
      <c r="Z137" s="17">
        <f t="shared" si="104"/>
        <v>0</v>
      </c>
      <c r="AA137" s="17">
        <f t="shared" si="105"/>
        <v>0</v>
      </c>
      <c r="AB137" s="17">
        <f t="shared" si="106"/>
        <v>0</v>
      </c>
      <c r="AC137" s="17">
        <v>1500</v>
      </c>
      <c r="AD137" s="17">
        <f t="shared" si="107"/>
        <v>133.77234892311336</v>
      </c>
      <c r="AE137" s="17">
        <f t="shared" si="108"/>
        <v>159.97916825167798</v>
      </c>
      <c r="AF137" s="17">
        <f t="shared" si="109"/>
        <v>141.58273627282145</v>
      </c>
      <c r="AG137" s="17">
        <f t="shared" si="110"/>
        <v>107.24347480282573</v>
      </c>
      <c r="AH137" s="17">
        <f t="shared" si="111"/>
        <v>155.52857715805143</v>
      </c>
      <c r="AI137" s="17">
        <f t="shared" si="112"/>
        <v>127.45549642881696</v>
      </c>
      <c r="AJ137" s="17">
        <f t="shared" si="113"/>
        <v>126.89081831589405</v>
      </c>
      <c r="AK137" s="17">
        <f t="shared" si="114"/>
        <v>86.170658194169945</v>
      </c>
      <c r="AL137" s="17">
        <f t="shared" si="115"/>
        <v>127.73077851833621</v>
      </c>
      <c r="AM137" s="17">
        <f t="shared" si="116"/>
        <v>111.23708836955277</v>
      </c>
      <c r="AN137" s="17">
        <f t="shared" si="117"/>
        <v>113.57728378816076</v>
      </c>
      <c r="AO137" s="17">
        <f t="shared" si="118"/>
        <v>110.93333904851343</v>
      </c>
      <c r="AP137" s="17">
        <f t="shared" si="119"/>
        <v>1500</v>
      </c>
      <c r="AQ137" s="18">
        <v>1070.1787913849068</v>
      </c>
      <c r="AR137" s="18">
        <v>1279.8333460134238</v>
      </c>
      <c r="AS137" s="18">
        <v>1132.6618901825716</v>
      </c>
      <c r="AT137" s="18">
        <v>857.94779842260584</v>
      </c>
      <c r="AU137" s="18">
        <v>1244.2286172644115</v>
      </c>
      <c r="AV137" s="18">
        <v>1019.6439714305357</v>
      </c>
      <c r="AW137" s="18">
        <v>1015.1265465271524</v>
      </c>
      <c r="AX137" s="18">
        <v>689.36526555335956</v>
      </c>
      <c r="AY137" s="18">
        <v>1021.8462281466897</v>
      </c>
      <c r="AZ137" s="18">
        <v>889.89670695642212</v>
      </c>
      <c r="BA137" s="18">
        <v>908.61827030528605</v>
      </c>
      <c r="BB137" s="18">
        <v>887.46671238810745</v>
      </c>
      <c r="BC137" s="23">
        <v>8.9181565948742242E-2</v>
      </c>
      <c r="BD137" s="23">
        <v>0.10665277883445198</v>
      </c>
      <c r="BE137" s="23">
        <v>9.438849084854764E-2</v>
      </c>
      <c r="BF137" s="23">
        <v>7.149564986855049E-2</v>
      </c>
      <c r="BG137" s="23">
        <v>0.10368571810536763</v>
      </c>
      <c r="BH137" s="23">
        <v>8.4970330952544637E-2</v>
      </c>
      <c r="BI137" s="23">
        <v>8.4593878877262704E-2</v>
      </c>
      <c r="BJ137" s="23">
        <v>5.7447105462779965E-2</v>
      </c>
      <c r="BK137" s="23">
        <v>8.5153852345557474E-2</v>
      </c>
      <c r="BL137" s="23">
        <v>7.4158058913035174E-2</v>
      </c>
      <c r="BM137" s="23">
        <v>7.5718189192107169E-2</v>
      </c>
      <c r="BN137" s="23">
        <v>7.3955559365675619E-2</v>
      </c>
    </row>
    <row r="138" spans="1:66" x14ac:dyDescent="0.25">
      <c r="A138" s="16">
        <v>17264</v>
      </c>
      <c r="B138" s="16" t="s">
        <v>334</v>
      </c>
      <c r="C138" s="17">
        <v>0</v>
      </c>
      <c r="D138" s="17">
        <f t="shared" si="83"/>
        <v>0</v>
      </c>
      <c r="E138" s="17">
        <f t="shared" si="84"/>
        <v>0</v>
      </c>
      <c r="F138" s="17">
        <f t="shared" si="85"/>
        <v>0</v>
      </c>
      <c r="G138" s="17">
        <f t="shared" si="86"/>
        <v>0</v>
      </c>
      <c r="H138" s="17">
        <f t="shared" si="87"/>
        <v>0</v>
      </c>
      <c r="I138" s="17">
        <f t="shared" si="88"/>
        <v>0</v>
      </c>
      <c r="J138" s="17">
        <f t="shared" si="89"/>
        <v>0</v>
      </c>
      <c r="K138" s="17">
        <f t="shared" si="90"/>
        <v>0</v>
      </c>
      <c r="L138" s="17">
        <f t="shared" si="91"/>
        <v>0</v>
      </c>
      <c r="M138" s="17">
        <f t="shared" si="92"/>
        <v>0</v>
      </c>
      <c r="N138" s="17">
        <f t="shared" si="93"/>
        <v>0</v>
      </c>
      <c r="O138" s="17">
        <f t="shared" si="94"/>
        <v>0</v>
      </c>
      <c r="P138" s="17">
        <v>10000</v>
      </c>
      <c r="Q138" s="17">
        <f t="shared" si="95"/>
        <v>891.81565948742241</v>
      </c>
      <c r="R138" s="17">
        <f t="shared" si="96"/>
        <v>1066.5277883445199</v>
      </c>
      <c r="S138" s="17">
        <f t="shared" si="97"/>
        <v>943.88490848547644</v>
      </c>
      <c r="T138" s="17">
        <f t="shared" si="98"/>
        <v>714.95649868550493</v>
      </c>
      <c r="U138" s="17">
        <f t="shared" si="99"/>
        <v>1036.8571810536762</v>
      </c>
      <c r="V138" s="17">
        <f t="shared" si="100"/>
        <v>849.70330952544634</v>
      </c>
      <c r="W138" s="17">
        <f t="shared" si="101"/>
        <v>845.93878877262705</v>
      </c>
      <c r="X138" s="17">
        <f t="shared" si="102"/>
        <v>574.47105462779962</v>
      </c>
      <c r="Y138" s="17">
        <f t="shared" si="103"/>
        <v>851.5385234555747</v>
      </c>
      <c r="Z138" s="17">
        <f t="shared" si="104"/>
        <v>741.58058913035177</v>
      </c>
      <c r="AA138" s="17">
        <f t="shared" si="105"/>
        <v>757.18189192107172</v>
      </c>
      <c r="AB138" s="17">
        <f t="shared" si="106"/>
        <v>739.55559365675617</v>
      </c>
      <c r="AC138" s="17">
        <v>0</v>
      </c>
      <c r="AD138" s="17">
        <f t="shared" si="107"/>
        <v>0</v>
      </c>
      <c r="AE138" s="17">
        <f t="shared" si="108"/>
        <v>0</v>
      </c>
      <c r="AF138" s="17">
        <f t="shared" si="109"/>
        <v>0</v>
      </c>
      <c r="AG138" s="17">
        <f t="shared" si="110"/>
        <v>0</v>
      </c>
      <c r="AH138" s="17">
        <f t="shared" si="111"/>
        <v>0</v>
      </c>
      <c r="AI138" s="17">
        <f t="shared" si="112"/>
        <v>0</v>
      </c>
      <c r="AJ138" s="17">
        <f t="shared" si="113"/>
        <v>0</v>
      </c>
      <c r="AK138" s="17">
        <f t="shared" si="114"/>
        <v>0</v>
      </c>
      <c r="AL138" s="17">
        <f t="shared" si="115"/>
        <v>0</v>
      </c>
      <c r="AM138" s="17">
        <f t="shared" si="116"/>
        <v>0</v>
      </c>
      <c r="AN138" s="17">
        <f t="shared" si="117"/>
        <v>0</v>
      </c>
      <c r="AO138" s="17">
        <f t="shared" si="118"/>
        <v>0</v>
      </c>
      <c r="AP138" s="17">
        <f t="shared" si="119"/>
        <v>10000</v>
      </c>
      <c r="AQ138" s="18">
        <v>1070.1787913849068</v>
      </c>
      <c r="AR138" s="18">
        <v>1279.8333460134238</v>
      </c>
      <c r="AS138" s="18">
        <v>1132.6618901825716</v>
      </c>
      <c r="AT138" s="18">
        <v>857.94779842260584</v>
      </c>
      <c r="AU138" s="18">
        <v>1244.2286172644115</v>
      </c>
      <c r="AV138" s="18">
        <v>1019.6439714305357</v>
      </c>
      <c r="AW138" s="18">
        <v>1015.1265465271524</v>
      </c>
      <c r="AX138" s="18">
        <v>689.36526555335956</v>
      </c>
      <c r="AY138" s="18">
        <v>1021.8462281466897</v>
      </c>
      <c r="AZ138" s="18">
        <v>889.89670695642212</v>
      </c>
      <c r="BA138" s="18">
        <v>908.61827030528605</v>
      </c>
      <c r="BB138" s="18">
        <v>887.46671238810745</v>
      </c>
      <c r="BC138" s="23">
        <v>8.9181565948742242E-2</v>
      </c>
      <c r="BD138" s="23">
        <v>0.10665277883445198</v>
      </c>
      <c r="BE138" s="23">
        <v>9.438849084854764E-2</v>
      </c>
      <c r="BF138" s="23">
        <v>7.149564986855049E-2</v>
      </c>
      <c r="BG138" s="23">
        <v>0.10368571810536763</v>
      </c>
      <c r="BH138" s="23">
        <v>8.4970330952544637E-2</v>
      </c>
      <c r="BI138" s="23">
        <v>8.4593878877262704E-2</v>
      </c>
      <c r="BJ138" s="23">
        <v>5.7447105462779965E-2</v>
      </c>
      <c r="BK138" s="23">
        <v>8.5153852345557474E-2</v>
      </c>
      <c r="BL138" s="23">
        <v>7.4158058913035174E-2</v>
      </c>
      <c r="BM138" s="23">
        <v>7.5718189192107169E-2</v>
      </c>
      <c r="BN138" s="23">
        <v>7.3955559365675619E-2</v>
      </c>
    </row>
    <row r="139" spans="1:66" x14ac:dyDescent="0.25">
      <c r="A139" s="16">
        <v>2182</v>
      </c>
      <c r="B139" s="16" t="s">
        <v>335</v>
      </c>
      <c r="C139" s="17">
        <v>11000</v>
      </c>
      <c r="D139" s="17">
        <f t="shared" si="83"/>
        <v>980.99722543616463</v>
      </c>
      <c r="E139" s="17">
        <f t="shared" si="84"/>
        <v>1173.1805671789718</v>
      </c>
      <c r="F139" s="17">
        <f t="shared" si="85"/>
        <v>1038.2733993340241</v>
      </c>
      <c r="G139" s="17">
        <f t="shared" si="86"/>
        <v>786.45214855405538</v>
      </c>
      <c r="H139" s="17">
        <f t="shared" si="87"/>
        <v>1140.5428991590438</v>
      </c>
      <c r="I139" s="17">
        <f t="shared" si="88"/>
        <v>934.67364047799106</v>
      </c>
      <c r="J139" s="17">
        <f t="shared" si="89"/>
        <v>930.53266764988973</v>
      </c>
      <c r="K139" s="17">
        <f t="shared" si="90"/>
        <v>631.91816009057959</v>
      </c>
      <c r="L139" s="17">
        <f t="shared" si="91"/>
        <v>936.69237580113224</v>
      </c>
      <c r="M139" s="17">
        <f t="shared" si="92"/>
        <v>815.73864804338689</v>
      </c>
      <c r="N139" s="17">
        <f t="shared" si="93"/>
        <v>832.90008111317889</v>
      </c>
      <c r="O139" s="17">
        <f t="shared" si="94"/>
        <v>813.51115302243181</v>
      </c>
      <c r="P139" s="17">
        <v>0</v>
      </c>
      <c r="Q139" s="17">
        <f t="shared" si="95"/>
        <v>0</v>
      </c>
      <c r="R139" s="17">
        <f t="shared" si="96"/>
        <v>0</v>
      </c>
      <c r="S139" s="17">
        <f t="shared" si="97"/>
        <v>0</v>
      </c>
      <c r="T139" s="17">
        <f t="shared" si="98"/>
        <v>0</v>
      </c>
      <c r="U139" s="17">
        <f t="shared" si="99"/>
        <v>0</v>
      </c>
      <c r="V139" s="17">
        <f t="shared" si="100"/>
        <v>0</v>
      </c>
      <c r="W139" s="17">
        <f t="shared" si="101"/>
        <v>0</v>
      </c>
      <c r="X139" s="17">
        <f t="shared" si="102"/>
        <v>0</v>
      </c>
      <c r="Y139" s="17">
        <f t="shared" si="103"/>
        <v>0</v>
      </c>
      <c r="Z139" s="17">
        <f t="shared" si="104"/>
        <v>0</v>
      </c>
      <c r="AA139" s="17">
        <f t="shared" si="105"/>
        <v>0</v>
      </c>
      <c r="AB139" s="17">
        <f t="shared" si="106"/>
        <v>0</v>
      </c>
      <c r="AC139" s="17">
        <v>0</v>
      </c>
      <c r="AD139" s="17">
        <f t="shared" si="107"/>
        <v>0</v>
      </c>
      <c r="AE139" s="17">
        <f t="shared" si="108"/>
        <v>0</v>
      </c>
      <c r="AF139" s="17">
        <f t="shared" si="109"/>
        <v>0</v>
      </c>
      <c r="AG139" s="17">
        <f t="shared" si="110"/>
        <v>0</v>
      </c>
      <c r="AH139" s="17">
        <f t="shared" si="111"/>
        <v>0</v>
      </c>
      <c r="AI139" s="17">
        <f t="shared" si="112"/>
        <v>0</v>
      </c>
      <c r="AJ139" s="17">
        <f t="shared" si="113"/>
        <v>0</v>
      </c>
      <c r="AK139" s="17">
        <f t="shared" si="114"/>
        <v>0</v>
      </c>
      <c r="AL139" s="17">
        <f t="shared" si="115"/>
        <v>0</v>
      </c>
      <c r="AM139" s="17">
        <f t="shared" si="116"/>
        <v>0</v>
      </c>
      <c r="AN139" s="17">
        <f t="shared" si="117"/>
        <v>0</v>
      </c>
      <c r="AO139" s="17">
        <f t="shared" si="118"/>
        <v>0</v>
      </c>
      <c r="AP139" s="17">
        <f t="shared" si="119"/>
        <v>11000</v>
      </c>
      <c r="AQ139" s="18">
        <v>1070.1787913849068</v>
      </c>
      <c r="AR139" s="18">
        <v>1279.8333460134238</v>
      </c>
      <c r="AS139" s="18">
        <v>1132.6618901825716</v>
      </c>
      <c r="AT139" s="18">
        <v>857.94779842260584</v>
      </c>
      <c r="AU139" s="18">
        <v>1244.2286172644115</v>
      </c>
      <c r="AV139" s="18">
        <v>1019.6439714305357</v>
      </c>
      <c r="AW139" s="18">
        <v>1015.1265465271524</v>
      </c>
      <c r="AX139" s="18">
        <v>689.36526555335956</v>
      </c>
      <c r="AY139" s="18">
        <v>1021.8462281466897</v>
      </c>
      <c r="AZ139" s="18">
        <v>889.89670695642212</v>
      </c>
      <c r="BA139" s="18">
        <v>908.61827030528605</v>
      </c>
      <c r="BB139" s="18">
        <v>887.46671238810745</v>
      </c>
      <c r="BC139" s="23">
        <v>8.9181565948742242E-2</v>
      </c>
      <c r="BD139" s="23">
        <v>0.10665277883445198</v>
      </c>
      <c r="BE139" s="23">
        <v>9.438849084854764E-2</v>
      </c>
      <c r="BF139" s="23">
        <v>7.149564986855049E-2</v>
      </c>
      <c r="BG139" s="23">
        <v>0.10368571810536763</v>
      </c>
      <c r="BH139" s="23">
        <v>8.4970330952544637E-2</v>
      </c>
      <c r="BI139" s="23">
        <v>8.4593878877262704E-2</v>
      </c>
      <c r="BJ139" s="23">
        <v>5.7447105462779965E-2</v>
      </c>
      <c r="BK139" s="23">
        <v>8.5153852345557474E-2</v>
      </c>
      <c r="BL139" s="23">
        <v>7.4158058913035174E-2</v>
      </c>
      <c r="BM139" s="23">
        <v>7.5718189192107169E-2</v>
      </c>
      <c r="BN139" s="23">
        <v>7.3955559365675619E-2</v>
      </c>
    </row>
    <row r="140" spans="1:66" x14ac:dyDescent="0.25">
      <c r="A140" s="16">
        <v>6525</v>
      </c>
      <c r="B140" s="16" t="s">
        <v>336</v>
      </c>
      <c r="C140" s="17">
        <v>70000</v>
      </c>
      <c r="D140" s="17">
        <f t="shared" si="83"/>
        <v>6242.7096164119566</v>
      </c>
      <c r="E140" s="17">
        <f t="shared" si="84"/>
        <v>7465.6945184116385</v>
      </c>
      <c r="F140" s="17">
        <f t="shared" si="85"/>
        <v>6607.1943593983351</v>
      </c>
      <c r="G140" s="17">
        <f t="shared" si="86"/>
        <v>5004.6954907985346</v>
      </c>
      <c r="H140" s="17">
        <f t="shared" si="87"/>
        <v>7258.0002673757335</v>
      </c>
      <c r="I140" s="17">
        <f t="shared" si="88"/>
        <v>5947.9231666781243</v>
      </c>
      <c r="J140" s="17">
        <f t="shared" si="89"/>
        <v>5921.5715214083893</v>
      </c>
      <c r="K140" s="17">
        <f t="shared" si="90"/>
        <v>4021.2973823945977</v>
      </c>
      <c r="L140" s="17">
        <f t="shared" si="91"/>
        <v>5960.7696641890234</v>
      </c>
      <c r="M140" s="17">
        <f t="shared" si="92"/>
        <v>5191.0641239124625</v>
      </c>
      <c r="N140" s="17">
        <f t="shared" si="93"/>
        <v>5300.273243447502</v>
      </c>
      <c r="O140" s="17">
        <f t="shared" si="94"/>
        <v>5176.8891555972932</v>
      </c>
      <c r="P140" s="17">
        <v>0</v>
      </c>
      <c r="Q140" s="17">
        <f t="shared" si="95"/>
        <v>0</v>
      </c>
      <c r="R140" s="17">
        <f t="shared" si="96"/>
        <v>0</v>
      </c>
      <c r="S140" s="17">
        <f t="shared" si="97"/>
        <v>0</v>
      </c>
      <c r="T140" s="17">
        <f t="shared" si="98"/>
        <v>0</v>
      </c>
      <c r="U140" s="17">
        <f t="shared" si="99"/>
        <v>0</v>
      </c>
      <c r="V140" s="17">
        <f t="shared" si="100"/>
        <v>0</v>
      </c>
      <c r="W140" s="17">
        <f t="shared" si="101"/>
        <v>0</v>
      </c>
      <c r="X140" s="17">
        <f t="shared" si="102"/>
        <v>0</v>
      </c>
      <c r="Y140" s="17">
        <f t="shared" si="103"/>
        <v>0</v>
      </c>
      <c r="Z140" s="17">
        <f t="shared" si="104"/>
        <v>0</v>
      </c>
      <c r="AA140" s="17">
        <f t="shared" si="105"/>
        <v>0</v>
      </c>
      <c r="AB140" s="17">
        <f t="shared" si="106"/>
        <v>0</v>
      </c>
      <c r="AC140" s="17">
        <v>0</v>
      </c>
      <c r="AD140" s="17">
        <f t="shared" si="107"/>
        <v>0</v>
      </c>
      <c r="AE140" s="17">
        <f t="shared" si="108"/>
        <v>0</v>
      </c>
      <c r="AF140" s="17">
        <f t="shared" si="109"/>
        <v>0</v>
      </c>
      <c r="AG140" s="17">
        <f t="shared" si="110"/>
        <v>0</v>
      </c>
      <c r="AH140" s="17">
        <f t="shared" si="111"/>
        <v>0</v>
      </c>
      <c r="AI140" s="17">
        <f t="shared" si="112"/>
        <v>0</v>
      </c>
      <c r="AJ140" s="17">
        <f t="shared" si="113"/>
        <v>0</v>
      </c>
      <c r="AK140" s="17">
        <f t="shared" si="114"/>
        <v>0</v>
      </c>
      <c r="AL140" s="17">
        <f t="shared" si="115"/>
        <v>0</v>
      </c>
      <c r="AM140" s="17">
        <f t="shared" si="116"/>
        <v>0</v>
      </c>
      <c r="AN140" s="17">
        <f t="shared" si="117"/>
        <v>0</v>
      </c>
      <c r="AO140" s="17">
        <f t="shared" si="118"/>
        <v>0</v>
      </c>
      <c r="AP140" s="17">
        <f t="shared" si="119"/>
        <v>70000</v>
      </c>
      <c r="AQ140" s="18">
        <v>980.99722543616463</v>
      </c>
      <c r="AR140" s="18">
        <v>1173.1805671789718</v>
      </c>
      <c r="AS140" s="18">
        <v>1038.2733993340241</v>
      </c>
      <c r="AT140" s="18">
        <v>786.45214855405538</v>
      </c>
      <c r="AU140" s="18">
        <v>1140.5428991590438</v>
      </c>
      <c r="AV140" s="18">
        <v>934.67364047799106</v>
      </c>
      <c r="AW140" s="18">
        <v>930.53266764988973</v>
      </c>
      <c r="AX140" s="18">
        <v>631.91816009057959</v>
      </c>
      <c r="AY140" s="18">
        <v>936.69237580113224</v>
      </c>
      <c r="AZ140" s="18">
        <v>815.73864804338689</v>
      </c>
      <c r="BA140" s="18">
        <v>832.90008111317889</v>
      </c>
      <c r="BB140" s="18">
        <v>813.51115302243181</v>
      </c>
      <c r="BC140" s="23">
        <v>8.9181565948742242E-2</v>
      </c>
      <c r="BD140" s="23">
        <v>0.10665277883445198</v>
      </c>
      <c r="BE140" s="23">
        <v>9.438849084854764E-2</v>
      </c>
      <c r="BF140" s="23">
        <v>7.149564986855049E-2</v>
      </c>
      <c r="BG140" s="23">
        <v>0.10368571810536763</v>
      </c>
      <c r="BH140" s="23">
        <v>8.4970330952544637E-2</v>
      </c>
      <c r="BI140" s="23">
        <v>8.4593878877262704E-2</v>
      </c>
      <c r="BJ140" s="23">
        <v>5.7447105462779965E-2</v>
      </c>
      <c r="BK140" s="23">
        <v>8.5153852345557474E-2</v>
      </c>
      <c r="BL140" s="23">
        <v>7.4158058913035174E-2</v>
      </c>
      <c r="BM140" s="23">
        <v>7.5718189192107169E-2</v>
      </c>
      <c r="BN140" s="23">
        <v>7.3955559365675619E-2</v>
      </c>
    </row>
    <row r="141" spans="1:66" x14ac:dyDescent="0.25">
      <c r="A141" s="16">
        <v>3845</v>
      </c>
      <c r="B141" s="16" t="s">
        <v>337</v>
      </c>
      <c r="C141" s="17">
        <v>2500</v>
      </c>
      <c r="D141" s="17">
        <f t="shared" si="83"/>
        <v>222.9539148718556</v>
      </c>
      <c r="E141" s="17">
        <f t="shared" si="84"/>
        <v>266.63194708612997</v>
      </c>
      <c r="F141" s="17">
        <f t="shared" si="85"/>
        <v>235.97122712136911</v>
      </c>
      <c r="G141" s="17">
        <f t="shared" si="86"/>
        <v>178.73912467137623</v>
      </c>
      <c r="H141" s="17">
        <f t="shared" si="87"/>
        <v>259.21429526341905</v>
      </c>
      <c r="I141" s="17">
        <f t="shared" si="88"/>
        <v>212.42582738136159</v>
      </c>
      <c r="J141" s="17">
        <f t="shared" si="89"/>
        <v>211.48469719315676</v>
      </c>
      <c r="K141" s="17">
        <f t="shared" si="90"/>
        <v>143.6177636569499</v>
      </c>
      <c r="L141" s="17">
        <f t="shared" si="91"/>
        <v>212.88463086389368</v>
      </c>
      <c r="M141" s="17">
        <f t="shared" si="92"/>
        <v>185.39514728258794</v>
      </c>
      <c r="N141" s="17">
        <f t="shared" si="93"/>
        <v>189.29547298026793</v>
      </c>
      <c r="O141" s="17">
        <f t="shared" si="94"/>
        <v>184.88889841418904</v>
      </c>
      <c r="P141" s="17">
        <v>0</v>
      </c>
      <c r="Q141" s="17">
        <f t="shared" si="95"/>
        <v>0</v>
      </c>
      <c r="R141" s="17">
        <f t="shared" si="96"/>
        <v>0</v>
      </c>
      <c r="S141" s="17">
        <f t="shared" si="97"/>
        <v>0</v>
      </c>
      <c r="T141" s="17">
        <f t="shared" si="98"/>
        <v>0</v>
      </c>
      <c r="U141" s="17">
        <f t="shared" si="99"/>
        <v>0</v>
      </c>
      <c r="V141" s="17">
        <f t="shared" si="100"/>
        <v>0</v>
      </c>
      <c r="W141" s="17">
        <f t="shared" si="101"/>
        <v>0</v>
      </c>
      <c r="X141" s="17">
        <f t="shared" si="102"/>
        <v>0</v>
      </c>
      <c r="Y141" s="17">
        <f t="shared" si="103"/>
        <v>0</v>
      </c>
      <c r="Z141" s="17">
        <f t="shared" si="104"/>
        <v>0</v>
      </c>
      <c r="AA141" s="17">
        <f t="shared" si="105"/>
        <v>0</v>
      </c>
      <c r="AB141" s="17">
        <f t="shared" si="106"/>
        <v>0</v>
      </c>
      <c r="AC141" s="17">
        <v>150</v>
      </c>
      <c r="AD141" s="17">
        <f t="shared" si="107"/>
        <v>13.377234892311336</v>
      </c>
      <c r="AE141" s="17">
        <f t="shared" si="108"/>
        <v>15.997916825167797</v>
      </c>
      <c r="AF141" s="17">
        <f t="shared" si="109"/>
        <v>14.158273627282146</v>
      </c>
      <c r="AG141" s="17">
        <f t="shared" si="110"/>
        <v>10.724347480282573</v>
      </c>
      <c r="AH141" s="17">
        <f t="shared" si="111"/>
        <v>15.552857715805144</v>
      </c>
      <c r="AI141" s="17">
        <f t="shared" si="112"/>
        <v>12.745549642881695</v>
      </c>
      <c r="AJ141" s="17">
        <f t="shared" si="113"/>
        <v>12.689081831589405</v>
      </c>
      <c r="AK141" s="17">
        <f t="shared" si="114"/>
        <v>8.6170658194169949</v>
      </c>
      <c r="AL141" s="17">
        <f t="shared" si="115"/>
        <v>12.773077851833621</v>
      </c>
      <c r="AM141" s="17">
        <f t="shared" si="116"/>
        <v>11.123708836955275</v>
      </c>
      <c r="AN141" s="17">
        <f t="shared" si="117"/>
        <v>11.357728378816075</v>
      </c>
      <c r="AO141" s="17">
        <f t="shared" si="118"/>
        <v>11.093333904851344</v>
      </c>
      <c r="AP141" s="17">
        <f t="shared" si="119"/>
        <v>2650</v>
      </c>
      <c r="AQ141" s="18">
        <v>980.99722543616463</v>
      </c>
      <c r="AR141" s="18">
        <v>1173.1805671789718</v>
      </c>
      <c r="AS141" s="18">
        <v>1038.2733993340241</v>
      </c>
      <c r="AT141" s="18">
        <v>786.45214855405538</v>
      </c>
      <c r="AU141" s="18">
        <v>1140.5428991590438</v>
      </c>
      <c r="AV141" s="18">
        <v>934.67364047799106</v>
      </c>
      <c r="AW141" s="18">
        <v>930.53266764988973</v>
      </c>
      <c r="AX141" s="18">
        <v>631.91816009057959</v>
      </c>
      <c r="AY141" s="18">
        <v>936.69237580113224</v>
      </c>
      <c r="AZ141" s="18">
        <v>815.73864804338689</v>
      </c>
      <c r="BA141" s="18">
        <v>832.90008111317889</v>
      </c>
      <c r="BB141" s="18">
        <v>813.51115302243181</v>
      </c>
      <c r="BC141" s="23">
        <v>8.9181565948742242E-2</v>
      </c>
      <c r="BD141" s="23">
        <v>0.10665277883445198</v>
      </c>
      <c r="BE141" s="23">
        <v>9.438849084854764E-2</v>
      </c>
      <c r="BF141" s="23">
        <v>7.149564986855049E-2</v>
      </c>
      <c r="BG141" s="23">
        <v>0.10368571810536763</v>
      </c>
      <c r="BH141" s="23">
        <v>8.4970330952544637E-2</v>
      </c>
      <c r="BI141" s="23">
        <v>8.4593878877262704E-2</v>
      </c>
      <c r="BJ141" s="23">
        <v>5.7447105462779965E-2</v>
      </c>
      <c r="BK141" s="23">
        <v>8.5153852345557474E-2</v>
      </c>
      <c r="BL141" s="23">
        <v>7.4158058913035174E-2</v>
      </c>
      <c r="BM141" s="23">
        <v>7.5718189192107169E-2</v>
      </c>
      <c r="BN141" s="23">
        <v>7.3955559365675619E-2</v>
      </c>
    </row>
    <row r="142" spans="1:66" x14ac:dyDescent="0.25">
      <c r="A142" s="16">
        <v>3972</v>
      </c>
      <c r="B142" s="16" t="s">
        <v>338</v>
      </c>
      <c r="C142" s="17">
        <v>500</v>
      </c>
      <c r="D142" s="17">
        <f t="shared" si="83"/>
        <v>44.590782974371123</v>
      </c>
      <c r="E142" s="17">
        <f t="shared" si="84"/>
        <v>53.32638941722599</v>
      </c>
      <c r="F142" s="17">
        <f t="shared" si="85"/>
        <v>47.194245424273824</v>
      </c>
      <c r="G142" s="17">
        <f t="shared" si="86"/>
        <v>35.747824934275243</v>
      </c>
      <c r="H142" s="17">
        <f t="shared" si="87"/>
        <v>51.842859052683814</v>
      </c>
      <c r="I142" s="17">
        <f t="shared" si="88"/>
        <v>42.485165476272321</v>
      </c>
      <c r="J142" s="17">
        <f t="shared" si="89"/>
        <v>42.296939438631355</v>
      </c>
      <c r="K142" s="17">
        <f t="shared" si="90"/>
        <v>28.723552731389983</v>
      </c>
      <c r="L142" s="17">
        <f t="shared" si="91"/>
        <v>42.576926172778734</v>
      </c>
      <c r="M142" s="17">
        <f t="shared" si="92"/>
        <v>37.079029456517588</v>
      </c>
      <c r="N142" s="17">
        <f t="shared" si="93"/>
        <v>37.859094596053588</v>
      </c>
      <c r="O142" s="17">
        <f t="shared" si="94"/>
        <v>36.977779682837813</v>
      </c>
      <c r="P142" s="17">
        <v>0</v>
      </c>
      <c r="Q142" s="17">
        <f t="shared" si="95"/>
        <v>0</v>
      </c>
      <c r="R142" s="17">
        <f t="shared" si="96"/>
        <v>0</v>
      </c>
      <c r="S142" s="17">
        <f t="shared" si="97"/>
        <v>0</v>
      </c>
      <c r="T142" s="17">
        <f t="shared" si="98"/>
        <v>0</v>
      </c>
      <c r="U142" s="17">
        <f t="shared" si="99"/>
        <v>0</v>
      </c>
      <c r="V142" s="17">
        <f t="shared" si="100"/>
        <v>0</v>
      </c>
      <c r="W142" s="17">
        <f t="shared" si="101"/>
        <v>0</v>
      </c>
      <c r="X142" s="17">
        <f t="shared" si="102"/>
        <v>0</v>
      </c>
      <c r="Y142" s="17">
        <f t="shared" si="103"/>
        <v>0</v>
      </c>
      <c r="Z142" s="17">
        <f t="shared" si="104"/>
        <v>0</v>
      </c>
      <c r="AA142" s="17">
        <f t="shared" si="105"/>
        <v>0</v>
      </c>
      <c r="AB142" s="17">
        <f t="shared" si="106"/>
        <v>0</v>
      </c>
      <c r="AC142" s="17">
        <v>0</v>
      </c>
      <c r="AD142" s="17">
        <f t="shared" si="107"/>
        <v>0</v>
      </c>
      <c r="AE142" s="17">
        <f t="shared" si="108"/>
        <v>0</v>
      </c>
      <c r="AF142" s="17">
        <f t="shared" si="109"/>
        <v>0</v>
      </c>
      <c r="AG142" s="17">
        <f t="shared" si="110"/>
        <v>0</v>
      </c>
      <c r="AH142" s="17">
        <f t="shared" si="111"/>
        <v>0</v>
      </c>
      <c r="AI142" s="17">
        <f t="shared" si="112"/>
        <v>0</v>
      </c>
      <c r="AJ142" s="17">
        <f t="shared" si="113"/>
        <v>0</v>
      </c>
      <c r="AK142" s="17">
        <f t="shared" si="114"/>
        <v>0</v>
      </c>
      <c r="AL142" s="17">
        <f t="shared" si="115"/>
        <v>0</v>
      </c>
      <c r="AM142" s="17">
        <f t="shared" si="116"/>
        <v>0</v>
      </c>
      <c r="AN142" s="17">
        <f t="shared" si="117"/>
        <v>0</v>
      </c>
      <c r="AO142" s="17">
        <f t="shared" si="118"/>
        <v>0</v>
      </c>
      <c r="AP142" s="17">
        <f t="shared" si="119"/>
        <v>500</v>
      </c>
      <c r="AQ142" s="18">
        <v>936.40644246179352</v>
      </c>
      <c r="AR142" s="18">
        <v>1119.8541777617459</v>
      </c>
      <c r="AS142" s="18">
        <v>991.07915390975018</v>
      </c>
      <c r="AT142" s="18">
        <v>750.7043236197801</v>
      </c>
      <c r="AU142" s="18">
        <v>1088.7000401063601</v>
      </c>
      <c r="AV142" s="18">
        <v>892.18847500171864</v>
      </c>
      <c r="AW142" s="18">
        <v>888.23572821125845</v>
      </c>
      <c r="AX142" s="18">
        <v>603.1946073591896</v>
      </c>
      <c r="AY142" s="18">
        <v>894.11544962835342</v>
      </c>
      <c r="AZ142" s="18">
        <v>778.65961858686933</v>
      </c>
      <c r="BA142" s="18">
        <v>795.04098651712525</v>
      </c>
      <c r="BB142" s="18">
        <v>776.53337333959405</v>
      </c>
      <c r="BC142" s="23">
        <v>8.9181565948742242E-2</v>
      </c>
      <c r="BD142" s="23">
        <v>0.10665277883445198</v>
      </c>
      <c r="BE142" s="23">
        <v>9.438849084854764E-2</v>
      </c>
      <c r="BF142" s="23">
        <v>7.149564986855049E-2</v>
      </c>
      <c r="BG142" s="23">
        <v>0.10368571810536763</v>
      </c>
      <c r="BH142" s="23">
        <v>8.4970330952544637E-2</v>
      </c>
      <c r="BI142" s="23">
        <v>8.4593878877262704E-2</v>
      </c>
      <c r="BJ142" s="23">
        <v>5.7447105462779965E-2</v>
      </c>
      <c r="BK142" s="23">
        <v>8.5153852345557474E-2</v>
      </c>
      <c r="BL142" s="23">
        <v>7.4158058913035174E-2</v>
      </c>
      <c r="BM142" s="23">
        <v>7.5718189192107169E-2</v>
      </c>
      <c r="BN142" s="23">
        <v>7.3955559365675619E-2</v>
      </c>
    </row>
    <row r="143" spans="1:66" x14ac:dyDescent="0.25">
      <c r="A143" s="16">
        <v>2349</v>
      </c>
      <c r="B143" s="16" t="s">
        <v>339</v>
      </c>
      <c r="C143" s="17">
        <v>10000</v>
      </c>
      <c r="D143" s="17">
        <f t="shared" si="83"/>
        <v>891.81565948742241</v>
      </c>
      <c r="E143" s="17">
        <f t="shared" si="84"/>
        <v>1066.5277883445199</v>
      </c>
      <c r="F143" s="17">
        <f t="shared" si="85"/>
        <v>943.88490848547644</v>
      </c>
      <c r="G143" s="17">
        <f t="shared" si="86"/>
        <v>714.95649868550493</v>
      </c>
      <c r="H143" s="17">
        <f t="shared" si="87"/>
        <v>1036.8571810536762</v>
      </c>
      <c r="I143" s="17">
        <f t="shared" si="88"/>
        <v>849.70330952544634</v>
      </c>
      <c r="J143" s="17">
        <f t="shared" si="89"/>
        <v>845.93878877262705</v>
      </c>
      <c r="K143" s="17">
        <f t="shared" si="90"/>
        <v>574.47105462779962</v>
      </c>
      <c r="L143" s="17">
        <f t="shared" si="91"/>
        <v>851.5385234555747</v>
      </c>
      <c r="M143" s="17">
        <f t="shared" si="92"/>
        <v>741.58058913035177</v>
      </c>
      <c r="N143" s="17">
        <f t="shared" si="93"/>
        <v>757.18189192107172</v>
      </c>
      <c r="O143" s="17">
        <f t="shared" si="94"/>
        <v>739.55559365675617</v>
      </c>
      <c r="P143" s="17">
        <v>0</v>
      </c>
      <c r="Q143" s="17">
        <f t="shared" si="95"/>
        <v>0</v>
      </c>
      <c r="R143" s="17">
        <f t="shared" si="96"/>
        <v>0</v>
      </c>
      <c r="S143" s="17">
        <f t="shared" si="97"/>
        <v>0</v>
      </c>
      <c r="T143" s="17">
        <f t="shared" si="98"/>
        <v>0</v>
      </c>
      <c r="U143" s="17">
        <f t="shared" si="99"/>
        <v>0</v>
      </c>
      <c r="V143" s="17">
        <f t="shared" si="100"/>
        <v>0</v>
      </c>
      <c r="W143" s="17">
        <f t="shared" si="101"/>
        <v>0</v>
      </c>
      <c r="X143" s="17">
        <f t="shared" si="102"/>
        <v>0</v>
      </c>
      <c r="Y143" s="17">
        <f t="shared" si="103"/>
        <v>0</v>
      </c>
      <c r="Z143" s="17">
        <f t="shared" si="104"/>
        <v>0</v>
      </c>
      <c r="AA143" s="17">
        <f t="shared" si="105"/>
        <v>0</v>
      </c>
      <c r="AB143" s="17">
        <f t="shared" si="106"/>
        <v>0</v>
      </c>
      <c r="AC143" s="17">
        <v>0</v>
      </c>
      <c r="AD143" s="17">
        <f t="shared" si="107"/>
        <v>0</v>
      </c>
      <c r="AE143" s="17">
        <f t="shared" si="108"/>
        <v>0</v>
      </c>
      <c r="AF143" s="17">
        <f t="shared" si="109"/>
        <v>0</v>
      </c>
      <c r="AG143" s="17">
        <f t="shared" si="110"/>
        <v>0</v>
      </c>
      <c r="AH143" s="17">
        <f t="shared" si="111"/>
        <v>0</v>
      </c>
      <c r="AI143" s="17">
        <f t="shared" si="112"/>
        <v>0</v>
      </c>
      <c r="AJ143" s="17">
        <f t="shared" si="113"/>
        <v>0</v>
      </c>
      <c r="AK143" s="17">
        <f t="shared" si="114"/>
        <v>0</v>
      </c>
      <c r="AL143" s="17">
        <f t="shared" si="115"/>
        <v>0</v>
      </c>
      <c r="AM143" s="17">
        <f t="shared" si="116"/>
        <v>0</v>
      </c>
      <c r="AN143" s="17">
        <f t="shared" si="117"/>
        <v>0</v>
      </c>
      <c r="AO143" s="17">
        <f t="shared" si="118"/>
        <v>0</v>
      </c>
      <c r="AP143" s="17">
        <f t="shared" si="119"/>
        <v>10000</v>
      </c>
      <c r="AQ143" s="18">
        <v>897.26313708026953</v>
      </c>
      <c r="AR143" s="18">
        <v>1073.0424600340648</v>
      </c>
      <c r="AS143" s="18">
        <v>949.65044067197834</v>
      </c>
      <c r="AT143" s="18">
        <v>719.3236674664256</v>
      </c>
      <c r="AU143" s="18">
        <v>1043.1906157727065</v>
      </c>
      <c r="AV143" s="18">
        <v>854.89355225102065</v>
      </c>
      <c r="AW143" s="18">
        <v>851.10603667608689</v>
      </c>
      <c r="AX143" s="18">
        <v>577.98009617078264</v>
      </c>
      <c r="AY143" s="18">
        <v>856.73997621839851</v>
      </c>
      <c r="AZ143" s="18">
        <v>746.11038584293669</v>
      </c>
      <c r="BA143" s="18">
        <v>761.80698607149316</v>
      </c>
      <c r="BB143" s="18">
        <v>744.07302108948977</v>
      </c>
      <c r="BC143" s="23">
        <v>8.9181565948742242E-2</v>
      </c>
      <c r="BD143" s="23">
        <v>0.10665277883445198</v>
      </c>
      <c r="BE143" s="23">
        <v>9.438849084854764E-2</v>
      </c>
      <c r="BF143" s="23">
        <v>7.149564986855049E-2</v>
      </c>
      <c r="BG143" s="23">
        <v>0.10368571810536763</v>
      </c>
      <c r="BH143" s="23">
        <v>8.4970330952544637E-2</v>
      </c>
      <c r="BI143" s="23">
        <v>8.4593878877262704E-2</v>
      </c>
      <c r="BJ143" s="23">
        <v>5.7447105462779965E-2</v>
      </c>
      <c r="BK143" s="23">
        <v>8.5153852345557474E-2</v>
      </c>
      <c r="BL143" s="23">
        <v>7.4158058913035174E-2</v>
      </c>
      <c r="BM143" s="23">
        <v>7.5718189192107169E-2</v>
      </c>
      <c r="BN143" s="23">
        <v>7.3955559365675619E-2</v>
      </c>
    </row>
    <row r="144" spans="1:66" x14ac:dyDescent="0.25">
      <c r="A144" s="16">
        <v>2358</v>
      </c>
      <c r="B144" s="16" t="s">
        <v>340</v>
      </c>
      <c r="C144" s="17">
        <v>10000</v>
      </c>
      <c r="D144" s="17">
        <f t="shared" si="83"/>
        <v>891.81565948742241</v>
      </c>
      <c r="E144" s="17">
        <f t="shared" si="84"/>
        <v>1066.5277883445199</v>
      </c>
      <c r="F144" s="17">
        <f t="shared" si="85"/>
        <v>943.88490848547644</v>
      </c>
      <c r="G144" s="17">
        <f t="shared" si="86"/>
        <v>714.95649868550493</v>
      </c>
      <c r="H144" s="17">
        <f t="shared" si="87"/>
        <v>1036.8571810536762</v>
      </c>
      <c r="I144" s="17">
        <f t="shared" si="88"/>
        <v>849.70330952544634</v>
      </c>
      <c r="J144" s="17">
        <f t="shared" si="89"/>
        <v>845.93878877262705</v>
      </c>
      <c r="K144" s="17">
        <f t="shared" si="90"/>
        <v>574.47105462779962</v>
      </c>
      <c r="L144" s="17">
        <f t="shared" si="91"/>
        <v>851.5385234555747</v>
      </c>
      <c r="M144" s="17">
        <f t="shared" si="92"/>
        <v>741.58058913035177</v>
      </c>
      <c r="N144" s="17">
        <f t="shared" si="93"/>
        <v>757.18189192107172</v>
      </c>
      <c r="O144" s="17">
        <f t="shared" si="94"/>
        <v>739.55559365675617</v>
      </c>
      <c r="P144" s="17">
        <v>0</v>
      </c>
      <c r="Q144" s="17">
        <f t="shared" si="95"/>
        <v>0</v>
      </c>
      <c r="R144" s="17">
        <f t="shared" si="96"/>
        <v>0</v>
      </c>
      <c r="S144" s="17">
        <f t="shared" si="97"/>
        <v>0</v>
      </c>
      <c r="T144" s="17">
        <f t="shared" si="98"/>
        <v>0</v>
      </c>
      <c r="U144" s="17">
        <f t="shared" si="99"/>
        <v>0</v>
      </c>
      <c r="V144" s="17">
        <f t="shared" si="100"/>
        <v>0</v>
      </c>
      <c r="W144" s="17">
        <f t="shared" si="101"/>
        <v>0</v>
      </c>
      <c r="X144" s="17">
        <f t="shared" si="102"/>
        <v>0</v>
      </c>
      <c r="Y144" s="17">
        <f t="shared" si="103"/>
        <v>0</v>
      </c>
      <c r="Z144" s="17">
        <f t="shared" si="104"/>
        <v>0</v>
      </c>
      <c r="AA144" s="17">
        <f t="shared" si="105"/>
        <v>0</v>
      </c>
      <c r="AB144" s="17">
        <f t="shared" si="106"/>
        <v>0</v>
      </c>
      <c r="AC144" s="17">
        <v>0</v>
      </c>
      <c r="AD144" s="17">
        <f t="shared" si="107"/>
        <v>0</v>
      </c>
      <c r="AE144" s="17">
        <f t="shared" si="108"/>
        <v>0</v>
      </c>
      <c r="AF144" s="17">
        <f t="shared" si="109"/>
        <v>0</v>
      </c>
      <c r="AG144" s="17">
        <f t="shared" si="110"/>
        <v>0</v>
      </c>
      <c r="AH144" s="17">
        <f t="shared" si="111"/>
        <v>0</v>
      </c>
      <c r="AI144" s="17">
        <f t="shared" si="112"/>
        <v>0</v>
      </c>
      <c r="AJ144" s="17">
        <f t="shared" si="113"/>
        <v>0</v>
      </c>
      <c r="AK144" s="17">
        <f t="shared" si="114"/>
        <v>0</v>
      </c>
      <c r="AL144" s="17">
        <f t="shared" si="115"/>
        <v>0</v>
      </c>
      <c r="AM144" s="17">
        <f t="shared" si="116"/>
        <v>0</v>
      </c>
      <c r="AN144" s="17">
        <f t="shared" si="117"/>
        <v>0</v>
      </c>
      <c r="AO144" s="17">
        <f t="shared" si="118"/>
        <v>0</v>
      </c>
      <c r="AP144" s="17">
        <f t="shared" si="119"/>
        <v>10000</v>
      </c>
      <c r="AQ144" s="18">
        <v>893.18905560303301</v>
      </c>
      <c r="AR144" s="18">
        <v>1068.1702411385704</v>
      </c>
      <c r="AS144" s="18">
        <v>945.338491244544</v>
      </c>
      <c r="AT144" s="18">
        <v>716.05753169348054</v>
      </c>
      <c r="AU144" s="18">
        <v>1038.4539411124988</v>
      </c>
      <c r="AV144" s="18">
        <v>851.0118526221155</v>
      </c>
      <c r="AW144" s="18">
        <v>847.24153450733684</v>
      </c>
      <c r="AX144" s="18">
        <v>575.35574005192643</v>
      </c>
      <c r="AY144" s="18">
        <v>852.84989278169633</v>
      </c>
      <c r="AZ144" s="18">
        <v>742.72262323761242</v>
      </c>
      <c r="BA144" s="18">
        <v>758.34795203463011</v>
      </c>
      <c r="BB144" s="18">
        <v>740.69450927098751</v>
      </c>
      <c r="BC144" s="23">
        <v>8.9181565948742242E-2</v>
      </c>
      <c r="BD144" s="23">
        <v>0.10665277883445198</v>
      </c>
      <c r="BE144" s="23">
        <v>9.438849084854764E-2</v>
      </c>
      <c r="BF144" s="23">
        <v>7.149564986855049E-2</v>
      </c>
      <c r="BG144" s="23">
        <v>0.10368571810536763</v>
      </c>
      <c r="BH144" s="23">
        <v>8.4970330952544637E-2</v>
      </c>
      <c r="BI144" s="23">
        <v>8.4593878877262704E-2</v>
      </c>
      <c r="BJ144" s="23">
        <v>5.7447105462779965E-2</v>
      </c>
      <c r="BK144" s="23">
        <v>8.5153852345557474E-2</v>
      </c>
      <c r="BL144" s="23">
        <v>7.4158058913035174E-2</v>
      </c>
      <c r="BM144" s="23">
        <v>7.5718189192107169E-2</v>
      </c>
      <c r="BN144" s="23">
        <v>7.3955559365675619E-2</v>
      </c>
    </row>
    <row r="145" spans="1:66" x14ac:dyDescent="0.25">
      <c r="A145" s="16">
        <v>3870</v>
      </c>
      <c r="B145" s="16" t="s">
        <v>341</v>
      </c>
      <c r="C145" s="17">
        <v>0</v>
      </c>
      <c r="D145" s="17">
        <f t="shared" si="83"/>
        <v>0</v>
      </c>
      <c r="E145" s="17">
        <f t="shared" si="84"/>
        <v>0</v>
      </c>
      <c r="F145" s="17">
        <f t="shared" si="85"/>
        <v>0</v>
      </c>
      <c r="G145" s="17">
        <f t="shared" si="86"/>
        <v>0</v>
      </c>
      <c r="H145" s="17">
        <f t="shared" si="87"/>
        <v>0</v>
      </c>
      <c r="I145" s="17">
        <f t="shared" si="88"/>
        <v>0</v>
      </c>
      <c r="J145" s="17">
        <f t="shared" si="89"/>
        <v>0</v>
      </c>
      <c r="K145" s="17">
        <f t="shared" si="90"/>
        <v>0</v>
      </c>
      <c r="L145" s="17">
        <f t="shared" si="91"/>
        <v>0</v>
      </c>
      <c r="M145" s="17">
        <f t="shared" si="92"/>
        <v>0</v>
      </c>
      <c r="N145" s="17">
        <f t="shared" si="93"/>
        <v>0</v>
      </c>
      <c r="O145" s="17">
        <f t="shared" si="94"/>
        <v>0</v>
      </c>
      <c r="P145" s="17">
        <v>2000</v>
      </c>
      <c r="Q145" s="17">
        <f t="shared" si="95"/>
        <v>178.36313189748449</v>
      </c>
      <c r="R145" s="17">
        <f t="shared" si="96"/>
        <v>213.30555766890396</v>
      </c>
      <c r="S145" s="17">
        <f t="shared" si="97"/>
        <v>188.77698169709529</v>
      </c>
      <c r="T145" s="17">
        <f t="shared" si="98"/>
        <v>142.99129973710097</v>
      </c>
      <c r="U145" s="17">
        <f t="shared" si="99"/>
        <v>207.37143621073525</v>
      </c>
      <c r="V145" s="17">
        <f t="shared" si="100"/>
        <v>169.94066190508929</v>
      </c>
      <c r="W145" s="17">
        <f t="shared" si="101"/>
        <v>169.18775775452542</v>
      </c>
      <c r="X145" s="17">
        <f t="shared" si="102"/>
        <v>114.89421092555993</v>
      </c>
      <c r="Y145" s="17">
        <f t="shared" si="103"/>
        <v>170.30770469111494</v>
      </c>
      <c r="Z145" s="17">
        <f t="shared" si="104"/>
        <v>148.31611782607035</v>
      </c>
      <c r="AA145" s="17">
        <f t="shared" si="105"/>
        <v>151.43637838421435</v>
      </c>
      <c r="AB145" s="17">
        <f t="shared" si="106"/>
        <v>147.91111873135125</v>
      </c>
      <c r="AC145" s="17">
        <v>0</v>
      </c>
      <c r="AD145" s="17">
        <f t="shared" si="107"/>
        <v>0</v>
      </c>
      <c r="AE145" s="17">
        <f t="shared" si="108"/>
        <v>0</v>
      </c>
      <c r="AF145" s="17">
        <f t="shared" si="109"/>
        <v>0</v>
      </c>
      <c r="AG145" s="17">
        <f t="shared" si="110"/>
        <v>0</v>
      </c>
      <c r="AH145" s="17">
        <f t="shared" si="111"/>
        <v>0</v>
      </c>
      <c r="AI145" s="17">
        <f t="shared" si="112"/>
        <v>0</v>
      </c>
      <c r="AJ145" s="17">
        <f t="shared" si="113"/>
        <v>0</v>
      </c>
      <c r="AK145" s="17">
        <f t="shared" si="114"/>
        <v>0</v>
      </c>
      <c r="AL145" s="17">
        <f t="shared" si="115"/>
        <v>0</v>
      </c>
      <c r="AM145" s="17">
        <f t="shared" si="116"/>
        <v>0</v>
      </c>
      <c r="AN145" s="17">
        <f t="shared" si="117"/>
        <v>0</v>
      </c>
      <c r="AO145" s="17">
        <f t="shared" si="118"/>
        <v>0</v>
      </c>
      <c r="AP145" s="17">
        <f t="shared" si="119"/>
        <v>2000</v>
      </c>
      <c r="AQ145" s="18">
        <v>891.81565948742241</v>
      </c>
      <c r="AR145" s="18">
        <v>1066.5277883445199</v>
      </c>
      <c r="AS145" s="18">
        <v>943.88490848547644</v>
      </c>
      <c r="AT145" s="18">
        <v>714.95649868550493</v>
      </c>
      <c r="AU145" s="18">
        <v>1036.8571810536762</v>
      </c>
      <c r="AV145" s="18">
        <v>849.70330952544634</v>
      </c>
      <c r="AW145" s="18">
        <v>845.93878877262705</v>
      </c>
      <c r="AX145" s="18">
        <v>574.47105462779962</v>
      </c>
      <c r="AY145" s="18">
        <v>851.5385234555747</v>
      </c>
      <c r="AZ145" s="18">
        <v>741.58058913035177</v>
      </c>
      <c r="BA145" s="18">
        <v>757.18189192107172</v>
      </c>
      <c r="BB145" s="18">
        <v>739.55559365675617</v>
      </c>
      <c r="BC145" s="23">
        <v>8.9181565948742242E-2</v>
      </c>
      <c r="BD145" s="23">
        <v>0.10665277883445198</v>
      </c>
      <c r="BE145" s="23">
        <v>9.438849084854764E-2</v>
      </c>
      <c r="BF145" s="23">
        <v>7.149564986855049E-2</v>
      </c>
      <c r="BG145" s="23">
        <v>0.10368571810536763</v>
      </c>
      <c r="BH145" s="23">
        <v>8.4970330952544637E-2</v>
      </c>
      <c r="BI145" s="23">
        <v>8.4593878877262704E-2</v>
      </c>
      <c r="BJ145" s="23">
        <v>5.7447105462779965E-2</v>
      </c>
      <c r="BK145" s="23">
        <v>8.5153852345557474E-2</v>
      </c>
      <c r="BL145" s="23">
        <v>7.4158058913035174E-2</v>
      </c>
      <c r="BM145" s="23">
        <v>7.5718189192107169E-2</v>
      </c>
      <c r="BN145" s="23">
        <v>7.3955559365675619E-2</v>
      </c>
    </row>
    <row r="146" spans="1:66" x14ac:dyDescent="0.25">
      <c r="A146" s="16">
        <v>4139</v>
      </c>
      <c r="B146" s="16" t="s">
        <v>342</v>
      </c>
      <c r="C146" s="17">
        <v>25000</v>
      </c>
      <c r="D146" s="17">
        <f t="shared" si="83"/>
        <v>2229.5391487185561</v>
      </c>
      <c r="E146" s="17">
        <f t="shared" si="84"/>
        <v>2666.3194708612996</v>
      </c>
      <c r="F146" s="17">
        <f t="shared" si="85"/>
        <v>2359.7122712136911</v>
      </c>
      <c r="G146" s="17">
        <f t="shared" si="86"/>
        <v>1787.3912467137623</v>
      </c>
      <c r="H146" s="17">
        <f t="shared" si="87"/>
        <v>2592.1429526341908</v>
      </c>
      <c r="I146" s="17">
        <f t="shared" si="88"/>
        <v>2124.2582738136161</v>
      </c>
      <c r="J146" s="17">
        <f t="shared" si="89"/>
        <v>2114.8469719315676</v>
      </c>
      <c r="K146" s="17">
        <f t="shared" si="90"/>
        <v>1436.1776365694991</v>
      </c>
      <c r="L146" s="17">
        <f t="shared" si="91"/>
        <v>2128.846308638937</v>
      </c>
      <c r="M146" s="17">
        <f t="shared" si="92"/>
        <v>1853.9514728258794</v>
      </c>
      <c r="N146" s="17">
        <f t="shared" si="93"/>
        <v>1892.9547298026791</v>
      </c>
      <c r="O146" s="17">
        <f t="shared" si="94"/>
        <v>1848.8889841418904</v>
      </c>
      <c r="P146" s="17">
        <v>8000</v>
      </c>
      <c r="Q146" s="17">
        <f t="shared" si="95"/>
        <v>713.45252758993797</v>
      </c>
      <c r="R146" s="17">
        <f t="shared" si="96"/>
        <v>853.22223067561583</v>
      </c>
      <c r="S146" s="17">
        <f t="shared" si="97"/>
        <v>755.10792678838118</v>
      </c>
      <c r="T146" s="17">
        <f t="shared" si="98"/>
        <v>571.96519894840389</v>
      </c>
      <c r="U146" s="17">
        <f t="shared" si="99"/>
        <v>829.48574484294102</v>
      </c>
      <c r="V146" s="17">
        <f t="shared" si="100"/>
        <v>679.76264762035714</v>
      </c>
      <c r="W146" s="17">
        <f t="shared" si="101"/>
        <v>676.75103101810168</v>
      </c>
      <c r="X146" s="17">
        <f t="shared" si="102"/>
        <v>459.57684370223973</v>
      </c>
      <c r="Y146" s="17">
        <f t="shared" si="103"/>
        <v>681.23081876445974</v>
      </c>
      <c r="Z146" s="17">
        <f t="shared" si="104"/>
        <v>593.26447130428141</v>
      </c>
      <c r="AA146" s="17">
        <f t="shared" si="105"/>
        <v>605.7455135368574</v>
      </c>
      <c r="AB146" s="17">
        <f t="shared" si="106"/>
        <v>591.64447492540501</v>
      </c>
      <c r="AC146" s="17">
        <v>0</v>
      </c>
      <c r="AD146" s="17">
        <f t="shared" si="107"/>
        <v>0</v>
      </c>
      <c r="AE146" s="17">
        <f t="shared" si="108"/>
        <v>0</v>
      </c>
      <c r="AF146" s="17">
        <f t="shared" si="109"/>
        <v>0</v>
      </c>
      <c r="AG146" s="17">
        <f t="shared" si="110"/>
        <v>0</v>
      </c>
      <c r="AH146" s="17">
        <f t="shared" si="111"/>
        <v>0</v>
      </c>
      <c r="AI146" s="17">
        <f t="shared" si="112"/>
        <v>0</v>
      </c>
      <c r="AJ146" s="17">
        <f t="shared" si="113"/>
        <v>0</v>
      </c>
      <c r="AK146" s="17">
        <f t="shared" si="114"/>
        <v>0</v>
      </c>
      <c r="AL146" s="17">
        <f t="shared" si="115"/>
        <v>0</v>
      </c>
      <c r="AM146" s="17">
        <f t="shared" si="116"/>
        <v>0</v>
      </c>
      <c r="AN146" s="17">
        <f t="shared" si="117"/>
        <v>0</v>
      </c>
      <c r="AO146" s="17">
        <f t="shared" si="118"/>
        <v>0</v>
      </c>
      <c r="AP146" s="17">
        <f t="shared" si="119"/>
        <v>33000</v>
      </c>
      <c r="AQ146" s="18">
        <v>891.81565948742241</v>
      </c>
      <c r="AR146" s="18">
        <v>1066.5277883445199</v>
      </c>
      <c r="AS146" s="18">
        <v>943.88490848547644</v>
      </c>
      <c r="AT146" s="18">
        <v>714.95649868550493</v>
      </c>
      <c r="AU146" s="18">
        <v>1036.8571810536762</v>
      </c>
      <c r="AV146" s="18">
        <v>849.70330952544634</v>
      </c>
      <c r="AW146" s="18">
        <v>845.93878877262705</v>
      </c>
      <c r="AX146" s="18">
        <v>574.47105462779962</v>
      </c>
      <c r="AY146" s="18">
        <v>851.5385234555747</v>
      </c>
      <c r="AZ146" s="18">
        <v>741.58058913035177</v>
      </c>
      <c r="BA146" s="18">
        <v>757.18189192107172</v>
      </c>
      <c r="BB146" s="18">
        <v>739.55559365675617</v>
      </c>
      <c r="BC146" s="23">
        <v>8.9181565948742242E-2</v>
      </c>
      <c r="BD146" s="23">
        <v>0.10665277883445198</v>
      </c>
      <c r="BE146" s="23">
        <v>9.438849084854764E-2</v>
      </c>
      <c r="BF146" s="23">
        <v>7.149564986855049E-2</v>
      </c>
      <c r="BG146" s="23">
        <v>0.10368571810536763</v>
      </c>
      <c r="BH146" s="23">
        <v>8.4970330952544637E-2</v>
      </c>
      <c r="BI146" s="23">
        <v>8.4593878877262704E-2</v>
      </c>
      <c r="BJ146" s="23">
        <v>5.7447105462779965E-2</v>
      </c>
      <c r="BK146" s="23">
        <v>8.5153852345557474E-2</v>
      </c>
      <c r="BL146" s="23">
        <v>7.4158058913035174E-2</v>
      </c>
      <c r="BM146" s="23">
        <v>7.5718189192107169E-2</v>
      </c>
      <c r="BN146" s="23">
        <v>7.3955559365675619E-2</v>
      </c>
    </row>
    <row r="147" spans="1:66" x14ac:dyDescent="0.25">
      <c r="A147" s="16">
        <v>4259</v>
      </c>
      <c r="B147" s="16" t="s">
        <v>343</v>
      </c>
      <c r="C147" s="17">
        <v>10000</v>
      </c>
      <c r="D147" s="17">
        <f t="shared" si="83"/>
        <v>891.81565948742241</v>
      </c>
      <c r="E147" s="17">
        <f t="shared" si="84"/>
        <v>1066.5277883445199</v>
      </c>
      <c r="F147" s="17">
        <f t="shared" si="85"/>
        <v>943.88490848547644</v>
      </c>
      <c r="G147" s="17">
        <f t="shared" si="86"/>
        <v>714.95649868550493</v>
      </c>
      <c r="H147" s="17">
        <f t="shared" si="87"/>
        <v>1036.8571810536762</v>
      </c>
      <c r="I147" s="17">
        <f t="shared" si="88"/>
        <v>849.70330952544634</v>
      </c>
      <c r="J147" s="17">
        <f t="shared" si="89"/>
        <v>845.93878877262705</v>
      </c>
      <c r="K147" s="17">
        <f t="shared" si="90"/>
        <v>574.47105462779962</v>
      </c>
      <c r="L147" s="17">
        <f t="shared" si="91"/>
        <v>851.5385234555747</v>
      </c>
      <c r="M147" s="17">
        <f t="shared" si="92"/>
        <v>741.58058913035177</v>
      </c>
      <c r="N147" s="17">
        <f t="shared" si="93"/>
        <v>757.18189192107172</v>
      </c>
      <c r="O147" s="17">
        <f t="shared" si="94"/>
        <v>739.55559365675617</v>
      </c>
      <c r="P147" s="17">
        <v>0</v>
      </c>
      <c r="Q147" s="17">
        <f t="shared" si="95"/>
        <v>0</v>
      </c>
      <c r="R147" s="17">
        <f t="shared" si="96"/>
        <v>0</v>
      </c>
      <c r="S147" s="17">
        <f t="shared" si="97"/>
        <v>0</v>
      </c>
      <c r="T147" s="17">
        <f t="shared" si="98"/>
        <v>0</v>
      </c>
      <c r="U147" s="17">
        <f t="shared" si="99"/>
        <v>0</v>
      </c>
      <c r="V147" s="17">
        <f t="shared" si="100"/>
        <v>0</v>
      </c>
      <c r="W147" s="17">
        <f t="shared" si="101"/>
        <v>0</v>
      </c>
      <c r="X147" s="17">
        <f t="shared" si="102"/>
        <v>0</v>
      </c>
      <c r="Y147" s="17">
        <f t="shared" si="103"/>
        <v>0</v>
      </c>
      <c r="Z147" s="17">
        <f t="shared" si="104"/>
        <v>0</v>
      </c>
      <c r="AA147" s="17">
        <f t="shared" si="105"/>
        <v>0</v>
      </c>
      <c r="AB147" s="17">
        <f t="shared" si="106"/>
        <v>0</v>
      </c>
      <c r="AC147" s="17">
        <v>0</v>
      </c>
      <c r="AD147" s="17">
        <f t="shared" si="107"/>
        <v>0</v>
      </c>
      <c r="AE147" s="17">
        <f t="shared" si="108"/>
        <v>0</v>
      </c>
      <c r="AF147" s="17">
        <f t="shared" si="109"/>
        <v>0</v>
      </c>
      <c r="AG147" s="17">
        <f t="shared" si="110"/>
        <v>0</v>
      </c>
      <c r="AH147" s="17">
        <f t="shared" si="111"/>
        <v>0</v>
      </c>
      <c r="AI147" s="17">
        <f t="shared" si="112"/>
        <v>0</v>
      </c>
      <c r="AJ147" s="17">
        <f t="shared" si="113"/>
        <v>0</v>
      </c>
      <c r="AK147" s="17">
        <f t="shared" si="114"/>
        <v>0</v>
      </c>
      <c r="AL147" s="17">
        <f t="shared" si="115"/>
        <v>0</v>
      </c>
      <c r="AM147" s="17">
        <f t="shared" si="116"/>
        <v>0</v>
      </c>
      <c r="AN147" s="17">
        <f t="shared" si="117"/>
        <v>0</v>
      </c>
      <c r="AO147" s="17">
        <f t="shared" si="118"/>
        <v>0</v>
      </c>
      <c r="AP147" s="17">
        <f t="shared" si="119"/>
        <v>10000</v>
      </c>
      <c r="AQ147" s="18">
        <v>891.81565948742241</v>
      </c>
      <c r="AR147" s="18">
        <v>1066.5277883445199</v>
      </c>
      <c r="AS147" s="18">
        <v>943.88490848547644</v>
      </c>
      <c r="AT147" s="18">
        <v>714.95649868550493</v>
      </c>
      <c r="AU147" s="18">
        <v>1036.8571810536762</v>
      </c>
      <c r="AV147" s="18">
        <v>849.70330952544634</v>
      </c>
      <c r="AW147" s="18">
        <v>845.93878877262705</v>
      </c>
      <c r="AX147" s="18">
        <v>574.47105462779962</v>
      </c>
      <c r="AY147" s="18">
        <v>851.5385234555747</v>
      </c>
      <c r="AZ147" s="18">
        <v>741.58058913035177</v>
      </c>
      <c r="BA147" s="18">
        <v>757.18189192107172</v>
      </c>
      <c r="BB147" s="18">
        <v>739.55559365675617</v>
      </c>
      <c r="BC147" s="23">
        <v>8.9181565948742242E-2</v>
      </c>
      <c r="BD147" s="23">
        <v>0.10665277883445198</v>
      </c>
      <c r="BE147" s="23">
        <v>9.438849084854764E-2</v>
      </c>
      <c r="BF147" s="23">
        <v>7.149564986855049E-2</v>
      </c>
      <c r="BG147" s="23">
        <v>0.10368571810536763</v>
      </c>
      <c r="BH147" s="23">
        <v>8.4970330952544637E-2</v>
      </c>
      <c r="BI147" s="23">
        <v>8.4593878877262704E-2</v>
      </c>
      <c r="BJ147" s="23">
        <v>5.7447105462779965E-2</v>
      </c>
      <c r="BK147" s="23">
        <v>8.5153852345557474E-2</v>
      </c>
      <c r="BL147" s="23">
        <v>7.4158058913035174E-2</v>
      </c>
      <c r="BM147" s="23">
        <v>7.5718189192107169E-2</v>
      </c>
      <c r="BN147" s="23">
        <v>7.3955559365675619E-2</v>
      </c>
    </row>
    <row r="148" spans="1:66" x14ac:dyDescent="0.25">
      <c r="A148" s="16">
        <v>4471</v>
      </c>
      <c r="B148" s="16" t="s">
        <v>344</v>
      </c>
      <c r="C148" s="17">
        <v>10000</v>
      </c>
      <c r="D148" s="17">
        <f t="shared" si="83"/>
        <v>891.81565948742241</v>
      </c>
      <c r="E148" s="17">
        <f t="shared" si="84"/>
        <v>1066.5277883445199</v>
      </c>
      <c r="F148" s="17">
        <f t="shared" si="85"/>
        <v>943.88490848547644</v>
      </c>
      <c r="G148" s="17">
        <f t="shared" si="86"/>
        <v>714.95649868550493</v>
      </c>
      <c r="H148" s="17">
        <f t="shared" si="87"/>
        <v>1036.8571810536762</v>
      </c>
      <c r="I148" s="17">
        <f t="shared" si="88"/>
        <v>849.70330952544634</v>
      </c>
      <c r="J148" s="17">
        <f t="shared" si="89"/>
        <v>845.93878877262705</v>
      </c>
      <c r="K148" s="17">
        <f t="shared" si="90"/>
        <v>574.47105462779962</v>
      </c>
      <c r="L148" s="17">
        <f t="shared" si="91"/>
        <v>851.5385234555747</v>
      </c>
      <c r="M148" s="17">
        <f t="shared" si="92"/>
        <v>741.58058913035177</v>
      </c>
      <c r="N148" s="17">
        <f t="shared" si="93"/>
        <v>757.18189192107172</v>
      </c>
      <c r="O148" s="17">
        <f t="shared" si="94"/>
        <v>739.55559365675617</v>
      </c>
      <c r="P148" s="17">
        <v>0</v>
      </c>
      <c r="Q148" s="17">
        <f t="shared" si="95"/>
        <v>0</v>
      </c>
      <c r="R148" s="17">
        <f t="shared" si="96"/>
        <v>0</v>
      </c>
      <c r="S148" s="17">
        <f t="shared" si="97"/>
        <v>0</v>
      </c>
      <c r="T148" s="17">
        <f t="shared" si="98"/>
        <v>0</v>
      </c>
      <c r="U148" s="17">
        <f t="shared" si="99"/>
        <v>0</v>
      </c>
      <c r="V148" s="17">
        <f t="shared" si="100"/>
        <v>0</v>
      </c>
      <c r="W148" s="17">
        <f t="shared" si="101"/>
        <v>0</v>
      </c>
      <c r="X148" s="17">
        <f t="shared" si="102"/>
        <v>0</v>
      </c>
      <c r="Y148" s="17">
        <f t="shared" si="103"/>
        <v>0</v>
      </c>
      <c r="Z148" s="17">
        <f t="shared" si="104"/>
        <v>0</v>
      </c>
      <c r="AA148" s="17">
        <f t="shared" si="105"/>
        <v>0</v>
      </c>
      <c r="AB148" s="17">
        <f t="shared" si="106"/>
        <v>0</v>
      </c>
      <c r="AC148" s="17">
        <v>0</v>
      </c>
      <c r="AD148" s="17">
        <f t="shared" si="107"/>
        <v>0</v>
      </c>
      <c r="AE148" s="17">
        <f t="shared" si="108"/>
        <v>0</v>
      </c>
      <c r="AF148" s="17">
        <f t="shared" si="109"/>
        <v>0</v>
      </c>
      <c r="AG148" s="17">
        <f t="shared" si="110"/>
        <v>0</v>
      </c>
      <c r="AH148" s="17">
        <f t="shared" si="111"/>
        <v>0</v>
      </c>
      <c r="AI148" s="17">
        <f t="shared" si="112"/>
        <v>0</v>
      </c>
      <c r="AJ148" s="17">
        <f t="shared" si="113"/>
        <v>0</v>
      </c>
      <c r="AK148" s="17">
        <f t="shared" si="114"/>
        <v>0</v>
      </c>
      <c r="AL148" s="17">
        <f t="shared" si="115"/>
        <v>0</v>
      </c>
      <c r="AM148" s="17">
        <f t="shared" si="116"/>
        <v>0</v>
      </c>
      <c r="AN148" s="17">
        <f t="shared" si="117"/>
        <v>0</v>
      </c>
      <c r="AO148" s="17">
        <f t="shared" si="118"/>
        <v>0</v>
      </c>
      <c r="AP148" s="17">
        <f t="shared" si="119"/>
        <v>10000</v>
      </c>
      <c r="AQ148" s="18">
        <v>891.81565948742241</v>
      </c>
      <c r="AR148" s="18">
        <v>1066.5277883445199</v>
      </c>
      <c r="AS148" s="18">
        <v>943.88490848547644</v>
      </c>
      <c r="AT148" s="18">
        <v>714.95649868550493</v>
      </c>
      <c r="AU148" s="18">
        <v>1036.8571810536762</v>
      </c>
      <c r="AV148" s="18">
        <v>849.70330952544634</v>
      </c>
      <c r="AW148" s="18">
        <v>845.93878877262705</v>
      </c>
      <c r="AX148" s="18">
        <v>574.47105462779962</v>
      </c>
      <c r="AY148" s="18">
        <v>851.5385234555747</v>
      </c>
      <c r="AZ148" s="18">
        <v>741.58058913035177</v>
      </c>
      <c r="BA148" s="18">
        <v>757.18189192107172</v>
      </c>
      <c r="BB148" s="18">
        <v>739.55559365675617</v>
      </c>
      <c r="BC148" s="23">
        <v>8.9181565948742242E-2</v>
      </c>
      <c r="BD148" s="23">
        <v>0.10665277883445198</v>
      </c>
      <c r="BE148" s="23">
        <v>9.438849084854764E-2</v>
      </c>
      <c r="BF148" s="23">
        <v>7.149564986855049E-2</v>
      </c>
      <c r="BG148" s="23">
        <v>0.10368571810536763</v>
      </c>
      <c r="BH148" s="23">
        <v>8.4970330952544637E-2</v>
      </c>
      <c r="BI148" s="23">
        <v>8.4593878877262704E-2</v>
      </c>
      <c r="BJ148" s="23">
        <v>5.7447105462779965E-2</v>
      </c>
      <c r="BK148" s="23">
        <v>8.5153852345557474E-2</v>
      </c>
      <c r="BL148" s="23">
        <v>7.4158058913035174E-2</v>
      </c>
      <c r="BM148" s="23">
        <v>7.5718189192107169E-2</v>
      </c>
      <c r="BN148" s="23">
        <v>7.3955559365675619E-2</v>
      </c>
    </row>
    <row r="149" spans="1:66" x14ac:dyDescent="0.25">
      <c r="A149" s="16">
        <v>4662</v>
      </c>
      <c r="B149" s="16" t="s">
        <v>345</v>
      </c>
      <c r="C149" s="17">
        <v>10000</v>
      </c>
      <c r="D149" s="17">
        <f t="shared" si="83"/>
        <v>891.81565948742241</v>
      </c>
      <c r="E149" s="17">
        <f t="shared" si="84"/>
        <v>1066.5277883445199</v>
      </c>
      <c r="F149" s="17">
        <f t="shared" si="85"/>
        <v>943.88490848547644</v>
      </c>
      <c r="G149" s="17">
        <f t="shared" si="86"/>
        <v>714.95649868550493</v>
      </c>
      <c r="H149" s="17">
        <f t="shared" si="87"/>
        <v>1036.8571810536762</v>
      </c>
      <c r="I149" s="17">
        <f t="shared" si="88"/>
        <v>849.70330952544634</v>
      </c>
      <c r="J149" s="17">
        <f t="shared" si="89"/>
        <v>845.93878877262705</v>
      </c>
      <c r="K149" s="17">
        <f t="shared" si="90"/>
        <v>574.47105462779962</v>
      </c>
      <c r="L149" s="17">
        <f t="shared" si="91"/>
        <v>851.5385234555747</v>
      </c>
      <c r="M149" s="17">
        <f t="shared" si="92"/>
        <v>741.58058913035177</v>
      </c>
      <c r="N149" s="17">
        <f t="shared" si="93"/>
        <v>757.18189192107172</v>
      </c>
      <c r="O149" s="17">
        <f t="shared" si="94"/>
        <v>739.55559365675617</v>
      </c>
      <c r="P149" s="17">
        <v>0</v>
      </c>
      <c r="Q149" s="17">
        <f t="shared" si="95"/>
        <v>0</v>
      </c>
      <c r="R149" s="17">
        <f t="shared" si="96"/>
        <v>0</v>
      </c>
      <c r="S149" s="17">
        <f t="shared" si="97"/>
        <v>0</v>
      </c>
      <c r="T149" s="17">
        <f t="shared" si="98"/>
        <v>0</v>
      </c>
      <c r="U149" s="17">
        <f t="shared" si="99"/>
        <v>0</v>
      </c>
      <c r="V149" s="17">
        <f t="shared" si="100"/>
        <v>0</v>
      </c>
      <c r="W149" s="17">
        <f t="shared" si="101"/>
        <v>0</v>
      </c>
      <c r="X149" s="17">
        <f t="shared" si="102"/>
        <v>0</v>
      </c>
      <c r="Y149" s="17">
        <f t="shared" si="103"/>
        <v>0</v>
      </c>
      <c r="Z149" s="17">
        <f t="shared" si="104"/>
        <v>0</v>
      </c>
      <c r="AA149" s="17">
        <f t="shared" si="105"/>
        <v>0</v>
      </c>
      <c r="AB149" s="17">
        <f t="shared" si="106"/>
        <v>0</v>
      </c>
      <c r="AC149" s="17">
        <v>0</v>
      </c>
      <c r="AD149" s="17">
        <f t="shared" si="107"/>
        <v>0</v>
      </c>
      <c r="AE149" s="17">
        <f t="shared" si="108"/>
        <v>0</v>
      </c>
      <c r="AF149" s="17">
        <f t="shared" si="109"/>
        <v>0</v>
      </c>
      <c r="AG149" s="17">
        <f t="shared" si="110"/>
        <v>0</v>
      </c>
      <c r="AH149" s="17">
        <f t="shared" si="111"/>
        <v>0</v>
      </c>
      <c r="AI149" s="17">
        <f t="shared" si="112"/>
        <v>0</v>
      </c>
      <c r="AJ149" s="17">
        <f t="shared" si="113"/>
        <v>0</v>
      </c>
      <c r="AK149" s="17">
        <f t="shared" si="114"/>
        <v>0</v>
      </c>
      <c r="AL149" s="17">
        <f t="shared" si="115"/>
        <v>0</v>
      </c>
      <c r="AM149" s="17">
        <f t="shared" si="116"/>
        <v>0</v>
      </c>
      <c r="AN149" s="17">
        <f t="shared" si="117"/>
        <v>0</v>
      </c>
      <c r="AO149" s="17">
        <f t="shared" si="118"/>
        <v>0</v>
      </c>
      <c r="AP149" s="17">
        <f t="shared" si="119"/>
        <v>10000</v>
      </c>
      <c r="AQ149" s="18">
        <v>907.50180512214661</v>
      </c>
      <c r="AR149" s="18">
        <v>1085.2869456137116</v>
      </c>
      <c r="AS149" s="18">
        <v>960.4869001408274</v>
      </c>
      <c r="AT149" s="18">
        <v>727.53186854088415</v>
      </c>
      <c r="AU149" s="18">
        <v>1055.0944620112293</v>
      </c>
      <c r="AV149" s="18">
        <v>864.64874103668944</v>
      </c>
      <c r="AW149" s="18">
        <v>860.81800612834877</v>
      </c>
      <c r="AX149" s="18">
        <v>584.57542600764793</v>
      </c>
      <c r="AY149" s="18">
        <v>866.51623454463481</v>
      </c>
      <c r="AZ149" s="18">
        <v>754.62425011256551</v>
      </c>
      <c r="BA149" s="18">
        <v>770.49996421807134</v>
      </c>
      <c r="BB149" s="18">
        <v>752.56363699358485</v>
      </c>
      <c r="BC149" s="23">
        <v>8.9181565948742242E-2</v>
      </c>
      <c r="BD149" s="23">
        <v>0.10665277883445198</v>
      </c>
      <c r="BE149" s="23">
        <v>9.438849084854764E-2</v>
      </c>
      <c r="BF149" s="23">
        <v>7.149564986855049E-2</v>
      </c>
      <c r="BG149" s="23">
        <v>0.10368571810536763</v>
      </c>
      <c r="BH149" s="23">
        <v>8.4970330952544637E-2</v>
      </c>
      <c r="BI149" s="23">
        <v>8.4593878877262704E-2</v>
      </c>
      <c r="BJ149" s="23">
        <v>5.7447105462779965E-2</v>
      </c>
      <c r="BK149" s="23">
        <v>8.5153852345557474E-2</v>
      </c>
      <c r="BL149" s="23">
        <v>7.4158058913035174E-2</v>
      </c>
      <c r="BM149" s="23">
        <v>7.5718189192107169E-2</v>
      </c>
      <c r="BN149" s="23">
        <v>7.3955559365675619E-2</v>
      </c>
    </row>
    <row r="150" spans="1:66" x14ac:dyDescent="0.25">
      <c r="A150" s="16">
        <v>4784</v>
      </c>
      <c r="B150" s="16" t="s">
        <v>346</v>
      </c>
      <c r="C150" s="17">
        <v>0</v>
      </c>
      <c r="D150" s="17">
        <f t="shared" si="83"/>
        <v>0</v>
      </c>
      <c r="E150" s="17">
        <f t="shared" si="84"/>
        <v>0</v>
      </c>
      <c r="F150" s="17">
        <f t="shared" si="85"/>
        <v>0</v>
      </c>
      <c r="G150" s="17">
        <f t="shared" si="86"/>
        <v>0</v>
      </c>
      <c r="H150" s="17">
        <f t="shared" si="87"/>
        <v>0</v>
      </c>
      <c r="I150" s="17">
        <f t="shared" si="88"/>
        <v>0</v>
      </c>
      <c r="J150" s="17">
        <f t="shared" si="89"/>
        <v>0</v>
      </c>
      <c r="K150" s="17">
        <f t="shared" si="90"/>
        <v>0</v>
      </c>
      <c r="L150" s="17">
        <f t="shared" si="91"/>
        <v>0</v>
      </c>
      <c r="M150" s="17">
        <f t="shared" si="92"/>
        <v>0</v>
      </c>
      <c r="N150" s="17">
        <f t="shared" si="93"/>
        <v>0</v>
      </c>
      <c r="O150" s="17">
        <f t="shared" si="94"/>
        <v>0</v>
      </c>
      <c r="P150" s="17">
        <v>0</v>
      </c>
      <c r="Q150" s="17">
        <f t="shared" si="95"/>
        <v>0</v>
      </c>
      <c r="R150" s="17">
        <f t="shared" si="96"/>
        <v>0</v>
      </c>
      <c r="S150" s="17">
        <f t="shared" si="97"/>
        <v>0</v>
      </c>
      <c r="T150" s="17">
        <f t="shared" si="98"/>
        <v>0</v>
      </c>
      <c r="U150" s="17">
        <f t="shared" si="99"/>
        <v>0</v>
      </c>
      <c r="V150" s="17">
        <f t="shared" si="100"/>
        <v>0</v>
      </c>
      <c r="W150" s="17">
        <f t="shared" si="101"/>
        <v>0</v>
      </c>
      <c r="X150" s="17">
        <f t="shared" si="102"/>
        <v>0</v>
      </c>
      <c r="Y150" s="17">
        <f t="shared" si="103"/>
        <v>0</v>
      </c>
      <c r="Z150" s="17">
        <f t="shared" si="104"/>
        <v>0</v>
      </c>
      <c r="AA150" s="17">
        <f t="shared" si="105"/>
        <v>0</v>
      </c>
      <c r="AB150" s="17">
        <f t="shared" si="106"/>
        <v>0</v>
      </c>
      <c r="AC150" s="17">
        <v>0</v>
      </c>
      <c r="AD150" s="17">
        <f t="shared" si="107"/>
        <v>0</v>
      </c>
      <c r="AE150" s="17">
        <f t="shared" si="108"/>
        <v>0</v>
      </c>
      <c r="AF150" s="17">
        <f t="shared" si="109"/>
        <v>0</v>
      </c>
      <c r="AG150" s="17">
        <f t="shared" si="110"/>
        <v>0</v>
      </c>
      <c r="AH150" s="17">
        <f t="shared" si="111"/>
        <v>0</v>
      </c>
      <c r="AI150" s="17">
        <f t="shared" si="112"/>
        <v>0</v>
      </c>
      <c r="AJ150" s="17">
        <f t="shared" si="113"/>
        <v>0</v>
      </c>
      <c r="AK150" s="17">
        <f t="shared" si="114"/>
        <v>0</v>
      </c>
      <c r="AL150" s="17">
        <f t="shared" si="115"/>
        <v>0</v>
      </c>
      <c r="AM150" s="17">
        <f t="shared" si="116"/>
        <v>0</v>
      </c>
      <c r="AN150" s="17">
        <f t="shared" si="117"/>
        <v>0</v>
      </c>
      <c r="AO150" s="17">
        <f t="shared" si="118"/>
        <v>0</v>
      </c>
      <c r="AP150" s="17">
        <f t="shared" si="119"/>
        <v>0</v>
      </c>
      <c r="AQ150" s="18">
        <v>891.81565948742241</v>
      </c>
      <c r="AR150" s="18">
        <v>1066.5277883445199</v>
      </c>
      <c r="AS150" s="18">
        <v>943.88490848547644</v>
      </c>
      <c r="AT150" s="18">
        <v>714.95649868550493</v>
      </c>
      <c r="AU150" s="18">
        <v>1036.8571810536762</v>
      </c>
      <c r="AV150" s="18">
        <v>849.70330952544634</v>
      </c>
      <c r="AW150" s="18">
        <v>845.93878877262705</v>
      </c>
      <c r="AX150" s="18">
        <v>574.47105462779962</v>
      </c>
      <c r="AY150" s="18">
        <v>851.5385234555747</v>
      </c>
      <c r="AZ150" s="18">
        <v>741.58058913035177</v>
      </c>
      <c r="BA150" s="18">
        <v>757.18189192107172</v>
      </c>
      <c r="BB150" s="18">
        <v>739.55559365675617</v>
      </c>
      <c r="BC150" s="23">
        <v>8.9181565948742242E-2</v>
      </c>
      <c r="BD150" s="23">
        <v>0.10665277883445198</v>
      </c>
      <c r="BE150" s="23">
        <v>9.438849084854764E-2</v>
      </c>
      <c r="BF150" s="23">
        <v>7.149564986855049E-2</v>
      </c>
      <c r="BG150" s="23">
        <v>0.10368571810536763</v>
      </c>
      <c r="BH150" s="23">
        <v>8.4970330952544637E-2</v>
      </c>
      <c r="BI150" s="23">
        <v>8.4593878877262704E-2</v>
      </c>
      <c r="BJ150" s="23">
        <v>5.7447105462779965E-2</v>
      </c>
      <c r="BK150" s="23">
        <v>8.5153852345557474E-2</v>
      </c>
      <c r="BL150" s="23">
        <v>7.4158058913035174E-2</v>
      </c>
      <c r="BM150" s="23">
        <v>7.5718189192107169E-2</v>
      </c>
      <c r="BN150" s="23">
        <v>7.3955559365675619E-2</v>
      </c>
    </row>
    <row r="151" spans="1:66" x14ac:dyDescent="0.25">
      <c r="A151" s="16">
        <v>5095</v>
      </c>
      <c r="B151" s="16" t="s">
        <v>347</v>
      </c>
      <c r="C151" s="17">
        <v>0</v>
      </c>
      <c r="D151" s="17">
        <f t="shared" si="83"/>
        <v>0</v>
      </c>
      <c r="E151" s="17">
        <f t="shared" si="84"/>
        <v>0</v>
      </c>
      <c r="F151" s="17">
        <f t="shared" si="85"/>
        <v>0</v>
      </c>
      <c r="G151" s="17">
        <f t="shared" si="86"/>
        <v>0</v>
      </c>
      <c r="H151" s="17">
        <f t="shared" si="87"/>
        <v>0</v>
      </c>
      <c r="I151" s="17">
        <f t="shared" si="88"/>
        <v>0</v>
      </c>
      <c r="J151" s="17">
        <f t="shared" si="89"/>
        <v>0</v>
      </c>
      <c r="K151" s="17">
        <f t="shared" si="90"/>
        <v>0</v>
      </c>
      <c r="L151" s="17">
        <f t="shared" si="91"/>
        <v>0</v>
      </c>
      <c r="M151" s="17">
        <f t="shared" si="92"/>
        <v>0</v>
      </c>
      <c r="N151" s="17">
        <f t="shared" si="93"/>
        <v>0</v>
      </c>
      <c r="O151" s="17">
        <f t="shared" si="94"/>
        <v>0</v>
      </c>
      <c r="P151" s="17">
        <v>250000</v>
      </c>
      <c r="Q151" s="17">
        <f t="shared" si="95"/>
        <v>22295.39148718556</v>
      </c>
      <c r="R151" s="17">
        <f t="shared" si="96"/>
        <v>26663.194708612995</v>
      </c>
      <c r="S151" s="17">
        <f t="shared" si="97"/>
        <v>23597.122712136908</v>
      </c>
      <c r="T151" s="17">
        <f t="shared" si="98"/>
        <v>17873.912467137623</v>
      </c>
      <c r="U151" s="17">
        <f t="shared" si="99"/>
        <v>25921.429526341908</v>
      </c>
      <c r="V151" s="17">
        <f t="shared" si="100"/>
        <v>21242.58273813616</v>
      </c>
      <c r="W151" s="17">
        <f t="shared" si="101"/>
        <v>21148.469719315675</v>
      </c>
      <c r="X151" s="17">
        <f t="shared" si="102"/>
        <v>14361.776365694992</v>
      </c>
      <c r="Y151" s="17">
        <f t="shared" si="103"/>
        <v>21288.463086389369</v>
      </c>
      <c r="Z151" s="17">
        <f t="shared" si="104"/>
        <v>18539.514728258793</v>
      </c>
      <c r="AA151" s="17">
        <f t="shared" si="105"/>
        <v>18929.547298026791</v>
      </c>
      <c r="AB151" s="17">
        <f t="shared" si="106"/>
        <v>18488.889841418906</v>
      </c>
      <c r="AC151" s="17">
        <v>0</v>
      </c>
      <c r="AD151" s="17">
        <f t="shared" si="107"/>
        <v>0</v>
      </c>
      <c r="AE151" s="17">
        <f t="shared" si="108"/>
        <v>0</v>
      </c>
      <c r="AF151" s="17">
        <f t="shared" si="109"/>
        <v>0</v>
      </c>
      <c r="AG151" s="17">
        <f t="shared" si="110"/>
        <v>0</v>
      </c>
      <c r="AH151" s="17">
        <f t="shared" si="111"/>
        <v>0</v>
      </c>
      <c r="AI151" s="17">
        <f t="shared" si="112"/>
        <v>0</v>
      </c>
      <c r="AJ151" s="17">
        <f t="shared" si="113"/>
        <v>0</v>
      </c>
      <c r="AK151" s="17">
        <f t="shared" si="114"/>
        <v>0</v>
      </c>
      <c r="AL151" s="17">
        <f t="shared" si="115"/>
        <v>0</v>
      </c>
      <c r="AM151" s="17">
        <f t="shared" si="116"/>
        <v>0</v>
      </c>
      <c r="AN151" s="17">
        <f t="shared" si="117"/>
        <v>0</v>
      </c>
      <c r="AO151" s="17">
        <f t="shared" si="118"/>
        <v>0</v>
      </c>
      <c r="AP151" s="17">
        <f t="shared" si="119"/>
        <v>250000</v>
      </c>
      <c r="AQ151" s="18">
        <v>2675.4469784622675</v>
      </c>
      <c r="AR151" s="18">
        <v>3199.5833650335594</v>
      </c>
      <c r="AS151" s="18">
        <v>2831.6547254564293</v>
      </c>
      <c r="AT151" s="18">
        <v>2144.8694960565149</v>
      </c>
      <c r="AU151" s="18">
        <v>3110.5715431610288</v>
      </c>
      <c r="AV151" s="18">
        <v>2549.1099285763389</v>
      </c>
      <c r="AW151" s="18">
        <v>2537.8163663178811</v>
      </c>
      <c r="AX151" s="18">
        <v>1723.413163883399</v>
      </c>
      <c r="AY151" s="18">
        <v>2554.6155703667241</v>
      </c>
      <c r="AZ151" s="18">
        <v>2224.7417673910554</v>
      </c>
      <c r="BA151" s="18">
        <v>2271.5456757632151</v>
      </c>
      <c r="BB151" s="18">
        <v>2218.6667809702685</v>
      </c>
      <c r="BC151" s="23">
        <v>8.9181565948742242E-2</v>
      </c>
      <c r="BD151" s="23">
        <v>0.10665277883445198</v>
      </c>
      <c r="BE151" s="23">
        <v>9.438849084854764E-2</v>
      </c>
      <c r="BF151" s="23">
        <v>7.149564986855049E-2</v>
      </c>
      <c r="BG151" s="23">
        <v>0.10368571810536763</v>
      </c>
      <c r="BH151" s="23">
        <v>8.4970330952544637E-2</v>
      </c>
      <c r="BI151" s="23">
        <v>8.4593878877262704E-2</v>
      </c>
      <c r="BJ151" s="23">
        <v>5.7447105462779965E-2</v>
      </c>
      <c r="BK151" s="23">
        <v>8.5153852345557474E-2</v>
      </c>
      <c r="BL151" s="23">
        <v>7.4158058913035174E-2</v>
      </c>
      <c r="BM151" s="23">
        <v>7.5718189192107169E-2</v>
      </c>
      <c r="BN151" s="23">
        <v>7.3955559365675619E-2</v>
      </c>
    </row>
    <row r="152" spans="1:66" x14ac:dyDescent="0.25">
      <c r="A152" s="16">
        <v>6513</v>
      </c>
      <c r="B152" s="16" t="s">
        <v>348</v>
      </c>
      <c r="C152" s="17">
        <v>0</v>
      </c>
      <c r="D152" s="17">
        <f t="shared" si="83"/>
        <v>0</v>
      </c>
      <c r="E152" s="17">
        <f t="shared" si="84"/>
        <v>0</v>
      </c>
      <c r="F152" s="17">
        <f t="shared" si="85"/>
        <v>0</v>
      </c>
      <c r="G152" s="17">
        <f t="shared" si="86"/>
        <v>0</v>
      </c>
      <c r="H152" s="17">
        <f t="shared" si="87"/>
        <v>0</v>
      </c>
      <c r="I152" s="17">
        <f t="shared" si="88"/>
        <v>0</v>
      </c>
      <c r="J152" s="17">
        <f t="shared" si="89"/>
        <v>0</v>
      </c>
      <c r="K152" s="17">
        <f t="shared" si="90"/>
        <v>0</v>
      </c>
      <c r="L152" s="17">
        <f t="shared" si="91"/>
        <v>0</v>
      </c>
      <c r="M152" s="17">
        <f t="shared" si="92"/>
        <v>0</v>
      </c>
      <c r="N152" s="17">
        <f t="shared" si="93"/>
        <v>0</v>
      </c>
      <c r="O152" s="17">
        <f t="shared" si="94"/>
        <v>0</v>
      </c>
      <c r="P152" s="17">
        <v>0</v>
      </c>
      <c r="Q152" s="17">
        <f t="shared" si="95"/>
        <v>0</v>
      </c>
      <c r="R152" s="17">
        <f t="shared" si="96"/>
        <v>0</v>
      </c>
      <c r="S152" s="17">
        <f t="shared" si="97"/>
        <v>0</v>
      </c>
      <c r="T152" s="17">
        <f t="shared" si="98"/>
        <v>0</v>
      </c>
      <c r="U152" s="17">
        <f t="shared" si="99"/>
        <v>0</v>
      </c>
      <c r="V152" s="17">
        <f t="shared" si="100"/>
        <v>0</v>
      </c>
      <c r="W152" s="17">
        <f t="shared" si="101"/>
        <v>0</v>
      </c>
      <c r="X152" s="17">
        <f t="shared" si="102"/>
        <v>0</v>
      </c>
      <c r="Y152" s="17">
        <f t="shared" si="103"/>
        <v>0</v>
      </c>
      <c r="Z152" s="17">
        <f t="shared" si="104"/>
        <v>0</v>
      </c>
      <c r="AA152" s="17">
        <f t="shared" si="105"/>
        <v>0</v>
      </c>
      <c r="AB152" s="17">
        <f t="shared" si="106"/>
        <v>0</v>
      </c>
      <c r="AC152" s="17">
        <v>10000</v>
      </c>
      <c r="AD152" s="17">
        <f t="shared" si="107"/>
        <v>891.81565948742241</v>
      </c>
      <c r="AE152" s="17">
        <f t="shared" si="108"/>
        <v>1066.5277883445199</v>
      </c>
      <c r="AF152" s="17">
        <f t="shared" si="109"/>
        <v>943.88490848547644</v>
      </c>
      <c r="AG152" s="17">
        <f t="shared" si="110"/>
        <v>714.95649868550493</v>
      </c>
      <c r="AH152" s="17">
        <f t="shared" si="111"/>
        <v>1036.8571810536762</v>
      </c>
      <c r="AI152" s="17">
        <f t="shared" si="112"/>
        <v>849.70330952544634</v>
      </c>
      <c r="AJ152" s="17">
        <f t="shared" si="113"/>
        <v>845.93878877262705</v>
      </c>
      <c r="AK152" s="17">
        <f t="shared" si="114"/>
        <v>574.47105462779962</v>
      </c>
      <c r="AL152" s="17">
        <f t="shared" si="115"/>
        <v>851.5385234555747</v>
      </c>
      <c r="AM152" s="17">
        <f t="shared" si="116"/>
        <v>741.58058913035177</v>
      </c>
      <c r="AN152" s="17">
        <f t="shared" si="117"/>
        <v>757.18189192107172</v>
      </c>
      <c r="AO152" s="17">
        <f t="shared" si="118"/>
        <v>739.55559365675617</v>
      </c>
      <c r="AP152" s="17">
        <f t="shared" si="119"/>
        <v>10000</v>
      </c>
      <c r="AQ152" s="18">
        <v>891.81565948742241</v>
      </c>
      <c r="AR152" s="18">
        <v>1066.5277883445199</v>
      </c>
      <c r="AS152" s="18">
        <v>943.88490848547644</v>
      </c>
      <c r="AT152" s="18">
        <v>714.95649868550493</v>
      </c>
      <c r="AU152" s="18">
        <v>1036.8571810536762</v>
      </c>
      <c r="AV152" s="18">
        <v>849.70330952544634</v>
      </c>
      <c r="AW152" s="18">
        <v>845.93878877262705</v>
      </c>
      <c r="AX152" s="18">
        <v>574.47105462779962</v>
      </c>
      <c r="AY152" s="18">
        <v>851.5385234555747</v>
      </c>
      <c r="AZ152" s="18">
        <v>741.58058913035177</v>
      </c>
      <c r="BA152" s="18">
        <v>757.18189192107172</v>
      </c>
      <c r="BB152" s="18">
        <v>739.55559365675617</v>
      </c>
      <c r="BC152" s="23">
        <v>8.9181565948742242E-2</v>
      </c>
      <c r="BD152" s="23">
        <v>0.10665277883445198</v>
      </c>
      <c r="BE152" s="23">
        <v>9.438849084854764E-2</v>
      </c>
      <c r="BF152" s="23">
        <v>7.149564986855049E-2</v>
      </c>
      <c r="BG152" s="23">
        <v>0.10368571810536763</v>
      </c>
      <c r="BH152" s="23">
        <v>8.4970330952544637E-2</v>
      </c>
      <c r="BI152" s="23">
        <v>8.4593878877262704E-2</v>
      </c>
      <c r="BJ152" s="23">
        <v>5.7447105462779965E-2</v>
      </c>
      <c r="BK152" s="23">
        <v>8.5153852345557474E-2</v>
      </c>
      <c r="BL152" s="23">
        <v>7.4158058913035174E-2</v>
      </c>
      <c r="BM152" s="23">
        <v>7.5718189192107169E-2</v>
      </c>
      <c r="BN152" s="23">
        <v>7.3955559365675619E-2</v>
      </c>
    </row>
    <row r="153" spans="1:66" x14ac:dyDescent="0.25">
      <c r="A153" s="16">
        <v>6558</v>
      </c>
      <c r="B153" s="16" t="s">
        <v>349</v>
      </c>
      <c r="C153" s="17">
        <v>0</v>
      </c>
      <c r="D153" s="17">
        <f t="shared" si="83"/>
        <v>0</v>
      </c>
      <c r="E153" s="17">
        <f t="shared" si="84"/>
        <v>0</v>
      </c>
      <c r="F153" s="17">
        <f t="shared" si="85"/>
        <v>0</v>
      </c>
      <c r="G153" s="17">
        <f t="shared" si="86"/>
        <v>0</v>
      </c>
      <c r="H153" s="17">
        <f t="shared" si="87"/>
        <v>0</v>
      </c>
      <c r="I153" s="17">
        <f t="shared" si="88"/>
        <v>0</v>
      </c>
      <c r="J153" s="17">
        <f t="shared" si="89"/>
        <v>0</v>
      </c>
      <c r="K153" s="17">
        <f t="shared" si="90"/>
        <v>0</v>
      </c>
      <c r="L153" s="17">
        <f t="shared" si="91"/>
        <v>0</v>
      </c>
      <c r="M153" s="17">
        <f t="shared" si="92"/>
        <v>0</v>
      </c>
      <c r="N153" s="17">
        <f t="shared" si="93"/>
        <v>0</v>
      </c>
      <c r="O153" s="17">
        <f t="shared" si="94"/>
        <v>0</v>
      </c>
      <c r="P153" s="17">
        <v>0</v>
      </c>
      <c r="Q153" s="17">
        <f t="shared" si="95"/>
        <v>0</v>
      </c>
      <c r="R153" s="17">
        <f t="shared" si="96"/>
        <v>0</v>
      </c>
      <c r="S153" s="17">
        <f t="shared" si="97"/>
        <v>0</v>
      </c>
      <c r="T153" s="17">
        <f t="shared" si="98"/>
        <v>0</v>
      </c>
      <c r="U153" s="17">
        <f t="shared" si="99"/>
        <v>0</v>
      </c>
      <c r="V153" s="17">
        <f t="shared" si="100"/>
        <v>0</v>
      </c>
      <c r="W153" s="17">
        <f t="shared" si="101"/>
        <v>0</v>
      </c>
      <c r="X153" s="17">
        <f t="shared" si="102"/>
        <v>0</v>
      </c>
      <c r="Y153" s="17">
        <f t="shared" si="103"/>
        <v>0</v>
      </c>
      <c r="Z153" s="17">
        <f t="shared" si="104"/>
        <v>0</v>
      </c>
      <c r="AA153" s="17">
        <f t="shared" si="105"/>
        <v>0</v>
      </c>
      <c r="AB153" s="17">
        <f t="shared" si="106"/>
        <v>0</v>
      </c>
      <c r="AC153" s="17">
        <v>0</v>
      </c>
      <c r="AD153" s="17">
        <f t="shared" si="107"/>
        <v>0</v>
      </c>
      <c r="AE153" s="17">
        <f t="shared" si="108"/>
        <v>0</v>
      </c>
      <c r="AF153" s="17">
        <f t="shared" si="109"/>
        <v>0</v>
      </c>
      <c r="AG153" s="17">
        <f t="shared" si="110"/>
        <v>0</v>
      </c>
      <c r="AH153" s="17">
        <f t="shared" si="111"/>
        <v>0</v>
      </c>
      <c r="AI153" s="17">
        <f t="shared" si="112"/>
        <v>0</v>
      </c>
      <c r="AJ153" s="17">
        <f t="shared" si="113"/>
        <v>0</v>
      </c>
      <c r="AK153" s="17">
        <f t="shared" si="114"/>
        <v>0</v>
      </c>
      <c r="AL153" s="17">
        <f t="shared" si="115"/>
        <v>0</v>
      </c>
      <c r="AM153" s="17">
        <f t="shared" si="116"/>
        <v>0</v>
      </c>
      <c r="AN153" s="17">
        <f t="shared" si="117"/>
        <v>0</v>
      </c>
      <c r="AO153" s="17">
        <f t="shared" si="118"/>
        <v>0</v>
      </c>
      <c r="AP153" s="17">
        <f t="shared" si="119"/>
        <v>0</v>
      </c>
      <c r="AQ153" s="18">
        <v>891.81565948742241</v>
      </c>
      <c r="AR153" s="18">
        <v>1066.5277883445199</v>
      </c>
      <c r="AS153" s="18">
        <v>943.88490848547644</v>
      </c>
      <c r="AT153" s="18">
        <v>714.95649868550493</v>
      </c>
      <c r="AU153" s="18">
        <v>1036.8571810536762</v>
      </c>
      <c r="AV153" s="18">
        <v>849.70330952544634</v>
      </c>
      <c r="AW153" s="18">
        <v>845.93878877262705</v>
      </c>
      <c r="AX153" s="18">
        <v>574.47105462779962</v>
      </c>
      <c r="AY153" s="18">
        <v>851.5385234555747</v>
      </c>
      <c r="AZ153" s="18">
        <v>741.58058913035177</v>
      </c>
      <c r="BA153" s="18">
        <v>757.18189192107172</v>
      </c>
      <c r="BB153" s="18">
        <v>739.55559365675617</v>
      </c>
      <c r="BC153" s="23">
        <v>8.9181565948742242E-2</v>
      </c>
      <c r="BD153" s="23">
        <v>0.10665277883445198</v>
      </c>
      <c r="BE153" s="23">
        <v>9.438849084854764E-2</v>
      </c>
      <c r="BF153" s="23">
        <v>7.149564986855049E-2</v>
      </c>
      <c r="BG153" s="23">
        <v>0.10368571810536763</v>
      </c>
      <c r="BH153" s="23">
        <v>8.4970330952544637E-2</v>
      </c>
      <c r="BI153" s="23">
        <v>8.4593878877262704E-2</v>
      </c>
      <c r="BJ153" s="23">
        <v>5.7447105462779965E-2</v>
      </c>
      <c r="BK153" s="23">
        <v>8.5153852345557474E-2</v>
      </c>
      <c r="BL153" s="23">
        <v>7.4158058913035174E-2</v>
      </c>
      <c r="BM153" s="23">
        <v>7.5718189192107169E-2</v>
      </c>
      <c r="BN153" s="23">
        <v>7.3955559365675619E-2</v>
      </c>
    </row>
    <row r="154" spans="1:66" x14ac:dyDescent="0.25">
      <c r="A154" s="16">
        <v>12000</v>
      </c>
      <c r="B154" s="16" t="s">
        <v>350</v>
      </c>
      <c r="C154" s="17">
        <v>0</v>
      </c>
      <c r="D154" s="17">
        <f t="shared" si="83"/>
        <v>0</v>
      </c>
      <c r="E154" s="17">
        <f t="shared" si="84"/>
        <v>0</v>
      </c>
      <c r="F154" s="17">
        <f t="shared" si="85"/>
        <v>0</v>
      </c>
      <c r="G154" s="17">
        <f t="shared" si="86"/>
        <v>0</v>
      </c>
      <c r="H154" s="17">
        <f t="shared" si="87"/>
        <v>0</v>
      </c>
      <c r="I154" s="17">
        <f t="shared" si="88"/>
        <v>0</v>
      </c>
      <c r="J154" s="17">
        <f t="shared" si="89"/>
        <v>0</v>
      </c>
      <c r="K154" s="17">
        <f t="shared" si="90"/>
        <v>0</v>
      </c>
      <c r="L154" s="17">
        <f t="shared" si="91"/>
        <v>0</v>
      </c>
      <c r="M154" s="17">
        <f t="shared" si="92"/>
        <v>0</v>
      </c>
      <c r="N154" s="17">
        <f t="shared" si="93"/>
        <v>0</v>
      </c>
      <c r="O154" s="17">
        <f t="shared" si="94"/>
        <v>0</v>
      </c>
      <c r="P154" s="17">
        <v>0</v>
      </c>
      <c r="Q154" s="17">
        <f t="shared" si="95"/>
        <v>0</v>
      </c>
      <c r="R154" s="17">
        <f t="shared" si="96"/>
        <v>0</v>
      </c>
      <c r="S154" s="17">
        <f t="shared" si="97"/>
        <v>0</v>
      </c>
      <c r="T154" s="17">
        <f t="shared" si="98"/>
        <v>0</v>
      </c>
      <c r="U154" s="17">
        <f t="shared" si="99"/>
        <v>0</v>
      </c>
      <c r="V154" s="17">
        <f t="shared" si="100"/>
        <v>0</v>
      </c>
      <c r="W154" s="17">
        <f t="shared" si="101"/>
        <v>0</v>
      </c>
      <c r="X154" s="17">
        <f t="shared" si="102"/>
        <v>0</v>
      </c>
      <c r="Y154" s="17">
        <f t="shared" si="103"/>
        <v>0</v>
      </c>
      <c r="Z154" s="17">
        <f t="shared" si="104"/>
        <v>0</v>
      </c>
      <c r="AA154" s="17">
        <f t="shared" si="105"/>
        <v>0</v>
      </c>
      <c r="AB154" s="17">
        <f t="shared" si="106"/>
        <v>0</v>
      </c>
      <c r="AC154" s="17">
        <v>0</v>
      </c>
      <c r="AD154" s="17">
        <f t="shared" si="107"/>
        <v>0</v>
      </c>
      <c r="AE154" s="17">
        <f t="shared" si="108"/>
        <v>0</v>
      </c>
      <c r="AF154" s="17">
        <f t="shared" si="109"/>
        <v>0</v>
      </c>
      <c r="AG154" s="17">
        <f t="shared" si="110"/>
        <v>0</v>
      </c>
      <c r="AH154" s="17">
        <f t="shared" si="111"/>
        <v>0</v>
      </c>
      <c r="AI154" s="17">
        <f t="shared" si="112"/>
        <v>0</v>
      </c>
      <c r="AJ154" s="17">
        <f t="shared" si="113"/>
        <v>0</v>
      </c>
      <c r="AK154" s="17">
        <f t="shared" si="114"/>
        <v>0</v>
      </c>
      <c r="AL154" s="17">
        <f t="shared" si="115"/>
        <v>0</v>
      </c>
      <c r="AM154" s="17">
        <f t="shared" si="116"/>
        <v>0</v>
      </c>
      <c r="AN154" s="17">
        <f t="shared" si="117"/>
        <v>0</v>
      </c>
      <c r="AO154" s="17">
        <f t="shared" si="118"/>
        <v>0</v>
      </c>
      <c r="AP154" s="17">
        <f t="shared" si="119"/>
        <v>0</v>
      </c>
      <c r="AQ154" s="18">
        <v>891.81565948742241</v>
      </c>
      <c r="AR154" s="18">
        <v>1066.5277883445199</v>
      </c>
      <c r="AS154" s="18">
        <v>943.88490848547644</v>
      </c>
      <c r="AT154" s="18">
        <v>714.95649868550493</v>
      </c>
      <c r="AU154" s="18">
        <v>1036.8571810536762</v>
      </c>
      <c r="AV154" s="18">
        <v>849.70330952544634</v>
      </c>
      <c r="AW154" s="18">
        <v>845.93878877262705</v>
      </c>
      <c r="AX154" s="18">
        <v>574.47105462779962</v>
      </c>
      <c r="AY154" s="18">
        <v>851.5385234555747</v>
      </c>
      <c r="AZ154" s="18">
        <v>741.58058913035177</v>
      </c>
      <c r="BA154" s="18">
        <v>757.18189192107172</v>
      </c>
      <c r="BB154" s="18">
        <v>739.55559365675617</v>
      </c>
      <c r="BC154" s="23">
        <v>8.9181565948742242E-2</v>
      </c>
      <c r="BD154" s="23">
        <v>0.10665277883445198</v>
      </c>
      <c r="BE154" s="23">
        <v>9.438849084854764E-2</v>
      </c>
      <c r="BF154" s="23">
        <v>7.149564986855049E-2</v>
      </c>
      <c r="BG154" s="23">
        <v>0.10368571810536763</v>
      </c>
      <c r="BH154" s="23">
        <v>8.4970330952544637E-2</v>
      </c>
      <c r="BI154" s="23">
        <v>8.4593878877262704E-2</v>
      </c>
      <c r="BJ154" s="23">
        <v>5.7447105462779965E-2</v>
      </c>
      <c r="BK154" s="23">
        <v>8.5153852345557474E-2</v>
      </c>
      <c r="BL154" s="23">
        <v>7.4158058913035174E-2</v>
      </c>
      <c r="BM154" s="23">
        <v>7.5718189192107169E-2</v>
      </c>
      <c r="BN154" s="23">
        <v>7.3955559365675619E-2</v>
      </c>
    </row>
    <row r="155" spans="1:66" x14ac:dyDescent="0.25">
      <c r="A155" s="16">
        <v>16314</v>
      </c>
      <c r="B155" s="16" t="s">
        <v>351</v>
      </c>
      <c r="C155" s="17">
        <v>10000</v>
      </c>
      <c r="D155" s="17">
        <f t="shared" si="83"/>
        <v>891.81565948742241</v>
      </c>
      <c r="E155" s="17">
        <f t="shared" si="84"/>
        <v>1066.5277883445199</v>
      </c>
      <c r="F155" s="17">
        <f t="shared" si="85"/>
        <v>943.88490848547644</v>
      </c>
      <c r="G155" s="17">
        <f t="shared" si="86"/>
        <v>714.95649868550493</v>
      </c>
      <c r="H155" s="17">
        <f t="shared" si="87"/>
        <v>1036.8571810536762</v>
      </c>
      <c r="I155" s="17">
        <f t="shared" si="88"/>
        <v>849.70330952544634</v>
      </c>
      <c r="J155" s="17">
        <f t="shared" si="89"/>
        <v>845.93878877262705</v>
      </c>
      <c r="K155" s="17">
        <f t="shared" si="90"/>
        <v>574.47105462779962</v>
      </c>
      <c r="L155" s="17">
        <f t="shared" si="91"/>
        <v>851.5385234555747</v>
      </c>
      <c r="M155" s="17">
        <f t="shared" si="92"/>
        <v>741.58058913035177</v>
      </c>
      <c r="N155" s="17">
        <f t="shared" si="93"/>
        <v>757.18189192107172</v>
      </c>
      <c r="O155" s="17">
        <f t="shared" si="94"/>
        <v>739.55559365675617</v>
      </c>
      <c r="P155" s="17">
        <v>0</v>
      </c>
      <c r="Q155" s="17">
        <f t="shared" si="95"/>
        <v>0</v>
      </c>
      <c r="R155" s="17">
        <f t="shared" si="96"/>
        <v>0</v>
      </c>
      <c r="S155" s="17">
        <f t="shared" si="97"/>
        <v>0</v>
      </c>
      <c r="T155" s="17">
        <f t="shared" si="98"/>
        <v>0</v>
      </c>
      <c r="U155" s="17">
        <f t="shared" si="99"/>
        <v>0</v>
      </c>
      <c r="V155" s="17">
        <f t="shared" si="100"/>
        <v>0</v>
      </c>
      <c r="W155" s="17">
        <f t="shared" si="101"/>
        <v>0</v>
      </c>
      <c r="X155" s="17">
        <f t="shared" si="102"/>
        <v>0</v>
      </c>
      <c r="Y155" s="17">
        <f t="shared" si="103"/>
        <v>0</v>
      </c>
      <c r="Z155" s="17">
        <f t="shared" si="104"/>
        <v>0</v>
      </c>
      <c r="AA155" s="17">
        <f t="shared" si="105"/>
        <v>0</v>
      </c>
      <c r="AB155" s="17">
        <f t="shared" si="106"/>
        <v>0</v>
      </c>
      <c r="AC155" s="17">
        <v>0</v>
      </c>
      <c r="AD155" s="17">
        <f t="shared" si="107"/>
        <v>0</v>
      </c>
      <c r="AE155" s="17">
        <f t="shared" si="108"/>
        <v>0</v>
      </c>
      <c r="AF155" s="17">
        <f t="shared" si="109"/>
        <v>0</v>
      </c>
      <c r="AG155" s="17">
        <f t="shared" si="110"/>
        <v>0</v>
      </c>
      <c r="AH155" s="17">
        <f t="shared" si="111"/>
        <v>0</v>
      </c>
      <c r="AI155" s="17">
        <f t="shared" si="112"/>
        <v>0</v>
      </c>
      <c r="AJ155" s="17">
        <f t="shared" si="113"/>
        <v>0</v>
      </c>
      <c r="AK155" s="17">
        <f t="shared" si="114"/>
        <v>0</v>
      </c>
      <c r="AL155" s="17">
        <f t="shared" si="115"/>
        <v>0</v>
      </c>
      <c r="AM155" s="17">
        <f t="shared" si="116"/>
        <v>0</v>
      </c>
      <c r="AN155" s="17">
        <f t="shared" si="117"/>
        <v>0</v>
      </c>
      <c r="AO155" s="17">
        <f t="shared" si="118"/>
        <v>0</v>
      </c>
      <c r="AP155" s="17">
        <f t="shared" si="119"/>
        <v>10000</v>
      </c>
      <c r="AQ155" s="18">
        <v>891.81565948742241</v>
      </c>
      <c r="AR155" s="18">
        <v>1066.5277883445199</v>
      </c>
      <c r="AS155" s="18">
        <v>943.88490848547644</v>
      </c>
      <c r="AT155" s="18">
        <v>714.95649868550493</v>
      </c>
      <c r="AU155" s="18">
        <v>1036.8571810536762</v>
      </c>
      <c r="AV155" s="18">
        <v>849.70330952544634</v>
      </c>
      <c r="AW155" s="18">
        <v>845.93878877262705</v>
      </c>
      <c r="AX155" s="18">
        <v>574.47105462779962</v>
      </c>
      <c r="AY155" s="18">
        <v>851.5385234555747</v>
      </c>
      <c r="AZ155" s="18">
        <v>741.58058913035177</v>
      </c>
      <c r="BA155" s="18">
        <v>757.18189192107172</v>
      </c>
      <c r="BB155" s="18">
        <v>739.55559365675617</v>
      </c>
      <c r="BC155" s="23">
        <v>8.9181565948742242E-2</v>
      </c>
      <c r="BD155" s="23">
        <v>0.10665277883445198</v>
      </c>
      <c r="BE155" s="23">
        <v>9.438849084854764E-2</v>
      </c>
      <c r="BF155" s="23">
        <v>7.149564986855049E-2</v>
      </c>
      <c r="BG155" s="23">
        <v>0.10368571810536763</v>
      </c>
      <c r="BH155" s="23">
        <v>8.4970330952544637E-2</v>
      </c>
      <c r="BI155" s="23">
        <v>8.4593878877262704E-2</v>
      </c>
      <c r="BJ155" s="23">
        <v>5.7447105462779965E-2</v>
      </c>
      <c r="BK155" s="23">
        <v>8.5153852345557474E-2</v>
      </c>
      <c r="BL155" s="23">
        <v>7.4158058913035174E-2</v>
      </c>
      <c r="BM155" s="23">
        <v>7.5718189192107169E-2</v>
      </c>
      <c r="BN155" s="23">
        <v>7.3955559365675619E-2</v>
      </c>
    </row>
    <row r="156" spans="1:66" x14ac:dyDescent="0.25">
      <c r="A156" s="16">
        <v>31116</v>
      </c>
      <c r="B156" s="16" t="s">
        <v>352</v>
      </c>
      <c r="C156" s="17">
        <v>0</v>
      </c>
      <c r="D156" s="17">
        <f t="shared" si="83"/>
        <v>0</v>
      </c>
      <c r="E156" s="17">
        <f t="shared" si="84"/>
        <v>0</v>
      </c>
      <c r="F156" s="17">
        <f t="shared" si="85"/>
        <v>0</v>
      </c>
      <c r="G156" s="17">
        <f t="shared" si="86"/>
        <v>0</v>
      </c>
      <c r="H156" s="17">
        <f t="shared" si="87"/>
        <v>0</v>
      </c>
      <c r="I156" s="17">
        <f t="shared" si="88"/>
        <v>0</v>
      </c>
      <c r="J156" s="17">
        <f t="shared" si="89"/>
        <v>0</v>
      </c>
      <c r="K156" s="17">
        <f t="shared" si="90"/>
        <v>0</v>
      </c>
      <c r="L156" s="17">
        <f t="shared" si="91"/>
        <v>0</v>
      </c>
      <c r="M156" s="17">
        <f t="shared" si="92"/>
        <v>0</v>
      </c>
      <c r="N156" s="17">
        <f t="shared" si="93"/>
        <v>0</v>
      </c>
      <c r="O156" s="17">
        <f t="shared" si="94"/>
        <v>0</v>
      </c>
      <c r="P156" s="17">
        <v>15000</v>
      </c>
      <c r="Q156" s="17">
        <f t="shared" si="95"/>
        <v>1337.7234892311337</v>
      </c>
      <c r="R156" s="17">
        <f t="shared" si="96"/>
        <v>1599.7916825167797</v>
      </c>
      <c r="S156" s="17">
        <f t="shared" si="97"/>
        <v>1415.8273627282147</v>
      </c>
      <c r="T156" s="17">
        <f t="shared" si="98"/>
        <v>1072.4347480282574</v>
      </c>
      <c r="U156" s="17">
        <f t="shared" si="99"/>
        <v>1555.2857715805144</v>
      </c>
      <c r="V156" s="17">
        <f t="shared" si="100"/>
        <v>1274.5549642881695</v>
      </c>
      <c r="W156" s="17">
        <f t="shared" si="101"/>
        <v>1268.9081831589406</v>
      </c>
      <c r="X156" s="17">
        <f t="shared" si="102"/>
        <v>861.70658194169948</v>
      </c>
      <c r="Y156" s="17">
        <f t="shared" si="103"/>
        <v>1277.3077851833621</v>
      </c>
      <c r="Z156" s="17">
        <f t="shared" si="104"/>
        <v>1112.3708836955277</v>
      </c>
      <c r="AA156" s="17">
        <f t="shared" si="105"/>
        <v>1135.7728378816075</v>
      </c>
      <c r="AB156" s="17">
        <f t="shared" si="106"/>
        <v>1109.3333904851343</v>
      </c>
      <c r="AC156" s="17">
        <v>0</v>
      </c>
      <c r="AD156" s="17">
        <f t="shared" si="107"/>
        <v>0</v>
      </c>
      <c r="AE156" s="17">
        <f t="shared" si="108"/>
        <v>0</v>
      </c>
      <c r="AF156" s="17">
        <f t="shared" si="109"/>
        <v>0</v>
      </c>
      <c r="AG156" s="17">
        <f t="shared" si="110"/>
        <v>0</v>
      </c>
      <c r="AH156" s="17">
        <f t="shared" si="111"/>
        <v>0</v>
      </c>
      <c r="AI156" s="17">
        <f t="shared" si="112"/>
        <v>0</v>
      </c>
      <c r="AJ156" s="17">
        <f t="shared" si="113"/>
        <v>0</v>
      </c>
      <c r="AK156" s="17">
        <f t="shared" si="114"/>
        <v>0</v>
      </c>
      <c r="AL156" s="17">
        <f t="shared" si="115"/>
        <v>0</v>
      </c>
      <c r="AM156" s="17">
        <f t="shared" si="116"/>
        <v>0</v>
      </c>
      <c r="AN156" s="17">
        <f t="shared" si="117"/>
        <v>0</v>
      </c>
      <c r="AO156" s="17">
        <f t="shared" si="118"/>
        <v>0</v>
      </c>
      <c r="AP156" s="17">
        <f t="shared" si="119"/>
        <v>15000</v>
      </c>
      <c r="AQ156" s="18">
        <v>891.81565948742241</v>
      </c>
      <c r="AR156" s="18">
        <v>1066.5277883445199</v>
      </c>
      <c r="AS156" s="18">
        <v>943.88490848547644</v>
      </c>
      <c r="AT156" s="18">
        <v>714.95649868550493</v>
      </c>
      <c r="AU156" s="18">
        <v>1036.8571810536762</v>
      </c>
      <c r="AV156" s="18">
        <v>849.70330952544634</v>
      </c>
      <c r="AW156" s="18">
        <v>845.93878877262705</v>
      </c>
      <c r="AX156" s="18">
        <v>574.47105462779962</v>
      </c>
      <c r="AY156" s="18">
        <v>851.5385234555747</v>
      </c>
      <c r="AZ156" s="18">
        <v>741.58058913035177</v>
      </c>
      <c r="BA156" s="18">
        <v>757.18189192107172</v>
      </c>
      <c r="BB156" s="18">
        <v>739.55559365675617</v>
      </c>
      <c r="BC156" s="23">
        <v>8.9181565948742242E-2</v>
      </c>
      <c r="BD156" s="23">
        <v>0.10665277883445198</v>
      </c>
      <c r="BE156" s="23">
        <v>9.438849084854764E-2</v>
      </c>
      <c r="BF156" s="23">
        <v>7.149564986855049E-2</v>
      </c>
      <c r="BG156" s="23">
        <v>0.10368571810536763</v>
      </c>
      <c r="BH156" s="23">
        <v>8.4970330952544637E-2</v>
      </c>
      <c r="BI156" s="23">
        <v>8.4593878877262704E-2</v>
      </c>
      <c r="BJ156" s="23">
        <v>5.7447105462779965E-2</v>
      </c>
      <c r="BK156" s="23">
        <v>8.5153852345557474E-2</v>
      </c>
      <c r="BL156" s="23">
        <v>7.4158058913035174E-2</v>
      </c>
      <c r="BM156" s="23">
        <v>7.5718189192107169E-2</v>
      </c>
      <c r="BN156" s="23">
        <v>7.3955559365675619E-2</v>
      </c>
    </row>
    <row r="157" spans="1:66" x14ac:dyDescent="0.25">
      <c r="A157" s="16">
        <v>34308</v>
      </c>
      <c r="B157" s="16" t="s">
        <v>353</v>
      </c>
      <c r="C157" s="17">
        <v>0</v>
      </c>
      <c r="D157" s="17">
        <f t="shared" si="83"/>
        <v>0</v>
      </c>
      <c r="E157" s="17">
        <f t="shared" si="84"/>
        <v>0</v>
      </c>
      <c r="F157" s="17">
        <f t="shared" si="85"/>
        <v>0</v>
      </c>
      <c r="G157" s="17">
        <f t="shared" si="86"/>
        <v>0</v>
      </c>
      <c r="H157" s="17">
        <f t="shared" si="87"/>
        <v>0</v>
      </c>
      <c r="I157" s="17">
        <f t="shared" si="88"/>
        <v>0</v>
      </c>
      <c r="J157" s="17">
        <f t="shared" si="89"/>
        <v>0</v>
      </c>
      <c r="K157" s="17">
        <f t="shared" si="90"/>
        <v>0</v>
      </c>
      <c r="L157" s="17">
        <f t="shared" si="91"/>
        <v>0</v>
      </c>
      <c r="M157" s="17">
        <f t="shared" si="92"/>
        <v>0</v>
      </c>
      <c r="N157" s="17">
        <f t="shared" si="93"/>
        <v>0</v>
      </c>
      <c r="O157" s="17">
        <f t="shared" si="94"/>
        <v>0</v>
      </c>
      <c r="P157" s="17">
        <v>0</v>
      </c>
      <c r="Q157" s="17">
        <f t="shared" si="95"/>
        <v>0</v>
      </c>
      <c r="R157" s="17">
        <f t="shared" si="96"/>
        <v>0</v>
      </c>
      <c r="S157" s="17">
        <f t="shared" si="97"/>
        <v>0</v>
      </c>
      <c r="T157" s="17">
        <f t="shared" si="98"/>
        <v>0</v>
      </c>
      <c r="U157" s="17">
        <f t="shared" si="99"/>
        <v>0</v>
      </c>
      <c r="V157" s="17">
        <f t="shared" si="100"/>
        <v>0</v>
      </c>
      <c r="W157" s="17">
        <f t="shared" si="101"/>
        <v>0</v>
      </c>
      <c r="X157" s="17">
        <f t="shared" si="102"/>
        <v>0</v>
      </c>
      <c r="Y157" s="17">
        <f t="shared" si="103"/>
        <v>0</v>
      </c>
      <c r="Z157" s="17">
        <f t="shared" si="104"/>
        <v>0</v>
      </c>
      <c r="AA157" s="17">
        <f t="shared" si="105"/>
        <v>0</v>
      </c>
      <c r="AB157" s="17">
        <f t="shared" si="106"/>
        <v>0</v>
      </c>
      <c r="AC157" s="17">
        <v>2500</v>
      </c>
      <c r="AD157" s="17">
        <f t="shared" si="107"/>
        <v>222.9539148718556</v>
      </c>
      <c r="AE157" s="17">
        <f t="shared" si="108"/>
        <v>266.63194708612997</v>
      </c>
      <c r="AF157" s="17">
        <f t="shared" si="109"/>
        <v>235.97122712136911</v>
      </c>
      <c r="AG157" s="17">
        <f t="shared" si="110"/>
        <v>178.73912467137623</v>
      </c>
      <c r="AH157" s="17">
        <f t="shared" si="111"/>
        <v>259.21429526341905</v>
      </c>
      <c r="AI157" s="17">
        <f t="shared" si="112"/>
        <v>212.42582738136159</v>
      </c>
      <c r="AJ157" s="17">
        <f t="shared" si="113"/>
        <v>211.48469719315676</v>
      </c>
      <c r="AK157" s="17">
        <f t="shared" si="114"/>
        <v>143.6177636569499</v>
      </c>
      <c r="AL157" s="17">
        <f t="shared" si="115"/>
        <v>212.88463086389368</v>
      </c>
      <c r="AM157" s="17">
        <f t="shared" si="116"/>
        <v>185.39514728258794</v>
      </c>
      <c r="AN157" s="17">
        <f t="shared" si="117"/>
        <v>189.29547298026793</v>
      </c>
      <c r="AO157" s="17">
        <f t="shared" si="118"/>
        <v>184.88889841418904</v>
      </c>
      <c r="AP157" s="17">
        <f t="shared" si="119"/>
        <v>2500</v>
      </c>
      <c r="AQ157" s="18">
        <v>891.81565948742241</v>
      </c>
      <c r="AR157" s="18">
        <v>1066.5277883445199</v>
      </c>
      <c r="AS157" s="18">
        <v>943.88490848547644</v>
      </c>
      <c r="AT157" s="18">
        <v>714.95649868550493</v>
      </c>
      <c r="AU157" s="18">
        <v>1036.8571810536762</v>
      </c>
      <c r="AV157" s="18">
        <v>849.70330952544634</v>
      </c>
      <c r="AW157" s="18">
        <v>845.93878877262705</v>
      </c>
      <c r="AX157" s="18">
        <v>574.47105462779962</v>
      </c>
      <c r="AY157" s="18">
        <v>851.5385234555747</v>
      </c>
      <c r="AZ157" s="18">
        <v>741.58058913035177</v>
      </c>
      <c r="BA157" s="18">
        <v>757.18189192107172</v>
      </c>
      <c r="BB157" s="18">
        <v>739.55559365675617</v>
      </c>
      <c r="BC157" s="23">
        <v>8.9181565948742242E-2</v>
      </c>
      <c r="BD157" s="23">
        <v>0.10665277883445198</v>
      </c>
      <c r="BE157" s="23">
        <v>9.438849084854764E-2</v>
      </c>
      <c r="BF157" s="23">
        <v>7.149564986855049E-2</v>
      </c>
      <c r="BG157" s="23">
        <v>0.10368571810536763</v>
      </c>
      <c r="BH157" s="23">
        <v>8.4970330952544637E-2</v>
      </c>
      <c r="BI157" s="23">
        <v>8.4593878877262704E-2</v>
      </c>
      <c r="BJ157" s="23">
        <v>5.7447105462779965E-2</v>
      </c>
      <c r="BK157" s="23">
        <v>8.5153852345557474E-2</v>
      </c>
      <c r="BL157" s="23">
        <v>7.4158058913035174E-2</v>
      </c>
      <c r="BM157" s="23">
        <v>7.5718189192107169E-2</v>
      </c>
      <c r="BN157" s="23">
        <v>7.3955559365675619E-2</v>
      </c>
    </row>
    <row r="158" spans="1:66" x14ac:dyDescent="0.25">
      <c r="A158" s="16">
        <v>34401</v>
      </c>
      <c r="B158" s="16" t="s">
        <v>354</v>
      </c>
      <c r="C158" s="17">
        <v>4000</v>
      </c>
      <c r="D158" s="17">
        <f t="shared" si="83"/>
        <v>356.72626379496899</v>
      </c>
      <c r="E158" s="17">
        <f t="shared" si="84"/>
        <v>426.61111533780792</v>
      </c>
      <c r="F158" s="17">
        <f t="shared" si="85"/>
        <v>377.55396339419059</v>
      </c>
      <c r="G158" s="17">
        <f t="shared" si="86"/>
        <v>285.98259947420195</v>
      </c>
      <c r="H158" s="17">
        <f t="shared" si="87"/>
        <v>414.74287242147051</v>
      </c>
      <c r="I158" s="17">
        <f t="shared" si="88"/>
        <v>339.88132381017857</v>
      </c>
      <c r="J158" s="17">
        <f t="shared" si="89"/>
        <v>338.37551550905084</v>
      </c>
      <c r="K158" s="17">
        <f t="shared" si="90"/>
        <v>229.78842185111986</v>
      </c>
      <c r="L158" s="17">
        <f t="shared" si="91"/>
        <v>340.61540938222987</v>
      </c>
      <c r="M158" s="17">
        <f t="shared" si="92"/>
        <v>296.63223565214071</v>
      </c>
      <c r="N158" s="17">
        <f t="shared" si="93"/>
        <v>302.8727567684287</v>
      </c>
      <c r="O158" s="17">
        <f t="shared" si="94"/>
        <v>295.8222374627025</v>
      </c>
      <c r="P158" s="17">
        <v>0</v>
      </c>
      <c r="Q158" s="17">
        <f t="shared" si="95"/>
        <v>0</v>
      </c>
      <c r="R158" s="17">
        <f t="shared" si="96"/>
        <v>0</v>
      </c>
      <c r="S158" s="17">
        <f t="shared" si="97"/>
        <v>0</v>
      </c>
      <c r="T158" s="17">
        <f t="shared" si="98"/>
        <v>0</v>
      </c>
      <c r="U158" s="17">
        <f t="shared" si="99"/>
        <v>0</v>
      </c>
      <c r="V158" s="17">
        <f t="shared" si="100"/>
        <v>0</v>
      </c>
      <c r="W158" s="17">
        <f t="shared" si="101"/>
        <v>0</v>
      </c>
      <c r="X158" s="17">
        <f t="shared" si="102"/>
        <v>0</v>
      </c>
      <c r="Y158" s="17">
        <f t="shared" si="103"/>
        <v>0</v>
      </c>
      <c r="Z158" s="17">
        <f t="shared" si="104"/>
        <v>0</v>
      </c>
      <c r="AA158" s="17">
        <f t="shared" si="105"/>
        <v>0</v>
      </c>
      <c r="AB158" s="17">
        <f t="shared" si="106"/>
        <v>0</v>
      </c>
      <c r="AC158" s="17">
        <v>0</v>
      </c>
      <c r="AD158" s="17">
        <f t="shared" si="107"/>
        <v>0</v>
      </c>
      <c r="AE158" s="17">
        <f t="shared" si="108"/>
        <v>0</v>
      </c>
      <c r="AF158" s="17">
        <f t="shared" si="109"/>
        <v>0</v>
      </c>
      <c r="AG158" s="17">
        <f t="shared" si="110"/>
        <v>0</v>
      </c>
      <c r="AH158" s="17">
        <f t="shared" si="111"/>
        <v>0</v>
      </c>
      <c r="AI158" s="17">
        <f t="shared" si="112"/>
        <v>0</v>
      </c>
      <c r="AJ158" s="17">
        <f t="shared" si="113"/>
        <v>0</v>
      </c>
      <c r="AK158" s="17">
        <f t="shared" si="114"/>
        <v>0</v>
      </c>
      <c r="AL158" s="17">
        <f t="shared" si="115"/>
        <v>0</v>
      </c>
      <c r="AM158" s="17">
        <f t="shared" si="116"/>
        <v>0</v>
      </c>
      <c r="AN158" s="17">
        <f t="shared" si="117"/>
        <v>0</v>
      </c>
      <c r="AO158" s="17">
        <f t="shared" si="118"/>
        <v>0</v>
      </c>
      <c r="AP158" s="17">
        <f t="shared" si="119"/>
        <v>4000</v>
      </c>
      <c r="AQ158" s="18">
        <v>891.81565948742241</v>
      </c>
      <c r="AR158" s="18">
        <v>1066.5277883445199</v>
      </c>
      <c r="AS158" s="18">
        <v>943.88490848547644</v>
      </c>
      <c r="AT158" s="18">
        <v>714.95649868550493</v>
      </c>
      <c r="AU158" s="18">
        <v>1036.8571810536762</v>
      </c>
      <c r="AV158" s="18">
        <v>849.70330952544634</v>
      </c>
      <c r="AW158" s="18">
        <v>845.93878877262705</v>
      </c>
      <c r="AX158" s="18">
        <v>574.47105462779962</v>
      </c>
      <c r="AY158" s="18">
        <v>851.5385234555747</v>
      </c>
      <c r="AZ158" s="18">
        <v>741.58058913035177</v>
      </c>
      <c r="BA158" s="18">
        <v>757.18189192107172</v>
      </c>
      <c r="BB158" s="18">
        <v>739.55559365675617</v>
      </c>
      <c r="BC158" s="23">
        <v>8.9181565948742242E-2</v>
      </c>
      <c r="BD158" s="23">
        <v>0.10665277883445198</v>
      </c>
      <c r="BE158" s="23">
        <v>9.438849084854764E-2</v>
      </c>
      <c r="BF158" s="23">
        <v>7.149564986855049E-2</v>
      </c>
      <c r="BG158" s="23">
        <v>0.10368571810536763</v>
      </c>
      <c r="BH158" s="23">
        <v>8.4970330952544637E-2</v>
      </c>
      <c r="BI158" s="23">
        <v>8.4593878877262704E-2</v>
      </c>
      <c r="BJ158" s="23">
        <v>5.7447105462779965E-2</v>
      </c>
      <c r="BK158" s="23">
        <v>8.5153852345557474E-2</v>
      </c>
      <c r="BL158" s="23">
        <v>7.4158058913035174E-2</v>
      </c>
      <c r="BM158" s="23">
        <v>7.5718189192107169E-2</v>
      </c>
      <c r="BN158" s="23">
        <v>7.3955559365675619E-2</v>
      </c>
    </row>
    <row r="159" spans="1:66" x14ac:dyDescent="0.25">
      <c r="A159" s="16">
        <v>4171</v>
      </c>
      <c r="B159" s="16" t="s">
        <v>355</v>
      </c>
      <c r="C159" s="17">
        <v>5000</v>
      </c>
      <c r="D159" s="17">
        <f t="shared" si="83"/>
        <v>445.9078297437112</v>
      </c>
      <c r="E159" s="17">
        <f t="shared" si="84"/>
        <v>533.26389417225994</v>
      </c>
      <c r="F159" s="17">
        <f t="shared" si="85"/>
        <v>471.94245424273822</v>
      </c>
      <c r="G159" s="17">
        <f t="shared" si="86"/>
        <v>357.47824934275246</v>
      </c>
      <c r="H159" s="17">
        <f t="shared" si="87"/>
        <v>518.42859052683809</v>
      </c>
      <c r="I159" s="17">
        <f t="shared" si="88"/>
        <v>424.85165476272317</v>
      </c>
      <c r="J159" s="17">
        <f t="shared" si="89"/>
        <v>422.96939438631352</v>
      </c>
      <c r="K159" s="17">
        <f t="shared" si="90"/>
        <v>287.23552731389981</v>
      </c>
      <c r="L159" s="17">
        <f t="shared" si="91"/>
        <v>425.76926172778735</v>
      </c>
      <c r="M159" s="17">
        <f t="shared" si="92"/>
        <v>370.79029456517588</v>
      </c>
      <c r="N159" s="17">
        <f t="shared" si="93"/>
        <v>378.59094596053586</v>
      </c>
      <c r="O159" s="17">
        <f t="shared" si="94"/>
        <v>369.77779682837809</v>
      </c>
      <c r="P159" s="17">
        <v>0</v>
      </c>
      <c r="Q159" s="17">
        <f t="shared" si="95"/>
        <v>0</v>
      </c>
      <c r="R159" s="17">
        <f t="shared" si="96"/>
        <v>0</v>
      </c>
      <c r="S159" s="17">
        <f t="shared" si="97"/>
        <v>0</v>
      </c>
      <c r="T159" s="17">
        <f t="shared" si="98"/>
        <v>0</v>
      </c>
      <c r="U159" s="17">
        <f t="shared" si="99"/>
        <v>0</v>
      </c>
      <c r="V159" s="17">
        <f t="shared" si="100"/>
        <v>0</v>
      </c>
      <c r="W159" s="17">
        <f t="shared" si="101"/>
        <v>0</v>
      </c>
      <c r="X159" s="17">
        <f t="shared" si="102"/>
        <v>0</v>
      </c>
      <c r="Y159" s="17">
        <f t="shared" si="103"/>
        <v>0</v>
      </c>
      <c r="Z159" s="17">
        <f t="shared" si="104"/>
        <v>0</v>
      </c>
      <c r="AA159" s="17">
        <f t="shared" si="105"/>
        <v>0</v>
      </c>
      <c r="AB159" s="17">
        <f t="shared" si="106"/>
        <v>0</v>
      </c>
      <c r="AC159" s="17">
        <v>5000</v>
      </c>
      <c r="AD159" s="17">
        <f t="shared" si="107"/>
        <v>445.9078297437112</v>
      </c>
      <c r="AE159" s="17">
        <f t="shared" si="108"/>
        <v>533.26389417225994</v>
      </c>
      <c r="AF159" s="17">
        <f t="shared" si="109"/>
        <v>471.94245424273822</v>
      </c>
      <c r="AG159" s="17">
        <f t="shared" si="110"/>
        <v>357.47824934275246</v>
      </c>
      <c r="AH159" s="17">
        <f t="shared" si="111"/>
        <v>518.42859052683809</v>
      </c>
      <c r="AI159" s="17">
        <f t="shared" si="112"/>
        <v>424.85165476272317</v>
      </c>
      <c r="AJ159" s="17">
        <f t="shared" si="113"/>
        <v>422.96939438631352</v>
      </c>
      <c r="AK159" s="17">
        <f t="shared" si="114"/>
        <v>287.23552731389981</v>
      </c>
      <c r="AL159" s="17">
        <f t="shared" si="115"/>
        <v>425.76926172778735</v>
      </c>
      <c r="AM159" s="17">
        <f t="shared" si="116"/>
        <v>370.79029456517588</v>
      </c>
      <c r="AN159" s="17">
        <f t="shared" si="117"/>
        <v>378.59094596053586</v>
      </c>
      <c r="AO159" s="17">
        <f t="shared" si="118"/>
        <v>369.77779682837809</v>
      </c>
      <c r="AP159" s="17">
        <f t="shared" si="119"/>
        <v>10000</v>
      </c>
      <c r="AQ159" s="18">
        <v>891.81565948742241</v>
      </c>
      <c r="AR159" s="18">
        <v>1066.5277883445199</v>
      </c>
      <c r="AS159" s="18">
        <v>943.88490848547644</v>
      </c>
      <c r="AT159" s="18">
        <v>714.95649868550493</v>
      </c>
      <c r="AU159" s="18">
        <v>1036.8571810536762</v>
      </c>
      <c r="AV159" s="18">
        <v>849.70330952544634</v>
      </c>
      <c r="AW159" s="18">
        <v>845.93878877262705</v>
      </c>
      <c r="AX159" s="18">
        <v>574.47105462779962</v>
      </c>
      <c r="AY159" s="18">
        <v>851.5385234555747</v>
      </c>
      <c r="AZ159" s="18">
        <v>741.58058913035177</v>
      </c>
      <c r="BA159" s="18">
        <v>757.18189192107172</v>
      </c>
      <c r="BB159" s="18">
        <v>739.55559365675617</v>
      </c>
      <c r="BC159" s="23">
        <v>8.9181565948742242E-2</v>
      </c>
      <c r="BD159" s="23">
        <v>0.10665277883445198</v>
      </c>
      <c r="BE159" s="23">
        <v>9.438849084854764E-2</v>
      </c>
      <c r="BF159" s="23">
        <v>7.149564986855049E-2</v>
      </c>
      <c r="BG159" s="23">
        <v>0.10368571810536763</v>
      </c>
      <c r="BH159" s="23">
        <v>8.4970330952544637E-2</v>
      </c>
      <c r="BI159" s="23">
        <v>8.4593878877262704E-2</v>
      </c>
      <c r="BJ159" s="23">
        <v>5.7447105462779965E-2</v>
      </c>
      <c r="BK159" s="23">
        <v>8.5153852345557474E-2</v>
      </c>
      <c r="BL159" s="23">
        <v>7.4158058913035174E-2</v>
      </c>
      <c r="BM159" s="23">
        <v>7.5718189192107169E-2</v>
      </c>
      <c r="BN159" s="23">
        <v>7.3955559365675619E-2</v>
      </c>
    </row>
    <row r="160" spans="1:66" x14ac:dyDescent="0.25">
      <c r="A160" s="16">
        <v>2363</v>
      </c>
      <c r="B160" s="16" t="s">
        <v>356</v>
      </c>
      <c r="C160" s="17">
        <v>50000</v>
      </c>
      <c r="D160" s="17">
        <f t="shared" si="83"/>
        <v>4459.0782974371123</v>
      </c>
      <c r="E160" s="17">
        <f t="shared" si="84"/>
        <v>5332.6389417225992</v>
      </c>
      <c r="F160" s="17">
        <f t="shared" si="85"/>
        <v>4719.4245424273822</v>
      </c>
      <c r="G160" s="17">
        <f t="shared" si="86"/>
        <v>3574.7824934275245</v>
      </c>
      <c r="H160" s="17">
        <f t="shared" si="87"/>
        <v>5184.2859052683816</v>
      </c>
      <c r="I160" s="17">
        <f t="shared" si="88"/>
        <v>4248.5165476272323</v>
      </c>
      <c r="J160" s="17">
        <f t="shared" si="89"/>
        <v>4229.6939438631352</v>
      </c>
      <c r="K160" s="17">
        <f t="shared" si="90"/>
        <v>2872.3552731389982</v>
      </c>
      <c r="L160" s="17">
        <f t="shared" si="91"/>
        <v>4257.692617277874</v>
      </c>
      <c r="M160" s="17">
        <f t="shared" si="92"/>
        <v>3707.9029456517587</v>
      </c>
      <c r="N160" s="17">
        <f t="shared" si="93"/>
        <v>3785.9094596053583</v>
      </c>
      <c r="O160" s="17">
        <f t="shared" si="94"/>
        <v>3697.7779682837809</v>
      </c>
      <c r="P160" s="17">
        <v>0</v>
      </c>
      <c r="Q160" s="17">
        <f t="shared" si="95"/>
        <v>0</v>
      </c>
      <c r="R160" s="17">
        <f t="shared" si="96"/>
        <v>0</v>
      </c>
      <c r="S160" s="17">
        <f t="shared" si="97"/>
        <v>0</v>
      </c>
      <c r="T160" s="17">
        <f t="shared" si="98"/>
        <v>0</v>
      </c>
      <c r="U160" s="17">
        <f t="shared" si="99"/>
        <v>0</v>
      </c>
      <c r="V160" s="17">
        <f t="shared" si="100"/>
        <v>0</v>
      </c>
      <c r="W160" s="17">
        <f t="shared" si="101"/>
        <v>0</v>
      </c>
      <c r="X160" s="17">
        <f t="shared" si="102"/>
        <v>0</v>
      </c>
      <c r="Y160" s="17">
        <f t="shared" si="103"/>
        <v>0</v>
      </c>
      <c r="Z160" s="17">
        <f t="shared" si="104"/>
        <v>0</v>
      </c>
      <c r="AA160" s="17">
        <f t="shared" si="105"/>
        <v>0</v>
      </c>
      <c r="AB160" s="17">
        <f t="shared" si="106"/>
        <v>0</v>
      </c>
      <c r="AC160" s="17">
        <v>0</v>
      </c>
      <c r="AD160" s="17">
        <f t="shared" si="107"/>
        <v>0</v>
      </c>
      <c r="AE160" s="17">
        <f t="shared" si="108"/>
        <v>0</v>
      </c>
      <c r="AF160" s="17">
        <f t="shared" si="109"/>
        <v>0</v>
      </c>
      <c r="AG160" s="17">
        <f t="shared" si="110"/>
        <v>0</v>
      </c>
      <c r="AH160" s="17">
        <f t="shared" si="111"/>
        <v>0</v>
      </c>
      <c r="AI160" s="17">
        <f t="shared" si="112"/>
        <v>0</v>
      </c>
      <c r="AJ160" s="17">
        <f t="shared" si="113"/>
        <v>0</v>
      </c>
      <c r="AK160" s="17">
        <f t="shared" si="114"/>
        <v>0</v>
      </c>
      <c r="AL160" s="17">
        <f t="shared" si="115"/>
        <v>0</v>
      </c>
      <c r="AM160" s="17">
        <f t="shared" si="116"/>
        <v>0</v>
      </c>
      <c r="AN160" s="17">
        <f t="shared" si="117"/>
        <v>0</v>
      </c>
      <c r="AO160" s="17">
        <f t="shared" si="118"/>
        <v>0</v>
      </c>
      <c r="AP160" s="17">
        <f t="shared" si="119"/>
        <v>50000</v>
      </c>
      <c r="AQ160" s="18">
        <v>874.96034352311017</v>
      </c>
      <c r="AR160" s="18">
        <v>1046.3704131448085</v>
      </c>
      <c r="AS160" s="18">
        <v>926.04548371510089</v>
      </c>
      <c r="AT160" s="18">
        <v>701.44382086034886</v>
      </c>
      <c r="AU160" s="18">
        <v>1017.2605803317618</v>
      </c>
      <c r="AV160" s="18">
        <v>833.64391697541544</v>
      </c>
      <c r="AW160" s="18">
        <v>829.9505456648244</v>
      </c>
      <c r="AX160" s="18">
        <v>563.61355169533419</v>
      </c>
      <c r="AY160" s="18">
        <v>835.44444536226433</v>
      </c>
      <c r="AZ160" s="18">
        <v>727.56471599578811</v>
      </c>
      <c r="BA160" s="18">
        <v>742.87115416376344</v>
      </c>
      <c r="BB160" s="18">
        <v>725.57799293664345</v>
      </c>
      <c r="BC160" s="23">
        <v>8.9181565948742242E-2</v>
      </c>
      <c r="BD160" s="23">
        <v>0.10665277883445198</v>
      </c>
      <c r="BE160" s="23">
        <v>9.438849084854764E-2</v>
      </c>
      <c r="BF160" s="23">
        <v>7.149564986855049E-2</v>
      </c>
      <c r="BG160" s="23">
        <v>0.10368571810536763</v>
      </c>
      <c r="BH160" s="23">
        <v>8.4970330952544637E-2</v>
      </c>
      <c r="BI160" s="23">
        <v>8.4593878877262704E-2</v>
      </c>
      <c r="BJ160" s="23">
        <v>5.7447105462779965E-2</v>
      </c>
      <c r="BK160" s="23">
        <v>8.5153852345557474E-2</v>
      </c>
      <c r="BL160" s="23">
        <v>7.4158058913035174E-2</v>
      </c>
      <c r="BM160" s="23">
        <v>7.5718189192107169E-2</v>
      </c>
      <c r="BN160" s="23">
        <v>7.3955559365675619E-2</v>
      </c>
    </row>
    <row r="161" spans="1:66" x14ac:dyDescent="0.25">
      <c r="A161" s="16">
        <v>2642</v>
      </c>
      <c r="B161" s="16" t="s">
        <v>357</v>
      </c>
      <c r="C161" s="17">
        <v>5000</v>
      </c>
      <c r="D161" s="17">
        <f t="shared" si="83"/>
        <v>445.9078297437112</v>
      </c>
      <c r="E161" s="17">
        <f t="shared" si="84"/>
        <v>533.26389417225994</v>
      </c>
      <c r="F161" s="17">
        <f t="shared" si="85"/>
        <v>471.94245424273822</v>
      </c>
      <c r="G161" s="17">
        <f t="shared" si="86"/>
        <v>357.47824934275246</v>
      </c>
      <c r="H161" s="17">
        <f t="shared" si="87"/>
        <v>518.42859052683809</v>
      </c>
      <c r="I161" s="17">
        <f t="shared" si="88"/>
        <v>424.85165476272317</v>
      </c>
      <c r="J161" s="17">
        <f t="shared" si="89"/>
        <v>422.96939438631352</v>
      </c>
      <c r="K161" s="17">
        <f t="shared" si="90"/>
        <v>287.23552731389981</v>
      </c>
      <c r="L161" s="17">
        <f t="shared" si="91"/>
        <v>425.76926172778735</v>
      </c>
      <c r="M161" s="17">
        <f t="shared" si="92"/>
        <v>370.79029456517588</v>
      </c>
      <c r="N161" s="17">
        <f t="shared" si="93"/>
        <v>378.59094596053586</v>
      </c>
      <c r="O161" s="17">
        <f t="shared" si="94"/>
        <v>369.77779682837809</v>
      </c>
      <c r="P161" s="17">
        <v>3000</v>
      </c>
      <c r="Q161" s="17">
        <f t="shared" si="95"/>
        <v>267.54469784622671</v>
      </c>
      <c r="R161" s="17">
        <f t="shared" si="96"/>
        <v>319.95833650335595</v>
      </c>
      <c r="S161" s="17">
        <f t="shared" si="97"/>
        <v>283.1654725456429</v>
      </c>
      <c r="T161" s="17">
        <f t="shared" si="98"/>
        <v>214.48694960565146</v>
      </c>
      <c r="U161" s="17">
        <f t="shared" si="99"/>
        <v>311.05715431610287</v>
      </c>
      <c r="V161" s="17">
        <f t="shared" si="100"/>
        <v>254.91099285763391</v>
      </c>
      <c r="W161" s="17">
        <f t="shared" si="101"/>
        <v>253.7816366317881</v>
      </c>
      <c r="X161" s="17">
        <f t="shared" si="102"/>
        <v>172.34131638833989</v>
      </c>
      <c r="Y161" s="17">
        <f t="shared" si="103"/>
        <v>255.46155703667242</v>
      </c>
      <c r="Z161" s="17">
        <f t="shared" si="104"/>
        <v>222.47417673910553</v>
      </c>
      <c r="AA161" s="17">
        <f t="shared" si="105"/>
        <v>227.15456757632151</v>
      </c>
      <c r="AB161" s="17">
        <f t="shared" si="106"/>
        <v>221.86667809702686</v>
      </c>
      <c r="AC161" s="17">
        <v>0</v>
      </c>
      <c r="AD161" s="17">
        <f t="shared" si="107"/>
        <v>0</v>
      </c>
      <c r="AE161" s="17">
        <f t="shared" si="108"/>
        <v>0</v>
      </c>
      <c r="AF161" s="17">
        <f t="shared" si="109"/>
        <v>0</v>
      </c>
      <c r="AG161" s="17">
        <f t="shared" si="110"/>
        <v>0</v>
      </c>
      <c r="AH161" s="17">
        <f t="shared" si="111"/>
        <v>0</v>
      </c>
      <c r="AI161" s="17">
        <f t="shared" si="112"/>
        <v>0</v>
      </c>
      <c r="AJ161" s="17">
        <f t="shared" si="113"/>
        <v>0</v>
      </c>
      <c r="AK161" s="17">
        <f t="shared" si="114"/>
        <v>0</v>
      </c>
      <c r="AL161" s="17">
        <f t="shared" si="115"/>
        <v>0</v>
      </c>
      <c r="AM161" s="17">
        <f t="shared" si="116"/>
        <v>0</v>
      </c>
      <c r="AN161" s="17">
        <f t="shared" si="117"/>
        <v>0</v>
      </c>
      <c r="AO161" s="17">
        <f t="shared" si="118"/>
        <v>0</v>
      </c>
      <c r="AP161" s="17">
        <f t="shared" si="119"/>
        <v>8000</v>
      </c>
      <c r="AQ161" s="18">
        <v>802.63409353868019</v>
      </c>
      <c r="AR161" s="18">
        <v>959.8750095100678</v>
      </c>
      <c r="AS161" s="18">
        <v>849.49641763692875</v>
      </c>
      <c r="AT161" s="18">
        <v>643.46084881695435</v>
      </c>
      <c r="AU161" s="18">
        <v>933.17146294830866</v>
      </c>
      <c r="AV161" s="18">
        <v>764.73297857290174</v>
      </c>
      <c r="AW161" s="18">
        <v>761.34490989536437</v>
      </c>
      <c r="AX161" s="18">
        <v>517.02394916501964</v>
      </c>
      <c r="AY161" s="18">
        <v>766.38467111001728</v>
      </c>
      <c r="AZ161" s="18">
        <v>667.42253021731653</v>
      </c>
      <c r="BA161" s="18">
        <v>681.46370272896456</v>
      </c>
      <c r="BB161" s="18">
        <v>665.60003429108053</v>
      </c>
      <c r="BC161" s="23">
        <v>8.9181565948742242E-2</v>
      </c>
      <c r="BD161" s="23">
        <v>0.10665277883445198</v>
      </c>
      <c r="BE161" s="23">
        <v>9.438849084854764E-2</v>
      </c>
      <c r="BF161" s="23">
        <v>7.149564986855049E-2</v>
      </c>
      <c r="BG161" s="23">
        <v>0.10368571810536763</v>
      </c>
      <c r="BH161" s="23">
        <v>8.4970330952544637E-2</v>
      </c>
      <c r="BI161" s="23">
        <v>8.4593878877262704E-2</v>
      </c>
      <c r="BJ161" s="23">
        <v>5.7447105462779965E-2</v>
      </c>
      <c r="BK161" s="23">
        <v>8.5153852345557474E-2</v>
      </c>
      <c r="BL161" s="23">
        <v>7.4158058913035174E-2</v>
      </c>
      <c r="BM161" s="23">
        <v>7.5718189192107169E-2</v>
      </c>
      <c r="BN161" s="23">
        <v>7.3955559365675619E-2</v>
      </c>
    </row>
    <row r="162" spans="1:66" x14ac:dyDescent="0.25">
      <c r="A162" s="16">
        <v>2659</v>
      </c>
      <c r="B162" s="16" t="s">
        <v>358</v>
      </c>
      <c r="C162" s="17">
        <v>0</v>
      </c>
      <c r="D162" s="17">
        <f t="shared" si="83"/>
        <v>0</v>
      </c>
      <c r="E162" s="17">
        <f t="shared" si="84"/>
        <v>0</v>
      </c>
      <c r="F162" s="17">
        <f t="shared" si="85"/>
        <v>0</v>
      </c>
      <c r="G162" s="17">
        <f t="shared" si="86"/>
        <v>0</v>
      </c>
      <c r="H162" s="17">
        <f t="shared" si="87"/>
        <v>0</v>
      </c>
      <c r="I162" s="17">
        <f t="shared" si="88"/>
        <v>0</v>
      </c>
      <c r="J162" s="17">
        <f t="shared" si="89"/>
        <v>0</v>
      </c>
      <c r="K162" s="17">
        <f t="shared" si="90"/>
        <v>0</v>
      </c>
      <c r="L162" s="17">
        <f t="shared" si="91"/>
        <v>0</v>
      </c>
      <c r="M162" s="17">
        <f t="shared" si="92"/>
        <v>0</v>
      </c>
      <c r="N162" s="17">
        <f t="shared" si="93"/>
        <v>0</v>
      </c>
      <c r="O162" s="17">
        <f t="shared" si="94"/>
        <v>0</v>
      </c>
      <c r="P162" s="17">
        <v>7000</v>
      </c>
      <c r="Q162" s="17">
        <f t="shared" si="95"/>
        <v>624.27096164119564</v>
      </c>
      <c r="R162" s="17">
        <f t="shared" si="96"/>
        <v>746.56945184116387</v>
      </c>
      <c r="S162" s="17">
        <f t="shared" si="97"/>
        <v>660.71943593983349</v>
      </c>
      <c r="T162" s="17">
        <f t="shared" si="98"/>
        <v>500.46954907985344</v>
      </c>
      <c r="U162" s="17">
        <f t="shared" si="99"/>
        <v>725.80002673757338</v>
      </c>
      <c r="V162" s="17">
        <f t="shared" si="100"/>
        <v>594.79231666781243</v>
      </c>
      <c r="W162" s="17">
        <f t="shared" si="101"/>
        <v>592.15715214083889</v>
      </c>
      <c r="X162" s="17">
        <f t="shared" si="102"/>
        <v>402.12973823945975</v>
      </c>
      <c r="Y162" s="17">
        <f t="shared" si="103"/>
        <v>596.07696641890232</v>
      </c>
      <c r="Z162" s="17">
        <f t="shared" si="104"/>
        <v>519.10641239124618</v>
      </c>
      <c r="AA162" s="17">
        <f t="shared" si="105"/>
        <v>530.02732434475013</v>
      </c>
      <c r="AB162" s="17">
        <f t="shared" si="106"/>
        <v>517.68891555972937</v>
      </c>
      <c r="AC162" s="17">
        <v>0</v>
      </c>
      <c r="AD162" s="17">
        <f t="shared" si="107"/>
        <v>0</v>
      </c>
      <c r="AE162" s="17">
        <f t="shared" si="108"/>
        <v>0</v>
      </c>
      <c r="AF162" s="17">
        <f t="shared" si="109"/>
        <v>0</v>
      </c>
      <c r="AG162" s="17">
        <f t="shared" si="110"/>
        <v>0</v>
      </c>
      <c r="AH162" s="17">
        <f t="shared" si="111"/>
        <v>0</v>
      </c>
      <c r="AI162" s="17">
        <f t="shared" si="112"/>
        <v>0</v>
      </c>
      <c r="AJ162" s="17">
        <f t="shared" si="113"/>
        <v>0</v>
      </c>
      <c r="AK162" s="17">
        <f t="shared" si="114"/>
        <v>0</v>
      </c>
      <c r="AL162" s="17">
        <f t="shared" si="115"/>
        <v>0</v>
      </c>
      <c r="AM162" s="17">
        <f t="shared" si="116"/>
        <v>0</v>
      </c>
      <c r="AN162" s="17">
        <f t="shared" si="117"/>
        <v>0</v>
      </c>
      <c r="AO162" s="17">
        <f t="shared" si="118"/>
        <v>0</v>
      </c>
      <c r="AP162" s="17">
        <f t="shared" si="119"/>
        <v>7000</v>
      </c>
      <c r="AQ162" s="18">
        <v>802.63409353868019</v>
      </c>
      <c r="AR162" s="18">
        <v>959.8750095100678</v>
      </c>
      <c r="AS162" s="18">
        <v>849.49641763692875</v>
      </c>
      <c r="AT162" s="18">
        <v>643.46084881695435</v>
      </c>
      <c r="AU162" s="18">
        <v>933.17146294830866</v>
      </c>
      <c r="AV162" s="18">
        <v>764.73297857290174</v>
      </c>
      <c r="AW162" s="18">
        <v>761.34490989536437</v>
      </c>
      <c r="AX162" s="18">
        <v>517.02394916501964</v>
      </c>
      <c r="AY162" s="18">
        <v>766.38467111001728</v>
      </c>
      <c r="AZ162" s="18">
        <v>667.42253021731653</v>
      </c>
      <c r="BA162" s="18">
        <v>681.46370272896456</v>
      </c>
      <c r="BB162" s="18">
        <v>665.60003429108053</v>
      </c>
      <c r="BC162" s="23">
        <v>8.9181565948742242E-2</v>
      </c>
      <c r="BD162" s="23">
        <v>0.10665277883445198</v>
      </c>
      <c r="BE162" s="23">
        <v>9.438849084854764E-2</v>
      </c>
      <c r="BF162" s="23">
        <v>7.149564986855049E-2</v>
      </c>
      <c r="BG162" s="23">
        <v>0.10368571810536763</v>
      </c>
      <c r="BH162" s="23">
        <v>8.4970330952544637E-2</v>
      </c>
      <c r="BI162" s="23">
        <v>8.4593878877262704E-2</v>
      </c>
      <c r="BJ162" s="23">
        <v>5.7447105462779965E-2</v>
      </c>
      <c r="BK162" s="23">
        <v>8.5153852345557474E-2</v>
      </c>
      <c r="BL162" s="23">
        <v>7.4158058913035174E-2</v>
      </c>
      <c r="BM162" s="23">
        <v>7.5718189192107169E-2</v>
      </c>
      <c r="BN162" s="23">
        <v>7.3955559365675619E-2</v>
      </c>
    </row>
    <row r="163" spans="1:66" x14ac:dyDescent="0.25">
      <c r="A163" s="16">
        <v>16451</v>
      </c>
      <c r="B163" s="16" t="s">
        <v>359</v>
      </c>
      <c r="C163" s="17">
        <v>0</v>
      </c>
      <c r="D163" s="17">
        <f t="shared" si="83"/>
        <v>0</v>
      </c>
      <c r="E163" s="17">
        <f t="shared" si="84"/>
        <v>0</v>
      </c>
      <c r="F163" s="17">
        <f t="shared" si="85"/>
        <v>0</v>
      </c>
      <c r="G163" s="17">
        <f t="shared" si="86"/>
        <v>0</v>
      </c>
      <c r="H163" s="17">
        <f t="shared" si="87"/>
        <v>0</v>
      </c>
      <c r="I163" s="17">
        <f t="shared" si="88"/>
        <v>0</v>
      </c>
      <c r="J163" s="17">
        <f t="shared" si="89"/>
        <v>0</v>
      </c>
      <c r="K163" s="17">
        <f t="shared" si="90"/>
        <v>0</v>
      </c>
      <c r="L163" s="17">
        <f t="shared" si="91"/>
        <v>0</v>
      </c>
      <c r="M163" s="17">
        <f t="shared" si="92"/>
        <v>0</v>
      </c>
      <c r="N163" s="17">
        <f t="shared" si="93"/>
        <v>0</v>
      </c>
      <c r="O163" s="17">
        <f t="shared" si="94"/>
        <v>0</v>
      </c>
      <c r="P163" s="17">
        <v>4000</v>
      </c>
      <c r="Q163" s="17">
        <f t="shared" si="95"/>
        <v>356.72626379496899</v>
      </c>
      <c r="R163" s="17">
        <f t="shared" si="96"/>
        <v>426.61111533780792</v>
      </c>
      <c r="S163" s="17">
        <f t="shared" si="97"/>
        <v>377.55396339419059</v>
      </c>
      <c r="T163" s="17">
        <f t="shared" si="98"/>
        <v>285.98259947420195</v>
      </c>
      <c r="U163" s="17">
        <f t="shared" si="99"/>
        <v>414.74287242147051</v>
      </c>
      <c r="V163" s="17">
        <f t="shared" si="100"/>
        <v>339.88132381017857</v>
      </c>
      <c r="W163" s="17">
        <f t="shared" si="101"/>
        <v>338.37551550905084</v>
      </c>
      <c r="X163" s="17">
        <f t="shared" si="102"/>
        <v>229.78842185111986</v>
      </c>
      <c r="Y163" s="17">
        <f t="shared" si="103"/>
        <v>340.61540938222987</v>
      </c>
      <c r="Z163" s="17">
        <f t="shared" si="104"/>
        <v>296.63223565214071</v>
      </c>
      <c r="AA163" s="17">
        <f t="shared" si="105"/>
        <v>302.8727567684287</v>
      </c>
      <c r="AB163" s="17">
        <f t="shared" si="106"/>
        <v>295.8222374627025</v>
      </c>
      <c r="AC163" s="17">
        <v>0</v>
      </c>
      <c r="AD163" s="17">
        <f t="shared" si="107"/>
        <v>0</v>
      </c>
      <c r="AE163" s="17">
        <f t="shared" si="108"/>
        <v>0</v>
      </c>
      <c r="AF163" s="17">
        <f t="shared" si="109"/>
        <v>0</v>
      </c>
      <c r="AG163" s="17">
        <f t="shared" si="110"/>
        <v>0</v>
      </c>
      <c r="AH163" s="17">
        <f t="shared" si="111"/>
        <v>0</v>
      </c>
      <c r="AI163" s="17">
        <f t="shared" si="112"/>
        <v>0</v>
      </c>
      <c r="AJ163" s="17">
        <f t="shared" si="113"/>
        <v>0</v>
      </c>
      <c r="AK163" s="17">
        <f t="shared" si="114"/>
        <v>0</v>
      </c>
      <c r="AL163" s="17">
        <f t="shared" si="115"/>
        <v>0</v>
      </c>
      <c r="AM163" s="17">
        <f t="shared" si="116"/>
        <v>0</v>
      </c>
      <c r="AN163" s="17">
        <f t="shared" si="117"/>
        <v>0</v>
      </c>
      <c r="AO163" s="17">
        <f t="shared" si="118"/>
        <v>0</v>
      </c>
      <c r="AP163" s="17">
        <f t="shared" si="119"/>
        <v>4000</v>
      </c>
      <c r="AQ163" s="18">
        <v>802.63409353868019</v>
      </c>
      <c r="AR163" s="18">
        <v>959.8750095100678</v>
      </c>
      <c r="AS163" s="18">
        <v>849.49641763692875</v>
      </c>
      <c r="AT163" s="18">
        <v>643.46084881695435</v>
      </c>
      <c r="AU163" s="18">
        <v>933.17146294830866</v>
      </c>
      <c r="AV163" s="18">
        <v>764.73297857290174</v>
      </c>
      <c r="AW163" s="18">
        <v>761.34490989536437</v>
      </c>
      <c r="AX163" s="18">
        <v>517.02394916501964</v>
      </c>
      <c r="AY163" s="18">
        <v>766.38467111001728</v>
      </c>
      <c r="AZ163" s="18">
        <v>667.42253021731653</v>
      </c>
      <c r="BA163" s="18">
        <v>681.46370272896456</v>
      </c>
      <c r="BB163" s="18">
        <v>665.60003429108053</v>
      </c>
      <c r="BC163" s="23">
        <v>8.9181565948742242E-2</v>
      </c>
      <c r="BD163" s="23">
        <v>0.10665277883445198</v>
      </c>
      <c r="BE163" s="23">
        <v>9.438849084854764E-2</v>
      </c>
      <c r="BF163" s="23">
        <v>7.149564986855049E-2</v>
      </c>
      <c r="BG163" s="23">
        <v>0.10368571810536763</v>
      </c>
      <c r="BH163" s="23">
        <v>8.4970330952544637E-2</v>
      </c>
      <c r="BI163" s="23">
        <v>8.4593878877262704E-2</v>
      </c>
      <c r="BJ163" s="23">
        <v>5.7447105462779965E-2</v>
      </c>
      <c r="BK163" s="23">
        <v>8.5153852345557474E-2</v>
      </c>
      <c r="BL163" s="23">
        <v>7.4158058913035174E-2</v>
      </c>
      <c r="BM163" s="23">
        <v>7.5718189192107169E-2</v>
      </c>
      <c r="BN163" s="23">
        <v>7.3955559365675619E-2</v>
      </c>
    </row>
    <row r="164" spans="1:66" x14ac:dyDescent="0.25">
      <c r="A164" s="16">
        <v>17260</v>
      </c>
      <c r="B164" s="16" t="s">
        <v>360</v>
      </c>
      <c r="C164" s="17">
        <v>9000</v>
      </c>
      <c r="D164" s="17">
        <f t="shared" si="83"/>
        <v>802.63409353868019</v>
      </c>
      <c r="E164" s="17">
        <f t="shared" si="84"/>
        <v>959.8750095100678</v>
      </c>
      <c r="F164" s="17">
        <f t="shared" si="85"/>
        <v>849.49641763692875</v>
      </c>
      <c r="G164" s="17">
        <f t="shared" si="86"/>
        <v>643.46084881695435</v>
      </c>
      <c r="H164" s="17">
        <f t="shared" si="87"/>
        <v>933.17146294830866</v>
      </c>
      <c r="I164" s="17">
        <f t="shared" si="88"/>
        <v>764.73297857290174</v>
      </c>
      <c r="J164" s="17">
        <f t="shared" si="89"/>
        <v>761.34490989536437</v>
      </c>
      <c r="K164" s="17">
        <f t="shared" si="90"/>
        <v>517.02394916501964</v>
      </c>
      <c r="L164" s="17">
        <f t="shared" si="91"/>
        <v>766.38467111001728</v>
      </c>
      <c r="M164" s="17">
        <f t="shared" si="92"/>
        <v>667.42253021731653</v>
      </c>
      <c r="N164" s="17">
        <f t="shared" si="93"/>
        <v>681.46370272896456</v>
      </c>
      <c r="O164" s="17">
        <f t="shared" si="94"/>
        <v>665.60003429108053</v>
      </c>
      <c r="P164" s="17">
        <v>0</v>
      </c>
      <c r="Q164" s="17">
        <f t="shared" si="95"/>
        <v>0</v>
      </c>
      <c r="R164" s="17">
        <f t="shared" si="96"/>
        <v>0</v>
      </c>
      <c r="S164" s="17">
        <f t="shared" si="97"/>
        <v>0</v>
      </c>
      <c r="T164" s="17">
        <f t="shared" si="98"/>
        <v>0</v>
      </c>
      <c r="U164" s="17">
        <f t="shared" si="99"/>
        <v>0</v>
      </c>
      <c r="V164" s="17">
        <f t="shared" si="100"/>
        <v>0</v>
      </c>
      <c r="W164" s="17">
        <f t="shared" si="101"/>
        <v>0</v>
      </c>
      <c r="X164" s="17">
        <f t="shared" si="102"/>
        <v>0</v>
      </c>
      <c r="Y164" s="17">
        <f t="shared" si="103"/>
        <v>0</v>
      </c>
      <c r="Z164" s="17">
        <f t="shared" si="104"/>
        <v>0</v>
      </c>
      <c r="AA164" s="17">
        <f t="shared" si="105"/>
        <v>0</v>
      </c>
      <c r="AB164" s="17">
        <f t="shared" si="106"/>
        <v>0</v>
      </c>
      <c r="AC164" s="17">
        <v>0</v>
      </c>
      <c r="AD164" s="17">
        <f t="shared" si="107"/>
        <v>0</v>
      </c>
      <c r="AE164" s="17">
        <f t="shared" si="108"/>
        <v>0</v>
      </c>
      <c r="AF164" s="17">
        <f t="shared" si="109"/>
        <v>0</v>
      </c>
      <c r="AG164" s="17">
        <f t="shared" si="110"/>
        <v>0</v>
      </c>
      <c r="AH164" s="17">
        <f t="shared" si="111"/>
        <v>0</v>
      </c>
      <c r="AI164" s="17">
        <f t="shared" si="112"/>
        <v>0</v>
      </c>
      <c r="AJ164" s="17">
        <f t="shared" si="113"/>
        <v>0</v>
      </c>
      <c r="AK164" s="17">
        <f t="shared" si="114"/>
        <v>0</v>
      </c>
      <c r="AL164" s="17">
        <f t="shared" si="115"/>
        <v>0</v>
      </c>
      <c r="AM164" s="17">
        <f t="shared" si="116"/>
        <v>0</v>
      </c>
      <c r="AN164" s="17">
        <f t="shared" si="117"/>
        <v>0</v>
      </c>
      <c r="AO164" s="17">
        <f t="shared" si="118"/>
        <v>0</v>
      </c>
      <c r="AP164" s="17">
        <f t="shared" si="119"/>
        <v>9000</v>
      </c>
      <c r="AQ164" s="18">
        <v>802.63409353868019</v>
      </c>
      <c r="AR164" s="18">
        <v>959.8750095100678</v>
      </c>
      <c r="AS164" s="18">
        <v>849.49641763692875</v>
      </c>
      <c r="AT164" s="18">
        <v>643.46084881695435</v>
      </c>
      <c r="AU164" s="18">
        <v>933.17146294830866</v>
      </c>
      <c r="AV164" s="18">
        <v>764.73297857290174</v>
      </c>
      <c r="AW164" s="18">
        <v>761.34490989536437</v>
      </c>
      <c r="AX164" s="18">
        <v>517.02394916501964</v>
      </c>
      <c r="AY164" s="18">
        <v>766.38467111001728</v>
      </c>
      <c r="AZ164" s="18">
        <v>667.42253021731653</v>
      </c>
      <c r="BA164" s="18">
        <v>681.46370272896456</v>
      </c>
      <c r="BB164" s="18">
        <v>665.60003429108053</v>
      </c>
      <c r="BC164" s="23">
        <v>8.9181565948742242E-2</v>
      </c>
      <c r="BD164" s="23">
        <v>0.10665277883445198</v>
      </c>
      <c r="BE164" s="23">
        <v>9.438849084854764E-2</v>
      </c>
      <c r="BF164" s="23">
        <v>7.149564986855049E-2</v>
      </c>
      <c r="BG164" s="23">
        <v>0.10368571810536763</v>
      </c>
      <c r="BH164" s="23">
        <v>8.4970330952544637E-2</v>
      </c>
      <c r="BI164" s="23">
        <v>8.4593878877262704E-2</v>
      </c>
      <c r="BJ164" s="23">
        <v>5.7447105462779965E-2</v>
      </c>
      <c r="BK164" s="23">
        <v>8.5153852345557474E-2</v>
      </c>
      <c r="BL164" s="23">
        <v>7.4158058913035174E-2</v>
      </c>
      <c r="BM164" s="23">
        <v>7.5718189192107169E-2</v>
      </c>
      <c r="BN164" s="23">
        <v>7.3955559365675619E-2</v>
      </c>
    </row>
    <row r="165" spans="1:66" x14ac:dyDescent="0.25">
      <c r="A165" s="16">
        <v>20218</v>
      </c>
      <c r="B165" s="16" t="s">
        <v>361</v>
      </c>
      <c r="C165" s="17">
        <v>0</v>
      </c>
      <c r="D165" s="17">
        <f t="shared" si="83"/>
        <v>0</v>
      </c>
      <c r="E165" s="17">
        <f t="shared" si="84"/>
        <v>0</v>
      </c>
      <c r="F165" s="17">
        <f t="shared" si="85"/>
        <v>0</v>
      </c>
      <c r="G165" s="17">
        <f t="shared" si="86"/>
        <v>0</v>
      </c>
      <c r="H165" s="17">
        <f t="shared" si="87"/>
        <v>0</v>
      </c>
      <c r="I165" s="17">
        <f t="shared" si="88"/>
        <v>0</v>
      </c>
      <c r="J165" s="17">
        <f t="shared" si="89"/>
        <v>0</v>
      </c>
      <c r="K165" s="17">
        <f t="shared" si="90"/>
        <v>0</v>
      </c>
      <c r="L165" s="17">
        <f t="shared" si="91"/>
        <v>0</v>
      </c>
      <c r="M165" s="17">
        <f t="shared" si="92"/>
        <v>0</v>
      </c>
      <c r="N165" s="17">
        <f t="shared" si="93"/>
        <v>0</v>
      </c>
      <c r="O165" s="17">
        <f t="shared" si="94"/>
        <v>0</v>
      </c>
      <c r="P165" s="17">
        <v>7000</v>
      </c>
      <c r="Q165" s="17">
        <f t="shared" si="95"/>
        <v>624.27096164119564</v>
      </c>
      <c r="R165" s="17">
        <f t="shared" si="96"/>
        <v>746.56945184116387</v>
      </c>
      <c r="S165" s="17">
        <f t="shared" si="97"/>
        <v>660.71943593983349</v>
      </c>
      <c r="T165" s="17">
        <f t="shared" si="98"/>
        <v>500.46954907985344</v>
      </c>
      <c r="U165" s="17">
        <f t="shared" si="99"/>
        <v>725.80002673757338</v>
      </c>
      <c r="V165" s="17">
        <f t="shared" si="100"/>
        <v>594.79231666781243</v>
      </c>
      <c r="W165" s="17">
        <f t="shared" si="101"/>
        <v>592.15715214083889</v>
      </c>
      <c r="X165" s="17">
        <f t="shared" si="102"/>
        <v>402.12973823945975</v>
      </c>
      <c r="Y165" s="17">
        <f t="shared" si="103"/>
        <v>596.07696641890232</v>
      </c>
      <c r="Z165" s="17">
        <f t="shared" si="104"/>
        <v>519.10641239124618</v>
      </c>
      <c r="AA165" s="17">
        <f t="shared" si="105"/>
        <v>530.02732434475013</v>
      </c>
      <c r="AB165" s="17">
        <f t="shared" si="106"/>
        <v>517.68891555972937</v>
      </c>
      <c r="AC165" s="17">
        <v>0</v>
      </c>
      <c r="AD165" s="17">
        <f t="shared" si="107"/>
        <v>0</v>
      </c>
      <c r="AE165" s="17">
        <f t="shared" si="108"/>
        <v>0</v>
      </c>
      <c r="AF165" s="17">
        <f t="shared" si="109"/>
        <v>0</v>
      </c>
      <c r="AG165" s="17">
        <f t="shared" si="110"/>
        <v>0</v>
      </c>
      <c r="AH165" s="17">
        <f t="shared" si="111"/>
        <v>0</v>
      </c>
      <c r="AI165" s="17">
        <f t="shared" si="112"/>
        <v>0</v>
      </c>
      <c r="AJ165" s="17">
        <f t="shared" si="113"/>
        <v>0</v>
      </c>
      <c r="AK165" s="17">
        <f t="shared" si="114"/>
        <v>0</v>
      </c>
      <c r="AL165" s="17">
        <f t="shared" si="115"/>
        <v>0</v>
      </c>
      <c r="AM165" s="17">
        <f t="shared" si="116"/>
        <v>0</v>
      </c>
      <c r="AN165" s="17">
        <f t="shared" si="117"/>
        <v>0</v>
      </c>
      <c r="AO165" s="17">
        <f t="shared" si="118"/>
        <v>0</v>
      </c>
      <c r="AP165" s="17">
        <f t="shared" si="119"/>
        <v>7000</v>
      </c>
      <c r="AQ165" s="18">
        <v>802.63409353868019</v>
      </c>
      <c r="AR165" s="18">
        <v>959.8750095100678</v>
      </c>
      <c r="AS165" s="18">
        <v>849.49641763692875</v>
      </c>
      <c r="AT165" s="18">
        <v>643.46084881695435</v>
      </c>
      <c r="AU165" s="18">
        <v>933.17146294830866</v>
      </c>
      <c r="AV165" s="18">
        <v>764.73297857290174</v>
      </c>
      <c r="AW165" s="18">
        <v>761.34490989536437</v>
      </c>
      <c r="AX165" s="18">
        <v>517.02394916501964</v>
      </c>
      <c r="AY165" s="18">
        <v>766.38467111001728</v>
      </c>
      <c r="AZ165" s="18">
        <v>667.42253021731653</v>
      </c>
      <c r="BA165" s="18">
        <v>681.46370272896456</v>
      </c>
      <c r="BB165" s="18">
        <v>665.60003429108053</v>
      </c>
      <c r="BC165" s="23">
        <v>8.9181565948742242E-2</v>
      </c>
      <c r="BD165" s="23">
        <v>0.10665277883445198</v>
      </c>
      <c r="BE165" s="23">
        <v>9.438849084854764E-2</v>
      </c>
      <c r="BF165" s="23">
        <v>7.149564986855049E-2</v>
      </c>
      <c r="BG165" s="23">
        <v>0.10368571810536763</v>
      </c>
      <c r="BH165" s="23">
        <v>8.4970330952544637E-2</v>
      </c>
      <c r="BI165" s="23">
        <v>8.4593878877262704E-2</v>
      </c>
      <c r="BJ165" s="23">
        <v>5.7447105462779965E-2</v>
      </c>
      <c r="BK165" s="23">
        <v>8.5153852345557474E-2</v>
      </c>
      <c r="BL165" s="23">
        <v>7.4158058913035174E-2</v>
      </c>
      <c r="BM165" s="23">
        <v>7.5718189192107169E-2</v>
      </c>
      <c r="BN165" s="23">
        <v>7.3955559365675619E-2</v>
      </c>
    </row>
    <row r="166" spans="1:66" x14ac:dyDescent="0.25">
      <c r="A166" s="16">
        <v>27907</v>
      </c>
      <c r="B166" s="16" t="s">
        <v>362</v>
      </c>
      <c r="C166" s="17">
        <v>0</v>
      </c>
      <c r="D166" s="17">
        <f t="shared" si="83"/>
        <v>0</v>
      </c>
      <c r="E166" s="17">
        <f t="shared" si="84"/>
        <v>0</v>
      </c>
      <c r="F166" s="17">
        <f t="shared" si="85"/>
        <v>0</v>
      </c>
      <c r="G166" s="17">
        <f t="shared" si="86"/>
        <v>0</v>
      </c>
      <c r="H166" s="17">
        <f t="shared" si="87"/>
        <v>0</v>
      </c>
      <c r="I166" s="17">
        <f t="shared" si="88"/>
        <v>0</v>
      </c>
      <c r="J166" s="17">
        <f t="shared" si="89"/>
        <v>0</v>
      </c>
      <c r="K166" s="17">
        <f t="shared" si="90"/>
        <v>0</v>
      </c>
      <c r="L166" s="17">
        <f t="shared" si="91"/>
        <v>0</v>
      </c>
      <c r="M166" s="17">
        <f t="shared" si="92"/>
        <v>0</v>
      </c>
      <c r="N166" s="17">
        <f t="shared" si="93"/>
        <v>0</v>
      </c>
      <c r="O166" s="17">
        <f t="shared" si="94"/>
        <v>0</v>
      </c>
      <c r="P166" s="17">
        <v>25000</v>
      </c>
      <c r="Q166" s="17">
        <f t="shared" si="95"/>
        <v>2229.5391487185561</v>
      </c>
      <c r="R166" s="17">
        <f t="shared" si="96"/>
        <v>2666.3194708612996</v>
      </c>
      <c r="S166" s="17">
        <f t="shared" si="97"/>
        <v>2359.7122712136911</v>
      </c>
      <c r="T166" s="17">
        <f t="shared" si="98"/>
        <v>1787.3912467137623</v>
      </c>
      <c r="U166" s="17">
        <f t="shared" si="99"/>
        <v>2592.1429526341908</v>
      </c>
      <c r="V166" s="17">
        <f t="shared" si="100"/>
        <v>2124.2582738136161</v>
      </c>
      <c r="W166" s="17">
        <f t="shared" si="101"/>
        <v>2114.8469719315676</v>
      </c>
      <c r="X166" s="17">
        <f t="shared" si="102"/>
        <v>1436.1776365694991</v>
      </c>
      <c r="Y166" s="17">
        <f t="shared" si="103"/>
        <v>2128.846308638937</v>
      </c>
      <c r="Z166" s="17">
        <f t="shared" si="104"/>
        <v>1853.9514728258794</v>
      </c>
      <c r="AA166" s="17">
        <f t="shared" si="105"/>
        <v>1892.9547298026791</v>
      </c>
      <c r="AB166" s="17">
        <f t="shared" si="106"/>
        <v>1848.8889841418904</v>
      </c>
      <c r="AC166" s="17">
        <v>0</v>
      </c>
      <c r="AD166" s="17">
        <f t="shared" si="107"/>
        <v>0</v>
      </c>
      <c r="AE166" s="17">
        <f t="shared" si="108"/>
        <v>0</v>
      </c>
      <c r="AF166" s="17">
        <f t="shared" si="109"/>
        <v>0</v>
      </c>
      <c r="AG166" s="17">
        <f t="shared" si="110"/>
        <v>0</v>
      </c>
      <c r="AH166" s="17">
        <f t="shared" si="111"/>
        <v>0</v>
      </c>
      <c r="AI166" s="17">
        <f t="shared" si="112"/>
        <v>0</v>
      </c>
      <c r="AJ166" s="17">
        <f t="shared" si="113"/>
        <v>0</v>
      </c>
      <c r="AK166" s="17">
        <f t="shared" si="114"/>
        <v>0</v>
      </c>
      <c r="AL166" s="17">
        <f t="shared" si="115"/>
        <v>0</v>
      </c>
      <c r="AM166" s="17">
        <f t="shared" si="116"/>
        <v>0</v>
      </c>
      <c r="AN166" s="17">
        <f t="shared" si="117"/>
        <v>0</v>
      </c>
      <c r="AO166" s="17">
        <f t="shared" si="118"/>
        <v>0</v>
      </c>
      <c r="AP166" s="17">
        <f t="shared" si="119"/>
        <v>25000</v>
      </c>
      <c r="AQ166" s="18">
        <v>802.63409353868019</v>
      </c>
      <c r="AR166" s="18">
        <v>959.8750095100678</v>
      </c>
      <c r="AS166" s="18">
        <v>849.49641763692875</v>
      </c>
      <c r="AT166" s="18">
        <v>643.46084881695435</v>
      </c>
      <c r="AU166" s="18">
        <v>933.17146294830866</v>
      </c>
      <c r="AV166" s="18">
        <v>764.73297857290174</v>
      </c>
      <c r="AW166" s="18">
        <v>761.34490989536437</v>
      </c>
      <c r="AX166" s="18">
        <v>517.02394916501964</v>
      </c>
      <c r="AY166" s="18">
        <v>766.38467111001728</v>
      </c>
      <c r="AZ166" s="18">
        <v>667.42253021731653</v>
      </c>
      <c r="BA166" s="18">
        <v>681.46370272896456</v>
      </c>
      <c r="BB166" s="18">
        <v>665.60003429108053</v>
      </c>
      <c r="BC166" s="23">
        <v>8.9181565948742242E-2</v>
      </c>
      <c r="BD166" s="23">
        <v>0.10665277883445198</v>
      </c>
      <c r="BE166" s="23">
        <v>9.438849084854764E-2</v>
      </c>
      <c r="BF166" s="23">
        <v>7.149564986855049E-2</v>
      </c>
      <c r="BG166" s="23">
        <v>0.10368571810536763</v>
      </c>
      <c r="BH166" s="23">
        <v>8.4970330952544637E-2</v>
      </c>
      <c r="BI166" s="23">
        <v>8.4593878877262704E-2</v>
      </c>
      <c r="BJ166" s="23">
        <v>5.7447105462779965E-2</v>
      </c>
      <c r="BK166" s="23">
        <v>8.5153852345557474E-2</v>
      </c>
      <c r="BL166" s="23">
        <v>7.4158058913035174E-2</v>
      </c>
      <c r="BM166" s="23">
        <v>7.5718189192107169E-2</v>
      </c>
      <c r="BN166" s="23">
        <v>7.3955559365675619E-2</v>
      </c>
    </row>
    <row r="167" spans="1:66" x14ac:dyDescent="0.25">
      <c r="A167" s="16">
        <v>29110</v>
      </c>
      <c r="B167" s="16" t="s">
        <v>363</v>
      </c>
      <c r="C167" s="17">
        <v>0</v>
      </c>
      <c r="D167" s="17">
        <f t="shared" si="83"/>
        <v>0</v>
      </c>
      <c r="E167" s="17">
        <f t="shared" si="84"/>
        <v>0</v>
      </c>
      <c r="F167" s="17">
        <f t="shared" si="85"/>
        <v>0</v>
      </c>
      <c r="G167" s="17">
        <f t="shared" si="86"/>
        <v>0</v>
      </c>
      <c r="H167" s="17">
        <f t="shared" si="87"/>
        <v>0</v>
      </c>
      <c r="I167" s="17">
        <f t="shared" si="88"/>
        <v>0</v>
      </c>
      <c r="J167" s="17">
        <f t="shared" si="89"/>
        <v>0</v>
      </c>
      <c r="K167" s="17">
        <f t="shared" si="90"/>
        <v>0</v>
      </c>
      <c r="L167" s="17">
        <f t="shared" si="91"/>
        <v>0</v>
      </c>
      <c r="M167" s="17">
        <f t="shared" si="92"/>
        <v>0</v>
      </c>
      <c r="N167" s="17">
        <f t="shared" si="93"/>
        <v>0</v>
      </c>
      <c r="O167" s="17">
        <f t="shared" si="94"/>
        <v>0</v>
      </c>
      <c r="P167" s="17">
        <v>5000</v>
      </c>
      <c r="Q167" s="17">
        <f t="shared" si="95"/>
        <v>445.9078297437112</v>
      </c>
      <c r="R167" s="17">
        <f t="shared" si="96"/>
        <v>533.26389417225994</v>
      </c>
      <c r="S167" s="17">
        <f t="shared" si="97"/>
        <v>471.94245424273822</v>
      </c>
      <c r="T167" s="17">
        <f t="shared" si="98"/>
        <v>357.47824934275246</v>
      </c>
      <c r="U167" s="17">
        <f t="shared" si="99"/>
        <v>518.42859052683809</v>
      </c>
      <c r="V167" s="17">
        <f t="shared" si="100"/>
        <v>424.85165476272317</v>
      </c>
      <c r="W167" s="17">
        <f t="shared" si="101"/>
        <v>422.96939438631352</v>
      </c>
      <c r="X167" s="17">
        <f t="shared" si="102"/>
        <v>287.23552731389981</v>
      </c>
      <c r="Y167" s="17">
        <f t="shared" si="103"/>
        <v>425.76926172778735</v>
      </c>
      <c r="Z167" s="17">
        <f t="shared" si="104"/>
        <v>370.79029456517588</v>
      </c>
      <c r="AA167" s="17">
        <f t="shared" si="105"/>
        <v>378.59094596053586</v>
      </c>
      <c r="AB167" s="17">
        <f t="shared" si="106"/>
        <v>369.77779682837809</v>
      </c>
      <c r="AC167" s="17">
        <v>0</v>
      </c>
      <c r="AD167" s="17">
        <f t="shared" si="107"/>
        <v>0</v>
      </c>
      <c r="AE167" s="17">
        <f t="shared" si="108"/>
        <v>0</v>
      </c>
      <c r="AF167" s="17">
        <f t="shared" si="109"/>
        <v>0</v>
      </c>
      <c r="AG167" s="17">
        <f t="shared" si="110"/>
        <v>0</v>
      </c>
      <c r="AH167" s="17">
        <f t="shared" si="111"/>
        <v>0</v>
      </c>
      <c r="AI167" s="17">
        <f t="shared" si="112"/>
        <v>0</v>
      </c>
      <c r="AJ167" s="17">
        <f t="shared" si="113"/>
        <v>0</v>
      </c>
      <c r="AK167" s="17">
        <f t="shared" si="114"/>
        <v>0</v>
      </c>
      <c r="AL167" s="17">
        <f t="shared" si="115"/>
        <v>0</v>
      </c>
      <c r="AM167" s="17">
        <f t="shared" si="116"/>
        <v>0</v>
      </c>
      <c r="AN167" s="17">
        <f t="shared" si="117"/>
        <v>0</v>
      </c>
      <c r="AO167" s="17">
        <f t="shared" si="118"/>
        <v>0</v>
      </c>
      <c r="AP167" s="17">
        <f t="shared" si="119"/>
        <v>5000</v>
      </c>
      <c r="AQ167" s="18">
        <v>802.63409353868019</v>
      </c>
      <c r="AR167" s="18">
        <v>959.8750095100678</v>
      </c>
      <c r="AS167" s="18">
        <v>849.49641763692875</v>
      </c>
      <c r="AT167" s="18">
        <v>643.46084881695435</v>
      </c>
      <c r="AU167" s="18">
        <v>933.17146294830866</v>
      </c>
      <c r="AV167" s="18">
        <v>764.73297857290174</v>
      </c>
      <c r="AW167" s="18">
        <v>761.34490989536437</v>
      </c>
      <c r="AX167" s="18">
        <v>517.02394916501964</v>
      </c>
      <c r="AY167" s="18">
        <v>766.38467111001728</v>
      </c>
      <c r="AZ167" s="18">
        <v>667.42253021731653</v>
      </c>
      <c r="BA167" s="18">
        <v>681.46370272896456</v>
      </c>
      <c r="BB167" s="18">
        <v>665.60003429108053</v>
      </c>
      <c r="BC167" s="23">
        <v>8.9181565948742242E-2</v>
      </c>
      <c r="BD167" s="23">
        <v>0.10665277883445198</v>
      </c>
      <c r="BE167" s="23">
        <v>9.438849084854764E-2</v>
      </c>
      <c r="BF167" s="23">
        <v>7.149564986855049E-2</v>
      </c>
      <c r="BG167" s="23">
        <v>0.10368571810536763</v>
      </c>
      <c r="BH167" s="23">
        <v>8.4970330952544637E-2</v>
      </c>
      <c r="BI167" s="23">
        <v>8.4593878877262704E-2</v>
      </c>
      <c r="BJ167" s="23">
        <v>5.7447105462779965E-2</v>
      </c>
      <c r="BK167" s="23">
        <v>8.5153852345557474E-2</v>
      </c>
      <c r="BL167" s="23">
        <v>7.4158058913035174E-2</v>
      </c>
      <c r="BM167" s="23">
        <v>7.5718189192107169E-2</v>
      </c>
      <c r="BN167" s="23">
        <v>7.3955559365675619E-2</v>
      </c>
    </row>
    <row r="168" spans="1:66" x14ac:dyDescent="0.25">
      <c r="A168" s="16">
        <v>1243</v>
      </c>
      <c r="B168" s="16" t="s">
        <v>364</v>
      </c>
      <c r="C168" s="17">
        <v>0</v>
      </c>
      <c r="D168" s="17">
        <f t="shared" si="83"/>
        <v>0</v>
      </c>
      <c r="E168" s="17">
        <f t="shared" si="84"/>
        <v>0</v>
      </c>
      <c r="F168" s="17">
        <f t="shared" si="85"/>
        <v>0</v>
      </c>
      <c r="G168" s="17">
        <f t="shared" si="86"/>
        <v>0</v>
      </c>
      <c r="H168" s="17">
        <f t="shared" si="87"/>
        <v>0</v>
      </c>
      <c r="I168" s="17">
        <f t="shared" si="88"/>
        <v>0</v>
      </c>
      <c r="J168" s="17">
        <f t="shared" si="89"/>
        <v>0</v>
      </c>
      <c r="K168" s="17">
        <f t="shared" si="90"/>
        <v>0</v>
      </c>
      <c r="L168" s="17">
        <f t="shared" si="91"/>
        <v>0</v>
      </c>
      <c r="M168" s="17">
        <f t="shared" si="92"/>
        <v>0</v>
      </c>
      <c r="N168" s="17">
        <f t="shared" si="93"/>
        <v>0</v>
      </c>
      <c r="O168" s="17">
        <f t="shared" si="94"/>
        <v>0</v>
      </c>
      <c r="P168" s="17">
        <v>9000</v>
      </c>
      <c r="Q168" s="17">
        <f t="shared" si="95"/>
        <v>802.63409353868019</v>
      </c>
      <c r="R168" s="17">
        <f t="shared" si="96"/>
        <v>959.8750095100678</v>
      </c>
      <c r="S168" s="17">
        <f t="shared" si="97"/>
        <v>849.49641763692875</v>
      </c>
      <c r="T168" s="17">
        <f t="shared" si="98"/>
        <v>643.46084881695435</v>
      </c>
      <c r="U168" s="17">
        <f t="shared" si="99"/>
        <v>933.17146294830866</v>
      </c>
      <c r="V168" s="17">
        <f t="shared" si="100"/>
        <v>764.73297857290174</v>
      </c>
      <c r="W168" s="17">
        <f t="shared" si="101"/>
        <v>761.34490989536437</v>
      </c>
      <c r="X168" s="17">
        <f t="shared" si="102"/>
        <v>517.02394916501964</v>
      </c>
      <c r="Y168" s="17">
        <f t="shared" si="103"/>
        <v>766.38467111001728</v>
      </c>
      <c r="Z168" s="17">
        <f t="shared" si="104"/>
        <v>667.42253021731653</v>
      </c>
      <c r="AA168" s="17">
        <f t="shared" si="105"/>
        <v>681.46370272896456</v>
      </c>
      <c r="AB168" s="17">
        <f t="shared" si="106"/>
        <v>665.60003429108053</v>
      </c>
      <c r="AC168" s="17">
        <v>0</v>
      </c>
      <c r="AD168" s="17">
        <f t="shared" si="107"/>
        <v>0</v>
      </c>
      <c r="AE168" s="17">
        <f t="shared" si="108"/>
        <v>0</v>
      </c>
      <c r="AF168" s="17">
        <f t="shared" si="109"/>
        <v>0</v>
      </c>
      <c r="AG168" s="17">
        <f t="shared" si="110"/>
        <v>0</v>
      </c>
      <c r="AH168" s="17">
        <f t="shared" si="111"/>
        <v>0</v>
      </c>
      <c r="AI168" s="17">
        <f t="shared" si="112"/>
        <v>0</v>
      </c>
      <c r="AJ168" s="17">
        <f t="shared" si="113"/>
        <v>0</v>
      </c>
      <c r="AK168" s="17">
        <f t="shared" si="114"/>
        <v>0</v>
      </c>
      <c r="AL168" s="17">
        <f t="shared" si="115"/>
        <v>0</v>
      </c>
      <c r="AM168" s="17">
        <f t="shared" si="116"/>
        <v>0</v>
      </c>
      <c r="AN168" s="17">
        <f t="shared" si="117"/>
        <v>0</v>
      </c>
      <c r="AO168" s="17">
        <f t="shared" si="118"/>
        <v>0</v>
      </c>
      <c r="AP168" s="17">
        <f t="shared" si="119"/>
        <v>9000</v>
      </c>
      <c r="AQ168" s="18">
        <v>802.63409353868019</v>
      </c>
      <c r="AR168" s="18">
        <v>959.8750095100678</v>
      </c>
      <c r="AS168" s="18">
        <v>849.49641763692875</v>
      </c>
      <c r="AT168" s="18">
        <v>643.46084881695435</v>
      </c>
      <c r="AU168" s="18">
        <v>933.17146294830866</v>
      </c>
      <c r="AV168" s="18">
        <v>764.73297857290174</v>
      </c>
      <c r="AW168" s="18">
        <v>761.34490989536437</v>
      </c>
      <c r="AX168" s="18">
        <v>517.02394916501964</v>
      </c>
      <c r="AY168" s="18">
        <v>766.38467111001728</v>
      </c>
      <c r="AZ168" s="18">
        <v>667.42253021731653</v>
      </c>
      <c r="BA168" s="18">
        <v>681.46370272896456</v>
      </c>
      <c r="BB168" s="18">
        <v>665.60003429108053</v>
      </c>
      <c r="BC168" s="23">
        <v>8.9181565948742242E-2</v>
      </c>
      <c r="BD168" s="23">
        <v>0.10665277883445198</v>
      </c>
      <c r="BE168" s="23">
        <v>9.438849084854764E-2</v>
      </c>
      <c r="BF168" s="23">
        <v>7.149564986855049E-2</v>
      </c>
      <c r="BG168" s="23">
        <v>0.10368571810536763</v>
      </c>
      <c r="BH168" s="23">
        <v>8.4970330952544637E-2</v>
      </c>
      <c r="BI168" s="23">
        <v>8.4593878877262704E-2</v>
      </c>
      <c r="BJ168" s="23">
        <v>5.7447105462779965E-2</v>
      </c>
      <c r="BK168" s="23">
        <v>8.5153852345557474E-2</v>
      </c>
      <c r="BL168" s="23">
        <v>7.4158058913035174E-2</v>
      </c>
      <c r="BM168" s="23">
        <v>7.5718189192107169E-2</v>
      </c>
      <c r="BN168" s="23">
        <v>7.3955559365675619E-2</v>
      </c>
    </row>
    <row r="169" spans="1:66" x14ac:dyDescent="0.25">
      <c r="A169" s="16">
        <v>2945</v>
      </c>
      <c r="B169" s="16" t="s">
        <v>365</v>
      </c>
      <c r="C169" s="17">
        <v>0</v>
      </c>
      <c r="D169" s="17">
        <f t="shared" si="83"/>
        <v>0</v>
      </c>
      <c r="E169" s="17">
        <f t="shared" si="84"/>
        <v>0</v>
      </c>
      <c r="F169" s="17">
        <f t="shared" si="85"/>
        <v>0</v>
      </c>
      <c r="G169" s="17">
        <f t="shared" si="86"/>
        <v>0</v>
      </c>
      <c r="H169" s="17">
        <f t="shared" si="87"/>
        <v>0</v>
      </c>
      <c r="I169" s="17">
        <f t="shared" si="88"/>
        <v>0</v>
      </c>
      <c r="J169" s="17">
        <f t="shared" si="89"/>
        <v>0</v>
      </c>
      <c r="K169" s="17">
        <f t="shared" si="90"/>
        <v>0</v>
      </c>
      <c r="L169" s="17">
        <f t="shared" si="91"/>
        <v>0</v>
      </c>
      <c r="M169" s="17">
        <f t="shared" si="92"/>
        <v>0</v>
      </c>
      <c r="N169" s="17">
        <f t="shared" si="93"/>
        <v>0</v>
      </c>
      <c r="O169" s="17">
        <f t="shared" si="94"/>
        <v>0</v>
      </c>
      <c r="P169" s="17">
        <v>0</v>
      </c>
      <c r="Q169" s="17">
        <f t="shared" si="95"/>
        <v>0</v>
      </c>
      <c r="R169" s="17">
        <f t="shared" si="96"/>
        <v>0</v>
      </c>
      <c r="S169" s="17">
        <f t="shared" si="97"/>
        <v>0</v>
      </c>
      <c r="T169" s="17">
        <f t="shared" si="98"/>
        <v>0</v>
      </c>
      <c r="U169" s="17">
        <f t="shared" si="99"/>
        <v>0</v>
      </c>
      <c r="V169" s="17">
        <f t="shared" si="100"/>
        <v>0</v>
      </c>
      <c r="W169" s="17">
        <f t="shared" si="101"/>
        <v>0</v>
      </c>
      <c r="X169" s="17">
        <f t="shared" si="102"/>
        <v>0</v>
      </c>
      <c r="Y169" s="17">
        <f t="shared" si="103"/>
        <v>0</v>
      </c>
      <c r="Z169" s="17">
        <f t="shared" si="104"/>
        <v>0</v>
      </c>
      <c r="AA169" s="17">
        <f t="shared" si="105"/>
        <v>0</v>
      </c>
      <c r="AB169" s="17">
        <f t="shared" si="106"/>
        <v>0</v>
      </c>
      <c r="AC169" s="17">
        <v>12000</v>
      </c>
      <c r="AD169" s="17">
        <f t="shared" si="107"/>
        <v>1070.1787913849068</v>
      </c>
      <c r="AE169" s="17">
        <f t="shared" si="108"/>
        <v>1279.8333460134238</v>
      </c>
      <c r="AF169" s="17">
        <f t="shared" si="109"/>
        <v>1132.6618901825716</v>
      </c>
      <c r="AG169" s="17">
        <f t="shared" si="110"/>
        <v>857.94779842260584</v>
      </c>
      <c r="AH169" s="17">
        <f t="shared" si="111"/>
        <v>1244.2286172644115</v>
      </c>
      <c r="AI169" s="17">
        <f t="shared" si="112"/>
        <v>1019.6439714305357</v>
      </c>
      <c r="AJ169" s="17">
        <f t="shared" si="113"/>
        <v>1015.1265465271524</v>
      </c>
      <c r="AK169" s="17">
        <f t="shared" si="114"/>
        <v>689.36526555335956</v>
      </c>
      <c r="AL169" s="17">
        <f t="shared" si="115"/>
        <v>1021.8462281466897</v>
      </c>
      <c r="AM169" s="17">
        <f t="shared" si="116"/>
        <v>889.89670695642212</v>
      </c>
      <c r="AN169" s="17">
        <f t="shared" si="117"/>
        <v>908.61827030528605</v>
      </c>
      <c r="AO169" s="17">
        <f t="shared" si="118"/>
        <v>887.46671238810745</v>
      </c>
      <c r="AP169" s="17">
        <f t="shared" si="119"/>
        <v>12000</v>
      </c>
      <c r="AQ169" s="18">
        <v>766.96146715918326</v>
      </c>
      <c r="AR169" s="18">
        <v>917.21389797628706</v>
      </c>
      <c r="AS169" s="18">
        <v>811.74102129750975</v>
      </c>
      <c r="AT169" s="18">
        <v>614.86258886953419</v>
      </c>
      <c r="AU169" s="18">
        <v>891.6971757061616</v>
      </c>
      <c r="AV169" s="18">
        <v>730.74484619188388</v>
      </c>
      <c r="AW169" s="18">
        <v>727.50735834445925</v>
      </c>
      <c r="AX169" s="18">
        <v>494.0451069799077</v>
      </c>
      <c r="AY169" s="18">
        <v>732.32313017179422</v>
      </c>
      <c r="AZ169" s="18">
        <v>637.75930665210251</v>
      </c>
      <c r="BA169" s="18">
        <v>651.17642705212165</v>
      </c>
      <c r="BB169" s="18">
        <v>636.01781054481035</v>
      </c>
      <c r="BC169" s="23">
        <v>8.9181565948742242E-2</v>
      </c>
      <c r="BD169" s="23">
        <v>0.10665277883445198</v>
      </c>
      <c r="BE169" s="23">
        <v>9.438849084854764E-2</v>
      </c>
      <c r="BF169" s="23">
        <v>7.149564986855049E-2</v>
      </c>
      <c r="BG169" s="23">
        <v>0.10368571810536763</v>
      </c>
      <c r="BH169" s="23">
        <v>8.4970330952544637E-2</v>
      </c>
      <c r="BI169" s="23">
        <v>8.4593878877262704E-2</v>
      </c>
      <c r="BJ169" s="23">
        <v>5.7447105462779965E-2</v>
      </c>
      <c r="BK169" s="23">
        <v>8.5153852345557474E-2</v>
      </c>
      <c r="BL169" s="23">
        <v>7.4158058913035174E-2</v>
      </c>
      <c r="BM169" s="23">
        <v>7.5718189192107169E-2</v>
      </c>
      <c r="BN169" s="23">
        <v>7.3955559365675619E-2</v>
      </c>
    </row>
    <row r="170" spans="1:66" x14ac:dyDescent="0.25">
      <c r="A170" s="16">
        <v>3502</v>
      </c>
      <c r="B170" s="16" t="s">
        <v>366</v>
      </c>
      <c r="C170" s="17">
        <v>0</v>
      </c>
      <c r="D170" s="17">
        <f t="shared" si="83"/>
        <v>0</v>
      </c>
      <c r="E170" s="17">
        <f t="shared" si="84"/>
        <v>0</v>
      </c>
      <c r="F170" s="17">
        <f t="shared" si="85"/>
        <v>0</v>
      </c>
      <c r="G170" s="17">
        <f t="shared" si="86"/>
        <v>0</v>
      </c>
      <c r="H170" s="17">
        <f t="shared" si="87"/>
        <v>0</v>
      </c>
      <c r="I170" s="17">
        <f t="shared" si="88"/>
        <v>0</v>
      </c>
      <c r="J170" s="17">
        <f t="shared" si="89"/>
        <v>0</v>
      </c>
      <c r="K170" s="17">
        <f t="shared" si="90"/>
        <v>0</v>
      </c>
      <c r="L170" s="17">
        <f t="shared" si="91"/>
        <v>0</v>
      </c>
      <c r="M170" s="17">
        <f t="shared" si="92"/>
        <v>0</v>
      </c>
      <c r="N170" s="17">
        <f t="shared" si="93"/>
        <v>0</v>
      </c>
      <c r="O170" s="17">
        <f t="shared" si="94"/>
        <v>0</v>
      </c>
      <c r="P170" s="17">
        <v>9000</v>
      </c>
      <c r="Q170" s="17">
        <f t="shared" si="95"/>
        <v>802.63409353868019</v>
      </c>
      <c r="R170" s="17">
        <f t="shared" si="96"/>
        <v>959.8750095100678</v>
      </c>
      <c r="S170" s="17">
        <f t="shared" si="97"/>
        <v>849.49641763692875</v>
      </c>
      <c r="T170" s="17">
        <f t="shared" si="98"/>
        <v>643.46084881695435</v>
      </c>
      <c r="U170" s="17">
        <f t="shared" si="99"/>
        <v>933.17146294830866</v>
      </c>
      <c r="V170" s="17">
        <f t="shared" si="100"/>
        <v>764.73297857290174</v>
      </c>
      <c r="W170" s="17">
        <f t="shared" si="101"/>
        <v>761.34490989536437</v>
      </c>
      <c r="X170" s="17">
        <f t="shared" si="102"/>
        <v>517.02394916501964</v>
      </c>
      <c r="Y170" s="17">
        <f t="shared" si="103"/>
        <v>766.38467111001728</v>
      </c>
      <c r="Z170" s="17">
        <f t="shared" si="104"/>
        <v>667.42253021731653</v>
      </c>
      <c r="AA170" s="17">
        <f t="shared" si="105"/>
        <v>681.46370272896456</v>
      </c>
      <c r="AB170" s="17">
        <f t="shared" si="106"/>
        <v>665.60003429108053</v>
      </c>
      <c r="AC170" s="17">
        <v>0</v>
      </c>
      <c r="AD170" s="17">
        <f t="shared" si="107"/>
        <v>0</v>
      </c>
      <c r="AE170" s="17">
        <f t="shared" si="108"/>
        <v>0</v>
      </c>
      <c r="AF170" s="17">
        <f t="shared" si="109"/>
        <v>0</v>
      </c>
      <c r="AG170" s="17">
        <f t="shared" si="110"/>
        <v>0</v>
      </c>
      <c r="AH170" s="17">
        <f t="shared" si="111"/>
        <v>0</v>
      </c>
      <c r="AI170" s="17">
        <f t="shared" si="112"/>
        <v>0</v>
      </c>
      <c r="AJ170" s="17">
        <f t="shared" si="113"/>
        <v>0</v>
      </c>
      <c r="AK170" s="17">
        <f t="shared" si="114"/>
        <v>0</v>
      </c>
      <c r="AL170" s="17">
        <f t="shared" si="115"/>
        <v>0</v>
      </c>
      <c r="AM170" s="17">
        <f t="shared" si="116"/>
        <v>0</v>
      </c>
      <c r="AN170" s="17">
        <f t="shared" si="117"/>
        <v>0</v>
      </c>
      <c r="AO170" s="17">
        <f t="shared" si="118"/>
        <v>0</v>
      </c>
      <c r="AP170" s="17">
        <f t="shared" si="119"/>
        <v>9000</v>
      </c>
      <c r="AQ170" s="18">
        <v>798.01894750083272</v>
      </c>
      <c r="AR170" s="18">
        <v>954.35572820538493</v>
      </c>
      <c r="AS170" s="18">
        <v>844.61181323551648</v>
      </c>
      <c r="AT170" s="18">
        <v>639.76094893625691</v>
      </c>
      <c r="AU170" s="18">
        <v>927.80572703635585</v>
      </c>
      <c r="AV170" s="18">
        <v>760.33576394610759</v>
      </c>
      <c r="AW170" s="18">
        <v>756.96717666346603</v>
      </c>
      <c r="AX170" s="18">
        <v>514.05106145732077</v>
      </c>
      <c r="AY170" s="18">
        <v>761.97795925113462</v>
      </c>
      <c r="AZ170" s="18">
        <v>663.58485066856701</v>
      </c>
      <c r="BA170" s="18">
        <v>677.54528643827302</v>
      </c>
      <c r="BB170" s="18">
        <v>661.77283409390691</v>
      </c>
      <c r="BC170" s="23">
        <v>8.9181565948742242E-2</v>
      </c>
      <c r="BD170" s="23">
        <v>0.10665277883445198</v>
      </c>
      <c r="BE170" s="23">
        <v>9.438849084854764E-2</v>
      </c>
      <c r="BF170" s="23">
        <v>7.149564986855049E-2</v>
      </c>
      <c r="BG170" s="23">
        <v>0.10368571810536763</v>
      </c>
      <c r="BH170" s="23">
        <v>8.4970330952544637E-2</v>
      </c>
      <c r="BI170" s="23">
        <v>8.4593878877262704E-2</v>
      </c>
      <c r="BJ170" s="23">
        <v>5.7447105462779965E-2</v>
      </c>
      <c r="BK170" s="23">
        <v>8.5153852345557474E-2</v>
      </c>
      <c r="BL170" s="23">
        <v>7.4158058913035174E-2</v>
      </c>
      <c r="BM170" s="23">
        <v>7.5718189192107169E-2</v>
      </c>
      <c r="BN170" s="23">
        <v>7.3955559365675619E-2</v>
      </c>
    </row>
    <row r="171" spans="1:66" x14ac:dyDescent="0.25">
      <c r="A171" s="16">
        <v>3767</v>
      </c>
      <c r="B171" s="16" t="s">
        <v>367</v>
      </c>
      <c r="C171" s="17">
        <v>8500</v>
      </c>
      <c r="D171" s="17">
        <f t="shared" si="83"/>
        <v>758.04331056430908</v>
      </c>
      <c r="E171" s="17">
        <f t="shared" si="84"/>
        <v>906.54862009284182</v>
      </c>
      <c r="F171" s="17">
        <f t="shared" si="85"/>
        <v>802.30217221265491</v>
      </c>
      <c r="G171" s="17">
        <f t="shared" si="86"/>
        <v>607.71302388267918</v>
      </c>
      <c r="H171" s="17">
        <f t="shared" si="87"/>
        <v>881.32860389562484</v>
      </c>
      <c r="I171" s="17">
        <f t="shared" si="88"/>
        <v>722.24781309662944</v>
      </c>
      <c r="J171" s="17">
        <f t="shared" si="89"/>
        <v>719.04797045673297</v>
      </c>
      <c r="K171" s="17">
        <f t="shared" si="90"/>
        <v>488.30039643362971</v>
      </c>
      <c r="L171" s="17">
        <f t="shared" si="91"/>
        <v>723.80774493723857</v>
      </c>
      <c r="M171" s="17">
        <f t="shared" si="92"/>
        <v>630.34350076079897</v>
      </c>
      <c r="N171" s="17">
        <f t="shared" si="93"/>
        <v>643.60460813291093</v>
      </c>
      <c r="O171" s="17">
        <f t="shared" si="94"/>
        <v>628.62225460824277</v>
      </c>
      <c r="P171" s="17">
        <v>0</v>
      </c>
      <c r="Q171" s="17">
        <f t="shared" si="95"/>
        <v>0</v>
      </c>
      <c r="R171" s="17">
        <f t="shared" si="96"/>
        <v>0</v>
      </c>
      <c r="S171" s="17">
        <f t="shared" si="97"/>
        <v>0</v>
      </c>
      <c r="T171" s="17">
        <f t="shared" si="98"/>
        <v>0</v>
      </c>
      <c r="U171" s="17">
        <f t="shared" si="99"/>
        <v>0</v>
      </c>
      <c r="V171" s="17">
        <f t="shared" si="100"/>
        <v>0</v>
      </c>
      <c r="W171" s="17">
        <f t="shared" si="101"/>
        <v>0</v>
      </c>
      <c r="X171" s="17">
        <f t="shared" si="102"/>
        <v>0</v>
      </c>
      <c r="Y171" s="17">
        <f t="shared" si="103"/>
        <v>0</v>
      </c>
      <c r="Z171" s="17">
        <f t="shared" si="104"/>
        <v>0</v>
      </c>
      <c r="AA171" s="17">
        <f t="shared" si="105"/>
        <v>0</v>
      </c>
      <c r="AB171" s="17">
        <f t="shared" si="106"/>
        <v>0</v>
      </c>
      <c r="AC171" s="17">
        <v>0</v>
      </c>
      <c r="AD171" s="17">
        <f t="shared" si="107"/>
        <v>0</v>
      </c>
      <c r="AE171" s="17">
        <f t="shared" si="108"/>
        <v>0</v>
      </c>
      <c r="AF171" s="17">
        <f t="shared" si="109"/>
        <v>0</v>
      </c>
      <c r="AG171" s="17">
        <f t="shared" si="110"/>
        <v>0</v>
      </c>
      <c r="AH171" s="17">
        <f t="shared" si="111"/>
        <v>0</v>
      </c>
      <c r="AI171" s="17">
        <f t="shared" si="112"/>
        <v>0</v>
      </c>
      <c r="AJ171" s="17">
        <f t="shared" si="113"/>
        <v>0</v>
      </c>
      <c r="AK171" s="17">
        <f t="shared" si="114"/>
        <v>0</v>
      </c>
      <c r="AL171" s="17">
        <f t="shared" si="115"/>
        <v>0</v>
      </c>
      <c r="AM171" s="17">
        <f t="shared" si="116"/>
        <v>0</v>
      </c>
      <c r="AN171" s="17">
        <f t="shared" si="117"/>
        <v>0</v>
      </c>
      <c r="AO171" s="17">
        <f t="shared" si="118"/>
        <v>0</v>
      </c>
      <c r="AP171" s="17">
        <f t="shared" si="119"/>
        <v>8500</v>
      </c>
      <c r="AQ171" s="18">
        <v>758.04331056430908</v>
      </c>
      <c r="AR171" s="18">
        <v>906.54862009284182</v>
      </c>
      <c r="AS171" s="18">
        <v>802.30217221265491</v>
      </c>
      <c r="AT171" s="18">
        <v>607.71302388267918</v>
      </c>
      <c r="AU171" s="18">
        <v>881.32860389562484</v>
      </c>
      <c r="AV171" s="18">
        <v>722.24781309662944</v>
      </c>
      <c r="AW171" s="18">
        <v>719.04797045673297</v>
      </c>
      <c r="AX171" s="18">
        <v>488.30039643362971</v>
      </c>
      <c r="AY171" s="18">
        <v>723.80774493723857</v>
      </c>
      <c r="AZ171" s="18">
        <v>630.34350076079897</v>
      </c>
      <c r="BA171" s="18">
        <v>643.60460813291093</v>
      </c>
      <c r="BB171" s="18">
        <v>628.62225460824277</v>
      </c>
      <c r="BC171" s="23">
        <v>8.9181565948742242E-2</v>
      </c>
      <c r="BD171" s="23">
        <v>0.10665277883445198</v>
      </c>
      <c r="BE171" s="23">
        <v>9.438849084854764E-2</v>
      </c>
      <c r="BF171" s="23">
        <v>7.149564986855049E-2</v>
      </c>
      <c r="BG171" s="23">
        <v>0.10368571810536763</v>
      </c>
      <c r="BH171" s="23">
        <v>8.4970330952544637E-2</v>
      </c>
      <c r="BI171" s="23">
        <v>8.4593878877262704E-2</v>
      </c>
      <c r="BJ171" s="23">
        <v>5.7447105462779965E-2</v>
      </c>
      <c r="BK171" s="23">
        <v>8.5153852345557474E-2</v>
      </c>
      <c r="BL171" s="23">
        <v>7.4158058913035174E-2</v>
      </c>
      <c r="BM171" s="23">
        <v>7.5718189192107169E-2</v>
      </c>
      <c r="BN171" s="23">
        <v>7.3955559365675619E-2</v>
      </c>
    </row>
    <row r="172" spans="1:66" x14ac:dyDescent="0.25">
      <c r="A172" s="16">
        <v>2556</v>
      </c>
      <c r="B172" s="16" t="s">
        <v>368</v>
      </c>
      <c r="C172" s="17">
        <v>300</v>
      </c>
      <c r="D172" s="17">
        <f t="shared" si="83"/>
        <v>26.754469784622671</v>
      </c>
      <c r="E172" s="17">
        <f t="shared" si="84"/>
        <v>31.995833650335594</v>
      </c>
      <c r="F172" s="17">
        <f t="shared" si="85"/>
        <v>28.316547254564291</v>
      </c>
      <c r="G172" s="17">
        <f t="shared" si="86"/>
        <v>21.448694960565145</v>
      </c>
      <c r="H172" s="17">
        <f t="shared" si="87"/>
        <v>31.105715431610289</v>
      </c>
      <c r="I172" s="17">
        <f t="shared" si="88"/>
        <v>25.49109928576339</v>
      </c>
      <c r="J172" s="17">
        <f t="shared" si="89"/>
        <v>25.37816366317881</v>
      </c>
      <c r="K172" s="17">
        <f t="shared" si="90"/>
        <v>17.23413163883399</v>
      </c>
      <c r="L172" s="17">
        <f t="shared" si="91"/>
        <v>25.546155703667242</v>
      </c>
      <c r="M172" s="17">
        <f t="shared" si="92"/>
        <v>22.247417673910551</v>
      </c>
      <c r="N172" s="17">
        <f t="shared" si="93"/>
        <v>22.71545675763215</v>
      </c>
      <c r="O172" s="17">
        <f t="shared" si="94"/>
        <v>22.186667809702687</v>
      </c>
      <c r="P172" s="17">
        <v>1000</v>
      </c>
      <c r="Q172" s="17">
        <f t="shared" si="95"/>
        <v>89.181565948742247</v>
      </c>
      <c r="R172" s="17">
        <f t="shared" si="96"/>
        <v>106.65277883445198</v>
      </c>
      <c r="S172" s="17">
        <f t="shared" si="97"/>
        <v>94.388490848547647</v>
      </c>
      <c r="T172" s="17">
        <f t="shared" si="98"/>
        <v>71.495649868550487</v>
      </c>
      <c r="U172" s="17">
        <f t="shared" si="99"/>
        <v>103.68571810536763</v>
      </c>
      <c r="V172" s="17">
        <f t="shared" si="100"/>
        <v>84.970330952544643</v>
      </c>
      <c r="W172" s="17">
        <f t="shared" si="101"/>
        <v>84.593878877262711</v>
      </c>
      <c r="X172" s="17">
        <f t="shared" si="102"/>
        <v>57.447105462779966</v>
      </c>
      <c r="Y172" s="17">
        <f t="shared" si="103"/>
        <v>85.153852345557468</v>
      </c>
      <c r="Z172" s="17">
        <f t="shared" si="104"/>
        <v>74.158058913035177</v>
      </c>
      <c r="AA172" s="17">
        <f t="shared" si="105"/>
        <v>75.718189192107175</v>
      </c>
      <c r="AB172" s="17">
        <f t="shared" si="106"/>
        <v>73.955559365675626</v>
      </c>
      <c r="AC172" s="17">
        <v>0</v>
      </c>
      <c r="AD172" s="17">
        <f t="shared" si="107"/>
        <v>0</v>
      </c>
      <c r="AE172" s="17">
        <f t="shared" si="108"/>
        <v>0</v>
      </c>
      <c r="AF172" s="17">
        <f t="shared" si="109"/>
        <v>0</v>
      </c>
      <c r="AG172" s="17">
        <f t="shared" si="110"/>
        <v>0</v>
      </c>
      <c r="AH172" s="17">
        <f t="shared" si="111"/>
        <v>0</v>
      </c>
      <c r="AI172" s="17">
        <f t="shared" si="112"/>
        <v>0</v>
      </c>
      <c r="AJ172" s="17">
        <f t="shared" si="113"/>
        <v>0</v>
      </c>
      <c r="AK172" s="17">
        <f t="shared" si="114"/>
        <v>0</v>
      </c>
      <c r="AL172" s="17">
        <f t="shared" si="115"/>
        <v>0</v>
      </c>
      <c r="AM172" s="17">
        <f t="shared" si="116"/>
        <v>0</v>
      </c>
      <c r="AN172" s="17">
        <f t="shared" si="117"/>
        <v>0</v>
      </c>
      <c r="AO172" s="17">
        <f t="shared" si="118"/>
        <v>0</v>
      </c>
      <c r="AP172" s="17">
        <f t="shared" si="119"/>
        <v>1300</v>
      </c>
      <c r="AQ172" s="18">
        <v>758.04331056430908</v>
      </c>
      <c r="AR172" s="18">
        <v>906.54862009284182</v>
      </c>
      <c r="AS172" s="18">
        <v>802.30217221265491</v>
      </c>
      <c r="AT172" s="18">
        <v>607.71302388267918</v>
      </c>
      <c r="AU172" s="18">
        <v>881.32860389562484</v>
      </c>
      <c r="AV172" s="18">
        <v>722.24781309662944</v>
      </c>
      <c r="AW172" s="18">
        <v>719.04797045673297</v>
      </c>
      <c r="AX172" s="18">
        <v>488.30039643362971</v>
      </c>
      <c r="AY172" s="18">
        <v>723.80774493723857</v>
      </c>
      <c r="AZ172" s="18">
        <v>630.34350076079897</v>
      </c>
      <c r="BA172" s="18">
        <v>643.60460813291093</v>
      </c>
      <c r="BB172" s="18">
        <v>628.62225460824277</v>
      </c>
      <c r="BC172" s="23">
        <v>8.9181565948742242E-2</v>
      </c>
      <c r="BD172" s="23">
        <v>0.10665277883445198</v>
      </c>
      <c r="BE172" s="23">
        <v>9.438849084854764E-2</v>
      </c>
      <c r="BF172" s="23">
        <v>7.149564986855049E-2</v>
      </c>
      <c r="BG172" s="23">
        <v>0.10368571810536763</v>
      </c>
      <c r="BH172" s="23">
        <v>8.4970330952544637E-2</v>
      </c>
      <c r="BI172" s="23">
        <v>8.4593878877262704E-2</v>
      </c>
      <c r="BJ172" s="23">
        <v>5.7447105462779965E-2</v>
      </c>
      <c r="BK172" s="23">
        <v>8.5153852345557474E-2</v>
      </c>
      <c r="BL172" s="23">
        <v>7.4158058913035174E-2</v>
      </c>
      <c r="BM172" s="23">
        <v>7.5718189192107169E-2</v>
      </c>
      <c r="BN172" s="23">
        <v>7.3955559365675619E-2</v>
      </c>
    </row>
    <row r="173" spans="1:66" x14ac:dyDescent="0.25">
      <c r="A173" s="16">
        <v>1763</v>
      </c>
      <c r="B173" s="16" t="s">
        <v>369</v>
      </c>
      <c r="C173" s="17">
        <v>50000</v>
      </c>
      <c r="D173" s="17">
        <f t="shared" si="83"/>
        <v>4459.0782974371123</v>
      </c>
      <c r="E173" s="17">
        <f t="shared" si="84"/>
        <v>5332.6389417225992</v>
      </c>
      <c r="F173" s="17">
        <f t="shared" si="85"/>
        <v>4719.4245424273822</v>
      </c>
      <c r="G173" s="17">
        <f t="shared" si="86"/>
        <v>3574.7824934275245</v>
      </c>
      <c r="H173" s="17">
        <f t="shared" si="87"/>
        <v>5184.2859052683816</v>
      </c>
      <c r="I173" s="17">
        <f t="shared" si="88"/>
        <v>4248.5165476272323</v>
      </c>
      <c r="J173" s="17">
        <f t="shared" si="89"/>
        <v>4229.6939438631352</v>
      </c>
      <c r="K173" s="17">
        <f t="shared" si="90"/>
        <v>2872.3552731389982</v>
      </c>
      <c r="L173" s="17">
        <f t="shared" si="91"/>
        <v>4257.692617277874</v>
      </c>
      <c r="M173" s="17">
        <f t="shared" si="92"/>
        <v>3707.9029456517587</v>
      </c>
      <c r="N173" s="17">
        <f t="shared" si="93"/>
        <v>3785.9094596053583</v>
      </c>
      <c r="O173" s="17">
        <f t="shared" si="94"/>
        <v>3697.7779682837809</v>
      </c>
      <c r="P173" s="17">
        <v>3000</v>
      </c>
      <c r="Q173" s="17">
        <f t="shared" si="95"/>
        <v>267.54469784622671</v>
      </c>
      <c r="R173" s="17">
        <f t="shared" si="96"/>
        <v>319.95833650335595</v>
      </c>
      <c r="S173" s="17">
        <f t="shared" si="97"/>
        <v>283.1654725456429</v>
      </c>
      <c r="T173" s="17">
        <f t="shared" si="98"/>
        <v>214.48694960565146</v>
      </c>
      <c r="U173" s="17">
        <f t="shared" si="99"/>
        <v>311.05715431610287</v>
      </c>
      <c r="V173" s="17">
        <f t="shared" si="100"/>
        <v>254.91099285763391</v>
      </c>
      <c r="W173" s="17">
        <f t="shared" si="101"/>
        <v>253.7816366317881</v>
      </c>
      <c r="X173" s="17">
        <f t="shared" si="102"/>
        <v>172.34131638833989</v>
      </c>
      <c r="Y173" s="17">
        <f t="shared" si="103"/>
        <v>255.46155703667242</v>
      </c>
      <c r="Z173" s="17">
        <f t="shared" si="104"/>
        <v>222.47417673910553</v>
      </c>
      <c r="AA173" s="17">
        <f t="shared" si="105"/>
        <v>227.15456757632151</v>
      </c>
      <c r="AB173" s="17">
        <f t="shared" si="106"/>
        <v>221.86667809702686</v>
      </c>
      <c r="AC173" s="17">
        <v>0</v>
      </c>
      <c r="AD173" s="17">
        <f t="shared" si="107"/>
        <v>0</v>
      </c>
      <c r="AE173" s="17">
        <f t="shared" si="108"/>
        <v>0</v>
      </c>
      <c r="AF173" s="17">
        <f t="shared" si="109"/>
        <v>0</v>
      </c>
      <c r="AG173" s="17">
        <f t="shared" si="110"/>
        <v>0</v>
      </c>
      <c r="AH173" s="17">
        <f t="shared" si="111"/>
        <v>0</v>
      </c>
      <c r="AI173" s="17">
        <f t="shared" si="112"/>
        <v>0</v>
      </c>
      <c r="AJ173" s="17">
        <f t="shared" si="113"/>
        <v>0</v>
      </c>
      <c r="AK173" s="17">
        <f t="shared" si="114"/>
        <v>0</v>
      </c>
      <c r="AL173" s="17">
        <f t="shared" si="115"/>
        <v>0</v>
      </c>
      <c r="AM173" s="17">
        <f t="shared" si="116"/>
        <v>0</v>
      </c>
      <c r="AN173" s="17">
        <f t="shared" si="117"/>
        <v>0</v>
      </c>
      <c r="AO173" s="17">
        <f t="shared" si="118"/>
        <v>0</v>
      </c>
      <c r="AP173" s="17">
        <f t="shared" si="119"/>
        <v>53000</v>
      </c>
      <c r="AQ173" s="18">
        <v>750.70081387661719</v>
      </c>
      <c r="AR173" s="18">
        <v>897.76768350584371</v>
      </c>
      <c r="AS173" s="18">
        <v>794.53097898411227</v>
      </c>
      <c r="AT173" s="18">
        <v>601.82664403770161</v>
      </c>
      <c r="AU173" s="18">
        <v>872.79195135257362</v>
      </c>
      <c r="AV173" s="18">
        <v>715.25203580864445</v>
      </c>
      <c r="AW173" s="18">
        <v>712.08318722101012</v>
      </c>
      <c r="AX173" s="18">
        <v>483.57066134666809</v>
      </c>
      <c r="AY173" s="18">
        <v>716.796857965924</v>
      </c>
      <c r="AZ173" s="18">
        <v>624.23791945437097</v>
      </c>
      <c r="BA173" s="18">
        <v>637.37057818034634</v>
      </c>
      <c r="BB173" s="18">
        <v>622.53334549454792</v>
      </c>
      <c r="BC173" s="23">
        <v>8.9181565948742242E-2</v>
      </c>
      <c r="BD173" s="23">
        <v>0.10665277883445198</v>
      </c>
      <c r="BE173" s="23">
        <v>9.438849084854764E-2</v>
      </c>
      <c r="BF173" s="23">
        <v>7.149564986855049E-2</v>
      </c>
      <c r="BG173" s="23">
        <v>0.10368571810536763</v>
      </c>
      <c r="BH173" s="23">
        <v>8.4970330952544637E-2</v>
      </c>
      <c r="BI173" s="23">
        <v>8.4593878877262704E-2</v>
      </c>
      <c r="BJ173" s="23">
        <v>5.7447105462779965E-2</v>
      </c>
      <c r="BK173" s="23">
        <v>8.5153852345557474E-2</v>
      </c>
      <c r="BL173" s="23">
        <v>7.4158058913035174E-2</v>
      </c>
      <c r="BM173" s="23">
        <v>7.5718189192107169E-2</v>
      </c>
      <c r="BN173" s="23">
        <v>7.3955559365675619E-2</v>
      </c>
    </row>
    <row r="174" spans="1:66" x14ac:dyDescent="0.25">
      <c r="A174" s="16">
        <v>2370</v>
      </c>
      <c r="B174" s="16" t="s">
        <v>370</v>
      </c>
      <c r="C174" s="17">
        <v>15000</v>
      </c>
      <c r="D174" s="17">
        <f t="shared" si="83"/>
        <v>1337.7234892311337</v>
      </c>
      <c r="E174" s="17">
        <f t="shared" si="84"/>
        <v>1599.7916825167797</v>
      </c>
      <c r="F174" s="17">
        <f t="shared" si="85"/>
        <v>1415.8273627282147</v>
      </c>
      <c r="G174" s="17">
        <f t="shared" si="86"/>
        <v>1072.4347480282574</v>
      </c>
      <c r="H174" s="17">
        <f t="shared" si="87"/>
        <v>1555.2857715805144</v>
      </c>
      <c r="I174" s="17">
        <f t="shared" si="88"/>
        <v>1274.5549642881695</v>
      </c>
      <c r="J174" s="17">
        <f t="shared" si="89"/>
        <v>1268.9081831589406</v>
      </c>
      <c r="K174" s="17">
        <f t="shared" si="90"/>
        <v>861.70658194169948</v>
      </c>
      <c r="L174" s="17">
        <f t="shared" si="91"/>
        <v>1277.3077851833621</v>
      </c>
      <c r="M174" s="17">
        <f t="shared" si="92"/>
        <v>1112.3708836955277</v>
      </c>
      <c r="N174" s="17">
        <f t="shared" si="93"/>
        <v>1135.7728378816075</v>
      </c>
      <c r="O174" s="17">
        <f t="shared" si="94"/>
        <v>1109.3333904851343</v>
      </c>
      <c r="P174" s="17">
        <v>1500</v>
      </c>
      <c r="Q174" s="17">
        <f t="shared" si="95"/>
        <v>133.77234892311336</v>
      </c>
      <c r="R174" s="17">
        <f t="shared" si="96"/>
        <v>159.97916825167798</v>
      </c>
      <c r="S174" s="17">
        <f t="shared" si="97"/>
        <v>141.58273627282145</v>
      </c>
      <c r="T174" s="17">
        <f t="shared" si="98"/>
        <v>107.24347480282573</v>
      </c>
      <c r="U174" s="17">
        <f t="shared" si="99"/>
        <v>155.52857715805143</v>
      </c>
      <c r="V174" s="17">
        <f t="shared" si="100"/>
        <v>127.45549642881696</v>
      </c>
      <c r="W174" s="17">
        <f t="shared" si="101"/>
        <v>126.89081831589405</v>
      </c>
      <c r="X174" s="17">
        <f t="shared" si="102"/>
        <v>86.170658194169945</v>
      </c>
      <c r="Y174" s="17">
        <f t="shared" si="103"/>
        <v>127.73077851833621</v>
      </c>
      <c r="Z174" s="17">
        <f t="shared" si="104"/>
        <v>111.23708836955277</v>
      </c>
      <c r="AA174" s="17">
        <f t="shared" si="105"/>
        <v>113.57728378816076</v>
      </c>
      <c r="AB174" s="17">
        <f t="shared" si="106"/>
        <v>110.93333904851343</v>
      </c>
      <c r="AC174" s="17">
        <v>0</v>
      </c>
      <c r="AD174" s="17">
        <f t="shared" si="107"/>
        <v>0</v>
      </c>
      <c r="AE174" s="17">
        <f t="shared" si="108"/>
        <v>0</v>
      </c>
      <c r="AF174" s="17">
        <f t="shared" si="109"/>
        <v>0</v>
      </c>
      <c r="AG174" s="17">
        <f t="shared" si="110"/>
        <v>0</v>
      </c>
      <c r="AH174" s="17">
        <f t="shared" si="111"/>
        <v>0</v>
      </c>
      <c r="AI174" s="17">
        <f t="shared" si="112"/>
        <v>0</v>
      </c>
      <c r="AJ174" s="17">
        <f t="shared" si="113"/>
        <v>0</v>
      </c>
      <c r="AK174" s="17">
        <f t="shared" si="114"/>
        <v>0</v>
      </c>
      <c r="AL174" s="17">
        <f t="shared" si="115"/>
        <v>0</v>
      </c>
      <c r="AM174" s="17">
        <f t="shared" si="116"/>
        <v>0</v>
      </c>
      <c r="AN174" s="17">
        <f t="shared" si="117"/>
        <v>0</v>
      </c>
      <c r="AO174" s="17">
        <f t="shared" si="118"/>
        <v>0</v>
      </c>
      <c r="AP174" s="17">
        <f t="shared" si="119"/>
        <v>16500</v>
      </c>
      <c r="AQ174" s="18">
        <v>713.45252758993797</v>
      </c>
      <c r="AR174" s="18">
        <v>853.22223067561583</v>
      </c>
      <c r="AS174" s="18">
        <v>755.10792678838118</v>
      </c>
      <c r="AT174" s="18">
        <v>571.96519894840389</v>
      </c>
      <c r="AU174" s="18">
        <v>829.48574484294102</v>
      </c>
      <c r="AV174" s="18">
        <v>679.76264762035714</v>
      </c>
      <c r="AW174" s="18">
        <v>676.75103101810168</v>
      </c>
      <c r="AX174" s="18">
        <v>459.57684370223973</v>
      </c>
      <c r="AY174" s="18">
        <v>681.23081876445974</v>
      </c>
      <c r="AZ174" s="18">
        <v>593.26447130428141</v>
      </c>
      <c r="BA174" s="18">
        <v>605.7455135368574</v>
      </c>
      <c r="BB174" s="18">
        <v>591.64447492540501</v>
      </c>
      <c r="BC174" s="23">
        <v>8.9181565948742242E-2</v>
      </c>
      <c r="BD174" s="23">
        <v>0.10665277883445198</v>
      </c>
      <c r="BE174" s="23">
        <v>9.438849084854764E-2</v>
      </c>
      <c r="BF174" s="23">
        <v>7.149564986855049E-2</v>
      </c>
      <c r="BG174" s="23">
        <v>0.10368571810536763</v>
      </c>
      <c r="BH174" s="23">
        <v>8.4970330952544637E-2</v>
      </c>
      <c r="BI174" s="23">
        <v>8.4593878877262704E-2</v>
      </c>
      <c r="BJ174" s="23">
        <v>5.7447105462779965E-2</v>
      </c>
      <c r="BK174" s="23">
        <v>8.5153852345557474E-2</v>
      </c>
      <c r="BL174" s="23">
        <v>7.4158058913035174E-2</v>
      </c>
      <c r="BM174" s="23">
        <v>7.5718189192107169E-2</v>
      </c>
      <c r="BN174" s="23">
        <v>7.3955559365675619E-2</v>
      </c>
    </row>
    <row r="175" spans="1:66" x14ac:dyDescent="0.25">
      <c r="A175" s="16">
        <v>2802</v>
      </c>
      <c r="B175" s="16" t="s">
        <v>371</v>
      </c>
      <c r="C175" s="17">
        <v>0</v>
      </c>
      <c r="D175" s="17">
        <f t="shared" si="83"/>
        <v>0</v>
      </c>
      <c r="E175" s="17">
        <f t="shared" si="84"/>
        <v>0</v>
      </c>
      <c r="F175" s="17">
        <f t="shared" si="85"/>
        <v>0</v>
      </c>
      <c r="G175" s="17">
        <f t="shared" si="86"/>
        <v>0</v>
      </c>
      <c r="H175" s="17">
        <f t="shared" si="87"/>
        <v>0</v>
      </c>
      <c r="I175" s="17">
        <f t="shared" si="88"/>
        <v>0</v>
      </c>
      <c r="J175" s="17">
        <f t="shared" si="89"/>
        <v>0</v>
      </c>
      <c r="K175" s="17">
        <f t="shared" si="90"/>
        <v>0</v>
      </c>
      <c r="L175" s="17">
        <f t="shared" si="91"/>
        <v>0</v>
      </c>
      <c r="M175" s="17">
        <f t="shared" si="92"/>
        <v>0</v>
      </c>
      <c r="N175" s="17">
        <f t="shared" si="93"/>
        <v>0</v>
      </c>
      <c r="O175" s="17">
        <f t="shared" si="94"/>
        <v>0</v>
      </c>
      <c r="P175" s="17">
        <v>8000</v>
      </c>
      <c r="Q175" s="17">
        <f t="shared" si="95"/>
        <v>713.45252758993797</v>
      </c>
      <c r="R175" s="17">
        <f t="shared" si="96"/>
        <v>853.22223067561583</v>
      </c>
      <c r="S175" s="17">
        <f t="shared" si="97"/>
        <v>755.10792678838118</v>
      </c>
      <c r="T175" s="17">
        <f t="shared" si="98"/>
        <v>571.96519894840389</v>
      </c>
      <c r="U175" s="17">
        <f t="shared" si="99"/>
        <v>829.48574484294102</v>
      </c>
      <c r="V175" s="17">
        <f t="shared" si="100"/>
        <v>679.76264762035714</v>
      </c>
      <c r="W175" s="17">
        <f t="shared" si="101"/>
        <v>676.75103101810168</v>
      </c>
      <c r="X175" s="17">
        <f t="shared" si="102"/>
        <v>459.57684370223973</v>
      </c>
      <c r="Y175" s="17">
        <f t="shared" si="103"/>
        <v>681.23081876445974</v>
      </c>
      <c r="Z175" s="17">
        <f t="shared" si="104"/>
        <v>593.26447130428141</v>
      </c>
      <c r="AA175" s="17">
        <f t="shared" si="105"/>
        <v>605.7455135368574</v>
      </c>
      <c r="AB175" s="17">
        <f t="shared" si="106"/>
        <v>591.64447492540501</v>
      </c>
      <c r="AC175" s="17">
        <v>0</v>
      </c>
      <c r="AD175" s="17">
        <f t="shared" si="107"/>
        <v>0</v>
      </c>
      <c r="AE175" s="17">
        <f t="shared" si="108"/>
        <v>0</v>
      </c>
      <c r="AF175" s="17">
        <f t="shared" si="109"/>
        <v>0</v>
      </c>
      <c r="AG175" s="17">
        <f t="shared" si="110"/>
        <v>0</v>
      </c>
      <c r="AH175" s="17">
        <f t="shared" si="111"/>
        <v>0</v>
      </c>
      <c r="AI175" s="17">
        <f t="shared" si="112"/>
        <v>0</v>
      </c>
      <c r="AJ175" s="17">
        <f t="shared" si="113"/>
        <v>0</v>
      </c>
      <c r="AK175" s="17">
        <f t="shared" si="114"/>
        <v>0</v>
      </c>
      <c r="AL175" s="17">
        <f t="shared" si="115"/>
        <v>0</v>
      </c>
      <c r="AM175" s="17">
        <f t="shared" si="116"/>
        <v>0</v>
      </c>
      <c r="AN175" s="17">
        <f t="shared" si="117"/>
        <v>0</v>
      </c>
      <c r="AO175" s="17">
        <f t="shared" si="118"/>
        <v>0</v>
      </c>
      <c r="AP175" s="17">
        <f t="shared" si="119"/>
        <v>8000</v>
      </c>
      <c r="AQ175" s="18">
        <v>853.91661531401519</v>
      </c>
      <c r="AR175" s="18">
        <v>1021.2040901871369</v>
      </c>
      <c r="AS175" s="18">
        <v>903.77310347202331</v>
      </c>
      <c r="AT175" s="18">
        <v>684.5733498391163</v>
      </c>
      <c r="AU175" s="18">
        <v>992.79437985902871</v>
      </c>
      <c r="AV175" s="18">
        <v>813.59389283219821</v>
      </c>
      <c r="AW175" s="18">
        <v>809.98935103555107</v>
      </c>
      <c r="AX175" s="18">
        <v>550.0580454548093</v>
      </c>
      <c r="AY175" s="18">
        <v>815.35111659354493</v>
      </c>
      <c r="AZ175" s="18">
        <v>710.06600962437369</v>
      </c>
      <c r="BA175" s="18">
        <v>725.00431165104783</v>
      </c>
      <c r="BB175" s="18">
        <v>708.12706937092184</v>
      </c>
      <c r="BC175" s="23">
        <v>8.9181565948742242E-2</v>
      </c>
      <c r="BD175" s="23">
        <v>0.10665277883445198</v>
      </c>
      <c r="BE175" s="23">
        <v>9.438849084854764E-2</v>
      </c>
      <c r="BF175" s="23">
        <v>7.149564986855049E-2</v>
      </c>
      <c r="BG175" s="23">
        <v>0.10368571810536763</v>
      </c>
      <c r="BH175" s="23">
        <v>8.4970330952544637E-2</v>
      </c>
      <c r="BI175" s="23">
        <v>8.4593878877262704E-2</v>
      </c>
      <c r="BJ175" s="23">
        <v>5.7447105462779965E-2</v>
      </c>
      <c r="BK175" s="23">
        <v>8.5153852345557474E-2</v>
      </c>
      <c r="BL175" s="23">
        <v>7.4158058913035174E-2</v>
      </c>
      <c r="BM175" s="23">
        <v>7.5718189192107169E-2</v>
      </c>
      <c r="BN175" s="23">
        <v>7.3955559365675619E-2</v>
      </c>
    </row>
    <row r="176" spans="1:66" x14ac:dyDescent="0.25">
      <c r="A176" s="16">
        <v>3529</v>
      </c>
      <c r="B176" s="16" t="s">
        <v>372</v>
      </c>
      <c r="C176" s="17">
        <v>0</v>
      </c>
      <c r="D176" s="17">
        <f t="shared" si="83"/>
        <v>0</v>
      </c>
      <c r="E176" s="17">
        <f t="shared" si="84"/>
        <v>0</v>
      </c>
      <c r="F176" s="17">
        <f t="shared" si="85"/>
        <v>0</v>
      </c>
      <c r="G176" s="17">
        <f t="shared" si="86"/>
        <v>0</v>
      </c>
      <c r="H176" s="17">
        <f t="shared" si="87"/>
        <v>0</v>
      </c>
      <c r="I176" s="17">
        <f t="shared" si="88"/>
        <v>0</v>
      </c>
      <c r="J176" s="17">
        <f t="shared" si="89"/>
        <v>0</v>
      </c>
      <c r="K176" s="17">
        <f t="shared" si="90"/>
        <v>0</v>
      </c>
      <c r="L176" s="17">
        <f t="shared" si="91"/>
        <v>0</v>
      </c>
      <c r="M176" s="17">
        <f t="shared" si="92"/>
        <v>0</v>
      </c>
      <c r="N176" s="17">
        <f t="shared" si="93"/>
        <v>0</v>
      </c>
      <c r="O176" s="17">
        <f t="shared" si="94"/>
        <v>0</v>
      </c>
      <c r="P176" s="17">
        <v>5000</v>
      </c>
      <c r="Q176" s="17">
        <f t="shared" si="95"/>
        <v>445.9078297437112</v>
      </c>
      <c r="R176" s="17">
        <f t="shared" si="96"/>
        <v>533.26389417225994</v>
      </c>
      <c r="S176" s="17">
        <f t="shared" si="97"/>
        <v>471.94245424273822</v>
      </c>
      <c r="T176" s="17">
        <f t="shared" si="98"/>
        <v>357.47824934275246</v>
      </c>
      <c r="U176" s="17">
        <f t="shared" si="99"/>
        <v>518.42859052683809</v>
      </c>
      <c r="V176" s="17">
        <f t="shared" si="100"/>
        <v>424.85165476272317</v>
      </c>
      <c r="W176" s="17">
        <f t="shared" si="101"/>
        <v>422.96939438631352</v>
      </c>
      <c r="X176" s="17">
        <f t="shared" si="102"/>
        <v>287.23552731389981</v>
      </c>
      <c r="Y176" s="17">
        <f t="shared" si="103"/>
        <v>425.76926172778735</v>
      </c>
      <c r="Z176" s="17">
        <f t="shared" si="104"/>
        <v>370.79029456517588</v>
      </c>
      <c r="AA176" s="17">
        <f t="shared" si="105"/>
        <v>378.59094596053586</v>
      </c>
      <c r="AB176" s="17">
        <f t="shared" si="106"/>
        <v>369.77779682837809</v>
      </c>
      <c r="AC176" s="17">
        <v>0</v>
      </c>
      <c r="AD176" s="17">
        <f t="shared" si="107"/>
        <v>0</v>
      </c>
      <c r="AE176" s="17">
        <f t="shared" si="108"/>
        <v>0</v>
      </c>
      <c r="AF176" s="17">
        <f t="shared" si="109"/>
        <v>0</v>
      </c>
      <c r="AG176" s="17">
        <f t="shared" si="110"/>
        <v>0</v>
      </c>
      <c r="AH176" s="17">
        <f t="shared" si="111"/>
        <v>0</v>
      </c>
      <c r="AI176" s="17">
        <f t="shared" si="112"/>
        <v>0</v>
      </c>
      <c r="AJ176" s="17">
        <f t="shared" si="113"/>
        <v>0</v>
      </c>
      <c r="AK176" s="17">
        <f t="shared" si="114"/>
        <v>0</v>
      </c>
      <c r="AL176" s="17">
        <f t="shared" si="115"/>
        <v>0</v>
      </c>
      <c r="AM176" s="17">
        <f t="shared" si="116"/>
        <v>0</v>
      </c>
      <c r="AN176" s="17">
        <f t="shared" si="117"/>
        <v>0</v>
      </c>
      <c r="AO176" s="17">
        <f t="shared" si="118"/>
        <v>0</v>
      </c>
      <c r="AP176" s="17">
        <f t="shared" si="119"/>
        <v>5000</v>
      </c>
      <c r="AQ176" s="18">
        <v>713.45252758993797</v>
      </c>
      <c r="AR176" s="18">
        <v>853.22223067561583</v>
      </c>
      <c r="AS176" s="18">
        <v>755.10792678838118</v>
      </c>
      <c r="AT176" s="18">
        <v>571.96519894840389</v>
      </c>
      <c r="AU176" s="18">
        <v>829.48574484294102</v>
      </c>
      <c r="AV176" s="18">
        <v>679.76264762035714</v>
      </c>
      <c r="AW176" s="18">
        <v>676.75103101810168</v>
      </c>
      <c r="AX176" s="18">
        <v>459.57684370223973</v>
      </c>
      <c r="AY176" s="18">
        <v>681.23081876445974</v>
      </c>
      <c r="AZ176" s="18">
        <v>593.26447130428141</v>
      </c>
      <c r="BA176" s="18">
        <v>605.7455135368574</v>
      </c>
      <c r="BB176" s="18">
        <v>591.64447492540501</v>
      </c>
      <c r="BC176" s="23">
        <v>8.9181565948742242E-2</v>
      </c>
      <c r="BD176" s="23">
        <v>0.10665277883445198</v>
      </c>
      <c r="BE176" s="23">
        <v>9.438849084854764E-2</v>
      </c>
      <c r="BF176" s="23">
        <v>7.149564986855049E-2</v>
      </c>
      <c r="BG176" s="23">
        <v>0.10368571810536763</v>
      </c>
      <c r="BH176" s="23">
        <v>8.4970330952544637E-2</v>
      </c>
      <c r="BI176" s="23">
        <v>8.4593878877262704E-2</v>
      </c>
      <c r="BJ176" s="23">
        <v>5.7447105462779965E-2</v>
      </c>
      <c r="BK176" s="23">
        <v>8.5153852345557474E-2</v>
      </c>
      <c r="BL176" s="23">
        <v>7.4158058913035174E-2</v>
      </c>
      <c r="BM176" s="23">
        <v>7.5718189192107169E-2</v>
      </c>
      <c r="BN176" s="23">
        <v>7.3955559365675619E-2</v>
      </c>
    </row>
    <row r="177" spans="1:66" x14ac:dyDescent="0.25">
      <c r="A177" s="16">
        <v>3600</v>
      </c>
      <c r="B177" s="16" t="s">
        <v>373</v>
      </c>
      <c r="C177" s="17">
        <v>0</v>
      </c>
      <c r="D177" s="17">
        <f t="shared" si="83"/>
        <v>0</v>
      </c>
      <c r="E177" s="17">
        <f t="shared" si="84"/>
        <v>0</v>
      </c>
      <c r="F177" s="17">
        <f t="shared" si="85"/>
        <v>0</v>
      </c>
      <c r="G177" s="17">
        <f t="shared" si="86"/>
        <v>0</v>
      </c>
      <c r="H177" s="17">
        <f t="shared" si="87"/>
        <v>0</v>
      </c>
      <c r="I177" s="17">
        <f t="shared" si="88"/>
        <v>0</v>
      </c>
      <c r="J177" s="17">
        <f t="shared" si="89"/>
        <v>0</v>
      </c>
      <c r="K177" s="17">
        <f t="shared" si="90"/>
        <v>0</v>
      </c>
      <c r="L177" s="17">
        <f t="shared" si="91"/>
        <v>0</v>
      </c>
      <c r="M177" s="17">
        <f t="shared" si="92"/>
        <v>0</v>
      </c>
      <c r="N177" s="17">
        <f t="shared" si="93"/>
        <v>0</v>
      </c>
      <c r="O177" s="17">
        <f t="shared" si="94"/>
        <v>0</v>
      </c>
      <c r="P177" s="17">
        <v>1500</v>
      </c>
      <c r="Q177" s="17">
        <f t="shared" si="95"/>
        <v>133.77234892311336</v>
      </c>
      <c r="R177" s="17">
        <f t="shared" si="96"/>
        <v>159.97916825167798</v>
      </c>
      <c r="S177" s="17">
        <f t="shared" si="97"/>
        <v>141.58273627282145</v>
      </c>
      <c r="T177" s="17">
        <f t="shared" si="98"/>
        <v>107.24347480282573</v>
      </c>
      <c r="U177" s="17">
        <f t="shared" si="99"/>
        <v>155.52857715805143</v>
      </c>
      <c r="V177" s="17">
        <f t="shared" si="100"/>
        <v>127.45549642881696</v>
      </c>
      <c r="W177" s="17">
        <f t="shared" si="101"/>
        <v>126.89081831589405</v>
      </c>
      <c r="X177" s="17">
        <f t="shared" si="102"/>
        <v>86.170658194169945</v>
      </c>
      <c r="Y177" s="17">
        <f t="shared" si="103"/>
        <v>127.73077851833621</v>
      </c>
      <c r="Z177" s="17">
        <f t="shared" si="104"/>
        <v>111.23708836955277</v>
      </c>
      <c r="AA177" s="17">
        <f t="shared" si="105"/>
        <v>113.57728378816076</v>
      </c>
      <c r="AB177" s="17">
        <f t="shared" si="106"/>
        <v>110.93333904851343</v>
      </c>
      <c r="AC177" s="17">
        <v>0</v>
      </c>
      <c r="AD177" s="17">
        <f t="shared" si="107"/>
        <v>0</v>
      </c>
      <c r="AE177" s="17">
        <f t="shared" si="108"/>
        <v>0</v>
      </c>
      <c r="AF177" s="17">
        <f t="shared" si="109"/>
        <v>0</v>
      </c>
      <c r="AG177" s="17">
        <f t="shared" si="110"/>
        <v>0</v>
      </c>
      <c r="AH177" s="17">
        <f t="shared" si="111"/>
        <v>0</v>
      </c>
      <c r="AI177" s="17">
        <f t="shared" si="112"/>
        <v>0</v>
      </c>
      <c r="AJ177" s="17">
        <f t="shared" si="113"/>
        <v>0</v>
      </c>
      <c r="AK177" s="17">
        <f t="shared" si="114"/>
        <v>0</v>
      </c>
      <c r="AL177" s="17">
        <f t="shared" si="115"/>
        <v>0</v>
      </c>
      <c r="AM177" s="17">
        <f t="shared" si="116"/>
        <v>0</v>
      </c>
      <c r="AN177" s="17">
        <f t="shared" si="117"/>
        <v>0</v>
      </c>
      <c r="AO177" s="17">
        <f t="shared" si="118"/>
        <v>0</v>
      </c>
      <c r="AP177" s="17">
        <f t="shared" si="119"/>
        <v>1500</v>
      </c>
      <c r="AQ177" s="18">
        <v>713.45252758993797</v>
      </c>
      <c r="AR177" s="18">
        <v>853.22223067561583</v>
      </c>
      <c r="AS177" s="18">
        <v>755.10792678838118</v>
      </c>
      <c r="AT177" s="18">
        <v>571.96519894840389</v>
      </c>
      <c r="AU177" s="18">
        <v>829.48574484294102</v>
      </c>
      <c r="AV177" s="18">
        <v>679.76264762035714</v>
      </c>
      <c r="AW177" s="18">
        <v>676.75103101810168</v>
      </c>
      <c r="AX177" s="18">
        <v>459.57684370223973</v>
      </c>
      <c r="AY177" s="18">
        <v>681.23081876445974</v>
      </c>
      <c r="AZ177" s="18">
        <v>593.26447130428141</v>
      </c>
      <c r="BA177" s="18">
        <v>605.7455135368574</v>
      </c>
      <c r="BB177" s="18">
        <v>591.64447492540501</v>
      </c>
      <c r="BC177" s="23">
        <v>8.9181565948742242E-2</v>
      </c>
      <c r="BD177" s="23">
        <v>0.10665277883445198</v>
      </c>
      <c r="BE177" s="23">
        <v>9.438849084854764E-2</v>
      </c>
      <c r="BF177" s="23">
        <v>7.149564986855049E-2</v>
      </c>
      <c r="BG177" s="23">
        <v>0.10368571810536763</v>
      </c>
      <c r="BH177" s="23">
        <v>8.4970330952544637E-2</v>
      </c>
      <c r="BI177" s="23">
        <v>8.4593878877262704E-2</v>
      </c>
      <c r="BJ177" s="23">
        <v>5.7447105462779965E-2</v>
      </c>
      <c r="BK177" s="23">
        <v>8.5153852345557474E-2</v>
      </c>
      <c r="BL177" s="23">
        <v>7.4158058913035174E-2</v>
      </c>
      <c r="BM177" s="23">
        <v>7.5718189192107169E-2</v>
      </c>
      <c r="BN177" s="23">
        <v>7.3955559365675619E-2</v>
      </c>
    </row>
    <row r="178" spans="1:66" x14ac:dyDescent="0.25">
      <c r="A178" s="16">
        <v>3771</v>
      </c>
      <c r="B178" s="16" t="s">
        <v>374</v>
      </c>
      <c r="C178" s="17">
        <v>0</v>
      </c>
      <c r="D178" s="17">
        <f t="shared" si="83"/>
        <v>0</v>
      </c>
      <c r="E178" s="17">
        <f t="shared" si="84"/>
        <v>0</v>
      </c>
      <c r="F178" s="17">
        <f t="shared" si="85"/>
        <v>0</v>
      </c>
      <c r="G178" s="17">
        <f t="shared" si="86"/>
        <v>0</v>
      </c>
      <c r="H178" s="17">
        <f t="shared" si="87"/>
        <v>0</v>
      </c>
      <c r="I178" s="17">
        <f t="shared" si="88"/>
        <v>0</v>
      </c>
      <c r="J178" s="17">
        <f t="shared" si="89"/>
        <v>0</v>
      </c>
      <c r="K178" s="17">
        <f t="shared" si="90"/>
        <v>0</v>
      </c>
      <c r="L178" s="17">
        <f t="shared" si="91"/>
        <v>0</v>
      </c>
      <c r="M178" s="17">
        <f t="shared" si="92"/>
        <v>0</v>
      </c>
      <c r="N178" s="17">
        <f t="shared" si="93"/>
        <v>0</v>
      </c>
      <c r="O178" s="17">
        <f t="shared" si="94"/>
        <v>0</v>
      </c>
      <c r="P178" s="17">
        <v>5000</v>
      </c>
      <c r="Q178" s="17">
        <f t="shared" si="95"/>
        <v>445.9078297437112</v>
      </c>
      <c r="R178" s="17">
        <f t="shared" si="96"/>
        <v>533.26389417225994</v>
      </c>
      <c r="S178" s="17">
        <f t="shared" si="97"/>
        <v>471.94245424273822</v>
      </c>
      <c r="T178" s="17">
        <f t="shared" si="98"/>
        <v>357.47824934275246</v>
      </c>
      <c r="U178" s="17">
        <f t="shared" si="99"/>
        <v>518.42859052683809</v>
      </c>
      <c r="V178" s="17">
        <f t="shared" si="100"/>
        <v>424.85165476272317</v>
      </c>
      <c r="W178" s="17">
        <f t="shared" si="101"/>
        <v>422.96939438631352</v>
      </c>
      <c r="X178" s="17">
        <f t="shared" si="102"/>
        <v>287.23552731389981</v>
      </c>
      <c r="Y178" s="17">
        <f t="shared" si="103"/>
        <v>425.76926172778735</v>
      </c>
      <c r="Z178" s="17">
        <f t="shared" si="104"/>
        <v>370.79029456517588</v>
      </c>
      <c r="AA178" s="17">
        <f t="shared" si="105"/>
        <v>378.59094596053586</v>
      </c>
      <c r="AB178" s="17">
        <f t="shared" si="106"/>
        <v>369.77779682837809</v>
      </c>
      <c r="AC178" s="17">
        <v>0</v>
      </c>
      <c r="AD178" s="17">
        <f t="shared" si="107"/>
        <v>0</v>
      </c>
      <c r="AE178" s="17">
        <f t="shared" si="108"/>
        <v>0</v>
      </c>
      <c r="AF178" s="17">
        <f t="shared" si="109"/>
        <v>0</v>
      </c>
      <c r="AG178" s="17">
        <f t="shared" si="110"/>
        <v>0</v>
      </c>
      <c r="AH178" s="17">
        <f t="shared" si="111"/>
        <v>0</v>
      </c>
      <c r="AI178" s="17">
        <f t="shared" si="112"/>
        <v>0</v>
      </c>
      <c r="AJ178" s="17">
        <f t="shared" si="113"/>
        <v>0</v>
      </c>
      <c r="AK178" s="17">
        <f t="shared" si="114"/>
        <v>0</v>
      </c>
      <c r="AL178" s="17">
        <f t="shared" si="115"/>
        <v>0</v>
      </c>
      <c r="AM178" s="17">
        <f t="shared" si="116"/>
        <v>0</v>
      </c>
      <c r="AN178" s="17">
        <f t="shared" si="117"/>
        <v>0</v>
      </c>
      <c r="AO178" s="17">
        <f t="shared" si="118"/>
        <v>0</v>
      </c>
      <c r="AP178" s="17">
        <f t="shared" si="119"/>
        <v>5000</v>
      </c>
      <c r="AQ178" s="18">
        <v>713.45252758993797</v>
      </c>
      <c r="AR178" s="18">
        <v>853.22223067561583</v>
      </c>
      <c r="AS178" s="18">
        <v>755.10792678838118</v>
      </c>
      <c r="AT178" s="18">
        <v>571.96519894840389</v>
      </c>
      <c r="AU178" s="18">
        <v>829.48574484294102</v>
      </c>
      <c r="AV178" s="18">
        <v>679.76264762035714</v>
      </c>
      <c r="AW178" s="18">
        <v>676.75103101810168</v>
      </c>
      <c r="AX178" s="18">
        <v>459.57684370223973</v>
      </c>
      <c r="AY178" s="18">
        <v>681.23081876445974</v>
      </c>
      <c r="AZ178" s="18">
        <v>593.26447130428141</v>
      </c>
      <c r="BA178" s="18">
        <v>605.7455135368574</v>
      </c>
      <c r="BB178" s="18">
        <v>591.64447492540501</v>
      </c>
      <c r="BC178" s="23">
        <v>8.9181565948742242E-2</v>
      </c>
      <c r="BD178" s="23">
        <v>0.10665277883445198</v>
      </c>
      <c r="BE178" s="23">
        <v>9.438849084854764E-2</v>
      </c>
      <c r="BF178" s="23">
        <v>7.149564986855049E-2</v>
      </c>
      <c r="BG178" s="23">
        <v>0.10368571810536763</v>
      </c>
      <c r="BH178" s="23">
        <v>8.4970330952544637E-2</v>
      </c>
      <c r="BI178" s="23">
        <v>8.4593878877262704E-2</v>
      </c>
      <c r="BJ178" s="23">
        <v>5.7447105462779965E-2</v>
      </c>
      <c r="BK178" s="23">
        <v>8.5153852345557474E-2</v>
      </c>
      <c r="BL178" s="23">
        <v>7.4158058913035174E-2</v>
      </c>
      <c r="BM178" s="23">
        <v>7.5718189192107169E-2</v>
      </c>
      <c r="BN178" s="23">
        <v>7.3955559365675619E-2</v>
      </c>
    </row>
    <row r="179" spans="1:66" x14ac:dyDescent="0.25">
      <c r="A179" s="16">
        <v>4106</v>
      </c>
      <c r="B179" s="16" t="s">
        <v>375</v>
      </c>
      <c r="C179" s="17">
        <v>0</v>
      </c>
      <c r="D179" s="17">
        <f t="shared" si="83"/>
        <v>0</v>
      </c>
      <c r="E179" s="17">
        <f t="shared" si="84"/>
        <v>0</v>
      </c>
      <c r="F179" s="17">
        <f t="shared" si="85"/>
        <v>0</v>
      </c>
      <c r="G179" s="17">
        <f t="shared" si="86"/>
        <v>0</v>
      </c>
      <c r="H179" s="17">
        <f t="shared" si="87"/>
        <v>0</v>
      </c>
      <c r="I179" s="17">
        <f t="shared" si="88"/>
        <v>0</v>
      </c>
      <c r="J179" s="17">
        <f t="shared" si="89"/>
        <v>0</v>
      </c>
      <c r="K179" s="17">
        <f t="shared" si="90"/>
        <v>0</v>
      </c>
      <c r="L179" s="17">
        <f t="shared" si="91"/>
        <v>0</v>
      </c>
      <c r="M179" s="17">
        <f t="shared" si="92"/>
        <v>0</v>
      </c>
      <c r="N179" s="17">
        <f t="shared" si="93"/>
        <v>0</v>
      </c>
      <c r="O179" s="17">
        <f t="shared" si="94"/>
        <v>0</v>
      </c>
      <c r="P179" s="17">
        <v>10000</v>
      </c>
      <c r="Q179" s="17">
        <f t="shared" si="95"/>
        <v>891.81565948742241</v>
      </c>
      <c r="R179" s="17">
        <f t="shared" si="96"/>
        <v>1066.5277883445199</v>
      </c>
      <c r="S179" s="17">
        <f t="shared" si="97"/>
        <v>943.88490848547644</v>
      </c>
      <c r="T179" s="17">
        <f t="shared" si="98"/>
        <v>714.95649868550493</v>
      </c>
      <c r="U179" s="17">
        <f t="shared" si="99"/>
        <v>1036.8571810536762</v>
      </c>
      <c r="V179" s="17">
        <f t="shared" si="100"/>
        <v>849.70330952544634</v>
      </c>
      <c r="W179" s="17">
        <f t="shared" si="101"/>
        <v>845.93878877262705</v>
      </c>
      <c r="X179" s="17">
        <f t="shared" si="102"/>
        <v>574.47105462779962</v>
      </c>
      <c r="Y179" s="17">
        <f t="shared" si="103"/>
        <v>851.5385234555747</v>
      </c>
      <c r="Z179" s="17">
        <f t="shared" si="104"/>
        <v>741.58058913035177</v>
      </c>
      <c r="AA179" s="17">
        <f t="shared" si="105"/>
        <v>757.18189192107172</v>
      </c>
      <c r="AB179" s="17">
        <f t="shared" si="106"/>
        <v>739.55559365675617</v>
      </c>
      <c r="AC179" s="17">
        <v>0</v>
      </c>
      <c r="AD179" s="17">
        <f t="shared" si="107"/>
        <v>0</v>
      </c>
      <c r="AE179" s="17">
        <f t="shared" si="108"/>
        <v>0</v>
      </c>
      <c r="AF179" s="17">
        <f t="shared" si="109"/>
        <v>0</v>
      </c>
      <c r="AG179" s="17">
        <f t="shared" si="110"/>
        <v>0</v>
      </c>
      <c r="AH179" s="17">
        <f t="shared" si="111"/>
        <v>0</v>
      </c>
      <c r="AI179" s="17">
        <f t="shared" si="112"/>
        <v>0</v>
      </c>
      <c r="AJ179" s="17">
        <f t="shared" si="113"/>
        <v>0</v>
      </c>
      <c r="AK179" s="17">
        <f t="shared" si="114"/>
        <v>0</v>
      </c>
      <c r="AL179" s="17">
        <f t="shared" si="115"/>
        <v>0</v>
      </c>
      <c r="AM179" s="17">
        <f t="shared" si="116"/>
        <v>0</v>
      </c>
      <c r="AN179" s="17">
        <f t="shared" si="117"/>
        <v>0</v>
      </c>
      <c r="AO179" s="17">
        <f t="shared" si="118"/>
        <v>0</v>
      </c>
      <c r="AP179" s="17">
        <f t="shared" si="119"/>
        <v>10000</v>
      </c>
      <c r="AQ179" s="18">
        <v>713.45252758993797</v>
      </c>
      <c r="AR179" s="18">
        <v>853.22223067561583</v>
      </c>
      <c r="AS179" s="18">
        <v>755.10792678838118</v>
      </c>
      <c r="AT179" s="18">
        <v>571.96519894840389</v>
      </c>
      <c r="AU179" s="18">
        <v>829.48574484294102</v>
      </c>
      <c r="AV179" s="18">
        <v>679.76264762035714</v>
      </c>
      <c r="AW179" s="18">
        <v>676.75103101810168</v>
      </c>
      <c r="AX179" s="18">
        <v>459.57684370223973</v>
      </c>
      <c r="AY179" s="18">
        <v>681.23081876445974</v>
      </c>
      <c r="AZ179" s="18">
        <v>593.26447130428141</v>
      </c>
      <c r="BA179" s="18">
        <v>605.7455135368574</v>
      </c>
      <c r="BB179" s="18">
        <v>591.64447492540501</v>
      </c>
      <c r="BC179" s="23">
        <v>8.9181565948742242E-2</v>
      </c>
      <c r="BD179" s="23">
        <v>0.10665277883445198</v>
      </c>
      <c r="BE179" s="23">
        <v>9.438849084854764E-2</v>
      </c>
      <c r="BF179" s="23">
        <v>7.149564986855049E-2</v>
      </c>
      <c r="BG179" s="23">
        <v>0.10368571810536763</v>
      </c>
      <c r="BH179" s="23">
        <v>8.4970330952544637E-2</v>
      </c>
      <c r="BI179" s="23">
        <v>8.4593878877262704E-2</v>
      </c>
      <c r="BJ179" s="23">
        <v>5.7447105462779965E-2</v>
      </c>
      <c r="BK179" s="23">
        <v>8.5153852345557474E-2</v>
      </c>
      <c r="BL179" s="23">
        <v>7.4158058913035174E-2</v>
      </c>
      <c r="BM179" s="23">
        <v>7.5718189192107169E-2</v>
      </c>
      <c r="BN179" s="23">
        <v>7.3955559365675619E-2</v>
      </c>
    </row>
    <row r="180" spans="1:66" x14ac:dyDescent="0.25">
      <c r="A180" s="16">
        <v>6540</v>
      </c>
      <c r="B180" s="16" t="s">
        <v>376</v>
      </c>
      <c r="C180" s="17">
        <v>0</v>
      </c>
      <c r="D180" s="17">
        <f t="shared" si="83"/>
        <v>0</v>
      </c>
      <c r="E180" s="17">
        <f t="shared" si="84"/>
        <v>0</v>
      </c>
      <c r="F180" s="17">
        <f t="shared" si="85"/>
        <v>0</v>
      </c>
      <c r="G180" s="17">
        <f t="shared" si="86"/>
        <v>0</v>
      </c>
      <c r="H180" s="17">
        <f t="shared" si="87"/>
        <v>0</v>
      </c>
      <c r="I180" s="17">
        <f t="shared" si="88"/>
        <v>0</v>
      </c>
      <c r="J180" s="17">
        <f t="shared" si="89"/>
        <v>0</v>
      </c>
      <c r="K180" s="17">
        <f t="shared" si="90"/>
        <v>0</v>
      </c>
      <c r="L180" s="17">
        <f t="shared" si="91"/>
        <v>0</v>
      </c>
      <c r="M180" s="17">
        <f t="shared" si="92"/>
        <v>0</v>
      </c>
      <c r="N180" s="17">
        <f t="shared" si="93"/>
        <v>0</v>
      </c>
      <c r="O180" s="17">
        <f t="shared" si="94"/>
        <v>0</v>
      </c>
      <c r="P180" s="17">
        <v>0</v>
      </c>
      <c r="Q180" s="17">
        <f t="shared" si="95"/>
        <v>0</v>
      </c>
      <c r="R180" s="17">
        <f t="shared" si="96"/>
        <v>0</v>
      </c>
      <c r="S180" s="17">
        <f t="shared" si="97"/>
        <v>0</v>
      </c>
      <c r="T180" s="17">
        <f t="shared" si="98"/>
        <v>0</v>
      </c>
      <c r="U180" s="17">
        <f t="shared" si="99"/>
        <v>0</v>
      </c>
      <c r="V180" s="17">
        <f t="shared" si="100"/>
        <v>0</v>
      </c>
      <c r="W180" s="17">
        <f t="shared" si="101"/>
        <v>0</v>
      </c>
      <c r="X180" s="17">
        <f t="shared" si="102"/>
        <v>0</v>
      </c>
      <c r="Y180" s="17">
        <f t="shared" si="103"/>
        <v>0</v>
      </c>
      <c r="Z180" s="17">
        <f t="shared" si="104"/>
        <v>0</v>
      </c>
      <c r="AA180" s="17">
        <f t="shared" si="105"/>
        <v>0</v>
      </c>
      <c r="AB180" s="17">
        <f t="shared" si="106"/>
        <v>0</v>
      </c>
      <c r="AC180" s="17">
        <v>7000</v>
      </c>
      <c r="AD180" s="17">
        <f t="shared" si="107"/>
        <v>624.27096164119564</v>
      </c>
      <c r="AE180" s="17">
        <f t="shared" si="108"/>
        <v>746.56945184116387</v>
      </c>
      <c r="AF180" s="17">
        <f t="shared" si="109"/>
        <v>660.71943593983349</v>
      </c>
      <c r="AG180" s="17">
        <f t="shared" si="110"/>
        <v>500.46954907985344</v>
      </c>
      <c r="AH180" s="17">
        <f t="shared" si="111"/>
        <v>725.80002673757338</v>
      </c>
      <c r="AI180" s="17">
        <f t="shared" si="112"/>
        <v>594.79231666781243</v>
      </c>
      <c r="AJ180" s="17">
        <f t="shared" si="113"/>
        <v>592.15715214083889</v>
      </c>
      <c r="AK180" s="17">
        <f t="shared" si="114"/>
        <v>402.12973823945975</v>
      </c>
      <c r="AL180" s="17">
        <f t="shared" si="115"/>
        <v>596.07696641890232</v>
      </c>
      <c r="AM180" s="17">
        <f t="shared" si="116"/>
        <v>519.10641239124618</v>
      </c>
      <c r="AN180" s="17">
        <f t="shared" si="117"/>
        <v>530.02732434475013</v>
      </c>
      <c r="AO180" s="17">
        <f t="shared" si="118"/>
        <v>517.68891555972937</v>
      </c>
      <c r="AP180" s="17">
        <f t="shared" si="119"/>
        <v>7000</v>
      </c>
      <c r="AQ180" s="18">
        <v>713.45252758993797</v>
      </c>
      <c r="AR180" s="18">
        <v>853.22223067561583</v>
      </c>
      <c r="AS180" s="18">
        <v>755.10792678838118</v>
      </c>
      <c r="AT180" s="18">
        <v>571.96519894840389</v>
      </c>
      <c r="AU180" s="18">
        <v>829.48574484294102</v>
      </c>
      <c r="AV180" s="18">
        <v>679.76264762035714</v>
      </c>
      <c r="AW180" s="18">
        <v>676.75103101810168</v>
      </c>
      <c r="AX180" s="18">
        <v>459.57684370223973</v>
      </c>
      <c r="AY180" s="18">
        <v>681.23081876445974</v>
      </c>
      <c r="AZ180" s="18">
        <v>593.26447130428141</v>
      </c>
      <c r="BA180" s="18">
        <v>605.7455135368574</v>
      </c>
      <c r="BB180" s="18">
        <v>591.64447492540501</v>
      </c>
      <c r="BC180" s="23">
        <v>8.9181565948742242E-2</v>
      </c>
      <c r="BD180" s="23">
        <v>0.10665277883445198</v>
      </c>
      <c r="BE180" s="23">
        <v>9.438849084854764E-2</v>
      </c>
      <c r="BF180" s="23">
        <v>7.149564986855049E-2</v>
      </c>
      <c r="BG180" s="23">
        <v>0.10368571810536763</v>
      </c>
      <c r="BH180" s="23">
        <v>8.4970330952544637E-2</v>
      </c>
      <c r="BI180" s="23">
        <v>8.4593878877262704E-2</v>
      </c>
      <c r="BJ180" s="23">
        <v>5.7447105462779965E-2</v>
      </c>
      <c r="BK180" s="23">
        <v>8.5153852345557474E-2</v>
      </c>
      <c r="BL180" s="23">
        <v>7.4158058913035174E-2</v>
      </c>
      <c r="BM180" s="23">
        <v>7.5718189192107169E-2</v>
      </c>
      <c r="BN180" s="23">
        <v>7.3955559365675619E-2</v>
      </c>
    </row>
    <row r="181" spans="1:66" x14ac:dyDescent="0.25">
      <c r="A181" s="16">
        <v>2034</v>
      </c>
      <c r="B181" s="16" t="s">
        <v>377</v>
      </c>
      <c r="C181" s="17">
        <v>4000</v>
      </c>
      <c r="D181" s="17">
        <f t="shared" si="83"/>
        <v>356.72626379496899</v>
      </c>
      <c r="E181" s="17">
        <f t="shared" si="84"/>
        <v>426.61111533780792</v>
      </c>
      <c r="F181" s="17">
        <f t="shared" si="85"/>
        <v>377.55396339419059</v>
      </c>
      <c r="G181" s="17">
        <f t="shared" si="86"/>
        <v>285.98259947420195</v>
      </c>
      <c r="H181" s="17">
        <f t="shared" si="87"/>
        <v>414.74287242147051</v>
      </c>
      <c r="I181" s="17">
        <f t="shared" si="88"/>
        <v>339.88132381017857</v>
      </c>
      <c r="J181" s="17">
        <f t="shared" si="89"/>
        <v>338.37551550905084</v>
      </c>
      <c r="K181" s="17">
        <f t="shared" si="90"/>
        <v>229.78842185111986</v>
      </c>
      <c r="L181" s="17">
        <f t="shared" si="91"/>
        <v>340.61540938222987</v>
      </c>
      <c r="M181" s="17">
        <f t="shared" si="92"/>
        <v>296.63223565214071</v>
      </c>
      <c r="N181" s="17">
        <f t="shared" si="93"/>
        <v>302.8727567684287</v>
      </c>
      <c r="O181" s="17">
        <f t="shared" si="94"/>
        <v>295.8222374627025</v>
      </c>
      <c r="P181" s="17">
        <v>0</v>
      </c>
      <c r="Q181" s="17">
        <f t="shared" si="95"/>
        <v>0</v>
      </c>
      <c r="R181" s="17">
        <f t="shared" si="96"/>
        <v>0</v>
      </c>
      <c r="S181" s="17">
        <f t="shared" si="97"/>
        <v>0</v>
      </c>
      <c r="T181" s="17">
        <f t="shared" si="98"/>
        <v>0</v>
      </c>
      <c r="U181" s="17">
        <f t="shared" si="99"/>
        <v>0</v>
      </c>
      <c r="V181" s="17">
        <f t="shared" si="100"/>
        <v>0</v>
      </c>
      <c r="W181" s="17">
        <f t="shared" si="101"/>
        <v>0</v>
      </c>
      <c r="X181" s="17">
        <f t="shared" si="102"/>
        <v>0</v>
      </c>
      <c r="Y181" s="17">
        <f t="shared" si="103"/>
        <v>0</v>
      </c>
      <c r="Z181" s="17">
        <f t="shared" si="104"/>
        <v>0</v>
      </c>
      <c r="AA181" s="17">
        <f t="shared" si="105"/>
        <v>0</v>
      </c>
      <c r="AB181" s="17">
        <f t="shared" si="106"/>
        <v>0</v>
      </c>
      <c r="AC181" s="17">
        <v>0</v>
      </c>
      <c r="AD181" s="17">
        <f t="shared" si="107"/>
        <v>0</v>
      </c>
      <c r="AE181" s="17">
        <f t="shared" si="108"/>
        <v>0</v>
      </c>
      <c r="AF181" s="17">
        <f t="shared" si="109"/>
        <v>0</v>
      </c>
      <c r="AG181" s="17">
        <f t="shared" si="110"/>
        <v>0</v>
      </c>
      <c r="AH181" s="17">
        <f t="shared" si="111"/>
        <v>0</v>
      </c>
      <c r="AI181" s="17">
        <f t="shared" si="112"/>
        <v>0</v>
      </c>
      <c r="AJ181" s="17">
        <f t="shared" si="113"/>
        <v>0</v>
      </c>
      <c r="AK181" s="17">
        <f t="shared" si="114"/>
        <v>0</v>
      </c>
      <c r="AL181" s="17">
        <f t="shared" si="115"/>
        <v>0</v>
      </c>
      <c r="AM181" s="17">
        <f t="shared" si="116"/>
        <v>0</v>
      </c>
      <c r="AN181" s="17">
        <f t="shared" si="117"/>
        <v>0</v>
      </c>
      <c r="AO181" s="17">
        <f t="shared" si="118"/>
        <v>0</v>
      </c>
      <c r="AP181" s="17">
        <f t="shared" si="119"/>
        <v>4000</v>
      </c>
      <c r="AQ181" s="18">
        <v>716.10122009861561</v>
      </c>
      <c r="AR181" s="18">
        <v>856.38981820699905</v>
      </c>
      <c r="AS181" s="18">
        <v>757.91126496658296</v>
      </c>
      <c r="AT181" s="18">
        <v>574.08861974949991</v>
      </c>
      <c r="AU181" s="18">
        <v>832.56521067067047</v>
      </c>
      <c r="AV181" s="18">
        <v>682.28626644964766</v>
      </c>
      <c r="AW181" s="18">
        <v>679.26346922075629</v>
      </c>
      <c r="AX181" s="18">
        <v>461.28302273448429</v>
      </c>
      <c r="AY181" s="18">
        <v>683.75988817912287</v>
      </c>
      <c r="AZ181" s="18">
        <v>595.4669656539985</v>
      </c>
      <c r="BA181" s="18">
        <v>607.99434375586293</v>
      </c>
      <c r="BB181" s="18">
        <v>593.84095503856554</v>
      </c>
      <c r="BC181" s="23">
        <v>8.9181565948742242E-2</v>
      </c>
      <c r="BD181" s="23">
        <v>0.10665277883445198</v>
      </c>
      <c r="BE181" s="23">
        <v>9.438849084854764E-2</v>
      </c>
      <c r="BF181" s="23">
        <v>7.149564986855049E-2</v>
      </c>
      <c r="BG181" s="23">
        <v>0.10368571810536763</v>
      </c>
      <c r="BH181" s="23">
        <v>8.4970330952544637E-2</v>
      </c>
      <c r="BI181" s="23">
        <v>8.4593878877262704E-2</v>
      </c>
      <c r="BJ181" s="23">
        <v>5.7447105462779965E-2</v>
      </c>
      <c r="BK181" s="23">
        <v>8.5153852345557474E-2</v>
      </c>
      <c r="BL181" s="23">
        <v>7.4158058913035174E-2</v>
      </c>
      <c r="BM181" s="23">
        <v>7.5718189192107169E-2</v>
      </c>
      <c r="BN181" s="23">
        <v>7.3955559365675619E-2</v>
      </c>
    </row>
    <row r="182" spans="1:66" x14ac:dyDescent="0.25">
      <c r="A182" s="16">
        <v>3873</v>
      </c>
      <c r="B182" s="16" t="s">
        <v>378</v>
      </c>
      <c r="C182" s="17">
        <v>7000</v>
      </c>
      <c r="D182" s="17">
        <f t="shared" si="83"/>
        <v>624.27096164119564</v>
      </c>
      <c r="E182" s="17">
        <f t="shared" si="84"/>
        <v>746.56945184116387</v>
      </c>
      <c r="F182" s="17">
        <f t="shared" si="85"/>
        <v>660.71943593983349</v>
      </c>
      <c r="G182" s="17">
        <f t="shared" si="86"/>
        <v>500.46954907985344</v>
      </c>
      <c r="H182" s="17">
        <f t="shared" si="87"/>
        <v>725.80002673757338</v>
      </c>
      <c r="I182" s="17">
        <f t="shared" si="88"/>
        <v>594.79231666781243</v>
      </c>
      <c r="J182" s="17">
        <f t="shared" si="89"/>
        <v>592.15715214083889</v>
      </c>
      <c r="K182" s="17">
        <f t="shared" si="90"/>
        <v>402.12973823945975</v>
      </c>
      <c r="L182" s="17">
        <f t="shared" si="91"/>
        <v>596.07696641890232</v>
      </c>
      <c r="M182" s="17">
        <f t="shared" si="92"/>
        <v>519.10641239124618</v>
      </c>
      <c r="N182" s="17">
        <f t="shared" si="93"/>
        <v>530.02732434475013</v>
      </c>
      <c r="O182" s="17">
        <f t="shared" si="94"/>
        <v>517.68891555972937</v>
      </c>
      <c r="P182" s="17">
        <v>0</v>
      </c>
      <c r="Q182" s="17">
        <f t="shared" si="95"/>
        <v>0</v>
      </c>
      <c r="R182" s="17">
        <f t="shared" si="96"/>
        <v>0</v>
      </c>
      <c r="S182" s="17">
        <f t="shared" si="97"/>
        <v>0</v>
      </c>
      <c r="T182" s="17">
        <f t="shared" si="98"/>
        <v>0</v>
      </c>
      <c r="U182" s="17">
        <f t="shared" si="99"/>
        <v>0</v>
      </c>
      <c r="V182" s="17">
        <f t="shared" si="100"/>
        <v>0</v>
      </c>
      <c r="W182" s="17">
        <f t="shared" si="101"/>
        <v>0</v>
      </c>
      <c r="X182" s="17">
        <f t="shared" si="102"/>
        <v>0</v>
      </c>
      <c r="Y182" s="17">
        <f t="shared" si="103"/>
        <v>0</v>
      </c>
      <c r="Z182" s="17">
        <f t="shared" si="104"/>
        <v>0</v>
      </c>
      <c r="AA182" s="17">
        <f t="shared" si="105"/>
        <v>0</v>
      </c>
      <c r="AB182" s="17">
        <f t="shared" si="106"/>
        <v>0</v>
      </c>
      <c r="AC182" s="17">
        <v>0</v>
      </c>
      <c r="AD182" s="17">
        <f t="shared" si="107"/>
        <v>0</v>
      </c>
      <c r="AE182" s="17">
        <f t="shared" si="108"/>
        <v>0</v>
      </c>
      <c r="AF182" s="17">
        <f t="shared" si="109"/>
        <v>0</v>
      </c>
      <c r="AG182" s="17">
        <f t="shared" si="110"/>
        <v>0</v>
      </c>
      <c r="AH182" s="17">
        <f t="shared" si="111"/>
        <v>0</v>
      </c>
      <c r="AI182" s="17">
        <f t="shared" si="112"/>
        <v>0</v>
      </c>
      <c r="AJ182" s="17">
        <f t="shared" si="113"/>
        <v>0</v>
      </c>
      <c r="AK182" s="17">
        <f t="shared" si="114"/>
        <v>0</v>
      </c>
      <c r="AL182" s="17">
        <f t="shared" si="115"/>
        <v>0</v>
      </c>
      <c r="AM182" s="17">
        <f t="shared" si="116"/>
        <v>0</v>
      </c>
      <c r="AN182" s="17">
        <f t="shared" si="117"/>
        <v>0</v>
      </c>
      <c r="AO182" s="17">
        <f t="shared" si="118"/>
        <v>0</v>
      </c>
      <c r="AP182" s="17">
        <f t="shared" si="119"/>
        <v>7000</v>
      </c>
      <c r="AQ182" s="18">
        <v>624.27096164119564</v>
      </c>
      <c r="AR182" s="18">
        <v>746.56945184116387</v>
      </c>
      <c r="AS182" s="18">
        <v>660.71943593983349</v>
      </c>
      <c r="AT182" s="18">
        <v>500.46954907985344</v>
      </c>
      <c r="AU182" s="18">
        <v>725.80002673757338</v>
      </c>
      <c r="AV182" s="18">
        <v>594.79231666781243</v>
      </c>
      <c r="AW182" s="18">
        <v>592.15715214083889</v>
      </c>
      <c r="AX182" s="18">
        <v>402.12973823945975</v>
      </c>
      <c r="AY182" s="18">
        <v>596.07696641890232</v>
      </c>
      <c r="AZ182" s="18">
        <v>519.10641239124618</v>
      </c>
      <c r="BA182" s="18">
        <v>530.02732434475013</v>
      </c>
      <c r="BB182" s="18">
        <v>517.68891555972937</v>
      </c>
      <c r="BC182" s="23">
        <v>8.9181565948742242E-2</v>
      </c>
      <c r="BD182" s="23">
        <v>0.10665277883445198</v>
      </c>
      <c r="BE182" s="23">
        <v>9.438849084854764E-2</v>
      </c>
      <c r="BF182" s="23">
        <v>7.149564986855049E-2</v>
      </c>
      <c r="BG182" s="23">
        <v>0.10368571810536763</v>
      </c>
      <c r="BH182" s="23">
        <v>8.4970330952544637E-2</v>
      </c>
      <c r="BI182" s="23">
        <v>8.4593878877262704E-2</v>
      </c>
      <c r="BJ182" s="23">
        <v>5.7447105462779965E-2</v>
      </c>
      <c r="BK182" s="23">
        <v>8.5153852345557474E-2</v>
      </c>
      <c r="BL182" s="23">
        <v>7.4158058913035174E-2</v>
      </c>
      <c r="BM182" s="23">
        <v>7.5718189192107169E-2</v>
      </c>
      <c r="BN182" s="23">
        <v>7.3955559365675619E-2</v>
      </c>
    </row>
    <row r="183" spans="1:66" x14ac:dyDescent="0.25">
      <c r="A183" s="16">
        <v>3949</v>
      </c>
      <c r="B183" s="16" t="s">
        <v>379</v>
      </c>
      <c r="C183" s="17">
        <v>500</v>
      </c>
      <c r="D183" s="17">
        <f t="shared" si="83"/>
        <v>44.590782974371123</v>
      </c>
      <c r="E183" s="17">
        <f t="shared" si="84"/>
        <v>53.32638941722599</v>
      </c>
      <c r="F183" s="17">
        <f t="shared" si="85"/>
        <v>47.194245424273824</v>
      </c>
      <c r="G183" s="17">
        <f t="shared" si="86"/>
        <v>35.747824934275243</v>
      </c>
      <c r="H183" s="17">
        <f t="shared" si="87"/>
        <v>51.842859052683814</v>
      </c>
      <c r="I183" s="17">
        <f t="shared" si="88"/>
        <v>42.485165476272321</v>
      </c>
      <c r="J183" s="17">
        <f t="shared" si="89"/>
        <v>42.296939438631355</v>
      </c>
      <c r="K183" s="17">
        <f t="shared" si="90"/>
        <v>28.723552731389983</v>
      </c>
      <c r="L183" s="17">
        <f t="shared" si="91"/>
        <v>42.576926172778734</v>
      </c>
      <c r="M183" s="17">
        <f t="shared" si="92"/>
        <v>37.079029456517588</v>
      </c>
      <c r="N183" s="17">
        <f t="shared" si="93"/>
        <v>37.859094596053588</v>
      </c>
      <c r="O183" s="17">
        <f t="shared" si="94"/>
        <v>36.977779682837813</v>
      </c>
      <c r="P183" s="17">
        <v>0</v>
      </c>
      <c r="Q183" s="17">
        <f t="shared" si="95"/>
        <v>0</v>
      </c>
      <c r="R183" s="17">
        <f t="shared" si="96"/>
        <v>0</v>
      </c>
      <c r="S183" s="17">
        <f t="shared" si="97"/>
        <v>0</v>
      </c>
      <c r="T183" s="17">
        <f t="shared" si="98"/>
        <v>0</v>
      </c>
      <c r="U183" s="17">
        <f t="shared" si="99"/>
        <v>0</v>
      </c>
      <c r="V183" s="17">
        <f t="shared" si="100"/>
        <v>0</v>
      </c>
      <c r="W183" s="17">
        <f t="shared" si="101"/>
        <v>0</v>
      </c>
      <c r="X183" s="17">
        <f t="shared" si="102"/>
        <v>0</v>
      </c>
      <c r="Y183" s="17">
        <f t="shared" si="103"/>
        <v>0</v>
      </c>
      <c r="Z183" s="17">
        <f t="shared" si="104"/>
        <v>0</v>
      </c>
      <c r="AA183" s="17">
        <f t="shared" si="105"/>
        <v>0</v>
      </c>
      <c r="AB183" s="17">
        <f t="shared" si="106"/>
        <v>0</v>
      </c>
      <c r="AC183" s="17">
        <v>0</v>
      </c>
      <c r="AD183" s="17">
        <f t="shared" si="107"/>
        <v>0</v>
      </c>
      <c r="AE183" s="17">
        <f t="shared" si="108"/>
        <v>0</v>
      </c>
      <c r="AF183" s="17">
        <f t="shared" si="109"/>
        <v>0</v>
      </c>
      <c r="AG183" s="17">
        <f t="shared" si="110"/>
        <v>0</v>
      </c>
      <c r="AH183" s="17">
        <f t="shared" si="111"/>
        <v>0</v>
      </c>
      <c r="AI183" s="17">
        <f t="shared" si="112"/>
        <v>0</v>
      </c>
      <c r="AJ183" s="17">
        <f t="shared" si="113"/>
        <v>0</v>
      </c>
      <c r="AK183" s="17">
        <f t="shared" si="114"/>
        <v>0</v>
      </c>
      <c r="AL183" s="17">
        <f t="shared" si="115"/>
        <v>0</v>
      </c>
      <c r="AM183" s="17">
        <f t="shared" si="116"/>
        <v>0</v>
      </c>
      <c r="AN183" s="17">
        <f t="shared" si="117"/>
        <v>0</v>
      </c>
      <c r="AO183" s="17">
        <f t="shared" si="118"/>
        <v>0</v>
      </c>
      <c r="AP183" s="17">
        <f t="shared" si="119"/>
        <v>500</v>
      </c>
      <c r="AQ183" s="18">
        <v>624.27096164119564</v>
      </c>
      <c r="AR183" s="18">
        <v>746.56945184116387</v>
      </c>
      <c r="AS183" s="18">
        <v>660.71943593983349</v>
      </c>
      <c r="AT183" s="18">
        <v>500.46954907985344</v>
      </c>
      <c r="AU183" s="18">
        <v>725.80002673757338</v>
      </c>
      <c r="AV183" s="18">
        <v>594.79231666781243</v>
      </c>
      <c r="AW183" s="18">
        <v>592.15715214083889</v>
      </c>
      <c r="AX183" s="18">
        <v>402.12973823945975</v>
      </c>
      <c r="AY183" s="18">
        <v>596.07696641890232</v>
      </c>
      <c r="AZ183" s="18">
        <v>519.10641239124618</v>
      </c>
      <c r="BA183" s="18">
        <v>530.02732434475013</v>
      </c>
      <c r="BB183" s="18">
        <v>517.68891555972937</v>
      </c>
      <c r="BC183" s="23">
        <v>8.9181565948742242E-2</v>
      </c>
      <c r="BD183" s="23">
        <v>0.10665277883445198</v>
      </c>
      <c r="BE183" s="23">
        <v>9.438849084854764E-2</v>
      </c>
      <c r="BF183" s="23">
        <v>7.149564986855049E-2</v>
      </c>
      <c r="BG183" s="23">
        <v>0.10368571810536763</v>
      </c>
      <c r="BH183" s="23">
        <v>8.4970330952544637E-2</v>
      </c>
      <c r="BI183" s="23">
        <v>8.4593878877262704E-2</v>
      </c>
      <c r="BJ183" s="23">
        <v>5.7447105462779965E-2</v>
      </c>
      <c r="BK183" s="23">
        <v>8.5153852345557474E-2</v>
      </c>
      <c r="BL183" s="23">
        <v>7.4158058913035174E-2</v>
      </c>
      <c r="BM183" s="23">
        <v>7.5718189192107169E-2</v>
      </c>
      <c r="BN183" s="23">
        <v>7.3955559365675619E-2</v>
      </c>
    </row>
    <row r="184" spans="1:66" x14ac:dyDescent="0.25">
      <c r="A184" s="16">
        <v>4025</v>
      </c>
      <c r="B184" s="16" t="s">
        <v>380</v>
      </c>
      <c r="C184" s="17">
        <v>0</v>
      </c>
      <c r="D184" s="17">
        <f t="shared" si="83"/>
        <v>0</v>
      </c>
      <c r="E184" s="17">
        <f t="shared" si="84"/>
        <v>0</v>
      </c>
      <c r="F184" s="17">
        <f t="shared" si="85"/>
        <v>0</v>
      </c>
      <c r="G184" s="17">
        <f t="shared" si="86"/>
        <v>0</v>
      </c>
      <c r="H184" s="17">
        <f t="shared" si="87"/>
        <v>0</v>
      </c>
      <c r="I184" s="17">
        <f t="shared" si="88"/>
        <v>0</v>
      </c>
      <c r="J184" s="17">
        <f t="shared" si="89"/>
        <v>0</v>
      </c>
      <c r="K184" s="17">
        <f t="shared" si="90"/>
        <v>0</v>
      </c>
      <c r="L184" s="17">
        <f t="shared" si="91"/>
        <v>0</v>
      </c>
      <c r="M184" s="17">
        <f t="shared" si="92"/>
        <v>0</v>
      </c>
      <c r="N184" s="17">
        <f t="shared" si="93"/>
        <v>0</v>
      </c>
      <c r="O184" s="17">
        <f t="shared" si="94"/>
        <v>0</v>
      </c>
      <c r="P184" s="17">
        <v>5000</v>
      </c>
      <c r="Q184" s="17">
        <f t="shared" si="95"/>
        <v>445.9078297437112</v>
      </c>
      <c r="R184" s="17">
        <f t="shared" si="96"/>
        <v>533.26389417225994</v>
      </c>
      <c r="S184" s="17">
        <f t="shared" si="97"/>
        <v>471.94245424273822</v>
      </c>
      <c r="T184" s="17">
        <f t="shared" si="98"/>
        <v>357.47824934275246</v>
      </c>
      <c r="U184" s="17">
        <f t="shared" si="99"/>
        <v>518.42859052683809</v>
      </c>
      <c r="V184" s="17">
        <f t="shared" si="100"/>
        <v>424.85165476272317</v>
      </c>
      <c r="W184" s="17">
        <f t="shared" si="101"/>
        <v>422.96939438631352</v>
      </c>
      <c r="X184" s="17">
        <f t="shared" si="102"/>
        <v>287.23552731389981</v>
      </c>
      <c r="Y184" s="17">
        <f t="shared" si="103"/>
        <v>425.76926172778735</v>
      </c>
      <c r="Z184" s="17">
        <f t="shared" si="104"/>
        <v>370.79029456517588</v>
      </c>
      <c r="AA184" s="17">
        <f t="shared" si="105"/>
        <v>378.59094596053586</v>
      </c>
      <c r="AB184" s="17">
        <f t="shared" si="106"/>
        <v>369.77779682837809</v>
      </c>
      <c r="AC184" s="17">
        <v>0</v>
      </c>
      <c r="AD184" s="17">
        <f t="shared" si="107"/>
        <v>0</v>
      </c>
      <c r="AE184" s="17">
        <f t="shared" si="108"/>
        <v>0</v>
      </c>
      <c r="AF184" s="17">
        <f t="shared" si="109"/>
        <v>0</v>
      </c>
      <c r="AG184" s="17">
        <f t="shared" si="110"/>
        <v>0</v>
      </c>
      <c r="AH184" s="17">
        <f t="shared" si="111"/>
        <v>0</v>
      </c>
      <c r="AI184" s="17">
        <f t="shared" si="112"/>
        <v>0</v>
      </c>
      <c r="AJ184" s="17">
        <f t="shared" si="113"/>
        <v>0</v>
      </c>
      <c r="AK184" s="17">
        <f t="shared" si="114"/>
        <v>0</v>
      </c>
      <c r="AL184" s="17">
        <f t="shared" si="115"/>
        <v>0</v>
      </c>
      <c r="AM184" s="17">
        <f t="shared" si="116"/>
        <v>0</v>
      </c>
      <c r="AN184" s="17">
        <f t="shared" si="117"/>
        <v>0</v>
      </c>
      <c r="AO184" s="17">
        <f t="shared" si="118"/>
        <v>0</v>
      </c>
      <c r="AP184" s="17">
        <f t="shared" si="119"/>
        <v>5000</v>
      </c>
      <c r="AQ184" s="18">
        <v>624.27096164119564</v>
      </c>
      <c r="AR184" s="18">
        <v>746.56945184116387</v>
      </c>
      <c r="AS184" s="18">
        <v>660.71943593983349</v>
      </c>
      <c r="AT184" s="18">
        <v>500.46954907985344</v>
      </c>
      <c r="AU184" s="18">
        <v>725.80002673757338</v>
      </c>
      <c r="AV184" s="18">
        <v>594.79231666781243</v>
      </c>
      <c r="AW184" s="18">
        <v>592.15715214083889</v>
      </c>
      <c r="AX184" s="18">
        <v>402.12973823945975</v>
      </c>
      <c r="AY184" s="18">
        <v>596.07696641890232</v>
      </c>
      <c r="AZ184" s="18">
        <v>519.10641239124618</v>
      </c>
      <c r="BA184" s="18">
        <v>530.02732434475013</v>
      </c>
      <c r="BB184" s="18">
        <v>517.68891555972937</v>
      </c>
      <c r="BC184" s="23">
        <v>8.9181565948742242E-2</v>
      </c>
      <c r="BD184" s="23">
        <v>0.10665277883445198</v>
      </c>
      <c r="BE184" s="23">
        <v>9.438849084854764E-2</v>
      </c>
      <c r="BF184" s="23">
        <v>7.149564986855049E-2</v>
      </c>
      <c r="BG184" s="23">
        <v>0.10368571810536763</v>
      </c>
      <c r="BH184" s="23">
        <v>8.4970330952544637E-2</v>
      </c>
      <c r="BI184" s="23">
        <v>8.4593878877262704E-2</v>
      </c>
      <c r="BJ184" s="23">
        <v>5.7447105462779965E-2</v>
      </c>
      <c r="BK184" s="23">
        <v>8.5153852345557474E-2</v>
      </c>
      <c r="BL184" s="23">
        <v>7.4158058913035174E-2</v>
      </c>
      <c r="BM184" s="23">
        <v>7.5718189192107169E-2</v>
      </c>
      <c r="BN184" s="23">
        <v>7.3955559365675619E-2</v>
      </c>
    </row>
    <row r="185" spans="1:66" x14ac:dyDescent="0.25">
      <c r="A185" s="16">
        <v>27031</v>
      </c>
      <c r="B185" s="16" t="s">
        <v>381</v>
      </c>
      <c r="C185" s="17">
        <v>0</v>
      </c>
      <c r="D185" s="17">
        <f t="shared" si="83"/>
        <v>0</v>
      </c>
      <c r="E185" s="17">
        <f t="shared" si="84"/>
        <v>0</v>
      </c>
      <c r="F185" s="17">
        <f t="shared" si="85"/>
        <v>0</v>
      </c>
      <c r="G185" s="17">
        <f t="shared" si="86"/>
        <v>0</v>
      </c>
      <c r="H185" s="17">
        <f t="shared" si="87"/>
        <v>0</v>
      </c>
      <c r="I185" s="17">
        <f t="shared" si="88"/>
        <v>0</v>
      </c>
      <c r="J185" s="17">
        <f t="shared" si="89"/>
        <v>0</v>
      </c>
      <c r="K185" s="17">
        <f t="shared" si="90"/>
        <v>0</v>
      </c>
      <c r="L185" s="17">
        <f t="shared" si="91"/>
        <v>0</v>
      </c>
      <c r="M185" s="17">
        <f t="shared" si="92"/>
        <v>0</v>
      </c>
      <c r="N185" s="17">
        <f t="shared" si="93"/>
        <v>0</v>
      </c>
      <c r="O185" s="17">
        <f t="shared" si="94"/>
        <v>0</v>
      </c>
      <c r="P185" s="17">
        <v>4000</v>
      </c>
      <c r="Q185" s="17">
        <f t="shared" si="95"/>
        <v>356.72626379496899</v>
      </c>
      <c r="R185" s="17">
        <f t="shared" si="96"/>
        <v>426.61111533780792</v>
      </c>
      <c r="S185" s="17">
        <f t="shared" si="97"/>
        <v>377.55396339419059</v>
      </c>
      <c r="T185" s="17">
        <f t="shared" si="98"/>
        <v>285.98259947420195</v>
      </c>
      <c r="U185" s="17">
        <f t="shared" si="99"/>
        <v>414.74287242147051</v>
      </c>
      <c r="V185" s="17">
        <f t="shared" si="100"/>
        <v>339.88132381017857</v>
      </c>
      <c r="W185" s="17">
        <f t="shared" si="101"/>
        <v>338.37551550905084</v>
      </c>
      <c r="X185" s="17">
        <f t="shared" si="102"/>
        <v>229.78842185111986</v>
      </c>
      <c r="Y185" s="17">
        <f t="shared" si="103"/>
        <v>340.61540938222987</v>
      </c>
      <c r="Z185" s="17">
        <f t="shared" si="104"/>
        <v>296.63223565214071</v>
      </c>
      <c r="AA185" s="17">
        <f t="shared" si="105"/>
        <v>302.8727567684287</v>
      </c>
      <c r="AB185" s="17">
        <f t="shared" si="106"/>
        <v>295.8222374627025</v>
      </c>
      <c r="AC185" s="17">
        <v>0</v>
      </c>
      <c r="AD185" s="17">
        <f t="shared" si="107"/>
        <v>0</v>
      </c>
      <c r="AE185" s="17">
        <f t="shared" si="108"/>
        <v>0</v>
      </c>
      <c r="AF185" s="17">
        <f t="shared" si="109"/>
        <v>0</v>
      </c>
      <c r="AG185" s="17">
        <f t="shared" si="110"/>
        <v>0</v>
      </c>
      <c r="AH185" s="17">
        <f t="shared" si="111"/>
        <v>0</v>
      </c>
      <c r="AI185" s="17">
        <f t="shared" si="112"/>
        <v>0</v>
      </c>
      <c r="AJ185" s="17">
        <f t="shared" si="113"/>
        <v>0</v>
      </c>
      <c r="AK185" s="17">
        <f t="shared" si="114"/>
        <v>0</v>
      </c>
      <c r="AL185" s="17">
        <f t="shared" si="115"/>
        <v>0</v>
      </c>
      <c r="AM185" s="17">
        <f t="shared" si="116"/>
        <v>0</v>
      </c>
      <c r="AN185" s="17">
        <f t="shared" si="117"/>
        <v>0</v>
      </c>
      <c r="AO185" s="17">
        <f t="shared" si="118"/>
        <v>0</v>
      </c>
      <c r="AP185" s="17">
        <f t="shared" si="119"/>
        <v>4000</v>
      </c>
      <c r="AQ185" s="18">
        <v>1337.7234892311337</v>
      </c>
      <c r="AR185" s="18">
        <v>1599.7916825167797</v>
      </c>
      <c r="AS185" s="18">
        <v>1415.8273627282147</v>
      </c>
      <c r="AT185" s="18">
        <v>1072.4347480282574</v>
      </c>
      <c r="AU185" s="18">
        <v>1555.2857715805144</v>
      </c>
      <c r="AV185" s="18">
        <v>1274.5549642881695</v>
      </c>
      <c r="AW185" s="18">
        <v>1268.9081831589406</v>
      </c>
      <c r="AX185" s="18">
        <v>861.70658194169948</v>
      </c>
      <c r="AY185" s="18">
        <v>1277.3077851833621</v>
      </c>
      <c r="AZ185" s="18">
        <v>1112.3708836955277</v>
      </c>
      <c r="BA185" s="18">
        <v>1135.7728378816075</v>
      </c>
      <c r="BB185" s="18">
        <v>1109.3333904851343</v>
      </c>
      <c r="BC185" s="23">
        <v>8.9181565948742242E-2</v>
      </c>
      <c r="BD185" s="23">
        <v>0.10665277883445198</v>
      </c>
      <c r="BE185" s="23">
        <v>9.438849084854764E-2</v>
      </c>
      <c r="BF185" s="23">
        <v>7.149564986855049E-2</v>
      </c>
      <c r="BG185" s="23">
        <v>0.10368571810536763</v>
      </c>
      <c r="BH185" s="23">
        <v>8.4970330952544637E-2</v>
      </c>
      <c r="BI185" s="23">
        <v>8.4593878877262704E-2</v>
      </c>
      <c r="BJ185" s="23">
        <v>5.7447105462779965E-2</v>
      </c>
      <c r="BK185" s="23">
        <v>8.5153852345557474E-2</v>
      </c>
      <c r="BL185" s="23">
        <v>7.4158058913035174E-2</v>
      </c>
      <c r="BM185" s="23">
        <v>7.5718189192107169E-2</v>
      </c>
      <c r="BN185" s="23">
        <v>7.3955559365675619E-2</v>
      </c>
    </row>
    <row r="186" spans="1:66" x14ac:dyDescent="0.25">
      <c r="A186" s="16">
        <v>3637</v>
      </c>
      <c r="B186" s="16" t="s">
        <v>382</v>
      </c>
      <c r="C186" s="17">
        <v>0</v>
      </c>
      <c r="D186" s="17">
        <f t="shared" si="83"/>
        <v>0</v>
      </c>
      <c r="E186" s="17">
        <f t="shared" si="84"/>
        <v>0</v>
      </c>
      <c r="F186" s="17">
        <f t="shared" si="85"/>
        <v>0</v>
      </c>
      <c r="G186" s="17">
        <f t="shared" si="86"/>
        <v>0</v>
      </c>
      <c r="H186" s="17">
        <f t="shared" si="87"/>
        <v>0</v>
      </c>
      <c r="I186" s="17">
        <f t="shared" si="88"/>
        <v>0</v>
      </c>
      <c r="J186" s="17">
        <f t="shared" si="89"/>
        <v>0</v>
      </c>
      <c r="K186" s="17">
        <f t="shared" si="90"/>
        <v>0</v>
      </c>
      <c r="L186" s="17">
        <f t="shared" si="91"/>
        <v>0</v>
      </c>
      <c r="M186" s="17">
        <f t="shared" si="92"/>
        <v>0</v>
      </c>
      <c r="N186" s="17">
        <f t="shared" si="93"/>
        <v>0</v>
      </c>
      <c r="O186" s="17">
        <f t="shared" si="94"/>
        <v>0</v>
      </c>
      <c r="P186" s="17">
        <v>6000</v>
      </c>
      <c r="Q186" s="17">
        <f t="shared" si="95"/>
        <v>535.08939569245342</v>
      </c>
      <c r="R186" s="17">
        <f t="shared" si="96"/>
        <v>639.9166730067119</v>
      </c>
      <c r="S186" s="17">
        <f t="shared" si="97"/>
        <v>566.3309450912858</v>
      </c>
      <c r="T186" s="17">
        <f t="shared" si="98"/>
        <v>428.97389921130292</v>
      </c>
      <c r="U186" s="17">
        <f t="shared" si="99"/>
        <v>622.11430863220573</v>
      </c>
      <c r="V186" s="17">
        <f t="shared" si="100"/>
        <v>509.82198571526783</v>
      </c>
      <c r="W186" s="17">
        <f t="shared" si="101"/>
        <v>507.56327326357621</v>
      </c>
      <c r="X186" s="17">
        <f t="shared" si="102"/>
        <v>344.68263277667978</v>
      </c>
      <c r="Y186" s="17">
        <f t="shared" si="103"/>
        <v>510.92311407334483</v>
      </c>
      <c r="Z186" s="17">
        <f t="shared" si="104"/>
        <v>444.94835347821106</v>
      </c>
      <c r="AA186" s="17">
        <f t="shared" si="105"/>
        <v>454.30913515264302</v>
      </c>
      <c r="AB186" s="17">
        <f t="shared" si="106"/>
        <v>443.73335619405373</v>
      </c>
      <c r="AC186" s="17">
        <v>0</v>
      </c>
      <c r="AD186" s="17">
        <f t="shared" si="107"/>
        <v>0</v>
      </c>
      <c r="AE186" s="17">
        <f t="shared" si="108"/>
        <v>0</v>
      </c>
      <c r="AF186" s="17">
        <f t="shared" si="109"/>
        <v>0</v>
      </c>
      <c r="AG186" s="17">
        <f t="shared" si="110"/>
        <v>0</v>
      </c>
      <c r="AH186" s="17">
        <f t="shared" si="111"/>
        <v>0</v>
      </c>
      <c r="AI186" s="17">
        <f t="shared" si="112"/>
        <v>0</v>
      </c>
      <c r="AJ186" s="17">
        <f t="shared" si="113"/>
        <v>0</v>
      </c>
      <c r="AK186" s="17">
        <f t="shared" si="114"/>
        <v>0</v>
      </c>
      <c r="AL186" s="17">
        <f t="shared" si="115"/>
        <v>0</v>
      </c>
      <c r="AM186" s="17">
        <f t="shared" si="116"/>
        <v>0</v>
      </c>
      <c r="AN186" s="17">
        <f t="shared" si="117"/>
        <v>0</v>
      </c>
      <c r="AO186" s="17">
        <f t="shared" si="118"/>
        <v>0</v>
      </c>
      <c r="AP186" s="17">
        <f t="shared" si="119"/>
        <v>6000</v>
      </c>
      <c r="AQ186" s="18">
        <v>1337.7234892311337</v>
      </c>
      <c r="AR186" s="18">
        <v>1599.7916825167797</v>
      </c>
      <c r="AS186" s="18">
        <v>1415.8273627282147</v>
      </c>
      <c r="AT186" s="18">
        <v>1072.4347480282574</v>
      </c>
      <c r="AU186" s="18">
        <v>1555.2857715805144</v>
      </c>
      <c r="AV186" s="18">
        <v>1274.5549642881695</v>
      </c>
      <c r="AW186" s="18">
        <v>1268.9081831589406</v>
      </c>
      <c r="AX186" s="18">
        <v>861.70658194169948</v>
      </c>
      <c r="AY186" s="18">
        <v>1277.3077851833621</v>
      </c>
      <c r="AZ186" s="18">
        <v>1112.3708836955277</v>
      </c>
      <c r="BA186" s="18">
        <v>1135.7728378816075</v>
      </c>
      <c r="BB186" s="18">
        <v>1109.3333904851343</v>
      </c>
      <c r="BC186" s="23">
        <v>8.9181565948742242E-2</v>
      </c>
      <c r="BD186" s="23">
        <v>0.10665277883445198</v>
      </c>
      <c r="BE186" s="23">
        <v>9.438849084854764E-2</v>
      </c>
      <c r="BF186" s="23">
        <v>7.149564986855049E-2</v>
      </c>
      <c r="BG186" s="23">
        <v>0.10368571810536763</v>
      </c>
      <c r="BH186" s="23">
        <v>8.4970330952544637E-2</v>
      </c>
      <c r="BI186" s="23">
        <v>8.4593878877262704E-2</v>
      </c>
      <c r="BJ186" s="23">
        <v>5.7447105462779965E-2</v>
      </c>
      <c r="BK186" s="23">
        <v>8.5153852345557474E-2</v>
      </c>
      <c r="BL186" s="23">
        <v>7.4158058913035174E-2</v>
      </c>
      <c r="BM186" s="23">
        <v>7.5718189192107169E-2</v>
      </c>
      <c r="BN186" s="23">
        <v>7.3955559365675619E-2</v>
      </c>
    </row>
    <row r="187" spans="1:66" x14ac:dyDescent="0.25">
      <c r="A187" s="16">
        <v>4190</v>
      </c>
      <c r="B187" s="16" t="s">
        <v>383</v>
      </c>
      <c r="C187" s="17">
        <v>8000</v>
      </c>
      <c r="D187" s="17">
        <f t="shared" si="83"/>
        <v>713.45252758993797</v>
      </c>
      <c r="E187" s="17">
        <f t="shared" si="84"/>
        <v>853.22223067561583</v>
      </c>
      <c r="F187" s="17">
        <f t="shared" si="85"/>
        <v>755.10792678838118</v>
      </c>
      <c r="G187" s="17">
        <f t="shared" si="86"/>
        <v>571.96519894840389</v>
      </c>
      <c r="H187" s="17">
        <f t="shared" si="87"/>
        <v>829.48574484294102</v>
      </c>
      <c r="I187" s="17">
        <f t="shared" si="88"/>
        <v>679.76264762035714</v>
      </c>
      <c r="J187" s="17">
        <f t="shared" si="89"/>
        <v>676.75103101810168</v>
      </c>
      <c r="K187" s="17">
        <f t="shared" si="90"/>
        <v>459.57684370223973</v>
      </c>
      <c r="L187" s="17">
        <f t="shared" si="91"/>
        <v>681.23081876445974</v>
      </c>
      <c r="M187" s="17">
        <f t="shared" si="92"/>
        <v>593.26447130428141</v>
      </c>
      <c r="N187" s="17">
        <f t="shared" si="93"/>
        <v>605.7455135368574</v>
      </c>
      <c r="O187" s="17">
        <f t="shared" si="94"/>
        <v>591.64447492540501</v>
      </c>
      <c r="P187" s="17">
        <v>0</v>
      </c>
      <c r="Q187" s="17">
        <f t="shared" si="95"/>
        <v>0</v>
      </c>
      <c r="R187" s="17">
        <f t="shared" si="96"/>
        <v>0</v>
      </c>
      <c r="S187" s="17">
        <f t="shared" si="97"/>
        <v>0</v>
      </c>
      <c r="T187" s="17">
        <f t="shared" si="98"/>
        <v>0</v>
      </c>
      <c r="U187" s="17">
        <f t="shared" si="99"/>
        <v>0</v>
      </c>
      <c r="V187" s="17">
        <f t="shared" si="100"/>
        <v>0</v>
      </c>
      <c r="W187" s="17">
        <f t="shared" si="101"/>
        <v>0</v>
      </c>
      <c r="X187" s="17">
        <f t="shared" si="102"/>
        <v>0</v>
      </c>
      <c r="Y187" s="17">
        <f t="shared" si="103"/>
        <v>0</v>
      </c>
      <c r="Z187" s="17">
        <f t="shared" si="104"/>
        <v>0</v>
      </c>
      <c r="AA187" s="17">
        <f t="shared" si="105"/>
        <v>0</v>
      </c>
      <c r="AB187" s="17">
        <f t="shared" si="106"/>
        <v>0</v>
      </c>
      <c r="AC187" s="17">
        <v>0</v>
      </c>
      <c r="AD187" s="17">
        <f t="shared" si="107"/>
        <v>0</v>
      </c>
      <c r="AE187" s="17">
        <f t="shared" si="108"/>
        <v>0</v>
      </c>
      <c r="AF187" s="17">
        <f t="shared" si="109"/>
        <v>0</v>
      </c>
      <c r="AG187" s="17">
        <f t="shared" si="110"/>
        <v>0</v>
      </c>
      <c r="AH187" s="17">
        <f t="shared" si="111"/>
        <v>0</v>
      </c>
      <c r="AI187" s="17">
        <f t="shared" si="112"/>
        <v>0</v>
      </c>
      <c r="AJ187" s="17">
        <f t="shared" si="113"/>
        <v>0</v>
      </c>
      <c r="AK187" s="17">
        <f t="shared" si="114"/>
        <v>0</v>
      </c>
      <c r="AL187" s="17">
        <f t="shared" si="115"/>
        <v>0</v>
      </c>
      <c r="AM187" s="17">
        <f t="shared" si="116"/>
        <v>0</v>
      </c>
      <c r="AN187" s="17">
        <f t="shared" si="117"/>
        <v>0</v>
      </c>
      <c r="AO187" s="17">
        <f t="shared" si="118"/>
        <v>0</v>
      </c>
      <c r="AP187" s="17">
        <f t="shared" si="119"/>
        <v>8000</v>
      </c>
      <c r="AQ187" s="18">
        <v>579.68017866682453</v>
      </c>
      <c r="AR187" s="18">
        <v>693.24306242393789</v>
      </c>
      <c r="AS187" s="18">
        <v>613.52519051555964</v>
      </c>
      <c r="AT187" s="18">
        <v>464.72172414557821</v>
      </c>
      <c r="AU187" s="18">
        <v>673.95716768488955</v>
      </c>
      <c r="AV187" s="18">
        <v>552.30715119154013</v>
      </c>
      <c r="AW187" s="18">
        <v>549.8602127022076</v>
      </c>
      <c r="AX187" s="18">
        <v>373.40618550806977</v>
      </c>
      <c r="AY187" s="18">
        <v>553.5000402461236</v>
      </c>
      <c r="AZ187" s="18">
        <v>482.02738293472862</v>
      </c>
      <c r="BA187" s="18">
        <v>492.1682297486966</v>
      </c>
      <c r="BB187" s="18">
        <v>480.71113587689155</v>
      </c>
      <c r="BC187" s="23">
        <v>8.9181565948742242E-2</v>
      </c>
      <c r="BD187" s="23">
        <v>0.10665277883445198</v>
      </c>
      <c r="BE187" s="23">
        <v>9.438849084854764E-2</v>
      </c>
      <c r="BF187" s="23">
        <v>7.149564986855049E-2</v>
      </c>
      <c r="BG187" s="23">
        <v>0.10368571810536763</v>
      </c>
      <c r="BH187" s="23">
        <v>8.4970330952544637E-2</v>
      </c>
      <c r="BI187" s="23">
        <v>8.4593878877262704E-2</v>
      </c>
      <c r="BJ187" s="23">
        <v>5.7447105462779965E-2</v>
      </c>
      <c r="BK187" s="23">
        <v>8.5153852345557474E-2</v>
      </c>
      <c r="BL187" s="23">
        <v>7.4158058913035174E-2</v>
      </c>
      <c r="BM187" s="23">
        <v>7.5718189192107169E-2</v>
      </c>
      <c r="BN187" s="23">
        <v>7.3955559365675619E-2</v>
      </c>
    </row>
    <row r="188" spans="1:66" x14ac:dyDescent="0.25">
      <c r="A188" s="16">
        <v>1253</v>
      </c>
      <c r="B188" s="16" t="s">
        <v>384</v>
      </c>
      <c r="C188" s="17">
        <v>0</v>
      </c>
      <c r="D188" s="17">
        <f t="shared" si="83"/>
        <v>0</v>
      </c>
      <c r="E188" s="17">
        <f t="shared" si="84"/>
        <v>0</v>
      </c>
      <c r="F188" s="17">
        <f t="shared" si="85"/>
        <v>0</v>
      </c>
      <c r="G188" s="17">
        <f t="shared" si="86"/>
        <v>0</v>
      </c>
      <c r="H188" s="17">
        <f t="shared" si="87"/>
        <v>0</v>
      </c>
      <c r="I188" s="17">
        <f t="shared" si="88"/>
        <v>0</v>
      </c>
      <c r="J188" s="17">
        <f t="shared" si="89"/>
        <v>0</v>
      </c>
      <c r="K188" s="17">
        <f t="shared" si="90"/>
        <v>0</v>
      </c>
      <c r="L188" s="17">
        <f t="shared" si="91"/>
        <v>0</v>
      </c>
      <c r="M188" s="17">
        <f t="shared" si="92"/>
        <v>0</v>
      </c>
      <c r="N188" s="17">
        <f t="shared" si="93"/>
        <v>0</v>
      </c>
      <c r="O188" s="17">
        <f t="shared" si="94"/>
        <v>0</v>
      </c>
      <c r="P188" s="17">
        <v>10000</v>
      </c>
      <c r="Q188" s="17">
        <f t="shared" si="95"/>
        <v>891.81565948742241</v>
      </c>
      <c r="R188" s="17">
        <f t="shared" si="96"/>
        <v>1066.5277883445199</v>
      </c>
      <c r="S188" s="17">
        <f t="shared" si="97"/>
        <v>943.88490848547644</v>
      </c>
      <c r="T188" s="17">
        <f t="shared" si="98"/>
        <v>714.95649868550493</v>
      </c>
      <c r="U188" s="17">
        <f t="shared" si="99"/>
        <v>1036.8571810536762</v>
      </c>
      <c r="V188" s="17">
        <f t="shared" si="100"/>
        <v>849.70330952544634</v>
      </c>
      <c r="W188" s="17">
        <f t="shared" si="101"/>
        <v>845.93878877262705</v>
      </c>
      <c r="X188" s="17">
        <f t="shared" si="102"/>
        <v>574.47105462779962</v>
      </c>
      <c r="Y188" s="17">
        <f t="shared" si="103"/>
        <v>851.5385234555747</v>
      </c>
      <c r="Z188" s="17">
        <f t="shared" si="104"/>
        <v>741.58058913035177</v>
      </c>
      <c r="AA188" s="17">
        <f t="shared" si="105"/>
        <v>757.18189192107172</v>
      </c>
      <c r="AB188" s="17">
        <f t="shared" si="106"/>
        <v>739.55559365675617</v>
      </c>
      <c r="AC188" s="17">
        <v>0</v>
      </c>
      <c r="AD188" s="17">
        <f t="shared" si="107"/>
        <v>0</v>
      </c>
      <c r="AE188" s="17">
        <f t="shared" si="108"/>
        <v>0</v>
      </c>
      <c r="AF188" s="17">
        <f t="shared" si="109"/>
        <v>0</v>
      </c>
      <c r="AG188" s="17">
        <f t="shared" si="110"/>
        <v>0</v>
      </c>
      <c r="AH188" s="17">
        <f t="shared" si="111"/>
        <v>0</v>
      </c>
      <c r="AI188" s="17">
        <f t="shared" si="112"/>
        <v>0</v>
      </c>
      <c r="AJ188" s="17">
        <f t="shared" si="113"/>
        <v>0</v>
      </c>
      <c r="AK188" s="17">
        <f t="shared" si="114"/>
        <v>0</v>
      </c>
      <c r="AL188" s="17">
        <f t="shared" si="115"/>
        <v>0</v>
      </c>
      <c r="AM188" s="17">
        <f t="shared" si="116"/>
        <v>0</v>
      </c>
      <c r="AN188" s="17">
        <f t="shared" si="117"/>
        <v>0</v>
      </c>
      <c r="AO188" s="17">
        <f t="shared" si="118"/>
        <v>0</v>
      </c>
      <c r="AP188" s="17">
        <f t="shared" si="119"/>
        <v>10000</v>
      </c>
      <c r="AQ188" s="18">
        <v>579.68017866682453</v>
      </c>
      <c r="AR188" s="18">
        <v>693.24306242393789</v>
      </c>
      <c r="AS188" s="18">
        <v>613.52519051555964</v>
      </c>
      <c r="AT188" s="18">
        <v>464.72172414557821</v>
      </c>
      <c r="AU188" s="18">
        <v>673.95716768488955</v>
      </c>
      <c r="AV188" s="18">
        <v>552.30715119154013</v>
      </c>
      <c r="AW188" s="18">
        <v>549.8602127022076</v>
      </c>
      <c r="AX188" s="18">
        <v>373.40618550806977</v>
      </c>
      <c r="AY188" s="18">
        <v>553.5000402461236</v>
      </c>
      <c r="AZ188" s="18">
        <v>482.02738293472862</v>
      </c>
      <c r="BA188" s="18">
        <v>492.1682297486966</v>
      </c>
      <c r="BB188" s="18">
        <v>480.71113587689155</v>
      </c>
      <c r="BC188" s="23">
        <v>8.9181565948742242E-2</v>
      </c>
      <c r="BD188" s="23">
        <v>0.10665277883445198</v>
      </c>
      <c r="BE188" s="23">
        <v>9.438849084854764E-2</v>
      </c>
      <c r="BF188" s="23">
        <v>7.149564986855049E-2</v>
      </c>
      <c r="BG188" s="23">
        <v>0.10368571810536763</v>
      </c>
      <c r="BH188" s="23">
        <v>8.4970330952544637E-2</v>
      </c>
      <c r="BI188" s="23">
        <v>8.4593878877262704E-2</v>
      </c>
      <c r="BJ188" s="23">
        <v>5.7447105462779965E-2</v>
      </c>
      <c r="BK188" s="23">
        <v>8.5153852345557474E-2</v>
      </c>
      <c r="BL188" s="23">
        <v>7.4158058913035174E-2</v>
      </c>
      <c r="BM188" s="23">
        <v>7.5718189192107169E-2</v>
      </c>
      <c r="BN188" s="23">
        <v>7.3955559365675619E-2</v>
      </c>
    </row>
    <row r="189" spans="1:66" x14ac:dyDescent="0.25">
      <c r="A189" s="16">
        <v>2670</v>
      </c>
      <c r="B189" s="16" t="s">
        <v>385</v>
      </c>
      <c r="C189" s="17">
        <v>25000</v>
      </c>
      <c r="D189" s="17">
        <f t="shared" si="83"/>
        <v>2229.5391487185561</v>
      </c>
      <c r="E189" s="17">
        <f t="shared" si="84"/>
        <v>2666.3194708612996</v>
      </c>
      <c r="F189" s="17">
        <f t="shared" si="85"/>
        <v>2359.7122712136911</v>
      </c>
      <c r="G189" s="17">
        <f t="shared" si="86"/>
        <v>1787.3912467137623</v>
      </c>
      <c r="H189" s="17">
        <f t="shared" si="87"/>
        <v>2592.1429526341908</v>
      </c>
      <c r="I189" s="17">
        <f t="shared" si="88"/>
        <v>2124.2582738136161</v>
      </c>
      <c r="J189" s="17">
        <f t="shared" si="89"/>
        <v>2114.8469719315676</v>
      </c>
      <c r="K189" s="17">
        <f t="shared" si="90"/>
        <v>1436.1776365694991</v>
      </c>
      <c r="L189" s="17">
        <f t="shared" si="91"/>
        <v>2128.846308638937</v>
      </c>
      <c r="M189" s="17">
        <f t="shared" si="92"/>
        <v>1853.9514728258794</v>
      </c>
      <c r="N189" s="17">
        <f t="shared" si="93"/>
        <v>1892.9547298026791</v>
      </c>
      <c r="O189" s="17">
        <f t="shared" si="94"/>
        <v>1848.8889841418904</v>
      </c>
      <c r="P189" s="17">
        <v>50000</v>
      </c>
      <c r="Q189" s="17">
        <f t="shared" si="95"/>
        <v>4459.0782974371123</v>
      </c>
      <c r="R189" s="17">
        <f t="shared" si="96"/>
        <v>5332.6389417225992</v>
      </c>
      <c r="S189" s="17">
        <f t="shared" si="97"/>
        <v>4719.4245424273822</v>
      </c>
      <c r="T189" s="17">
        <f t="shared" si="98"/>
        <v>3574.7824934275245</v>
      </c>
      <c r="U189" s="17">
        <f t="shared" si="99"/>
        <v>5184.2859052683816</v>
      </c>
      <c r="V189" s="17">
        <f t="shared" si="100"/>
        <v>4248.5165476272323</v>
      </c>
      <c r="W189" s="17">
        <f t="shared" si="101"/>
        <v>4229.6939438631352</v>
      </c>
      <c r="X189" s="17">
        <f t="shared" si="102"/>
        <v>2872.3552731389982</v>
      </c>
      <c r="Y189" s="17">
        <f t="shared" si="103"/>
        <v>4257.692617277874</v>
      </c>
      <c r="Z189" s="17">
        <f t="shared" si="104"/>
        <v>3707.9029456517587</v>
      </c>
      <c r="AA189" s="17">
        <f t="shared" si="105"/>
        <v>3785.9094596053583</v>
      </c>
      <c r="AB189" s="17">
        <f t="shared" si="106"/>
        <v>3697.7779682837809</v>
      </c>
      <c r="AC189" s="17">
        <v>0</v>
      </c>
      <c r="AD189" s="17">
        <f t="shared" si="107"/>
        <v>0</v>
      </c>
      <c r="AE189" s="17">
        <f t="shared" si="108"/>
        <v>0</v>
      </c>
      <c r="AF189" s="17">
        <f t="shared" si="109"/>
        <v>0</v>
      </c>
      <c r="AG189" s="17">
        <f t="shared" si="110"/>
        <v>0</v>
      </c>
      <c r="AH189" s="17">
        <f t="shared" si="111"/>
        <v>0</v>
      </c>
      <c r="AI189" s="17">
        <f t="shared" si="112"/>
        <v>0</v>
      </c>
      <c r="AJ189" s="17">
        <f t="shared" si="113"/>
        <v>0</v>
      </c>
      <c r="AK189" s="17">
        <f t="shared" si="114"/>
        <v>0</v>
      </c>
      <c r="AL189" s="17">
        <f t="shared" si="115"/>
        <v>0</v>
      </c>
      <c r="AM189" s="17">
        <f t="shared" si="116"/>
        <v>0</v>
      </c>
      <c r="AN189" s="17">
        <f t="shared" si="117"/>
        <v>0</v>
      </c>
      <c r="AO189" s="17">
        <f t="shared" si="118"/>
        <v>0</v>
      </c>
      <c r="AP189" s="17">
        <f t="shared" si="119"/>
        <v>75000</v>
      </c>
      <c r="AQ189" s="18">
        <v>535.08939569245342</v>
      </c>
      <c r="AR189" s="18">
        <v>639.9166730067119</v>
      </c>
      <c r="AS189" s="18">
        <v>566.3309450912858</v>
      </c>
      <c r="AT189" s="18">
        <v>428.97389921130292</v>
      </c>
      <c r="AU189" s="18">
        <v>622.11430863220573</v>
      </c>
      <c r="AV189" s="18">
        <v>509.82198571526783</v>
      </c>
      <c r="AW189" s="18">
        <v>507.56327326357621</v>
      </c>
      <c r="AX189" s="18">
        <v>344.68263277667978</v>
      </c>
      <c r="AY189" s="18">
        <v>510.92311407334483</v>
      </c>
      <c r="AZ189" s="18">
        <v>444.94835347821106</v>
      </c>
      <c r="BA189" s="18">
        <v>454.30913515264302</v>
      </c>
      <c r="BB189" s="18">
        <v>443.73335619405373</v>
      </c>
      <c r="BC189" s="23">
        <v>8.9181565948742242E-2</v>
      </c>
      <c r="BD189" s="23">
        <v>0.10665277883445198</v>
      </c>
      <c r="BE189" s="23">
        <v>9.438849084854764E-2</v>
      </c>
      <c r="BF189" s="23">
        <v>7.149564986855049E-2</v>
      </c>
      <c r="BG189" s="23">
        <v>0.10368571810536763</v>
      </c>
      <c r="BH189" s="23">
        <v>8.4970330952544637E-2</v>
      </c>
      <c r="BI189" s="23">
        <v>8.4593878877262704E-2</v>
      </c>
      <c r="BJ189" s="23">
        <v>5.7447105462779965E-2</v>
      </c>
      <c r="BK189" s="23">
        <v>8.5153852345557474E-2</v>
      </c>
      <c r="BL189" s="23">
        <v>7.4158058913035174E-2</v>
      </c>
      <c r="BM189" s="23">
        <v>7.5718189192107169E-2</v>
      </c>
      <c r="BN189" s="23">
        <v>7.3955559365675619E-2</v>
      </c>
    </row>
    <row r="190" spans="1:66" x14ac:dyDescent="0.25">
      <c r="A190" s="16">
        <v>3219</v>
      </c>
      <c r="B190" s="16" t="s">
        <v>386</v>
      </c>
      <c r="C190" s="17">
        <v>0</v>
      </c>
      <c r="D190" s="17">
        <f t="shared" si="83"/>
        <v>0</v>
      </c>
      <c r="E190" s="17">
        <f t="shared" si="84"/>
        <v>0</v>
      </c>
      <c r="F190" s="17">
        <f t="shared" si="85"/>
        <v>0</v>
      </c>
      <c r="G190" s="17">
        <f t="shared" si="86"/>
        <v>0</v>
      </c>
      <c r="H190" s="17">
        <f t="shared" si="87"/>
        <v>0</v>
      </c>
      <c r="I190" s="17">
        <f t="shared" si="88"/>
        <v>0</v>
      </c>
      <c r="J190" s="17">
        <f t="shared" si="89"/>
        <v>0</v>
      </c>
      <c r="K190" s="17">
        <f t="shared" si="90"/>
        <v>0</v>
      </c>
      <c r="L190" s="17">
        <f t="shared" si="91"/>
        <v>0</v>
      </c>
      <c r="M190" s="17">
        <f t="shared" si="92"/>
        <v>0</v>
      </c>
      <c r="N190" s="17">
        <f t="shared" si="93"/>
        <v>0</v>
      </c>
      <c r="O190" s="17">
        <f t="shared" si="94"/>
        <v>0</v>
      </c>
      <c r="P190" s="17">
        <v>15000</v>
      </c>
      <c r="Q190" s="17">
        <f t="shared" si="95"/>
        <v>1337.7234892311337</v>
      </c>
      <c r="R190" s="17">
        <f t="shared" si="96"/>
        <v>1599.7916825167797</v>
      </c>
      <c r="S190" s="17">
        <f t="shared" si="97"/>
        <v>1415.8273627282147</v>
      </c>
      <c r="T190" s="17">
        <f t="shared" si="98"/>
        <v>1072.4347480282574</v>
      </c>
      <c r="U190" s="17">
        <f t="shared" si="99"/>
        <v>1555.2857715805144</v>
      </c>
      <c r="V190" s="17">
        <f t="shared" si="100"/>
        <v>1274.5549642881695</v>
      </c>
      <c r="W190" s="17">
        <f t="shared" si="101"/>
        <v>1268.9081831589406</v>
      </c>
      <c r="X190" s="17">
        <f t="shared" si="102"/>
        <v>861.70658194169948</v>
      </c>
      <c r="Y190" s="17">
        <f t="shared" si="103"/>
        <v>1277.3077851833621</v>
      </c>
      <c r="Z190" s="17">
        <f t="shared" si="104"/>
        <v>1112.3708836955277</v>
      </c>
      <c r="AA190" s="17">
        <f t="shared" si="105"/>
        <v>1135.7728378816075</v>
      </c>
      <c r="AB190" s="17">
        <f t="shared" si="106"/>
        <v>1109.3333904851343</v>
      </c>
      <c r="AC190" s="17">
        <v>0</v>
      </c>
      <c r="AD190" s="17">
        <f t="shared" si="107"/>
        <v>0</v>
      </c>
      <c r="AE190" s="17">
        <f t="shared" si="108"/>
        <v>0</v>
      </c>
      <c r="AF190" s="17">
        <f t="shared" si="109"/>
        <v>0</v>
      </c>
      <c r="AG190" s="17">
        <f t="shared" si="110"/>
        <v>0</v>
      </c>
      <c r="AH190" s="17">
        <f t="shared" si="111"/>
        <v>0</v>
      </c>
      <c r="AI190" s="17">
        <f t="shared" si="112"/>
        <v>0</v>
      </c>
      <c r="AJ190" s="17">
        <f t="shared" si="113"/>
        <v>0</v>
      </c>
      <c r="AK190" s="17">
        <f t="shared" si="114"/>
        <v>0</v>
      </c>
      <c r="AL190" s="17">
        <f t="shared" si="115"/>
        <v>0</v>
      </c>
      <c r="AM190" s="17">
        <f t="shared" si="116"/>
        <v>0</v>
      </c>
      <c r="AN190" s="17">
        <f t="shared" si="117"/>
        <v>0</v>
      </c>
      <c r="AO190" s="17">
        <f t="shared" si="118"/>
        <v>0</v>
      </c>
      <c r="AP190" s="17">
        <f t="shared" si="119"/>
        <v>15000</v>
      </c>
      <c r="AQ190" s="18">
        <v>535.08939569245342</v>
      </c>
      <c r="AR190" s="18">
        <v>639.9166730067119</v>
      </c>
      <c r="AS190" s="18">
        <v>566.3309450912858</v>
      </c>
      <c r="AT190" s="18">
        <v>428.97389921130292</v>
      </c>
      <c r="AU190" s="18">
        <v>622.11430863220573</v>
      </c>
      <c r="AV190" s="18">
        <v>509.82198571526783</v>
      </c>
      <c r="AW190" s="18">
        <v>507.56327326357621</v>
      </c>
      <c r="AX190" s="18">
        <v>344.68263277667978</v>
      </c>
      <c r="AY190" s="18">
        <v>510.92311407334483</v>
      </c>
      <c r="AZ190" s="18">
        <v>444.94835347821106</v>
      </c>
      <c r="BA190" s="18">
        <v>454.30913515264302</v>
      </c>
      <c r="BB190" s="18">
        <v>443.73335619405373</v>
      </c>
      <c r="BC190" s="23">
        <v>8.9181565948742242E-2</v>
      </c>
      <c r="BD190" s="23">
        <v>0.10665277883445198</v>
      </c>
      <c r="BE190" s="23">
        <v>9.438849084854764E-2</v>
      </c>
      <c r="BF190" s="23">
        <v>7.149564986855049E-2</v>
      </c>
      <c r="BG190" s="23">
        <v>0.10368571810536763</v>
      </c>
      <c r="BH190" s="23">
        <v>8.4970330952544637E-2</v>
      </c>
      <c r="BI190" s="23">
        <v>8.4593878877262704E-2</v>
      </c>
      <c r="BJ190" s="23">
        <v>5.7447105462779965E-2</v>
      </c>
      <c r="BK190" s="23">
        <v>8.5153852345557474E-2</v>
      </c>
      <c r="BL190" s="23">
        <v>7.4158058913035174E-2</v>
      </c>
      <c r="BM190" s="23">
        <v>7.5718189192107169E-2</v>
      </c>
      <c r="BN190" s="23">
        <v>7.3955559365675619E-2</v>
      </c>
    </row>
    <row r="191" spans="1:66" x14ac:dyDescent="0.25">
      <c r="A191" s="16">
        <v>3847</v>
      </c>
      <c r="B191" s="16" t="s">
        <v>387</v>
      </c>
      <c r="C191" s="17">
        <v>0</v>
      </c>
      <c r="D191" s="17">
        <f t="shared" si="83"/>
        <v>0</v>
      </c>
      <c r="E191" s="17">
        <f t="shared" si="84"/>
        <v>0</v>
      </c>
      <c r="F191" s="17">
        <f t="shared" si="85"/>
        <v>0</v>
      </c>
      <c r="G191" s="17">
        <f t="shared" si="86"/>
        <v>0</v>
      </c>
      <c r="H191" s="17">
        <f t="shared" si="87"/>
        <v>0</v>
      </c>
      <c r="I191" s="17">
        <f t="shared" si="88"/>
        <v>0</v>
      </c>
      <c r="J191" s="17">
        <f t="shared" si="89"/>
        <v>0</v>
      </c>
      <c r="K191" s="17">
        <f t="shared" si="90"/>
        <v>0</v>
      </c>
      <c r="L191" s="17">
        <f t="shared" si="91"/>
        <v>0</v>
      </c>
      <c r="M191" s="17">
        <f t="shared" si="92"/>
        <v>0</v>
      </c>
      <c r="N191" s="17">
        <f t="shared" si="93"/>
        <v>0</v>
      </c>
      <c r="O191" s="17">
        <f t="shared" si="94"/>
        <v>0</v>
      </c>
      <c r="P191" s="17">
        <v>2000</v>
      </c>
      <c r="Q191" s="17">
        <f t="shared" si="95"/>
        <v>178.36313189748449</v>
      </c>
      <c r="R191" s="17">
        <f t="shared" si="96"/>
        <v>213.30555766890396</v>
      </c>
      <c r="S191" s="17">
        <f t="shared" si="97"/>
        <v>188.77698169709529</v>
      </c>
      <c r="T191" s="17">
        <f t="shared" si="98"/>
        <v>142.99129973710097</v>
      </c>
      <c r="U191" s="17">
        <f t="shared" si="99"/>
        <v>207.37143621073525</v>
      </c>
      <c r="V191" s="17">
        <f t="shared" si="100"/>
        <v>169.94066190508929</v>
      </c>
      <c r="W191" s="17">
        <f t="shared" si="101"/>
        <v>169.18775775452542</v>
      </c>
      <c r="X191" s="17">
        <f t="shared" si="102"/>
        <v>114.89421092555993</v>
      </c>
      <c r="Y191" s="17">
        <f t="shared" si="103"/>
        <v>170.30770469111494</v>
      </c>
      <c r="Z191" s="17">
        <f t="shared" si="104"/>
        <v>148.31611782607035</v>
      </c>
      <c r="AA191" s="17">
        <f t="shared" si="105"/>
        <v>151.43637838421435</v>
      </c>
      <c r="AB191" s="17">
        <f t="shared" si="106"/>
        <v>147.91111873135125</v>
      </c>
      <c r="AC191" s="17">
        <v>0</v>
      </c>
      <c r="AD191" s="17">
        <f t="shared" si="107"/>
        <v>0</v>
      </c>
      <c r="AE191" s="17">
        <f t="shared" si="108"/>
        <v>0</v>
      </c>
      <c r="AF191" s="17">
        <f t="shared" si="109"/>
        <v>0</v>
      </c>
      <c r="AG191" s="17">
        <f t="shared" si="110"/>
        <v>0</v>
      </c>
      <c r="AH191" s="17">
        <f t="shared" si="111"/>
        <v>0</v>
      </c>
      <c r="AI191" s="17">
        <f t="shared" si="112"/>
        <v>0</v>
      </c>
      <c r="AJ191" s="17">
        <f t="shared" si="113"/>
        <v>0</v>
      </c>
      <c r="AK191" s="17">
        <f t="shared" si="114"/>
        <v>0</v>
      </c>
      <c r="AL191" s="17">
        <f t="shared" si="115"/>
        <v>0</v>
      </c>
      <c r="AM191" s="17">
        <f t="shared" si="116"/>
        <v>0</v>
      </c>
      <c r="AN191" s="17">
        <f t="shared" si="117"/>
        <v>0</v>
      </c>
      <c r="AO191" s="17">
        <f t="shared" si="118"/>
        <v>0</v>
      </c>
      <c r="AP191" s="17">
        <f t="shared" si="119"/>
        <v>2000</v>
      </c>
      <c r="AQ191" s="18">
        <v>535.08939569245342</v>
      </c>
      <c r="AR191" s="18">
        <v>639.9166730067119</v>
      </c>
      <c r="AS191" s="18">
        <v>566.3309450912858</v>
      </c>
      <c r="AT191" s="18">
        <v>428.97389921130292</v>
      </c>
      <c r="AU191" s="18">
        <v>622.11430863220573</v>
      </c>
      <c r="AV191" s="18">
        <v>509.82198571526783</v>
      </c>
      <c r="AW191" s="18">
        <v>507.56327326357621</v>
      </c>
      <c r="AX191" s="18">
        <v>344.68263277667978</v>
      </c>
      <c r="AY191" s="18">
        <v>510.92311407334483</v>
      </c>
      <c r="AZ191" s="18">
        <v>444.94835347821106</v>
      </c>
      <c r="BA191" s="18">
        <v>454.30913515264302</v>
      </c>
      <c r="BB191" s="18">
        <v>443.73335619405373</v>
      </c>
      <c r="BC191" s="23">
        <v>8.9181565948742242E-2</v>
      </c>
      <c r="BD191" s="23">
        <v>0.10665277883445198</v>
      </c>
      <c r="BE191" s="23">
        <v>9.438849084854764E-2</v>
      </c>
      <c r="BF191" s="23">
        <v>7.149564986855049E-2</v>
      </c>
      <c r="BG191" s="23">
        <v>0.10368571810536763</v>
      </c>
      <c r="BH191" s="23">
        <v>8.4970330952544637E-2</v>
      </c>
      <c r="BI191" s="23">
        <v>8.4593878877262704E-2</v>
      </c>
      <c r="BJ191" s="23">
        <v>5.7447105462779965E-2</v>
      </c>
      <c r="BK191" s="23">
        <v>8.5153852345557474E-2</v>
      </c>
      <c r="BL191" s="23">
        <v>7.4158058913035174E-2</v>
      </c>
      <c r="BM191" s="23">
        <v>7.5718189192107169E-2</v>
      </c>
      <c r="BN191" s="23">
        <v>7.3955559365675619E-2</v>
      </c>
    </row>
    <row r="192" spans="1:66" x14ac:dyDescent="0.25">
      <c r="A192" s="16">
        <v>4166</v>
      </c>
      <c r="B192" s="16" t="s">
        <v>388</v>
      </c>
      <c r="C192" s="17">
        <v>2000</v>
      </c>
      <c r="D192" s="17">
        <f t="shared" si="83"/>
        <v>178.36313189748449</v>
      </c>
      <c r="E192" s="17">
        <f t="shared" si="84"/>
        <v>213.30555766890396</v>
      </c>
      <c r="F192" s="17">
        <f t="shared" si="85"/>
        <v>188.77698169709529</v>
      </c>
      <c r="G192" s="17">
        <f t="shared" si="86"/>
        <v>142.99129973710097</v>
      </c>
      <c r="H192" s="17">
        <f t="shared" si="87"/>
        <v>207.37143621073525</v>
      </c>
      <c r="I192" s="17">
        <f t="shared" si="88"/>
        <v>169.94066190508929</v>
      </c>
      <c r="J192" s="17">
        <f t="shared" si="89"/>
        <v>169.18775775452542</v>
      </c>
      <c r="K192" s="17">
        <f t="shared" si="90"/>
        <v>114.89421092555993</v>
      </c>
      <c r="L192" s="17">
        <f t="shared" si="91"/>
        <v>170.30770469111494</v>
      </c>
      <c r="M192" s="17">
        <f t="shared" si="92"/>
        <v>148.31611782607035</v>
      </c>
      <c r="N192" s="17">
        <f t="shared" si="93"/>
        <v>151.43637838421435</v>
      </c>
      <c r="O192" s="17">
        <f t="shared" si="94"/>
        <v>147.91111873135125</v>
      </c>
      <c r="P192" s="17">
        <v>0</v>
      </c>
      <c r="Q192" s="17">
        <f t="shared" si="95"/>
        <v>0</v>
      </c>
      <c r="R192" s="17">
        <f t="shared" si="96"/>
        <v>0</v>
      </c>
      <c r="S192" s="17">
        <f t="shared" si="97"/>
        <v>0</v>
      </c>
      <c r="T192" s="17">
        <f t="shared" si="98"/>
        <v>0</v>
      </c>
      <c r="U192" s="17">
        <f t="shared" si="99"/>
        <v>0</v>
      </c>
      <c r="V192" s="17">
        <f t="shared" si="100"/>
        <v>0</v>
      </c>
      <c r="W192" s="17">
        <f t="shared" si="101"/>
        <v>0</v>
      </c>
      <c r="X192" s="17">
        <f t="shared" si="102"/>
        <v>0</v>
      </c>
      <c r="Y192" s="17">
        <f t="shared" si="103"/>
        <v>0</v>
      </c>
      <c r="Z192" s="17">
        <f t="shared" si="104"/>
        <v>0</v>
      </c>
      <c r="AA192" s="17">
        <f t="shared" si="105"/>
        <v>0</v>
      </c>
      <c r="AB192" s="17">
        <f t="shared" si="106"/>
        <v>0</v>
      </c>
      <c r="AC192" s="17">
        <v>6500</v>
      </c>
      <c r="AD192" s="17">
        <f t="shared" si="107"/>
        <v>579.68017866682453</v>
      </c>
      <c r="AE192" s="17">
        <f t="shared" si="108"/>
        <v>693.24306242393789</v>
      </c>
      <c r="AF192" s="17">
        <f t="shared" si="109"/>
        <v>613.52519051555964</v>
      </c>
      <c r="AG192" s="17">
        <f t="shared" si="110"/>
        <v>464.72172414557821</v>
      </c>
      <c r="AH192" s="17">
        <f t="shared" si="111"/>
        <v>673.95716768488955</v>
      </c>
      <c r="AI192" s="17">
        <f t="shared" si="112"/>
        <v>552.30715119154013</v>
      </c>
      <c r="AJ192" s="17">
        <f t="shared" si="113"/>
        <v>549.8602127022076</v>
      </c>
      <c r="AK192" s="17">
        <f t="shared" si="114"/>
        <v>373.40618550806977</v>
      </c>
      <c r="AL192" s="17">
        <f t="shared" si="115"/>
        <v>553.5000402461236</v>
      </c>
      <c r="AM192" s="17">
        <f t="shared" si="116"/>
        <v>482.02738293472862</v>
      </c>
      <c r="AN192" s="17">
        <f t="shared" si="117"/>
        <v>492.1682297486966</v>
      </c>
      <c r="AO192" s="17">
        <f t="shared" si="118"/>
        <v>480.71113587689155</v>
      </c>
      <c r="AP192" s="17">
        <f t="shared" si="119"/>
        <v>8500</v>
      </c>
      <c r="AQ192" s="18">
        <v>535.08939569245342</v>
      </c>
      <c r="AR192" s="18">
        <v>639.9166730067119</v>
      </c>
      <c r="AS192" s="18">
        <v>566.3309450912858</v>
      </c>
      <c r="AT192" s="18">
        <v>428.97389921130292</v>
      </c>
      <c r="AU192" s="18">
        <v>622.11430863220573</v>
      </c>
      <c r="AV192" s="18">
        <v>509.82198571526783</v>
      </c>
      <c r="AW192" s="18">
        <v>507.56327326357621</v>
      </c>
      <c r="AX192" s="18">
        <v>344.68263277667978</v>
      </c>
      <c r="AY192" s="18">
        <v>510.92311407334483</v>
      </c>
      <c r="AZ192" s="18">
        <v>444.94835347821106</v>
      </c>
      <c r="BA192" s="18">
        <v>454.30913515264302</v>
      </c>
      <c r="BB192" s="18">
        <v>443.73335619405373</v>
      </c>
      <c r="BC192" s="23">
        <v>8.9181565948742242E-2</v>
      </c>
      <c r="BD192" s="23">
        <v>0.10665277883445198</v>
      </c>
      <c r="BE192" s="23">
        <v>9.438849084854764E-2</v>
      </c>
      <c r="BF192" s="23">
        <v>7.149564986855049E-2</v>
      </c>
      <c r="BG192" s="23">
        <v>0.10368571810536763</v>
      </c>
      <c r="BH192" s="23">
        <v>8.4970330952544637E-2</v>
      </c>
      <c r="BI192" s="23">
        <v>8.4593878877262704E-2</v>
      </c>
      <c r="BJ192" s="23">
        <v>5.7447105462779965E-2</v>
      </c>
      <c r="BK192" s="23">
        <v>8.5153852345557474E-2</v>
      </c>
      <c r="BL192" s="23">
        <v>7.4158058913035174E-2</v>
      </c>
      <c r="BM192" s="23">
        <v>7.5718189192107169E-2</v>
      </c>
      <c r="BN192" s="23">
        <v>7.3955559365675619E-2</v>
      </c>
    </row>
    <row r="193" spans="1:66" x14ac:dyDescent="0.25">
      <c r="A193" s="16">
        <v>4185</v>
      </c>
      <c r="B193" s="16" t="s">
        <v>389</v>
      </c>
      <c r="C193" s="17">
        <v>6000</v>
      </c>
      <c r="D193" s="17">
        <f t="shared" si="83"/>
        <v>535.08939569245342</v>
      </c>
      <c r="E193" s="17">
        <f t="shared" si="84"/>
        <v>639.9166730067119</v>
      </c>
      <c r="F193" s="17">
        <f t="shared" si="85"/>
        <v>566.3309450912858</v>
      </c>
      <c r="G193" s="17">
        <f t="shared" si="86"/>
        <v>428.97389921130292</v>
      </c>
      <c r="H193" s="17">
        <f t="shared" si="87"/>
        <v>622.11430863220573</v>
      </c>
      <c r="I193" s="17">
        <f t="shared" si="88"/>
        <v>509.82198571526783</v>
      </c>
      <c r="J193" s="17">
        <f t="shared" si="89"/>
        <v>507.56327326357621</v>
      </c>
      <c r="K193" s="17">
        <f t="shared" si="90"/>
        <v>344.68263277667978</v>
      </c>
      <c r="L193" s="17">
        <f t="shared" si="91"/>
        <v>510.92311407334483</v>
      </c>
      <c r="M193" s="17">
        <f t="shared" si="92"/>
        <v>444.94835347821106</v>
      </c>
      <c r="N193" s="17">
        <f t="shared" si="93"/>
        <v>454.30913515264302</v>
      </c>
      <c r="O193" s="17">
        <f t="shared" si="94"/>
        <v>443.73335619405373</v>
      </c>
      <c r="P193" s="17">
        <v>0</v>
      </c>
      <c r="Q193" s="17">
        <f t="shared" si="95"/>
        <v>0</v>
      </c>
      <c r="R193" s="17">
        <f t="shared" si="96"/>
        <v>0</v>
      </c>
      <c r="S193" s="17">
        <f t="shared" si="97"/>
        <v>0</v>
      </c>
      <c r="T193" s="17">
        <f t="shared" si="98"/>
        <v>0</v>
      </c>
      <c r="U193" s="17">
        <f t="shared" si="99"/>
        <v>0</v>
      </c>
      <c r="V193" s="17">
        <f t="shared" si="100"/>
        <v>0</v>
      </c>
      <c r="W193" s="17">
        <f t="shared" si="101"/>
        <v>0</v>
      </c>
      <c r="X193" s="17">
        <f t="shared" si="102"/>
        <v>0</v>
      </c>
      <c r="Y193" s="17">
        <f t="shared" si="103"/>
        <v>0</v>
      </c>
      <c r="Z193" s="17">
        <f t="shared" si="104"/>
        <v>0</v>
      </c>
      <c r="AA193" s="17">
        <f t="shared" si="105"/>
        <v>0</v>
      </c>
      <c r="AB193" s="17">
        <f t="shared" si="106"/>
        <v>0</v>
      </c>
      <c r="AC193" s="17">
        <v>0</v>
      </c>
      <c r="AD193" s="17">
        <f t="shared" si="107"/>
        <v>0</v>
      </c>
      <c r="AE193" s="17">
        <f t="shared" si="108"/>
        <v>0</v>
      </c>
      <c r="AF193" s="17">
        <f t="shared" si="109"/>
        <v>0</v>
      </c>
      <c r="AG193" s="17">
        <f t="shared" si="110"/>
        <v>0</v>
      </c>
      <c r="AH193" s="17">
        <f t="shared" si="111"/>
        <v>0</v>
      </c>
      <c r="AI193" s="17">
        <f t="shared" si="112"/>
        <v>0</v>
      </c>
      <c r="AJ193" s="17">
        <f t="shared" si="113"/>
        <v>0</v>
      </c>
      <c r="AK193" s="17">
        <f t="shared" si="114"/>
        <v>0</v>
      </c>
      <c r="AL193" s="17">
        <f t="shared" si="115"/>
        <v>0</v>
      </c>
      <c r="AM193" s="17">
        <f t="shared" si="116"/>
        <v>0</v>
      </c>
      <c r="AN193" s="17">
        <f t="shared" si="117"/>
        <v>0</v>
      </c>
      <c r="AO193" s="17">
        <f t="shared" si="118"/>
        <v>0</v>
      </c>
      <c r="AP193" s="17">
        <f t="shared" si="119"/>
        <v>6000</v>
      </c>
      <c r="AQ193" s="18">
        <v>535.08939569245342</v>
      </c>
      <c r="AR193" s="18">
        <v>639.9166730067119</v>
      </c>
      <c r="AS193" s="18">
        <v>566.3309450912858</v>
      </c>
      <c r="AT193" s="18">
        <v>428.97389921130292</v>
      </c>
      <c r="AU193" s="18">
        <v>622.11430863220573</v>
      </c>
      <c r="AV193" s="18">
        <v>509.82198571526783</v>
      </c>
      <c r="AW193" s="18">
        <v>507.56327326357621</v>
      </c>
      <c r="AX193" s="18">
        <v>344.68263277667978</v>
      </c>
      <c r="AY193" s="18">
        <v>510.92311407334483</v>
      </c>
      <c r="AZ193" s="18">
        <v>444.94835347821106</v>
      </c>
      <c r="BA193" s="18">
        <v>454.30913515264302</v>
      </c>
      <c r="BB193" s="18">
        <v>443.73335619405373</v>
      </c>
      <c r="BC193" s="23">
        <v>8.9181565948742242E-2</v>
      </c>
      <c r="BD193" s="23">
        <v>0.10665277883445198</v>
      </c>
      <c r="BE193" s="23">
        <v>9.438849084854764E-2</v>
      </c>
      <c r="BF193" s="23">
        <v>7.149564986855049E-2</v>
      </c>
      <c r="BG193" s="23">
        <v>0.10368571810536763</v>
      </c>
      <c r="BH193" s="23">
        <v>8.4970330952544637E-2</v>
      </c>
      <c r="BI193" s="23">
        <v>8.4593878877262704E-2</v>
      </c>
      <c r="BJ193" s="23">
        <v>5.7447105462779965E-2</v>
      </c>
      <c r="BK193" s="23">
        <v>8.5153852345557474E-2</v>
      </c>
      <c r="BL193" s="23">
        <v>7.4158058913035174E-2</v>
      </c>
      <c r="BM193" s="23">
        <v>7.5718189192107169E-2</v>
      </c>
      <c r="BN193" s="23">
        <v>7.3955559365675619E-2</v>
      </c>
    </row>
    <row r="194" spans="1:66" x14ac:dyDescent="0.25">
      <c r="A194" s="16">
        <v>4198</v>
      </c>
      <c r="B194" s="16" t="s">
        <v>390</v>
      </c>
      <c r="C194" s="17">
        <v>6000</v>
      </c>
      <c r="D194" s="17">
        <f t="shared" si="83"/>
        <v>535.08939569245342</v>
      </c>
      <c r="E194" s="17">
        <f t="shared" si="84"/>
        <v>639.9166730067119</v>
      </c>
      <c r="F194" s="17">
        <f t="shared" si="85"/>
        <v>566.3309450912858</v>
      </c>
      <c r="G194" s="17">
        <f t="shared" si="86"/>
        <v>428.97389921130292</v>
      </c>
      <c r="H194" s="17">
        <f t="shared" si="87"/>
        <v>622.11430863220573</v>
      </c>
      <c r="I194" s="17">
        <f t="shared" si="88"/>
        <v>509.82198571526783</v>
      </c>
      <c r="J194" s="17">
        <f t="shared" si="89"/>
        <v>507.56327326357621</v>
      </c>
      <c r="K194" s="17">
        <f t="shared" si="90"/>
        <v>344.68263277667978</v>
      </c>
      <c r="L194" s="17">
        <f t="shared" si="91"/>
        <v>510.92311407334483</v>
      </c>
      <c r="M194" s="17">
        <f t="shared" si="92"/>
        <v>444.94835347821106</v>
      </c>
      <c r="N194" s="17">
        <f t="shared" si="93"/>
        <v>454.30913515264302</v>
      </c>
      <c r="O194" s="17">
        <f t="shared" si="94"/>
        <v>443.73335619405373</v>
      </c>
      <c r="P194" s="17">
        <v>0</v>
      </c>
      <c r="Q194" s="17">
        <f t="shared" si="95"/>
        <v>0</v>
      </c>
      <c r="R194" s="17">
        <f t="shared" si="96"/>
        <v>0</v>
      </c>
      <c r="S194" s="17">
        <f t="shared" si="97"/>
        <v>0</v>
      </c>
      <c r="T194" s="17">
        <f t="shared" si="98"/>
        <v>0</v>
      </c>
      <c r="U194" s="17">
        <f t="shared" si="99"/>
        <v>0</v>
      </c>
      <c r="V194" s="17">
        <f t="shared" si="100"/>
        <v>0</v>
      </c>
      <c r="W194" s="17">
        <f t="shared" si="101"/>
        <v>0</v>
      </c>
      <c r="X194" s="17">
        <f t="shared" si="102"/>
        <v>0</v>
      </c>
      <c r="Y194" s="17">
        <f t="shared" si="103"/>
        <v>0</v>
      </c>
      <c r="Z194" s="17">
        <f t="shared" si="104"/>
        <v>0</v>
      </c>
      <c r="AA194" s="17">
        <f t="shared" si="105"/>
        <v>0</v>
      </c>
      <c r="AB194" s="17">
        <f t="shared" si="106"/>
        <v>0</v>
      </c>
      <c r="AC194" s="17">
        <v>0</v>
      </c>
      <c r="AD194" s="17">
        <f t="shared" si="107"/>
        <v>0</v>
      </c>
      <c r="AE194" s="17">
        <f t="shared" si="108"/>
        <v>0</v>
      </c>
      <c r="AF194" s="17">
        <f t="shared" si="109"/>
        <v>0</v>
      </c>
      <c r="AG194" s="17">
        <f t="shared" si="110"/>
        <v>0</v>
      </c>
      <c r="AH194" s="17">
        <f t="shared" si="111"/>
        <v>0</v>
      </c>
      <c r="AI194" s="17">
        <f t="shared" si="112"/>
        <v>0</v>
      </c>
      <c r="AJ194" s="17">
        <f t="shared" si="113"/>
        <v>0</v>
      </c>
      <c r="AK194" s="17">
        <f t="shared" si="114"/>
        <v>0</v>
      </c>
      <c r="AL194" s="17">
        <f t="shared" si="115"/>
        <v>0</v>
      </c>
      <c r="AM194" s="17">
        <f t="shared" si="116"/>
        <v>0</v>
      </c>
      <c r="AN194" s="17">
        <f t="shared" si="117"/>
        <v>0</v>
      </c>
      <c r="AO194" s="17">
        <f t="shared" si="118"/>
        <v>0</v>
      </c>
      <c r="AP194" s="17">
        <f t="shared" si="119"/>
        <v>6000</v>
      </c>
      <c r="AQ194" s="18">
        <v>535.08939569245342</v>
      </c>
      <c r="AR194" s="18">
        <v>639.9166730067119</v>
      </c>
      <c r="AS194" s="18">
        <v>566.3309450912858</v>
      </c>
      <c r="AT194" s="18">
        <v>428.97389921130292</v>
      </c>
      <c r="AU194" s="18">
        <v>622.11430863220573</v>
      </c>
      <c r="AV194" s="18">
        <v>509.82198571526783</v>
      </c>
      <c r="AW194" s="18">
        <v>507.56327326357621</v>
      </c>
      <c r="AX194" s="18">
        <v>344.68263277667978</v>
      </c>
      <c r="AY194" s="18">
        <v>510.92311407334483</v>
      </c>
      <c r="AZ194" s="18">
        <v>444.94835347821106</v>
      </c>
      <c r="BA194" s="18">
        <v>454.30913515264302</v>
      </c>
      <c r="BB194" s="18">
        <v>443.73335619405373</v>
      </c>
      <c r="BC194" s="23">
        <v>8.9181565948742242E-2</v>
      </c>
      <c r="BD194" s="23">
        <v>0.10665277883445198</v>
      </c>
      <c r="BE194" s="23">
        <v>9.438849084854764E-2</v>
      </c>
      <c r="BF194" s="23">
        <v>7.149564986855049E-2</v>
      </c>
      <c r="BG194" s="23">
        <v>0.10368571810536763</v>
      </c>
      <c r="BH194" s="23">
        <v>8.4970330952544637E-2</v>
      </c>
      <c r="BI194" s="23">
        <v>8.4593878877262704E-2</v>
      </c>
      <c r="BJ194" s="23">
        <v>5.7447105462779965E-2</v>
      </c>
      <c r="BK194" s="23">
        <v>8.5153852345557474E-2</v>
      </c>
      <c r="BL194" s="23">
        <v>7.4158058913035174E-2</v>
      </c>
      <c r="BM194" s="23">
        <v>7.5718189192107169E-2</v>
      </c>
      <c r="BN194" s="23">
        <v>7.3955559365675619E-2</v>
      </c>
    </row>
    <row r="195" spans="1:66" x14ac:dyDescent="0.25">
      <c r="A195" s="16">
        <v>4319</v>
      </c>
      <c r="B195" s="16" t="s">
        <v>391</v>
      </c>
      <c r="C195" s="17">
        <v>0</v>
      </c>
      <c r="D195" s="17">
        <f t="shared" si="83"/>
        <v>0</v>
      </c>
      <c r="E195" s="17">
        <f t="shared" si="84"/>
        <v>0</v>
      </c>
      <c r="F195" s="17">
        <f t="shared" si="85"/>
        <v>0</v>
      </c>
      <c r="G195" s="17">
        <f t="shared" si="86"/>
        <v>0</v>
      </c>
      <c r="H195" s="17">
        <f t="shared" si="87"/>
        <v>0</v>
      </c>
      <c r="I195" s="17">
        <f t="shared" si="88"/>
        <v>0</v>
      </c>
      <c r="J195" s="17">
        <f t="shared" si="89"/>
        <v>0</v>
      </c>
      <c r="K195" s="17">
        <f t="shared" si="90"/>
        <v>0</v>
      </c>
      <c r="L195" s="17">
        <f t="shared" si="91"/>
        <v>0</v>
      </c>
      <c r="M195" s="17">
        <f t="shared" si="92"/>
        <v>0</v>
      </c>
      <c r="N195" s="17">
        <f t="shared" si="93"/>
        <v>0</v>
      </c>
      <c r="O195" s="17">
        <f t="shared" si="94"/>
        <v>0</v>
      </c>
      <c r="P195" s="17">
        <v>0</v>
      </c>
      <c r="Q195" s="17">
        <f t="shared" si="95"/>
        <v>0</v>
      </c>
      <c r="R195" s="17">
        <f t="shared" si="96"/>
        <v>0</v>
      </c>
      <c r="S195" s="17">
        <f t="shared" si="97"/>
        <v>0</v>
      </c>
      <c r="T195" s="17">
        <f t="shared" si="98"/>
        <v>0</v>
      </c>
      <c r="U195" s="17">
        <f t="shared" si="99"/>
        <v>0</v>
      </c>
      <c r="V195" s="17">
        <f t="shared" si="100"/>
        <v>0</v>
      </c>
      <c r="W195" s="17">
        <f t="shared" si="101"/>
        <v>0</v>
      </c>
      <c r="X195" s="17">
        <f t="shared" si="102"/>
        <v>0</v>
      </c>
      <c r="Y195" s="17">
        <f t="shared" si="103"/>
        <v>0</v>
      </c>
      <c r="Z195" s="17">
        <f t="shared" si="104"/>
        <v>0</v>
      </c>
      <c r="AA195" s="17">
        <f t="shared" si="105"/>
        <v>0</v>
      </c>
      <c r="AB195" s="17">
        <f t="shared" si="106"/>
        <v>0</v>
      </c>
      <c r="AC195" s="17">
        <v>0</v>
      </c>
      <c r="AD195" s="17">
        <f t="shared" si="107"/>
        <v>0</v>
      </c>
      <c r="AE195" s="17">
        <f t="shared" si="108"/>
        <v>0</v>
      </c>
      <c r="AF195" s="17">
        <f t="shared" si="109"/>
        <v>0</v>
      </c>
      <c r="AG195" s="17">
        <f t="shared" si="110"/>
        <v>0</v>
      </c>
      <c r="AH195" s="17">
        <f t="shared" si="111"/>
        <v>0</v>
      </c>
      <c r="AI195" s="17">
        <f t="shared" si="112"/>
        <v>0</v>
      </c>
      <c r="AJ195" s="17">
        <f t="shared" si="113"/>
        <v>0</v>
      </c>
      <c r="AK195" s="17">
        <f t="shared" si="114"/>
        <v>0</v>
      </c>
      <c r="AL195" s="17">
        <f t="shared" si="115"/>
        <v>0</v>
      </c>
      <c r="AM195" s="17">
        <f t="shared" si="116"/>
        <v>0</v>
      </c>
      <c r="AN195" s="17">
        <f t="shared" si="117"/>
        <v>0</v>
      </c>
      <c r="AO195" s="17">
        <f t="shared" si="118"/>
        <v>0</v>
      </c>
      <c r="AP195" s="17">
        <f t="shared" si="119"/>
        <v>0</v>
      </c>
      <c r="AQ195" s="18">
        <v>535.08939569245342</v>
      </c>
      <c r="AR195" s="18">
        <v>639.9166730067119</v>
      </c>
      <c r="AS195" s="18">
        <v>566.3309450912858</v>
      </c>
      <c r="AT195" s="18">
        <v>428.97389921130292</v>
      </c>
      <c r="AU195" s="18">
        <v>622.11430863220573</v>
      </c>
      <c r="AV195" s="18">
        <v>509.82198571526783</v>
      </c>
      <c r="AW195" s="18">
        <v>507.56327326357621</v>
      </c>
      <c r="AX195" s="18">
        <v>344.68263277667978</v>
      </c>
      <c r="AY195" s="18">
        <v>510.92311407334483</v>
      </c>
      <c r="AZ195" s="18">
        <v>444.94835347821106</v>
      </c>
      <c r="BA195" s="18">
        <v>454.30913515264302</v>
      </c>
      <c r="BB195" s="18">
        <v>443.73335619405373</v>
      </c>
      <c r="BC195" s="23">
        <v>8.9181565948742242E-2</v>
      </c>
      <c r="BD195" s="23">
        <v>0.10665277883445198</v>
      </c>
      <c r="BE195" s="23">
        <v>9.438849084854764E-2</v>
      </c>
      <c r="BF195" s="23">
        <v>7.149564986855049E-2</v>
      </c>
      <c r="BG195" s="23">
        <v>0.10368571810536763</v>
      </c>
      <c r="BH195" s="23">
        <v>8.4970330952544637E-2</v>
      </c>
      <c r="BI195" s="23">
        <v>8.4593878877262704E-2</v>
      </c>
      <c r="BJ195" s="23">
        <v>5.7447105462779965E-2</v>
      </c>
      <c r="BK195" s="23">
        <v>8.5153852345557474E-2</v>
      </c>
      <c r="BL195" s="23">
        <v>7.4158058913035174E-2</v>
      </c>
      <c r="BM195" s="23">
        <v>7.5718189192107169E-2</v>
      </c>
      <c r="BN195" s="23">
        <v>7.3955559365675619E-2</v>
      </c>
    </row>
    <row r="196" spans="1:66" x14ac:dyDescent="0.25">
      <c r="A196" s="16">
        <v>5074</v>
      </c>
      <c r="B196" s="16" t="s">
        <v>392</v>
      </c>
      <c r="C196" s="17">
        <v>0</v>
      </c>
      <c r="D196" s="17">
        <f t="shared" ref="D196:D259" si="120">+$C196*BC196</f>
        <v>0</v>
      </c>
      <c r="E196" s="17">
        <f t="shared" ref="E196:E259" si="121">+$C196*BD196</f>
        <v>0</v>
      </c>
      <c r="F196" s="17">
        <f t="shared" ref="F196:F259" si="122">+$C196*BE196</f>
        <v>0</v>
      </c>
      <c r="G196" s="17">
        <f t="shared" ref="G196:G259" si="123">+$C196*BF196</f>
        <v>0</v>
      </c>
      <c r="H196" s="17">
        <f t="shared" ref="H196:H259" si="124">+$C196*BG196</f>
        <v>0</v>
      </c>
      <c r="I196" s="17">
        <f t="shared" ref="I196:I259" si="125">+$C196*BH196</f>
        <v>0</v>
      </c>
      <c r="J196" s="17">
        <f t="shared" ref="J196:J259" si="126">+$C196*BI196</f>
        <v>0</v>
      </c>
      <c r="K196" s="17">
        <f t="shared" ref="K196:K259" si="127">+$C196*BJ196</f>
        <v>0</v>
      </c>
      <c r="L196" s="17">
        <f t="shared" ref="L196:L259" si="128">+$C196*BK196</f>
        <v>0</v>
      </c>
      <c r="M196" s="17">
        <f t="shared" ref="M196:M259" si="129">+$C196*BL196</f>
        <v>0</v>
      </c>
      <c r="N196" s="17">
        <f t="shared" ref="N196:N259" si="130">+$C196*BM196</f>
        <v>0</v>
      </c>
      <c r="O196" s="17">
        <f t="shared" ref="O196:O259" si="131">+$C196*BN196</f>
        <v>0</v>
      </c>
      <c r="P196" s="17">
        <v>5000</v>
      </c>
      <c r="Q196" s="17">
        <f t="shared" ref="Q196:Q259" si="132">+$P196*BC196</f>
        <v>445.9078297437112</v>
      </c>
      <c r="R196" s="17">
        <f t="shared" ref="R196:R259" si="133">+$P196*BD196</f>
        <v>533.26389417225994</v>
      </c>
      <c r="S196" s="17">
        <f t="shared" ref="S196:S259" si="134">+$P196*BE196</f>
        <v>471.94245424273822</v>
      </c>
      <c r="T196" s="17">
        <f t="shared" ref="T196:T259" si="135">+$P196*BF196</f>
        <v>357.47824934275246</v>
      </c>
      <c r="U196" s="17">
        <f t="shared" ref="U196:U259" si="136">+$P196*BG196</f>
        <v>518.42859052683809</v>
      </c>
      <c r="V196" s="17">
        <f t="shared" ref="V196:V259" si="137">+$P196*BH196</f>
        <v>424.85165476272317</v>
      </c>
      <c r="W196" s="17">
        <f t="shared" ref="W196:W259" si="138">+$P196*BI196</f>
        <v>422.96939438631352</v>
      </c>
      <c r="X196" s="17">
        <f t="shared" ref="X196:X259" si="139">+$P196*BJ196</f>
        <v>287.23552731389981</v>
      </c>
      <c r="Y196" s="17">
        <f t="shared" ref="Y196:Y259" si="140">+$P196*BK196</f>
        <v>425.76926172778735</v>
      </c>
      <c r="Z196" s="17">
        <f t="shared" ref="Z196:Z259" si="141">+$P196*BL196</f>
        <v>370.79029456517588</v>
      </c>
      <c r="AA196" s="17">
        <f t="shared" ref="AA196:AA259" si="142">+$P196*BM196</f>
        <v>378.59094596053586</v>
      </c>
      <c r="AB196" s="17">
        <f t="shared" ref="AB196:AB259" si="143">+$P196*BN196</f>
        <v>369.77779682837809</v>
      </c>
      <c r="AC196" s="17">
        <v>0</v>
      </c>
      <c r="AD196" s="17">
        <f t="shared" ref="AD196:AD259" si="144">+$AC196*BC196</f>
        <v>0</v>
      </c>
      <c r="AE196" s="17">
        <f t="shared" ref="AE196:AE259" si="145">+$AC196*BD196</f>
        <v>0</v>
      </c>
      <c r="AF196" s="17">
        <f t="shared" ref="AF196:AF259" si="146">+$AC196*BE196</f>
        <v>0</v>
      </c>
      <c r="AG196" s="17">
        <f t="shared" ref="AG196:AG259" si="147">+$AC196*BF196</f>
        <v>0</v>
      </c>
      <c r="AH196" s="17">
        <f t="shared" ref="AH196:AH259" si="148">+$AC196*BG196</f>
        <v>0</v>
      </c>
      <c r="AI196" s="17">
        <f t="shared" ref="AI196:AI259" si="149">+$AC196*BH196</f>
        <v>0</v>
      </c>
      <c r="AJ196" s="17">
        <f t="shared" ref="AJ196:AJ259" si="150">+$AC196*BI196</f>
        <v>0</v>
      </c>
      <c r="AK196" s="17">
        <f t="shared" ref="AK196:AK259" si="151">+$AC196*BJ196</f>
        <v>0</v>
      </c>
      <c r="AL196" s="17">
        <f t="shared" ref="AL196:AL259" si="152">+$AC196*BK196</f>
        <v>0</v>
      </c>
      <c r="AM196" s="17">
        <f t="shared" ref="AM196:AM259" si="153">+$AC196*BL196</f>
        <v>0</v>
      </c>
      <c r="AN196" s="17">
        <f t="shared" ref="AN196:AN259" si="154">+$AC196*BM196</f>
        <v>0</v>
      </c>
      <c r="AO196" s="17">
        <f t="shared" ref="AO196:AO259" si="155">+$AC196*BN196</f>
        <v>0</v>
      </c>
      <c r="AP196" s="17">
        <f t="shared" ref="AP196:AP259" si="156">+AC196+P196+C196</f>
        <v>5000</v>
      </c>
      <c r="AQ196" s="18">
        <v>535.08939569245342</v>
      </c>
      <c r="AR196" s="18">
        <v>639.9166730067119</v>
      </c>
      <c r="AS196" s="18">
        <v>566.3309450912858</v>
      </c>
      <c r="AT196" s="18">
        <v>428.97389921130292</v>
      </c>
      <c r="AU196" s="18">
        <v>622.11430863220573</v>
      </c>
      <c r="AV196" s="18">
        <v>509.82198571526783</v>
      </c>
      <c r="AW196" s="18">
        <v>507.56327326357621</v>
      </c>
      <c r="AX196" s="18">
        <v>344.68263277667978</v>
      </c>
      <c r="AY196" s="18">
        <v>510.92311407334483</v>
      </c>
      <c r="AZ196" s="18">
        <v>444.94835347821106</v>
      </c>
      <c r="BA196" s="18">
        <v>454.30913515264302</v>
      </c>
      <c r="BB196" s="18">
        <v>443.73335619405373</v>
      </c>
      <c r="BC196" s="23">
        <v>8.9181565948742242E-2</v>
      </c>
      <c r="BD196" s="23">
        <v>0.10665277883445198</v>
      </c>
      <c r="BE196" s="23">
        <v>9.438849084854764E-2</v>
      </c>
      <c r="BF196" s="23">
        <v>7.149564986855049E-2</v>
      </c>
      <c r="BG196" s="23">
        <v>0.10368571810536763</v>
      </c>
      <c r="BH196" s="23">
        <v>8.4970330952544637E-2</v>
      </c>
      <c r="BI196" s="23">
        <v>8.4593878877262704E-2</v>
      </c>
      <c r="BJ196" s="23">
        <v>5.7447105462779965E-2</v>
      </c>
      <c r="BK196" s="23">
        <v>8.5153852345557474E-2</v>
      </c>
      <c r="BL196" s="23">
        <v>7.4158058913035174E-2</v>
      </c>
      <c r="BM196" s="23">
        <v>7.5718189192107169E-2</v>
      </c>
      <c r="BN196" s="23">
        <v>7.3955559365675619E-2</v>
      </c>
    </row>
    <row r="197" spans="1:66" x14ac:dyDescent="0.25">
      <c r="A197" s="16">
        <v>5169</v>
      </c>
      <c r="B197" s="16" t="s">
        <v>393</v>
      </c>
      <c r="C197" s="17">
        <v>6000</v>
      </c>
      <c r="D197" s="17">
        <f t="shared" si="120"/>
        <v>535.08939569245342</v>
      </c>
      <c r="E197" s="17">
        <f t="shared" si="121"/>
        <v>639.9166730067119</v>
      </c>
      <c r="F197" s="17">
        <f t="shared" si="122"/>
        <v>566.3309450912858</v>
      </c>
      <c r="G197" s="17">
        <f t="shared" si="123"/>
        <v>428.97389921130292</v>
      </c>
      <c r="H197" s="17">
        <f t="shared" si="124"/>
        <v>622.11430863220573</v>
      </c>
      <c r="I197" s="17">
        <f t="shared" si="125"/>
        <v>509.82198571526783</v>
      </c>
      <c r="J197" s="17">
        <f t="shared" si="126"/>
        <v>507.56327326357621</v>
      </c>
      <c r="K197" s="17">
        <f t="shared" si="127"/>
        <v>344.68263277667978</v>
      </c>
      <c r="L197" s="17">
        <f t="shared" si="128"/>
        <v>510.92311407334483</v>
      </c>
      <c r="M197" s="17">
        <f t="shared" si="129"/>
        <v>444.94835347821106</v>
      </c>
      <c r="N197" s="17">
        <f t="shared" si="130"/>
        <v>454.30913515264302</v>
      </c>
      <c r="O197" s="17">
        <f t="shared" si="131"/>
        <v>443.73335619405373</v>
      </c>
      <c r="P197" s="17">
        <v>0</v>
      </c>
      <c r="Q197" s="17">
        <f t="shared" si="132"/>
        <v>0</v>
      </c>
      <c r="R197" s="17">
        <f t="shared" si="133"/>
        <v>0</v>
      </c>
      <c r="S197" s="17">
        <f t="shared" si="134"/>
        <v>0</v>
      </c>
      <c r="T197" s="17">
        <f t="shared" si="135"/>
        <v>0</v>
      </c>
      <c r="U197" s="17">
        <f t="shared" si="136"/>
        <v>0</v>
      </c>
      <c r="V197" s="17">
        <f t="shared" si="137"/>
        <v>0</v>
      </c>
      <c r="W197" s="17">
        <f t="shared" si="138"/>
        <v>0</v>
      </c>
      <c r="X197" s="17">
        <f t="shared" si="139"/>
        <v>0</v>
      </c>
      <c r="Y197" s="17">
        <f t="shared" si="140"/>
        <v>0</v>
      </c>
      <c r="Z197" s="17">
        <f t="shared" si="141"/>
        <v>0</v>
      </c>
      <c r="AA197" s="17">
        <f t="shared" si="142"/>
        <v>0</v>
      </c>
      <c r="AB197" s="17">
        <f t="shared" si="143"/>
        <v>0</v>
      </c>
      <c r="AC197" s="17">
        <v>0</v>
      </c>
      <c r="AD197" s="17">
        <f t="shared" si="144"/>
        <v>0</v>
      </c>
      <c r="AE197" s="17">
        <f t="shared" si="145"/>
        <v>0</v>
      </c>
      <c r="AF197" s="17">
        <f t="shared" si="146"/>
        <v>0</v>
      </c>
      <c r="AG197" s="17">
        <f t="shared" si="147"/>
        <v>0</v>
      </c>
      <c r="AH197" s="17">
        <f t="shared" si="148"/>
        <v>0</v>
      </c>
      <c r="AI197" s="17">
        <f t="shared" si="149"/>
        <v>0</v>
      </c>
      <c r="AJ197" s="17">
        <f t="shared" si="150"/>
        <v>0</v>
      </c>
      <c r="AK197" s="17">
        <f t="shared" si="151"/>
        <v>0</v>
      </c>
      <c r="AL197" s="17">
        <f t="shared" si="152"/>
        <v>0</v>
      </c>
      <c r="AM197" s="17">
        <f t="shared" si="153"/>
        <v>0</v>
      </c>
      <c r="AN197" s="17">
        <f t="shared" si="154"/>
        <v>0</v>
      </c>
      <c r="AO197" s="17">
        <f t="shared" si="155"/>
        <v>0</v>
      </c>
      <c r="AP197" s="17">
        <f t="shared" si="156"/>
        <v>6000</v>
      </c>
      <c r="AQ197" s="18">
        <v>535.08939569245342</v>
      </c>
      <c r="AR197" s="18">
        <v>639.9166730067119</v>
      </c>
      <c r="AS197" s="18">
        <v>566.3309450912858</v>
      </c>
      <c r="AT197" s="18">
        <v>428.97389921130292</v>
      </c>
      <c r="AU197" s="18">
        <v>622.11430863220573</v>
      </c>
      <c r="AV197" s="18">
        <v>509.82198571526783</v>
      </c>
      <c r="AW197" s="18">
        <v>507.56327326357621</v>
      </c>
      <c r="AX197" s="18">
        <v>344.68263277667978</v>
      </c>
      <c r="AY197" s="18">
        <v>510.92311407334483</v>
      </c>
      <c r="AZ197" s="18">
        <v>444.94835347821106</v>
      </c>
      <c r="BA197" s="18">
        <v>454.30913515264302</v>
      </c>
      <c r="BB197" s="18">
        <v>443.73335619405373</v>
      </c>
      <c r="BC197" s="23">
        <v>8.9181565948742242E-2</v>
      </c>
      <c r="BD197" s="23">
        <v>0.10665277883445198</v>
      </c>
      <c r="BE197" s="23">
        <v>9.438849084854764E-2</v>
      </c>
      <c r="BF197" s="23">
        <v>7.149564986855049E-2</v>
      </c>
      <c r="BG197" s="23">
        <v>0.10368571810536763</v>
      </c>
      <c r="BH197" s="23">
        <v>8.4970330952544637E-2</v>
      </c>
      <c r="BI197" s="23">
        <v>8.4593878877262704E-2</v>
      </c>
      <c r="BJ197" s="23">
        <v>5.7447105462779965E-2</v>
      </c>
      <c r="BK197" s="23">
        <v>8.5153852345557474E-2</v>
      </c>
      <c r="BL197" s="23">
        <v>7.4158058913035174E-2</v>
      </c>
      <c r="BM197" s="23">
        <v>7.5718189192107169E-2</v>
      </c>
      <c r="BN197" s="23">
        <v>7.3955559365675619E-2</v>
      </c>
    </row>
    <row r="198" spans="1:66" x14ac:dyDescent="0.25">
      <c r="A198" s="16">
        <v>5342</v>
      </c>
      <c r="B198" s="16" t="s">
        <v>394</v>
      </c>
      <c r="C198" s="17">
        <v>0</v>
      </c>
      <c r="D198" s="17">
        <f t="shared" si="120"/>
        <v>0</v>
      </c>
      <c r="E198" s="17">
        <f t="shared" si="121"/>
        <v>0</v>
      </c>
      <c r="F198" s="17">
        <f t="shared" si="122"/>
        <v>0</v>
      </c>
      <c r="G198" s="17">
        <f t="shared" si="123"/>
        <v>0</v>
      </c>
      <c r="H198" s="17">
        <f t="shared" si="124"/>
        <v>0</v>
      </c>
      <c r="I198" s="17">
        <f t="shared" si="125"/>
        <v>0</v>
      </c>
      <c r="J198" s="17">
        <f t="shared" si="126"/>
        <v>0</v>
      </c>
      <c r="K198" s="17">
        <f t="shared" si="127"/>
        <v>0</v>
      </c>
      <c r="L198" s="17">
        <f t="shared" si="128"/>
        <v>0</v>
      </c>
      <c r="M198" s="17">
        <f t="shared" si="129"/>
        <v>0</v>
      </c>
      <c r="N198" s="17">
        <f t="shared" si="130"/>
        <v>0</v>
      </c>
      <c r="O198" s="17">
        <f t="shared" si="131"/>
        <v>0</v>
      </c>
      <c r="P198" s="17">
        <v>0</v>
      </c>
      <c r="Q198" s="17">
        <f t="shared" si="132"/>
        <v>0</v>
      </c>
      <c r="R198" s="17">
        <f t="shared" si="133"/>
        <v>0</v>
      </c>
      <c r="S198" s="17">
        <f t="shared" si="134"/>
        <v>0</v>
      </c>
      <c r="T198" s="17">
        <f t="shared" si="135"/>
        <v>0</v>
      </c>
      <c r="U198" s="17">
        <f t="shared" si="136"/>
        <v>0</v>
      </c>
      <c r="V198" s="17">
        <f t="shared" si="137"/>
        <v>0</v>
      </c>
      <c r="W198" s="17">
        <f t="shared" si="138"/>
        <v>0</v>
      </c>
      <c r="X198" s="17">
        <f t="shared" si="139"/>
        <v>0</v>
      </c>
      <c r="Y198" s="17">
        <f t="shared" si="140"/>
        <v>0</v>
      </c>
      <c r="Z198" s="17">
        <f t="shared" si="141"/>
        <v>0</v>
      </c>
      <c r="AA198" s="17">
        <f t="shared" si="142"/>
        <v>0</v>
      </c>
      <c r="AB198" s="17">
        <f t="shared" si="143"/>
        <v>0</v>
      </c>
      <c r="AC198" s="17">
        <v>0</v>
      </c>
      <c r="AD198" s="17">
        <f t="shared" si="144"/>
        <v>0</v>
      </c>
      <c r="AE198" s="17">
        <f t="shared" si="145"/>
        <v>0</v>
      </c>
      <c r="AF198" s="17">
        <f t="shared" si="146"/>
        <v>0</v>
      </c>
      <c r="AG198" s="17">
        <f t="shared" si="147"/>
        <v>0</v>
      </c>
      <c r="AH198" s="17">
        <f t="shared" si="148"/>
        <v>0</v>
      </c>
      <c r="AI198" s="17">
        <f t="shared" si="149"/>
        <v>0</v>
      </c>
      <c r="AJ198" s="17">
        <f t="shared" si="150"/>
        <v>0</v>
      </c>
      <c r="AK198" s="17">
        <f t="shared" si="151"/>
        <v>0</v>
      </c>
      <c r="AL198" s="17">
        <f t="shared" si="152"/>
        <v>0</v>
      </c>
      <c r="AM198" s="17">
        <f t="shared" si="153"/>
        <v>0</v>
      </c>
      <c r="AN198" s="17">
        <f t="shared" si="154"/>
        <v>0</v>
      </c>
      <c r="AO198" s="17">
        <f t="shared" si="155"/>
        <v>0</v>
      </c>
      <c r="AP198" s="17">
        <f t="shared" si="156"/>
        <v>0</v>
      </c>
      <c r="AQ198" s="18">
        <v>535.08939569245342</v>
      </c>
      <c r="AR198" s="18">
        <v>639.9166730067119</v>
      </c>
      <c r="AS198" s="18">
        <v>566.3309450912858</v>
      </c>
      <c r="AT198" s="18">
        <v>428.97389921130292</v>
      </c>
      <c r="AU198" s="18">
        <v>622.11430863220573</v>
      </c>
      <c r="AV198" s="18">
        <v>509.82198571526783</v>
      </c>
      <c r="AW198" s="18">
        <v>507.56327326357621</v>
      </c>
      <c r="AX198" s="18">
        <v>344.68263277667978</v>
      </c>
      <c r="AY198" s="18">
        <v>510.92311407334483</v>
      </c>
      <c r="AZ198" s="18">
        <v>444.94835347821106</v>
      </c>
      <c r="BA198" s="18">
        <v>454.30913515264302</v>
      </c>
      <c r="BB198" s="18">
        <v>443.73335619405373</v>
      </c>
      <c r="BC198" s="23">
        <v>8.9181565948742242E-2</v>
      </c>
      <c r="BD198" s="23">
        <v>0.10665277883445198</v>
      </c>
      <c r="BE198" s="23">
        <v>9.438849084854764E-2</v>
      </c>
      <c r="BF198" s="23">
        <v>7.149564986855049E-2</v>
      </c>
      <c r="BG198" s="23">
        <v>0.10368571810536763</v>
      </c>
      <c r="BH198" s="23">
        <v>8.4970330952544637E-2</v>
      </c>
      <c r="BI198" s="23">
        <v>8.4593878877262704E-2</v>
      </c>
      <c r="BJ198" s="23">
        <v>5.7447105462779965E-2</v>
      </c>
      <c r="BK198" s="23">
        <v>8.5153852345557474E-2</v>
      </c>
      <c r="BL198" s="23">
        <v>7.4158058913035174E-2</v>
      </c>
      <c r="BM198" s="23">
        <v>7.5718189192107169E-2</v>
      </c>
      <c r="BN198" s="23">
        <v>7.3955559365675619E-2</v>
      </c>
    </row>
    <row r="199" spans="1:66" x14ac:dyDescent="0.25">
      <c r="A199" s="16">
        <v>5428</v>
      </c>
      <c r="B199" s="16" t="s">
        <v>395</v>
      </c>
      <c r="C199" s="17">
        <v>0</v>
      </c>
      <c r="D199" s="17">
        <f t="shared" si="120"/>
        <v>0</v>
      </c>
      <c r="E199" s="17">
        <f t="shared" si="121"/>
        <v>0</v>
      </c>
      <c r="F199" s="17">
        <f t="shared" si="122"/>
        <v>0</v>
      </c>
      <c r="G199" s="17">
        <f t="shared" si="123"/>
        <v>0</v>
      </c>
      <c r="H199" s="17">
        <f t="shared" si="124"/>
        <v>0</v>
      </c>
      <c r="I199" s="17">
        <f t="shared" si="125"/>
        <v>0</v>
      </c>
      <c r="J199" s="17">
        <f t="shared" si="126"/>
        <v>0</v>
      </c>
      <c r="K199" s="17">
        <f t="shared" si="127"/>
        <v>0</v>
      </c>
      <c r="L199" s="17">
        <f t="shared" si="128"/>
        <v>0</v>
      </c>
      <c r="M199" s="17">
        <f t="shared" si="129"/>
        <v>0</v>
      </c>
      <c r="N199" s="17">
        <f t="shared" si="130"/>
        <v>0</v>
      </c>
      <c r="O199" s="17">
        <f t="shared" si="131"/>
        <v>0</v>
      </c>
      <c r="P199" s="17">
        <v>6000</v>
      </c>
      <c r="Q199" s="17">
        <f t="shared" si="132"/>
        <v>535.08939569245342</v>
      </c>
      <c r="R199" s="17">
        <f t="shared" si="133"/>
        <v>639.9166730067119</v>
      </c>
      <c r="S199" s="17">
        <f t="shared" si="134"/>
        <v>566.3309450912858</v>
      </c>
      <c r="T199" s="17">
        <f t="shared" si="135"/>
        <v>428.97389921130292</v>
      </c>
      <c r="U199" s="17">
        <f t="shared" si="136"/>
        <v>622.11430863220573</v>
      </c>
      <c r="V199" s="17">
        <f t="shared" si="137"/>
        <v>509.82198571526783</v>
      </c>
      <c r="W199" s="17">
        <f t="shared" si="138"/>
        <v>507.56327326357621</v>
      </c>
      <c r="X199" s="17">
        <f t="shared" si="139"/>
        <v>344.68263277667978</v>
      </c>
      <c r="Y199" s="17">
        <f t="shared" si="140"/>
        <v>510.92311407334483</v>
      </c>
      <c r="Z199" s="17">
        <f t="shared" si="141"/>
        <v>444.94835347821106</v>
      </c>
      <c r="AA199" s="17">
        <f t="shared" si="142"/>
        <v>454.30913515264302</v>
      </c>
      <c r="AB199" s="17">
        <f t="shared" si="143"/>
        <v>443.73335619405373</v>
      </c>
      <c r="AC199" s="17">
        <v>0</v>
      </c>
      <c r="AD199" s="17">
        <f t="shared" si="144"/>
        <v>0</v>
      </c>
      <c r="AE199" s="17">
        <f t="shared" si="145"/>
        <v>0</v>
      </c>
      <c r="AF199" s="17">
        <f t="shared" si="146"/>
        <v>0</v>
      </c>
      <c r="AG199" s="17">
        <f t="shared" si="147"/>
        <v>0</v>
      </c>
      <c r="AH199" s="17">
        <f t="shared" si="148"/>
        <v>0</v>
      </c>
      <c r="AI199" s="17">
        <f t="shared" si="149"/>
        <v>0</v>
      </c>
      <c r="AJ199" s="17">
        <f t="shared" si="150"/>
        <v>0</v>
      </c>
      <c r="AK199" s="17">
        <f t="shared" si="151"/>
        <v>0</v>
      </c>
      <c r="AL199" s="17">
        <f t="shared" si="152"/>
        <v>0</v>
      </c>
      <c r="AM199" s="17">
        <f t="shared" si="153"/>
        <v>0</v>
      </c>
      <c r="AN199" s="17">
        <f t="shared" si="154"/>
        <v>0</v>
      </c>
      <c r="AO199" s="17">
        <f t="shared" si="155"/>
        <v>0</v>
      </c>
      <c r="AP199" s="17">
        <f t="shared" si="156"/>
        <v>6000</v>
      </c>
      <c r="AQ199" s="18">
        <v>535.08939569245342</v>
      </c>
      <c r="AR199" s="18">
        <v>639.9166730067119</v>
      </c>
      <c r="AS199" s="18">
        <v>566.3309450912858</v>
      </c>
      <c r="AT199" s="18">
        <v>428.97389921130292</v>
      </c>
      <c r="AU199" s="18">
        <v>622.11430863220573</v>
      </c>
      <c r="AV199" s="18">
        <v>509.82198571526783</v>
      </c>
      <c r="AW199" s="18">
        <v>507.56327326357621</v>
      </c>
      <c r="AX199" s="18">
        <v>344.68263277667978</v>
      </c>
      <c r="AY199" s="18">
        <v>510.92311407334483</v>
      </c>
      <c r="AZ199" s="18">
        <v>444.94835347821106</v>
      </c>
      <c r="BA199" s="18">
        <v>454.30913515264302</v>
      </c>
      <c r="BB199" s="18">
        <v>443.73335619405373</v>
      </c>
      <c r="BC199" s="23">
        <v>8.9181565948742242E-2</v>
      </c>
      <c r="BD199" s="23">
        <v>0.10665277883445198</v>
      </c>
      <c r="BE199" s="23">
        <v>9.438849084854764E-2</v>
      </c>
      <c r="BF199" s="23">
        <v>7.149564986855049E-2</v>
      </c>
      <c r="BG199" s="23">
        <v>0.10368571810536763</v>
      </c>
      <c r="BH199" s="23">
        <v>8.4970330952544637E-2</v>
      </c>
      <c r="BI199" s="23">
        <v>8.4593878877262704E-2</v>
      </c>
      <c r="BJ199" s="23">
        <v>5.7447105462779965E-2</v>
      </c>
      <c r="BK199" s="23">
        <v>8.5153852345557474E-2</v>
      </c>
      <c r="BL199" s="23">
        <v>7.4158058913035174E-2</v>
      </c>
      <c r="BM199" s="23">
        <v>7.5718189192107169E-2</v>
      </c>
      <c r="BN199" s="23">
        <v>7.3955559365675619E-2</v>
      </c>
    </row>
    <row r="200" spans="1:66" x14ac:dyDescent="0.25">
      <c r="A200" s="16">
        <v>6501</v>
      </c>
      <c r="B200" s="16" t="s">
        <v>396</v>
      </c>
      <c r="C200" s="17">
        <v>0</v>
      </c>
      <c r="D200" s="17">
        <f t="shared" si="120"/>
        <v>0</v>
      </c>
      <c r="E200" s="17">
        <f t="shared" si="121"/>
        <v>0</v>
      </c>
      <c r="F200" s="17">
        <f t="shared" si="122"/>
        <v>0</v>
      </c>
      <c r="G200" s="17">
        <f t="shared" si="123"/>
        <v>0</v>
      </c>
      <c r="H200" s="17">
        <f t="shared" si="124"/>
        <v>0</v>
      </c>
      <c r="I200" s="17">
        <f t="shared" si="125"/>
        <v>0</v>
      </c>
      <c r="J200" s="17">
        <f t="shared" si="126"/>
        <v>0</v>
      </c>
      <c r="K200" s="17">
        <f t="shared" si="127"/>
        <v>0</v>
      </c>
      <c r="L200" s="17">
        <f t="shared" si="128"/>
        <v>0</v>
      </c>
      <c r="M200" s="17">
        <f t="shared" si="129"/>
        <v>0</v>
      </c>
      <c r="N200" s="17">
        <f t="shared" si="130"/>
        <v>0</v>
      </c>
      <c r="O200" s="17">
        <f t="shared" si="131"/>
        <v>0</v>
      </c>
      <c r="P200" s="17">
        <v>0</v>
      </c>
      <c r="Q200" s="17">
        <f t="shared" si="132"/>
        <v>0</v>
      </c>
      <c r="R200" s="17">
        <f t="shared" si="133"/>
        <v>0</v>
      </c>
      <c r="S200" s="17">
        <f t="shared" si="134"/>
        <v>0</v>
      </c>
      <c r="T200" s="17">
        <f t="shared" si="135"/>
        <v>0</v>
      </c>
      <c r="U200" s="17">
        <f t="shared" si="136"/>
        <v>0</v>
      </c>
      <c r="V200" s="17">
        <f t="shared" si="137"/>
        <v>0</v>
      </c>
      <c r="W200" s="17">
        <f t="shared" si="138"/>
        <v>0</v>
      </c>
      <c r="X200" s="17">
        <f t="shared" si="139"/>
        <v>0</v>
      </c>
      <c r="Y200" s="17">
        <f t="shared" si="140"/>
        <v>0</v>
      </c>
      <c r="Z200" s="17">
        <f t="shared" si="141"/>
        <v>0</v>
      </c>
      <c r="AA200" s="17">
        <f t="shared" si="142"/>
        <v>0</v>
      </c>
      <c r="AB200" s="17">
        <f t="shared" si="143"/>
        <v>0</v>
      </c>
      <c r="AC200" s="17">
        <v>500</v>
      </c>
      <c r="AD200" s="17">
        <f t="shared" si="144"/>
        <v>44.590782974371123</v>
      </c>
      <c r="AE200" s="17">
        <f t="shared" si="145"/>
        <v>53.32638941722599</v>
      </c>
      <c r="AF200" s="17">
        <f t="shared" si="146"/>
        <v>47.194245424273824</v>
      </c>
      <c r="AG200" s="17">
        <f t="shared" si="147"/>
        <v>35.747824934275243</v>
      </c>
      <c r="AH200" s="17">
        <f t="shared" si="148"/>
        <v>51.842859052683814</v>
      </c>
      <c r="AI200" s="17">
        <f t="shared" si="149"/>
        <v>42.485165476272321</v>
      </c>
      <c r="AJ200" s="17">
        <f t="shared" si="150"/>
        <v>42.296939438631355</v>
      </c>
      <c r="AK200" s="17">
        <f t="shared" si="151"/>
        <v>28.723552731389983</v>
      </c>
      <c r="AL200" s="17">
        <f t="shared" si="152"/>
        <v>42.576926172778734</v>
      </c>
      <c r="AM200" s="17">
        <f t="shared" si="153"/>
        <v>37.079029456517588</v>
      </c>
      <c r="AN200" s="17">
        <f t="shared" si="154"/>
        <v>37.859094596053588</v>
      </c>
      <c r="AO200" s="17">
        <f t="shared" si="155"/>
        <v>36.977779682837813</v>
      </c>
      <c r="AP200" s="17">
        <f t="shared" si="156"/>
        <v>500</v>
      </c>
      <c r="AQ200" s="18">
        <v>535.08939569245342</v>
      </c>
      <c r="AR200" s="18">
        <v>639.9166730067119</v>
      </c>
      <c r="AS200" s="18">
        <v>566.3309450912858</v>
      </c>
      <c r="AT200" s="18">
        <v>428.97389921130292</v>
      </c>
      <c r="AU200" s="18">
        <v>622.11430863220573</v>
      </c>
      <c r="AV200" s="18">
        <v>509.82198571526783</v>
      </c>
      <c r="AW200" s="18">
        <v>507.56327326357621</v>
      </c>
      <c r="AX200" s="18">
        <v>344.68263277667978</v>
      </c>
      <c r="AY200" s="18">
        <v>510.92311407334483</v>
      </c>
      <c r="AZ200" s="18">
        <v>444.94835347821106</v>
      </c>
      <c r="BA200" s="18">
        <v>454.30913515264302</v>
      </c>
      <c r="BB200" s="18">
        <v>443.73335619405373</v>
      </c>
      <c r="BC200" s="23">
        <v>8.9181565948742242E-2</v>
      </c>
      <c r="BD200" s="23">
        <v>0.10665277883445198</v>
      </c>
      <c r="BE200" s="23">
        <v>9.438849084854764E-2</v>
      </c>
      <c r="BF200" s="23">
        <v>7.149564986855049E-2</v>
      </c>
      <c r="BG200" s="23">
        <v>0.10368571810536763</v>
      </c>
      <c r="BH200" s="23">
        <v>8.4970330952544637E-2</v>
      </c>
      <c r="BI200" s="23">
        <v>8.4593878877262704E-2</v>
      </c>
      <c r="BJ200" s="23">
        <v>5.7447105462779965E-2</v>
      </c>
      <c r="BK200" s="23">
        <v>8.5153852345557474E-2</v>
      </c>
      <c r="BL200" s="23">
        <v>7.4158058913035174E-2</v>
      </c>
      <c r="BM200" s="23">
        <v>7.5718189192107169E-2</v>
      </c>
      <c r="BN200" s="23">
        <v>7.3955559365675619E-2</v>
      </c>
    </row>
    <row r="201" spans="1:66" x14ac:dyDescent="0.25">
      <c r="A201" s="16">
        <v>6519</v>
      </c>
      <c r="B201" s="16" t="s">
        <v>397</v>
      </c>
      <c r="C201" s="17">
        <v>0</v>
      </c>
      <c r="D201" s="17">
        <f t="shared" si="120"/>
        <v>0</v>
      </c>
      <c r="E201" s="17">
        <f t="shared" si="121"/>
        <v>0</v>
      </c>
      <c r="F201" s="17">
        <f t="shared" si="122"/>
        <v>0</v>
      </c>
      <c r="G201" s="17">
        <f t="shared" si="123"/>
        <v>0</v>
      </c>
      <c r="H201" s="17">
        <f t="shared" si="124"/>
        <v>0</v>
      </c>
      <c r="I201" s="17">
        <f t="shared" si="125"/>
        <v>0</v>
      </c>
      <c r="J201" s="17">
        <f t="shared" si="126"/>
        <v>0</v>
      </c>
      <c r="K201" s="17">
        <f t="shared" si="127"/>
        <v>0</v>
      </c>
      <c r="L201" s="17">
        <f t="shared" si="128"/>
        <v>0</v>
      </c>
      <c r="M201" s="17">
        <f t="shared" si="129"/>
        <v>0</v>
      </c>
      <c r="N201" s="17">
        <f t="shared" si="130"/>
        <v>0</v>
      </c>
      <c r="O201" s="17">
        <f t="shared" si="131"/>
        <v>0</v>
      </c>
      <c r="P201" s="17">
        <v>0</v>
      </c>
      <c r="Q201" s="17">
        <f t="shared" si="132"/>
        <v>0</v>
      </c>
      <c r="R201" s="17">
        <f t="shared" si="133"/>
        <v>0</v>
      </c>
      <c r="S201" s="17">
        <f t="shared" si="134"/>
        <v>0</v>
      </c>
      <c r="T201" s="17">
        <f t="shared" si="135"/>
        <v>0</v>
      </c>
      <c r="U201" s="17">
        <f t="shared" si="136"/>
        <v>0</v>
      </c>
      <c r="V201" s="17">
        <f t="shared" si="137"/>
        <v>0</v>
      </c>
      <c r="W201" s="17">
        <f t="shared" si="138"/>
        <v>0</v>
      </c>
      <c r="X201" s="17">
        <f t="shared" si="139"/>
        <v>0</v>
      </c>
      <c r="Y201" s="17">
        <f t="shared" si="140"/>
        <v>0</v>
      </c>
      <c r="Z201" s="17">
        <f t="shared" si="141"/>
        <v>0</v>
      </c>
      <c r="AA201" s="17">
        <f t="shared" si="142"/>
        <v>0</v>
      </c>
      <c r="AB201" s="17">
        <f t="shared" si="143"/>
        <v>0</v>
      </c>
      <c r="AC201" s="17">
        <v>0</v>
      </c>
      <c r="AD201" s="17">
        <f t="shared" si="144"/>
        <v>0</v>
      </c>
      <c r="AE201" s="17">
        <f t="shared" si="145"/>
        <v>0</v>
      </c>
      <c r="AF201" s="17">
        <f t="shared" si="146"/>
        <v>0</v>
      </c>
      <c r="AG201" s="17">
        <f t="shared" si="147"/>
        <v>0</v>
      </c>
      <c r="AH201" s="17">
        <f t="shared" si="148"/>
        <v>0</v>
      </c>
      <c r="AI201" s="17">
        <f t="shared" si="149"/>
        <v>0</v>
      </c>
      <c r="AJ201" s="17">
        <f t="shared" si="150"/>
        <v>0</v>
      </c>
      <c r="AK201" s="17">
        <f t="shared" si="151"/>
        <v>0</v>
      </c>
      <c r="AL201" s="17">
        <f t="shared" si="152"/>
        <v>0</v>
      </c>
      <c r="AM201" s="17">
        <f t="shared" si="153"/>
        <v>0</v>
      </c>
      <c r="AN201" s="17">
        <f t="shared" si="154"/>
        <v>0</v>
      </c>
      <c r="AO201" s="17">
        <f t="shared" si="155"/>
        <v>0</v>
      </c>
      <c r="AP201" s="17">
        <f t="shared" si="156"/>
        <v>0</v>
      </c>
      <c r="AQ201" s="18">
        <v>535.08939569245342</v>
      </c>
      <c r="AR201" s="18">
        <v>639.9166730067119</v>
      </c>
      <c r="AS201" s="18">
        <v>566.3309450912858</v>
      </c>
      <c r="AT201" s="18">
        <v>428.97389921130292</v>
      </c>
      <c r="AU201" s="18">
        <v>622.11430863220573</v>
      </c>
      <c r="AV201" s="18">
        <v>509.82198571526783</v>
      </c>
      <c r="AW201" s="18">
        <v>507.56327326357621</v>
      </c>
      <c r="AX201" s="18">
        <v>344.68263277667978</v>
      </c>
      <c r="AY201" s="18">
        <v>510.92311407334483</v>
      </c>
      <c r="AZ201" s="18">
        <v>444.94835347821106</v>
      </c>
      <c r="BA201" s="18">
        <v>454.30913515264302</v>
      </c>
      <c r="BB201" s="18">
        <v>443.73335619405373</v>
      </c>
      <c r="BC201" s="23">
        <v>8.9181565948742242E-2</v>
      </c>
      <c r="BD201" s="23">
        <v>0.10665277883445198</v>
      </c>
      <c r="BE201" s="23">
        <v>9.438849084854764E-2</v>
      </c>
      <c r="BF201" s="23">
        <v>7.149564986855049E-2</v>
      </c>
      <c r="BG201" s="23">
        <v>0.10368571810536763</v>
      </c>
      <c r="BH201" s="23">
        <v>8.4970330952544637E-2</v>
      </c>
      <c r="BI201" s="23">
        <v>8.4593878877262704E-2</v>
      </c>
      <c r="BJ201" s="23">
        <v>5.7447105462779965E-2</v>
      </c>
      <c r="BK201" s="23">
        <v>8.5153852345557474E-2</v>
      </c>
      <c r="BL201" s="23">
        <v>7.4158058913035174E-2</v>
      </c>
      <c r="BM201" s="23">
        <v>7.5718189192107169E-2</v>
      </c>
      <c r="BN201" s="23">
        <v>7.3955559365675619E-2</v>
      </c>
    </row>
    <row r="202" spans="1:66" x14ac:dyDescent="0.25">
      <c r="A202" s="16">
        <v>6543</v>
      </c>
      <c r="B202" s="16" t="s">
        <v>398</v>
      </c>
      <c r="C202" s="17">
        <v>0</v>
      </c>
      <c r="D202" s="17">
        <f t="shared" si="120"/>
        <v>0</v>
      </c>
      <c r="E202" s="17">
        <f t="shared" si="121"/>
        <v>0</v>
      </c>
      <c r="F202" s="17">
        <f t="shared" si="122"/>
        <v>0</v>
      </c>
      <c r="G202" s="17">
        <f t="shared" si="123"/>
        <v>0</v>
      </c>
      <c r="H202" s="17">
        <f t="shared" si="124"/>
        <v>0</v>
      </c>
      <c r="I202" s="17">
        <f t="shared" si="125"/>
        <v>0</v>
      </c>
      <c r="J202" s="17">
        <f t="shared" si="126"/>
        <v>0</v>
      </c>
      <c r="K202" s="17">
        <f t="shared" si="127"/>
        <v>0</v>
      </c>
      <c r="L202" s="17">
        <f t="shared" si="128"/>
        <v>0</v>
      </c>
      <c r="M202" s="17">
        <f t="shared" si="129"/>
        <v>0</v>
      </c>
      <c r="N202" s="17">
        <f t="shared" si="130"/>
        <v>0</v>
      </c>
      <c r="O202" s="17">
        <f t="shared" si="131"/>
        <v>0</v>
      </c>
      <c r="P202" s="17">
        <v>0</v>
      </c>
      <c r="Q202" s="17">
        <f t="shared" si="132"/>
        <v>0</v>
      </c>
      <c r="R202" s="17">
        <f t="shared" si="133"/>
        <v>0</v>
      </c>
      <c r="S202" s="17">
        <f t="shared" si="134"/>
        <v>0</v>
      </c>
      <c r="T202" s="17">
        <f t="shared" si="135"/>
        <v>0</v>
      </c>
      <c r="U202" s="17">
        <f t="shared" si="136"/>
        <v>0</v>
      </c>
      <c r="V202" s="17">
        <f t="shared" si="137"/>
        <v>0</v>
      </c>
      <c r="W202" s="17">
        <f t="shared" si="138"/>
        <v>0</v>
      </c>
      <c r="X202" s="17">
        <f t="shared" si="139"/>
        <v>0</v>
      </c>
      <c r="Y202" s="17">
        <f t="shared" si="140"/>
        <v>0</v>
      </c>
      <c r="Z202" s="17">
        <f t="shared" si="141"/>
        <v>0</v>
      </c>
      <c r="AA202" s="17">
        <f t="shared" si="142"/>
        <v>0</v>
      </c>
      <c r="AB202" s="17">
        <f t="shared" si="143"/>
        <v>0</v>
      </c>
      <c r="AC202" s="17">
        <v>5500</v>
      </c>
      <c r="AD202" s="17">
        <f t="shared" si="144"/>
        <v>490.49861271808231</v>
      </c>
      <c r="AE202" s="17">
        <f t="shared" si="145"/>
        <v>586.59028358948592</v>
      </c>
      <c r="AF202" s="17">
        <f t="shared" si="146"/>
        <v>519.13669966701207</v>
      </c>
      <c r="AG202" s="17">
        <f t="shared" si="147"/>
        <v>393.22607427702769</v>
      </c>
      <c r="AH202" s="17">
        <f t="shared" si="148"/>
        <v>570.27144957952191</v>
      </c>
      <c r="AI202" s="17">
        <f t="shared" si="149"/>
        <v>467.33682023899553</v>
      </c>
      <c r="AJ202" s="17">
        <f t="shared" si="150"/>
        <v>465.26633382494487</v>
      </c>
      <c r="AK202" s="17">
        <f t="shared" si="151"/>
        <v>315.9590800452898</v>
      </c>
      <c r="AL202" s="17">
        <f t="shared" si="152"/>
        <v>468.34618790056612</v>
      </c>
      <c r="AM202" s="17">
        <f t="shared" si="153"/>
        <v>407.86932402169344</v>
      </c>
      <c r="AN202" s="17">
        <f t="shared" si="154"/>
        <v>416.45004055658944</v>
      </c>
      <c r="AO202" s="17">
        <f t="shared" si="155"/>
        <v>406.75557651121591</v>
      </c>
      <c r="AP202" s="17">
        <f t="shared" si="156"/>
        <v>5500</v>
      </c>
      <c r="AQ202" s="18">
        <v>535.08939569245342</v>
      </c>
      <c r="AR202" s="18">
        <v>639.9166730067119</v>
      </c>
      <c r="AS202" s="18">
        <v>566.3309450912858</v>
      </c>
      <c r="AT202" s="18">
        <v>428.97389921130292</v>
      </c>
      <c r="AU202" s="18">
        <v>622.11430863220573</v>
      </c>
      <c r="AV202" s="18">
        <v>509.82198571526783</v>
      </c>
      <c r="AW202" s="18">
        <v>507.56327326357621</v>
      </c>
      <c r="AX202" s="18">
        <v>344.68263277667978</v>
      </c>
      <c r="AY202" s="18">
        <v>510.92311407334483</v>
      </c>
      <c r="AZ202" s="18">
        <v>444.94835347821106</v>
      </c>
      <c r="BA202" s="18">
        <v>454.30913515264302</v>
      </c>
      <c r="BB202" s="18">
        <v>443.73335619405373</v>
      </c>
      <c r="BC202" s="23">
        <v>8.9181565948742242E-2</v>
      </c>
      <c r="BD202" s="23">
        <v>0.10665277883445198</v>
      </c>
      <c r="BE202" s="23">
        <v>9.438849084854764E-2</v>
      </c>
      <c r="BF202" s="23">
        <v>7.149564986855049E-2</v>
      </c>
      <c r="BG202" s="23">
        <v>0.10368571810536763</v>
      </c>
      <c r="BH202" s="23">
        <v>8.4970330952544637E-2</v>
      </c>
      <c r="BI202" s="23">
        <v>8.4593878877262704E-2</v>
      </c>
      <c r="BJ202" s="23">
        <v>5.7447105462779965E-2</v>
      </c>
      <c r="BK202" s="23">
        <v>8.5153852345557474E-2</v>
      </c>
      <c r="BL202" s="23">
        <v>7.4158058913035174E-2</v>
      </c>
      <c r="BM202" s="23">
        <v>7.5718189192107169E-2</v>
      </c>
      <c r="BN202" s="23">
        <v>7.3955559365675619E-2</v>
      </c>
    </row>
    <row r="203" spans="1:66" x14ac:dyDescent="0.25">
      <c r="A203" s="16">
        <v>16068</v>
      </c>
      <c r="B203" s="16" t="s">
        <v>399</v>
      </c>
      <c r="C203" s="17">
        <v>0</v>
      </c>
      <c r="D203" s="17">
        <f t="shared" si="120"/>
        <v>0</v>
      </c>
      <c r="E203" s="17">
        <f t="shared" si="121"/>
        <v>0</v>
      </c>
      <c r="F203" s="17">
        <f t="shared" si="122"/>
        <v>0</v>
      </c>
      <c r="G203" s="17">
        <f t="shared" si="123"/>
        <v>0</v>
      </c>
      <c r="H203" s="17">
        <f t="shared" si="124"/>
        <v>0</v>
      </c>
      <c r="I203" s="17">
        <f t="shared" si="125"/>
        <v>0</v>
      </c>
      <c r="J203" s="17">
        <f t="shared" si="126"/>
        <v>0</v>
      </c>
      <c r="K203" s="17">
        <f t="shared" si="127"/>
        <v>0</v>
      </c>
      <c r="L203" s="17">
        <f t="shared" si="128"/>
        <v>0</v>
      </c>
      <c r="M203" s="17">
        <f t="shared" si="129"/>
        <v>0</v>
      </c>
      <c r="N203" s="17">
        <f t="shared" si="130"/>
        <v>0</v>
      </c>
      <c r="O203" s="17">
        <f t="shared" si="131"/>
        <v>0</v>
      </c>
      <c r="P203" s="17">
        <v>0</v>
      </c>
      <c r="Q203" s="17">
        <f t="shared" si="132"/>
        <v>0</v>
      </c>
      <c r="R203" s="17">
        <f t="shared" si="133"/>
        <v>0</v>
      </c>
      <c r="S203" s="17">
        <f t="shared" si="134"/>
        <v>0</v>
      </c>
      <c r="T203" s="17">
        <f t="shared" si="135"/>
        <v>0</v>
      </c>
      <c r="U203" s="17">
        <f t="shared" si="136"/>
        <v>0</v>
      </c>
      <c r="V203" s="17">
        <f t="shared" si="137"/>
        <v>0</v>
      </c>
      <c r="W203" s="17">
        <f t="shared" si="138"/>
        <v>0</v>
      </c>
      <c r="X203" s="17">
        <f t="shared" si="139"/>
        <v>0</v>
      </c>
      <c r="Y203" s="17">
        <f t="shared" si="140"/>
        <v>0</v>
      </c>
      <c r="Z203" s="17">
        <f t="shared" si="141"/>
        <v>0</v>
      </c>
      <c r="AA203" s="17">
        <f t="shared" si="142"/>
        <v>0</v>
      </c>
      <c r="AB203" s="17">
        <f t="shared" si="143"/>
        <v>0</v>
      </c>
      <c r="AC203" s="17">
        <v>6000</v>
      </c>
      <c r="AD203" s="17">
        <f t="shared" si="144"/>
        <v>535.08939569245342</v>
      </c>
      <c r="AE203" s="17">
        <f t="shared" si="145"/>
        <v>639.9166730067119</v>
      </c>
      <c r="AF203" s="17">
        <f t="shared" si="146"/>
        <v>566.3309450912858</v>
      </c>
      <c r="AG203" s="17">
        <f t="shared" si="147"/>
        <v>428.97389921130292</v>
      </c>
      <c r="AH203" s="17">
        <f t="shared" si="148"/>
        <v>622.11430863220573</v>
      </c>
      <c r="AI203" s="17">
        <f t="shared" si="149"/>
        <v>509.82198571526783</v>
      </c>
      <c r="AJ203" s="17">
        <f t="shared" si="150"/>
        <v>507.56327326357621</v>
      </c>
      <c r="AK203" s="17">
        <f t="shared" si="151"/>
        <v>344.68263277667978</v>
      </c>
      <c r="AL203" s="17">
        <f t="shared" si="152"/>
        <v>510.92311407334483</v>
      </c>
      <c r="AM203" s="17">
        <f t="shared" si="153"/>
        <v>444.94835347821106</v>
      </c>
      <c r="AN203" s="17">
        <f t="shared" si="154"/>
        <v>454.30913515264302</v>
      </c>
      <c r="AO203" s="17">
        <f t="shared" si="155"/>
        <v>443.73335619405373</v>
      </c>
      <c r="AP203" s="17">
        <f t="shared" si="156"/>
        <v>6000</v>
      </c>
      <c r="AQ203" s="18">
        <v>536.26659236297678</v>
      </c>
      <c r="AR203" s="18">
        <v>641.3244896873266</v>
      </c>
      <c r="AS203" s="18">
        <v>567.57687317048669</v>
      </c>
      <c r="AT203" s="18">
        <v>429.91764178956777</v>
      </c>
      <c r="AU203" s="18">
        <v>623.48296011119658</v>
      </c>
      <c r="AV203" s="18">
        <v>510.94359408384139</v>
      </c>
      <c r="AW203" s="18">
        <v>508.67991246475606</v>
      </c>
      <c r="AX203" s="18">
        <v>345.44093456878846</v>
      </c>
      <c r="AY203" s="18">
        <v>512.04714492430617</v>
      </c>
      <c r="AZ203" s="18">
        <v>445.92723985586309</v>
      </c>
      <c r="BA203" s="18">
        <v>455.3086152499788</v>
      </c>
      <c r="BB203" s="18">
        <v>444.70956957768061</v>
      </c>
      <c r="BC203" s="23">
        <v>8.9181565948742242E-2</v>
      </c>
      <c r="BD203" s="23">
        <v>0.10665277883445198</v>
      </c>
      <c r="BE203" s="23">
        <v>9.438849084854764E-2</v>
      </c>
      <c r="BF203" s="23">
        <v>7.149564986855049E-2</v>
      </c>
      <c r="BG203" s="23">
        <v>0.10368571810536763</v>
      </c>
      <c r="BH203" s="23">
        <v>8.4970330952544637E-2</v>
      </c>
      <c r="BI203" s="23">
        <v>8.4593878877262704E-2</v>
      </c>
      <c r="BJ203" s="23">
        <v>5.7447105462779965E-2</v>
      </c>
      <c r="BK203" s="23">
        <v>8.5153852345557474E-2</v>
      </c>
      <c r="BL203" s="23">
        <v>7.4158058913035174E-2</v>
      </c>
      <c r="BM203" s="23">
        <v>7.5718189192107169E-2</v>
      </c>
      <c r="BN203" s="23">
        <v>7.3955559365675619E-2</v>
      </c>
    </row>
    <row r="204" spans="1:66" x14ac:dyDescent="0.25">
      <c r="A204" s="16">
        <v>27401</v>
      </c>
      <c r="B204" s="16" t="s">
        <v>400</v>
      </c>
      <c r="C204" s="17">
        <v>0</v>
      </c>
      <c r="D204" s="17">
        <f t="shared" si="120"/>
        <v>0</v>
      </c>
      <c r="E204" s="17">
        <f t="shared" si="121"/>
        <v>0</v>
      </c>
      <c r="F204" s="17">
        <f t="shared" si="122"/>
        <v>0</v>
      </c>
      <c r="G204" s="17">
        <f t="shared" si="123"/>
        <v>0</v>
      </c>
      <c r="H204" s="17">
        <f t="shared" si="124"/>
        <v>0</v>
      </c>
      <c r="I204" s="17">
        <f t="shared" si="125"/>
        <v>0</v>
      </c>
      <c r="J204" s="17">
        <f t="shared" si="126"/>
        <v>0</v>
      </c>
      <c r="K204" s="17">
        <f t="shared" si="127"/>
        <v>0</v>
      </c>
      <c r="L204" s="17">
        <f t="shared" si="128"/>
        <v>0</v>
      </c>
      <c r="M204" s="17">
        <f t="shared" si="129"/>
        <v>0</v>
      </c>
      <c r="N204" s="17">
        <f t="shared" si="130"/>
        <v>0</v>
      </c>
      <c r="O204" s="17">
        <f t="shared" si="131"/>
        <v>0</v>
      </c>
      <c r="P204" s="17">
        <v>1500</v>
      </c>
      <c r="Q204" s="17">
        <f t="shared" si="132"/>
        <v>133.77234892311336</v>
      </c>
      <c r="R204" s="17">
        <f t="shared" si="133"/>
        <v>159.97916825167798</v>
      </c>
      <c r="S204" s="17">
        <f t="shared" si="134"/>
        <v>141.58273627282145</v>
      </c>
      <c r="T204" s="17">
        <f t="shared" si="135"/>
        <v>107.24347480282573</v>
      </c>
      <c r="U204" s="17">
        <f t="shared" si="136"/>
        <v>155.52857715805143</v>
      </c>
      <c r="V204" s="17">
        <f t="shared" si="137"/>
        <v>127.45549642881696</v>
      </c>
      <c r="W204" s="17">
        <f t="shared" si="138"/>
        <v>126.89081831589405</v>
      </c>
      <c r="X204" s="17">
        <f t="shared" si="139"/>
        <v>86.170658194169945</v>
      </c>
      <c r="Y204" s="17">
        <f t="shared" si="140"/>
        <v>127.73077851833621</v>
      </c>
      <c r="Z204" s="17">
        <f t="shared" si="141"/>
        <v>111.23708836955277</v>
      </c>
      <c r="AA204" s="17">
        <f t="shared" si="142"/>
        <v>113.57728378816076</v>
      </c>
      <c r="AB204" s="17">
        <f t="shared" si="143"/>
        <v>110.93333904851343</v>
      </c>
      <c r="AC204" s="17">
        <v>0</v>
      </c>
      <c r="AD204" s="17">
        <f t="shared" si="144"/>
        <v>0</v>
      </c>
      <c r="AE204" s="17">
        <f t="shared" si="145"/>
        <v>0</v>
      </c>
      <c r="AF204" s="17">
        <f t="shared" si="146"/>
        <v>0</v>
      </c>
      <c r="AG204" s="17">
        <f t="shared" si="147"/>
        <v>0</v>
      </c>
      <c r="AH204" s="17">
        <f t="shared" si="148"/>
        <v>0</v>
      </c>
      <c r="AI204" s="17">
        <f t="shared" si="149"/>
        <v>0</v>
      </c>
      <c r="AJ204" s="17">
        <f t="shared" si="150"/>
        <v>0</v>
      </c>
      <c r="AK204" s="17">
        <f t="shared" si="151"/>
        <v>0</v>
      </c>
      <c r="AL204" s="17">
        <f t="shared" si="152"/>
        <v>0</v>
      </c>
      <c r="AM204" s="17">
        <f t="shared" si="153"/>
        <v>0</v>
      </c>
      <c r="AN204" s="17">
        <f t="shared" si="154"/>
        <v>0</v>
      </c>
      <c r="AO204" s="17">
        <f t="shared" si="155"/>
        <v>0</v>
      </c>
      <c r="AP204" s="17">
        <f t="shared" si="156"/>
        <v>1500</v>
      </c>
      <c r="AQ204" s="18">
        <v>536.46279180806403</v>
      </c>
      <c r="AR204" s="18">
        <v>641.55912580076244</v>
      </c>
      <c r="AS204" s="18">
        <v>567.78452785035347</v>
      </c>
      <c r="AT204" s="18">
        <v>430.07493221927859</v>
      </c>
      <c r="AU204" s="18">
        <v>623.71106869102834</v>
      </c>
      <c r="AV204" s="18">
        <v>511.13052881193698</v>
      </c>
      <c r="AW204" s="18">
        <v>508.86601899828605</v>
      </c>
      <c r="AX204" s="18">
        <v>345.5673182008066</v>
      </c>
      <c r="AY204" s="18">
        <v>512.2344833994664</v>
      </c>
      <c r="AZ204" s="18">
        <v>446.09038758547177</v>
      </c>
      <c r="BA204" s="18">
        <v>455.47519526620141</v>
      </c>
      <c r="BB204" s="18">
        <v>444.87227180828506</v>
      </c>
      <c r="BC204" s="23">
        <v>8.9181565948742242E-2</v>
      </c>
      <c r="BD204" s="23">
        <v>0.10665277883445198</v>
      </c>
      <c r="BE204" s="23">
        <v>9.438849084854764E-2</v>
      </c>
      <c r="BF204" s="23">
        <v>7.149564986855049E-2</v>
      </c>
      <c r="BG204" s="23">
        <v>0.10368571810536763</v>
      </c>
      <c r="BH204" s="23">
        <v>8.4970330952544637E-2</v>
      </c>
      <c r="BI204" s="23">
        <v>8.4593878877262704E-2</v>
      </c>
      <c r="BJ204" s="23">
        <v>5.7447105462779965E-2</v>
      </c>
      <c r="BK204" s="23">
        <v>8.5153852345557474E-2</v>
      </c>
      <c r="BL204" s="23">
        <v>7.4158058913035174E-2</v>
      </c>
      <c r="BM204" s="23">
        <v>7.5718189192107169E-2</v>
      </c>
      <c r="BN204" s="23">
        <v>7.3955559365675619E-2</v>
      </c>
    </row>
    <row r="205" spans="1:66" x14ac:dyDescent="0.25">
      <c r="A205" s="16">
        <v>29336</v>
      </c>
      <c r="B205" s="16" t="s">
        <v>401</v>
      </c>
      <c r="C205" s="17">
        <v>15000</v>
      </c>
      <c r="D205" s="17">
        <f t="shared" si="120"/>
        <v>1337.7234892311337</v>
      </c>
      <c r="E205" s="17">
        <f t="shared" si="121"/>
        <v>1599.7916825167797</v>
      </c>
      <c r="F205" s="17">
        <f t="shared" si="122"/>
        <v>1415.8273627282147</v>
      </c>
      <c r="G205" s="17">
        <f t="shared" si="123"/>
        <v>1072.4347480282574</v>
      </c>
      <c r="H205" s="17">
        <f t="shared" si="124"/>
        <v>1555.2857715805144</v>
      </c>
      <c r="I205" s="17">
        <f t="shared" si="125"/>
        <v>1274.5549642881695</v>
      </c>
      <c r="J205" s="17">
        <f t="shared" si="126"/>
        <v>1268.9081831589406</v>
      </c>
      <c r="K205" s="17">
        <f t="shared" si="127"/>
        <v>861.70658194169948</v>
      </c>
      <c r="L205" s="17">
        <f t="shared" si="128"/>
        <v>1277.3077851833621</v>
      </c>
      <c r="M205" s="17">
        <f t="shared" si="129"/>
        <v>1112.3708836955277</v>
      </c>
      <c r="N205" s="17">
        <f t="shared" si="130"/>
        <v>1135.7728378816075</v>
      </c>
      <c r="O205" s="17">
        <f t="shared" si="131"/>
        <v>1109.3333904851343</v>
      </c>
      <c r="P205" s="17">
        <v>0</v>
      </c>
      <c r="Q205" s="17">
        <f t="shared" si="132"/>
        <v>0</v>
      </c>
      <c r="R205" s="17">
        <f t="shared" si="133"/>
        <v>0</v>
      </c>
      <c r="S205" s="17">
        <f t="shared" si="134"/>
        <v>0</v>
      </c>
      <c r="T205" s="17">
        <f t="shared" si="135"/>
        <v>0</v>
      </c>
      <c r="U205" s="17">
        <f t="shared" si="136"/>
        <v>0</v>
      </c>
      <c r="V205" s="17">
        <f t="shared" si="137"/>
        <v>0</v>
      </c>
      <c r="W205" s="17">
        <f t="shared" si="138"/>
        <v>0</v>
      </c>
      <c r="X205" s="17">
        <f t="shared" si="139"/>
        <v>0</v>
      </c>
      <c r="Y205" s="17">
        <f t="shared" si="140"/>
        <v>0</v>
      </c>
      <c r="Z205" s="17">
        <f t="shared" si="141"/>
        <v>0</v>
      </c>
      <c r="AA205" s="17">
        <f t="shared" si="142"/>
        <v>0</v>
      </c>
      <c r="AB205" s="17">
        <f t="shared" si="143"/>
        <v>0</v>
      </c>
      <c r="AC205" s="17">
        <v>0</v>
      </c>
      <c r="AD205" s="17">
        <f t="shared" si="144"/>
        <v>0</v>
      </c>
      <c r="AE205" s="17">
        <f t="shared" si="145"/>
        <v>0</v>
      </c>
      <c r="AF205" s="17">
        <f t="shared" si="146"/>
        <v>0</v>
      </c>
      <c r="AG205" s="17">
        <f t="shared" si="147"/>
        <v>0</v>
      </c>
      <c r="AH205" s="17">
        <f t="shared" si="148"/>
        <v>0</v>
      </c>
      <c r="AI205" s="17">
        <f t="shared" si="149"/>
        <v>0</v>
      </c>
      <c r="AJ205" s="17">
        <f t="shared" si="150"/>
        <v>0</v>
      </c>
      <c r="AK205" s="17">
        <f t="shared" si="151"/>
        <v>0</v>
      </c>
      <c r="AL205" s="17">
        <f t="shared" si="152"/>
        <v>0</v>
      </c>
      <c r="AM205" s="17">
        <f t="shared" si="153"/>
        <v>0</v>
      </c>
      <c r="AN205" s="17">
        <f t="shared" si="154"/>
        <v>0</v>
      </c>
      <c r="AO205" s="17">
        <f t="shared" si="155"/>
        <v>0</v>
      </c>
      <c r="AP205" s="17">
        <f t="shared" si="156"/>
        <v>15000</v>
      </c>
      <c r="AQ205" s="18">
        <v>535.08939569245342</v>
      </c>
      <c r="AR205" s="18">
        <v>639.9166730067119</v>
      </c>
      <c r="AS205" s="18">
        <v>566.3309450912858</v>
      </c>
      <c r="AT205" s="18">
        <v>428.97389921130292</v>
      </c>
      <c r="AU205" s="18">
        <v>622.11430863220573</v>
      </c>
      <c r="AV205" s="18">
        <v>509.82198571526783</v>
      </c>
      <c r="AW205" s="18">
        <v>507.56327326357621</v>
      </c>
      <c r="AX205" s="18">
        <v>344.68263277667978</v>
      </c>
      <c r="AY205" s="18">
        <v>510.92311407334483</v>
      </c>
      <c r="AZ205" s="18">
        <v>444.94835347821106</v>
      </c>
      <c r="BA205" s="18">
        <v>454.30913515264302</v>
      </c>
      <c r="BB205" s="18">
        <v>443.73335619405373</v>
      </c>
      <c r="BC205" s="23">
        <v>8.9181565948742242E-2</v>
      </c>
      <c r="BD205" s="23">
        <v>0.10665277883445198</v>
      </c>
      <c r="BE205" s="23">
        <v>9.438849084854764E-2</v>
      </c>
      <c r="BF205" s="23">
        <v>7.149564986855049E-2</v>
      </c>
      <c r="BG205" s="23">
        <v>0.10368571810536763</v>
      </c>
      <c r="BH205" s="23">
        <v>8.4970330952544637E-2</v>
      </c>
      <c r="BI205" s="23">
        <v>8.4593878877262704E-2</v>
      </c>
      <c r="BJ205" s="23">
        <v>5.7447105462779965E-2</v>
      </c>
      <c r="BK205" s="23">
        <v>8.5153852345557474E-2</v>
      </c>
      <c r="BL205" s="23">
        <v>7.4158058913035174E-2</v>
      </c>
      <c r="BM205" s="23">
        <v>7.5718189192107169E-2</v>
      </c>
      <c r="BN205" s="23">
        <v>7.3955559365675619E-2</v>
      </c>
    </row>
    <row r="206" spans="1:66" x14ac:dyDescent="0.25">
      <c r="A206" s="16">
        <v>34022</v>
      </c>
      <c r="B206" s="16" t="s">
        <v>402</v>
      </c>
      <c r="C206" s="17">
        <v>10000</v>
      </c>
      <c r="D206" s="17">
        <f t="shared" si="120"/>
        <v>891.81565948742241</v>
      </c>
      <c r="E206" s="17">
        <f t="shared" si="121"/>
        <v>1066.5277883445199</v>
      </c>
      <c r="F206" s="17">
        <f t="shared" si="122"/>
        <v>943.88490848547644</v>
      </c>
      <c r="G206" s="17">
        <f t="shared" si="123"/>
        <v>714.95649868550493</v>
      </c>
      <c r="H206" s="17">
        <f t="shared" si="124"/>
        <v>1036.8571810536762</v>
      </c>
      <c r="I206" s="17">
        <f t="shared" si="125"/>
        <v>849.70330952544634</v>
      </c>
      <c r="J206" s="17">
        <f t="shared" si="126"/>
        <v>845.93878877262705</v>
      </c>
      <c r="K206" s="17">
        <f t="shared" si="127"/>
        <v>574.47105462779962</v>
      </c>
      <c r="L206" s="17">
        <f t="shared" si="128"/>
        <v>851.5385234555747</v>
      </c>
      <c r="M206" s="17">
        <f t="shared" si="129"/>
        <v>741.58058913035177</v>
      </c>
      <c r="N206" s="17">
        <f t="shared" si="130"/>
        <v>757.18189192107172</v>
      </c>
      <c r="O206" s="17">
        <f t="shared" si="131"/>
        <v>739.55559365675617</v>
      </c>
      <c r="P206" s="17">
        <v>0</v>
      </c>
      <c r="Q206" s="17">
        <f t="shared" si="132"/>
        <v>0</v>
      </c>
      <c r="R206" s="17">
        <f t="shared" si="133"/>
        <v>0</v>
      </c>
      <c r="S206" s="17">
        <f t="shared" si="134"/>
        <v>0</v>
      </c>
      <c r="T206" s="17">
        <f t="shared" si="135"/>
        <v>0</v>
      </c>
      <c r="U206" s="17">
        <f t="shared" si="136"/>
        <v>0</v>
      </c>
      <c r="V206" s="17">
        <f t="shared" si="137"/>
        <v>0</v>
      </c>
      <c r="W206" s="17">
        <f t="shared" si="138"/>
        <v>0</v>
      </c>
      <c r="X206" s="17">
        <f t="shared" si="139"/>
        <v>0</v>
      </c>
      <c r="Y206" s="17">
        <f t="shared" si="140"/>
        <v>0</v>
      </c>
      <c r="Z206" s="17">
        <f t="shared" si="141"/>
        <v>0</v>
      </c>
      <c r="AA206" s="17">
        <f t="shared" si="142"/>
        <v>0</v>
      </c>
      <c r="AB206" s="17">
        <f t="shared" si="143"/>
        <v>0</v>
      </c>
      <c r="AC206" s="17">
        <v>0</v>
      </c>
      <c r="AD206" s="17">
        <f t="shared" si="144"/>
        <v>0</v>
      </c>
      <c r="AE206" s="17">
        <f t="shared" si="145"/>
        <v>0</v>
      </c>
      <c r="AF206" s="17">
        <f t="shared" si="146"/>
        <v>0</v>
      </c>
      <c r="AG206" s="17">
        <f t="shared" si="147"/>
        <v>0</v>
      </c>
      <c r="AH206" s="17">
        <f t="shared" si="148"/>
        <v>0</v>
      </c>
      <c r="AI206" s="17">
        <f t="shared" si="149"/>
        <v>0</v>
      </c>
      <c r="AJ206" s="17">
        <f t="shared" si="150"/>
        <v>0</v>
      </c>
      <c r="AK206" s="17">
        <f t="shared" si="151"/>
        <v>0</v>
      </c>
      <c r="AL206" s="17">
        <f t="shared" si="152"/>
        <v>0</v>
      </c>
      <c r="AM206" s="17">
        <f t="shared" si="153"/>
        <v>0</v>
      </c>
      <c r="AN206" s="17">
        <f t="shared" si="154"/>
        <v>0</v>
      </c>
      <c r="AO206" s="17">
        <f t="shared" si="155"/>
        <v>0</v>
      </c>
      <c r="AP206" s="17">
        <f t="shared" si="156"/>
        <v>10000</v>
      </c>
      <c r="AQ206" s="18">
        <v>535.08939569245342</v>
      </c>
      <c r="AR206" s="18">
        <v>639.9166730067119</v>
      </c>
      <c r="AS206" s="18">
        <v>566.3309450912858</v>
      </c>
      <c r="AT206" s="18">
        <v>428.97389921130292</v>
      </c>
      <c r="AU206" s="18">
        <v>622.11430863220573</v>
      </c>
      <c r="AV206" s="18">
        <v>509.82198571526783</v>
      </c>
      <c r="AW206" s="18">
        <v>507.56327326357621</v>
      </c>
      <c r="AX206" s="18">
        <v>344.68263277667978</v>
      </c>
      <c r="AY206" s="18">
        <v>510.92311407334483</v>
      </c>
      <c r="AZ206" s="18">
        <v>444.94835347821106</v>
      </c>
      <c r="BA206" s="18">
        <v>454.30913515264302</v>
      </c>
      <c r="BB206" s="18">
        <v>443.73335619405373</v>
      </c>
      <c r="BC206" s="23">
        <v>8.9181565948742242E-2</v>
      </c>
      <c r="BD206" s="23">
        <v>0.10665277883445198</v>
      </c>
      <c r="BE206" s="23">
        <v>9.438849084854764E-2</v>
      </c>
      <c r="BF206" s="23">
        <v>7.149564986855049E-2</v>
      </c>
      <c r="BG206" s="23">
        <v>0.10368571810536763</v>
      </c>
      <c r="BH206" s="23">
        <v>8.4970330952544637E-2</v>
      </c>
      <c r="BI206" s="23">
        <v>8.4593878877262704E-2</v>
      </c>
      <c r="BJ206" s="23">
        <v>5.7447105462779965E-2</v>
      </c>
      <c r="BK206" s="23">
        <v>8.5153852345557474E-2</v>
      </c>
      <c r="BL206" s="23">
        <v>7.4158058913035174E-2</v>
      </c>
      <c r="BM206" s="23">
        <v>7.5718189192107169E-2</v>
      </c>
      <c r="BN206" s="23">
        <v>7.3955559365675619E-2</v>
      </c>
    </row>
    <row r="207" spans="1:66" x14ac:dyDescent="0.25">
      <c r="A207" s="16">
        <v>1875</v>
      </c>
      <c r="B207" s="16" t="s">
        <v>403</v>
      </c>
      <c r="C207" s="17">
        <v>0</v>
      </c>
      <c r="D207" s="17">
        <f t="shared" si="120"/>
        <v>0</v>
      </c>
      <c r="E207" s="17">
        <f t="shared" si="121"/>
        <v>0</v>
      </c>
      <c r="F207" s="17">
        <f t="shared" si="122"/>
        <v>0</v>
      </c>
      <c r="G207" s="17">
        <f t="shared" si="123"/>
        <v>0</v>
      </c>
      <c r="H207" s="17">
        <f t="shared" si="124"/>
        <v>0</v>
      </c>
      <c r="I207" s="17">
        <f t="shared" si="125"/>
        <v>0</v>
      </c>
      <c r="J207" s="17">
        <f t="shared" si="126"/>
        <v>0</v>
      </c>
      <c r="K207" s="17">
        <f t="shared" si="127"/>
        <v>0</v>
      </c>
      <c r="L207" s="17">
        <f t="shared" si="128"/>
        <v>0</v>
      </c>
      <c r="M207" s="17">
        <f t="shared" si="129"/>
        <v>0</v>
      </c>
      <c r="N207" s="17">
        <f t="shared" si="130"/>
        <v>0</v>
      </c>
      <c r="O207" s="17">
        <f t="shared" si="131"/>
        <v>0</v>
      </c>
      <c r="P207" s="17">
        <v>5000</v>
      </c>
      <c r="Q207" s="17">
        <f t="shared" si="132"/>
        <v>445.9078297437112</v>
      </c>
      <c r="R207" s="17">
        <f t="shared" si="133"/>
        <v>533.26389417225994</v>
      </c>
      <c r="S207" s="17">
        <f t="shared" si="134"/>
        <v>471.94245424273822</v>
      </c>
      <c r="T207" s="17">
        <f t="shared" si="135"/>
        <v>357.47824934275246</v>
      </c>
      <c r="U207" s="17">
        <f t="shared" si="136"/>
        <v>518.42859052683809</v>
      </c>
      <c r="V207" s="17">
        <f t="shared" si="137"/>
        <v>424.85165476272317</v>
      </c>
      <c r="W207" s="17">
        <f t="shared" si="138"/>
        <v>422.96939438631352</v>
      </c>
      <c r="X207" s="17">
        <f t="shared" si="139"/>
        <v>287.23552731389981</v>
      </c>
      <c r="Y207" s="17">
        <f t="shared" si="140"/>
        <v>425.76926172778735</v>
      </c>
      <c r="Z207" s="17">
        <f t="shared" si="141"/>
        <v>370.79029456517588</v>
      </c>
      <c r="AA207" s="17">
        <f t="shared" si="142"/>
        <v>378.59094596053586</v>
      </c>
      <c r="AB207" s="17">
        <f t="shared" si="143"/>
        <v>369.77779682837809</v>
      </c>
      <c r="AC207" s="17">
        <v>0</v>
      </c>
      <c r="AD207" s="17">
        <f t="shared" si="144"/>
        <v>0</v>
      </c>
      <c r="AE207" s="17">
        <f t="shared" si="145"/>
        <v>0</v>
      </c>
      <c r="AF207" s="17">
        <f t="shared" si="146"/>
        <v>0</v>
      </c>
      <c r="AG207" s="17">
        <f t="shared" si="147"/>
        <v>0</v>
      </c>
      <c r="AH207" s="17">
        <f t="shared" si="148"/>
        <v>0</v>
      </c>
      <c r="AI207" s="17">
        <f t="shared" si="149"/>
        <v>0</v>
      </c>
      <c r="AJ207" s="17">
        <f t="shared" si="150"/>
        <v>0</v>
      </c>
      <c r="AK207" s="17">
        <f t="shared" si="151"/>
        <v>0</v>
      </c>
      <c r="AL207" s="17">
        <f t="shared" si="152"/>
        <v>0</v>
      </c>
      <c r="AM207" s="17">
        <f t="shared" si="153"/>
        <v>0</v>
      </c>
      <c r="AN207" s="17">
        <f t="shared" si="154"/>
        <v>0</v>
      </c>
      <c r="AO207" s="17">
        <f t="shared" si="155"/>
        <v>0</v>
      </c>
      <c r="AP207" s="17">
        <f t="shared" si="156"/>
        <v>5000</v>
      </c>
      <c r="AQ207" s="18">
        <v>535.08939569245342</v>
      </c>
      <c r="AR207" s="18">
        <v>639.9166730067119</v>
      </c>
      <c r="AS207" s="18">
        <v>566.3309450912858</v>
      </c>
      <c r="AT207" s="18">
        <v>428.97389921130292</v>
      </c>
      <c r="AU207" s="18">
        <v>622.11430863220573</v>
      </c>
      <c r="AV207" s="18">
        <v>509.82198571526783</v>
      </c>
      <c r="AW207" s="18">
        <v>507.56327326357621</v>
      </c>
      <c r="AX207" s="18">
        <v>344.68263277667978</v>
      </c>
      <c r="AY207" s="18">
        <v>510.92311407334483</v>
      </c>
      <c r="AZ207" s="18">
        <v>444.94835347821106</v>
      </c>
      <c r="BA207" s="18">
        <v>454.30913515264302</v>
      </c>
      <c r="BB207" s="18">
        <v>443.73335619405373</v>
      </c>
      <c r="BC207" s="23">
        <v>8.9181565948742242E-2</v>
      </c>
      <c r="BD207" s="23">
        <v>0.10665277883445198</v>
      </c>
      <c r="BE207" s="23">
        <v>9.438849084854764E-2</v>
      </c>
      <c r="BF207" s="23">
        <v>7.149564986855049E-2</v>
      </c>
      <c r="BG207" s="23">
        <v>0.10368571810536763</v>
      </c>
      <c r="BH207" s="23">
        <v>8.4970330952544637E-2</v>
      </c>
      <c r="BI207" s="23">
        <v>8.4593878877262704E-2</v>
      </c>
      <c r="BJ207" s="23">
        <v>5.7447105462779965E-2</v>
      </c>
      <c r="BK207" s="23">
        <v>8.5153852345557474E-2</v>
      </c>
      <c r="BL207" s="23">
        <v>7.4158058913035174E-2</v>
      </c>
      <c r="BM207" s="23">
        <v>7.5718189192107169E-2</v>
      </c>
      <c r="BN207" s="23">
        <v>7.3955559365675619E-2</v>
      </c>
    </row>
    <row r="208" spans="1:66" x14ac:dyDescent="0.25">
      <c r="A208" s="16">
        <v>17315</v>
      </c>
      <c r="B208" s="16" t="s">
        <v>404</v>
      </c>
      <c r="C208" s="17">
        <v>5500</v>
      </c>
      <c r="D208" s="17">
        <f t="shared" si="120"/>
        <v>490.49861271808231</v>
      </c>
      <c r="E208" s="17">
        <f t="shared" si="121"/>
        <v>586.59028358948592</v>
      </c>
      <c r="F208" s="17">
        <f t="shared" si="122"/>
        <v>519.13669966701207</v>
      </c>
      <c r="G208" s="17">
        <f t="shared" si="123"/>
        <v>393.22607427702769</v>
      </c>
      <c r="H208" s="17">
        <f t="shared" si="124"/>
        <v>570.27144957952191</v>
      </c>
      <c r="I208" s="17">
        <f t="shared" si="125"/>
        <v>467.33682023899553</v>
      </c>
      <c r="J208" s="17">
        <f t="shared" si="126"/>
        <v>465.26633382494487</v>
      </c>
      <c r="K208" s="17">
        <f t="shared" si="127"/>
        <v>315.9590800452898</v>
      </c>
      <c r="L208" s="17">
        <f t="shared" si="128"/>
        <v>468.34618790056612</v>
      </c>
      <c r="M208" s="17">
        <f t="shared" si="129"/>
        <v>407.86932402169344</v>
      </c>
      <c r="N208" s="17">
        <f t="shared" si="130"/>
        <v>416.45004055658944</v>
      </c>
      <c r="O208" s="17">
        <f t="shared" si="131"/>
        <v>406.75557651121591</v>
      </c>
      <c r="P208" s="17">
        <v>0</v>
      </c>
      <c r="Q208" s="17">
        <f t="shared" si="132"/>
        <v>0</v>
      </c>
      <c r="R208" s="17">
        <f t="shared" si="133"/>
        <v>0</v>
      </c>
      <c r="S208" s="17">
        <f t="shared" si="134"/>
        <v>0</v>
      </c>
      <c r="T208" s="17">
        <f t="shared" si="135"/>
        <v>0</v>
      </c>
      <c r="U208" s="17">
        <f t="shared" si="136"/>
        <v>0</v>
      </c>
      <c r="V208" s="17">
        <f t="shared" si="137"/>
        <v>0</v>
      </c>
      <c r="W208" s="17">
        <f t="shared" si="138"/>
        <v>0</v>
      </c>
      <c r="X208" s="17">
        <f t="shared" si="139"/>
        <v>0</v>
      </c>
      <c r="Y208" s="17">
        <f t="shared" si="140"/>
        <v>0</v>
      </c>
      <c r="Z208" s="17">
        <f t="shared" si="141"/>
        <v>0</v>
      </c>
      <c r="AA208" s="17">
        <f t="shared" si="142"/>
        <v>0</v>
      </c>
      <c r="AB208" s="17">
        <f t="shared" si="143"/>
        <v>0</v>
      </c>
      <c r="AC208" s="17">
        <v>0</v>
      </c>
      <c r="AD208" s="17">
        <f t="shared" si="144"/>
        <v>0</v>
      </c>
      <c r="AE208" s="17">
        <f t="shared" si="145"/>
        <v>0</v>
      </c>
      <c r="AF208" s="17">
        <f t="shared" si="146"/>
        <v>0</v>
      </c>
      <c r="AG208" s="17">
        <f t="shared" si="147"/>
        <v>0</v>
      </c>
      <c r="AH208" s="17">
        <f t="shared" si="148"/>
        <v>0</v>
      </c>
      <c r="AI208" s="17">
        <f t="shared" si="149"/>
        <v>0</v>
      </c>
      <c r="AJ208" s="17">
        <f t="shared" si="150"/>
        <v>0</v>
      </c>
      <c r="AK208" s="17">
        <f t="shared" si="151"/>
        <v>0</v>
      </c>
      <c r="AL208" s="17">
        <f t="shared" si="152"/>
        <v>0</v>
      </c>
      <c r="AM208" s="17">
        <f t="shared" si="153"/>
        <v>0</v>
      </c>
      <c r="AN208" s="17">
        <f t="shared" si="154"/>
        <v>0</v>
      </c>
      <c r="AO208" s="17">
        <f t="shared" si="155"/>
        <v>0</v>
      </c>
      <c r="AP208" s="17">
        <f t="shared" si="156"/>
        <v>5500</v>
      </c>
      <c r="AQ208" s="18">
        <v>490.49861271808231</v>
      </c>
      <c r="AR208" s="18">
        <v>586.59028358948592</v>
      </c>
      <c r="AS208" s="18">
        <v>519.13669966701207</v>
      </c>
      <c r="AT208" s="18">
        <v>393.22607427702769</v>
      </c>
      <c r="AU208" s="18">
        <v>570.27144957952191</v>
      </c>
      <c r="AV208" s="18">
        <v>467.33682023899553</v>
      </c>
      <c r="AW208" s="18">
        <v>465.26633382494487</v>
      </c>
      <c r="AX208" s="18">
        <v>315.9590800452898</v>
      </c>
      <c r="AY208" s="18">
        <v>468.34618790056612</v>
      </c>
      <c r="AZ208" s="18">
        <v>407.86932402169344</v>
      </c>
      <c r="BA208" s="18">
        <v>416.45004055658944</v>
      </c>
      <c r="BB208" s="18">
        <v>406.75557651121591</v>
      </c>
      <c r="BC208" s="23">
        <v>8.9181565948742242E-2</v>
      </c>
      <c r="BD208" s="23">
        <v>0.10665277883445198</v>
      </c>
      <c r="BE208" s="23">
        <v>9.438849084854764E-2</v>
      </c>
      <c r="BF208" s="23">
        <v>7.149564986855049E-2</v>
      </c>
      <c r="BG208" s="23">
        <v>0.10368571810536763</v>
      </c>
      <c r="BH208" s="23">
        <v>8.4970330952544637E-2</v>
      </c>
      <c r="BI208" s="23">
        <v>8.4593878877262704E-2</v>
      </c>
      <c r="BJ208" s="23">
        <v>5.7447105462779965E-2</v>
      </c>
      <c r="BK208" s="23">
        <v>8.5153852345557474E-2</v>
      </c>
      <c r="BL208" s="23">
        <v>7.4158058913035174E-2</v>
      </c>
      <c r="BM208" s="23">
        <v>7.5718189192107169E-2</v>
      </c>
      <c r="BN208" s="23">
        <v>7.3955559365675619E-2</v>
      </c>
    </row>
    <row r="209" spans="1:66" x14ac:dyDescent="0.25">
      <c r="A209" s="16">
        <v>2315</v>
      </c>
      <c r="B209" s="16" t="s">
        <v>405</v>
      </c>
      <c r="C209" s="17">
        <v>4000</v>
      </c>
      <c r="D209" s="17">
        <f t="shared" si="120"/>
        <v>356.72626379496899</v>
      </c>
      <c r="E209" s="17">
        <f t="shared" si="121"/>
        <v>426.61111533780792</v>
      </c>
      <c r="F209" s="17">
        <f t="shared" si="122"/>
        <v>377.55396339419059</v>
      </c>
      <c r="G209" s="17">
        <f t="shared" si="123"/>
        <v>285.98259947420195</v>
      </c>
      <c r="H209" s="17">
        <f t="shared" si="124"/>
        <v>414.74287242147051</v>
      </c>
      <c r="I209" s="17">
        <f t="shared" si="125"/>
        <v>339.88132381017857</v>
      </c>
      <c r="J209" s="17">
        <f t="shared" si="126"/>
        <v>338.37551550905084</v>
      </c>
      <c r="K209" s="17">
        <f t="shared" si="127"/>
        <v>229.78842185111986</v>
      </c>
      <c r="L209" s="17">
        <f t="shared" si="128"/>
        <v>340.61540938222987</v>
      </c>
      <c r="M209" s="17">
        <f t="shared" si="129"/>
        <v>296.63223565214071</v>
      </c>
      <c r="N209" s="17">
        <f t="shared" si="130"/>
        <v>302.8727567684287</v>
      </c>
      <c r="O209" s="17">
        <f t="shared" si="131"/>
        <v>295.8222374627025</v>
      </c>
      <c r="P209" s="17">
        <v>1000</v>
      </c>
      <c r="Q209" s="17">
        <f t="shared" si="132"/>
        <v>89.181565948742247</v>
      </c>
      <c r="R209" s="17">
        <f t="shared" si="133"/>
        <v>106.65277883445198</v>
      </c>
      <c r="S209" s="17">
        <f t="shared" si="134"/>
        <v>94.388490848547647</v>
      </c>
      <c r="T209" s="17">
        <f t="shared" si="135"/>
        <v>71.495649868550487</v>
      </c>
      <c r="U209" s="17">
        <f t="shared" si="136"/>
        <v>103.68571810536763</v>
      </c>
      <c r="V209" s="17">
        <f t="shared" si="137"/>
        <v>84.970330952544643</v>
      </c>
      <c r="W209" s="17">
        <f t="shared" si="138"/>
        <v>84.593878877262711</v>
      </c>
      <c r="X209" s="17">
        <f t="shared" si="139"/>
        <v>57.447105462779966</v>
      </c>
      <c r="Y209" s="17">
        <f t="shared" si="140"/>
        <v>85.153852345557468</v>
      </c>
      <c r="Z209" s="17">
        <f t="shared" si="141"/>
        <v>74.158058913035177</v>
      </c>
      <c r="AA209" s="17">
        <f t="shared" si="142"/>
        <v>75.718189192107175</v>
      </c>
      <c r="AB209" s="17">
        <f t="shared" si="143"/>
        <v>73.955559365675626</v>
      </c>
      <c r="AC209" s="17">
        <v>800</v>
      </c>
      <c r="AD209" s="17">
        <f t="shared" si="144"/>
        <v>71.345252758993794</v>
      </c>
      <c r="AE209" s="17">
        <f t="shared" si="145"/>
        <v>85.32222306756158</v>
      </c>
      <c r="AF209" s="17">
        <f t="shared" si="146"/>
        <v>75.510792678838115</v>
      </c>
      <c r="AG209" s="17">
        <f t="shared" si="147"/>
        <v>57.196519894840392</v>
      </c>
      <c r="AH209" s="17">
        <f t="shared" si="148"/>
        <v>82.948574484294099</v>
      </c>
      <c r="AI209" s="17">
        <f t="shared" si="149"/>
        <v>67.976264762035711</v>
      </c>
      <c r="AJ209" s="17">
        <f t="shared" si="150"/>
        <v>67.675103101810166</v>
      </c>
      <c r="AK209" s="17">
        <f t="shared" si="151"/>
        <v>45.957684370223973</v>
      </c>
      <c r="AL209" s="17">
        <f t="shared" si="152"/>
        <v>68.12308187644598</v>
      </c>
      <c r="AM209" s="17">
        <f t="shared" si="153"/>
        <v>59.326447130428136</v>
      </c>
      <c r="AN209" s="17">
        <f t="shared" si="154"/>
        <v>60.574551353685735</v>
      </c>
      <c r="AO209" s="17">
        <f t="shared" si="155"/>
        <v>59.164447492540496</v>
      </c>
      <c r="AP209" s="17">
        <f t="shared" si="156"/>
        <v>5800</v>
      </c>
      <c r="AQ209" s="18">
        <v>490.49861271808231</v>
      </c>
      <c r="AR209" s="18">
        <v>586.59028358948592</v>
      </c>
      <c r="AS209" s="18">
        <v>519.13669966701207</v>
      </c>
      <c r="AT209" s="18">
        <v>393.22607427702769</v>
      </c>
      <c r="AU209" s="18">
        <v>570.27144957952191</v>
      </c>
      <c r="AV209" s="18">
        <v>467.33682023899553</v>
      </c>
      <c r="AW209" s="18">
        <v>465.26633382494487</v>
      </c>
      <c r="AX209" s="18">
        <v>315.9590800452898</v>
      </c>
      <c r="AY209" s="18">
        <v>468.34618790056612</v>
      </c>
      <c r="AZ209" s="18">
        <v>407.86932402169344</v>
      </c>
      <c r="BA209" s="18">
        <v>416.45004055658944</v>
      </c>
      <c r="BB209" s="18">
        <v>406.75557651121591</v>
      </c>
      <c r="BC209" s="23">
        <v>8.9181565948742242E-2</v>
      </c>
      <c r="BD209" s="23">
        <v>0.10665277883445198</v>
      </c>
      <c r="BE209" s="23">
        <v>9.438849084854764E-2</v>
      </c>
      <c r="BF209" s="23">
        <v>7.149564986855049E-2</v>
      </c>
      <c r="BG209" s="23">
        <v>0.10368571810536763</v>
      </c>
      <c r="BH209" s="23">
        <v>8.4970330952544637E-2</v>
      </c>
      <c r="BI209" s="23">
        <v>8.4593878877262704E-2</v>
      </c>
      <c r="BJ209" s="23">
        <v>5.7447105462779965E-2</v>
      </c>
      <c r="BK209" s="23">
        <v>8.5153852345557474E-2</v>
      </c>
      <c r="BL209" s="23">
        <v>7.4158058913035174E-2</v>
      </c>
      <c r="BM209" s="23">
        <v>7.5718189192107169E-2</v>
      </c>
      <c r="BN209" s="23">
        <v>7.3955559365675619E-2</v>
      </c>
    </row>
    <row r="210" spans="1:66" x14ac:dyDescent="0.25">
      <c r="A210" s="16">
        <v>4176</v>
      </c>
      <c r="B210" s="16" t="s">
        <v>406</v>
      </c>
      <c r="C210" s="17">
        <v>0</v>
      </c>
      <c r="D210" s="17">
        <f t="shared" si="120"/>
        <v>0</v>
      </c>
      <c r="E210" s="17">
        <f t="shared" si="121"/>
        <v>0</v>
      </c>
      <c r="F210" s="17">
        <f t="shared" si="122"/>
        <v>0</v>
      </c>
      <c r="G210" s="17">
        <f t="shared" si="123"/>
        <v>0</v>
      </c>
      <c r="H210" s="17">
        <f t="shared" si="124"/>
        <v>0</v>
      </c>
      <c r="I210" s="17">
        <f t="shared" si="125"/>
        <v>0</v>
      </c>
      <c r="J210" s="17">
        <f t="shared" si="126"/>
        <v>0</v>
      </c>
      <c r="K210" s="17">
        <f t="shared" si="127"/>
        <v>0</v>
      </c>
      <c r="L210" s="17">
        <f t="shared" si="128"/>
        <v>0</v>
      </c>
      <c r="M210" s="17">
        <f t="shared" si="129"/>
        <v>0</v>
      </c>
      <c r="N210" s="17">
        <f t="shared" si="130"/>
        <v>0</v>
      </c>
      <c r="O210" s="17">
        <f t="shared" si="131"/>
        <v>0</v>
      </c>
      <c r="P210" s="17">
        <v>4000</v>
      </c>
      <c r="Q210" s="17">
        <f t="shared" si="132"/>
        <v>356.72626379496899</v>
      </c>
      <c r="R210" s="17">
        <f t="shared" si="133"/>
        <v>426.61111533780792</v>
      </c>
      <c r="S210" s="17">
        <f t="shared" si="134"/>
        <v>377.55396339419059</v>
      </c>
      <c r="T210" s="17">
        <f t="shared" si="135"/>
        <v>285.98259947420195</v>
      </c>
      <c r="U210" s="17">
        <f t="shared" si="136"/>
        <v>414.74287242147051</v>
      </c>
      <c r="V210" s="17">
        <f t="shared" si="137"/>
        <v>339.88132381017857</v>
      </c>
      <c r="W210" s="17">
        <f t="shared" si="138"/>
        <v>338.37551550905084</v>
      </c>
      <c r="X210" s="17">
        <f t="shared" si="139"/>
        <v>229.78842185111986</v>
      </c>
      <c r="Y210" s="17">
        <f t="shared" si="140"/>
        <v>340.61540938222987</v>
      </c>
      <c r="Z210" s="17">
        <f t="shared" si="141"/>
        <v>296.63223565214071</v>
      </c>
      <c r="AA210" s="17">
        <f t="shared" si="142"/>
        <v>302.8727567684287</v>
      </c>
      <c r="AB210" s="17">
        <f t="shared" si="143"/>
        <v>295.8222374627025</v>
      </c>
      <c r="AC210" s="17">
        <v>0</v>
      </c>
      <c r="AD210" s="17">
        <f t="shared" si="144"/>
        <v>0</v>
      </c>
      <c r="AE210" s="17">
        <f t="shared" si="145"/>
        <v>0</v>
      </c>
      <c r="AF210" s="17">
        <f t="shared" si="146"/>
        <v>0</v>
      </c>
      <c r="AG210" s="17">
        <f t="shared" si="147"/>
        <v>0</v>
      </c>
      <c r="AH210" s="17">
        <f t="shared" si="148"/>
        <v>0</v>
      </c>
      <c r="AI210" s="17">
        <f t="shared" si="149"/>
        <v>0</v>
      </c>
      <c r="AJ210" s="17">
        <f t="shared" si="150"/>
        <v>0</v>
      </c>
      <c r="AK210" s="17">
        <f t="shared" si="151"/>
        <v>0</v>
      </c>
      <c r="AL210" s="17">
        <f t="shared" si="152"/>
        <v>0</v>
      </c>
      <c r="AM210" s="17">
        <f t="shared" si="153"/>
        <v>0</v>
      </c>
      <c r="AN210" s="17">
        <f t="shared" si="154"/>
        <v>0</v>
      </c>
      <c r="AO210" s="17">
        <f t="shared" si="155"/>
        <v>0</v>
      </c>
      <c r="AP210" s="17">
        <f t="shared" si="156"/>
        <v>4000</v>
      </c>
      <c r="AQ210" s="18">
        <v>576.95122274879304</v>
      </c>
      <c r="AR210" s="18">
        <v>689.97948739160358</v>
      </c>
      <c r="AS210" s="18">
        <v>610.63690269559402</v>
      </c>
      <c r="AT210" s="18">
        <v>462.53395725960053</v>
      </c>
      <c r="AU210" s="18">
        <v>670.78438471086531</v>
      </c>
      <c r="AV210" s="18">
        <v>549.7070590643923</v>
      </c>
      <c r="AW210" s="18">
        <v>547.27164000856328</v>
      </c>
      <c r="AX210" s="18">
        <v>371.6483040809087</v>
      </c>
      <c r="AY210" s="18">
        <v>550.89433236434945</v>
      </c>
      <c r="AZ210" s="18">
        <v>479.75814633198974</v>
      </c>
      <c r="BA210" s="18">
        <v>489.85125315941809</v>
      </c>
      <c r="BB210" s="18">
        <v>478.44809576030184</v>
      </c>
      <c r="BC210" s="23">
        <v>8.9181565948742242E-2</v>
      </c>
      <c r="BD210" s="23">
        <v>0.10665277883445198</v>
      </c>
      <c r="BE210" s="23">
        <v>9.438849084854764E-2</v>
      </c>
      <c r="BF210" s="23">
        <v>7.149564986855049E-2</v>
      </c>
      <c r="BG210" s="23">
        <v>0.10368571810536763</v>
      </c>
      <c r="BH210" s="23">
        <v>8.4970330952544637E-2</v>
      </c>
      <c r="BI210" s="23">
        <v>8.4593878877262704E-2</v>
      </c>
      <c r="BJ210" s="23">
        <v>5.7447105462779965E-2</v>
      </c>
      <c r="BK210" s="23">
        <v>8.5153852345557474E-2</v>
      </c>
      <c r="BL210" s="23">
        <v>7.4158058913035174E-2</v>
      </c>
      <c r="BM210" s="23">
        <v>7.5718189192107169E-2</v>
      </c>
      <c r="BN210" s="23">
        <v>7.3955559365675619E-2</v>
      </c>
    </row>
    <row r="211" spans="1:66" x14ac:dyDescent="0.25">
      <c r="A211" s="16">
        <v>2016</v>
      </c>
      <c r="B211" s="16" t="s">
        <v>407</v>
      </c>
      <c r="C211" s="17">
        <v>0</v>
      </c>
      <c r="D211" s="17">
        <f t="shared" si="120"/>
        <v>0</v>
      </c>
      <c r="E211" s="17">
        <f t="shared" si="121"/>
        <v>0</v>
      </c>
      <c r="F211" s="17">
        <f t="shared" si="122"/>
        <v>0</v>
      </c>
      <c r="G211" s="17">
        <f t="shared" si="123"/>
        <v>0</v>
      </c>
      <c r="H211" s="17">
        <f t="shared" si="124"/>
        <v>0</v>
      </c>
      <c r="I211" s="17">
        <f t="shared" si="125"/>
        <v>0</v>
      </c>
      <c r="J211" s="17">
        <f t="shared" si="126"/>
        <v>0</v>
      </c>
      <c r="K211" s="17">
        <f t="shared" si="127"/>
        <v>0</v>
      </c>
      <c r="L211" s="17">
        <f t="shared" si="128"/>
        <v>0</v>
      </c>
      <c r="M211" s="17">
        <f t="shared" si="129"/>
        <v>0</v>
      </c>
      <c r="N211" s="17">
        <f t="shared" si="130"/>
        <v>0</v>
      </c>
      <c r="O211" s="17">
        <f t="shared" si="131"/>
        <v>0</v>
      </c>
      <c r="P211" s="17">
        <v>2000</v>
      </c>
      <c r="Q211" s="17">
        <f t="shared" si="132"/>
        <v>178.36313189748449</v>
      </c>
      <c r="R211" s="17">
        <f t="shared" si="133"/>
        <v>213.30555766890396</v>
      </c>
      <c r="S211" s="17">
        <f t="shared" si="134"/>
        <v>188.77698169709529</v>
      </c>
      <c r="T211" s="17">
        <f t="shared" si="135"/>
        <v>142.99129973710097</v>
      </c>
      <c r="U211" s="17">
        <f t="shared" si="136"/>
        <v>207.37143621073525</v>
      </c>
      <c r="V211" s="17">
        <f t="shared" si="137"/>
        <v>169.94066190508929</v>
      </c>
      <c r="W211" s="17">
        <f t="shared" si="138"/>
        <v>169.18775775452542</v>
      </c>
      <c r="X211" s="17">
        <f t="shared" si="139"/>
        <v>114.89421092555993</v>
      </c>
      <c r="Y211" s="17">
        <f t="shared" si="140"/>
        <v>170.30770469111494</v>
      </c>
      <c r="Z211" s="17">
        <f t="shared" si="141"/>
        <v>148.31611782607035</v>
      </c>
      <c r="AA211" s="17">
        <f t="shared" si="142"/>
        <v>151.43637838421435</v>
      </c>
      <c r="AB211" s="17">
        <f t="shared" si="143"/>
        <v>147.91111873135125</v>
      </c>
      <c r="AC211" s="17">
        <v>0</v>
      </c>
      <c r="AD211" s="17">
        <f t="shared" si="144"/>
        <v>0</v>
      </c>
      <c r="AE211" s="17">
        <f t="shared" si="145"/>
        <v>0</v>
      </c>
      <c r="AF211" s="17">
        <f t="shared" si="146"/>
        <v>0</v>
      </c>
      <c r="AG211" s="17">
        <f t="shared" si="147"/>
        <v>0</v>
      </c>
      <c r="AH211" s="17">
        <f t="shared" si="148"/>
        <v>0</v>
      </c>
      <c r="AI211" s="17">
        <f t="shared" si="149"/>
        <v>0</v>
      </c>
      <c r="AJ211" s="17">
        <f t="shared" si="150"/>
        <v>0</v>
      </c>
      <c r="AK211" s="17">
        <f t="shared" si="151"/>
        <v>0</v>
      </c>
      <c r="AL211" s="17">
        <f t="shared" si="152"/>
        <v>0</v>
      </c>
      <c r="AM211" s="17">
        <f t="shared" si="153"/>
        <v>0</v>
      </c>
      <c r="AN211" s="17">
        <f t="shared" si="154"/>
        <v>0</v>
      </c>
      <c r="AO211" s="17">
        <f t="shared" si="155"/>
        <v>0</v>
      </c>
      <c r="AP211" s="17">
        <f t="shared" si="156"/>
        <v>2000</v>
      </c>
      <c r="AQ211" s="18">
        <v>455.44900875830331</v>
      </c>
      <c r="AR211" s="18">
        <v>544.67424836864257</v>
      </c>
      <c r="AS211" s="18">
        <v>482.04070132466092</v>
      </c>
      <c r="AT211" s="18">
        <v>365.12728293958918</v>
      </c>
      <c r="AU211" s="18">
        <v>529.52151076405903</v>
      </c>
      <c r="AV211" s="18">
        <v>433.94229059001213</v>
      </c>
      <c r="AW211" s="18">
        <v>432.01975511187635</v>
      </c>
      <c r="AX211" s="18">
        <v>293.38156333894079</v>
      </c>
      <c r="AY211" s="18">
        <v>434.87953177482916</v>
      </c>
      <c r="AZ211" s="18">
        <v>378.72416865604583</v>
      </c>
      <c r="BA211" s="18">
        <v>386.6917321494426</v>
      </c>
      <c r="BB211" s="18">
        <v>377.69000630267425</v>
      </c>
      <c r="BC211" s="23">
        <v>8.9181565948742242E-2</v>
      </c>
      <c r="BD211" s="23">
        <v>0.10665277883445198</v>
      </c>
      <c r="BE211" s="23">
        <v>9.438849084854764E-2</v>
      </c>
      <c r="BF211" s="23">
        <v>7.149564986855049E-2</v>
      </c>
      <c r="BG211" s="23">
        <v>0.10368571810536763</v>
      </c>
      <c r="BH211" s="23">
        <v>8.4970330952544637E-2</v>
      </c>
      <c r="BI211" s="23">
        <v>8.4593878877262704E-2</v>
      </c>
      <c r="BJ211" s="23">
        <v>5.7447105462779965E-2</v>
      </c>
      <c r="BK211" s="23">
        <v>8.5153852345557474E-2</v>
      </c>
      <c r="BL211" s="23">
        <v>7.4158058913035174E-2</v>
      </c>
      <c r="BM211" s="23">
        <v>7.5718189192107169E-2</v>
      </c>
      <c r="BN211" s="23">
        <v>7.3955559365675619E-2</v>
      </c>
    </row>
    <row r="212" spans="1:66" x14ac:dyDescent="0.25">
      <c r="A212" s="16">
        <v>1183</v>
      </c>
      <c r="B212" s="16" t="s">
        <v>408</v>
      </c>
      <c r="C212" s="17">
        <v>0</v>
      </c>
      <c r="D212" s="17">
        <f t="shared" si="120"/>
        <v>0</v>
      </c>
      <c r="E212" s="17">
        <f t="shared" si="121"/>
        <v>0</v>
      </c>
      <c r="F212" s="17">
        <f t="shared" si="122"/>
        <v>0</v>
      </c>
      <c r="G212" s="17">
        <f t="shared" si="123"/>
        <v>0</v>
      </c>
      <c r="H212" s="17">
        <f t="shared" si="124"/>
        <v>0</v>
      </c>
      <c r="I212" s="17">
        <f t="shared" si="125"/>
        <v>0</v>
      </c>
      <c r="J212" s="17">
        <f t="shared" si="126"/>
        <v>0</v>
      </c>
      <c r="K212" s="17">
        <f t="shared" si="127"/>
        <v>0</v>
      </c>
      <c r="L212" s="17">
        <f t="shared" si="128"/>
        <v>0</v>
      </c>
      <c r="M212" s="17">
        <f t="shared" si="129"/>
        <v>0</v>
      </c>
      <c r="N212" s="17">
        <f t="shared" si="130"/>
        <v>0</v>
      </c>
      <c r="O212" s="17">
        <f t="shared" si="131"/>
        <v>0</v>
      </c>
      <c r="P212" s="17">
        <v>4000</v>
      </c>
      <c r="Q212" s="17">
        <f t="shared" si="132"/>
        <v>356.72626379496899</v>
      </c>
      <c r="R212" s="17">
        <f t="shared" si="133"/>
        <v>426.61111533780792</v>
      </c>
      <c r="S212" s="17">
        <f t="shared" si="134"/>
        <v>377.55396339419059</v>
      </c>
      <c r="T212" s="17">
        <f t="shared" si="135"/>
        <v>285.98259947420195</v>
      </c>
      <c r="U212" s="17">
        <f t="shared" si="136"/>
        <v>414.74287242147051</v>
      </c>
      <c r="V212" s="17">
        <f t="shared" si="137"/>
        <v>339.88132381017857</v>
      </c>
      <c r="W212" s="17">
        <f t="shared" si="138"/>
        <v>338.37551550905084</v>
      </c>
      <c r="X212" s="17">
        <f t="shared" si="139"/>
        <v>229.78842185111986</v>
      </c>
      <c r="Y212" s="17">
        <f t="shared" si="140"/>
        <v>340.61540938222987</v>
      </c>
      <c r="Z212" s="17">
        <f t="shared" si="141"/>
        <v>296.63223565214071</v>
      </c>
      <c r="AA212" s="17">
        <f t="shared" si="142"/>
        <v>302.8727567684287</v>
      </c>
      <c r="AB212" s="17">
        <f t="shared" si="143"/>
        <v>295.8222374627025</v>
      </c>
      <c r="AC212" s="17">
        <v>0</v>
      </c>
      <c r="AD212" s="17">
        <f t="shared" si="144"/>
        <v>0</v>
      </c>
      <c r="AE212" s="17">
        <f t="shared" si="145"/>
        <v>0</v>
      </c>
      <c r="AF212" s="17">
        <f t="shared" si="146"/>
        <v>0</v>
      </c>
      <c r="AG212" s="17">
        <f t="shared" si="147"/>
        <v>0</v>
      </c>
      <c r="AH212" s="17">
        <f t="shared" si="148"/>
        <v>0</v>
      </c>
      <c r="AI212" s="17">
        <f t="shared" si="149"/>
        <v>0</v>
      </c>
      <c r="AJ212" s="17">
        <f t="shared" si="150"/>
        <v>0</v>
      </c>
      <c r="AK212" s="17">
        <f t="shared" si="151"/>
        <v>0</v>
      </c>
      <c r="AL212" s="17">
        <f t="shared" si="152"/>
        <v>0</v>
      </c>
      <c r="AM212" s="17">
        <f t="shared" si="153"/>
        <v>0</v>
      </c>
      <c r="AN212" s="17">
        <f t="shared" si="154"/>
        <v>0</v>
      </c>
      <c r="AO212" s="17">
        <f t="shared" si="155"/>
        <v>0</v>
      </c>
      <c r="AP212" s="17">
        <f t="shared" si="156"/>
        <v>4000</v>
      </c>
      <c r="AQ212" s="18">
        <v>454.82598633858544</v>
      </c>
      <c r="AR212" s="18">
        <v>543.92917205570507</v>
      </c>
      <c r="AS212" s="18">
        <v>481.38130332759295</v>
      </c>
      <c r="AT212" s="18">
        <v>364.62781432960747</v>
      </c>
      <c r="AU212" s="18">
        <v>528.79716233737486</v>
      </c>
      <c r="AV212" s="18">
        <v>433.34868785797767</v>
      </c>
      <c r="AW212" s="18">
        <v>431.4287822740398</v>
      </c>
      <c r="AX212" s="18">
        <v>292.98023786017785</v>
      </c>
      <c r="AY212" s="18">
        <v>434.28464696234312</v>
      </c>
      <c r="AZ212" s="18">
        <v>378.20610045647936</v>
      </c>
      <c r="BA212" s="18">
        <v>386.16276487974653</v>
      </c>
      <c r="BB212" s="18">
        <v>377.17335276494566</v>
      </c>
      <c r="BC212" s="23">
        <v>8.9181565948742242E-2</v>
      </c>
      <c r="BD212" s="23">
        <v>0.10665277883445198</v>
      </c>
      <c r="BE212" s="23">
        <v>9.438849084854764E-2</v>
      </c>
      <c r="BF212" s="23">
        <v>7.149564986855049E-2</v>
      </c>
      <c r="BG212" s="23">
        <v>0.10368571810536763</v>
      </c>
      <c r="BH212" s="23">
        <v>8.4970330952544637E-2</v>
      </c>
      <c r="BI212" s="23">
        <v>8.4593878877262704E-2</v>
      </c>
      <c r="BJ212" s="23">
        <v>5.7447105462779965E-2</v>
      </c>
      <c r="BK212" s="23">
        <v>8.5153852345557474E-2</v>
      </c>
      <c r="BL212" s="23">
        <v>7.4158058913035174E-2</v>
      </c>
      <c r="BM212" s="23">
        <v>7.5718189192107169E-2</v>
      </c>
      <c r="BN212" s="23">
        <v>7.3955559365675619E-2</v>
      </c>
    </row>
    <row r="213" spans="1:66" x14ac:dyDescent="0.25">
      <c r="A213" s="16">
        <v>1306</v>
      </c>
      <c r="B213" s="16" t="s">
        <v>409</v>
      </c>
      <c r="C213" s="17">
        <v>0</v>
      </c>
      <c r="D213" s="17">
        <f t="shared" si="120"/>
        <v>0</v>
      </c>
      <c r="E213" s="17">
        <f t="shared" si="121"/>
        <v>0</v>
      </c>
      <c r="F213" s="17">
        <f t="shared" si="122"/>
        <v>0</v>
      </c>
      <c r="G213" s="17">
        <f t="shared" si="123"/>
        <v>0</v>
      </c>
      <c r="H213" s="17">
        <f t="shared" si="124"/>
        <v>0</v>
      </c>
      <c r="I213" s="17">
        <f t="shared" si="125"/>
        <v>0</v>
      </c>
      <c r="J213" s="17">
        <f t="shared" si="126"/>
        <v>0</v>
      </c>
      <c r="K213" s="17">
        <f t="shared" si="127"/>
        <v>0</v>
      </c>
      <c r="L213" s="17">
        <f t="shared" si="128"/>
        <v>0</v>
      </c>
      <c r="M213" s="17">
        <f t="shared" si="129"/>
        <v>0</v>
      </c>
      <c r="N213" s="17">
        <f t="shared" si="130"/>
        <v>0</v>
      </c>
      <c r="O213" s="17">
        <f t="shared" si="131"/>
        <v>0</v>
      </c>
      <c r="P213" s="17">
        <v>7000</v>
      </c>
      <c r="Q213" s="17">
        <f t="shared" si="132"/>
        <v>624.27096164119564</v>
      </c>
      <c r="R213" s="17">
        <f t="shared" si="133"/>
        <v>746.56945184116387</v>
      </c>
      <c r="S213" s="17">
        <f t="shared" si="134"/>
        <v>660.71943593983349</v>
      </c>
      <c r="T213" s="17">
        <f t="shared" si="135"/>
        <v>500.46954907985344</v>
      </c>
      <c r="U213" s="17">
        <f t="shared" si="136"/>
        <v>725.80002673757338</v>
      </c>
      <c r="V213" s="17">
        <f t="shared" si="137"/>
        <v>594.79231666781243</v>
      </c>
      <c r="W213" s="17">
        <f t="shared" si="138"/>
        <v>592.15715214083889</v>
      </c>
      <c r="X213" s="17">
        <f t="shared" si="139"/>
        <v>402.12973823945975</v>
      </c>
      <c r="Y213" s="17">
        <f t="shared" si="140"/>
        <v>596.07696641890232</v>
      </c>
      <c r="Z213" s="17">
        <f t="shared" si="141"/>
        <v>519.10641239124618</v>
      </c>
      <c r="AA213" s="17">
        <f t="shared" si="142"/>
        <v>530.02732434475013</v>
      </c>
      <c r="AB213" s="17">
        <f t="shared" si="143"/>
        <v>517.68891555972937</v>
      </c>
      <c r="AC213" s="17">
        <v>0</v>
      </c>
      <c r="AD213" s="17">
        <f t="shared" si="144"/>
        <v>0</v>
      </c>
      <c r="AE213" s="17">
        <f t="shared" si="145"/>
        <v>0</v>
      </c>
      <c r="AF213" s="17">
        <f t="shared" si="146"/>
        <v>0</v>
      </c>
      <c r="AG213" s="17">
        <f t="shared" si="147"/>
        <v>0</v>
      </c>
      <c r="AH213" s="17">
        <f t="shared" si="148"/>
        <v>0</v>
      </c>
      <c r="AI213" s="17">
        <f t="shared" si="149"/>
        <v>0</v>
      </c>
      <c r="AJ213" s="17">
        <f t="shared" si="150"/>
        <v>0</v>
      </c>
      <c r="AK213" s="17">
        <f t="shared" si="151"/>
        <v>0</v>
      </c>
      <c r="AL213" s="17">
        <f t="shared" si="152"/>
        <v>0</v>
      </c>
      <c r="AM213" s="17">
        <f t="shared" si="153"/>
        <v>0</v>
      </c>
      <c r="AN213" s="17">
        <f t="shared" si="154"/>
        <v>0</v>
      </c>
      <c r="AO213" s="17">
        <f t="shared" si="155"/>
        <v>0</v>
      </c>
      <c r="AP213" s="17">
        <f t="shared" si="156"/>
        <v>7000</v>
      </c>
      <c r="AQ213" s="18">
        <v>445.9078297437112</v>
      </c>
      <c r="AR213" s="18">
        <v>533.26389417225994</v>
      </c>
      <c r="AS213" s="18">
        <v>471.94245424273822</v>
      </c>
      <c r="AT213" s="18">
        <v>357.47824934275246</v>
      </c>
      <c r="AU213" s="18">
        <v>518.42859052683809</v>
      </c>
      <c r="AV213" s="18">
        <v>424.85165476272317</v>
      </c>
      <c r="AW213" s="18">
        <v>422.96939438631352</v>
      </c>
      <c r="AX213" s="18">
        <v>287.23552731389981</v>
      </c>
      <c r="AY213" s="18">
        <v>425.76926172778735</v>
      </c>
      <c r="AZ213" s="18">
        <v>370.79029456517588</v>
      </c>
      <c r="BA213" s="18">
        <v>378.59094596053586</v>
      </c>
      <c r="BB213" s="18">
        <v>369.77779682837809</v>
      </c>
      <c r="BC213" s="23">
        <v>8.9181565948742242E-2</v>
      </c>
      <c r="BD213" s="23">
        <v>0.10665277883445198</v>
      </c>
      <c r="BE213" s="23">
        <v>9.438849084854764E-2</v>
      </c>
      <c r="BF213" s="23">
        <v>7.149564986855049E-2</v>
      </c>
      <c r="BG213" s="23">
        <v>0.10368571810536763</v>
      </c>
      <c r="BH213" s="23">
        <v>8.4970330952544637E-2</v>
      </c>
      <c r="BI213" s="23">
        <v>8.4593878877262704E-2</v>
      </c>
      <c r="BJ213" s="23">
        <v>5.7447105462779965E-2</v>
      </c>
      <c r="BK213" s="23">
        <v>8.5153852345557474E-2</v>
      </c>
      <c r="BL213" s="23">
        <v>7.4158058913035174E-2</v>
      </c>
      <c r="BM213" s="23">
        <v>7.5718189192107169E-2</v>
      </c>
      <c r="BN213" s="23">
        <v>7.3955559365675619E-2</v>
      </c>
    </row>
    <row r="214" spans="1:66" x14ac:dyDescent="0.25">
      <c r="A214" s="16">
        <v>1323</v>
      </c>
      <c r="B214" s="16" t="s">
        <v>410</v>
      </c>
      <c r="C214" s="17">
        <v>0</v>
      </c>
      <c r="D214" s="17">
        <f t="shared" si="120"/>
        <v>0</v>
      </c>
      <c r="E214" s="17">
        <f t="shared" si="121"/>
        <v>0</v>
      </c>
      <c r="F214" s="17">
        <f t="shared" si="122"/>
        <v>0</v>
      </c>
      <c r="G214" s="17">
        <f t="shared" si="123"/>
        <v>0</v>
      </c>
      <c r="H214" s="17">
        <f t="shared" si="124"/>
        <v>0</v>
      </c>
      <c r="I214" s="17">
        <f t="shared" si="125"/>
        <v>0</v>
      </c>
      <c r="J214" s="17">
        <f t="shared" si="126"/>
        <v>0</v>
      </c>
      <c r="K214" s="17">
        <f t="shared" si="127"/>
        <v>0</v>
      </c>
      <c r="L214" s="17">
        <f t="shared" si="128"/>
        <v>0</v>
      </c>
      <c r="M214" s="17">
        <f t="shared" si="129"/>
        <v>0</v>
      </c>
      <c r="N214" s="17">
        <f t="shared" si="130"/>
        <v>0</v>
      </c>
      <c r="O214" s="17">
        <f t="shared" si="131"/>
        <v>0</v>
      </c>
      <c r="P214" s="17">
        <v>0</v>
      </c>
      <c r="Q214" s="17">
        <f t="shared" si="132"/>
        <v>0</v>
      </c>
      <c r="R214" s="17">
        <f t="shared" si="133"/>
        <v>0</v>
      </c>
      <c r="S214" s="17">
        <f t="shared" si="134"/>
        <v>0</v>
      </c>
      <c r="T214" s="17">
        <f t="shared" si="135"/>
        <v>0</v>
      </c>
      <c r="U214" s="17">
        <f t="shared" si="136"/>
        <v>0</v>
      </c>
      <c r="V214" s="17">
        <f t="shared" si="137"/>
        <v>0</v>
      </c>
      <c r="W214" s="17">
        <f t="shared" si="138"/>
        <v>0</v>
      </c>
      <c r="X214" s="17">
        <f t="shared" si="139"/>
        <v>0</v>
      </c>
      <c r="Y214" s="17">
        <f t="shared" si="140"/>
        <v>0</v>
      </c>
      <c r="Z214" s="17">
        <f t="shared" si="141"/>
        <v>0</v>
      </c>
      <c r="AA214" s="17">
        <f t="shared" si="142"/>
        <v>0</v>
      </c>
      <c r="AB214" s="17">
        <f t="shared" si="143"/>
        <v>0</v>
      </c>
      <c r="AC214" s="17">
        <v>0</v>
      </c>
      <c r="AD214" s="17">
        <f t="shared" si="144"/>
        <v>0</v>
      </c>
      <c r="AE214" s="17">
        <f t="shared" si="145"/>
        <v>0</v>
      </c>
      <c r="AF214" s="17">
        <f t="shared" si="146"/>
        <v>0</v>
      </c>
      <c r="AG214" s="17">
        <f t="shared" si="147"/>
        <v>0</v>
      </c>
      <c r="AH214" s="17">
        <f t="shared" si="148"/>
        <v>0</v>
      </c>
      <c r="AI214" s="17">
        <f t="shared" si="149"/>
        <v>0</v>
      </c>
      <c r="AJ214" s="17">
        <f t="shared" si="150"/>
        <v>0</v>
      </c>
      <c r="AK214" s="17">
        <f t="shared" si="151"/>
        <v>0</v>
      </c>
      <c r="AL214" s="17">
        <f t="shared" si="152"/>
        <v>0</v>
      </c>
      <c r="AM214" s="17">
        <f t="shared" si="153"/>
        <v>0</v>
      </c>
      <c r="AN214" s="17">
        <f t="shared" si="154"/>
        <v>0</v>
      </c>
      <c r="AO214" s="17">
        <f t="shared" si="155"/>
        <v>0</v>
      </c>
      <c r="AP214" s="17">
        <f t="shared" si="156"/>
        <v>0</v>
      </c>
      <c r="AQ214" s="18">
        <v>445.9078297437112</v>
      </c>
      <c r="AR214" s="18">
        <v>533.26389417225994</v>
      </c>
      <c r="AS214" s="18">
        <v>471.94245424273822</v>
      </c>
      <c r="AT214" s="18">
        <v>357.47824934275246</v>
      </c>
      <c r="AU214" s="18">
        <v>518.42859052683809</v>
      </c>
      <c r="AV214" s="18">
        <v>424.85165476272317</v>
      </c>
      <c r="AW214" s="18">
        <v>422.96939438631352</v>
      </c>
      <c r="AX214" s="18">
        <v>287.23552731389981</v>
      </c>
      <c r="AY214" s="18">
        <v>425.76926172778735</v>
      </c>
      <c r="AZ214" s="18">
        <v>370.79029456517588</v>
      </c>
      <c r="BA214" s="18">
        <v>378.59094596053586</v>
      </c>
      <c r="BB214" s="18">
        <v>369.77779682837809</v>
      </c>
      <c r="BC214" s="23">
        <v>8.9181565948742242E-2</v>
      </c>
      <c r="BD214" s="23">
        <v>0.10665277883445198</v>
      </c>
      <c r="BE214" s="23">
        <v>9.438849084854764E-2</v>
      </c>
      <c r="BF214" s="23">
        <v>7.149564986855049E-2</v>
      </c>
      <c r="BG214" s="23">
        <v>0.10368571810536763</v>
      </c>
      <c r="BH214" s="23">
        <v>8.4970330952544637E-2</v>
      </c>
      <c r="BI214" s="23">
        <v>8.4593878877262704E-2</v>
      </c>
      <c r="BJ214" s="23">
        <v>5.7447105462779965E-2</v>
      </c>
      <c r="BK214" s="23">
        <v>8.5153852345557474E-2</v>
      </c>
      <c r="BL214" s="23">
        <v>7.4158058913035174E-2</v>
      </c>
      <c r="BM214" s="23">
        <v>7.5718189192107169E-2</v>
      </c>
      <c r="BN214" s="23">
        <v>7.3955559365675619E-2</v>
      </c>
    </row>
    <row r="215" spans="1:66" x14ac:dyDescent="0.25">
      <c r="A215" s="16">
        <v>1427</v>
      </c>
      <c r="B215" s="16" t="s">
        <v>411</v>
      </c>
      <c r="C215" s="17">
        <v>3000</v>
      </c>
      <c r="D215" s="17">
        <f t="shared" si="120"/>
        <v>267.54469784622671</v>
      </c>
      <c r="E215" s="17">
        <f t="shared" si="121"/>
        <v>319.95833650335595</v>
      </c>
      <c r="F215" s="17">
        <f t="shared" si="122"/>
        <v>283.1654725456429</v>
      </c>
      <c r="G215" s="17">
        <f t="shared" si="123"/>
        <v>214.48694960565146</v>
      </c>
      <c r="H215" s="17">
        <f t="shared" si="124"/>
        <v>311.05715431610287</v>
      </c>
      <c r="I215" s="17">
        <f t="shared" si="125"/>
        <v>254.91099285763391</v>
      </c>
      <c r="J215" s="17">
        <f t="shared" si="126"/>
        <v>253.7816366317881</v>
      </c>
      <c r="K215" s="17">
        <f t="shared" si="127"/>
        <v>172.34131638833989</v>
      </c>
      <c r="L215" s="17">
        <f t="shared" si="128"/>
        <v>255.46155703667242</v>
      </c>
      <c r="M215" s="17">
        <f t="shared" si="129"/>
        <v>222.47417673910553</v>
      </c>
      <c r="N215" s="17">
        <f t="shared" si="130"/>
        <v>227.15456757632151</v>
      </c>
      <c r="O215" s="17">
        <f t="shared" si="131"/>
        <v>221.86667809702686</v>
      </c>
      <c r="P215" s="17">
        <v>0</v>
      </c>
      <c r="Q215" s="17">
        <f t="shared" si="132"/>
        <v>0</v>
      </c>
      <c r="R215" s="17">
        <f t="shared" si="133"/>
        <v>0</v>
      </c>
      <c r="S215" s="17">
        <f t="shared" si="134"/>
        <v>0</v>
      </c>
      <c r="T215" s="17">
        <f t="shared" si="135"/>
        <v>0</v>
      </c>
      <c r="U215" s="17">
        <f t="shared" si="136"/>
        <v>0</v>
      </c>
      <c r="V215" s="17">
        <f t="shared" si="137"/>
        <v>0</v>
      </c>
      <c r="W215" s="17">
        <f t="shared" si="138"/>
        <v>0</v>
      </c>
      <c r="X215" s="17">
        <f t="shared" si="139"/>
        <v>0</v>
      </c>
      <c r="Y215" s="17">
        <f t="shared" si="140"/>
        <v>0</v>
      </c>
      <c r="Z215" s="17">
        <f t="shared" si="141"/>
        <v>0</v>
      </c>
      <c r="AA215" s="17">
        <f t="shared" si="142"/>
        <v>0</v>
      </c>
      <c r="AB215" s="17">
        <f t="shared" si="143"/>
        <v>0</v>
      </c>
      <c r="AC215" s="17">
        <v>0</v>
      </c>
      <c r="AD215" s="17">
        <f t="shared" si="144"/>
        <v>0</v>
      </c>
      <c r="AE215" s="17">
        <f t="shared" si="145"/>
        <v>0</v>
      </c>
      <c r="AF215" s="17">
        <f t="shared" si="146"/>
        <v>0</v>
      </c>
      <c r="AG215" s="17">
        <f t="shared" si="147"/>
        <v>0</v>
      </c>
      <c r="AH215" s="17">
        <f t="shared" si="148"/>
        <v>0</v>
      </c>
      <c r="AI215" s="17">
        <f t="shared" si="149"/>
        <v>0</v>
      </c>
      <c r="AJ215" s="17">
        <f t="shared" si="150"/>
        <v>0</v>
      </c>
      <c r="AK215" s="17">
        <f t="shared" si="151"/>
        <v>0</v>
      </c>
      <c r="AL215" s="17">
        <f t="shared" si="152"/>
        <v>0</v>
      </c>
      <c r="AM215" s="17">
        <f t="shared" si="153"/>
        <v>0</v>
      </c>
      <c r="AN215" s="17">
        <f t="shared" si="154"/>
        <v>0</v>
      </c>
      <c r="AO215" s="17">
        <f t="shared" si="155"/>
        <v>0</v>
      </c>
      <c r="AP215" s="17">
        <f t="shared" si="156"/>
        <v>3000</v>
      </c>
      <c r="AQ215" s="18">
        <v>445.9078297437112</v>
      </c>
      <c r="AR215" s="18">
        <v>533.26389417225994</v>
      </c>
      <c r="AS215" s="18">
        <v>471.94245424273822</v>
      </c>
      <c r="AT215" s="18">
        <v>357.47824934275246</v>
      </c>
      <c r="AU215" s="18">
        <v>518.42859052683809</v>
      </c>
      <c r="AV215" s="18">
        <v>424.85165476272317</v>
      </c>
      <c r="AW215" s="18">
        <v>422.96939438631352</v>
      </c>
      <c r="AX215" s="18">
        <v>287.23552731389981</v>
      </c>
      <c r="AY215" s="18">
        <v>425.76926172778735</v>
      </c>
      <c r="AZ215" s="18">
        <v>370.79029456517588</v>
      </c>
      <c r="BA215" s="18">
        <v>378.59094596053586</v>
      </c>
      <c r="BB215" s="18">
        <v>369.77779682837809</v>
      </c>
      <c r="BC215" s="23">
        <v>8.9181565948742242E-2</v>
      </c>
      <c r="BD215" s="23">
        <v>0.10665277883445198</v>
      </c>
      <c r="BE215" s="23">
        <v>9.438849084854764E-2</v>
      </c>
      <c r="BF215" s="23">
        <v>7.149564986855049E-2</v>
      </c>
      <c r="BG215" s="23">
        <v>0.10368571810536763</v>
      </c>
      <c r="BH215" s="23">
        <v>8.4970330952544637E-2</v>
      </c>
      <c r="BI215" s="23">
        <v>8.4593878877262704E-2</v>
      </c>
      <c r="BJ215" s="23">
        <v>5.7447105462779965E-2</v>
      </c>
      <c r="BK215" s="23">
        <v>8.5153852345557474E-2</v>
      </c>
      <c r="BL215" s="23">
        <v>7.4158058913035174E-2</v>
      </c>
      <c r="BM215" s="23">
        <v>7.5718189192107169E-2</v>
      </c>
      <c r="BN215" s="23">
        <v>7.3955559365675619E-2</v>
      </c>
    </row>
    <row r="216" spans="1:66" x14ac:dyDescent="0.25">
      <c r="A216" s="16">
        <v>1522</v>
      </c>
      <c r="B216" s="16" t="s">
        <v>412</v>
      </c>
      <c r="C216" s="17">
        <v>0</v>
      </c>
      <c r="D216" s="17">
        <f t="shared" si="120"/>
        <v>0</v>
      </c>
      <c r="E216" s="17">
        <f t="shared" si="121"/>
        <v>0</v>
      </c>
      <c r="F216" s="17">
        <f t="shared" si="122"/>
        <v>0</v>
      </c>
      <c r="G216" s="17">
        <f t="shared" si="123"/>
        <v>0</v>
      </c>
      <c r="H216" s="17">
        <f t="shared" si="124"/>
        <v>0</v>
      </c>
      <c r="I216" s="17">
        <f t="shared" si="125"/>
        <v>0</v>
      </c>
      <c r="J216" s="17">
        <f t="shared" si="126"/>
        <v>0</v>
      </c>
      <c r="K216" s="17">
        <f t="shared" si="127"/>
        <v>0</v>
      </c>
      <c r="L216" s="17">
        <f t="shared" si="128"/>
        <v>0</v>
      </c>
      <c r="M216" s="17">
        <f t="shared" si="129"/>
        <v>0</v>
      </c>
      <c r="N216" s="17">
        <f t="shared" si="130"/>
        <v>0</v>
      </c>
      <c r="O216" s="17">
        <f t="shared" si="131"/>
        <v>0</v>
      </c>
      <c r="P216" s="17">
        <v>600</v>
      </c>
      <c r="Q216" s="17">
        <f t="shared" si="132"/>
        <v>53.508939569245342</v>
      </c>
      <c r="R216" s="17">
        <f t="shared" si="133"/>
        <v>63.991667300671189</v>
      </c>
      <c r="S216" s="17">
        <f t="shared" si="134"/>
        <v>56.633094509128583</v>
      </c>
      <c r="T216" s="17">
        <f t="shared" si="135"/>
        <v>42.897389921130291</v>
      </c>
      <c r="U216" s="17">
        <f t="shared" si="136"/>
        <v>62.211430863220578</v>
      </c>
      <c r="V216" s="17">
        <f t="shared" si="137"/>
        <v>50.98219857152678</v>
      </c>
      <c r="W216" s="17">
        <f t="shared" si="138"/>
        <v>50.756327326357621</v>
      </c>
      <c r="X216" s="17">
        <f t="shared" si="139"/>
        <v>34.46826327766798</v>
      </c>
      <c r="Y216" s="17">
        <f t="shared" si="140"/>
        <v>51.092311407334485</v>
      </c>
      <c r="Z216" s="17">
        <f t="shared" si="141"/>
        <v>44.494835347821102</v>
      </c>
      <c r="AA216" s="17">
        <f t="shared" si="142"/>
        <v>45.430913515264301</v>
      </c>
      <c r="AB216" s="17">
        <f t="shared" si="143"/>
        <v>44.373335619405374</v>
      </c>
      <c r="AC216" s="17">
        <v>0</v>
      </c>
      <c r="AD216" s="17">
        <f t="shared" si="144"/>
        <v>0</v>
      </c>
      <c r="AE216" s="17">
        <f t="shared" si="145"/>
        <v>0</v>
      </c>
      <c r="AF216" s="17">
        <f t="shared" si="146"/>
        <v>0</v>
      </c>
      <c r="AG216" s="17">
        <f t="shared" si="147"/>
        <v>0</v>
      </c>
      <c r="AH216" s="17">
        <f t="shared" si="148"/>
        <v>0</v>
      </c>
      <c r="AI216" s="17">
        <f t="shared" si="149"/>
        <v>0</v>
      </c>
      <c r="AJ216" s="17">
        <f t="shared" si="150"/>
        <v>0</v>
      </c>
      <c r="AK216" s="17">
        <f t="shared" si="151"/>
        <v>0</v>
      </c>
      <c r="AL216" s="17">
        <f t="shared" si="152"/>
        <v>0</v>
      </c>
      <c r="AM216" s="17">
        <f t="shared" si="153"/>
        <v>0</v>
      </c>
      <c r="AN216" s="17">
        <f t="shared" si="154"/>
        <v>0</v>
      </c>
      <c r="AO216" s="17">
        <f t="shared" si="155"/>
        <v>0</v>
      </c>
      <c r="AP216" s="17">
        <f t="shared" si="156"/>
        <v>600</v>
      </c>
      <c r="AQ216" s="18">
        <v>445.9078297437112</v>
      </c>
      <c r="AR216" s="18">
        <v>533.26389417225994</v>
      </c>
      <c r="AS216" s="18">
        <v>471.94245424273822</v>
      </c>
      <c r="AT216" s="18">
        <v>357.47824934275246</v>
      </c>
      <c r="AU216" s="18">
        <v>518.42859052683809</v>
      </c>
      <c r="AV216" s="18">
        <v>424.85165476272317</v>
      </c>
      <c r="AW216" s="18">
        <v>422.96939438631352</v>
      </c>
      <c r="AX216" s="18">
        <v>287.23552731389981</v>
      </c>
      <c r="AY216" s="18">
        <v>425.76926172778735</v>
      </c>
      <c r="AZ216" s="18">
        <v>370.79029456517588</v>
      </c>
      <c r="BA216" s="18">
        <v>378.59094596053586</v>
      </c>
      <c r="BB216" s="18">
        <v>369.77779682837809</v>
      </c>
      <c r="BC216" s="23">
        <v>8.9181565948742242E-2</v>
      </c>
      <c r="BD216" s="23">
        <v>0.10665277883445198</v>
      </c>
      <c r="BE216" s="23">
        <v>9.438849084854764E-2</v>
      </c>
      <c r="BF216" s="23">
        <v>7.149564986855049E-2</v>
      </c>
      <c r="BG216" s="23">
        <v>0.10368571810536763</v>
      </c>
      <c r="BH216" s="23">
        <v>8.4970330952544637E-2</v>
      </c>
      <c r="BI216" s="23">
        <v>8.4593878877262704E-2</v>
      </c>
      <c r="BJ216" s="23">
        <v>5.7447105462779965E-2</v>
      </c>
      <c r="BK216" s="23">
        <v>8.5153852345557474E-2</v>
      </c>
      <c r="BL216" s="23">
        <v>7.4158058913035174E-2</v>
      </c>
      <c r="BM216" s="23">
        <v>7.5718189192107169E-2</v>
      </c>
      <c r="BN216" s="23">
        <v>7.3955559365675619E-2</v>
      </c>
    </row>
    <row r="217" spans="1:66" x14ac:dyDescent="0.25">
      <c r="A217" s="16">
        <v>2810</v>
      </c>
      <c r="B217" s="16" t="s">
        <v>413</v>
      </c>
      <c r="C217" s="17">
        <v>8000</v>
      </c>
      <c r="D217" s="17">
        <f t="shared" si="120"/>
        <v>713.45252758993797</v>
      </c>
      <c r="E217" s="17">
        <f t="shared" si="121"/>
        <v>853.22223067561583</v>
      </c>
      <c r="F217" s="17">
        <f t="shared" si="122"/>
        <v>755.10792678838118</v>
      </c>
      <c r="G217" s="17">
        <f t="shared" si="123"/>
        <v>571.96519894840389</v>
      </c>
      <c r="H217" s="17">
        <f t="shared" si="124"/>
        <v>829.48574484294102</v>
      </c>
      <c r="I217" s="17">
        <f t="shared" si="125"/>
        <v>679.76264762035714</v>
      </c>
      <c r="J217" s="17">
        <f t="shared" si="126"/>
        <v>676.75103101810168</v>
      </c>
      <c r="K217" s="17">
        <f t="shared" si="127"/>
        <v>459.57684370223973</v>
      </c>
      <c r="L217" s="17">
        <f t="shared" si="128"/>
        <v>681.23081876445974</v>
      </c>
      <c r="M217" s="17">
        <f t="shared" si="129"/>
        <v>593.26447130428141</v>
      </c>
      <c r="N217" s="17">
        <f t="shared" si="130"/>
        <v>605.7455135368574</v>
      </c>
      <c r="O217" s="17">
        <f t="shared" si="131"/>
        <v>591.64447492540501</v>
      </c>
      <c r="P217" s="17">
        <v>0</v>
      </c>
      <c r="Q217" s="17">
        <f t="shared" si="132"/>
        <v>0</v>
      </c>
      <c r="R217" s="17">
        <f t="shared" si="133"/>
        <v>0</v>
      </c>
      <c r="S217" s="17">
        <f t="shared" si="134"/>
        <v>0</v>
      </c>
      <c r="T217" s="17">
        <f t="shared" si="135"/>
        <v>0</v>
      </c>
      <c r="U217" s="17">
        <f t="shared" si="136"/>
        <v>0</v>
      </c>
      <c r="V217" s="17">
        <f t="shared" si="137"/>
        <v>0</v>
      </c>
      <c r="W217" s="17">
        <f t="shared" si="138"/>
        <v>0</v>
      </c>
      <c r="X217" s="17">
        <f t="shared" si="139"/>
        <v>0</v>
      </c>
      <c r="Y217" s="17">
        <f t="shared" si="140"/>
        <v>0</v>
      </c>
      <c r="Z217" s="17">
        <f t="shared" si="141"/>
        <v>0</v>
      </c>
      <c r="AA217" s="17">
        <f t="shared" si="142"/>
        <v>0</v>
      </c>
      <c r="AB217" s="17">
        <f t="shared" si="143"/>
        <v>0</v>
      </c>
      <c r="AC217" s="17">
        <v>0</v>
      </c>
      <c r="AD217" s="17">
        <f t="shared" si="144"/>
        <v>0</v>
      </c>
      <c r="AE217" s="17">
        <f t="shared" si="145"/>
        <v>0</v>
      </c>
      <c r="AF217" s="17">
        <f t="shared" si="146"/>
        <v>0</v>
      </c>
      <c r="AG217" s="17">
        <f t="shared" si="147"/>
        <v>0</v>
      </c>
      <c r="AH217" s="17">
        <f t="shared" si="148"/>
        <v>0</v>
      </c>
      <c r="AI217" s="17">
        <f t="shared" si="149"/>
        <v>0</v>
      </c>
      <c r="AJ217" s="17">
        <f t="shared" si="150"/>
        <v>0</v>
      </c>
      <c r="AK217" s="17">
        <f t="shared" si="151"/>
        <v>0</v>
      </c>
      <c r="AL217" s="17">
        <f t="shared" si="152"/>
        <v>0</v>
      </c>
      <c r="AM217" s="17">
        <f t="shared" si="153"/>
        <v>0</v>
      </c>
      <c r="AN217" s="17">
        <f t="shared" si="154"/>
        <v>0</v>
      </c>
      <c r="AO217" s="17">
        <f t="shared" si="155"/>
        <v>0</v>
      </c>
      <c r="AP217" s="17">
        <f t="shared" si="156"/>
        <v>8000</v>
      </c>
      <c r="AQ217" s="18">
        <v>445.9078297437112</v>
      </c>
      <c r="AR217" s="18">
        <v>533.26389417225994</v>
      </c>
      <c r="AS217" s="18">
        <v>471.94245424273822</v>
      </c>
      <c r="AT217" s="18">
        <v>357.47824934275246</v>
      </c>
      <c r="AU217" s="18">
        <v>518.42859052683809</v>
      </c>
      <c r="AV217" s="18">
        <v>424.85165476272317</v>
      </c>
      <c r="AW217" s="18">
        <v>422.96939438631352</v>
      </c>
      <c r="AX217" s="18">
        <v>287.23552731389981</v>
      </c>
      <c r="AY217" s="18">
        <v>425.76926172778735</v>
      </c>
      <c r="AZ217" s="18">
        <v>370.79029456517588</v>
      </c>
      <c r="BA217" s="18">
        <v>378.59094596053586</v>
      </c>
      <c r="BB217" s="18">
        <v>369.77779682837809</v>
      </c>
      <c r="BC217" s="23">
        <v>8.9181565948742242E-2</v>
      </c>
      <c r="BD217" s="23">
        <v>0.10665277883445198</v>
      </c>
      <c r="BE217" s="23">
        <v>9.438849084854764E-2</v>
      </c>
      <c r="BF217" s="23">
        <v>7.149564986855049E-2</v>
      </c>
      <c r="BG217" s="23">
        <v>0.10368571810536763</v>
      </c>
      <c r="BH217" s="23">
        <v>8.4970330952544637E-2</v>
      </c>
      <c r="BI217" s="23">
        <v>8.4593878877262704E-2</v>
      </c>
      <c r="BJ217" s="23">
        <v>5.7447105462779965E-2</v>
      </c>
      <c r="BK217" s="23">
        <v>8.5153852345557474E-2</v>
      </c>
      <c r="BL217" s="23">
        <v>7.4158058913035174E-2</v>
      </c>
      <c r="BM217" s="23">
        <v>7.5718189192107169E-2</v>
      </c>
      <c r="BN217" s="23">
        <v>7.3955559365675619E-2</v>
      </c>
    </row>
    <row r="218" spans="1:66" x14ac:dyDescent="0.25">
      <c r="A218" s="16">
        <v>2818</v>
      </c>
      <c r="B218" s="16" t="s">
        <v>414</v>
      </c>
      <c r="C218" s="17">
        <v>5000</v>
      </c>
      <c r="D218" s="17">
        <f t="shared" si="120"/>
        <v>445.9078297437112</v>
      </c>
      <c r="E218" s="17">
        <f t="shared" si="121"/>
        <v>533.26389417225994</v>
      </c>
      <c r="F218" s="17">
        <f t="shared" si="122"/>
        <v>471.94245424273822</v>
      </c>
      <c r="G218" s="17">
        <f t="shared" si="123"/>
        <v>357.47824934275246</v>
      </c>
      <c r="H218" s="17">
        <f t="shared" si="124"/>
        <v>518.42859052683809</v>
      </c>
      <c r="I218" s="17">
        <f t="shared" si="125"/>
        <v>424.85165476272317</v>
      </c>
      <c r="J218" s="17">
        <f t="shared" si="126"/>
        <v>422.96939438631352</v>
      </c>
      <c r="K218" s="17">
        <f t="shared" si="127"/>
        <v>287.23552731389981</v>
      </c>
      <c r="L218" s="17">
        <f t="shared" si="128"/>
        <v>425.76926172778735</v>
      </c>
      <c r="M218" s="17">
        <f t="shared" si="129"/>
        <v>370.79029456517588</v>
      </c>
      <c r="N218" s="17">
        <f t="shared" si="130"/>
        <v>378.59094596053586</v>
      </c>
      <c r="O218" s="17">
        <f t="shared" si="131"/>
        <v>369.77779682837809</v>
      </c>
      <c r="P218" s="17">
        <v>5000</v>
      </c>
      <c r="Q218" s="17">
        <f t="shared" si="132"/>
        <v>445.9078297437112</v>
      </c>
      <c r="R218" s="17">
        <f t="shared" si="133"/>
        <v>533.26389417225994</v>
      </c>
      <c r="S218" s="17">
        <f t="shared" si="134"/>
        <v>471.94245424273822</v>
      </c>
      <c r="T218" s="17">
        <f t="shared" si="135"/>
        <v>357.47824934275246</v>
      </c>
      <c r="U218" s="17">
        <f t="shared" si="136"/>
        <v>518.42859052683809</v>
      </c>
      <c r="V218" s="17">
        <f t="shared" si="137"/>
        <v>424.85165476272317</v>
      </c>
      <c r="W218" s="17">
        <f t="shared" si="138"/>
        <v>422.96939438631352</v>
      </c>
      <c r="X218" s="17">
        <f t="shared" si="139"/>
        <v>287.23552731389981</v>
      </c>
      <c r="Y218" s="17">
        <f t="shared" si="140"/>
        <v>425.76926172778735</v>
      </c>
      <c r="Z218" s="17">
        <f t="shared" si="141"/>
        <v>370.79029456517588</v>
      </c>
      <c r="AA218" s="17">
        <f t="shared" si="142"/>
        <v>378.59094596053586</v>
      </c>
      <c r="AB218" s="17">
        <f t="shared" si="143"/>
        <v>369.77779682837809</v>
      </c>
      <c r="AC218" s="17">
        <v>0</v>
      </c>
      <c r="AD218" s="17">
        <f t="shared" si="144"/>
        <v>0</v>
      </c>
      <c r="AE218" s="17">
        <f t="shared" si="145"/>
        <v>0</v>
      </c>
      <c r="AF218" s="17">
        <f t="shared" si="146"/>
        <v>0</v>
      </c>
      <c r="AG218" s="17">
        <f t="shared" si="147"/>
        <v>0</v>
      </c>
      <c r="AH218" s="17">
        <f t="shared" si="148"/>
        <v>0</v>
      </c>
      <c r="AI218" s="17">
        <f t="shared" si="149"/>
        <v>0</v>
      </c>
      <c r="AJ218" s="17">
        <f t="shared" si="150"/>
        <v>0</v>
      </c>
      <c r="AK218" s="17">
        <f t="shared" si="151"/>
        <v>0</v>
      </c>
      <c r="AL218" s="17">
        <f t="shared" si="152"/>
        <v>0</v>
      </c>
      <c r="AM218" s="17">
        <f t="shared" si="153"/>
        <v>0</v>
      </c>
      <c r="AN218" s="17">
        <f t="shared" si="154"/>
        <v>0</v>
      </c>
      <c r="AO218" s="17">
        <f t="shared" si="155"/>
        <v>0</v>
      </c>
      <c r="AP218" s="17">
        <f t="shared" si="156"/>
        <v>10000</v>
      </c>
      <c r="AQ218" s="18">
        <v>445.9078297437112</v>
      </c>
      <c r="AR218" s="18">
        <v>533.26389417225994</v>
      </c>
      <c r="AS218" s="18">
        <v>471.94245424273822</v>
      </c>
      <c r="AT218" s="18">
        <v>357.47824934275246</v>
      </c>
      <c r="AU218" s="18">
        <v>518.42859052683809</v>
      </c>
      <c r="AV218" s="18">
        <v>424.85165476272317</v>
      </c>
      <c r="AW218" s="18">
        <v>422.96939438631352</v>
      </c>
      <c r="AX218" s="18">
        <v>287.23552731389981</v>
      </c>
      <c r="AY218" s="18">
        <v>425.76926172778735</v>
      </c>
      <c r="AZ218" s="18">
        <v>370.79029456517588</v>
      </c>
      <c r="BA218" s="18">
        <v>378.59094596053586</v>
      </c>
      <c r="BB218" s="18">
        <v>369.77779682837809</v>
      </c>
      <c r="BC218" s="23">
        <v>8.9181565948742242E-2</v>
      </c>
      <c r="BD218" s="23">
        <v>0.10665277883445198</v>
      </c>
      <c r="BE218" s="23">
        <v>9.438849084854764E-2</v>
      </c>
      <c r="BF218" s="23">
        <v>7.149564986855049E-2</v>
      </c>
      <c r="BG218" s="23">
        <v>0.10368571810536763</v>
      </c>
      <c r="BH218" s="23">
        <v>8.4970330952544637E-2</v>
      </c>
      <c r="BI218" s="23">
        <v>8.4593878877262704E-2</v>
      </c>
      <c r="BJ218" s="23">
        <v>5.7447105462779965E-2</v>
      </c>
      <c r="BK218" s="23">
        <v>8.5153852345557474E-2</v>
      </c>
      <c r="BL218" s="23">
        <v>7.4158058913035174E-2</v>
      </c>
      <c r="BM218" s="23">
        <v>7.5718189192107169E-2</v>
      </c>
      <c r="BN218" s="23">
        <v>7.3955559365675619E-2</v>
      </c>
    </row>
    <row r="219" spans="1:66" x14ac:dyDescent="0.25">
      <c r="A219" s="16">
        <v>2852</v>
      </c>
      <c r="B219" s="16" t="s">
        <v>415</v>
      </c>
      <c r="C219" s="17">
        <v>0</v>
      </c>
      <c r="D219" s="17">
        <f t="shared" si="120"/>
        <v>0</v>
      </c>
      <c r="E219" s="17">
        <f t="shared" si="121"/>
        <v>0</v>
      </c>
      <c r="F219" s="17">
        <f t="shared" si="122"/>
        <v>0</v>
      </c>
      <c r="G219" s="17">
        <f t="shared" si="123"/>
        <v>0</v>
      </c>
      <c r="H219" s="17">
        <f t="shared" si="124"/>
        <v>0</v>
      </c>
      <c r="I219" s="17">
        <f t="shared" si="125"/>
        <v>0</v>
      </c>
      <c r="J219" s="17">
        <f t="shared" si="126"/>
        <v>0</v>
      </c>
      <c r="K219" s="17">
        <f t="shared" si="127"/>
        <v>0</v>
      </c>
      <c r="L219" s="17">
        <f t="shared" si="128"/>
        <v>0</v>
      </c>
      <c r="M219" s="17">
        <f t="shared" si="129"/>
        <v>0</v>
      </c>
      <c r="N219" s="17">
        <f t="shared" si="130"/>
        <v>0</v>
      </c>
      <c r="O219" s="17">
        <f t="shared" si="131"/>
        <v>0</v>
      </c>
      <c r="P219" s="17">
        <v>1500</v>
      </c>
      <c r="Q219" s="17">
        <f t="shared" si="132"/>
        <v>133.77234892311336</v>
      </c>
      <c r="R219" s="17">
        <f t="shared" si="133"/>
        <v>159.97916825167798</v>
      </c>
      <c r="S219" s="17">
        <f t="shared" si="134"/>
        <v>141.58273627282145</v>
      </c>
      <c r="T219" s="17">
        <f t="shared" si="135"/>
        <v>107.24347480282573</v>
      </c>
      <c r="U219" s="17">
        <f t="shared" si="136"/>
        <v>155.52857715805143</v>
      </c>
      <c r="V219" s="17">
        <f t="shared" si="137"/>
        <v>127.45549642881696</v>
      </c>
      <c r="W219" s="17">
        <f t="shared" si="138"/>
        <v>126.89081831589405</v>
      </c>
      <c r="X219" s="17">
        <f t="shared" si="139"/>
        <v>86.170658194169945</v>
      </c>
      <c r="Y219" s="17">
        <f t="shared" si="140"/>
        <v>127.73077851833621</v>
      </c>
      <c r="Z219" s="17">
        <f t="shared" si="141"/>
        <v>111.23708836955277</v>
      </c>
      <c r="AA219" s="17">
        <f t="shared" si="142"/>
        <v>113.57728378816076</v>
      </c>
      <c r="AB219" s="17">
        <f t="shared" si="143"/>
        <v>110.93333904851343</v>
      </c>
      <c r="AC219" s="17">
        <v>0</v>
      </c>
      <c r="AD219" s="17">
        <f t="shared" si="144"/>
        <v>0</v>
      </c>
      <c r="AE219" s="17">
        <f t="shared" si="145"/>
        <v>0</v>
      </c>
      <c r="AF219" s="17">
        <f t="shared" si="146"/>
        <v>0</v>
      </c>
      <c r="AG219" s="17">
        <f t="shared" si="147"/>
        <v>0</v>
      </c>
      <c r="AH219" s="17">
        <f t="shared" si="148"/>
        <v>0</v>
      </c>
      <c r="AI219" s="17">
        <f t="shared" si="149"/>
        <v>0</v>
      </c>
      <c r="AJ219" s="17">
        <f t="shared" si="150"/>
        <v>0</v>
      </c>
      <c r="AK219" s="17">
        <f t="shared" si="151"/>
        <v>0</v>
      </c>
      <c r="AL219" s="17">
        <f t="shared" si="152"/>
        <v>0</v>
      </c>
      <c r="AM219" s="17">
        <f t="shared" si="153"/>
        <v>0</v>
      </c>
      <c r="AN219" s="17">
        <f t="shared" si="154"/>
        <v>0</v>
      </c>
      <c r="AO219" s="17">
        <f t="shared" si="155"/>
        <v>0</v>
      </c>
      <c r="AP219" s="17">
        <f t="shared" si="156"/>
        <v>1500</v>
      </c>
      <c r="AQ219" s="18">
        <v>445.9078297437112</v>
      </c>
      <c r="AR219" s="18">
        <v>533.26389417225994</v>
      </c>
      <c r="AS219" s="18">
        <v>471.94245424273822</v>
      </c>
      <c r="AT219" s="18">
        <v>357.47824934275246</v>
      </c>
      <c r="AU219" s="18">
        <v>518.42859052683809</v>
      </c>
      <c r="AV219" s="18">
        <v>424.85165476272317</v>
      </c>
      <c r="AW219" s="18">
        <v>422.96939438631352</v>
      </c>
      <c r="AX219" s="18">
        <v>287.23552731389981</v>
      </c>
      <c r="AY219" s="18">
        <v>425.76926172778735</v>
      </c>
      <c r="AZ219" s="18">
        <v>370.79029456517588</v>
      </c>
      <c r="BA219" s="18">
        <v>378.59094596053586</v>
      </c>
      <c r="BB219" s="18">
        <v>369.77779682837809</v>
      </c>
      <c r="BC219" s="23">
        <v>8.9181565948742242E-2</v>
      </c>
      <c r="BD219" s="23">
        <v>0.10665277883445198</v>
      </c>
      <c r="BE219" s="23">
        <v>9.438849084854764E-2</v>
      </c>
      <c r="BF219" s="23">
        <v>7.149564986855049E-2</v>
      </c>
      <c r="BG219" s="23">
        <v>0.10368571810536763</v>
      </c>
      <c r="BH219" s="23">
        <v>8.4970330952544637E-2</v>
      </c>
      <c r="BI219" s="23">
        <v>8.4593878877262704E-2</v>
      </c>
      <c r="BJ219" s="23">
        <v>5.7447105462779965E-2</v>
      </c>
      <c r="BK219" s="23">
        <v>8.5153852345557474E-2</v>
      </c>
      <c r="BL219" s="23">
        <v>7.4158058913035174E-2</v>
      </c>
      <c r="BM219" s="23">
        <v>7.5718189192107169E-2</v>
      </c>
      <c r="BN219" s="23">
        <v>7.3955559365675619E-2</v>
      </c>
    </row>
    <row r="220" spans="1:66" x14ac:dyDescent="0.25">
      <c r="A220" s="16">
        <v>2916</v>
      </c>
      <c r="B220" s="16" t="s">
        <v>416</v>
      </c>
      <c r="C220" s="17">
        <v>0</v>
      </c>
      <c r="D220" s="17">
        <f t="shared" si="120"/>
        <v>0</v>
      </c>
      <c r="E220" s="17">
        <f t="shared" si="121"/>
        <v>0</v>
      </c>
      <c r="F220" s="17">
        <f t="shared" si="122"/>
        <v>0</v>
      </c>
      <c r="G220" s="17">
        <f t="shared" si="123"/>
        <v>0</v>
      </c>
      <c r="H220" s="17">
        <f t="shared" si="124"/>
        <v>0</v>
      </c>
      <c r="I220" s="17">
        <f t="shared" si="125"/>
        <v>0</v>
      </c>
      <c r="J220" s="17">
        <f t="shared" si="126"/>
        <v>0</v>
      </c>
      <c r="K220" s="17">
        <f t="shared" si="127"/>
        <v>0</v>
      </c>
      <c r="L220" s="17">
        <f t="shared" si="128"/>
        <v>0</v>
      </c>
      <c r="M220" s="17">
        <f t="shared" si="129"/>
        <v>0</v>
      </c>
      <c r="N220" s="17">
        <f t="shared" si="130"/>
        <v>0</v>
      </c>
      <c r="O220" s="17">
        <f t="shared" si="131"/>
        <v>0</v>
      </c>
      <c r="P220" s="17">
        <v>10000</v>
      </c>
      <c r="Q220" s="17">
        <f t="shared" si="132"/>
        <v>891.81565948742241</v>
      </c>
      <c r="R220" s="17">
        <f t="shared" si="133"/>
        <v>1066.5277883445199</v>
      </c>
      <c r="S220" s="17">
        <f t="shared" si="134"/>
        <v>943.88490848547644</v>
      </c>
      <c r="T220" s="17">
        <f t="shared" si="135"/>
        <v>714.95649868550493</v>
      </c>
      <c r="U220" s="17">
        <f t="shared" si="136"/>
        <v>1036.8571810536762</v>
      </c>
      <c r="V220" s="17">
        <f t="shared" si="137"/>
        <v>849.70330952544634</v>
      </c>
      <c r="W220" s="17">
        <f t="shared" si="138"/>
        <v>845.93878877262705</v>
      </c>
      <c r="X220" s="17">
        <f t="shared" si="139"/>
        <v>574.47105462779962</v>
      </c>
      <c r="Y220" s="17">
        <f t="shared" si="140"/>
        <v>851.5385234555747</v>
      </c>
      <c r="Z220" s="17">
        <f t="shared" si="141"/>
        <v>741.58058913035177</v>
      </c>
      <c r="AA220" s="17">
        <f t="shared" si="142"/>
        <v>757.18189192107172</v>
      </c>
      <c r="AB220" s="17">
        <f t="shared" si="143"/>
        <v>739.55559365675617</v>
      </c>
      <c r="AC220" s="17">
        <v>0</v>
      </c>
      <c r="AD220" s="17">
        <f t="shared" si="144"/>
        <v>0</v>
      </c>
      <c r="AE220" s="17">
        <f t="shared" si="145"/>
        <v>0</v>
      </c>
      <c r="AF220" s="17">
        <f t="shared" si="146"/>
        <v>0</v>
      </c>
      <c r="AG220" s="17">
        <f t="shared" si="147"/>
        <v>0</v>
      </c>
      <c r="AH220" s="17">
        <f t="shared" si="148"/>
        <v>0</v>
      </c>
      <c r="AI220" s="17">
        <f t="shared" si="149"/>
        <v>0</v>
      </c>
      <c r="AJ220" s="17">
        <f t="shared" si="150"/>
        <v>0</v>
      </c>
      <c r="AK220" s="17">
        <f t="shared" si="151"/>
        <v>0</v>
      </c>
      <c r="AL220" s="17">
        <f t="shared" si="152"/>
        <v>0</v>
      </c>
      <c r="AM220" s="17">
        <f t="shared" si="153"/>
        <v>0</v>
      </c>
      <c r="AN220" s="17">
        <f t="shared" si="154"/>
        <v>0</v>
      </c>
      <c r="AO220" s="17">
        <f t="shared" si="155"/>
        <v>0</v>
      </c>
      <c r="AP220" s="17">
        <f t="shared" si="156"/>
        <v>10000</v>
      </c>
      <c r="AQ220" s="18">
        <v>891.81565948742241</v>
      </c>
      <c r="AR220" s="18">
        <v>1066.5277883445199</v>
      </c>
      <c r="AS220" s="18">
        <v>943.88490848547644</v>
      </c>
      <c r="AT220" s="18">
        <v>714.95649868550493</v>
      </c>
      <c r="AU220" s="18">
        <v>1036.8571810536762</v>
      </c>
      <c r="AV220" s="18">
        <v>849.70330952544634</v>
      </c>
      <c r="AW220" s="18">
        <v>845.93878877262705</v>
      </c>
      <c r="AX220" s="18">
        <v>574.47105462779962</v>
      </c>
      <c r="AY220" s="18">
        <v>851.5385234555747</v>
      </c>
      <c r="AZ220" s="18">
        <v>741.58058913035177</v>
      </c>
      <c r="BA220" s="18">
        <v>757.18189192107172</v>
      </c>
      <c r="BB220" s="18">
        <v>739.55559365675617</v>
      </c>
      <c r="BC220" s="23">
        <v>8.9181565948742242E-2</v>
      </c>
      <c r="BD220" s="23">
        <v>0.10665277883445198</v>
      </c>
      <c r="BE220" s="23">
        <v>9.438849084854764E-2</v>
      </c>
      <c r="BF220" s="23">
        <v>7.149564986855049E-2</v>
      </c>
      <c r="BG220" s="23">
        <v>0.10368571810536763</v>
      </c>
      <c r="BH220" s="23">
        <v>8.4970330952544637E-2</v>
      </c>
      <c r="BI220" s="23">
        <v>8.4593878877262704E-2</v>
      </c>
      <c r="BJ220" s="23">
        <v>5.7447105462779965E-2</v>
      </c>
      <c r="BK220" s="23">
        <v>8.5153852345557474E-2</v>
      </c>
      <c r="BL220" s="23">
        <v>7.4158058913035174E-2</v>
      </c>
      <c r="BM220" s="23">
        <v>7.5718189192107169E-2</v>
      </c>
      <c r="BN220" s="23">
        <v>7.3955559365675619E-2</v>
      </c>
    </row>
    <row r="221" spans="1:66" x14ac:dyDescent="0.25">
      <c r="A221" s="16">
        <v>3543</v>
      </c>
      <c r="B221" s="16" t="s">
        <v>417</v>
      </c>
      <c r="C221" s="17">
        <v>0</v>
      </c>
      <c r="D221" s="17">
        <f t="shared" si="120"/>
        <v>0</v>
      </c>
      <c r="E221" s="17">
        <f t="shared" si="121"/>
        <v>0</v>
      </c>
      <c r="F221" s="17">
        <f t="shared" si="122"/>
        <v>0</v>
      </c>
      <c r="G221" s="17">
        <f t="shared" si="123"/>
        <v>0</v>
      </c>
      <c r="H221" s="17">
        <f t="shared" si="124"/>
        <v>0</v>
      </c>
      <c r="I221" s="17">
        <f t="shared" si="125"/>
        <v>0</v>
      </c>
      <c r="J221" s="17">
        <f t="shared" si="126"/>
        <v>0</v>
      </c>
      <c r="K221" s="17">
        <f t="shared" si="127"/>
        <v>0</v>
      </c>
      <c r="L221" s="17">
        <f t="shared" si="128"/>
        <v>0</v>
      </c>
      <c r="M221" s="17">
        <f t="shared" si="129"/>
        <v>0</v>
      </c>
      <c r="N221" s="17">
        <f t="shared" si="130"/>
        <v>0</v>
      </c>
      <c r="O221" s="17">
        <f t="shared" si="131"/>
        <v>0</v>
      </c>
      <c r="P221" s="17">
        <v>5000</v>
      </c>
      <c r="Q221" s="17">
        <f t="shared" si="132"/>
        <v>445.9078297437112</v>
      </c>
      <c r="R221" s="17">
        <f t="shared" si="133"/>
        <v>533.26389417225994</v>
      </c>
      <c r="S221" s="17">
        <f t="shared" si="134"/>
        <v>471.94245424273822</v>
      </c>
      <c r="T221" s="17">
        <f t="shared" si="135"/>
        <v>357.47824934275246</v>
      </c>
      <c r="U221" s="17">
        <f t="shared" si="136"/>
        <v>518.42859052683809</v>
      </c>
      <c r="V221" s="17">
        <f t="shared" si="137"/>
        <v>424.85165476272317</v>
      </c>
      <c r="W221" s="17">
        <f t="shared" si="138"/>
        <v>422.96939438631352</v>
      </c>
      <c r="X221" s="17">
        <f t="shared" si="139"/>
        <v>287.23552731389981</v>
      </c>
      <c r="Y221" s="17">
        <f t="shared" si="140"/>
        <v>425.76926172778735</v>
      </c>
      <c r="Z221" s="17">
        <f t="shared" si="141"/>
        <v>370.79029456517588</v>
      </c>
      <c r="AA221" s="17">
        <f t="shared" si="142"/>
        <v>378.59094596053586</v>
      </c>
      <c r="AB221" s="17">
        <f t="shared" si="143"/>
        <v>369.77779682837809</v>
      </c>
      <c r="AC221" s="17">
        <v>0</v>
      </c>
      <c r="AD221" s="17">
        <f t="shared" si="144"/>
        <v>0</v>
      </c>
      <c r="AE221" s="17">
        <f t="shared" si="145"/>
        <v>0</v>
      </c>
      <c r="AF221" s="17">
        <f t="shared" si="146"/>
        <v>0</v>
      </c>
      <c r="AG221" s="17">
        <f t="shared" si="147"/>
        <v>0</v>
      </c>
      <c r="AH221" s="17">
        <f t="shared" si="148"/>
        <v>0</v>
      </c>
      <c r="AI221" s="17">
        <f t="shared" si="149"/>
        <v>0</v>
      </c>
      <c r="AJ221" s="17">
        <f t="shared" si="150"/>
        <v>0</v>
      </c>
      <c r="AK221" s="17">
        <f t="shared" si="151"/>
        <v>0</v>
      </c>
      <c r="AL221" s="17">
        <f t="shared" si="152"/>
        <v>0</v>
      </c>
      <c r="AM221" s="17">
        <f t="shared" si="153"/>
        <v>0</v>
      </c>
      <c r="AN221" s="17">
        <f t="shared" si="154"/>
        <v>0</v>
      </c>
      <c r="AO221" s="17">
        <f t="shared" si="155"/>
        <v>0</v>
      </c>
      <c r="AP221" s="17">
        <f t="shared" si="156"/>
        <v>5000</v>
      </c>
      <c r="AQ221" s="18">
        <v>445.9078297437112</v>
      </c>
      <c r="AR221" s="18">
        <v>533.26389417225994</v>
      </c>
      <c r="AS221" s="18">
        <v>471.94245424273822</v>
      </c>
      <c r="AT221" s="18">
        <v>357.47824934275246</v>
      </c>
      <c r="AU221" s="18">
        <v>518.42859052683809</v>
      </c>
      <c r="AV221" s="18">
        <v>424.85165476272317</v>
      </c>
      <c r="AW221" s="18">
        <v>422.96939438631352</v>
      </c>
      <c r="AX221" s="18">
        <v>287.23552731389981</v>
      </c>
      <c r="AY221" s="18">
        <v>425.76926172778735</v>
      </c>
      <c r="AZ221" s="18">
        <v>370.79029456517588</v>
      </c>
      <c r="BA221" s="18">
        <v>378.59094596053586</v>
      </c>
      <c r="BB221" s="18">
        <v>369.77779682837809</v>
      </c>
      <c r="BC221" s="23">
        <v>8.9181565948742242E-2</v>
      </c>
      <c r="BD221" s="23">
        <v>0.10665277883445198</v>
      </c>
      <c r="BE221" s="23">
        <v>9.438849084854764E-2</v>
      </c>
      <c r="BF221" s="23">
        <v>7.149564986855049E-2</v>
      </c>
      <c r="BG221" s="23">
        <v>0.10368571810536763</v>
      </c>
      <c r="BH221" s="23">
        <v>8.4970330952544637E-2</v>
      </c>
      <c r="BI221" s="23">
        <v>8.4593878877262704E-2</v>
      </c>
      <c r="BJ221" s="23">
        <v>5.7447105462779965E-2</v>
      </c>
      <c r="BK221" s="23">
        <v>8.5153852345557474E-2</v>
      </c>
      <c r="BL221" s="23">
        <v>7.4158058913035174E-2</v>
      </c>
      <c r="BM221" s="23">
        <v>7.5718189192107169E-2</v>
      </c>
      <c r="BN221" s="23">
        <v>7.3955559365675619E-2</v>
      </c>
    </row>
    <row r="222" spans="1:66" x14ac:dyDescent="0.25">
      <c r="A222" s="16">
        <v>3665</v>
      </c>
      <c r="B222" s="16" t="s">
        <v>418</v>
      </c>
      <c r="C222" s="17">
        <v>0</v>
      </c>
      <c r="D222" s="17">
        <f t="shared" si="120"/>
        <v>0</v>
      </c>
      <c r="E222" s="17">
        <f t="shared" si="121"/>
        <v>0</v>
      </c>
      <c r="F222" s="17">
        <f t="shared" si="122"/>
        <v>0</v>
      </c>
      <c r="G222" s="17">
        <f t="shared" si="123"/>
        <v>0</v>
      </c>
      <c r="H222" s="17">
        <f t="shared" si="124"/>
        <v>0</v>
      </c>
      <c r="I222" s="17">
        <f t="shared" si="125"/>
        <v>0</v>
      </c>
      <c r="J222" s="17">
        <f t="shared" si="126"/>
        <v>0</v>
      </c>
      <c r="K222" s="17">
        <f t="shared" si="127"/>
        <v>0</v>
      </c>
      <c r="L222" s="17">
        <f t="shared" si="128"/>
        <v>0</v>
      </c>
      <c r="M222" s="17">
        <f t="shared" si="129"/>
        <v>0</v>
      </c>
      <c r="N222" s="17">
        <f t="shared" si="130"/>
        <v>0</v>
      </c>
      <c r="O222" s="17">
        <f t="shared" si="131"/>
        <v>0</v>
      </c>
      <c r="P222" s="17">
        <v>3000</v>
      </c>
      <c r="Q222" s="17">
        <f t="shared" si="132"/>
        <v>267.54469784622671</v>
      </c>
      <c r="R222" s="17">
        <f t="shared" si="133"/>
        <v>319.95833650335595</v>
      </c>
      <c r="S222" s="17">
        <f t="shared" si="134"/>
        <v>283.1654725456429</v>
      </c>
      <c r="T222" s="17">
        <f t="shared" si="135"/>
        <v>214.48694960565146</v>
      </c>
      <c r="U222" s="17">
        <f t="shared" si="136"/>
        <v>311.05715431610287</v>
      </c>
      <c r="V222" s="17">
        <f t="shared" si="137"/>
        <v>254.91099285763391</v>
      </c>
      <c r="W222" s="17">
        <f t="shared" si="138"/>
        <v>253.7816366317881</v>
      </c>
      <c r="X222" s="17">
        <f t="shared" si="139"/>
        <v>172.34131638833989</v>
      </c>
      <c r="Y222" s="17">
        <f t="shared" si="140"/>
        <v>255.46155703667242</v>
      </c>
      <c r="Z222" s="17">
        <f t="shared" si="141"/>
        <v>222.47417673910553</v>
      </c>
      <c r="AA222" s="17">
        <f t="shared" si="142"/>
        <v>227.15456757632151</v>
      </c>
      <c r="AB222" s="17">
        <f t="shared" si="143"/>
        <v>221.86667809702686</v>
      </c>
      <c r="AC222" s="17">
        <v>0</v>
      </c>
      <c r="AD222" s="17">
        <f t="shared" si="144"/>
        <v>0</v>
      </c>
      <c r="AE222" s="17">
        <f t="shared" si="145"/>
        <v>0</v>
      </c>
      <c r="AF222" s="17">
        <f t="shared" si="146"/>
        <v>0</v>
      </c>
      <c r="AG222" s="17">
        <f t="shared" si="147"/>
        <v>0</v>
      </c>
      <c r="AH222" s="17">
        <f t="shared" si="148"/>
        <v>0</v>
      </c>
      <c r="AI222" s="17">
        <f t="shared" si="149"/>
        <v>0</v>
      </c>
      <c r="AJ222" s="17">
        <f t="shared" si="150"/>
        <v>0</v>
      </c>
      <c r="AK222" s="17">
        <f t="shared" si="151"/>
        <v>0</v>
      </c>
      <c r="AL222" s="17">
        <f t="shared" si="152"/>
        <v>0</v>
      </c>
      <c r="AM222" s="17">
        <f t="shared" si="153"/>
        <v>0</v>
      </c>
      <c r="AN222" s="17">
        <f t="shared" si="154"/>
        <v>0</v>
      </c>
      <c r="AO222" s="17">
        <f t="shared" si="155"/>
        <v>0</v>
      </c>
      <c r="AP222" s="17">
        <f t="shared" si="156"/>
        <v>3000</v>
      </c>
      <c r="AQ222" s="18">
        <v>713.45252758993797</v>
      </c>
      <c r="AR222" s="18">
        <v>853.22223067561583</v>
      </c>
      <c r="AS222" s="18">
        <v>755.10792678838118</v>
      </c>
      <c r="AT222" s="18">
        <v>571.96519894840389</v>
      </c>
      <c r="AU222" s="18">
        <v>829.48574484294102</v>
      </c>
      <c r="AV222" s="18">
        <v>679.76264762035714</v>
      </c>
      <c r="AW222" s="18">
        <v>676.75103101810168</v>
      </c>
      <c r="AX222" s="18">
        <v>459.57684370223973</v>
      </c>
      <c r="AY222" s="18">
        <v>681.23081876445974</v>
      </c>
      <c r="AZ222" s="18">
        <v>593.26447130428141</v>
      </c>
      <c r="BA222" s="18">
        <v>605.7455135368574</v>
      </c>
      <c r="BB222" s="18">
        <v>591.64447492540501</v>
      </c>
      <c r="BC222" s="23">
        <v>8.9181565948742242E-2</v>
      </c>
      <c r="BD222" s="23">
        <v>0.10665277883445198</v>
      </c>
      <c r="BE222" s="23">
        <v>9.438849084854764E-2</v>
      </c>
      <c r="BF222" s="23">
        <v>7.149564986855049E-2</v>
      </c>
      <c r="BG222" s="23">
        <v>0.10368571810536763</v>
      </c>
      <c r="BH222" s="23">
        <v>8.4970330952544637E-2</v>
      </c>
      <c r="BI222" s="23">
        <v>8.4593878877262704E-2</v>
      </c>
      <c r="BJ222" s="23">
        <v>5.7447105462779965E-2</v>
      </c>
      <c r="BK222" s="23">
        <v>8.5153852345557474E-2</v>
      </c>
      <c r="BL222" s="23">
        <v>7.4158058913035174E-2</v>
      </c>
      <c r="BM222" s="23">
        <v>7.5718189192107169E-2</v>
      </c>
      <c r="BN222" s="23">
        <v>7.3955559365675619E-2</v>
      </c>
    </row>
    <row r="223" spans="1:66" x14ac:dyDescent="0.25">
      <c r="A223" s="16">
        <v>3703</v>
      </c>
      <c r="B223" s="16" t="s">
        <v>419</v>
      </c>
      <c r="C223" s="17">
        <v>0</v>
      </c>
      <c r="D223" s="17">
        <f t="shared" si="120"/>
        <v>0</v>
      </c>
      <c r="E223" s="17">
        <f t="shared" si="121"/>
        <v>0</v>
      </c>
      <c r="F223" s="17">
        <f t="shared" si="122"/>
        <v>0</v>
      </c>
      <c r="G223" s="17">
        <f t="shared" si="123"/>
        <v>0</v>
      </c>
      <c r="H223" s="17">
        <f t="shared" si="124"/>
        <v>0</v>
      </c>
      <c r="I223" s="17">
        <f t="shared" si="125"/>
        <v>0</v>
      </c>
      <c r="J223" s="17">
        <f t="shared" si="126"/>
        <v>0</v>
      </c>
      <c r="K223" s="17">
        <f t="shared" si="127"/>
        <v>0</v>
      </c>
      <c r="L223" s="17">
        <f t="shared" si="128"/>
        <v>0</v>
      </c>
      <c r="M223" s="17">
        <f t="shared" si="129"/>
        <v>0</v>
      </c>
      <c r="N223" s="17">
        <f t="shared" si="130"/>
        <v>0</v>
      </c>
      <c r="O223" s="17">
        <f t="shared" si="131"/>
        <v>0</v>
      </c>
      <c r="P223" s="17">
        <v>1500</v>
      </c>
      <c r="Q223" s="17">
        <f t="shared" si="132"/>
        <v>133.77234892311336</v>
      </c>
      <c r="R223" s="17">
        <f t="shared" si="133"/>
        <v>159.97916825167798</v>
      </c>
      <c r="S223" s="17">
        <f t="shared" si="134"/>
        <v>141.58273627282145</v>
      </c>
      <c r="T223" s="17">
        <f t="shared" si="135"/>
        <v>107.24347480282573</v>
      </c>
      <c r="U223" s="17">
        <f t="shared" si="136"/>
        <v>155.52857715805143</v>
      </c>
      <c r="V223" s="17">
        <f t="shared" si="137"/>
        <v>127.45549642881696</v>
      </c>
      <c r="W223" s="17">
        <f t="shared" si="138"/>
        <v>126.89081831589405</v>
      </c>
      <c r="X223" s="17">
        <f t="shared" si="139"/>
        <v>86.170658194169945</v>
      </c>
      <c r="Y223" s="17">
        <f t="shared" si="140"/>
        <v>127.73077851833621</v>
      </c>
      <c r="Z223" s="17">
        <f t="shared" si="141"/>
        <v>111.23708836955277</v>
      </c>
      <c r="AA223" s="17">
        <f t="shared" si="142"/>
        <v>113.57728378816076</v>
      </c>
      <c r="AB223" s="17">
        <f t="shared" si="143"/>
        <v>110.93333904851343</v>
      </c>
      <c r="AC223" s="17">
        <v>0</v>
      </c>
      <c r="AD223" s="17">
        <f t="shared" si="144"/>
        <v>0</v>
      </c>
      <c r="AE223" s="17">
        <f t="shared" si="145"/>
        <v>0</v>
      </c>
      <c r="AF223" s="17">
        <f t="shared" si="146"/>
        <v>0</v>
      </c>
      <c r="AG223" s="17">
        <f t="shared" si="147"/>
        <v>0</v>
      </c>
      <c r="AH223" s="17">
        <f t="shared" si="148"/>
        <v>0</v>
      </c>
      <c r="AI223" s="17">
        <f t="shared" si="149"/>
        <v>0</v>
      </c>
      <c r="AJ223" s="17">
        <f t="shared" si="150"/>
        <v>0</v>
      </c>
      <c r="AK223" s="17">
        <f t="shared" si="151"/>
        <v>0</v>
      </c>
      <c r="AL223" s="17">
        <f t="shared" si="152"/>
        <v>0</v>
      </c>
      <c r="AM223" s="17">
        <f t="shared" si="153"/>
        <v>0</v>
      </c>
      <c r="AN223" s="17">
        <f t="shared" si="154"/>
        <v>0</v>
      </c>
      <c r="AO223" s="17">
        <f t="shared" si="155"/>
        <v>0</v>
      </c>
      <c r="AP223" s="17">
        <f t="shared" si="156"/>
        <v>1500</v>
      </c>
      <c r="AQ223" s="18">
        <v>445.9078297437112</v>
      </c>
      <c r="AR223" s="18">
        <v>533.26389417225994</v>
      </c>
      <c r="AS223" s="18">
        <v>471.94245424273822</v>
      </c>
      <c r="AT223" s="18">
        <v>357.47824934275246</v>
      </c>
      <c r="AU223" s="18">
        <v>518.42859052683809</v>
      </c>
      <c r="AV223" s="18">
        <v>424.85165476272317</v>
      </c>
      <c r="AW223" s="18">
        <v>422.96939438631352</v>
      </c>
      <c r="AX223" s="18">
        <v>287.23552731389981</v>
      </c>
      <c r="AY223" s="18">
        <v>425.76926172778735</v>
      </c>
      <c r="AZ223" s="18">
        <v>370.79029456517588</v>
      </c>
      <c r="BA223" s="18">
        <v>378.59094596053586</v>
      </c>
      <c r="BB223" s="18">
        <v>369.77779682837809</v>
      </c>
      <c r="BC223" s="23">
        <v>8.9181565948742242E-2</v>
      </c>
      <c r="BD223" s="23">
        <v>0.10665277883445198</v>
      </c>
      <c r="BE223" s="23">
        <v>9.438849084854764E-2</v>
      </c>
      <c r="BF223" s="23">
        <v>7.149564986855049E-2</v>
      </c>
      <c r="BG223" s="23">
        <v>0.10368571810536763</v>
      </c>
      <c r="BH223" s="23">
        <v>8.4970330952544637E-2</v>
      </c>
      <c r="BI223" s="23">
        <v>8.4593878877262704E-2</v>
      </c>
      <c r="BJ223" s="23">
        <v>5.7447105462779965E-2</v>
      </c>
      <c r="BK223" s="23">
        <v>8.5153852345557474E-2</v>
      </c>
      <c r="BL223" s="23">
        <v>7.4158058913035174E-2</v>
      </c>
      <c r="BM223" s="23">
        <v>7.5718189192107169E-2</v>
      </c>
      <c r="BN223" s="23">
        <v>7.3955559365675619E-2</v>
      </c>
    </row>
    <row r="224" spans="1:66" x14ac:dyDescent="0.25">
      <c r="A224" s="16">
        <v>4202</v>
      </c>
      <c r="B224" s="16" t="s">
        <v>420</v>
      </c>
      <c r="C224" s="17">
        <v>5000</v>
      </c>
      <c r="D224" s="17">
        <f t="shared" si="120"/>
        <v>445.9078297437112</v>
      </c>
      <c r="E224" s="17">
        <f t="shared" si="121"/>
        <v>533.26389417225994</v>
      </c>
      <c r="F224" s="17">
        <f t="shared" si="122"/>
        <v>471.94245424273822</v>
      </c>
      <c r="G224" s="17">
        <f t="shared" si="123"/>
        <v>357.47824934275246</v>
      </c>
      <c r="H224" s="17">
        <f t="shared" si="124"/>
        <v>518.42859052683809</v>
      </c>
      <c r="I224" s="17">
        <f t="shared" si="125"/>
        <v>424.85165476272317</v>
      </c>
      <c r="J224" s="17">
        <f t="shared" si="126"/>
        <v>422.96939438631352</v>
      </c>
      <c r="K224" s="17">
        <f t="shared" si="127"/>
        <v>287.23552731389981</v>
      </c>
      <c r="L224" s="17">
        <f t="shared" si="128"/>
        <v>425.76926172778735</v>
      </c>
      <c r="M224" s="17">
        <f t="shared" si="129"/>
        <v>370.79029456517588</v>
      </c>
      <c r="N224" s="17">
        <f t="shared" si="130"/>
        <v>378.59094596053586</v>
      </c>
      <c r="O224" s="17">
        <f t="shared" si="131"/>
        <v>369.77779682837809</v>
      </c>
      <c r="P224" s="17">
        <v>0</v>
      </c>
      <c r="Q224" s="17">
        <f t="shared" si="132"/>
        <v>0</v>
      </c>
      <c r="R224" s="17">
        <f t="shared" si="133"/>
        <v>0</v>
      </c>
      <c r="S224" s="17">
        <f t="shared" si="134"/>
        <v>0</v>
      </c>
      <c r="T224" s="17">
        <f t="shared" si="135"/>
        <v>0</v>
      </c>
      <c r="U224" s="17">
        <f t="shared" si="136"/>
        <v>0</v>
      </c>
      <c r="V224" s="17">
        <f t="shared" si="137"/>
        <v>0</v>
      </c>
      <c r="W224" s="17">
        <f t="shared" si="138"/>
        <v>0</v>
      </c>
      <c r="X224" s="17">
        <f t="shared" si="139"/>
        <v>0</v>
      </c>
      <c r="Y224" s="17">
        <f t="shared" si="140"/>
        <v>0</v>
      </c>
      <c r="Z224" s="17">
        <f t="shared" si="141"/>
        <v>0</v>
      </c>
      <c r="AA224" s="17">
        <f t="shared" si="142"/>
        <v>0</v>
      </c>
      <c r="AB224" s="17">
        <f t="shared" si="143"/>
        <v>0</v>
      </c>
      <c r="AC224" s="17">
        <v>0</v>
      </c>
      <c r="AD224" s="17">
        <f t="shared" si="144"/>
        <v>0</v>
      </c>
      <c r="AE224" s="17">
        <f t="shared" si="145"/>
        <v>0</v>
      </c>
      <c r="AF224" s="17">
        <f t="shared" si="146"/>
        <v>0</v>
      </c>
      <c r="AG224" s="17">
        <f t="shared" si="147"/>
        <v>0</v>
      </c>
      <c r="AH224" s="17">
        <f t="shared" si="148"/>
        <v>0</v>
      </c>
      <c r="AI224" s="17">
        <f t="shared" si="149"/>
        <v>0</v>
      </c>
      <c r="AJ224" s="17">
        <f t="shared" si="150"/>
        <v>0</v>
      </c>
      <c r="AK224" s="17">
        <f t="shared" si="151"/>
        <v>0</v>
      </c>
      <c r="AL224" s="17">
        <f t="shared" si="152"/>
        <v>0</v>
      </c>
      <c r="AM224" s="17">
        <f t="shared" si="153"/>
        <v>0</v>
      </c>
      <c r="AN224" s="17">
        <f t="shared" si="154"/>
        <v>0</v>
      </c>
      <c r="AO224" s="17">
        <f t="shared" si="155"/>
        <v>0</v>
      </c>
      <c r="AP224" s="17">
        <f t="shared" si="156"/>
        <v>5000</v>
      </c>
      <c r="AQ224" s="18">
        <v>445.9078297437112</v>
      </c>
      <c r="AR224" s="18">
        <v>533.26389417225994</v>
      </c>
      <c r="AS224" s="18">
        <v>471.94245424273822</v>
      </c>
      <c r="AT224" s="18">
        <v>357.47824934275246</v>
      </c>
      <c r="AU224" s="18">
        <v>518.42859052683809</v>
      </c>
      <c r="AV224" s="18">
        <v>424.85165476272317</v>
      </c>
      <c r="AW224" s="18">
        <v>422.96939438631352</v>
      </c>
      <c r="AX224" s="18">
        <v>287.23552731389981</v>
      </c>
      <c r="AY224" s="18">
        <v>425.76926172778735</v>
      </c>
      <c r="AZ224" s="18">
        <v>370.79029456517588</v>
      </c>
      <c r="BA224" s="18">
        <v>378.59094596053586</v>
      </c>
      <c r="BB224" s="18">
        <v>369.77779682837809</v>
      </c>
      <c r="BC224" s="23">
        <v>8.9181565948742242E-2</v>
      </c>
      <c r="BD224" s="23">
        <v>0.10665277883445198</v>
      </c>
      <c r="BE224" s="23">
        <v>9.438849084854764E-2</v>
      </c>
      <c r="BF224" s="23">
        <v>7.149564986855049E-2</v>
      </c>
      <c r="BG224" s="23">
        <v>0.10368571810536763</v>
      </c>
      <c r="BH224" s="23">
        <v>8.4970330952544637E-2</v>
      </c>
      <c r="BI224" s="23">
        <v>8.4593878877262704E-2</v>
      </c>
      <c r="BJ224" s="23">
        <v>5.7447105462779965E-2</v>
      </c>
      <c r="BK224" s="23">
        <v>8.5153852345557474E-2</v>
      </c>
      <c r="BL224" s="23">
        <v>7.4158058913035174E-2</v>
      </c>
      <c r="BM224" s="23">
        <v>7.5718189192107169E-2</v>
      </c>
      <c r="BN224" s="23">
        <v>7.3955559365675619E-2</v>
      </c>
    </row>
    <row r="225" spans="1:66" x14ac:dyDescent="0.25">
      <c r="A225" s="16">
        <v>4242</v>
      </c>
      <c r="B225" s="16" t="s">
        <v>421</v>
      </c>
      <c r="C225" s="17">
        <v>0</v>
      </c>
      <c r="D225" s="17">
        <f t="shared" si="120"/>
        <v>0</v>
      </c>
      <c r="E225" s="17">
        <f t="shared" si="121"/>
        <v>0</v>
      </c>
      <c r="F225" s="17">
        <f t="shared" si="122"/>
        <v>0</v>
      </c>
      <c r="G225" s="17">
        <f t="shared" si="123"/>
        <v>0</v>
      </c>
      <c r="H225" s="17">
        <f t="shared" si="124"/>
        <v>0</v>
      </c>
      <c r="I225" s="17">
        <f t="shared" si="125"/>
        <v>0</v>
      </c>
      <c r="J225" s="17">
        <f t="shared" si="126"/>
        <v>0</v>
      </c>
      <c r="K225" s="17">
        <f t="shared" si="127"/>
        <v>0</v>
      </c>
      <c r="L225" s="17">
        <f t="shared" si="128"/>
        <v>0</v>
      </c>
      <c r="M225" s="17">
        <f t="shared" si="129"/>
        <v>0</v>
      </c>
      <c r="N225" s="17">
        <f t="shared" si="130"/>
        <v>0</v>
      </c>
      <c r="O225" s="17">
        <f t="shared" si="131"/>
        <v>0</v>
      </c>
      <c r="P225" s="17">
        <v>0</v>
      </c>
      <c r="Q225" s="17">
        <f t="shared" si="132"/>
        <v>0</v>
      </c>
      <c r="R225" s="17">
        <f t="shared" si="133"/>
        <v>0</v>
      </c>
      <c r="S225" s="17">
        <f t="shared" si="134"/>
        <v>0</v>
      </c>
      <c r="T225" s="17">
        <f t="shared" si="135"/>
        <v>0</v>
      </c>
      <c r="U225" s="17">
        <f t="shared" si="136"/>
        <v>0</v>
      </c>
      <c r="V225" s="17">
        <f t="shared" si="137"/>
        <v>0</v>
      </c>
      <c r="W225" s="17">
        <f t="shared" si="138"/>
        <v>0</v>
      </c>
      <c r="X225" s="17">
        <f t="shared" si="139"/>
        <v>0</v>
      </c>
      <c r="Y225" s="17">
        <f t="shared" si="140"/>
        <v>0</v>
      </c>
      <c r="Z225" s="17">
        <f t="shared" si="141"/>
        <v>0</v>
      </c>
      <c r="AA225" s="17">
        <f t="shared" si="142"/>
        <v>0</v>
      </c>
      <c r="AB225" s="17">
        <f t="shared" si="143"/>
        <v>0</v>
      </c>
      <c r="AC225" s="17">
        <v>0</v>
      </c>
      <c r="AD225" s="17">
        <f t="shared" si="144"/>
        <v>0</v>
      </c>
      <c r="AE225" s="17">
        <f t="shared" si="145"/>
        <v>0</v>
      </c>
      <c r="AF225" s="17">
        <f t="shared" si="146"/>
        <v>0</v>
      </c>
      <c r="AG225" s="17">
        <f t="shared" si="147"/>
        <v>0</v>
      </c>
      <c r="AH225" s="17">
        <f t="shared" si="148"/>
        <v>0</v>
      </c>
      <c r="AI225" s="17">
        <f t="shared" si="149"/>
        <v>0</v>
      </c>
      <c r="AJ225" s="17">
        <f t="shared" si="150"/>
        <v>0</v>
      </c>
      <c r="AK225" s="17">
        <f t="shared" si="151"/>
        <v>0</v>
      </c>
      <c r="AL225" s="17">
        <f t="shared" si="152"/>
        <v>0</v>
      </c>
      <c r="AM225" s="17">
        <f t="shared" si="153"/>
        <v>0</v>
      </c>
      <c r="AN225" s="17">
        <f t="shared" si="154"/>
        <v>0</v>
      </c>
      <c r="AO225" s="17">
        <f t="shared" si="155"/>
        <v>0</v>
      </c>
      <c r="AP225" s="17">
        <f t="shared" si="156"/>
        <v>0</v>
      </c>
      <c r="AQ225" s="18">
        <v>472.19855538540043</v>
      </c>
      <c r="AR225" s="18">
        <v>564.70513337265641</v>
      </c>
      <c r="AS225" s="18">
        <v>499.76818134489008</v>
      </c>
      <c r="AT225" s="18">
        <v>378.55516692400113</v>
      </c>
      <c r="AU225" s="18">
        <v>548.99514022430048</v>
      </c>
      <c r="AV225" s="18">
        <v>449.90090832753339</v>
      </c>
      <c r="AW225" s="18">
        <v>447.90766987933057</v>
      </c>
      <c r="AX225" s="18">
        <v>304.17093400432736</v>
      </c>
      <c r="AY225" s="18">
        <v>450.87261739925771</v>
      </c>
      <c r="AZ225" s="18">
        <v>392.65209033273868</v>
      </c>
      <c r="BA225" s="18">
        <v>400.91266813436903</v>
      </c>
      <c r="BB225" s="18">
        <v>391.5798957293793</v>
      </c>
      <c r="BC225" s="23">
        <v>8.9181565948742242E-2</v>
      </c>
      <c r="BD225" s="23">
        <v>0.10665277883445198</v>
      </c>
      <c r="BE225" s="23">
        <v>9.438849084854764E-2</v>
      </c>
      <c r="BF225" s="23">
        <v>7.149564986855049E-2</v>
      </c>
      <c r="BG225" s="23">
        <v>0.10368571810536763</v>
      </c>
      <c r="BH225" s="23">
        <v>8.4970330952544637E-2</v>
      </c>
      <c r="BI225" s="23">
        <v>8.4593878877262704E-2</v>
      </c>
      <c r="BJ225" s="23">
        <v>5.7447105462779965E-2</v>
      </c>
      <c r="BK225" s="23">
        <v>8.5153852345557474E-2</v>
      </c>
      <c r="BL225" s="23">
        <v>7.4158058913035174E-2</v>
      </c>
      <c r="BM225" s="23">
        <v>7.5718189192107169E-2</v>
      </c>
      <c r="BN225" s="23">
        <v>7.3955559365675619E-2</v>
      </c>
    </row>
    <row r="226" spans="1:66" x14ac:dyDescent="0.25">
      <c r="A226" s="16">
        <v>4291</v>
      </c>
      <c r="B226" s="16" t="s">
        <v>422</v>
      </c>
      <c r="C226" s="17">
        <v>0</v>
      </c>
      <c r="D226" s="17">
        <f t="shared" si="120"/>
        <v>0</v>
      </c>
      <c r="E226" s="17">
        <f t="shared" si="121"/>
        <v>0</v>
      </c>
      <c r="F226" s="17">
        <f t="shared" si="122"/>
        <v>0</v>
      </c>
      <c r="G226" s="17">
        <f t="shared" si="123"/>
        <v>0</v>
      </c>
      <c r="H226" s="17">
        <f t="shared" si="124"/>
        <v>0</v>
      </c>
      <c r="I226" s="17">
        <f t="shared" si="125"/>
        <v>0</v>
      </c>
      <c r="J226" s="17">
        <f t="shared" si="126"/>
        <v>0</v>
      </c>
      <c r="K226" s="17">
        <f t="shared" si="127"/>
        <v>0</v>
      </c>
      <c r="L226" s="17">
        <f t="shared" si="128"/>
        <v>0</v>
      </c>
      <c r="M226" s="17">
        <f t="shared" si="129"/>
        <v>0</v>
      </c>
      <c r="N226" s="17">
        <f t="shared" si="130"/>
        <v>0</v>
      </c>
      <c r="O226" s="17">
        <f t="shared" si="131"/>
        <v>0</v>
      </c>
      <c r="P226" s="17">
        <v>0</v>
      </c>
      <c r="Q226" s="17">
        <f t="shared" si="132"/>
        <v>0</v>
      </c>
      <c r="R226" s="17">
        <f t="shared" si="133"/>
        <v>0</v>
      </c>
      <c r="S226" s="17">
        <f t="shared" si="134"/>
        <v>0</v>
      </c>
      <c r="T226" s="17">
        <f t="shared" si="135"/>
        <v>0</v>
      </c>
      <c r="U226" s="17">
        <f t="shared" si="136"/>
        <v>0</v>
      </c>
      <c r="V226" s="17">
        <f t="shared" si="137"/>
        <v>0</v>
      </c>
      <c r="W226" s="17">
        <f t="shared" si="138"/>
        <v>0</v>
      </c>
      <c r="X226" s="17">
        <f t="shared" si="139"/>
        <v>0</v>
      </c>
      <c r="Y226" s="17">
        <f t="shared" si="140"/>
        <v>0</v>
      </c>
      <c r="Z226" s="17">
        <f t="shared" si="141"/>
        <v>0</v>
      </c>
      <c r="AA226" s="17">
        <f t="shared" si="142"/>
        <v>0</v>
      </c>
      <c r="AB226" s="17">
        <f t="shared" si="143"/>
        <v>0</v>
      </c>
      <c r="AC226" s="17">
        <v>0</v>
      </c>
      <c r="AD226" s="17">
        <f t="shared" si="144"/>
        <v>0</v>
      </c>
      <c r="AE226" s="17">
        <f t="shared" si="145"/>
        <v>0</v>
      </c>
      <c r="AF226" s="17">
        <f t="shared" si="146"/>
        <v>0</v>
      </c>
      <c r="AG226" s="17">
        <f t="shared" si="147"/>
        <v>0</v>
      </c>
      <c r="AH226" s="17">
        <f t="shared" si="148"/>
        <v>0</v>
      </c>
      <c r="AI226" s="17">
        <f t="shared" si="149"/>
        <v>0</v>
      </c>
      <c r="AJ226" s="17">
        <f t="shared" si="150"/>
        <v>0</v>
      </c>
      <c r="AK226" s="17">
        <f t="shared" si="151"/>
        <v>0</v>
      </c>
      <c r="AL226" s="17">
        <f t="shared" si="152"/>
        <v>0</v>
      </c>
      <c r="AM226" s="17">
        <f t="shared" si="153"/>
        <v>0</v>
      </c>
      <c r="AN226" s="17">
        <f t="shared" si="154"/>
        <v>0</v>
      </c>
      <c r="AO226" s="17">
        <f t="shared" si="155"/>
        <v>0</v>
      </c>
      <c r="AP226" s="17">
        <f t="shared" si="156"/>
        <v>0</v>
      </c>
      <c r="AQ226" s="18">
        <v>2229.5391487185561</v>
      </c>
      <c r="AR226" s="18">
        <v>2666.3194708612996</v>
      </c>
      <c r="AS226" s="18">
        <v>2359.7122712136911</v>
      </c>
      <c r="AT226" s="18">
        <v>1787.3912467137623</v>
      </c>
      <c r="AU226" s="18">
        <v>2592.1429526341908</v>
      </c>
      <c r="AV226" s="18">
        <v>2124.2582738136161</v>
      </c>
      <c r="AW226" s="18">
        <v>2114.8469719315676</v>
      </c>
      <c r="AX226" s="18">
        <v>1436.1776365694991</v>
      </c>
      <c r="AY226" s="18">
        <v>2128.846308638937</v>
      </c>
      <c r="AZ226" s="18">
        <v>1853.9514728258794</v>
      </c>
      <c r="BA226" s="18">
        <v>1892.9547298026791</v>
      </c>
      <c r="BB226" s="18">
        <v>1848.8889841418904</v>
      </c>
      <c r="BC226" s="23">
        <v>8.9181565948742242E-2</v>
      </c>
      <c r="BD226" s="23">
        <v>0.10665277883445198</v>
      </c>
      <c r="BE226" s="23">
        <v>9.438849084854764E-2</v>
      </c>
      <c r="BF226" s="23">
        <v>7.149564986855049E-2</v>
      </c>
      <c r="BG226" s="23">
        <v>0.10368571810536763</v>
      </c>
      <c r="BH226" s="23">
        <v>8.4970330952544637E-2</v>
      </c>
      <c r="BI226" s="23">
        <v>8.4593878877262704E-2</v>
      </c>
      <c r="BJ226" s="23">
        <v>5.7447105462779965E-2</v>
      </c>
      <c r="BK226" s="23">
        <v>8.5153852345557474E-2</v>
      </c>
      <c r="BL226" s="23">
        <v>7.4158058913035174E-2</v>
      </c>
      <c r="BM226" s="23">
        <v>7.5718189192107169E-2</v>
      </c>
      <c r="BN226" s="23">
        <v>7.3955559365675619E-2</v>
      </c>
    </row>
    <row r="227" spans="1:66" x14ac:dyDescent="0.25">
      <c r="A227" s="16">
        <v>4325</v>
      </c>
      <c r="B227" s="16" t="s">
        <v>423</v>
      </c>
      <c r="C227" s="17">
        <v>0</v>
      </c>
      <c r="D227" s="17">
        <f t="shared" si="120"/>
        <v>0</v>
      </c>
      <c r="E227" s="17">
        <f t="shared" si="121"/>
        <v>0</v>
      </c>
      <c r="F227" s="17">
        <f t="shared" si="122"/>
        <v>0</v>
      </c>
      <c r="G227" s="17">
        <f t="shared" si="123"/>
        <v>0</v>
      </c>
      <c r="H227" s="17">
        <f t="shared" si="124"/>
        <v>0</v>
      </c>
      <c r="I227" s="17">
        <f t="shared" si="125"/>
        <v>0</v>
      </c>
      <c r="J227" s="17">
        <f t="shared" si="126"/>
        <v>0</v>
      </c>
      <c r="K227" s="17">
        <f t="shared" si="127"/>
        <v>0</v>
      </c>
      <c r="L227" s="17">
        <f t="shared" si="128"/>
        <v>0</v>
      </c>
      <c r="M227" s="17">
        <f t="shared" si="129"/>
        <v>0</v>
      </c>
      <c r="N227" s="17">
        <f t="shared" si="130"/>
        <v>0</v>
      </c>
      <c r="O227" s="17">
        <f t="shared" si="131"/>
        <v>0</v>
      </c>
      <c r="P227" s="17">
        <v>2000</v>
      </c>
      <c r="Q227" s="17">
        <f t="shared" si="132"/>
        <v>178.36313189748449</v>
      </c>
      <c r="R227" s="17">
        <f t="shared" si="133"/>
        <v>213.30555766890396</v>
      </c>
      <c r="S227" s="17">
        <f t="shared" si="134"/>
        <v>188.77698169709529</v>
      </c>
      <c r="T227" s="17">
        <f t="shared" si="135"/>
        <v>142.99129973710097</v>
      </c>
      <c r="U227" s="17">
        <f t="shared" si="136"/>
        <v>207.37143621073525</v>
      </c>
      <c r="V227" s="17">
        <f t="shared" si="137"/>
        <v>169.94066190508929</v>
      </c>
      <c r="W227" s="17">
        <f t="shared" si="138"/>
        <v>169.18775775452542</v>
      </c>
      <c r="X227" s="17">
        <f t="shared" si="139"/>
        <v>114.89421092555993</v>
      </c>
      <c r="Y227" s="17">
        <f t="shared" si="140"/>
        <v>170.30770469111494</v>
      </c>
      <c r="Z227" s="17">
        <f t="shared" si="141"/>
        <v>148.31611782607035</v>
      </c>
      <c r="AA227" s="17">
        <f t="shared" si="142"/>
        <v>151.43637838421435</v>
      </c>
      <c r="AB227" s="17">
        <f t="shared" si="143"/>
        <v>147.91111873135125</v>
      </c>
      <c r="AC227" s="17">
        <v>0</v>
      </c>
      <c r="AD227" s="17">
        <f t="shared" si="144"/>
        <v>0</v>
      </c>
      <c r="AE227" s="17">
        <f t="shared" si="145"/>
        <v>0</v>
      </c>
      <c r="AF227" s="17">
        <f t="shared" si="146"/>
        <v>0</v>
      </c>
      <c r="AG227" s="17">
        <f t="shared" si="147"/>
        <v>0</v>
      </c>
      <c r="AH227" s="17">
        <f t="shared" si="148"/>
        <v>0</v>
      </c>
      <c r="AI227" s="17">
        <f t="shared" si="149"/>
        <v>0</v>
      </c>
      <c r="AJ227" s="17">
        <f t="shared" si="150"/>
        <v>0</v>
      </c>
      <c r="AK227" s="17">
        <f t="shared" si="151"/>
        <v>0</v>
      </c>
      <c r="AL227" s="17">
        <f t="shared" si="152"/>
        <v>0</v>
      </c>
      <c r="AM227" s="17">
        <f t="shared" si="153"/>
        <v>0</v>
      </c>
      <c r="AN227" s="17">
        <f t="shared" si="154"/>
        <v>0</v>
      </c>
      <c r="AO227" s="17">
        <f t="shared" si="155"/>
        <v>0</v>
      </c>
      <c r="AP227" s="17">
        <f t="shared" si="156"/>
        <v>2000</v>
      </c>
      <c r="AQ227" s="18">
        <v>445.9078297437112</v>
      </c>
      <c r="AR227" s="18">
        <v>533.26389417225994</v>
      </c>
      <c r="AS227" s="18">
        <v>471.94245424273822</v>
      </c>
      <c r="AT227" s="18">
        <v>357.47824934275246</v>
      </c>
      <c r="AU227" s="18">
        <v>518.42859052683809</v>
      </c>
      <c r="AV227" s="18">
        <v>424.85165476272317</v>
      </c>
      <c r="AW227" s="18">
        <v>422.96939438631352</v>
      </c>
      <c r="AX227" s="18">
        <v>287.23552731389981</v>
      </c>
      <c r="AY227" s="18">
        <v>425.76926172778735</v>
      </c>
      <c r="AZ227" s="18">
        <v>370.79029456517588</v>
      </c>
      <c r="BA227" s="18">
        <v>378.59094596053586</v>
      </c>
      <c r="BB227" s="18">
        <v>369.77779682837809</v>
      </c>
      <c r="BC227" s="23">
        <v>8.9181565948742242E-2</v>
      </c>
      <c r="BD227" s="23">
        <v>0.10665277883445198</v>
      </c>
      <c r="BE227" s="23">
        <v>9.438849084854764E-2</v>
      </c>
      <c r="BF227" s="23">
        <v>7.149564986855049E-2</v>
      </c>
      <c r="BG227" s="23">
        <v>0.10368571810536763</v>
      </c>
      <c r="BH227" s="23">
        <v>8.4970330952544637E-2</v>
      </c>
      <c r="BI227" s="23">
        <v>8.4593878877262704E-2</v>
      </c>
      <c r="BJ227" s="23">
        <v>5.7447105462779965E-2</v>
      </c>
      <c r="BK227" s="23">
        <v>8.5153852345557474E-2</v>
      </c>
      <c r="BL227" s="23">
        <v>7.4158058913035174E-2</v>
      </c>
      <c r="BM227" s="23">
        <v>7.5718189192107169E-2</v>
      </c>
      <c r="BN227" s="23">
        <v>7.3955559365675619E-2</v>
      </c>
    </row>
    <row r="228" spans="1:66" x14ac:dyDescent="0.25">
      <c r="A228" s="16">
        <v>4727</v>
      </c>
      <c r="B228" s="16" t="s">
        <v>424</v>
      </c>
      <c r="C228" s="17">
        <v>0</v>
      </c>
      <c r="D228" s="17">
        <f t="shared" si="120"/>
        <v>0</v>
      </c>
      <c r="E228" s="17">
        <f t="shared" si="121"/>
        <v>0</v>
      </c>
      <c r="F228" s="17">
        <f t="shared" si="122"/>
        <v>0</v>
      </c>
      <c r="G228" s="17">
        <f t="shared" si="123"/>
        <v>0</v>
      </c>
      <c r="H228" s="17">
        <f t="shared" si="124"/>
        <v>0</v>
      </c>
      <c r="I228" s="17">
        <f t="shared" si="125"/>
        <v>0</v>
      </c>
      <c r="J228" s="17">
        <f t="shared" si="126"/>
        <v>0</v>
      </c>
      <c r="K228" s="17">
        <f t="shared" si="127"/>
        <v>0</v>
      </c>
      <c r="L228" s="17">
        <f t="shared" si="128"/>
        <v>0</v>
      </c>
      <c r="M228" s="17">
        <f t="shared" si="129"/>
        <v>0</v>
      </c>
      <c r="N228" s="17">
        <f t="shared" si="130"/>
        <v>0</v>
      </c>
      <c r="O228" s="17">
        <f t="shared" si="131"/>
        <v>0</v>
      </c>
      <c r="P228" s="17">
        <v>3000</v>
      </c>
      <c r="Q228" s="17">
        <f t="shared" si="132"/>
        <v>267.54469784622671</v>
      </c>
      <c r="R228" s="17">
        <f t="shared" si="133"/>
        <v>319.95833650335595</v>
      </c>
      <c r="S228" s="17">
        <f t="shared" si="134"/>
        <v>283.1654725456429</v>
      </c>
      <c r="T228" s="17">
        <f t="shared" si="135"/>
        <v>214.48694960565146</v>
      </c>
      <c r="U228" s="17">
        <f t="shared" si="136"/>
        <v>311.05715431610287</v>
      </c>
      <c r="V228" s="17">
        <f t="shared" si="137"/>
        <v>254.91099285763391</v>
      </c>
      <c r="W228" s="17">
        <f t="shared" si="138"/>
        <v>253.7816366317881</v>
      </c>
      <c r="X228" s="17">
        <f t="shared" si="139"/>
        <v>172.34131638833989</v>
      </c>
      <c r="Y228" s="17">
        <f t="shared" si="140"/>
        <v>255.46155703667242</v>
      </c>
      <c r="Z228" s="17">
        <f t="shared" si="141"/>
        <v>222.47417673910553</v>
      </c>
      <c r="AA228" s="17">
        <f t="shared" si="142"/>
        <v>227.15456757632151</v>
      </c>
      <c r="AB228" s="17">
        <f t="shared" si="143"/>
        <v>221.86667809702686</v>
      </c>
      <c r="AC228" s="17">
        <v>0</v>
      </c>
      <c r="AD228" s="17">
        <f t="shared" si="144"/>
        <v>0</v>
      </c>
      <c r="AE228" s="17">
        <f t="shared" si="145"/>
        <v>0</v>
      </c>
      <c r="AF228" s="17">
        <f t="shared" si="146"/>
        <v>0</v>
      </c>
      <c r="AG228" s="17">
        <f t="shared" si="147"/>
        <v>0</v>
      </c>
      <c r="AH228" s="17">
        <f t="shared" si="148"/>
        <v>0</v>
      </c>
      <c r="AI228" s="17">
        <f t="shared" si="149"/>
        <v>0</v>
      </c>
      <c r="AJ228" s="17">
        <f t="shared" si="150"/>
        <v>0</v>
      </c>
      <c r="AK228" s="17">
        <f t="shared" si="151"/>
        <v>0</v>
      </c>
      <c r="AL228" s="17">
        <f t="shared" si="152"/>
        <v>0</v>
      </c>
      <c r="AM228" s="17">
        <f t="shared" si="153"/>
        <v>0</v>
      </c>
      <c r="AN228" s="17">
        <f t="shared" si="154"/>
        <v>0</v>
      </c>
      <c r="AO228" s="17">
        <f t="shared" si="155"/>
        <v>0</v>
      </c>
      <c r="AP228" s="17">
        <f t="shared" si="156"/>
        <v>3000</v>
      </c>
      <c r="AQ228" s="18">
        <v>445.9078297437112</v>
      </c>
      <c r="AR228" s="18">
        <v>533.26389417225994</v>
      </c>
      <c r="AS228" s="18">
        <v>471.94245424273822</v>
      </c>
      <c r="AT228" s="18">
        <v>357.47824934275246</v>
      </c>
      <c r="AU228" s="18">
        <v>518.42859052683809</v>
      </c>
      <c r="AV228" s="18">
        <v>424.85165476272317</v>
      </c>
      <c r="AW228" s="18">
        <v>422.96939438631352</v>
      </c>
      <c r="AX228" s="18">
        <v>287.23552731389981</v>
      </c>
      <c r="AY228" s="18">
        <v>425.76926172778735</v>
      </c>
      <c r="AZ228" s="18">
        <v>370.79029456517588</v>
      </c>
      <c r="BA228" s="18">
        <v>378.59094596053586</v>
      </c>
      <c r="BB228" s="18">
        <v>369.77779682837809</v>
      </c>
      <c r="BC228" s="23">
        <v>8.9181565948742242E-2</v>
      </c>
      <c r="BD228" s="23">
        <v>0.10665277883445198</v>
      </c>
      <c r="BE228" s="23">
        <v>9.438849084854764E-2</v>
      </c>
      <c r="BF228" s="23">
        <v>7.149564986855049E-2</v>
      </c>
      <c r="BG228" s="23">
        <v>0.10368571810536763</v>
      </c>
      <c r="BH228" s="23">
        <v>8.4970330952544637E-2</v>
      </c>
      <c r="BI228" s="23">
        <v>8.4593878877262704E-2</v>
      </c>
      <c r="BJ228" s="23">
        <v>5.7447105462779965E-2</v>
      </c>
      <c r="BK228" s="23">
        <v>8.5153852345557474E-2</v>
      </c>
      <c r="BL228" s="23">
        <v>7.4158058913035174E-2</v>
      </c>
      <c r="BM228" s="23">
        <v>7.5718189192107169E-2</v>
      </c>
      <c r="BN228" s="23">
        <v>7.3955559365675619E-2</v>
      </c>
    </row>
    <row r="229" spans="1:66" x14ac:dyDescent="0.25">
      <c r="A229" s="16">
        <v>4748</v>
      </c>
      <c r="B229" s="16" t="s">
        <v>425</v>
      </c>
      <c r="C229" s="17">
        <v>0</v>
      </c>
      <c r="D229" s="17">
        <f t="shared" si="120"/>
        <v>0</v>
      </c>
      <c r="E229" s="17">
        <f t="shared" si="121"/>
        <v>0</v>
      </c>
      <c r="F229" s="17">
        <f t="shared" si="122"/>
        <v>0</v>
      </c>
      <c r="G229" s="17">
        <f t="shared" si="123"/>
        <v>0</v>
      </c>
      <c r="H229" s="17">
        <f t="shared" si="124"/>
        <v>0</v>
      </c>
      <c r="I229" s="17">
        <f t="shared" si="125"/>
        <v>0</v>
      </c>
      <c r="J229" s="17">
        <f t="shared" si="126"/>
        <v>0</v>
      </c>
      <c r="K229" s="17">
        <f t="shared" si="127"/>
        <v>0</v>
      </c>
      <c r="L229" s="17">
        <f t="shared" si="128"/>
        <v>0</v>
      </c>
      <c r="M229" s="17">
        <f t="shared" si="129"/>
        <v>0</v>
      </c>
      <c r="N229" s="17">
        <f t="shared" si="130"/>
        <v>0</v>
      </c>
      <c r="O229" s="17">
        <f t="shared" si="131"/>
        <v>0</v>
      </c>
      <c r="P229" s="17">
        <v>0</v>
      </c>
      <c r="Q229" s="17">
        <f t="shared" si="132"/>
        <v>0</v>
      </c>
      <c r="R229" s="17">
        <f t="shared" si="133"/>
        <v>0</v>
      </c>
      <c r="S229" s="17">
        <f t="shared" si="134"/>
        <v>0</v>
      </c>
      <c r="T229" s="17">
        <f t="shared" si="135"/>
        <v>0</v>
      </c>
      <c r="U229" s="17">
        <f t="shared" si="136"/>
        <v>0</v>
      </c>
      <c r="V229" s="17">
        <f t="shared" si="137"/>
        <v>0</v>
      </c>
      <c r="W229" s="17">
        <f t="shared" si="138"/>
        <v>0</v>
      </c>
      <c r="X229" s="17">
        <f t="shared" si="139"/>
        <v>0</v>
      </c>
      <c r="Y229" s="17">
        <f t="shared" si="140"/>
        <v>0</v>
      </c>
      <c r="Z229" s="17">
        <f t="shared" si="141"/>
        <v>0</v>
      </c>
      <c r="AA229" s="17">
        <f t="shared" si="142"/>
        <v>0</v>
      </c>
      <c r="AB229" s="17">
        <f t="shared" si="143"/>
        <v>0</v>
      </c>
      <c r="AC229" s="17">
        <v>0</v>
      </c>
      <c r="AD229" s="17">
        <f t="shared" si="144"/>
        <v>0</v>
      </c>
      <c r="AE229" s="17">
        <f t="shared" si="145"/>
        <v>0</v>
      </c>
      <c r="AF229" s="17">
        <f t="shared" si="146"/>
        <v>0</v>
      </c>
      <c r="AG229" s="17">
        <f t="shared" si="147"/>
        <v>0</v>
      </c>
      <c r="AH229" s="17">
        <f t="shared" si="148"/>
        <v>0</v>
      </c>
      <c r="AI229" s="17">
        <f t="shared" si="149"/>
        <v>0</v>
      </c>
      <c r="AJ229" s="17">
        <f t="shared" si="150"/>
        <v>0</v>
      </c>
      <c r="AK229" s="17">
        <f t="shared" si="151"/>
        <v>0</v>
      </c>
      <c r="AL229" s="17">
        <f t="shared" si="152"/>
        <v>0</v>
      </c>
      <c r="AM229" s="17">
        <f t="shared" si="153"/>
        <v>0</v>
      </c>
      <c r="AN229" s="17">
        <f t="shared" si="154"/>
        <v>0</v>
      </c>
      <c r="AO229" s="17">
        <f t="shared" si="155"/>
        <v>0</v>
      </c>
      <c r="AP229" s="17">
        <f t="shared" si="156"/>
        <v>0</v>
      </c>
      <c r="AQ229" s="18">
        <v>445.9078297437112</v>
      </c>
      <c r="AR229" s="18">
        <v>533.26389417225994</v>
      </c>
      <c r="AS229" s="18">
        <v>471.94245424273822</v>
      </c>
      <c r="AT229" s="18">
        <v>357.47824934275246</v>
      </c>
      <c r="AU229" s="18">
        <v>518.42859052683809</v>
      </c>
      <c r="AV229" s="18">
        <v>424.85165476272317</v>
      </c>
      <c r="AW229" s="18">
        <v>422.96939438631352</v>
      </c>
      <c r="AX229" s="18">
        <v>287.23552731389981</v>
      </c>
      <c r="AY229" s="18">
        <v>425.76926172778735</v>
      </c>
      <c r="AZ229" s="18">
        <v>370.79029456517588</v>
      </c>
      <c r="BA229" s="18">
        <v>378.59094596053586</v>
      </c>
      <c r="BB229" s="18">
        <v>369.77779682837809</v>
      </c>
      <c r="BC229" s="23">
        <v>8.9181565948742242E-2</v>
      </c>
      <c r="BD229" s="23">
        <v>0.10665277883445198</v>
      </c>
      <c r="BE229" s="23">
        <v>9.438849084854764E-2</v>
      </c>
      <c r="BF229" s="23">
        <v>7.149564986855049E-2</v>
      </c>
      <c r="BG229" s="23">
        <v>0.10368571810536763</v>
      </c>
      <c r="BH229" s="23">
        <v>8.4970330952544637E-2</v>
      </c>
      <c r="BI229" s="23">
        <v>8.4593878877262704E-2</v>
      </c>
      <c r="BJ229" s="23">
        <v>5.7447105462779965E-2</v>
      </c>
      <c r="BK229" s="23">
        <v>8.5153852345557474E-2</v>
      </c>
      <c r="BL229" s="23">
        <v>7.4158058913035174E-2</v>
      </c>
      <c r="BM229" s="23">
        <v>7.5718189192107169E-2</v>
      </c>
      <c r="BN229" s="23">
        <v>7.3955559365675619E-2</v>
      </c>
    </row>
    <row r="230" spans="1:66" x14ac:dyDescent="0.25">
      <c r="A230" s="16">
        <v>4767</v>
      </c>
      <c r="B230" s="16" t="s">
        <v>426</v>
      </c>
      <c r="C230" s="17">
        <v>0</v>
      </c>
      <c r="D230" s="17">
        <f t="shared" si="120"/>
        <v>0</v>
      </c>
      <c r="E230" s="17">
        <f t="shared" si="121"/>
        <v>0</v>
      </c>
      <c r="F230" s="17">
        <f t="shared" si="122"/>
        <v>0</v>
      </c>
      <c r="G230" s="17">
        <f t="shared" si="123"/>
        <v>0</v>
      </c>
      <c r="H230" s="17">
        <f t="shared" si="124"/>
        <v>0</v>
      </c>
      <c r="I230" s="17">
        <f t="shared" si="125"/>
        <v>0</v>
      </c>
      <c r="J230" s="17">
        <f t="shared" si="126"/>
        <v>0</v>
      </c>
      <c r="K230" s="17">
        <f t="shared" si="127"/>
        <v>0</v>
      </c>
      <c r="L230" s="17">
        <f t="shared" si="128"/>
        <v>0</v>
      </c>
      <c r="M230" s="17">
        <f t="shared" si="129"/>
        <v>0</v>
      </c>
      <c r="N230" s="17">
        <f t="shared" si="130"/>
        <v>0</v>
      </c>
      <c r="O230" s="17">
        <f t="shared" si="131"/>
        <v>0</v>
      </c>
      <c r="P230" s="17">
        <v>0</v>
      </c>
      <c r="Q230" s="17">
        <f t="shared" si="132"/>
        <v>0</v>
      </c>
      <c r="R230" s="17">
        <f t="shared" si="133"/>
        <v>0</v>
      </c>
      <c r="S230" s="17">
        <f t="shared" si="134"/>
        <v>0</v>
      </c>
      <c r="T230" s="17">
        <f t="shared" si="135"/>
        <v>0</v>
      </c>
      <c r="U230" s="17">
        <f t="shared" si="136"/>
        <v>0</v>
      </c>
      <c r="V230" s="17">
        <f t="shared" si="137"/>
        <v>0</v>
      </c>
      <c r="W230" s="17">
        <f t="shared" si="138"/>
        <v>0</v>
      </c>
      <c r="X230" s="17">
        <f t="shared" si="139"/>
        <v>0</v>
      </c>
      <c r="Y230" s="17">
        <f t="shared" si="140"/>
        <v>0</v>
      </c>
      <c r="Z230" s="17">
        <f t="shared" si="141"/>
        <v>0</v>
      </c>
      <c r="AA230" s="17">
        <f t="shared" si="142"/>
        <v>0</v>
      </c>
      <c r="AB230" s="17">
        <f t="shared" si="143"/>
        <v>0</v>
      </c>
      <c r="AC230" s="17">
        <v>0</v>
      </c>
      <c r="AD230" s="17">
        <f t="shared" si="144"/>
        <v>0</v>
      </c>
      <c r="AE230" s="17">
        <f t="shared" si="145"/>
        <v>0</v>
      </c>
      <c r="AF230" s="17">
        <f t="shared" si="146"/>
        <v>0</v>
      </c>
      <c r="AG230" s="17">
        <f t="shared" si="147"/>
        <v>0</v>
      </c>
      <c r="AH230" s="17">
        <f t="shared" si="148"/>
        <v>0</v>
      </c>
      <c r="AI230" s="17">
        <f t="shared" si="149"/>
        <v>0</v>
      </c>
      <c r="AJ230" s="17">
        <f t="shared" si="150"/>
        <v>0</v>
      </c>
      <c r="AK230" s="17">
        <f t="shared" si="151"/>
        <v>0</v>
      </c>
      <c r="AL230" s="17">
        <f t="shared" si="152"/>
        <v>0</v>
      </c>
      <c r="AM230" s="17">
        <f t="shared" si="153"/>
        <v>0</v>
      </c>
      <c r="AN230" s="17">
        <f t="shared" si="154"/>
        <v>0</v>
      </c>
      <c r="AO230" s="17">
        <f t="shared" si="155"/>
        <v>0</v>
      </c>
      <c r="AP230" s="17">
        <f t="shared" si="156"/>
        <v>0</v>
      </c>
      <c r="AQ230" s="18">
        <v>445.9078297437112</v>
      </c>
      <c r="AR230" s="18">
        <v>533.26389417225994</v>
      </c>
      <c r="AS230" s="18">
        <v>471.94245424273822</v>
      </c>
      <c r="AT230" s="18">
        <v>357.47824934275246</v>
      </c>
      <c r="AU230" s="18">
        <v>518.42859052683809</v>
      </c>
      <c r="AV230" s="18">
        <v>424.85165476272317</v>
      </c>
      <c r="AW230" s="18">
        <v>422.96939438631352</v>
      </c>
      <c r="AX230" s="18">
        <v>287.23552731389981</v>
      </c>
      <c r="AY230" s="18">
        <v>425.76926172778735</v>
      </c>
      <c r="AZ230" s="18">
        <v>370.79029456517588</v>
      </c>
      <c r="BA230" s="18">
        <v>378.59094596053586</v>
      </c>
      <c r="BB230" s="18">
        <v>369.77779682837809</v>
      </c>
      <c r="BC230" s="23">
        <v>8.9181565948742242E-2</v>
      </c>
      <c r="BD230" s="23">
        <v>0.10665277883445198</v>
      </c>
      <c r="BE230" s="23">
        <v>9.438849084854764E-2</v>
      </c>
      <c r="BF230" s="23">
        <v>7.149564986855049E-2</v>
      </c>
      <c r="BG230" s="23">
        <v>0.10368571810536763</v>
      </c>
      <c r="BH230" s="23">
        <v>8.4970330952544637E-2</v>
      </c>
      <c r="BI230" s="23">
        <v>8.4593878877262704E-2</v>
      </c>
      <c r="BJ230" s="23">
        <v>5.7447105462779965E-2</v>
      </c>
      <c r="BK230" s="23">
        <v>8.5153852345557474E-2</v>
      </c>
      <c r="BL230" s="23">
        <v>7.4158058913035174E-2</v>
      </c>
      <c r="BM230" s="23">
        <v>7.5718189192107169E-2</v>
      </c>
      <c r="BN230" s="23">
        <v>7.3955559365675619E-2</v>
      </c>
    </row>
    <row r="231" spans="1:66" x14ac:dyDescent="0.25">
      <c r="A231" s="16">
        <v>5271</v>
      </c>
      <c r="B231" s="16" t="s">
        <v>427</v>
      </c>
      <c r="C231" s="17">
        <v>0</v>
      </c>
      <c r="D231" s="17">
        <f t="shared" si="120"/>
        <v>0</v>
      </c>
      <c r="E231" s="17">
        <f t="shared" si="121"/>
        <v>0</v>
      </c>
      <c r="F231" s="17">
        <f t="shared" si="122"/>
        <v>0</v>
      </c>
      <c r="G231" s="17">
        <f t="shared" si="123"/>
        <v>0</v>
      </c>
      <c r="H231" s="17">
        <f t="shared" si="124"/>
        <v>0</v>
      </c>
      <c r="I231" s="17">
        <f t="shared" si="125"/>
        <v>0</v>
      </c>
      <c r="J231" s="17">
        <f t="shared" si="126"/>
        <v>0</v>
      </c>
      <c r="K231" s="17">
        <f t="shared" si="127"/>
        <v>0</v>
      </c>
      <c r="L231" s="17">
        <f t="shared" si="128"/>
        <v>0</v>
      </c>
      <c r="M231" s="17">
        <f t="shared" si="129"/>
        <v>0</v>
      </c>
      <c r="N231" s="17">
        <f t="shared" si="130"/>
        <v>0</v>
      </c>
      <c r="O231" s="17">
        <f t="shared" si="131"/>
        <v>0</v>
      </c>
      <c r="P231" s="17">
        <v>0</v>
      </c>
      <c r="Q231" s="17">
        <f t="shared" si="132"/>
        <v>0</v>
      </c>
      <c r="R231" s="17">
        <f t="shared" si="133"/>
        <v>0</v>
      </c>
      <c r="S231" s="17">
        <f t="shared" si="134"/>
        <v>0</v>
      </c>
      <c r="T231" s="17">
        <f t="shared" si="135"/>
        <v>0</v>
      </c>
      <c r="U231" s="17">
        <f t="shared" si="136"/>
        <v>0</v>
      </c>
      <c r="V231" s="17">
        <f t="shared" si="137"/>
        <v>0</v>
      </c>
      <c r="W231" s="17">
        <f t="shared" si="138"/>
        <v>0</v>
      </c>
      <c r="X231" s="17">
        <f t="shared" si="139"/>
        <v>0</v>
      </c>
      <c r="Y231" s="17">
        <f t="shared" si="140"/>
        <v>0</v>
      </c>
      <c r="Z231" s="17">
        <f t="shared" si="141"/>
        <v>0</v>
      </c>
      <c r="AA231" s="17">
        <f t="shared" si="142"/>
        <v>0</v>
      </c>
      <c r="AB231" s="17">
        <f t="shared" si="143"/>
        <v>0</v>
      </c>
      <c r="AC231" s="17">
        <v>0</v>
      </c>
      <c r="AD231" s="17">
        <f t="shared" si="144"/>
        <v>0</v>
      </c>
      <c r="AE231" s="17">
        <f t="shared" si="145"/>
        <v>0</v>
      </c>
      <c r="AF231" s="17">
        <f t="shared" si="146"/>
        <v>0</v>
      </c>
      <c r="AG231" s="17">
        <f t="shared" si="147"/>
        <v>0</v>
      </c>
      <c r="AH231" s="17">
        <f t="shared" si="148"/>
        <v>0</v>
      </c>
      <c r="AI231" s="17">
        <f t="shared" si="149"/>
        <v>0</v>
      </c>
      <c r="AJ231" s="17">
        <f t="shared" si="150"/>
        <v>0</v>
      </c>
      <c r="AK231" s="17">
        <f t="shared" si="151"/>
        <v>0</v>
      </c>
      <c r="AL231" s="17">
        <f t="shared" si="152"/>
        <v>0</v>
      </c>
      <c r="AM231" s="17">
        <f t="shared" si="153"/>
        <v>0</v>
      </c>
      <c r="AN231" s="17">
        <f t="shared" si="154"/>
        <v>0</v>
      </c>
      <c r="AO231" s="17">
        <f t="shared" si="155"/>
        <v>0</v>
      </c>
      <c r="AP231" s="17">
        <f t="shared" si="156"/>
        <v>0</v>
      </c>
      <c r="AQ231" s="18">
        <v>445.9078297437112</v>
      </c>
      <c r="AR231" s="18">
        <v>533.26389417225994</v>
      </c>
      <c r="AS231" s="18">
        <v>471.94245424273822</v>
      </c>
      <c r="AT231" s="18">
        <v>357.47824934275246</v>
      </c>
      <c r="AU231" s="18">
        <v>518.42859052683809</v>
      </c>
      <c r="AV231" s="18">
        <v>424.85165476272317</v>
      </c>
      <c r="AW231" s="18">
        <v>422.96939438631352</v>
      </c>
      <c r="AX231" s="18">
        <v>287.23552731389981</v>
      </c>
      <c r="AY231" s="18">
        <v>425.76926172778735</v>
      </c>
      <c r="AZ231" s="18">
        <v>370.79029456517588</v>
      </c>
      <c r="BA231" s="18">
        <v>378.59094596053586</v>
      </c>
      <c r="BB231" s="18">
        <v>369.77779682837809</v>
      </c>
      <c r="BC231" s="23">
        <v>8.9181565948742242E-2</v>
      </c>
      <c r="BD231" s="23">
        <v>0.10665277883445198</v>
      </c>
      <c r="BE231" s="23">
        <v>9.438849084854764E-2</v>
      </c>
      <c r="BF231" s="23">
        <v>7.149564986855049E-2</v>
      </c>
      <c r="BG231" s="23">
        <v>0.10368571810536763</v>
      </c>
      <c r="BH231" s="23">
        <v>8.4970330952544637E-2</v>
      </c>
      <c r="BI231" s="23">
        <v>8.4593878877262704E-2</v>
      </c>
      <c r="BJ231" s="23">
        <v>5.7447105462779965E-2</v>
      </c>
      <c r="BK231" s="23">
        <v>8.5153852345557474E-2</v>
      </c>
      <c r="BL231" s="23">
        <v>7.4158058913035174E-2</v>
      </c>
      <c r="BM231" s="23">
        <v>7.5718189192107169E-2</v>
      </c>
      <c r="BN231" s="23">
        <v>7.3955559365675619E-2</v>
      </c>
    </row>
    <row r="232" spans="1:66" x14ac:dyDescent="0.25">
      <c r="A232" s="16">
        <v>5844</v>
      </c>
      <c r="B232" s="16" t="s">
        <v>428</v>
      </c>
      <c r="C232" s="17">
        <v>3000</v>
      </c>
      <c r="D232" s="17">
        <f t="shared" si="120"/>
        <v>267.54469784622671</v>
      </c>
      <c r="E232" s="17">
        <f t="shared" si="121"/>
        <v>319.95833650335595</v>
      </c>
      <c r="F232" s="17">
        <f t="shared" si="122"/>
        <v>283.1654725456429</v>
      </c>
      <c r="G232" s="17">
        <f t="shared" si="123"/>
        <v>214.48694960565146</v>
      </c>
      <c r="H232" s="17">
        <f t="shared" si="124"/>
        <v>311.05715431610287</v>
      </c>
      <c r="I232" s="17">
        <f t="shared" si="125"/>
        <v>254.91099285763391</v>
      </c>
      <c r="J232" s="17">
        <f t="shared" si="126"/>
        <v>253.7816366317881</v>
      </c>
      <c r="K232" s="17">
        <f t="shared" si="127"/>
        <v>172.34131638833989</v>
      </c>
      <c r="L232" s="17">
        <f t="shared" si="128"/>
        <v>255.46155703667242</v>
      </c>
      <c r="M232" s="17">
        <f t="shared" si="129"/>
        <v>222.47417673910553</v>
      </c>
      <c r="N232" s="17">
        <f t="shared" si="130"/>
        <v>227.15456757632151</v>
      </c>
      <c r="O232" s="17">
        <f t="shared" si="131"/>
        <v>221.86667809702686</v>
      </c>
      <c r="P232" s="17">
        <v>0</v>
      </c>
      <c r="Q232" s="17">
        <f t="shared" si="132"/>
        <v>0</v>
      </c>
      <c r="R232" s="17">
        <f t="shared" si="133"/>
        <v>0</v>
      </c>
      <c r="S232" s="17">
        <f t="shared" si="134"/>
        <v>0</v>
      </c>
      <c r="T232" s="17">
        <f t="shared" si="135"/>
        <v>0</v>
      </c>
      <c r="U232" s="17">
        <f t="shared" si="136"/>
        <v>0</v>
      </c>
      <c r="V232" s="17">
        <f t="shared" si="137"/>
        <v>0</v>
      </c>
      <c r="W232" s="17">
        <f t="shared" si="138"/>
        <v>0</v>
      </c>
      <c r="X232" s="17">
        <f t="shared" si="139"/>
        <v>0</v>
      </c>
      <c r="Y232" s="17">
        <f t="shared" si="140"/>
        <v>0</v>
      </c>
      <c r="Z232" s="17">
        <f t="shared" si="141"/>
        <v>0</v>
      </c>
      <c r="AA232" s="17">
        <f t="shared" si="142"/>
        <v>0</v>
      </c>
      <c r="AB232" s="17">
        <f t="shared" si="143"/>
        <v>0</v>
      </c>
      <c r="AC232" s="17">
        <v>0</v>
      </c>
      <c r="AD232" s="17">
        <f t="shared" si="144"/>
        <v>0</v>
      </c>
      <c r="AE232" s="17">
        <f t="shared" si="145"/>
        <v>0</v>
      </c>
      <c r="AF232" s="17">
        <f t="shared" si="146"/>
        <v>0</v>
      </c>
      <c r="AG232" s="17">
        <f t="shared" si="147"/>
        <v>0</v>
      </c>
      <c r="AH232" s="17">
        <f t="shared" si="148"/>
        <v>0</v>
      </c>
      <c r="AI232" s="17">
        <f t="shared" si="149"/>
        <v>0</v>
      </c>
      <c r="AJ232" s="17">
        <f t="shared" si="150"/>
        <v>0</v>
      </c>
      <c r="AK232" s="17">
        <f t="shared" si="151"/>
        <v>0</v>
      </c>
      <c r="AL232" s="17">
        <f t="shared" si="152"/>
        <v>0</v>
      </c>
      <c r="AM232" s="17">
        <f t="shared" si="153"/>
        <v>0</v>
      </c>
      <c r="AN232" s="17">
        <f t="shared" si="154"/>
        <v>0</v>
      </c>
      <c r="AO232" s="17">
        <f t="shared" si="155"/>
        <v>0</v>
      </c>
      <c r="AP232" s="17">
        <f t="shared" si="156"/>
        <v>3000</v>
      </c>
      <c r="AQ232" s="18">
        <v>450.61661642580481</v>
      </c>
      <c r="AR232" s="18">
        <v>538.89516089471897</v>
      </c>
      <c r="AS232" s="18">
        <v>476.92616655954151</v>
      </c>
      <c r="AT232" s="18">
        <v>361.2532196558119</v>
      </c>
      <c r="AU232" s="18">
        <v>523.90319644280157</v>
      </c>
      <c r="AV232" s="18">
        <v>429.33808823701753</v>
      </c>
      <c r="AW232" s="18">
        <v>427.43595119103298</v>
      </c>
      <c r="AX232" s="18">
        <v>290.26873448233459</v>
      </c>
      <c r="AY232" s="18">
        <v>430.2653851316328</v>
      </c>
      <c r="AZ232" s="18">
        <v>374.70584007578412</v>
      </c>
      <c r="BA232" s="18">
        <v>382.58886634987914</v>
      </c>
      <c r="BB232" s="18">
        <v>373.68265036288579</v>
      </c>
      <c r="BC232" s="23">
        <v>8.9181565948742242E-2</v>
      </c>
      <c r="BD232" s="23">
        <v>0.10665277883445198</v>
      </c>
      <c r="BE232" s="23">
        <v>9.438849084854764E-2</v>
      </c>
      <c r="BF232" s="23">
        <v>7.149564986855049E-2</v>
      </c>
      <c r="BG232" s="23">
        <v>0.10368571810536763</v>
      </c>
      <c r="BH232" s="23">
        <v>8.4970330952544637E-2</v>
      </c>
      <c r="BI232" s="23">
        <v>8.4593878877262704E-2</v>
      </c>
      <c r="BJ232" s="23">
        <v>5.7447105462779965E-2</v>
      </c>
      <c r="BK232" s="23">
        <v>8.5153852345557474E-2</v>
      </c>
      <c r="BL232" s="23">
        <v>7.4158058913035174E-2</v>
      </c>
      <c r="BM232" s="23">
        <v>7.5718189192107169E-2</v>
      </c>
      <c r="BN232" s="23">
        <v>7.3955559365675619E-2</v>
      </c>
    </row>
    <row r="233" spans="1:66" x14ac:dyDescent="0.25">
      <c r="A233" s="16">
        <v>6572</v>
      </c>
      <c r="B233" s="16" t="s">
        <v>429</v>
      </c>
      <c r="C233" s="17">
        <v>5000</v>
      </c>
      <c r="D233" s="17">
        <f t="shared" si="120"/>
        <v>445.9078297437112</v>
      </c>
      <c r="E233" s="17">
        <f t="shared" si="121"/>
        <v>533.26389417225994</v>
      </c>
      <c r="F233" s="17">
        <f t="shared" si="122"/>
        <v>471.94245424273822</v>
      </c>
      <c r="G233" s="17">
        <f t="shared" si="123"/>
        <v>357.47824934275246</v>
      </c>
      <c r="H233" s="17">
        <f t="shared" si="124"/>
        <v>518.42859052683809</v>
      </c>
      <c r="I233" s="17">
        <f t="shared" si="125"/>
        <v>424.85165476272317</v>
      </c>
      <c r="J233" s="17">
        <f t="shared" si="126"/>
        <v>422.96939438631352</v>
      </c>
      <c r="K233" s="17">
        <f t="shared" si="127"/>
        <v>287.23552731389981</v>
      </c>
      <c r="L233" s="17">
        <f t="shared" si="128"/>
        <v>425.76926172778735</v>
      </c>
      <c r="M233" s="17">
        <f t="shared" si="129"/>
        <v>370.79029456517588</v>
      </c>
      <c r="N233" s="17">
        <f t="shared" si="130"/>
        <v>378.59094596053586</v>
      </c>
      <c r="O233" s="17">
        <f t="shared" si="131"/>
        <v>369.77779682837809</v>
      </c>
      <c r="P233" s="17">
        <v>0</v>
      </c>
      <c r="Q233" s="17">
        <f t="shared" si="132"/>
        <v>0</v>
      </c>
      <c r="R233" s="17">
        <f t="shared" si="133"/>
        <v>0</v>
      </c>
      <c r="S233" s="17">
        <f t="shared" si="134"/>
        <v>0</v>
      </c>
      <c r="T233" s="17">
        <f t="shared" si="135"/>
        <v>0</v>
      </c>
      <c r="U233" s="17">
        <f t="shared" si="136"/>
        <v>0</v>
      </c>
      <c r="V233" s="17">
        <f t="shared" si="137"/>
        <v>0</v>
      </c>
      <c r="W233" s="17">
        <f t="shared" si="138"/>
        <v>0</v>
      </c>
      <c r="X233" s="17">
        <f t="shared" si="139"/>
        <v>0</v>
      </c>
      <c r="Y233" s="17">
        <f t="shared" si="140"/>
        <v>0</v>
      </c>
      <c r="Z233" s="17">
        <f t="shared" si="141"/>
        <v>0</v>
      </c>
      <c r="AA233" s="17">
        <f t="shared" si="142"/>
        <v>0</v>
      </c>
      <c r="AB233" s="17">
        <f t="shared" si="143"/>
        <v>0</v>
      </c>
      <c r="AC233" s="17">
        <v>0</v>
      </c>
      <c r="AD233" s="17">
        <f t="shared" si="144"/>
        <v>0</v>
      </c>
      <c r="AE233" s="17">
        <f t="shared" si="145"/>
        <v>0</v>
      </c>
      <c r="AF233" s="17">
        <f t="shared" si="146"/>
        <v>0</v>
      </c>
      <c r="AG233" s="17">
        <f t="shared" si="147"/>
        <v>0</v>
      </c>
      <c r="AH233" s="17">
        <f t="shared" si="148"/>
        <v>0</v>
      </c>
      <c r="AI233" s="17">
        <f t="shared" si="149"/>
        <v>0</v>
      </c>
      <c r="AJ233" s="17">
        <f t="shared" si="150"/>
        <v>0</v>
      </c>
      <c r="AK233" s="17">
        <f t="shared" si="151"/>
        <v>0</v>
      </c>
      <c r="AL233" s="17">
        <f t="shared" si="152"/>
        <v>0</v>
      </c>
      <c r="AM233" s="17">
        <f t="shared" si="153"/>
        <v>0</v>
      </c>
      <c r="AN233" s="17">
        <f t="shared" si="154"/>
        <v>0</v>
      </c>
      <c r="AO233" s="17">
        <f t="shared" si="155"/>
        <v>0</v>
      </c>
      <c r="AP233" s="17">
        <f t="shared" si="156"/>
        <v>5000</v>
      </c>
      <c r="AQ233" s="18">
        <v>445.9078297437112</v>
      </c>
      <c r="AR233" s="18">
        <v>533.26389417225994</v>
      </c>
      <c r="AS233" s="18">
        <v>471.94245424273822</v>
      </c>
      <c r="AT233" s="18">
        <v>357.47824934275246</v>
      </c>
      <c r="AU233" s="18">
        <v>518.42859052683809</v>
      </c>
      <c r="AV233" s="18">
        <v>424.85165476272317</v>
      </c>
      <c r="AW233" s="18">
        <v>422.96939438631352</v>
      </c>
      <c r="AX233" s="18">
        <v>287.23552731389981</v>
      </c>
      <c r="AY233" s="18">
        <v>425.76926172778735</v>
      </c>
      <c r="AZ233" s="18">
        <v>370.79029456517588</v>
      </c>
      <c r="BA233" s="18">
        <v>378.59094596053586</v>
      </c>
      <c r="BB233" s="18">
        <v>369.77779682837809</v>
      </c>
      <c r="BC233" s="23">
        <v>8.9181565948742242E-2</v>
      </c>
      <c r="BD233" s="23">
        <v>0.10665277883445198</v>
      </c>
      <c r="BE233" s="23">
        <v>9.438849084854764E-2</v>
      </c>
      <c r="BF233" s="23">
        <v>7.149564986855049E-2</v>
      </c>
      <c r="BG233" s="23">
        <v>0.10368571810536763</v>
      </c>
      <c r="BH233" s="23">
        <v>8.4970330952544637E-2</v>
      </c>
      <c r="BI233" s="23">
        <v>8.4593878877262704E-2</v>
      </c>
      <c r="BJ233" s="23">
        <v>5.7447105462779965E-2</v>
      </c>
      <c r="BK233" s="23">
        <v>8.5153852345557474E-2</v>
      </c>
      <c r="BL233" s="23">
        <v>7.4158058913035174E-2</v>
      </c>
      <c r="BM233" s="23">
        <v>7.5718189192107169E-2</v>
      </c>
      <c r="BN233" s="23">
        <v>7.3955559365675619E-2</v>
      </c>
    </row>
    <row r="234" spans="1:66" x14ac:dyDescent="0.25">
      <c r="A234" s="16">
        <v>6618</v>
      </c>
      <c r="B234" s="16" t="s">
        <v>430</v>
      </c>
      <c r="C234" s="17">
        <v>0</v>
      </c>
      <c r="D234" s="17">
        <f t="shared" si="120"/>
        <v>0</v>
      </c>
      <c r="E234" s="17">
        <f t="shared" si="121"/>
        <v>0</v>
      </c>
      <c r="F234" s="17">
        <f t="shared" si="122"/>
        <v>0</v>
      </c>
      <c r="G234" s="17">
        <f t="shared" si="123"/>
        <v>0</v>
      </c>
      <c r="H234" s="17">
        <f t="shared" si="124"/>
        <v>0</v>
      </c>
      <c r="I234" s="17">
        <f t="shared" si="125"/>
        <v>0</v>
      </c>
      <c r="J234" s="17">
        <f t="shared" si="126"/>
        <v>0</v>
      </c>
      <c r="K234" s="17">
        <f t="shared" si="127"/>
        <v>0</v>
      </c>
      <c r="L234" s="17">
        <f t="shared" si="128"/>
        <v>0</v>
      </c>
      <c r="M234" s="17">
        <f t="shared" si="129"/>
        <v>0</v>
      </c>
      <c r="N234" s="17">
        <f t="shared" si="130"/>
        <v>0</v>
      </c>
      <c r="O234" s="17">
        <f t="shared" si="131"/>
        <v>0</v>
      </c>
      <c r="P234" s="17">
        <v>0</v>
      </c>
      <c r="Q234" s="17">
        <f t="shared" si="132"/>
        <v>0</v>
      </c>
      <c r="R234" s="17">
        <f t="shared" si="133"/>
        <v>0</v>
      </c>
      <c r="S234" s="17">
        <f t="shared" si="134"/>
        <v>0</v>
      </c>
      <c r="T234" s="17">
        <f t="shared" si="135"/>
        <v>0</v>
      </c>
      <c r="U234" s="17">
        <f t="shared" si="136"/>
        <v>0</v>
      </c>
      <c r="V234" s="17">
        <f t="shared" si="137"/>
        <v>0</v>
      </c>
      <c r="W234" s="17">
        <f t="shared" si="138"/>
        <v>0</v>
      </c>
      <c r="X234" s="17">
        <f t="shared" si="139"/>
        <v>0</v>
      </c>
      <c r="Y234" s="17">
        <f t="shared" si="140"/>
        <v>0</v>
      </c>
      <c r="Z234" s="17">
        <f t="shared" si="141"/>
        <v>0</v>
      </c>
      <c r="AA234" s="17">
        <f t="shared" si="142"/>
        <v>0</v>
      </c>
      <c r="AB234" s="17">
        <f t="shared" si="143"/>
        <v>0</v>
      </c>
      <c r="AC234" s="17">
        <v>2500</v>
      </c>
      <c r="AD234" s="17">
        <f t="shared" si="144"/>
        <v>222.9539148718556</v>
      </c>
      <c r="AE234" s="17">
        <f t="shared" si="145"/>
        <v>266.63194708612997</v>
      </c>
      <c r="AF234" s="17">
        <f t="shared" si="146"/>
        <v>235.97122712136911</v>
      </c>
      <c r="AG234" s="17">
        <f t="shared" si="147"/>
        <v>178.73912467137623</v>
      </c>
      <c r="AH234" s="17">
        <f t="shared" si="148"/>
        <v>259.21429526341905</v>
      </c>
      <c r="AI234" s="17">
        <f t="shared" si="149"/>
        <v>212.42582738136159</v>
      </c>
      <c r="AJ234" s="17">
        <f t="shared" si="150"/>
        <v>211.48469719315676</v>
      </c>
      <c r="AK234" s="17">
        <f t="shared" si="151"/>
        <v>143.6177636569499</v>
      </c>
      <c r="AL234" s="17">
        <f t="shared" si="152"/>
        <v>212.88463086389368</v>
      </c>
      <c r="AM234" s="17">
        <f t="shared" si="153"/>
        <v>185.39514728258794</v>
      </c>
      <c r="AN234" s="17">
        <f t="shared" si="154"/>
        <v>189.29547298026793</v>
      </c>
      <c r="AO234" s="17">
        <f t="shared" si="155"/>
        <v>184.88889841418904</v>
      </c>
      <c r="AP234" s="17">
        <f t="shared" si="156"/>
        <v>2500</v>
      </c>
      <c r="AQ234" s="18">
        <v>445.9078297437112</v>
      </c>
      <c r="AR234" s="18">
        <v>533.26389417225994</v>
      </c>
      <c r="AS234" s="18">
        <v>471.94245424273822</v>
      </c>
      <c r="AT234" s="18">
        <v>357.47824934275246</v>
      </c>
      <c r="AU234" s="18">
        <v>518.42859052683809</v>
      </c>
      <c r="AV234" s="18">
        <v>424.85165476272317</v>
      </c>
      <c r="AW234" s="18">
        <v>422.96939438631352</v>
      </c>
      <c r="AX234" s="18">
        <v>287.23552731389981</v>
      </c>
      <c r="AY234" s="18">
        <v>425.76926172778735</v>
      </c>
      <c r="AZ234" s="18">
        <v>370.79029456517588</v>
      </c>
      <c r="BA234" s="18">
        <v>378.59094596053586</v>
      </c>
      <c r="BB234" s="18">
        <v>369.77779682837809</v>
      </c>
      <c r="BC234" s="23">
        <v>8.9181565948742242E-2</v>
      </c>
      <c r="BD234" s="23">
        <v>0.10665277883445198</v>
      </c>
      <c r="BE234" s="23">
        <v>9.438849084854764E-2</v>
      </c>
      <c r="BF234" s="23">
        <v>7.149564986855049E-2</v>
      </c>
      <c r="BG234" s="23">
        <v>0.10368571810536763</v>
      </c>
      <c r="BH234" s="23">
        <v>8.4970330952544637E-2</v>
      </c>
      <c r="BI234" s="23">
        <v>8.4593878877262704E-2</v>
      </c>
      <c r="BJ234" s="23">
        <v>5.7447105462779965E-2</v>
      </c>
      <c r="BK234" s="23">
        <v>8.5153852345557474E-2</v>
      </c>
      <c r="BL234" s="23">
        <v>7.4158058913035174E-2</v>
      </c>
      <c r="BM234" s="23">
        <v>7.5718189192107169E-2</v>
      </c>
      <c r="BN234" s="23">
        <v>7.3955559365675619E-2</v>
      </c>
    </row>
    <row r="235" spans="1:66" x14ac:dyDescent="0.25">
      <c r="A235" s="16">
        <v>6694</v>
      </c>
      <c r="B235" s="16" t="s">
        <v>431</v>
      </c>
      <c r="C235" s="17">
        <v>10000</v>
      </c>
      <c r="D235" s="17">
        <f t="shared" si="120"/>
        <v>891.81565948742241</v>
      </c>
      <c r="E235" s="17">
        <f t="shared" si="121"/>
        <v>1066.5277883445199</v>
      </c>
      <c r="F235" s="17">
        <f t="shared" si="122"/>
        <v>943.88490848547644</v>
      </c>
      <c r="G235" s="17">
        <f t="shared" si="123"/>
        <v>714.95649868550493</v>
      </c>
      <c r="H235" s="17">
        <f t="shared" si="124"/>
        <v>1036.8571810536762</v>
      </c>
      <c r="I235" s="17">
        <f t="shared" si="125"/>
        <v>849.70330952544634</v>
      </c>
      <c r="J235" s="17">
        <f t="shared" si="126"/>
        <v>845.93878877262705</v>
      </c>
      <c r="K235" s="17">
        <f t="shared" si="127"/>
        <v>574.47105462779962</v>
      </c>
      <c r="L235" s="17">
        <f t="shared" si="128"/>
        <v>851.5385234555747</v>
      </c>
      <c r="M235" s="17">
        <f t="shared" si="129"/>
        <v>741.58058913035177</v>
      </c>
      <c r="N235" s="17">
        <f t="shared" si="130"/>
        <v>757.18189192107172</v>
      </c>
      <c r="O235" s="17">
        <f t="shared" si="131"/>
        <v>739.55559365675617</v>
      </c>
      <c r="P235" s="17">
        <v>0</v>
      </c>
      <c r="Q235" s="17">
        <f t="shared" si="132"/>
        <v>0</v>
      </c>
      <c r="R235" s="17">
        <f t="shared" si="133"/>
        <v>0</v>
      </c>
      <c r="S235" s="17">
        <f t="shared" si="134"/>
        <v>0</v>
      </c>
      <c r="T235" s="17">
        <f t="shared" si="135"/>
        <v>0</v>
      </c>
      <c r="U235" s="17">
        <f t="shared" si="136"/>
        <v>0</v>
      </c>
      <c r="V235" s="17">
        <f t="shared" si="137"/>
        <v>0</v>
      </c>
      <c r="W235" s="17">
        <f t="shared" si="138"/>
        <v>0</v>
      </c>
      <c r="X235" s="17">
        <f t="shared" si="139"/>
        <v>0</v>
      </c>
      <c r="Y235" s="17">
        <f t="shared" si="140"/>
        <v>0</v>
      </c>
      <c r="Z235" s="17">
        <f t="shared" si="141"/>
        <v>0</v>
      </c>
      <c r="AA235" s="17">
        <f t="shared" si="142"/>
        <v>0</v>
      </c>
      <c r="AB235" s="17">
        <f t="shared" si="143"/>
        <v>0</v>
      </c>
      <c r="AC235" s="17">
        <v>0</v>
      </c>
      <c r="AD235" s="17">
        <f t="shared" si="144"/>
        <v>0</v>
      </c>
      <c r="AE235" s="17">
        <f t="shared" si="145"/>
        <v>0</v>
      </c>
      <c r="AF235" s="17">
        <f t="shared" si="146"/>
        <v>0</v>
      </c>
      <c r="AG235" s="17">
        <f t="shared" si="147"/>
        <v>0</v>
      </c>
      <c r="AH235" s="17">
        <f t="shared" si="148"/>
        <v>0</v>
      </c>
      <c r="AI235" s="17">
        <f t="shared" si="149"/>
        <v>0</v>
      </c>
      <c r="AJ235" s="17">
        <f t="shared" si="150"/>
        <v>0</v>
      </c>
      <c r="AK235" s="17">
        <f t="shared" si="151"/>
        <v>0</v>
      </c>
      <c r="AL235" s="17">
        <f t="shared" si="152"/>
        <v>0</v>
      </c>
      <c r="AM235" s="17">
        <f t="shared" si="153"/>
        <v>0</v>
      </c>
      <c r="AN235" s="17">
        <f t="shared" si="154"/>
        <v>0</v>
      </c>
      <c r="AO235" s="17">
        <f t="shared" si="155"/>
        <v>0</v>
      </c>
      <c r="AP235" s="17">
        <f t="shared" si="156"/>
        <v>10000</v>
      </c>
      <c r="AQ235" s="18">
        <v>445.9078297437112</v>
      </c>
      <c r="AR235" s="18">
        <v>533.26389417225994</v>
      </c>
      <c r="AS235" s="18">
        <v>471.94245424273822</v>
      </c>
      <c r="AT235" s="18">
        <v>357.47824934275246</v>
      </c>
      <c r="AU235" s="18">
        <v>518.42859052683809</v>
      </c>
      <c r="AV235" s="18">
        <v>424.85165476272317</v>
      </c>
      <c r="AW235" s="18">
        <v>422.96939438631352</v>
      </c>
      <c r="AX235" s="18">
        <v>287.23552731389981</v>
      </c>
      <c r="AY235" s="18">
        <v>425.76926172778735</v>
      </c>
      <c r="AZ235" s="18">
        <v>370.79029456517588</v>
      </c>
      <c r="BA235" s="18">
        <v>378.59094596053586</v>
      </c>
      <c r="BB235" s="18">
        <v>369.77779682837809</v>
      </c>
      <c r="BC235" s="23">
        <v>8.9181565948742242E-2</v>
      </c>
      <c r="BD235" s="23">
        <v>0.10665277883445198</v>
      </c>
      <c r="BE235" s="23">
        <v>9.438849084854764E-2</v>
      </c>
      <c r="BF235" s="23">
        <v>7.149564986855049E-2</v>
      </c>
      <c r="BG235" s="23">
        <v>0.10368571810536763</v>
      </c>
      <c r="BH235" s="23">
        <v>8.4970330952544637E-2</v>
      </c>
      <c r="BI235" s="23">
        <v>8.4593878877262704E-2</v>
      </c>
      <c r="BJ235" s="23">
        <v>5.7447105462779965E-2</v>
      </c>
      <c r="BK235" s="23">
        <v>8.5153852345557474E-2</v>
      </c>
      <c r="BL235" s="23">
        <v>7.4158058913035174E-2</v>
      </c>
      <c r="BM235" s="23">
        <v>7.5718189192107169E-2</v>
      </c>
      <c r="BN235" s="23">
        <v>7.3955559365675619E-2</v>
      </c>
    </row>
    <row r="236" spans="1:66" x14ac:dyDescent="0.25">
      <c r="A236" s="16">
        <v>3750</v>
      </c>
      <c r="B236" s="16" t="s">
        <v>432</v>
      </c>
      <c r="C236" s="17">
        <v>500</v>
      </c>
      <c r="D236" s="17">
        <f t="shared" si="120"/>
        <v>44.590782974371123</v>
      </c>
      <c r="E236" s="17">
        <f t="shared" si="121"/>
        <v>53.32638941722599</v>
      </c>
      <c r="F236" s="17">
        <f t="shared" si="122"/>
        <v>47.194245424273824</v>
      </c>
      <c r="G236" s="17">
        <f t="shared" si="123"/>
        <v>35.747824934275243</v>
      </c>
      <c r="H236" s="17">
        <f t="shared" si="124"/>
        <v>51.842859052683814</v>
      </c>
      <c r="I236" s="17">
        <f t="shared" si="125"/>
        <v>42.485165476272321</v>
      </c>
      <c r="J236" s="17">
        <f t="shared" si="126"/>
        <v>42.296939438631355</v>
      </c>
      <c r="K236" s="17">
        <f t="shared" si="127"/>
        <v>28.723552731389983</v>
      </c>
      <c r="L236" s="17">
        <f t="shared" si="128"/>
        <v>42.576926172778734</v>
      </c>
      <c r="M236" s="17">
        <f t="shared" si="129"/>
        <v>37.079029456517588</v>
      </c>
      <c r="N236" s="17">
        <f t="shared" si="130"/>
        <v>37.859094596053588</v>
      </c>
      <c r="O236" s="17">
        <f t="shared" si="131"/>
        <v>36.977779682837813</v>
      </c>
      <c r="P236" s="17">
        <v>3500</v>
      </c>
      <c r="Q236" s="17">
        <f t="shared" si="132"/>
        <v>312.13548082059782</v>
      </c>
      <c r="R236" s="17">
        <f t="shared" si="133"/>
        <v>373.28472592058193</v>
      </c>
      <c r="S236" s="17">
        <f t="shared" si="134"/>
        <v>330.35971796991674</v>
      </c>
      <c r="T236" s="17">
        <f t="shared" si="135"/>
        <v>250.23477453992672</v>
      </c>
      <c r="U236" s="17">
        <f t="shared" si="136"/>
        <v>362.90001336878669</v>
      </c>
      <c r="V236" s="17">
        <f t="shared" si="137"/>
        <v>297.39615833390621</v>
      </c>
      <c r="W236" s="17">
        <f t="shared" si="138"/>
        <v>296.07857607041944</v>
      </c>
      <c r="X236" s="17">
        <f t="shared" si="139"/>
        <v>201.06486911972988</v>
      </c>
      <c r="Y236" s="17">
        <f t="shared" si="140"/>
        <v>298.03848320945116</v>
      </c>
      <c r="Z236" s="17">
        <f t="shared" si="141"/>
        <v>259.55320619562309</v>
      </c>
      <c r="AA236" s="17">
        <f t="shared" si="142"/>
        <v>265.01366217237506</v>
      </c>
      <c r="AB236" s="17">
        <f t="shared" si="143"/>
        <v>258.84445777986468</v>
      </c>
      <c r="AC236" s="17">
        <v>0</v>
      </c>
      <c r="AD236" s="17">
        <f t="shared" si="144"/>
        <v>0</v>
      </c>
      <c r="AE236" s="17">
        <f t="shared" si="145"/>
        <v>0</v>
      </c>
      <c r="AF236" s="17">
        <f t="shared" si="146"/>
        <v>0</v>
      </c>
      <c r="AG236" s="17">
        <f t="shared" si="147"/>
        <v>0</v>
      </c>
      <c r="AH236" s="17">
        <f t="shared" si="148"/>
        <v>0</v>
      </c>
      <c r="AI236" s="17">
        <f t="shared" si="149"/>
        <v>0</v>
      </c>
      <c r="AJ236" s="17">
        <f t="shared" si="150"/>
        <v>0</v>
      </c>
      <c r="AK236" s="17">
        <f t="shared" si="151"/>
        <v>0</v>
      </c>
      <c r="AL236" s="17">
        <f t="shared" si="152"/>
        <v>0</v>
      </c>
      <c r="AM236" s="17">
        <f t="shared" si="153"/>
        <v>0</v>
      </c>
      <c r="AN236" s="17">
        <f t="shared" si="154"/>
        <v>0</v>
      </c>
      <c r="AO236" s="17">
        <f t="shared" si="155"/>
        <v>0</v>
      </c>
      <c r="AP236" s="17">
        <f t="shared" si="156"/>
        <v>4000</v>
      </c>
      <c r="AQ236" s="18">
        <v>445.9078297437112</v>
      </c>
      <c r="AR236" s="18">
        <v>533.26389417225994</v>
      </c>
      <c r="AS236" s="18">
        <v>471.94245424273822</v>
      </c>
      <c r="AT236" s="18">
        <v>357.47824934275246</v>
      </c>
      <c r="AU236" s="18">
        <v>518.42859052683809</v>
      </c>
      <c r="AV236" s="18">
        <v>424.85165476272317</v>
      </c>
      <c r="AW236" s="18">
        <v>422.96939438631352</v>
      </c>
      <c r="AX236" s="18">
        <v>287.23552731389981</v>
      </c>
      <c r="AY236" s="18">
        <v>425.76926172778735</v>
      </c>
      <c r="AZ236" s="18">
        <v>370.79029456517588</v>
      </c>
      <c r="BA236" s="18">
        <v>378.59094596053586</v>
      </c>
      <c r="BB236" s="18">
        <v>369.77779682837809</v>
      </c>
      <c r="BC236" s="23">
        <v>8.9181565948742242E-2</v>
      </c>
      <c r="BD236" s="23">
        <v>0.10665277883445198</v>
      </c>
      <c r="BE236" s="23">
        <v>9.438849084854764E-2</v>
      </c>
      <c r="BF236" s="23">
        <v>7.149564986855049E-2</v>
      </c>
      <c r="BG236" s="23">
        <v>0.10368571810536763</v>
      </c>
      <c r="BH236" s="23">
        <v>8.4970330952544637E-2</v>
      </c>
      <c r="BI236" s="23">
        <v>8.4593878877262704E-2</v>
      </c>
      <c r="BJ236" s="23">
        <v>5.7447105462779965E-2</v>
      </c>
      <c r="BK236" s="23">
        <v>8.5153852345557474E-2</v>
      </c>
      <c r="BL236" s="23">
        <v>7.4158058913035174E-2</v>
      </c>
      <c r="BM236" s="23">
        <v>7.5718189192107169E-2</v>
      </c>
      <c r="BN236" s="23">
        <v>7.3955559365675619E-2</v>
      </c>
    </row>
    <row r="237" spans="1:66" x14ac:dyDescent="0.25">
      <c r="A237" s="16">
        <v>2183</v>
      </c>
      <c r="B237" s="16" t="s">
        <v>433</v>
      </c>
      <c r="C237" s="17">
        <v>2000</v>
      </c>
      <c r="D237" s="17">
        <f t="shared" si="120"/>
        <v>178.36313189748449</v>
      </c>
      <c r="E237" s="17">
        <f t="shared" si="121"/>
        <v>213.30555766890396</v>
      </c>
      <c r="F237" s="17">
        <f t="shared" si="122"/>
        <v>188.77698169709529</v>
      </c>
      <c r="G237" s="17">
        <f t="shared" si="123"/>
        <v>142.99129973710097</v>
      </c>
      <c r="H237" s="17">
        <f t="shared" si="124"/>
        <v>207.37143621073525</v>
      </c>
      <c r="I237" s="17">
        <f t="shared" si="125"/>
        <v>169.94066190508929</v>
      </c>
      <c r="J237" s="17">
        <f t="shared" si="126"/>
        <v>169.18775775452542</v>
      </c>
      <c r="K237" s="17">
        <f t="shared" si="127"/>
        <v>114.89421092555993</v>
      </c>
      <c r="L237" s="17">
        <f t="shared" si="128"/>
        <v>170.30770469111494</v>
      </c>
      <c r="M237" s="17">
        <f t="shared" si="129"/>
        <v>148.31611782607035</v>
      </c>
      <c r="N237" s="17">
        <f t="shared" si="130"/>
        <v>151.43637838421435</v>
      </c>
      <c r="O237" s="17">
        <f t="shared" si="131"/>
        <v>147.91111873135125</v>
      </c>
      <c r="P237" s="17">
        <v>2000</v>
      </c>
      <c r="Q237" s="17">
        <f t="shared" si="132"/>
        <v>178.36313189748449</v>
      </c>
      <c r="R237" s="17">
        <f t="shared" si="133"/>
        <v>213.30555766890396</v>
      </c>
      <c r="S237" s="17">
        <f t="shared" si="134"/>
        <v>188.77698169709529</v>
      </c>
      <c r="T237" s="17">
        <f t="shared" si="135"/>
        <v>142.99129973710097</v>
      </c>
      <c r="U237" s="17">
        <f t="shared" si="136"/>
        <v>207.37143621073525</v>
      </c>
      <c r="V237" s="17">
        <f t="shared" si="137"/>
        <v>169.94066190508929</v>
      </c>
      <c r="W237" s="17">
        <f t="shared" si="138"/>
        <v>169.18775775452542</v>
      </c>
      <c r="X237" s="17">
        <f t="shared" si="139"/>
        <v>114.89421092555993</v>
      </c>
      <c r="Y237" s="17">
        <f t="shared" si="140"/>
        <v>170.30770469111494</v>
      </c>
      <c r="Z237" s="17">
        <f t="shared" si="141"/>
        <v>148.31611782607035</v>
      </c>
      <c r="AA237" s="17">
        <f t="shared" si="142"/>
        <v>151.43637838421435</v>
      </c>
      <c r="AB237" s="17">
        <f t="shared" si="143"/>
        <v>147.91111873135125</v>
      </c>
      <c r="AC237" s="17">
        <v>0</v>
      </c>
      <c r="AD237" s="17">
        <f t="shared" si="144"/>
        <v>0</v>
      </c>
      <c r="AE237" s="17">
        <f t="shared" si="145"/>
        <v>0</v>
      </c>
      <c r="AF237" s="17">
        <f t="shared" si="146"/>
        <v>0</v>
      </c>
      <c r="AG237" s="17">
        <f t="shared" si="147"/>
        <v>0</v>
      </c>
      <c r="AH237" s="17">
        <f t="shared" si="148"/>
        <v>0</v>
      </c>
      <c r="AI237" s="17">
        <f t="shared" si="149"/>
        <v>0</v>
      </c>
      <c r="AJ237" s="17">
        <f t="shared" si="150"/>
        <v>0</v>
      </c>
      <c r="AK237" s="17">
        <f t="shared" si="151"/>
        <v>0</v>
      </c>
      <c r="AL237" s="17">
        <f t="shared" si="152"/>
        <v>0</v>
      </c>
      <c r="AM237" s="17">
        <f t="shared" si="153"/>
        <v>0</v>
      </c>
      <c r="AN237" s="17">
        <f t="shared" si="154"/>
        <v>0</v>
      </c>
      <c r="AO237" s="17">
        <f t="shared" si="155"/>
        <v>0</v>
      </c>
      <c r="AP237" s="17">
        <f t="shared" si="156"/>
        <v>4000</v>
      </c>
      <c r="AQ237" s="18">
        <v>419.65322263623119</v>
      </c>
      <c r="AR237" s="18">
        <v>501.86584934729137</v>
      </c>
      <c r="AS237" s="18">
        <v>444.15495447937997</v>
      </c>
      <c r="AT237" s="18">
        <v>336.43028749970051</v>
      </c>
      <c r="AU237" s="18">
        <v>487.90403354520839</v>
      </c>
      <c r="AV237" s="18">
        <v>399.8368141819488</v>
      </c>
      <c r="AW237" s="18">
        <v>398.0653794142417</v>
      </c>
      <c r="AX237" s="18">
        <v>270.32338670118469</v>
      </c>
      <c r="AY237" s="18">
        <v>400.70039336651695</v>
      </c>
      <c r="AZ237" s="18">
        <v>348.95853281147282</v>
      </c>
      <c r="BA237" s="18">
        <v>356.29988965332541</v>
      </c>
      <c r="BB237" s="18">
        <v>348.00564992891998</v>
      </c>
      <c r="BC237" s="23">
        <v>8.9181565948742242E-2</v>
      </c>
      <c r="BD237" s="23">
        <v>0.10665277883445198</v>
      </c>
      <c r="BE237" s="23">
        <v>9.438849084854764E-2</v>
      </c>
      <c r="BF237" s="23">
        <v>7.149564986855049E-2</v>
      </c>
      <c r="BG237" s="23">
        <v>0.10368571810536763</v>
      </c>
      <c r="BH237" s="23">
        <v>8.4970330952544637E-2</v>
      </c>
      <c r="BI237" s="23">
        <v>8.4593878877262704E-2</v>
      </c>
      <c r="BJ237" s="23">
        <v>5.7447105462779965E-2</v>
      </c>
      <c r="BK237" s="23">
        <v>8.5153852345557474E-2</v>
      </c>
      <c r="BL237" s="23">
        <v>7.4158058913035174E-2</v>
      </c>
      <c r="BM237" s="23">
        <v>7.5718189192107169E-2</v>
      </c>
      <c r="BN237" s="23">
        <v>7.3955559365675619E-2</v>
      </c>
    </row>
    <row r="238" spans="1:66" x14ac:dyDescent="0.25">
      <c r="A238" s="16">
        <v>4577</v>
      </c>
      <c r="B238" s="16" t="s">
        <v>434</v>
      </c>
      <c r="C238" s="17">
        <v>773.96</v>
      </c>
      <c r="D238" s="17">
        <f t="shared" si="120"/>
        <v>69.022964781688543</v>
      </c>
      <c r="E238" s="17">
        <f t="shared" si="121"/>
        <v>82.544984706712455</v>
      </c>
      <c r="F238" s="17">
        <f t="shared" si="122"/>
        <v>73.052916377141941</v>
      </c>
      <c r="G238" s="17">
        <f t="shared" si="123"/>
        <v>55.33477317226334</v>
      </c>
      <c r="H238" s="17">
        <f t="shared" si="124"/>
        <v>80.248598384830331</v>
      </c>
      <c r="I238" s="17">
        <f t="shared" si="125"/>
        <v>65.763637344031451</v>
      </c>
      <c r="J238" s="17">
        <f t="shared" si="126"/>
        <v>65.47227849584624</v>
      </c>
      <c r="K238" s="17">
        <f t="shared" si="127"/>
        <v>44.461761743973184</v>
      </c>
      <c r="L238" s="17">
        <f t="shared" si="128"/>
        <v>65.905675561367659</v>
      </c>
      <c r="M238" s="17">
        <f t="shared" si="129"/>
        <v>57.395371276332703</v>
      </c>
      <c r="N238" s="17">
        <f t="shared" si="130"/>
        <v>58.602849707123269</v>
      </c>
      <c r="O238" s="17">
        <f t="shared" si="131"/>
        <v>57.238644726658308</v>
      </c>
      <c r="P238" s="17">
        <v>0</v>
      </c>
      <c r="Q238" s="17">
        <f t="shared" si="132"/>
        <v>0</v>
      </c>
      <c r="R238" s="17">
        <f t="shared" si="133"/>
        <v>0</v>
      </c>
      <c r="S238" s="17">
        <f t="shared" si="134"/>
        <v>0</v>
      </c>
      <c r="T238" s="17">
        <f t="shared" si="135"/>
        <v>0</v>
      </c>
      <c r="U238" s="17">
        <f t="shared" si="136"/>
        <v>0</v>
      </c>
      <c r="V238" s="17">
        <f t="shared" si="137"/>
        <v>0</v>
      </c>
      <c r="W238" s="17">
        <f t="shared" si="138"/>
        <v>0</v>
      </c>
      <c r="X238" s="17">
        <f t="shared" si="139"/>
        <v>0</v>
      </c>
      <c r="Y238" s="17">
        <f t="shared" si="140"/>
        <v>0</v>
      </c>
      <c r="Z238" s="17">
        <f t="shared" si="141"/>
        <v>0</v>
      </c>
      <c r="AA238" s="17">
        <f t="shared" si="142"/>
        <v>0</v>
      </c>
      <c r="AB238" s="17">
        <f t="shared" si="143"/>
        <v>0</v>
      </c>
      <c r="AC238" s="17">
        <v>0</v>
      </c>
      <c r="AD238" s="17">
        <f t="shared" si="144"/>
        <v>0</v>
      </c>
      <c r="AE238" s="17">
        <f t="shared" si="145"/>
        <v>0</v>
      </c>
      <c r="AF238" s="17">
        <f t="shared" si="146"/>
        <v>0</v>
      </c>
      <c r="AG238" s="17">
        <f t="shared" si="147"/>
        <v>0</v>
      </c>
      <c r="AH238" s="17">
        <f t="shared" si="148"/>
        <v>0</v>
      </c>
      <c r="AI238" s="17">
        <f t="shared" si="149"/>
        <v>0</v>
      </c>
      <c r="AJ238" s="17">
        <f t="shared" si="150"/>
        <v>0</v>
      </c>
      <c r="AK238" s="17">
        <f t="shared" si="151"/>
        <v>0</v>
      </c>
      <c r="AL238" s="17">
        <f t="shared" si="152"/>
        <v>0</v>
      </c>
      <c r="AM238" s="17">
        <f t="shared" si="153"/>
        <v>0</v>
      </c>
      <c r="AN238" s="17">
        <f t="shared" si="154"/>
        <v>0</v>
      </c>
      <c r="AO238" s="17">
        <f t="shared" si="155"/>
        <v>0</v>
      </c>
      <c r="AP238" s="17">
        <f t="shared" si="156"/>
        <v>773.96</v>
      </c>
      <c r="AQ238" s="18">
        <v>401.3170467693401</v>
      </c>
      <c r="AR238" s="18">
        <v>479.9375047550339</v>
      </c>
      <c r="AS238" s="18">
        <v>424.74820881846438</v>
      </c>
      <c r="AT238" s="18">
        <v>321.73042440847718</v>
      </c>
      <c r="AU238" s="18">
        <v>466.58573147415433</v>
      </c>
      <c r="AV238" s="18">
        <v>382.36648928645087</v>
      </c>
      <c r="AW238" s="18">
        <v>380.67245494768218</v>
      </c>
      <c r="AX238" s="18">
        <v>258.51197458250982</v>
      </c>
      <c r="AY238" s="18">
        <v>383.19233555500864</v>
      </c>
      <c r="AZ238" s="18">
        <v>333.71126510865827</v>
      </c>
      <c r="BA238" s="18">
        <v>340.73185136448228</v>
      </c>
      <c r="BB238" s="18">
        <v>332.80001714554027</v>
      </c>
      <c r="BC238" s="23">
        <v>8.9181565948742242E-2</v>
      </c>
      <c r="BD238" s="23">
        <v>0.10665277883445198</v>
      </c>
      <c r="BE238" s="23">
        <v>9.438849084854764E-2</v>
      </c>
      <c r="BF238" s="23">
        <v>7.149564986855049E-2</v>
      </c>
      <c r="BG238" s="23">
        <v>0.10368571810536763</v>
      </c>
      <c r="BH238" s="23">
        <v>8.4970330952544637E-2</v>
      </c>
      <c r="BI238" s="23">
        <v>8.4593878877262704E-2</v>
      </c>
      <c r="BJ238" s="23">
        <v>5.7447105462779965E-2</v>
      </c>
      <c r="BK238" s="23">
        <v>8.5153852345557474E-2</v>
      </c>
      <c r="BL238" s="23">
        <v>7.4158058913035174E-2</v>
      </c>
      <c r="BM238" s="23">
        <v>7.5718189192107169E-2</v>
      </c>
      <c r="BN238" s="23">
        <v>7.3955559365675619E-2</v>
      </c>
    </row>
    <row r="239" spans="1:66" x14ac:dyDescent="0.25">
      <c r="A239" s="16">
        <v>1496</v>
      </c>
      <c r="B239" s="16" t="s">
        <v>435</v>
      </c>
      <c r="C239" s="17">
        <v>2000</v>
      </c>
      <c r="D239" s="17">
        <f t="shared" si="120"/>
        <v>178.36313189748449</v>
      </c>
      <c r="E239" s="17">
        <f t="shared" si="121"/>
        <v>213.30555766890396</v>
      </c>
      <c r="F239" s="17">
        <f t="shared" si="122"/>
        <v>188.77698169709529</v>
      </c>
      <c r="G239" s="17">
        <f t="shared" si="123"/>
        <v>142.99129973710097</v>
      </c>
      <c r="H239" s="17">
        <f t="shared" si="124"/>
        <v>207.37143621073525</v>
      </c>
      <c r="I239" s="17">
        <f t="shared" si="125"/>
        <v>169.94066190508929</v>
      </c>
      <c r="J239" s="17">
        <f t="shared" si="126"/>
        <v>169.18775775452542</v>
      </c>
      <c r="K239" s="17">
        <f t="shared" si="127"/>
        <v>114.89421092555993</v>
      </c>
      <c r="L239" s="17">
        <f t="shared" si="128"/>
        <v>170.30770469111494</v>
      </c>
      <c r="M239" s="17">
        <f t="shared" si="129"/>
        <v>148.31611782607035</v>
      </c>
      <c r="N239" s="17">
        <f t="shared" si="130"/>
        <v>151.43637838421435</v>
      </c>
      <c r="O239" s="17">
        <f t="shared" si="131"/>
        <v>147.91111873135125</v>
      </c>
      <c r="P239" s="17">
        <v>0</v>
      </c>
      <c r="Q239" s="17">
        <f t="shared" si="132"/>
        <v>0</v>
      </c>
      <c r="R239" s="17">
        <f t="shared" si="133"/>
        <v>0</v>
      </c>
      <c r="S239" s="17">
        <f t="shared" si="134"/>
        <v>0</v>
      </c>
      <c r="T239" s="17">
        <f t="shared" si="135"/>
        <v>0</v>
      </c>
      <c r="U239" s="17">
        <f t="shared" si="136"/>
        <v>0</v>
      </c>
      <c r="V239" s="17">
        <f t="shared" si="137"/>
        <v>0</v>
      </c>
      <c r="W239" s="17">
        <f t="shared" si="138"/>
        <v>0</v>
      </c>
      <c r="X239" s="17">
        <f t="shared" si="139"/>
        <v>0</v>
      </c>
      <c r="Y239" s="17">
        <f t="shared" si="140"/>
        <v>0</v>
      </c>
      <c r="Z239" s="17">
        <f t="shared" si="141"/>
        <v>0</v>
      </c>
      <c r="AA239" s="17">
        <f t="shared" si="142"/>
        <v>0</v>
      </c>
      <c r="AB239" s="17">
        <f t="shared" si="143"/>
        <v>0</v>
      </c>
      <c r="AC239" s="17">
        <v>0</v>
      </c>
      <c r="AD239" s="17">
        <f t="shared" si="144"/>
        <v>0</v>
      </c>
      <c r="AE239" s="17">
        <f t="shared" si="145"/>
        <v>0</v>
      </c>
      <c r="AF239" s="17">
        <f t="shared" si="146"/>
        <v>0</v>
      </c>
      <c r="AG239" s="17">
        <f t="shared" si="147"/>
        <v>0</v>
      </c>
      <c r="AH239" s="17">
        <f t="shared" si="148"/>
        <v>0</v>
      </c>
      <c r="AI239" s="17">
        <f t="shared" si="149"/>
        <v>0</v>
      </c>
      <c r="AJ239" s="17">
        <f t="shared" si="150"/>
        <v>0</v>
      </c>
      <c r="AK239" s="17">
        <f t="shared" si="151"/>
        <v>0</v>
      </c>
      <c r="AL239" s="17">
        <f t="shared" si="152"/>
        <v>0</v>
      </c>
      <c r="AM239" s="17">
        <f t="shared" si="153"/>
        <v>0</v>
      </c>
      <c r="AN239" s="17">
        <f t="shared" si="154"/>
        <v>0</v>
      </c>
      <c r="AO239" s="17">
        <f t="shared" si="155"/>
        <v>0</v>
      </c>
      <c r="AP239" s="17">
        <f t="shared" si="156"/>
        <v>2000</v>
      </c>
      <c r="AQ239" s="18">
        <v>381.15844560228641</v>
      </c>
      <c r="AR239" s="18">
        <v>455.82971062729439</v>
      </c>
      <c r="AS239" s="18">
        <v>403.41263434705866</v>
      </c>
      <c r="AT239" s="18">
        <v>305.56954771219006</v>
      </c>
      <c r="AU239" s="18">
        <v>443.14861175361705</v>
      </c>
      <c r="AV239" s="18">
        <v>363.15979567793767</v>
      </c>
      <c r="AW239" s="18">
        <v>361.55085456626568</v>
      </c>
      <c r="AX239" s="18">
        <v>245.52663086370308</v>
      </c>
      <c r="AY239" s="18">
        <v>363.94415877081883</v>
      </c>
      <c r="AZ239" s="18">
        <v>316.94857747195584</v>
      </c>
      <c r="BA239" s="18">
        <v>323.61651187949838</v>
      </c>
      <c r="BB239" s="18">
        <v>316.08310250652295</v>
      </c>
      <c r="BC239" s="23">
        <v>8.9181565948742242E-2</v>
      </c>
      <c r="BD239" s="23">
        <v>0.10665277883445198</v>
      </c>
      <c r="BE239" s="23">
        <v>9.438849084854764E-2</v>
      </c>
      <c r="BF239" s="23">
        <v>7.149564986855049E-2</v>
      </c>
      <c r="BG239" s="23">
        <v>0.10368571810536763</v>
      </c>
      <c r="BH239" s="23">
        <v>8.4970330952544637E-2</v>
      </c>
      <c r="BI239" s="23">
        <v>8.4593878877262704E-2</v>
      </c>
      <c r="BJ239" s="23">
        <v>5.7447105462779965E-2</v>
      </c>
      <c r="BK239" s="23">
        <v>8.5153852345557474E-2</v>
      </c>
      <c r="BL239" s="23">
        <v>7.4158058913035174E-2</v>
      </c>
      <c r="BM239" s="23">
        <v>7.5718189192107169E-2</v>
      </c>
      <c r="BN239" s="23">
        <v>7.3955559365675619E-2</v>
      </c>
    </row>
    <row r="240" spans="1:66" x14ac:dyDescent="0.25">
      <c r="A240" s="16">
        <v>4114</v>
      </c>
      <c r="B240" s="16" t="s">
        <v>436</v>
      </c>
      <c r="C240" s="17">
        <v>2500</v>
      </c>
      <c r="D240" s="17">
        <f t="shared" si="120"/>
        <v>222.9539148718556</v>
      </c>
      <c r="E240" s="17">
        <f t="shared" si="121"/>
        <v>266.63194708612997</v>
      </c>
      <c r="F240" s="17">
        <f t="shared" si="122"/>
        <v>235.97122712136911</v>
      </c>
      <c r="G240" s="17">
        <f t="shared" si="123"/>
        <v>178.73912467137623</v>
      </c>
      <c r="H240" s="17">
        <f t="shared" si="124"/>
        <v>259.21429526341905</v>
      </c>
      <c r="I240" s="17">
        <f t="shared" si="125"/>
        <v>212.42582738136159</v>
      </c>
      <c r="J240" s="17">
        <f t="shared" si="126"/>
        <v>211.48469719315676</v>
      </c>
      <c r="K240" s="17">
        <f t="shared" si="127"/>
        <v>143.6177636569499</v>
      </c>
      <c r="L240" s="17">
        <f t="shared" si="128"/>
        <v>212.88463086389368</v>
      </c>
      <c r="M240" s="17">
        <f t="shared" si="129"/>
        <v>185.39514728258794</v>
      </c>
      <c r="N240" s="17">
        <f t="shared" si="130"/>
        <v>189.29547298026793</v>
      </c>
      <c r="O240" s="17">
        <f t="shared" si="131"/>
        <v>184.88889841418904</v>
      </c>
      <c r="P240" s="17">
        <v>0</v>
      </c>
      <c r="Q240" s="17">
        <f t="shared" si="132"/>
        <v>0</v>
      </c>
      <c r="R240" s="17">
        <f t="shared" si="133"/>
        <v>0</v>
      </c>
      <c r="S240" s="17">
        <f t="shared" si="134"/>
        <v>0</v>
      </c>
      <c r="T240" s="17">
        <f t="shared" si="135"/>
        <v>0</v>
      </c>
      <c r="U240" s="17">
        <f t="shared" si="136"/>
        <v>0</v>
      </c>
      <c r="V240" s="17">
        <f t="shared" si="137"/>
        <v>0</v>
      </c>
      <c r="W240" s="17">
        <f t="shared" si="138"/>
        <v>0</v>
      </c>
      <c r="X240" s="17">
        <f t="shared" si="139"/>
        <v>0</v>
      </c>
      <c r="Y240" s="17">
        <f t="shared" si="140"/>
        <v>0</v>
      </c>
      <c r="Z240" s="17">
        <f t="shared" si="141"/>
        <v>0</v>
      </c>
      <c r="AA240" s="17">
        <f t="shared" si="142"/>
        <v>0</v>
      </c>
      <c r="AB240" s="17">
        <f t="shared" si="143"/>
        <v>0</v>
      </c>
      <c r="AC240" s="17">
        <v>0</v>
      </c>
      <c r="AD240" s="17">
        <f t="shared" si="144"/>
        <v>0</v>
      </c>
      <c r="AE240" s="17">
        <f t="shared" si="145"/>
        <v>0</v>
      </c>
      <c r="AF240" s="17">
        <f t="shared" si="146"/>
        <v>0</v>
      </c>
      <c r="AG240" s="17">
        <f t="shared" si="147"/>
        <v>0</v>
      </c>
      <c r="AH240" s="17">
        <f t="shared" si="148"/>
        <v>0</v>
      </c>
      <c r="AI240" s="17">
        <f t="shared" si="149"/>
        <v>0</v>
      </c>
      <c r="AJ240" s="17">
        <f t="shared" si="150"/>
        <v>0</v>
      </c>
      <c r="AK240" s="17">
        <f t="shared" si="151"/>
        <v>0</v>
      </c>
      <c r="AL240" s="17">
        <f t="shared" si="152"/>
        <v>0</v>
      </c>
      <c r="AM240" s="17">
        <f t="shared" si="153"/>
        <v>0</v>
      </c>
      <c r="AN240" s="17">
        <f t="shared" si="154"/>
        <v>0</v>
      </c>
      <c r="AO240" s="17">
        <f t="shared" si="155"/>
        <v>0</v>
      </c>
      <c r="AP240" s="17">
        <f t="shared" si="156"/>
        <v>2500</v>
      </c>
      <c r="AQ240" s="18">
        <v>372.09260433420104</v>
      </c>
      <c r="AR240" s="18">
        <v>444.98781574209937</v>
      </c>
      <c r="AS240" s="18">
        <v>393.81747792135872</v>
      </c>
      <c r="AT240" s="18">
        <v>298.30158592915268</v>
      </c>
      <c r="AU240" s="18">
        <v>432.60833639389779</v>
      </c>
      <c r="AV240" s="18">
        <v>354.52205171462583</v>
      </c>
      <c r="AW240" s="18">
        <v>352.95137921511872</v>
      </c>
      <c r="AX240" s="18">
        <v>239.68678791077872</v>
      </c>
      <c r="AY240" s="18">
        <v>355.28775875677883</v>
      </c>
      <c r="AZ240" s="18">
        <v>309.40996583509229</v>
      </c>
      <c r="BA240" s="18">
        <v>315.91930363898553</v>
      </c>
      <c r="BB240" s="18">
        <v>308.56507616364587</v>
      </c>
      <c r="BC240" s="23">
        <v>8.9181565948742242E-2</v>
      </c>
      <c r="BD240" s="23">
        <v>0.10665277883445198</v>
      </c>
      <c r="BE240" s="23">
        <v>9.438849084854764E-2</v>
      </c>
      <c r="BF240" s="23">
        <v>7.149564986855049E-2</v>
      </c>
      <c r="BG240" s="23">
        <v>0.10368571810536763</v>
      </c>
      <c r="BH240" s="23">
        <v>8.4970330952544637E-2</v>
      </c>
      <c r="BI240" s="23">
        <v>8.4593878877262704E-2</v>
      </c>
      <c r="BJ240" s="23">
        <v>5.7447105462779965E-2</v>
      </c>
      <c r="BK240" s="23">
        <v>8.5153852345557474E-2</v>
      </c>
      <c r="BL240" s="23">
        <v>7.4158058913035174E-2</v>
      </c>
      <c r="BM240" s="23">
        <v>7.5718189192107169E-2</v>
      </c>
      <c r="BN240" s="23">
        <v>7.3955559365675619E-2</v>
      </c>
    </row>
    <row r="241" spans="1:66" x14ac:dyDescent="0.25">
      <c r="A241" s="16">
        <v>709</v>
      </c>
      <c r="B241" s="16" t="s">
        <v>437</v>
      </c>
      <c r="C241" s="17">
        <v>4000</v>
      </c>
      <c r="D241" s="17">
        <f t="shared" si="120"/>
        <v>356.72626379496899</v>
      </c>
      <c r="E241" s="17">
        <f t="shared" si="121"/>
        <v>426.61111533780792</v>
      </c>
      <c r="F241" s="17">
        <f t="shared" si="122"/>
        <v>377.55396339419059</v>
      </c>
      <c r="G241" s="17">
        <f t="shared" si="123"/>
        <v>285.98259947420195</v>
      </c>
      <c r="H241" s="17">
        <f t="shared" si="124"/>
        <v>414.74287242147051</v>
      </c>
      <c r="I241" s="17">
        <f t="shared" si="125"/>
        <v>339.88132381017857</v>
      </c>
      <c r="J241" s="17">
        <f t="shared" si="126"/>
        <v>338.37551550905084</v>
      </c>
      <c r="K241" s="17">
        <f t="shared" si="127"/>
        <v>229.78842185111986</v>
      </c>
      <c r="L241" s="17">
        <f t="shared" si="128"/>
        <v>340.61540938222987</v>
      </c>
      <c r="M241" s="17">
        <f t="shared" si="129"/>
        <v>296.63223565214071</v>
      </c>
      <c r="N241" s="17">
        <f t="shared" si="130"/>
        <v>302.8727567684287</v>
      </c>
      <c r="O241" s="17">
        <f t="shared" si="131"/>
        <v>295.8222374627025</v>
      </c>
      <c r="P241" s="17">
        <v>0</v>
      </c>
      <c r="Q241" s="17">
        <f t="shared" si="132"/>
        <v>0</v>
      </c>
      <c r="R241" s="17">
        <f t="shared" si="133"/>
        <v>0</v>
      </c>
      <c r="S241" s="17">
        <f t="shared" si="134"/>
        <v>0</v>
      </c>
      <c r="T241" s="17">
        <f t="shared" si="135"/>
        <v>0</v>
      </c>
      <c r="U241" s="17">
        <f t="shared" si="136"/>
        <v>0</v>
      </c>
      <c r="V241" s="17">
        <f t="shared" si="137"/>
        <v>0</v>
      </c>
      <c r="W241" s="17">
        <f t="shared" si="138"/>
        <v>0</v>
      </c>
      <c r="X241" s="17">
        <f t="shared" si="139"/>
        <v>0</v>
      </c>
      <c r="Y241" s="17">
        <f t="shared" si="140"/>
        <v>0</v>
      </c>
      <c r="Z241" s="17">
        <f t="shared" si="141"/>
        <v>0</v>
      </c>
      <c r="AA241" s="17">
        <f t="shared" si="142"/>
        <v>0</v>
      </c>
      <c r="AB241" s="17">
        <f t="shared" si="143"/>
        <v>0</v>
      </c>
      <c r="AC241" s="17">
        <v>0</v>
      </c>
      <c r="AD241" s="17">
        <f t="shared" si="144"/>
        <v>0</v>
      </c>
      <c r="AE241" s="17">
        <f t="shared" si="145"/>
        <v>0</v>
      </c>
      <c r="AF241" s="17">
        <f t="shared" si="146"/>
        <v>0</v>
      </c>
      <c r="AG241" s="17">
        <f t="shared" si="147"/>
        <v>0</v>
      </c>
      <c r="AH241" s="17">
        <f t="shared" si="148"/>
        <v>0</v>
      </c>
      <c r="AI241" s="17">
        <f t="shared" si="149"/>
        <v>0</v>
      </c>
      <c r="AJ241" s="17">
        <f t="shared" si="150"/>
        <v>0</v>
      </c>
      <c r="AK241" s="17">
        <f t="shared" si="151"/>
        <v>0</v>
      </c>
      <c r="AL241" s="17">
        <f t="shared" si="152"/>
        <v>0</v>
      </c>
      <c r="AM241" s="17">
        <f t="shared" si="153"/>
        <v>0</v>
      </c>
      <c r="AN241" s="17">
        <f t="shared" si="154"/>
        <v>0</v>
      </c>
      <c r="AO241" s="17">
        <f t="shared" si="155"/>
        <v>0</v>
      </c>
      <c r="AP241" s="17">
        <f t="shared" si="156"/>
        <v>4000</v>
      </c>
      <c r="AQ241" s="18">
        <v>370.2169376391671</v>
      </c>
      <c r="AR241" s="18">
        <v>442.74469449765314</v>
      </c>
      <c r="AS241" s="18">
        <v>391.83229918183207</v>
      </c>
      <c r="AT241" s="18">
        <v>296.7978894211173</v>
      </c>
      <c r="AU241" s="18">
        <v>430.42761837070566</v>
      </c>
      <c r="AV241" s="18">
        <v>352.73495571403186</v>
      </c>
      <c r="AW241" s="18">
        <v>351.17220075457209</v>
      </c>
      <c r="AX241" s="18">
        <v>238.47856038868551</v>
      </c>
      <c r="AY241" s="18">
        <v>353.49680293424706</v>
      </c>
      <c r="AZ241" s="18">
        <v>307.85027354003336</v>
      </c>
      <c r="BA241" s="18">
        <v>314.3267986838971</v>
      </c>
      <c r="BB241" s="18">
        <v>307.00964283906694</v>
      </c>
      <c r="BC241" s="23">
        <v>8.9181565948742242E-2</v>
      </c>
      <c r="BD241" s="23">
        <v>0.10665277883445198</v>
      </c>
      <c r="BE241" s="23">
        <v>9.438849084854764E-2</v>
      </c>
      <c r="BF241" s="23">
        <v>7.149564986855049E-2</v>
      </c>
      <c r="BG241" s="23">
        <v>0.10368571810536763</v>
      </c>
      <c r="BH241" s="23">
        <v>8.4970330952544637E-2</v>
      </c>
      <c r="BI241" s="23">
        <v>8.4593878877262704E-2</v>
      </c>
      <c r="BJ241" s="23">
        <v>5.7447105462779965E-2</v>
      </c>
      <c r="BK241" s="23">
        <v>8.5153852345557474E-2</v>
      </c>
      <c r="BL241" s="23">
        <v>7.4158058913035174E-2</v>
      </c>
      <c r="BM241" s="23">
        <v>7.5718189192107169E-2</v>
      </c>
      <c r="BN241" s="23">
        <v>7.3955559365675619E-2</v>
      </c>
    </row>
    <row r="242" spans="1:66" x14ac:dyDescent="0.25">
      <c r="A242" s="16">
        <v>1099</v>
      </c>
      <c r="B242" s="16" t="s">
        <v>438</v>
      </c>
      <c r="C242" s="17">
        <v>0</v>
      </c>
      <c r="D242" s="17">
        <f t="shared" si="120"/>
        <v>0</v>
      </c>
      <c r="E242" s="17">
        <f t="shared" si="121"/>
        <v>0</v>
      </c>
      <c r="F242" s="17">
        <f t="shared" si="122"/>
        <v>0</v>
      </c>
      <c r="G242" s="17">
        <f t="shared" si="123"/>
        <v>0</v>
      </c>
      <c r="H242" s="17">
        <f t="shared" si="124"/>
        <v>0</v>
      </c>
      <c r="I242" s="17">
        <f t="shared" si="125"/>
        <v>0</v>
      </c>
      <c r="J242" s="17">
        <f t="shared" si="126"/>
        <v>0</v>
      </c>
      <c r="K242" s="17">
        <f t="shared" si="127"/>
        <v>0</v>
      </c>
      <c r="L242" s="17">
        <f t="shared" si="128"/>
        <v>0</v>
      </c>
      <c r="M242" s="17">
        <f t="shared" si="129"/>
        <v>0</v>
      </c>
      <c r="N242" s="17">
        <f t="shared" si="130"/>
        <v>0</v>
      </c>
      <c r="O242" s="17">
        <f t="shared" si="131"/>
        <v>0</v>
      </c>
      <c r="P242" s="17">
        <v>0</v>
      </c>
      <c r="Q242" s="17">
        <f t="shared" si="132"/>
        <v>0</v>
      </c>
      <c r="R242" s="17">
        <f t="shared" si="133"/>
        <v>0</v>
      </c>
      <c r="S242" s="17">
        <f t="shared" si="134"/>
        <v>0</v>
      </c>
      <c r="T242" s="17">
        <f t="shared" si="135"/>
        <v>0</v>
      </c>
      <c r="U242" s="17">
        <f t="shared" si="136"/>
        <v>0</v>
      </c>
      <c r="V242" s="17">
        <f t="shared" si="137"/>
        <v>0</v>
      </c>
      <c r="W242" s="17">
        <f t="shared" si="138"/>
        <v>0</v>
      </c>
      <c r="X242" s="17">
        <f t="shared" si="139"/>
        <v>0</v>
      </c>
      <c r="Y242" s="17">
        <f t="shared" si="140"/>
        <v>0</v>
      </c>
      <c r="Z242" s="17">
        <f t="shared" si="141"/>
        <v>0</v>
      </c>
      <c r="AA242" s="17">
        <f t="shared" si="142"/>
        <v>0</v>
      </c>
      <c r="AB242" s="17">
        <f t="shared" si="143"/>
        <v>0</v>
      </c>
      <c r="AC242" s="17">
        <v>0</v>
      </c>
      <c r="AD242" s="17">
        <f t="shared" si="144"/>
        <v>0</v>
      </c>
      <c r="AE242" s="17">
        <f t="shared" si="145"/>
        <v>0</v>
      </c>
      <c r="AF242" s="17">
        <f t="shared" si="146"/>
        <v>0</v>
      </c>
      <c r="AG242" s="17">
        <f t="shared" si="147"/>
        <v>0</v>
      </c>
      <c r="AH242" s="17">
        <f t="shared" si="148"/>
        <v>0</v>
      </c>
      <c r="AI242" s="17">
        <f t="shared" si="149"/>
        <v>0</v>
      </c>
      <c r="AJ242" s="17">
        <f t="shared" si="150"/>
        <v>0</v>
      </c>
      <c r="AK242" s="17">
        <f t="shared" si="151"/>
        <v>0</v>
      </c>
      <c r="AL242" s="17">
        <f t="shared" si="152"/>
        <v>0</v>
      </c>
      <c r="AM242" s="17">
        <f t="shared" si="153"/>
        <v>0</v>
      </c>
      <c r="AN242" s="17">
        <f t="shared" si="154"/>
        <v>0</v>
      </c>
      <c r="AO242" s="17">
        <f t="shared" si="155"/>
        <v>0</v>
      </c>
      <c r="AP242" s="17">
        <f t="shared" si="156"/>
        <v>0</v>
      </c>
      <c r="AQ242" s="18">
        <v>418.38193941363193</v>
      </c>
      <c r="AR242" s="18">
        <v>500.34551398500633</v>
      </c>
      <c r="AS242" s="18">
        <v>442.809446542334</v>
      </c>
      <c r="AT242" s="18">
        <v>335.41111701082434</v>
      </c>
      <c r="AU242" s="18">
        <v>486.42599363361643</v>
      </c>
      <c r="AV242" s="18">
        <v>398.62556211422032</v>
      </c>
      <c r="AW242" s="18">
        <v>396.8594936708464</v>
      </c>
      <c r="AX242" s="18">
        <v>269.50447821281278</v>
      </c>
      <c r="AY242" s="18">
        <v>399.48652520133106</v>
      </c>
      <c r="AZ242" s="18">
        <v>347.90140968166759</v>
      </c>
      <c r="BA242" s="18">
        <v>355.22052686639199</v>
      </c>
      <c r="BB242" s="18">
        <v>346.95141343016235</v>
      </c>
      <c r="BC242" s="23">
        <v>8.9181565948742242E-2</v>
      </c>
      <c r="BD242" s="23">
        <v>0.10665277883445198</v>
      </c>
      <c r="BE242" s="23">
        <v>9.438849084854764E-2</v>
      </c>
      <c r="BF242" s="23">
        <v>7.149564986855049E-2</v>
      </c>
      <c r="BG242" s="23">
        <v>0.10368571810536763</v>
      </c>
      <c r="BH242" s="23">
        <v>8.4970330952544637E-2</v>
      </c>
      <c r="BI242" s="23">
        <v>8.4593878877262704E-2</v>
      </c>
      <c r="BJ242" s="23">
        <v>5.7447105462779965E-2</v>
      </c>
      <c r="BK242" s="23">
        <v>8.5153852345557474E-2</v>
      </c>
      <c r="BL242" s="23">
        <v>7.4158058913035174E-2</v>
      </c>
      <c r="BM242" s="23">
        <v>7.5718189192107169E-2</v>
      </c>
      <c r="BN242" s="23">
        <v>7.3955559365675619E-2</v>
      </c>
    </row>
    <row r="243" spans="1:66" x14ac:dyDescent="0.25">
      <c r="A243" s="16">
        <v>1469</v>
      </c>
      <c r="B243" s="16" t="s">
        <v>439</v>
      </c>
      <c r="C243" s="17">
        <v>4000</v>
      </c>
      <c r="D243" s="17">
        <f t="shared" si="120"/>
        <v>356.72626379496899</v>
      </c>
      <c r="E243" s="17">
        <f t="shared" si="121"/>
        <v>426.61111533780792</v>
      </c>
      <c r="F243" s="17">
        <f t="shared" si="122"/>
        <v>377.55396339419059</v>
      </c>
      <c r="G243" s="17">
        <f t="shared" si="123"/>
        <v>285.98259947420195</v>
      </c>
      <c r="H243" s="17">
        <f t="shared" si="124"/>
        <v>414.74287242147051</v>
      </c>
      <c r="I243" s="17">
        <f t="shared" si="125"/>
        <v>339.88132381017857</v>
      </c>
      <c r="J243" s="17">
        <f t="shared" si="126"/>
        <v>338.37551550905084</v>
      </c>
      <c r="K243" s="17">
        <f t="shared" si="127"/>
        <v>229.78842185111986</v>
      </c>
      <c r="L243" s="17">
        <f t="shared" si="128"/>
        <v>340.61540938222987</v>
      </c>
      <c r="M243" s="17">
        <f t="shared" si="129"/>
        <v>296.63223565214071</v>
      </c>
      <c r="N243" s="17">
        <f t="shared" si="130"/>
        <v>302.8727567684287</v>
      </c>
      <c r="O243" s="17">
        <f t="shared" si="131"/>
        <v>295.8222374627025</v>
      </c>
      <c r="P243" s="17">
        <v>0</v>
      </c>
      <c r="Q243" s="17">
        <f t="shared" si="132"/>
        <v>0</v>
      </c>
      <c r="R243" s="17">
        <f t="shared" si="133"/>
        <v>0</v>
      </c>
      <c r="S243" s="17">
        <f t="shared" si="134"/>
        <v>0</v>
      </c>
      <c r="T243" s="17">
        <f t="shared" si="135"/>
        <v>0</v>
      </c>
      <c r="U243" s="17">
        <f t="shared" si="136"/>
        <v>0</v>
      </c>
      <c r="V243" s="17">
        <f t="shared" si="137"/>
        <v>0</v>
      </c>
      <c r="W243" s="17">
        <f t="shared" si="138"/>
        <v>0</v>
      </c>
      <c r="X243" s="17">
        <f t="shared" si="139"/>
        <v>0</v>
      </c>
      <c r="Y243" s="17">
        <f t="shared" si="140"/>
        <v>0</v>
      </c>
      <c r="Z243" s="17">
        <f t="shared" si="141"/>
        <v>0</v>
      </c>
      <c r="AA243" s="17">
        <f t="shared" si="142"/>
        <v>0</v>
      </c>
      <c r="AB243" s="17">
        <f t="shared" si="143"/>
        <v>0</v>
      </c>
      <c r="AC243" s="17">
        <v>0</v>
      </c>
      <c r="AD243" s="17">
        <f t="shared" si="144"/>
        <v>0</v>
      </c>
      <c r="AE243" s="17">
        <f t="shared" si="145"/>
        <v>0</v>
      </c>
      <c r="AF243" s="17">
        <f t="shared" si="146"/>
        <v>0</v>
      </c>
      <c r="AG243" s="17">
        <f t="shared" si="147"/>
        <v>0</v>
      </c>
      <c r="AH243" s="17">
        <f t="shared" si="148"/>
        <v>0</v>
      </c>
      <c r="AI243" s="17">
        <f t="shared" si="149"/>
        <v>0</v>
      </c>
      <c r="AJ243" s="17">
        <f t="shared" si="150"/>
        <v>0</v>
      </c>
      <c r="AK243" s="17">
        <f t="shared" si="151"/>
        <v>0</v>
      </c>
      <c r="AL243" s="17">
        <f t="shared" si="152"/>
        <v>0</v>
      </c>
      <c r="AM243" s="17">
        <f t="shared" si="153"/>
        <v>0</v>
      </c>
      <c r="AN243" s="17">
        <f t="shared" si="154"/>
        <v>0</v>
      </c>
      <c r="AO243" s="17">
        <f t="shared" si="155"/>
        <v>0</v>
      </c>
      <c r="AP243" s="17">
        <f t="shared" si="156"/>
        <v>4000</v>
      </c>
      <c r="AQ243" s="18">
        <v>356.72626379496899</v>
      </c>
      <c r="AR243" s="18">
        <v>426.61111533780792</v>
      </c>
      <c r="AS243" s="18">
        <v>377.55396339419059</v>
      </c>
      <c r="AT243" s="18">
        <v>285.98259947420195</v>
      </c>
      <c r="AU243" s="18">
        <v>414.74287242147051</v>
      </c>
      <c r="AV243" s="18">
        <v>339.88132381017857</v>
      </c>
      <c r="AW243" s="18">
        <v>338.37551550905084</v>
      </c>
      <c r="AX243" s="18">
        <v>229.78842185111986</v>
      </c>
      <c r="AY243" s="18">
        <v>340.61540938222987</v>
      </c>
      <c r="AZ243" s="18">
        <v>296.63223565214071</v>
      </c>
      <c r="BA243" s="18">
        <v>302.8727567684287</v>
      </c>
      <c r="BB243" s="18">
        <v>295.8222374627025</v>
      </c>
      <c r="BC243" s="23">
        <v>8.9181565948742242E-2</v>
      </c>
      <c r="BD243" s="23">
        <v>0.10665277883445198</v>
      </c>
      <c r="BE243" s="23">
        <v>9.438849084854764E-2</v>
      </c>
      <c r="BF243" s="23">
        <v>7.149564986855049E-2</v>
      </c>
      <c r="BG243" s="23">
        <v>0.10368571810536763</v>
      </c>
      <c r="BH243" s="23">
        <v>8.4970330952544637E-2</v>
      </c>
      <c r="BI243" s="23">
        <v>8.4593878877262704E-2</v>
      </c>
      <c r="BJ243" s="23">
        <v>5.7447105462779965E-2</v>
      </c>
      <c r="BK243" s="23">
        <v>8.5153852345557474E-2</v>
      </c>
      <c r="BL243" s="23">
        <v>7.4158058913035174E-2</v>
      </c>
      <c r="BM243" s="23">
        <v>7.5718189192107169E-2</v>
      </c>
      <c r="BN243" s="23">
        <v>7.3955559365675619E-2</v>
      </c>
    </row>
    <row r="244" spans="1:66" x14ac:dyDescent="0.25">
      <c r="A244" s="16">
        <v>1509</v>
      </c>
      <c r="B244" s="16" t="s">
        <v>440</v>
      </c>
      <c r="C244" s="17">
        <v>80000</v>
      </c>
      <c r="D244" s="17">
        <f t="shared" si="120"/>
        <v>7134.5252758993793</v>
      </c>
      <c r="E244" s="17">
        <f t="shared" si="121"/>
        <v>8532.222306756159</v>
      </c>
      <c r="F244" s="17">
        <f t="shared" si="122"/>
        <v>7551.0792678838116</v>
      </c>
      <c r="G244" s="17">
        <f t="shared" si="123"/>
        <v>5719.6519894840394</v>
      </c>
      <c r="H244" s="17">
        <f t="shared" si="124"/>
        <v>8294.8574484294095</v>
      </c>
      <c r="I244" s="17">
        <f t="shared" si="125"/>
        <v>6797.6264762035707</v>
      </c>
      <c r="J244" s="17">
        <f t="shared" si="126"/>
        <v>6767.5103101810164</v>
      </c>
      <c r="K244" s="17">
        <f t="shared" si="127"/>
        <v>4595.7684370223969</v>
      </c>
      <c r="L244" s="17">
        <f t="shared" si="128"/>
        <v>6812.3081876445976</v>
      </c>
      <c r="M244" s="17">
        <f t="shared" si="129"/>
        <v>5932.6447130428141</v>
      </c>
      <c r="N244" s="17">
        <f t="shared" si="130"/>
        <v>6057.4551353685738</v>
      </c>
      <c r="O244" s="17">
        <f t="shared" si="131"/>
        <v>5916.4447492540494</v>
      </c>
      <c r="P244" s="17">
        <v>0</v>
      </c>
      <c r="Q244" s="17">
        <f t="shared" si="132"/>
        <v>0</v>
      </c>
      <c r="R244" s="17">
        <f t="shared" si="133"/>
        <v>0</v>
      </c>
      <c r="S244" s="17">
        <f t="shared" si="134"/>
        <v>0</v>
      </c>
      <c r="T244" s="17">
        <f t="shared" si="135"/>
        <v>0</v>
      </c>
      <c r="U244" s="17">
        <f t="shared" si="136"/>
        <v>0</v>
      </c>
      <c r="V244" s="17">
        <f t="shared" si="137"/>
        <v>0</v>
      </c>
      <c r="W244" s="17">
        <f t="shared" si="138"/>
        <v>0</v>
      </c>
      <c r="X244" s="17">
        <f t="shared" si="139"/>
        <v>0</v>
      </c>
      <c r="Y244" s="17">
        <f t="shared" si="140"/>
        <v>0</v>
      </c>
      <c r="Z244" s="17">
        <f t="shared" si="141"/>
        <v>0</v>
      </c>
      <c r="AA244" s="17">
        <f t="shared" si="142"/>
        <v>0</v>
      </c>
      <c r="AB244" s="17">
        <f t="shared" si="143"/>
        <v>0</v>
      </c>
      <c r="AC244" s="17">
        <v>0</v>
      </c>
      <c r="AD244" s="17">
        <f t="shared" si="144"/>
        <v>0</v>
      </c>
      <c r="AE244" s="17">
        <f t="shared" si="145"/>
        <v>0</v>
      </c>
      <c r="AF244" s="17">
        <f t="shared" si="146"/>
        <v>0</v>
      </c>
      <c r="AG244" s="17">
        <f t="shared" si="147"/>
        <v>0</v>
      </c>
      <c r="AH244" s="17">
        <f t="shared" si="148"/>
        <v>0</v>
      </c>
      <c r="AI244" s="17">
        <f t="shared" si="149"/>
        <v>0</v>
      </c>
      <c r="AJ244" s="17">
        <f t="shared" si="150"/>
        <v>0</v>
      </c>
      <c r="AK244" s="17">
        <f t="shared" si="151"/>
        <v>0</v>
      </c>
      <c r="AL244" s="17">
        <f t="shared" si="152"/>
        <v>0</v>
      </c>
      <c r="AM244" s="17">
        <f t="shared" si="153"/>
        <v>0</v>
      </c>
      <c r="AN244" s="17">
        <f t="shared" si="154"/>
        <v>0</v>
      </c>
      <c r="AO244" s="17">
        <f t="shared" si="155"/>
        <v>0</v>
      </c>
      <c r="AP244" s="17">
        <f t="shared" si="156"/>
        <v>80000</v>
      </c>
      <c r="AQ244" s="18">
        <v>404.63130130469324</v>
      </c>
      <c r="AR244" s="18">
        <v>483.90104197485869</v>
      </c>
      <c r="AS244" s="18">
        <v>428.255968303869</v>
      </c>
      <c r="AT244" s="18">
        <v>324.38741724454218</v>
      </c>
      <c r="AU244" s="18">
        <v>470.43900381610416</v>
      </c>
      <c r="AV244" s="18">
        <v>385.52424169564034</v>
      </c>
      <c r="AW244" s="18">
        <v>383.81621726839791</v>
      </c>
      <c r="AX244" s="18">
        <v>260.64688136282314</v>
      </c>
      <c r="AY244" s="18">
        <v>386.35690816972664</v>
      </c>
      <c r="AZ244" s="18">
        <v>336.46720105204344</v>
      </c>
      <c r="BA244" s="18">
        <v>343.54576642942857</v>
      </c>
      <c r="BB244" s="18">
        <v>335.54842759824692</v>
      </c>
      <c r="BC244" s="23">
        <v>8.9181565948742242E-2</v>
      </c>
      <c r="BD244" s="23">
        <v>0.10665277883445198</v>
      </c>
      <c r="BE244" s="23">
        <v>9.438849084854764E-2</v>
      </c>
      <c r="BF244" s="23">
        <v>7.149564986855049E-2</v>
      </c>
      <c r="BG244" s="23">
        <v>0.10368571810536763</v>
      </c>
      <c r="BH244" s="23">
        <v>8.4970330952544637E-2</v>
      </c>
      <c r="BI244" s="23">
        <v>8.4593878877262704E-2</v>
      </c>
      <c r="BJ244" s="23">
        <v>5.7447105462779965E-2</v>
      </c>
      <c r="BK244" s="23">
        <v>8.5153852345557474E-2</v>
      </c>
      <c r="BL244" s="23">
        <v>7.4158058913035174E-2</v>
      </c>
      <c r="BM244" s="23">
        <v>7.5718189192107169E-2</v>
      </c>
      <c r="BN244" s="23">
        <v>7.3955559365675619E-2</v>
      </c>
    </row>
    <row r="245" spans="1:66" x14ac:dyDescent="0.25">
      <c r="A245" s="16">
        <v>2839</v>
      </c>
      <c r="B245" s="16" t="s">
        <v>441</v>
      </c>
      <c r="C245" s="17">
        <v>0</v>
      </c>
      <c r="D245" s="17">
        <f t="shared" si="120"/>
        <v>0</v>
      </c>
      <c r="E245" s="17">
        <f t="shared" si="121"/>
        <v>0</v>
      </c>
      <c r="F245" s="17">
        <f t="shared" si="122"/>
        <v>0</v>
      </c>
      <c r="G245" s="17">
        <f t="shared" si="123"/>
        <v>0</v>
      </c>
      <c r="H245" s="17">
        <f t="shared" si="124"/>
        <v>0</v>
      </c>
      <c r="I245" s="17">
        <f t="shared" si="125"/>
        <v>0</v>
      </c>
      <c r="J245" s="17">
        <f t="shared" si="126"/>
        <v>0</v>
      </c>
      <c r="K245" s="17">
        <f t="shared" si="127"/>
        <v>0</v>
      </c>
      <c r="L245" s="17">
        <f t="shared" si="128"/>
        <v>0</v>
      </c>
      <c r="M245" s="17">
        <f t="shared" si="129"/>
        <v>0</v>
      </c>
      <c r="N245" s="17">
        <f t="shared" si="130"/>
        <v>0</v>
      </c>
      <c r="O245" s="17">
        <f t="shared" si="131"/>
        <v>0</v>
      </c>
      <c r="P245" s="17">
        <v>0</v>
      </c>
      <c r="Q245" s="17">
        <f t="shared" si="132"/>
        <v>0</v>
      </c>
      <c r="R245" s="17">
        <f t="shared" si="133"/>
        <v>0</v>
      </c>
      <c r="S245" s="17">
        <f t="shared" si="134"/>
        <v>0</v>
      </c>
      <c r="T245" s="17">
        <f t="shared" si="135"/>
        <v>0</v>
      </c>
      <c r="U245" s="17">
        <f t="shared" si="136"/>
        <v>0</v>
      </c>
      <c r="V245" s="17">
        <f t="shared" si="137"/>
        <v>0</v>
      </c>
      <c r="W245" s="17">
        <f t="shared" si="138"/>
        <v>0</v>
      </c>
      <c r="X245" s="17">
        <f t="shared" si="139"/>
        <v>0</v>
      </c>
      <c r="Y245" s="17">
        <f t="shared" si="140"/>
        <v>0</v>
      </c>
      <c r="Z245" s="17">
        <f t="shared" si="141"/>
        <v>0</v>
      </c>
      <c r="AA245" s="17">
        <f t="shared" si="142"/>
        <v>0</v>
      </c>
      <c r="AB245" s="17">
        <f t="shared" si="143"/>
        <v>0</v>
      </c>
      <c r="AC245" s="17">
        <v>2500</v>
      </c>
      <c r="AD245" s="17">
        <f t="shared" si="144"/>
        <v>222.9539148718556</v>
      </c>
      <c r="AE245" s="17">
        <f t="shared" si="145"/>
        <v>266.63194708612997</v>
      </c>
      <c r="AF245" s="17">
        <f t="shared" si="146"/>
        <v>235.97122712136911</v>
      </c>
      <c r="AG245" s="17">
        <f t="shared" si="147"/>
        <v>178.73912467137623</v>
      </c>
      <c r="AH245" s="17">
        <f t="shared" si="148"/>
        <v>259.21429526341905</v>
      </c>
      <c r="AI245" s="17">
        <f t="shared" si="149"/>
        <v>212.42582738136159</v>
      </c>
      <c r="AJ245" s="17">
        <f t="shared" si="150"/>
        <v>211.48469719315676</v>
      </c>
      <c r="AK245" s="17">
        <f t="shared" si="151"/>
        <v>143.6177636569499</v>
      </c>
      <c r="AL245" s="17">
        <f t="shared" si="152"/>
        <v>212.88463086389368</v>
      </c>
      <c r="AM245" s="17">
        <f t="shared" si="153"/>
        <v>185.39514728258794</v>
      </c>
      <c r="AN245" s="17">
        <f t="shared" si="154"/>
        <v>189.29547298026793</v>
      </c>
      <c r="AO245" s="17">
        <f t="shared" si="155"/>
        <v>184.88889841418904</v>
      </c>
      <c r="AP245" s="17">
        <f t="shared" si="156"/>
        <v>2500</v>
      </c>
      <c r="AQ245" s="18">
        <v>356.72626379496899</v>
      </c>
      <c r="AR245" s="18">
        <v>426.61111533780792</v>
      </c>
      <c r="AS245" s="18">
        <v>377.55396339419059</v>
      </c>
      <c r="AT245" s="18">
        <v>285.98259947420195</v>
      </c>
      <c r="AU245" s="18">
        <v>414.74287242147051</v>
      </c>
      <c r="AV245" s="18">
        <v>339.88132381017857</v>
      </c>
      <c r="AW245" s="18">
        <v>338.37551550905084</v>
      </c>
      <c r="AX245" s="18">
        <v>229.78842185111986</v>
      </c>
      <c r="AY245" s="18">
        <v>340.61540938222987</v>
      </c>
      <c r="AZ245" s="18">
        <v>296.63223565214071</v>
      </c>
      <c r="BA245" s="18">
        <v>302.8727567684287</v>
      </c>
      <c r="BB245" s="18">
        <v>295.8222374627025</v>
      </c>
      <c r="BC245" s="23">
        <v>8.9181565948742242E-2</v>
      </c>
      <c r="BD245" s="23">
        <v>0.10665277883445198</v>
      </c>
      <c r="BE245" s="23">
        <v>9.438849084854764E-2</v>
      </c>
      <c r="BF245" s="23">
        <v>7.149564986855049E-2</v>
      </c>
      <c r="BG245" s="23">
        <v>0.10368571810536763</v>
      </c>
      <c r="BH245" s="23">
        <v>8.4970330952544637E-2</v>
      </c>
      <c r="BI245" s="23">
        <v>8.4593878877262704E-2</v>
      </c>
      <c r="BJ245" s="23">
        <v>5.7447105462779965E-2</v>
      </c>
      <c r="BK245" s="23">
        <v>8.5153852345557474E-2</v>
      </c>
      <c r="BL245" s="23">
        <v>7.4158058913035174E-2</v>
      </c>
      <c r="BM245" s="23">
        <v>7.5718189192107169E-2</v>
      </c>
      <c r="BN245" s="23">
        <v>7.3955559365675619E-2</v>
      </c>
    </row>
    <row r="246" spans="1:66" x14ac:dyDescent="0.25">
      <c r="A246" s="16">
        <v>3118</v>
      </c>
      <c r="B246" s="16" t="s">
        <v>442</v>
      </c>
      <c r="C246" s="17">
        <v>0</v>
      </c>
      <c r="D246" s="17">
        <f t="shared" si="120"/>
        <v>0</v>
      </c>
      <c r="E246" s="17">
        <f t="shared" si="121"/>
        <v>0</v>
      </c>
      <c r="F246" s="17">
        <f t="shared" si="122"/>
        <v>0</v>
      </c>
      <c r="G246" s="17">
        <f t="shared" si="123"/>
        <v>0</v>
      </c>
      <c r="H246" s="17">
        <f t="shared" si="124"/>
        <v>0</v>
      </c>
      <c r="I246" s="17">
        <f t="shared" si="125"/>
        <v>0</v>
      </c>
      <c r="J246" s="17">
        <f t="shared" si="126"/>
        <v>0</v>
      </c>
      <c r="K246" s="17">
        <f t="shared" si="127"/>
        <v>0</v>
      </c>
      <c r="L246" s="17">
        <f t="shared" si="128"/>
        <v>0</v>
      </c>
      <c r="M246" s="17">
        <f t="shared" si="129"/>
        <v>0</v>
      </c>
      <c r="N246" s="17">
        <f t="shared" si="130"/>
        <v>0</v>
      </c>
      <c r="O246" s="17">
        <f t="shared" si="131"/>
        <v>0</v>
      </c>
      <c r="P246" s="17">
        <v>0</v>
      </c>
      <c r="Q246" s="17">
        <f t="shared" si="132"/>
        <v>0</v>
      </c>
      <c r="R246" s="17">
        <f t="shared" si="133"/>
        <v>0</v>
      </c>
      <c r="S246" s="17">
        <f t="shared" si="134"/>
        <v>0</v>
      </c>
      <c r="T246" s="17">
        <f t="shared" si="135"/>
        <v>0</v>
      </c>
      <c r="U246" s="17">
        <f t="shared" si="136"/>
        <v>0</v>
      </c>
      <c r="V246" s="17">
        <f t="shared" si="137"/>
        <v>0</v>
      </c>
      <c r="W246" s="17">
        <f t="shared" si="138"/>
        <v>0</v>
      </c>
      <c r="X246" s="17">
        <f t="shared" si="139"/>
        <v>0</v>
      </c>
      <c r="Y246" s="17">
        <f t="shared" si="140"/>
        <v>0</v>
      </c>
      <c r="Z246" s="17">
        <f t="shared" si="141"/>
        <v>0</v>
      </c>
      <c r="AA246" s="17">
        <f t="shared" si="142"/>
        <v>0</v>
      </c>
      <c r="AB246" s="17">
        <f t="shared" si="143"/>
        <v>0</v>
      </c>
      <c r="AC246" s="17">
        <v>0</v>
      </c>
      <c r="AD246" s="17">
        <f t="shared" si="144"/>
        <v>0</v>
      </c>
      <c r="AE246" s="17">
        <f t="shared" si="145"/>
        <v>0</v>
      </c>
      <c r="AF246" s="17">
        <f t="shared" si="146"/>
        <v>0</v>
      </c>
      <c r="AG246" s="17">
        <f t="shared" si="147"/>
        <v>0</v>
      </c>
      <c r="AH246" s="17">
        <f t="shared" si="148"/>
        <v>0</v>
      </c>
      <c r="AI246" s="17">
        <f t="shared" si="149"/>
        <v>0</v>
      </c>
      <c r="AJ246" s="17">
        <f t="shared" si="150"/>
        <v>0</v>
      </c>
      <c r="AK246" s="17">
        <f t="shared" si="151"/>
        <v>0</v>
      </c>
      <c r="AL246" s="17">
        <f t="shared" si="152"/>
        <v>0</v>
      </c>
      <c r="AM246" s="17">
        <f t="shared" si="153"/>
        <v>0</v>
      </c>
      <c r="AN246" s="17">
        <f t="shared" si="154"/>
        <v>0</v>
      </c>
      <c r="AO246" s="17">
        <f t="shared" si="155"/>
        <v>0</v>
      </c>
      <c r="AP246" s="17">
        <f t="shared" si="156"/>
        <v>0</v>
      </c>
      <c r="AQ246" s="18">
        <v>356.72626379496899</v>
      </c>
      <c r="AR246" s="18">
        <v>426.61111533780792</v>
      </c>
      <c r="AS246" s="18">
        <v>377.55396339419059</v>
      </c>
      <c r="AT246" s="18">
        <v>285.98259947420195</v>
      </c>
      <c r="AU246" s="18">
        <v>414.74287242147051</v>
      </c>
      <c r="AV246" s="18">
        <v>339.88132381017857</v>
      </c>
      <c r="AW246" s="18">
        <v>338.37551550905084</v>
      </c>
      <c r="AX246" s="18">
        <v>229.78842185111986</v>
      </c>
      <c r="AY246" s="18">
        <v>340.61540938222987</v>
      </c>
      <c r="AZ246" s="18">
        <v>296.63223565214071</v>
      </c>
      <c r="BA246" s="18">
        <v>302.8727567684287</v>
      </c>
      <c r="BB246" s="18">
        <v>295.8222374627025</v>
      </c>
      <c r="BC246" s="23">
        <v>8.9181565948742242E-2</v>
      </c>
      <c r="BD246" s="23">
        <v>0.10665277883445198</v>
      </c>
      <c r="BE246" s="23">
        <v>9.438849084854764E-2</v>
      </c>
      <c r="BF246" s="23">
        <v>7.149564986855049E-2</v>
      </c>
      <c r="BG246" s="23">
        <v>0.10368571810536763</v>
      </c>
      <c r="BH246" s="23">
        <v>8.4970330952544637E-2</v>
      </c>
      <c r="BI246" s="23">
        <v>8.4593878877262704E-2</v>
      </c>
      <c r="BJ246" s="23">
        <v>5.7447105462779965E-2</v>
      </c>
      <c r="BK246" s="23">
        <v>8.5153852345557474E-2</v>
      </c>
      <c r="BL246" s="23">
        <v>7.4158058913035174E-2</v>
      </c>
      <c r="BM246" s="23">
        <v>7.5718189192107169E-2</v>
      </c>
      <c r="BN246" s="23">
        <v>7.3955559365675619E-2</v>
      </c>
    </row>
    <row r="247" spans="1:66" x14ac:dyDescent="0.25">
      <c r="A247" s="16">
        <v>3878</v>
      </c>
      <c r="B247" s="16" t="s">
        <v>443</v>
      </c>
      <c r="C247" s="17">
        <v>4000</v>
      </c>
      <c r="D247" s="17">
        <f t="shared" si="120"/>
        <v>356.72626379496899</v>
      </c>
      <c r="E247" s="17">
        <f t="shared" si="121"/>
        <v>426.61111533780792</v>
      </c>
      <c r="F247" s="17">
        <f t="shared" si="122"/>
        <v>377.55396339419059</v>
      </c>
      <c r="G247" s="17">
        <f t="shared" si="123"/>
        <v>285.98259947420195</v>
      </c>
      <c r="H247" s="17">
        <f t="shared" si="124"/>
        <v>414.74287242147051</v>
      </c>
      <c r="I247" s="17">
        <f t="shared" si="125"/>
        <v>339.88132381017857</v>
      </c>
      <c r="J247" s="17">
        <f t="shared" si="126"/>
        <v>338.37551550905084</v>
      </c>
      <c r="K247" s="17">
        <f t="shared" si="127"/>
        <v>229.78842185111986</v>
      </c>
      <c r="L247" s="17">
        <f t="shared" si="128"/>
        <v>340.61540938222987</v>
      </c>
      <c r="M247" s="17">
        <f t="shared" si="129"/>
        <v>296.63223565214071</v>
      </c>
      <c r="N247" s="17">
        <f t="shared" si="130"/>
        <v>302.8727567684287</v>
      </c>
      <c r="O247" s="17">
        <f t="shared" si="131"/>
        <v>295.8222374627025</v>
      </c>
      <c r="P247" s="17">
        <v>0</v>
      </c>
      <c r="Q247" s="17">
        <f t="shared" si="132"/>
        <v>0</v>
      </c>
      <c r="R247" s="17">
        <f t="shared" si="133"/>
        <v>0</v>
      </c>
      <c r="S247" s="17">
        <f t="shared" si="134"/>
        <v>0</v>
      </c>
      <c r="T247" s="17">
        <f t="shared" si="135"/>
        <v>0</v>
      </c>
      <c r="U247" s="17">
        <f t="shared" si="136"/>
        <v>0</v>
      </c>
      <c r="V247" s="17">
        <f t="shared" si="137"/>
        <v>0</v>
      </c>
      <c r="W247" s="17">
        <f t="shared" si="138"/>
        <v>0</v>
      </c>
      <c r="X247" s="17">
        <f t="shared" si="139"/>
        <v>0</v>
      </c>
      <c r="Y247" s="17">
        <f t="shared" si="140"/>
        <v>0</v>
      </c>
      <c r="Z247" s="17">
        <f t="shared" si="141"/>
        <v>0</v>
      </c>
      <c r="AA247" s="17">
        <f t="shared" si="142"/>
        <v>0</v>
      </c>
      <c r="AB247" s="17">
        <f t="shared" si="143"/>
        <v>0</v>
      </c>
      <c r="AC247" s="17">
        <v>0</v>
      </c>
      <c r="AD247" s="17">
        <f t="shared" si="144"/>
        <v>0</v>
      </c>
      <c r="AE247" s="17">
        <f t="shared" si="145"/>
        <v>0</v>
      </c>
      <c r="AF247" s="17">
        <f t="shared" si="146"/>
        <v>0</v>
      </c>
      <c r="AG247" s="17">
        <f t="shared" si="147"/>
        <v>0</v>
      </c>
      <c r="AH247" s="17">
        <f t="shared" si="148"/>
        <v>0</v>
      </c>
      <c r="AI247" s="17">
        <f t="shared" si="149"/>
        <v>0</v>
      </c>
      <c r="AJ247" s="17">
        <f t="shared" si="150"/>
        <v>0</v>
      </c>
      <c r="AK247" s="17">
        <f t="shared" si="151"/>
        <v>0</v>
      </c>
      <c r="AL247" s="17">
        <f t="shared" si="152"/>
        <v>0</v>
      </c>
      <c r="AM247" s="17">
        <f t="shared" si="153"/>
        <v>0</v>
      </c>
      <c r="AN247" s="17">
        <f t="shared" si="154"/>
        <v>0</v>
      </c>
      <c r="AO247" s="17">
        <f t="shared" si="155"/>
        <v>0</v>
      </c>
      <c r="AP247" s="17">
        <f t="shared" si="156"/>
        <v>4000</v>
      </c>
      <c r="AQ247" s="18">
        <v>445.02778605092908</v>
      </c>
      <c r="AR247" s="18">
        <v>532.21144455072158</v>
      </c>
      <c r="AS247" s="18">
        <v>471.01102861504478</v>
      </c>
      <c r="AT247" s="18">
        <v>356.7727302698496</v>
      </c>
      <c r="AU247" s="18">
        <v>517.4054198605744</v>
      </c>
      <c r="AV247" s="18">
        <v>424.01316753688354</v>
      </c>
      <c r="AW247" s="18">
        <v>422.13462198955273</v>
      </c>
      <c r="AX247" s="18">
        <v>286.66863927719317</v>
      </c>
      <c r="AY247" s="18">
        <v>424.92896351284145</v>
      </c>
      <c r="AZ247" s="18">
        <v>370.0585028398221</v>
      </c>
      <c r="BA247" s="18">
        <v>377.84375886958816</v>
      </c>
      <c r="BB247" s="18">
        <v>369.04800336855766</v>
      </c>
      <c r="BC247" s="23">
        <v>8.9181565948742242E-2</v>
      </c>
      <c r="BD247" s="23">
        <v>0.10665277883445198</v>
      </c>
      <c r="BE247" s="23">
        <v>9.438849084854764E-2</v>
      </c>
      <c r="BF247" s="23">
        <v>7.149564986855049E-2</v>
      </c>
      <c r="BG247" s="23">
        <v>0.10368571810536763</v>
      </c>
      <c r="BH247" s="23">
        <v>8.4970330952544637E-2</v>
      </c>
      <c r="BI247" s="23">
        <v>8.4593878877262704E-2</v>
      </c>
      <c r="BJ247" s="23">
        <v>5.7447105462779965E-2</v>
      </c>
      <c r="BK247" s="23">
        <v>8.5153852345557474E-2</v>
      </c>
      <c r="BL247" s="23">
        <v>7.4158058913035174E-2</v>
      </c>
      <c r="BM247" s="23">
        <v>7.5718189192107169E-2</v>
      </c>
      <c r="BN247" s="23">
        <v>7.3955559365675619E-2</v>
      </c>
    </row>
    <row r="248" spans="1:66" x14ac:dyDescent="0.25">
      <c r="A248" s="16">
        <v>3916</v>
      </c>
      <c r="B248" s="16" t="s">
        <v>444</v>
      </c>
      <c r="C248" s="17">
        <v>0</v>
      </c>
      <c r="D248" s="17">
        <f t="shared" si="120"/>
        <v>0</v>
      </c>
      <c r="E248" s="17">
        <f t="shared" si="121"/>
        <v>0</v>
      </c>
      <c r="F248" s="17">
        <f t="shared" si="122"/>
        <v>0</v>
      </c>
      <c r="G248" s="17">
        <f t="shared" si="123"/>
        <v>0</v>
      </c>
      <c r="H248" s="17">
        <f t="shared" si="124"/>
        <v>0</v>
      </c>
      <c r="I248" s="17">
        <f t="shared" si="125"/>
        <v>0</v>
      </c>
      <c r="J248" s="17">
        <f t="shared" si="126"/>
        <v>0</v>
      </c>
      <c r="K248" s="17">
        <f t="shared" si="127"/>
        <v>0</v>
      </c>
      <c r="L248" s="17">
        <f t="shared" si="128"/>
        <v>0</v>
      </c>
      <c r="M248" s="17">
        <f t="shared" si="129"/>
        <v>0</v>
      </c>
      <c r="N248" s="17">
        <f t="shared" si="130"/>
        <v>0</v>
      </c>
      <c r="O248" s="17">
        <f t="shared" si="131"/>
        <v>0</v>
      </c>
      <c r="P248" s="17">
        <v>5000</v>
      </c>
      <c r="Q248" s="17">
        <f t="shared" si="132"/>
        <v>445.9078297437112</v>
      </c>
      <c r="R248" s="17">
        <f t="shared" si="133"/>
        <v>533.26389417225994</v>
      </c>
      <c r="S248" s="17">
        <f t="shared" si="134"/>
        <v>471.94245424273822</v>
      </c>
      <c r="T248" s="17">
        <f t="shared" si="135"/>
        <v>357.47824934275246</v>
      </c>
      <c r="U248" s="17">
        <f t="shared" si="136"/>
        <v>518.42859052683809</v>
      </c>
      <c r="V248" s="17">
        <f t="shared" si="137"/>
        <v>424.85165476272317</v>
      </c>
      <c r="W248" s="17">
        <f t="shared" si="138"/>
        <v>422.96939438631352</v>
      </c>
      <c r="X248" s="17">
        <f t="shared" si="139"/>
        <v>287.23552731389981</v>
      </c>
      <c r="Y248" s="17">
        <f t="shared" si="140"/>
        <v>425.76926172778735</v>
      </c>
      <c r="Z248" s="17">
        <f t="shared" si="141"/>
        <v>370.79029456517588</v>
      </c>
      <c r="AA248" s="17">
        <f t="shared" si="142"/>
        <v>378.59094596053586</v>
      </c>
      <c r="AB248" s="17">
        <f t="shared" si="143"/>
        <v>369.77779682837809</v>
      </c>
      <c r="AC248" s="17">
        <v>0</v>
      </c>
      <c r="AD248" s="17">
        <f t="shared" si="144"/>
        <v>0</v>
      </c>
      <c r="AE248" s="17">
        <f t="shared" si="145"/>
        <v>0</v>
      </c>
      <c r="AF248" s="17">
        <f t="shared" si="146"/>
        <v>0</v>
      </c>
      <c r="AG248" s="17">
        <f t="shared" si="147"/>
        <v>0</v>
      </c>
      <c r="AH248" s="17">
        <f t="shared" si="148"/>
        <v>0</v>
      </c>
      <c r="AI248" s="17">
        <f t="shared" si="149"/>
        <v>0</v>
      </c>
      <c r="AJ248" s="17">
        <f t="shared" si="150"/>
        <v>0</v>
      </c>
      <c r="AK248" s="17">
        <f t="shared" si="151"/>
        <v>0</v>
      </c>
      <c r="AL248" s="17">
        <f t="shared" si="152"/>
        <v>0</v>
      </c>
      <c r="AM248" s="17">
        <f t="shared" si="153"/>
        <v>0</v>
      </c>
      <c r="AN248" s="17">
        <f t="shared" si="154"/>
        <v>0</v>
      </c>
      <c r="AO248" s="17">
        <f t="shared" si="155"/>
        <v>0</v>
      </c>
      <c r="AP248" s="17">
        <f t="shared" si="156"/>
        <v>5000</v>
      </c>
      <c r="AQ248" s="18">
        <v>356.72626379496899</v>
      </c>
      <c r="AR248" s="18">
        <v>426.61111533780792</v>
      </c>
      <c r="AS248" s="18">
        <v>377.55396339419059</v>
      </c>
      <c r="AT248" s="18">
        <v>285.98259947420195</v>
      </c>
      <c r="AU248" s="18">
        <v>414.74287242147051</v>
      </c>
      <c r="AV248" s="18">
        <v>339.88132381017857</v>
      </c>
      <c r="AW248" s="18">
        <v>338.37551550905084</v>
      </c>
      <c r="AX248" s="18">
        <v>229.78842185111986</v>
      </c>
      <c r="AY248" s="18">
        <v>340.61540938222987</v>
      </c>
      <c r="AZ248" s="18">
        <v>296.63223565214071</v>
      </c>
      <c r="BA248" s="18">
        <v>302.8727567684287</v>
      </c>
      <c r="BB248" s="18">
        <v>295.8222374627025</v>
      </c>
      <c r="BC248" s="23">
        <v>8.9181565948742242E-2</v>
      </c>
      <c r="BD248" s="23">
        <v>0.10665277883445198</v>
      </c>
      <c r="BE248" s="23">
        <v>9.438849084854764E-2</v>
      </c>
      <c r="BF248" s="23">
        <v>7.149564986855049E-2</v>
      </c>
      <c r="BG248" s="23">
        <v>0.10368571810536763</v>
      </c>
      <c r="BH248" s="23">
        <v>8.4970330952544637E-2</v>
      </c>
      <c r="BI248" s="23">
        <v>8.4593878877262704E-2</v>
      </c>
      <c r="BJ248" s="23">
        <v>5.7447105462779965E-2</v>
      </c>
      <c r="BK248" s="23">
        <v>8.5153852345557474E-2</v>
      </c>
      <c r="BL248" s="23">
        <v>7.4158058913035174E-2</v>
      </c>
      <c r="BM248" s="23">
        <v>7.5718189192107169E-2</v>
      </c>
      <c r="BN248" s="23">
        <v>7.3955559365675619E-2</v>
      </c>
    </row>
    <row r="249" spans="1:66" x14ac:dyDescent="0.25">
      <c r="A249" s="16">
        <v>4452</v>
      </c>
      <c r="B249" s="16" t="s">
        <v>445</v>
      </c>
      <c r="C249" s="17">
        <v>0</v>
      </c>
      <c r="D249" s="17">
        <f t="shared" si="120"/>
        <v>0</v>
      </c>
      <c r="E249" s="17">
        <f t="shared" si="121"/>
        <v>0</v>
      </c>
      <c r="F249" s="17">
        <f t="shared" si="122"/>
        <v>0</v>
      </c>
      <c r="G249" s="17">
        <f t="shared" si="123"/>
        <v>0</v>
      </c>
      <c r="H249" s="17">
        <f t="shared" si="124"/>
        <v>0</v>
      </c>
      <c r="I249" s="17">
        <f t="shared" si="125"/>
        <v>0</v>
      </c>
      <c r="J249" s="17">
        <f t="shared" si="126"/>
        <v>0</v>
      </c>
      <c r="K249" s="17">
        <f t="shared" si="127"/>
        <v>0</v>
      </c>
      <c r="L249" s="17">
        <f t="shared" si="128"/>
        <v>0</v>
      </c>
      <c r="M249" s="17">
        <f t="shared" si="129"/>
        <v>0</v>
      </c>
      <c r="N249" s="17">
        <f t="shared" si="130"/>
        <v>0</v>
      </c>
      <c r="O249" s="17">
        <f t="shared" si="131"/>
        <v>0</v>
      </c>
      <c r="P249" s="17">
        <v>2500</v>
      </c>
      <c r="Q249" s="17">
        <f t="shared" si="132"/>
        <v>222.9539148718556</v>
      </c>
      <c r="R249" s="17">
        <f t="shared" si="133"/>
        <v>266.63194708612997</v>
      </c>
      <c r="S249" s="17">
        <f t="shared" si="134"/>
        <v>235.97122712136911</v>
      </c>
      <c r="T249" s="17">
        <f t="shared" si="135"/>
        <v>178.73912467137623</v>
      </c>
      <c r="U249" s="17">
        <f t="shared" si="136"/>
        <v>259.21429526341905</v>
      </c>
      <c r="V249" s="17">
        <f t="shared" si="137"/>
        <v>212.42582738136159</v>
      </c>
      <c r="W249" s="17">
        <f t="shared" si="138"/>
        <v>211.48469719315676</v>
      </c>
      <c r="X249" s="17">
        <f t="shared" si="139"/>
        <v>143.6177636569499</v>
      </c>
      <c r="Y249" s="17">
        <f t="shared" si="140"/>
        <v>212.88463086389368</v>
      </c>
      <c r="Z249" s="17">
        <f t="shared" si="141"/>
        <v>185.39514728258794</v>
      </c>
      <c r="AA249" s="17">
        <f t="shared" si="142"/>
        <v>189.29547298026793</v>
      </c>
      <c r="AB249" s="17">
        <f t="shared" si="143"/>
        <v>184.88889841418904</v>
      </c>
      <c r="AC249" s="17">
        <v>0</v>
      </c>
      <c r="AD249" s="17">
        <f t="shared" si="144"/>
        <v>0</v>
      </c>
      <c r="AE249" s="17">
        <f t="shared" si="145"/>
        <v>0</v>
      </c>
      <c r="AF249" s="17">
        <f t="shared" si="146"/>
        <v>0</v>
      </c>
      <c r="AG249" s="17">
        <f t="shared" si="147"/>
        <v>0</v>
      </c>
      <c r="AH249" s="17">
        <f t="shared" si="148"/>
        <v>0</v>
      </c>
      <c r="AI249" s="17">
        <f t="shared" si="149"/>
        <v>0</v>
      </c>
      <c r="AJ249" s="17">
        <f t="shared" si="150"/>
        <v>0</v>
      </c>
      <c r="AK249" s="17">
        <f t="shared" si="151"/>
        <v>0</v>
      </c>
      <c r="AL249" s="17">
        <f t="shared" si="152"/>
        <v>0</v>
      </c>
      <c r="AM249" s="17">
        <f t="shared" si="153"/>
        <v>0</v>
      </c>
      <c r="AN249" s="17">
        <f t="shared" si="154"/>
        <v>0</v>
      </c>
      <c r="AO249" s="17">
        <f t="shared" si="155"/>
        <v>0</v>
      </c>
      <c r="AP249" s="17">
        <f t="shared" si="156"/>
        <v>2500</v>
      </c>
      <c r="AQ249" s="18">
        <v>356.72626379496899</v>
      </c>
      <c r="AR249" s="18">
        <v>426.61111533780792</v>
      </c>
      <c r="AS249" s="18">
        <v>377.55396339419059</v>
      </c>
      <c r="AT249" s="18">
        <v>285.98259947420195</v>
      </c>
      <c r="AU249" s="18">
        <v>414.74287242147051</v>
      </c>
      <c r="AV249" s="18">
        <v>339.88132381017857</v>
      </c>
      <c r="AW249" s="18">
        <v>338.37551550905084</v>
      </c>
      <c r="AX249" s="18">
        <v>229.78842185111986</v>
      </c>
      <c r="AY249" s="18">
        <v>340.61540938222987</v>
      </c>
      <c r="AZ249" s="18">
        <v>296.63223565214071</v>
      </c>
      <c r="BA249" s="18">
        <v>302.8727567684287</v>
      </c>
      <c r="BB249" s="18">
        <v>295.8222374627025</v>
      </c>
      <c r="BC249" s="23">
        <v>8.9181565948742242E-2</v>
      </c>
      <c r="BD249" s="23">
        <v>0.10665277883445198</v>
      </c>
      <c r="BE249" s="23">
        <v>9.438849084854764E-2</v>
      </c>
      <c r="BF249" s="23">
        <v>7.149564986855049E-2</v>
      </c>
      <c r="BG249" s="23">
        <v>0.10368571810536763</v>
      </c>
      <c r="BH249" s="23">
        <v>8.4970330952544637E-2</v>
      </c>
      <c r="BI249" s="23">
        <v>8.4593878877262704E-2</v>
      </c>
      <c r="BJ249" s="23">
        <v>5.7447105462779965E-2</v>
      </c>
      <c r="BK249" s="23">
        <v>8.5153852345557474E-2</v>
      </c>
      <c r="BL249" s="23">
        <v>7.4158058913035174E-2</v>
      </c>
      <c r="BM249" s="23">
        <v>7.5718189192107169E-2</v>
      </c>
      <c r="BN249" s="23">
        <v>7.3955559365675619E-2</v>
      </c>
    </row>
    <row r="250" spans="1:66" x14ac:dyDescent="0.25">
      <c r="A250" s="16">
        <v>4927</v>
      </c>
      <c r="B250" s="16" t="s">
        <v>446</v>
      </c>
      <c r="C250" s="17">
        <v>7000</v>
      </c>
      <c r="D250" s="17">
        <f t="shared" si="120"/>
        <v>624.27096164119564</v>
      </c>
      <c r="E250" s="17">
        <f t="shared" si="121"/>
        <v>746.56945184116387</v>
      </c>
      <c r="F250" s="17">
        <f t="shared" si="122"/>
        <v>660.71943593983349</v>
      </c>
      <c r="G250" s="17">
        <f t="shared" si="123"/>
        <v>500.46954907985344</v>
      </c>
      <c r="H250" s="17">
        <f t="shared" si="124"/>
        <v>725.80002673757338</v>
      </c>
      <c r="I250" s="17">
        <f t="shared" si="125"/>
        <v>594.79231666781243</v>
      </c>
      <c r="J250" s="17">
        <f t="shared" si="126"/>
        <v>592.15715214083889</v>
      </c>
      <c r="K250" s="17">
        <f t="shared" si="127"/>
        <v>402.12973823945975</v>
      </c>
      <c r="L250" s="17">
        <f t="shared" si="128"/>
        <v>596.07696641890232</v>
      </c>
      <c r="M250" s="17">
        <f t="shared" si="129"/>
        <v>519.10641239124618</v>
      </c>
      <c r="N250" s="17">
        <f t="shared" si="130"/>
        <v>530.02732434475013</v>
      </c>
      <c r="O250" s="17">
        <f t="shared" si="131"/>
        <v>517.68891555972937</v>
      </c>
      <c r="P250" s="17">
        <v>0</v>
      </c>
      <c r="Q250" s="17">
        <f t="shared" si="132"/>
        <v>0</v>
      </c>
      <c r="R250" s="17">
        <f t="shared" si="133"/>
        <v>0</v>
      </c>
      <c r="S250" s="17">
        <f t="shared" si="134"/>
        <v>0</v>
      </c>
      <c r="T250" s="17">
        <f t="shared" si="135"/>
        <v>0</v>
      </c>
      <c r="U250" s="17">
        <f t="shared" si="136"/>
        <v>0</v>
      </c>
      <c r="V250" s="17">
        <f t="shared" si="137"/>
        <v>0</v>
      </c>
      <c r="W250" s="17">
        <f t="shared" si="138"/>
        <v>0</v>
      </c>
      <c r="X250" s="17">
        <f t="shared" si="139"/>
        <v>0</v>
      </c>
      <c r="Y250" s="17">
        <f t="shared" si="140"/>
        <v>0</v>
      </c>
      <c r="Z250" s="17">
        <f t="shared" si="141"/>
        <v>0</v>
      </c>
      <c r="AA250" s="17">
        <f t="shared" si="142"/>
        <v>0</v>
      </c>
      <c r="AB250" s="17">
        <f t="shared" si="143"/>
        <v>0</v>
      </c>
      <c r="AC250" s="17">
        <v>0</v>
      </c>
      <c r="AD250" s="17">
        <f t="shared" si="144"/>
        <v>0</v>
      </c>
      <c r="AE250" s="17">
        <f t="shared" si="145"/>
        <v>0</v>
      </c>
      <c r="AF250" s="17">
        <f t="shared" si="146"/>
        <v>0</v>
      </c>
      <c r="AG250" s="17">
        <f t="shared" si="147"/>
        <v>0</v>
      </c>
      <c r="AH250" s="17">
        <f t="shared" si="148"/>
        <v>0</v>
      </c>
      <c r="AI250" s="17">
        <f t="shared" si="149"/>
        <v>0</v>
      </c>
      <c r="AJ250" s="17">
        <f t="shared" si="150"/>
        <v>0</v>
      </c>
      <c r="AK250" s="17">
        <f t="shared" si="151"/>
        <v>0</v>
      </c>
      <c r="AL250" s="17">
        <f t="shared" si="152"/>
        <v>0</v>
      </c>
      <c r="AM250" s="17">
        <f t="shared" si="153"/>
        <v>0</v>
      </c>
      <c r="AN250" s="17">
        <f t="shared" si="154"/>
        <v>0</v>
      </c>
      <c r="AO250" s="17">
        <f t="shared" si="155"/>
        <v>0</v>
      </c>
      <c r="AP250" s="17">
        <f t="shared" si="156"/>
        <v>7000</v>
      </c>
      <c r="AQ250" s="18">
        <v>356.72626379496899</v>
      </c>
      <c r="AR250" s="18">
        <v>426.61111533780792</v>
      </c>
      <c r="AS250" s="18">
        <v>377.55396339419059</v>
      </c>
      <c r="AT250" s="18">
        <v>285.98259947420195</v>
      </c>
      <c r="AU250" s="18">
        <v>414.74287242147051</v>
      </c>
      <c r="AV250" s="18">
        <v>339.88132381017857</v>
      </c>
      <c r="AW250" s="18">
        <v>338.37551550905084</v>
      </c>
      <c r="AX250" s="18">
        <v>229.78842185111986</v>
      </c>
      <c r="AY250" s="18">
        <v>340.61540938222987</v>
      </c>
      <c r="AZ250" s="18">
        <v>296.63223565214071</v>
      </c>
      <c r="BA250" s="18">
        <v>302.8727567684287</v>
      </c>
      <c r="BB250" s="18">
        <v>295.8222374627025</v>
      </c>
      <c r="BC250" s="23">
        <v>8.9181565948742242E-2</v>
      </c>
      <c r="BD250" s="23">
        <v>0.10665277883445198</v>
      </c>
      <c r="BE250" s="23">
        <v>9.438849084854764E-2</v>
      </c>
      <c r="BF250" s="23">
        <v>7.149564986855049E-2</v>
      </c>
      <c r="BG250" s="23">
        <v>0.10368571810536763</v>
      </c>
      <c r="BH250" s="23">
        <v>8.4970330952544637E-2</v>
      </c>
      <c r="BI250" s="23">
        <v>8.4593878877262704E-2</v>
      </c>
      <c r="BJ250" s="23">
        <v>5.7447105462779965E-2</v>
      </c>
      <c r="BK250" s="23">
        <v>8.5153852345557474E-2</v>
      </c>
      <c r="BL250" s="23">
        <v>7.4158058913035174E-2</v>
      </c>
      <c r="BM250" s="23">
        <v>7.5718189192107169E-2</v>
      </c>
      <c r="BN250" s="23">
        <v>7.3955559365675619E-2</v>
      </c>
    </row>
    <row r="251" spans="1:66" x14ac:dyDescent="0.25">
      <c r="A251" s="16">
        <v>5094</v>
      </c>
      <c r="B251" s="16" t="s">
        <v>447</v>
      </c>
      <c r="C251" s="17">
        <v>7000</v>
      </c>
      <c r="D251" s="17">
        <f t="shared" si="120"/>
        <v>624.27096164119564</v>
      </c>
      <c r="E251" s="17">
        <f t="shared" si="121"/>
        <v>746.56945184116387</v>
      </c>
      <c r="F251" s="17">
        <f t="shared" si="122"/>
        <v>660.71943593983349</v>
      </c>
      <c r="G251" s="17">
        <f t="shared" si="123"/>
        <v>500.46954907985344</v>
      </c>
      <c r="H251" s="17">
        <f t="shared" si="124"/>
        <v>725.80002673757338</v>
      </c>
      <c r="I251" s="17">
        <f t="shared" si="125"/>
        <v>594.79231666781243</v>
      </c>
      <c r="J251" s="17">
        <f t="shared" si="126"/>
        <v>592.15715214083889</v>
      </c>
      <c r="K251" s="17">
        <f t="shared" si="127"/>
        <v>402.12973823945975</v>
      </c>
      <c r="L251" s="17">
        <f t="shared" si="128"/>
        <v>596.07696641890232</v>
      </c>
      <c r="M251" s="17">
        <f t="shared" si="129"/>
        <v>519.10641239124618</v>
      </c>
      <c r="N251" s="17">
        <f t="shared" si="130"/>
        <v>530.02732434475013</v>
      </c>
      <c r="O251" s="17">
        <f t="shared" si="131"/>
        <v>517.68891555972937</v>
      </c>
      <c r="P251" s="17">
        <v>0</v>
      </c>
      <c r="Q251" s="17">
        <f t="shared" si="132"/>
        <v>0</v>
      </c>
      <c r="R251" s="17">
        <f t="shared" si="133"/>
        <v>0</v>
      </c>
      <c r="S251" s="17">
        <f t="shared" si="134"/>
        <v>0</v>
      </c>
      <c r="T251" s="17">
        <f t="shared" si="135"/>
        <v>0</v>
      </c>
      <c r="U251" s="17">
        <f t="shared" si="136"/>
        <v>0</v>
      </c>
      <c r="V251" s="17">
        <f t="shared" si="137"/>
        <v>0</v>
      </c>
      <c r="W251" s="17">
        <f t="shared" si="138"/>
        <v>0</v>
      </c>
      <c r="X251" s="17">
        <f t="shared" si="139"/>
        <v>0</v>
      </c>
      <c r="Y251" s="17">
        <f t="shared" si="140"/>
        <v>0</v>
      </c>
      <c r="Z251" s="17">
        <f t="shared" si="141"/>
        <v>0</v>
      </c>
      <c r="AA251" s="17">
        <f t="shared" si="142"/>
        <v>0</v>
      </c>
      <c r="AB251" s="17">
        <f t="shared" si="143"/>
        <v>0</v>
      </c>
      <c r="AC251" s="17">
        <v>0</v>
      </c>
      <c r="AD251" s="17">
        <f t="shared" si="144"/>
        <v>0</v>
      </c>
      <c r="AE251" s="17">
        <f t="shared" si="145"/>
        <v>0</v>
      </c>
      <c r="AF251" s="17">
        <f t="shared" si="146"/>
        <v>0</v>
      </c>
      <c r="AG251" s="17">
        <f t="shared" si="147"/>
        <v>0</v>
      </c>
      <c r="AH251" s="17">
        <f t="shared" si="148"/>
        <v>0</v>
      </c>
      <c r="AI251" s="17">
        <f t="shared" si="149"/>
        <v>0</v>
      </c>
      <c r="AJ251" s="17">
        <f t="shared" si="150"/>
        <v>0</v>
      </c>
      <c r="AK251" s="17">
        <f t="shared" si="151"/>
        <v>0</v>
      </c>
      <c r="AL251" s="17">
        <f t="shared" si="152"/>
        <v>0</v>
      </c>
      <c r="AM251" s="17">
        <f t="shared" si="153"/>
        <v>0</v>
      </c>
      <c r="AN251" s="17">
        <f t="shared" si="154"/>
        <v>0</v>
      </c>
      <c r="AO251" s="17">
        <f t="shared" si="155"/>
        <v>0</v>
      </c>
      <c r="AP251" s="17">
        <f t="shared" si="156"/>
        <v>7000</v>
      </c>
      <c r="AQ251" s="18">
        <v>356.72626379496899</v>
      </c>
      <c r="AR251" s="18">
        <v>426.61111533780792</v>
      </c>
      <c r="AS251" s="18">
        <v>377.55396339419059</v>
      </c>
      <c r="AT251" s="18">
        <v>285.98259947420195</v>
      </c>
      <c r="AU251" s="18">
        <v>414.74287242147051</v>
      </c>
      <c r="AV251" s="18">
        <v>339.88132381017857</v>
      </c>
      <c r="AW251" s="18">
        <v>338.37551550905084</v>
      </c>
      <c r="AX251" s="18">
        <v>229.78842185111986</v>
      </c>
      <c r="AY251" s="18">
        <v>340.61540938222987</v>
      </c>
      <c r="AZ251" s="18">
        <v>296.63223565214071</v>
      </c>
      <c r="BA251" s="18">
        <v>302.8727567684287</v>
      </c>
      <c r="BB251" s="18">
        <v>295.8222374627025</v>
      </c>
      <c r="BC251" s="23">
        <v>8.9181565948742242E-2</v>
      </c>
      <c r="BD251" s="23">
        <v>0.10665277883445198</v>
      </c>
      <c r="BE251" s="23">
        <v>9.438849084854764E-2</v>
      </c>
      <c r="BF251" s="23">
        <v>7.149564986855049E-2</v>
      </c>
      <c r="BG251" s="23">
        <v>0.10368571810536763</v>
      </c>
      <c r="BH251" s="23">
        <v>8.4970330952544637E-2</v>
      </c>
      <c r="BI251" s="23">
        <v>8.4593878877262704E-2</v>
      </c>
      <c r="BJ251" s="23">
        <v>5.7447105462779965E-2</v>
      </c>
      <c r="BK251" s="23">
        <v>8.5153852345557474E-2</v>
      </c>
      <c r="BL251" s="23">
        <v>7.4158058913035174E-2</v>
      </c>
      <c r="BM251" s="23">
        <v>7.5718189192107169E-2</v>
      </c>
      <c r="BN251" s="23">
        <v>7.3955559365675619E-2</v>
      </c>
    </row>
    <row r="252" spans="1:66" x14ac:dyDescent="0.25">
      <c r="A252" s="16">
        <v>5147</v>
      </c>
      <c r="B252" s="16" t="s">
        <v>448</v>
      </c>
      <c r="C252" s="17">
        <v>4000</v>
      </c>
      <c r="D252" s="17">
        <f t="shared" si="120"/>
        <v>356.72626379496899</v>
      </c>
      <c r="E252" s="17">
        <f t="shared" si="121"/>
        <v>426.61111533780792</v>
      </c>
      <c r="F252" s="17">
        <f t="shared" si="122"/>
        <v>377.55396339419059</v>
      </c>
      <c r="G252" s="17">
        <f t="shared" si="123"/>
        <v>285.98259947420195</v>
      </c>
      <c r="H252" s="17">
        <f t="shared" si="124"/>
        <v>414.74287242147051</v>
      </c>
      <c r="I252" s="17">
        <f t="shared" si="125"/>
        <v>339.88132381017857</v>
      </c>
      <c r="J252" s="17">
        <f t="shared" si="126"/>
        <v>338.37551550905084</v>
      </c>
      <c r="K252" s="17">
        <f t="shared" si="127"/>
        <v>229.78842185111986</v>
      </c>
      <c r="L252" s="17">
        <f t="shared" si="128"/>
        <v>340.61540938222987</v>
      </c>
      <c r="M252" s="17">
        <f t="shared" si="129"/>
        <v>296.63223565214071</v>
      </c>
      <c r="N252" s="17">
        <f t="shared" si="130"/>
        <v>302.8727567684287</v>
      </c>
      <c r="O252" s="17">
        <f t="shared" si="131"/>
        <v>295.8222374627025</v>
      </c>
      <c r="P252" s="17">
        <v>0</v>
      </c>
      <c r="Q252" s="17">
        <f t="shared" si="132"/>
        <v>0</v>
      </c>
      <c r="R252" s="17">
        <f t="shared" si="133"/>
        <v>0</v>
      </c>
      <c r="S252" s="17">
        <f t="shared" si="134"/>
        <v>0</v>
      </c>
      <c r="T252" s="17">
        <f t="shared" si="135"/>
        <v>0</v>
      </c>
      <c r="U252" s="17">
        <f t="shared" si="136"/>
        <v>0</v>
      </c>
      <c r="V252" s="17">
        <f t="shared" si="137"/>
        <v>0</v>
      </c>
      <c r="W252" s="17">
        <f t="shared" si="138"/>
        <v>0</v>
      </c>
      <c r="X252" s="17">
        <f t="shared" si="139"/>
        <v>0</v>
      </c>
      <c r="Y252" s="17">
        <f t="shared" si="140"/>
        <v>0</v>
      </c>
      <c r="Z252" s="17">
        <f t="shared" si="141"/>
        <v>0</v>
      </c>
      <c r="AA252" s="17">
        <f t="shared" si="142"/>
        <v>0</v>
      </c>
      <c r="AB252" s="17">
        <f t="shared" si="143"/>
        <v>0</v>
      </c>
      <c r="AC252" s="17">
        <v>0</v>
      </c>
      <c r="AD252" s="17">
        <f t="shared" si="144"/>
        <v>0</v>
      </c>
      <c r="AE252" s="17">
        <f t="shared" si="145"/>
        <v>0</v>
      </c>
      <c r="AF252" s="17">
        <f t="shared" si="146"/>
        <v>0</v>
      </c>
      <c r="AG252" s="17">
        <f t="shared" si="147"/>
        <v>0</v>
      </c>
      <c r="AH252" s="17">
        <f t="shared" si="148"/>
        <v>0</v>
      </c>
      <c r="AI252" s="17">
        <f t="shared" si="149"/>
        <v>0</v>
      </c>
      <c r="AJ252" s="17">
        <f t="shared" si="150"/>
        <v>0</v>
      </c>
      <c r="AK252" s="17">
        <f t="shared" si="151"/>
        <v>0</v>
      </c>
      <c r="AL252" s="17">
        <f t="shared" si="152"/>
        <v>0</v>
      </c>
      <c r="AM252" s="17">
        <f t="shared" si="153"/>
        <v>0</v>
      </c>
      <c r="AN252" s="17">
        <f t="shared" si="154"/>
        <v>0</v>
      </c>
      <c r="AO252" s="17">
        <f t="shared" si="155"/>
        <v>0</v>
      </c>
      <c r="AP252" s="17">
        <f t="shared" si="156"/>
        <v>4000</v>
      </c>
      <c r="AQ252" s="18">
        <v>457.96517745998113</v>
      </c>
      <c r="AR252" s="18">
        <v>547.68334987067783</v>
      </c>
      <c r="AS252" s="18">
        <v>484.70377820546184</v>
      </c>
      <c r="AT252" s="18">
        <v>367.14446120498047</v>
      </c>
      <c r="AU252" s="18">
        <v>532.44689961468384</v>
      </c>
      <c r="AV252" s="18">
        <v>436.33964350750722</v>
      </c>
      <c r="AW252" s="18">
        <v>434.40648681051943</v>
      </c>
      <c r="AX252" s="18">
        <v>295.00237597246769</v>
      </c>
      <c r="AY252" s="18">
        <v>437.28206256490671</v>
      </c>
      <c r="AZ252" s="18">
        <v>380.81646413021821</v>
      </c>
      <c r="BA252" s="18">
        <v>388.8280451393087</v>
      </c>
      <c r="BB252" s="18">
        <v>379.77658845461741</v>
      </c>
      <c r="BC252" s="23">
        <v>8.9181565948742242E-2</v>
      </c>
      <c r="BD252" s="23">
        <v>0.10665277883445198</v>
      </c>
      <c r="BE252" s="23">
        <v>9.438849084854764E-2</v>
      </c>
      <c r="BF252" s="23">
        <v>7.149564986855049E-2</v>
      </c>
      <c r="BG252" s="23">
        <v>0.10368571810536763</v>
      </c>
      <c r="BH252" s="23">
        <v>8.4970330952544637E-2</v>
      </c>
      <c r="BI252" s="23">
        <v>8.4593878877262704E-2</v>
      </c>
      <c r="BJ252" s="23">
        <v>5.7447105462779965E-2</v>
      </c>
      <c r="BK252" s="23">
        <v>8.5153852345557474E-2</v>
      </c>
      <c r="BL252" s="23">
        <v>7.4158058913035174E-2</v>
      </c>
      <c r="BM252" s="23">
        <v>7.5718189192107169E-2</v>
      </c>
      <c r="BN252" s="23">
        <v>7.3955559365675619E-2</v>
      </c>
    </row>
    <row r="253" spans="1:66" x14ac:dyDescent="0.25">
      <c r="A253" s="16">
        <v>5395</v>
      </c>
      <c r="B253" s="16" t="s">
        <v>449</v>
      </c>
      <c r="C253" s="17">
        <v>0</v>
      </c>
      <c r="D253" s="17">
        <f t="shared" si="120"/>
        <v>0</v>
      </c>
      <c r="E253" s="17">
        <f t="shared" si="121"/>
        <v>0</v>
      </c>
      <c r="F253" s="17">
        <f t="shared" si="122"/>
        <v>0</v>
      </c>
      <c r="G253" s="17">
        <f t="shared" si="123"/>
        <v>0</v>
      </c>
      <c r="H253" s="17">
        <f t="shared" si="124"/>
        <v>0</v>
      </c>
      <c r="I253" s="17">
        <f t="shared" si="125"/>
        <v>0</v>
      </c>
      <c r="J253" s="17">
        <f t="shared" si="126"/>
        <v>0</v>
      </c>
      <c r="K253" s="17">
        <f t="shared" si="127"/>
        <v>0</v>
      </c>
      <c r="L253" s="17">
        <f t="shared" si="128"/>
        <v>0</v>
      </c>
      <c r="M253" s="17">
        <f t="shared" si="129"/>
        <v>0</v>
      </c>
      <c r="N253" s="17">
        <f t="shared" si="130"/>
        <v>0</v>
      </c>
      <c r="O253" s="17">
        <f t="shared" si="131"/>
        <v>0</v>
      </c>
      <c r="P253" s="17">
        <v>2000</v>
      </c>
      <c r="Q253" s="17">
        <f t="shared" si="132"/>
        <v>178.36313189748449</v>
      </c>
      <c r="R253" s="17">
        <f t="shared" si="133"/>
        <v>213.30555766890396</v>
      </c>
      <c r="S253" s="17">
        <f t="shared" si="134"/>
        <v>188.77698169709529</v>
      </c>
      <c r="T253" s="17">
        <f t="shared" si="135"/>
        <v>142.99129973710097</v>
      </c>
      <c r="U253" s="17">
        <f t="shared" si="136"/>
        <v>207.37143621073525</v>
      </c>
      <c r="V253" s="17">
        <f t="shared" si="137"/>
        <v>169.94066190508929</v>
      </c>
      <c r="W253" s="17">
        <f t="shared" si="138"/>
        <v>169.18775775452542</v>
      </c>
      <c r="X253" s="17">
        <f t="shared" si="139"/>
        <v>114.89421092555993</v>
      </c>
      <c r="Y253" s="17">
        <f t="shared" si="140"/>
        <v>170.30770469111494</v>
      </c>
      <c r="Z253" s="17">
        <f t="shared" si="141"/>
        <v>148.31611782607035</v>
      </c>
      <c r="AA253" s="17">
        <f t="shared" si="142"/>
        <v>151.43637838421435</v>
      </c>
      <c r="AB253" s="17">
        <f t="shared" si="143"/>
        <v>147.91111873135125</v>
      </c>
      <c r="AC253" s="17">
        <v>0</v>
      </c>
      <c r="AD253" s="17">
        <f t="shared" si="144"/>
        <v>0</v>
      </c>
      <c r="AE253" s="17">
        <f t="shared" si="145"/>
        <v>0</v>
      </c>
      <c r="AF253" s="17">
        <f t="shared" si="146"/>
        <v>0</v>
      </c>
      <c r="AG253" s="17">
        <f t="shared" si="147"/>
        <v>0</v>
      </c>
      <c r="AH253" s="17">
        <f t="shared" si="148"/>
        <v>0</v>
      </c>
      <c r="AI253" s="17">
        <f t="shared" si="149"/>
        <v>0</v>
      </c>
      <c r="AJ253" s="17">
        <f t="shared" si="150"/>
        <v>0</v>
      </c>
      <c r="AK253" s="17">
        <f t="shared" si="151"/>
        <v>0</v>
      </c>
      <c r="AL253" s="17">
        <f t="shared" si="152"/>
        <v>0</v>
      </c>
      <c r="AM253" s="17">
        <f t="shared" si="153"/>
        <v>0</v>
      </c>
      <c r="AN253" s="17">
        <f t="shared" si="154"/>
        <v>0</v>
      </c>
      <c r="AO253" s="17">
        <f t="shared" si="155"/>
        <v>0</v>
      </c>
      <c r="AP253" s="17">
        <f t="shared" si="156"/>
        <v>2000</v>
      </c>
      <c r="AQ253" s="18">
        <v>368.48842052794862</v>
      </c>
      <c r="AR253" s="18">
        <v>440.67755033828382</v>
      </c>
      <c r="AS253" s="18">
        <v>390.00286145220554</v>
      </c>
      <c r="AT253" s="18">
        <v>295.41216073536509</v>
      </c>
      <c r="AU253" s="18">
        <v>428.41798178238747</v>
      </c>
      <c r="AV253" s="18">
        <v>351.08806075950969</v>
      </c>
      <c r="AW253" s="18">
        <v>349.53260219417302</v>
      </c>
      <c r="AX253" s="18">
        <v>237.36512059060593</v>
      </c>
      <c r="AY253" s="18">
        <v>351.84635096808552</v>
      </c>
      <c r="AZ253" s="18">
        <v>306.41294204218093</v>
      </c>
      <c r="BA253" s="18">
        <v>312.85922874097571</v>
      </c>
      <c r="BB253" s="18">
        <v>305.57623618744145</v>
      </c>
      <c r="BC253" s="23">
        <v>8.9181565948742242E-2</v>
      </c>
      <c r="BD253" s="23">
        <v>0.10665277883445198</v>
      </c>
      <c r="BE253" s="23">
        <v>9.438849084854764E-2</v>
      </c>
      <c r="BF253" s="23">
        <v>7.149564986855049E-2</v>
      </c>
      <c r="BG253" s="23">
        <v>0.10368571810536763</v>
      </c>
      <c r="BH253" s="23">
        <v>8.4970330952544637E-2</v>
      </c>
      <c r="BI253" s="23">
        <v>8.4593878877262704E-2</v>
      </c>
      <c r="BJ253" s="23">
        <v>5.7447105462779965E-2</v>
      </c>
      <c r="BK253" s="23">
        <v>8.5153852345557474E-2</v>
      </c>
      <c r="BL253" s="23">
        <v>7.4158058913035174E-2</v>
      </c>
      <c r="BM253" s="23">
        <v>7.5718189192107169E-2</v>
      </c>
      <c r="BN253" s="23">
        <v>7.3955559365675619E-2</v>
      </c>
    </row>
    <row r="254" spans="1:66" x14ac:dyDescent="0.25">
      <c r="A254" s="16">
        <v>5555</v>
      </c>
      <c r="B254" s="16" t="s">
        <v>450</v>
      </c>
      <c r="C254" s="17">
        <v>0</v>
      </c>
      <c r="D254" s="17">
        <f t="shared" si="120"/>
        <v>0</v>
      </c>
      <c r="E254" s="17">
        <f t="shared" si="121"/>
        <v>0</v>
      </c>
      <c r="F254" s="17">
        <f t="shared" si="122"/>
        <v>0</v>
      </c>
      <c r="G254" s="17">
        <f t="shared" si="123"/>
        <v>0</v>
      </c>
      <c r="H254" s="17">
        <f t="shared" si="124"/>
        <v>0</v>
      </c>
      <c r="I254" s="17">
        <f t="shared" si="125"/>
        <v>0</v>
      </c>
      <c r="J254" s="17">
        <f t="shared" si="126"/>
        <v>0</v>
      </c>
      <c r="K254" s="17">
        <f t="shared" si="127"/>
        <v>0</v>
      </c>
      <c r="L254" s="17">
        <f t="shared" si="128"/>
        <v>0</v>
      </c>
      <c r="M254" s="17">
        <f t="shared" si="129"/>
        <v>0</v>
      </c>
      <c r="N254" s="17">
        <f t="shared" si="130"/>
        <v>0</v>
      </c>
      <c r="O254" s="17">
        <f t="shared" si="131"/>
        <v>0</v>
      </c>
      <c r="P254" s="17">
        <v>4000</v>
      </c>
      <c r="Q254" s="17">
        <f t="shared" si="132"/>
        <v>356.72626379496899</v>
      </c>
      <c r="R254" s="17">
        <f t="shared" si="133"/>
        <v>426.61111533780792</v>
      </c>
      <c r="S254" s="17">
        <f t="shared" si="134"/>
        <v>377.55396339419059</v>
      </c>
      <c r="T254" s="17">
        <f t="shared" si="135"/>
        <v>285.98259947420195</v>
      </c>
      <c r="U254" s="17">
        <f t="shared" si="136"/>
        <v>414.74287242147051</v>
      </c>
      <c r="V254" s="17">
        <f t="shared" si="137"/>
        <v>339.88132381017857</v>
      </c>
      <c r="W254" s="17">
        <f t="shared" si="138"/>
        <v>338.37551550905084</v>
      </c>
      <c r="X254" s="17">
        <f t="shared" si="139"/>
        <v>229.78842185111986</v>
      </c>
      <c r="Y254" s="17">
        <f t="shared" si="140"/>
        <v>340.61540938222987</v>
      </c>
      <c r="Z254" s="17">
        <f t="shared" si="141"/>
        <v>296.63223565214071</v>
      </c>
      <c r="AA254" s="17">
        <f t="shared" si="142"/>
        <v>302.8727567684287</v>
      </c>
      <c r="AB254" s="17">
        <f t="shared" si="143"/>
        <v>295.8222374627025</v>
      </c>
      <c r="AC254" s="17">
        <v>0</v>
      </c>
      <c r="AD254" s="17">
        <f t="shared" si="144"/>
        <v>0</v>
      </c>
      <c r="AE254" s="17">
        <f t="shared" si="145"/>
        <v>0</v>
      </c>
      <c r="AF254" s="17">
        <f t="shared" si="146"/>
        <v>0</v>
      </c>
      <c r="AG254" s="17">
        <f t="shared" si="147"/>
        <v>0</v>
      </c>
      <c r="AH254" s="17">
        <f t="shared" si="148"/>
        <v>0</v>
      </c>
      <c r="AI254" s="17">
        <f t="shared" si="149"/>
        <v>0</v>
      </c>
      <c r="AJ254" s="17">
        <f t="shared" si="150"/>
        <v>0</v>
      </c>
      <c r="AK254" s="17">
        <f t="shared" si="151"/>
        <v>0</v>
      </c>
      <c r="AL254" s="17">
        <f t="shared" si="152"/>
        <v>0</v>
      </c>
      <c r="AM254" s="17">
        <f t="shared" si="153"/>
        <v>0</v>
      </c>
      <c r="AN254" s="17">
        <f t="shared" si="154"/>
        <v>0</v>
      </c>
      <c r="AO254" s="17">
        <f t="shared" si="155"/>
        <v>0</v>
      </c>
      <c r="AP254" s="17">
        <f t="shared" si="156"/>
        <v>4000</v>
      </c>
      <c r="AQ254" s="18">
        <v>356.72626379496899</v>
      </c>
      <c r="AR254" s="18">
        <v>426.61111533780792</v>
      </c>
      <c r="AS254" s="18">
        <v>377.55396339419059</v>
      </c>
      <c r="AT254" s="18">
        <v>285.98259947420195</v>
      </c>
      <c r="AU254" s="18">
        <v>414.74287242147051</v>
      </c>
      <c r="AV254" s="18">
        <v>339.88132381017857</v>
      </c>
      <c r="AW254" s="18">
        <v>338.37551550905084</v>
      </c>
      <c r="AX254" s="18">
        <v>229.78842185111986</v>
      </c>
      <c r="AY254" s="18">
        <v>340.61540938222987</v>
      </c>
      <c r="AZ254" s="18">
        <v>296.63223565214071</v>
      </c>
      <c r="BA254" s="18">
        <v>302.8727567684287</v>
      </c>
      <c r="BB254" s="18">
        <v>295.8222374627025</v>
      </c>
      <c r="BC254" s="23">
        <v>8.9181565948742242E-2</v>
      </c>
      <c r="BD254" s="23">
        <v>0.10665277883445198</v>
      </c>
      <c r="BE254" s="23">
        <v>9.438849084854764E-2</v>
      </c>
      <c r="BF254" s="23">
        <v>7.149564986855049E-2</v>
      </c>
      <c r="BG254" s="23">
        <v>0.10368571810536763</v>
      </c>
      <c r="BH254" s="23">
        <v>8.4970330952544637E-2</v>
      </c>
      <c r="BI254" s="23">
        <v>8.4593878877262704E-2</v>
      </c>
      <c r="BJ254" s="23">
        <v>5.7447105462779965E-2</v>
      </c>
      <c r="BK254" s="23">
        <v>8.5153852345557474E-2</v>
      </c>
      <c r="BL254" s="23">
        <v>7.4158058913035174E-2</v>
      </c>
      <c r="BM254" s="23">
        <v>7.5718189192107169E-2</v>
      </c>
      <c r="BN254" s="23">
        <v>7.3955559365675619E-2</v>
      </c>
    </row>
    <row r="255" spans="1:66" x14ac:dyDescent="0.25">
      <c r="A255" s="16">
        <v>6669</v>
      </c>
      <c r="B255" s="16" t="s">
        <v>451</v>
      </c>
      <c r="C255" s="17">
        <v>0</v>
      </c>
      <c r="D255" s="17">
        <f t="shared" si="120"/>
        <v>0</v>
      </c>
      <c r="E255" s="17">
        <f t="shared" si="121"/>
        <v>0</v>
      </c>
      <c r="F255" s="17">
        <f t="shared" si="122"/>
        <v>0</v>
      </c>
      <c r="G255" s="17">
        <f t="shared" si="123"/>
        <v>0</v>
      </c>
      <c r="H255" s="17">
        <f t="shared" si="124"/>
        <v>0</v>
      </c>
      <c r="I255" s="17">
        <f t="shared" si="125"/>
        <v>0</v>
      </c>
      <c r="J255" s="17">
        <f t="shared" si="126"/>
        <v>0</v>
      </c>
      <c r="K255" s="17">
        <f t="shared" si="127"/>
        <v>0</v>
      </c>
      <c r="L255" s="17">
        <f t="shared" si="128"/>
        <v>0</v>
      </c>
      <c r="M255" s="17">
        <f t="shared" si="129"/>
        <v>0</v>
      </c>
      <c r="N255" s="17">
        <f t="shared" si="130"/>
        <v>0</v>
      </c>
      <c r="O255" s="17">
        <f t="shared" si="131"/>
        <v>0</v>
      </c>
      <c r="P255" s="17">
        <v>0</v>
      </c>
      <c r="Q255" s="17">
        <f t="shared" si="132"/>
        <v>0</v>
      </c>
      <c r="R255" s="17">
        <f t="shared" si="133"/>
        <v>0</v>
      </c>
      <c r="S255" s="17">
        <f t="shared" si="134"/>
        <v>0</v>
      </c>
      <c r="T255" s="17">
        <f t="shared" si="135"/>
        <v>0</v>
      </c>
      <c r="U255" s="17">
        <f t="shared" si="136"/>
        <v>0</v>
      </c>
      <c r="V255" s="17">
        <f t="shared" si="137"/>
        <v>0</v>
      </c>
      <c r="W255" s="17">
        <f t="shared" si="138"/>
        <v>0</v>
      </c>
      <c r="X255" s="17">
        <f t="shared" si="139"/>
        <v>0</v>
      </c>
      <c r="Y255" s="17">
        <f t="shared" si="140"/>
        <v>0</v>
      </c>
      <c r="Z255" s="17">
        <f t="shared" si="141"/>
        <v>0</v>
      </c>
      <c r="AA255" s="17">
        <f t="shared" si="142"/>
        <v>0</v>
      </c>
      <c r="AB255" s="17">
        <f t="shared" si="143"/>
        <v>0</v>
      </c>
      <c r="AC255" s="17">
        <v>0</v>
      </c>
      <c r="AD255" s="17">
        <f t="shared" si="144"/>
        <v>0</v>
      </c>
      <c r="AE255" s="17">
        <f t="shared" si="145"/>
        <v>0</v>
      </c>
      <c r="AF255" s="17">
        <f t="shared" si="146"/>
        <v>0</v>
      </c>
      <c r="AG255" s="17">
        <f t="shared" si="147"/>
        <v>0</v>
      </c>
      <c r="AH255" s="17">
        <f t="shared" si="148"/>
        <v>0</v>
      </c>
      <c r="AI255" s="17">
        <f t="shared" si="149"/>
        <v>0</v>
      </c>
      <c r="AJ255" s="17">
        <f t="shared" si="150"/>
        <v>0</v>
      </c>
      <c r="AK255" s="17">
        <f t="shared" si="151"/>
        <v>0</v>
      </c>
      <c r="AL255" s="17">
        <f t="shared" si="152"/>
        <v>0</v>
      </c>
      <c r="AM255" s="17">
        <f t="shared" si="153"/>
        <v>0</v>
      </c>
      <c r="AN255" s="17">
        <f t="shared" si="154"/>
        <v>0</v>
      </c>
      <c r="AO255" s="17">
        <f t="shared" si="155"/>
        <v>0</v>
      </c>
      <c r="AP255" s="17">
        <f t="shared" si="156"/>
        <v>0</v>
      </c>
      <c r="AQ255" s="18">
        <v>356.72626379496899</v>
      </c>
      <c r="AR255" s="18">
        <v>426.61111533780792</v>
      </c>
      <c r="AS255" s="18">
        <v>377.55396339419059</v>
      </c>
      <c r="AT255" s="18">
        <v>285.98259947420195</v>
      </c>
      <c r="AU255" s="18">
        <v>414.74287242147051</v>
      </c>
      <c r="AV255" s="18">
        <v>339.88132381017857</v>
      </c>
      <c r="AW255" s="18">
        <v>338.37551550905084</v>
      </c>
      <c r="AX255" s="18">
        <v>229.78842185111986</v>
      </c>
      <c r="AY255" s="18">
        <v>340.61540938222987</v>
      </c>
      <c r="AZ255" s="18">
        <v>296.63223565214071</v>
      </c>
      <c r="BA255" s="18">
        <v>302.8727567684287</v>
      </c>
      <c r="BB255" s="18">
        <v>295.8222374627025</v>
      </c>
      <c r="BC255" s="23">
        <v>8.9181565948742242E-2</v>
      </c>
      <c r="BD255" s="23">
        <v>0.10665277883445198</v>
      </c>
      <c r="BE255" s="23">
        <v>9.438849084854764E-2</v>
      </c>
      <c r="BF255" s="23">
        <v>7.149564986855049E-2</v>
      </c>
      <c r="BG255" s="23">
        <v>0.10368571810536763</v>
      </c>
      <c r="BH255" s="23">
        <v>8.4970330952544637E-2</v>
      </c>
      <c r="BI255" s="23">
        <v>8.4593878877262704E-2</v>
      </c>
      <c r="BJ255" s="23">
        <v>5.7447105462779965E-2</v>
      </c>
      <c r="BK255" s="23">
        <v>8.5153852345557474E-2</v>
      </c>
      <c r="BL255" s="23">
        <v>7.4158058913035174E-2</v>
      </c>
      <c r="BM255" s="23">
        <v>7.5718189192107169E-2</v>
      </c>
      <c r="BN255" s="23">
        <v>7.3955559365675619E-2</v>
      </c>
    </row>
    <row r="256" spans="1:66" x14ac:dyDescent="0.25">
      <c r="A256" s="16">
        <v>6708</v>
      </c>
      <c r="B256" s="16" t="s">
        <v>452</v>
      </c>
      <c r="C256" s="17">
        <v>500</v>
      </c>
      <c r="D256" s="17">
        <f t="shared" si="120"/>
        <v>44.590782974371123</v>
      </c>
      <c r="E256" s="17">
        <f t="shared" si="121"/>
        <v>53.32638941722599</v>
      </c>
      <c r="F256" s="17">
        <f t="shared" si="122"/>
        <v>47.194245424273824</v>
      </c>
      <c r="G256" s="17">
        <f t="shared" si="123"/>
        <v>35.747824934275243</v>
      </c>
      <c r="H256" s="17">
        <f t="shared" si="124"/>
        <v>51.842859052683814</v>
      </c>
      <c r="I256" s="17">
        <f t="shared" si="125"/>
        <v>42.485165476272321</v>
      </c>
      <c r="J256" s="17">
        <f t="shared" si="126"/>
        <v>42.296939438631355</v>
      </c>
      <c r="K256" s="17">
        <f t="shared" si="127"/>
        <v>28.723552731389983</v>
      </c>
      <c r="L256" s="17">
        <f t="shared" si="128"/>
        <v>42.576926172778734</v>
      </c>
      <c r="M256" s="17">
        <f t="shared" si="129"/>
        <v>37.079029456517588</v>
      </c>
      <c r="N256" s="17">
        <f t="shared" si="130"/>
        <v>37.859094596053588</v>
      </c>
      <c r="O256" s="17">
        <f t="shared" si="131"/>
        <v>36.977779682837813</v>
      </c>
      <c r="P256" s="17">
        <v>0</v>
      </c>
      <c r="Q256" s="17">
        <f t="shared" si="132"/>
        <v>0</v>
      </c>
      <c r="R256" s="17">
        <f t="shared" si="133"/>
        <v>0</v>
      </c>
      <c r="S256" s="17">
        <f t="shared" si="134"/>
        <v>0</v>
      </c>
      <c r="T256" s="17">
        <f t="shared" si="135"/>
        <v>0</v>
      </c>
      <c r="U256" s="17">
        <f t="shared" si="136"/>
        <v>0</v>
      </c>
      <c r="V256" s="17">
        <f t="shared" si="137"/>
        <v>0</v>
      </c>
      <c r="W256" s="17">
        <f t="shared" si="138"/>
        <v>0</v>
      </c>
      <c r="X256" s="17">
        <f t="shared" si="139"/>
        <v>0</v>
      </c>
      <c r="Y256" s="17">
        <f t="shared" si="140"/>
        <v>0</v>
      </c>
      <c r="Z256" s="17">
        <f t="shared" si="141"/>
        <v>0</v>
      </c>
      <c r="AA256" s="17">
        <f t="shared" si="142"/>
        <v>0</v>
      </c>
      <c r="AB256" s="17">
        <f t="shared" si="143"/>
        <v>0</v>
      </c>
      <c r="AC256" s="17">
        <v>0</v>
      </c>
      <c r="AD256" s="17">
        <f t="shared" si="144"/>
        <v>0</v>
      </c>
      <c r="AE256" s="17">
        <f t="shared" si="145"/>
        <v>0</v>
      </c>
      <c r="AF256" s="17">
        <f t="shared" si="146"/>
        <v>0</v>
      </c>
      <c r="AG256" s="17">
        <f t="shared" si="147"/>
        <v>0</v>
      </c>
      <c r="AH256" s="17">
        <f t="shared" si="148"/>
        <v>0</v>
      </c>
      <c r="AI256" s="17">
        <f t="shared" si="149"/>
        <v>0</v>
      </c>
      <c r="AJ256" s="17">
        <f t="shared" si="150"/>
        <v>0</v>
      </c>
      <c r="AK256" s="17">
        <f t="shared" si="151"/>
        <v>0</v>
      </c>
      <c r="AL256" s="17">
        <f t="shared" si="152"/>
        <v>0</v>
      </c>
      <c r="AM256" s="17">
        <f t="shared" si="153"/>
        <v>0</v>
      </c>
      <c r="AN256" s="17">
        <f t="shared" si="154"/>
        <v>0</v>
      </c>
      <c r="AO256" s="17">
        <f t="shared" si="155"/>
        <v>0</v>
      </c>
      <c r="AP256" s="17">
        <f t="shared" si="156"/>
        <v>500</v>
      </c>
      <c r="AQ256" s="18">
        <v>356.72626379496899</v>
      </c>
      <c r="AR256" s="18">
        <v>426.61111533780792</v>
      </c>
      <c r="AS256" s="18">
        <v>377.55396339419059</v>
      </c>
      <c r="AT256" s="18">
        <v>285.98259947420195</v>
      </c>
      <c r="AU256" s="18">
        <v>414.74287242147051</v>
      </c>
      <c r="AV256" s="18">
        <v>339.88132381017857</v>
      </c>
      <c r="AW256" s="18">
        <v>338.37551550905084</v>
      </c>
      <c r="AX256" s="18">
        <v>229.78842185111986</v>
      </c>
      <c r="AY256" s="18">
        <v>340.61540938222987</v>
      </c>
      <c r="AZ256" s="18">
        <v>296.63223565214071</v>
      </c>
      <c r="BA256" s="18">
        <v>302.8727567684287</v>
      </c>
      <c r="BB256" s="18">
        <v>295.8222374627025</v>
      </c>
      <c r="BC256" s="23">
        <v>8.9181565948742242E-2</v>
      </c>
      <c r="BD256" s="23">
        <v>0.10665277883445198</v>
      </c>
      <c r="BE256" s="23">
        <v>9.438849084854764E-2</v>
      </c>
      <c r="BF256" s="23">
        <v>7.149564986855049E-2</v>
      </c>
      <c r="BG256" s="23">
        <v>0.10368571810536763</v>
      </c>
      <c r="BH256" s="23">
        <v>8.4970330952544637E-2</v>
      </c>
      <c r="BI256" s="23">
        <v>8.4593878877262704E-2</v>
      </c>
      <c r="BJ256" s="23">
        <v>5.7447105462779965E-2</v>
      </c>
      <c r="BK256" s="23">
        <v>8.5153852345557474E-2</v>
      </c>
      <c r="BL256" s="23">
        <v>7.4158058913035174E-2</v>
      </c>
      <c r="BM256" s="23">
        <v>7.5718189192107169E-2</v>
      </c>
      <c r="BN256" s="23">
        <v>7.3955559365675619E-2</v>
      </c>
    </row>
    <row r="257" spans="1:66" x14ac:dyDescent="0.25">
      <c r="A257" s="16">
        <v>42008</v>
      </c>
      <c r="B257" s="16" t="s">
        <v>453</v>
      </c>
      <c r="C257" s="17">
        <v>0</v>
      </c>
      <c r="D257" s="17">
        <f t="shared" si="120"/>
        <v>0</v>
      </c>
      <c r="E257" s="17">
        <f t="shared" si="121"/>
        <v>0</v>
      </c>
      <c r="F257" s="17">
        <f t="shared" si="122"/>
        <v>0</v>
      </c>
      <c r="G257" s="17">
        <f t="shared" si="123"/>
        <v>0</v>
      </c>
      <c r="H257" s="17">
        <f t="shared" si="124"/>
        <v>0</v>
      </c>
      <c r="I257" s="17">
        <f t="shared" si="125"/>
        <v>0</v>
      </c>
      <c r="J257" s="17">
        <f t="shared" si="126"/>
        <v>0</v>
      </c>
      <c r="K257" s="17">
        <f t="shared" si="127"/>
        <v>0</v>
      </c>
      <c r="L257" s="17">
        <f t="shared" si="128"/>
        <v>0</v>
      </c>
      <c r="M257" s="17">
        <f t="shared" si="129"/>
        <v>0</v>
      </c>
      <c r="N257" s="17">
        <f t="shared" si="130"/>
        <v>0</v>
      </c>
      <c r="O257" s="17">
        <f t="shared" si="131"/>
        <v>0</v>
      </c>
      <c r="P257" s="17">
        <v>3000</v>
      </c>
      <c r="Q257" s="17">
        <f t="shared" si="132"/>
        <v>267.54469784622671</v>
      </c>
      <c r="R257" s="17">
        <f t="shared" si="133"/>
        <v>319.95833650335595</v>
      </c>
      <c r="S257" s="17">
        <f t="shared" si="134"/>
        <v>283.1654725456429</v>
      </c>
      <c r="T257" s="17">
        <f t="shared" si="135"/>
        <v>214.48694960565146</v>
      </c>
      <c r="U257" s="17">
        <f t="shared" si="136"/>
        <v>311.05715431610287</v>
      </c>
      <c r="V257" s="17">
        <f t="shared" si="137"/>
        <v>254.91099285763391</v>
      </c>
      <c r="W257" s="17">
        <f t="shared" si="138"/>
        <v>253.7816366317881</v>
      </c>
      <c r="X257" s="17">
        <f t="shared" si="139"/>
        <v>172.34131638833989</v>
      </c>
      <c r="Y257" s="17">
        <f t="shared" si="140"/>
        <v>255.46155703667242</v>
      </c>
      <c r="Z257" s="17">
        <f t="shared" si="141"/>
        <v>222.47417673910553</v>
      </c>
      <c r="AA257" s="17">
        <f t="shared" si="142"/>
        <v>227.15456757632151</v>
      </c>
      <c r="AB257" s="17">
        <f t="shared" si="143"/>
        <v>221.86667809702686</v>
      </c>
      <c r="AC257" s="17">
        <v>0</v>
      </c>
      <c r="AD257" s="17">
        <f t="shared" si="144"/>
        <v>0</v>
      </c>
      <c r="AE257" s="17">
        <f t="shared" si="145"/>
        <v>0</v>
      </c>
      <c r="AF257" s="17">
        <f t="shared" si="146"/>
        <v>0</v>
      </c>
      <c r="AG257" s="17">
        <f t="shared" si="147"/>
        <v>0</v>
      </c>
      <c r="AH257" s="17">
        <f t="shared" si="148"/>
        <v>0</v>
      </c>
      <c r="AI257" s="17">
        <f t="shared" si="149"/>
        <v>0</v>
      </c>
      <c r="AJ257" s="17">
        <f t="shared" si="150"/>
        <v>0</v>
      </c>
      <c r="AK257" s="17">
        <f t="shared" si="151"/>
        <v>0</v>
      </c>
      <c r="AL257" s="17">
        <f t="shared" si="152"/>
        <v>0</v>
      </c>
      <c r="AM257" s="17">
        <f t="shared" si="153"/>
        <v>0</v>
      </c>
      <c r="AN257" s="17">
        <f t="shared" si="154"/>
        <v>0</v>
      </c>
      <c r="AO257" s="17">
        <f t="shared" si="155"/>
        <v>0</v>
      </c>
      <c r="AP257" s="17">
        <f t="shared" si="156"/>
        <v>3000</v>
      </c>
      <c r="AQ257" s="18">
        <v>356.72626379496899</v>
      </c>
      <c r="AR257" s="18">
        <v>426.61111533780792</v>
      </c>
      <c r="AS257" s="18">
        <v>377.55396339419059</v>
      </c>
      <c r="AT257" s="18">
        <v>285.98259947420195</v>
      </c>
      <c r="AU257" s="18">
        <v>414.74287242147051</v>
      </c>
      <c r="AV257" s="18">
        <v>339.88132381017857</v>
      </c>
      <c r="AW257" s="18">
        <v>338.37551550905084</v>
      </c>
      <c r="AX257" s="18">
        <v>229.78842185111986</v>
      </c>
      <c r="AY257" s="18">
        <v>340.61540938222987</v>
      </c>
      <c r="AZ257" s="18">
        <v>296.63223565214071</v>
      </c>
      <c r="BA257" s="18">
        <v>302.8727567684287</v>
      </c>
      <c r="BB257" s="18">
        <v>295.8222374627025</v>
      </c>
      <c r="BC257" s="23">
        <v>8.9181565948742242E-2</v>
      </c>
      <c r="BD257" s="23">
        <v>0.10665277883445198</v>
      </c>
      <c r="BE257" s="23">
        <v>9.438849084854764E-2</v>
      </c>
      <c r="BF257" s="23">
        <v>7.149564986855049E-2</v>
      </c>
      <c r="BG257" s="23">
        <v>0.10368571810536763</v>
      </c>
      <c r="BH257" s="23">
        <v>8.4970330952544637E-2</v>
      </c>
      <c r="BI257" s="23">
        <v>8.4593878877262704E-2</v>
      </c>
      <c r="BJ257" s="23">
        <v>5.7447105462779965E-2</v>
      </c>
      <c r="BK257" s="23">
        <v>8.5153852345557474E-2</v>
      </c>
      <c r="BL257" s="23">
        <v>7.4158058913035174E-2</v>
      </c>
      <c r="BM257" s="23">
        <v>7.5718189192107169E-2</v>
      </c>
      <c r="BN257" s="23">
        <v>7.3955559365675619E-2</v>
      </c>
    </row>
    <row r="258" spans="1:66" x14ac:dyDescent="0.25">
      <c r="A258" s="16">
        <v>5288</v>
      </c>
      <c r="B258" s="16" t="s">
        <v>454</v>
      </c>
      <c r="C258" s="17">
        <v>0</v>
      </c>
      <c r="D258" s="17">
        <f t="shared" si="120"/>
        <v>0</v>
      </c>
      <c r="E258" s="17">
        <f t="shared" si="121"/>
        <v>0</v>
      </c>
      <c r="F258" s="17">
        <f t="shared" si="122"/>
        <v>0</v>
      </c>
      <c r="G258" s="17">
        <f t="shared" si="123"/>
        <v>0</v>
      </c>
      <c r="H258" s="17">
        <f t="shared" si="124"/>
        <v>0</v>
      </c>
      <c r="I258" s="17">
        <f t="shared" si="125"/>
        <v>0</v>
      </c>
      <c r="J258" s="17">
        <f t="shared" si="126"/>
        <v>0</v>
      </c>
      <c r="K258" s="17">
        <f t="shared" si="127"/>
        <v>0</v>
      </c>
      <c r="L258" s="17">
        <f t="shared" si="128"/>
        <v>0</v>
      </c>
      <c r="M258" s="17">
        <f t="shared" si="129"/>
        <v>0</v>
      </c>
      <c r="N258" s="17">
        <f t="shared" si="130"/>
        <v>0</v>
      </c>
      <c r="O258" s="17">
        <f t="shared" si="131"/>
        <v>0</v>
      </c>
      <c r="P258" s="17">
        <v>0</v>
      </c>
      <c r="Q258" s="17">
        <f t="shared" si="132"/>
        <v>0</v>
      </c>
      <c r="R258" s="17">
        <f t="shared" si="133"/>
        <v>0</v>
      </c>
      <c r="S258" s="17">
        <f t="shared" si="134"/>
        <v>0</v>
      </c>
      <c r="T258" s="17">
        <f t="shared" si="135"/>
        <v>0</v>
      </c>
      <c r="U258" s="17">
        <f t="shared" si="136"/>
        <v>0</v>
      </c>
      <c r="V258" s="17">
        <f t="shared" si="137"/>
        <v>0</v>
      </c>
      <c r="W258" s="17">
        <f t="shared" si="138"/>
        <v>0</v>
      </c>
      <c r="X258" s="17">
        <f t="shared" si="139"/>
        <v>0</v>
      </c>
      <c r="Y258" s="17">
        <f t="shared" si="140"/>
        <v>0</v>
      </c>
      <c r="Z258" s="17">
        <f t="shared" si="141"/>
        <v>0</v>
      </c>
      <c r="AA258" s="17">
        <f t="shared" si="142"/>
        <v>0</v>
      </c>
      <c r="AB258" s="17">
        <f t="shared" si="143"/>
        <v>0</v>
      </c>
      <c r="AC258" s="17">
        <v>0</v>
      </c>
      <c r="AD258" s="17">
        <f t="shared" si="144"/>
        <v>0</v>
      </c>
      <c r="AE258" s="17">
        <f t="shared" si="145"/>
        <v>0</v>
      </c>
      <c r="AF258" s="17">
        <f t="shared" si="146"/>
        <v>0</v>
      </c>
      <c r="AG258" s="17">
        <f t="shared" si="147"/>
        <v>0</v>
      </c>
      <c r="AH258" s="17">
        <f t="shared" si="148"/>
        <v>0</v>
      </c>
      <c r="AI258" s="17">
        <f t="shared" si="149"/>
        <v>0</v>
      </c>
      <c r="AJ258" s="17">
        <f t="shared" si="150"/>
        <v>0</v>
      </c>
      <c r="AK258" s="17">
        <f t="shared" si="151"/>
        <v>0</v>
      </c>
      <c r="AL258" s="17">
        <f t="shared" si="152"/>
        <v>0</v>
      </c>
      <c r="AM258" s="17">
        <f t="shared" si="153"/>
        <v>0</v>
      </c>
      <c r="AN258" s="17">
        <f t="shared" si="154"/>
        <v>0</v>
      </c>
      <c r="AO258" s="17">
        <f t="shared" si="155"/>
        <v>0</v>
      </c>
      <c r="AP258" s="17">
        <f t="shared" si="156"/>
        <v>0</v>
      </c>
      <c r="AQ258" s="18">
        <v>356.72626379496899</v>
      </c>
      <c r="AR258" s="18">
        <v>426.61111533780792</v>
      </c>
      <c r="AS258" s="18">
        <v>377.55396339419059</v>
      </c>
      <c r="AT258" s="18">
        <v>285.98259947420195</v>
      </c>
      <c r="AU258" s="18">
        <v>414.74287242147051</v>
      </c>
      <c r="AV258" s="18">
        <v>339.88132381017857</v>
      </c>
      <c r="AW258" s="18">
        <v>338.37551550905084</v>
      </c>
      <c r="AX258" s="18">
        <v>229.78842185111986</v>
      </c>
      <c r="AY258" s="18">
        <v>340.61540938222987</v>
      </c>
      <c r="AZ258" s="18">
        <v>296.63223565214071</v>
      </c>
      <c r="BA258" s="18">
        <v>302.8727567684287</v>
      </c>
      <c r="BB258" s="18">
        <v>295.8222374627025</v>
      </c>
      <c r="BC258" s="23">
        <v>8.9181565948742242E-2</v>
      </c>
      <c r="BD258" s="23">
        <v>0.10665277883445198</v>
      </c>
      <c r="BE258" s="23">
        <v>9.438849084854764E-2</v>
      </c>
      <c r="BF258" s="23">
        <v>7.149564986855049E-2</v>
      </c>
      <c r="BG258" s="23">
        <v>0.10368571810536763</v>
      </c>
      <c r="BH258" s="23">
        <v>8.4970330952544637E-2</v>
      </c>
      <c r="BI258" s="23">
        <v>8.4593878877262704E-2</v>
      </c>
      <c r="BJ258" s="23">
        <v>5.7447105462779965E-2</v>
      </c>
      <c r="BK258" s="23">
        <v>8.5153852345557474E-2</v>
      </c>
      <c r="BL258" s="23">
        <v>7.4158058913035174E-2</v>
      </c>
      <c r="BM258" s="23">
        <v>7.5718189192107169E-2</v>
      </c>
      <c r="BN258" s="23">
        <v>7.3955559365675619E-2</v>
      </c>
    </row>
    <row r="259" spans="1:66" x14ac:dyDescent="0.25">
      <c r="A259" s="16">
        <v>2789</v>
      </c>
      <c r="B259" s="16" t="s">
        <v>455</v>
      </c>
      <c r="C259" s="17">
        <v>5000</v>
      </c>
      <c r="D259" s="17">
        <f t="shared" si="120"/>
        <v>445.9078297437112</v>
      </c>
      <c r="E259" s="17">
        <f t="shared" si="121"/>
        <v>533.26389417225994</v>
      </c>
      <c r="F259" s="17">
        <f t="shared" si="122"/>
        <v>471.94245424273822</v>
      </c>
      <c r="G259" s="17">
        <f t="shared" si="123"/>
        <v>357.47824934275246</v>
      </c>
      <c r="H259" s="17">
        <f t="shared" si="124"/>
        <v>518.42859052683809</v>
      </c>
      <c r="I259" s="17">
        <f t="shared" si="125"/>
        <v>424.85165476272317</v>
      </c>
      <c r="J259" s="17">
        <f t="shared" si="126"/>
        <v>422.96939438631352</v>
      </c>
      <c r="K259" s="17">
        <f t="shared" si="127"/>
        <v>287.23552731389981</v>
      </c>
      <c r="L259" s="17">
        <f t="shared" si="128"/>
        <v>425.76926172778735</v>
      </c>
      <c r="M259" s="17">
        <f t="shared" si="129"/>
        <v>370.79029456517588</v>
      </c>
      <c r="N259" s="17">
        <f t="shared" si="130"/>
        <v>378.59094596053586</v>
      </c>
      <c r="O259" s="17">
        <f t="shared" si="131"/>
        <v>369.77779682837809</v>
      </c>
      <c r="P259" s="17">
        <v>0</v>
      </c>
      <c r="Q259" s="17">
        <f t="shared" si="132"/>
        <v>0</v>
      </c>
      <c r="R259" s="17">
        <f t="shared" si="133"/>
        <v>0</v>
      </c>
      <c r="S259" s="17">
        <f t="shared" si="134"/>
        <v>0</v>
      </c>
      <c r="T259" s="17">
        <f t="shared" si="135"/>
        <v>0</v>
      </c>
      <c r="U259" s="17">
        <f t="shared" si="136"/>
        <v>0</v>
      </c>
      <c r="V259" s="17">
        <f t="shared" si="137"/>
        <v>0</v>
      </c>
      <c r="W259" s="17">
        <f t="shared" si="138"/>
        <v>0</v>
      </c>
      <c r="X259" s="17">
        <f t="shared" si="139"/>
        <v>0</v>
      </c>
      <c r="Y259" s="17">
        <f t="shared" si="140"/>
        <v>0</v>
      </c>
      <c r="Z259" s="17">
        <f t="shared" si="141"/>
        <v>0</v>
      </c>
      <c r="AA259" s="17">
        <f t="shared" si="142"/>
        <v>0</v>
      </c>
      <c r="AB259" s="17">
        <f t="shared" si="143"/>
        <v>0</v>
      </c>
      <c r="AC259" s="17">
        <v>0</v>
      </c>
      <c r="AD259" s="17">
        <f t="shared" si="144"/>
        <v>0</v>
      </c>
      <c r="AE259" s="17">
        <f t="shared" si="145"/>
        <v>0</v>
      </c>
      <c r="AF259" s="17">
        <f t="shared" si="146"/>
        <v>0</v>
      </c>
      <c r="AG259" s="17">
        <f t="shared" si="147"/>
        <v>0</v>
      </c>
      <c r="AH259" s="17">
        <f t="shared" si="148"/>
        <v>0</v>
      </c>
      <c r="AI259" s="17">
        <f t="shared" si="149"/>
        <v>0</v>
      </c>
      <c r="AJ259" s="17">
        <f t="shared" si="150"/>
        <v>0</v>
      </c>
      <c r="AK259" s="17">
        <f t="shared" si="151"/>
        <v>0</v>
      </c>
      <c r="AL259" s="17">
        <f t="shared" si="152"/>
        <v>0</v>
      </c>
      <c r="AM259" s="17">
        <f t="shared" si="153"/>
        <v>0</v>
      </c>
      <c r="AN259" s="17">
        <f t="shared" si="154"/>
        <v>0</v>
      </c>
      <c r="AO259" s="17">
        <f t="shared" si="155"/>
        <v>0</v>
      </c>
      <c r="AP259" s="17">
        <f t="shared" si="156"/>
        <v>5000</v>
      </c>
      <c r="AQ259" s="18">
        <v>321.05363741547205</v>
      </c>
      <c r="AR259" s="18">
        <v>383.95000380402712</v>
      </c>
      <c r="AS259" s="18">
        <v>339.79856705477152</v>
      </c>
      <c r="AT259" s="18">
        <v>257.38433952678179</v>
      </c>
      <c r="AU259" s="18">
        <v>373.26858517932345</v>
      </c>
      <c r="AV259" s="18">
        <v>305.89319142916071</v>
      </c>
      <c r="AW259" s="18">
        <v>304.53796395814572</v>
      </c>
      <c r="AX259" s="18">
        <v>206.80957966600786</v>
      </c>
      <c r="AY259" s="18">
        <v>306.55386844400692</v>
      </c>
      <c r="AZ259" s="18">
        <v>266.96901208692663</v>
      </c>
      <c r="BA259" s="18">
        <v>272.58548109158579</v>
      </c>
      <c r="BB259" s="18">
        <v>266.2400137164322</v>
      </c>
      <c r="BC259" s="23">
        <v>8.9181565948742242E-2</v>
      </c>
      <c r="BD259" s="23">
        <v>0.10665277883445198</v>
      </c>
      <c r="BE259" s="23">
        <v>9.438849084854764E-2</v>
      </c>
      <c r="BF259" s="23">
        <v>7.149564986855049E-2</v>
      </c>
      <c r="BG259" s="23">
        <v>0.10368571810536763</v>
      </c>
      <c r="BH259" s="23">
        <v>8.4970330952544637E-2</v>
      </c>
      <c r="BI259" s="23">
        <v>8.4593878877262704E-2</v>
      </c>
      <c r="BJ259" s="23">
        <v>5.7447105462779965E-2</v>
      </c>
      <c r="BK259" s="23">
        <v>8.5153852345557474E-2</v>
      </c>
      <c r="BL259" s="23">
        <v>7.4158058913035174E-2</v>
      </c>
      <c r="BM259" s="23">
        <v>7.5718189192107169E-2</v>
      </c>
      <c r="BN259" s="23">
        <v>7.3955559365675619E-2</v>
      </c>
    </row>
    <row r="260" spans="1:66" x14ac:dyDescent="0.25">
      <c r="A260" s="16">
        <v>3641</v>
      </c>
      <c r="B260" s="16" t="s">
        <v>456</v>
      </c>
      <c r="C260" s="17">
        <v>3500</v>
      </c>
      <c r="D260" s="17">
        <f t="shared" ref="D260:D323" si="157">+$C260*BC260</f>
        <v>312.13548082059782</v>
      </c>
      <c r="E260" s="17">
        <f t="shared" ref="E260:E323" si="158">+$C260*BD260</f>
        <v>373.28472592058193</v>
      </c>
      <c r="F260" s="17">
        <f t="shared" ref="F260:F323" si="159">+$C260*BE260</f>
        <v>330.35971796991674</v>
      </c>
      <c r="G260" s="17">
        <f t="shared" ref="G260:G323" si="160">+$C260*BF260</f>
        <v>250.23477453992672</v>
      </c>
      <c r="H260" s="17">
        <f t="shared" ref="H260:H323" si="161">+$C260*BG260</f>
        <v>362.90001336878669</v>
      </c>
      <c r="I260" s="17">
        <f t="shared" ref="I260:I323" si="162">+$C260*BH260</f>
        <v>297.39615833390621</v>
      </c>
      <c r="J260" s="17">
        <f t="shared" ref="J260:J323" si="163">+$C260*BI260</f>
        <v>296.07857607041944</v>
      </c>
      <c r="K260" s="17">
        <f t="shared" ref="K260:K323" si="164">+$C260*BJ260</f>
        <v>201.06486911972988</v>
      </c>
      <c r="L260" s="17">
        <f t="shared" ref="L260:L323" si="165">+$C260*BK260</f>
        <v>298.03848320945116</v>
      </c>
      <c r="M260" s="17">
        <f t="shared" ref="M260:M323" si="166">+$C260*BL260</f>
        <v>259.55320619562309</v>
      </c>
      <c r="N260" s="17">
        <f t="shared" ref="N260:N323" si="167">+$C260*BM260</f>
        <v>265.01366217237506</v>
      </c>
      <c r="O260" s="17">
        <f t="shared" ref="O260:O323" si="168">+$C260*BN260</f>
        <v>258.84445777986468</v>
      </c>
      <c r="P260" s="17">
        <v>0</v>
      </c>
      <c r="Q260" s="17">
        <f t="shared" ref="Q260:Q323" si="169">+$P260*BC260</f>
        <v>0</v>
      </c>
      <c r="R260" s="17">
        <f t="shared" ref="R260:R323" si="170">+$P260*BD260</f>
        <v>0</v>
      </c>
      <c r="S260" s="17">
        <f t="shared" ref="S260:S323" si="171">+$P260*BE260</f>
        <v>0</v>
      </c>
      <c r="T260" s="17">
        <f t="shared" ref="T260:T323" si="172">+$P260*BF260</f>
        <v>0</v>
      </c>
      <c r="U260" s="17">
        <f t="shared" ref="U260:U323" si="173">+$P260*BG260</f>
        <v>0</v>
      </c>
      <c r="V260" s="17">
        <f t="shared" ref="V260:V323" si="174">+$P260*BH260</f>
        <v>0</v>
      </c>
      <c r="W260" s="17">
        <f t="shared" ref="W260:W323" si="175">+$P260*BI260</f>
        <v>0</v>
      </c>
      <c r="X260" s="17">
        <f t="shared" ref="X260:X323" si="176">+$P260*BJ260</f>
        <v>0</v>
      </c>
      <c r="Y260" s="17">
        <f t="shared" ref="Y260:Y323" si="177">+$P260*BK260</f>
        <v>0</v>
      </c>
      <c r="Z260" s="17">
        <f t="shared" ref="Z260:Z323" si="178">+$P260*BL260</f>
        <v>0</v>
      </c>
      <c r="AA260" s="17">
        <f t="shared" ref="AA260:AA323" si="179">+$P260*BM260</f>
        <v>0</v>
      </c>
      <c r="AB260" s="17">
        <f t="shared" ref="AB260:AB323" si="180">+$P260*BN260</f>
        <v>0</v>
      </c>
      <c r="AC260" s="17">
        <v>0</v>
      </c>
      <c r="AD260" s="17">
        <f t="shared" ref="AD260:AD323" si="181">+$AC260*BC260</f>
        <v>0</v>
      </c>
      <c r="AE260" s="17">
        <f t="shared" ref="AE260:AE323" si="182">+$AC260*BD260</f>
        <v>0</v>
      </c>
      <c r="AF260" s="17">
        <f t="shared" ref="AF260:AF323" si="183">+$AC260*BE260</f>
        <v>0</v>
      </c>
      <c r="AG260" s="17">
        <f t="shared" ref="AG260:AG323" si="184">+$AC260*BF260</f>
        <v>0</v>
      </c>
      <c r="AH260" s="17">
        <f t="shared" ref="AH260:AH323" si="185">+$AC260*BG260</f>
        <v>0</v>
      </c>
      <c r="AI260" s="17">
        <f t="shared" ref="AI260:AI323" si="186">+$AC260*BH260</f>
        <v>0</v>
      </c>
      <c r="AJ260" s="17">
        <f t="shared" ref="AJ260:AJ323" si="187">+$AC260*BI260</f>
        <v>0</v>
      </c>
      <c r="AK260" s="17">
        <f t="shared" ref="AK260:AK323" si="188">+$AC260*BJ260</f>
        <v>0</v>
      </c>
      <c r="AL260" s="17">
        <f t="shared" ref="AL260:AL323" si="189">+$AC260*BK260</f>
        <v>0</v>
      </c>
      <c r="AM260" s="17">
        <f t="shared" ref="AM260:AM323" si="190">+$AC260*BL260</f>
        <v>0</v>
      </c>
      <c r="AN260" s="17">
        <f t="shared" ref="AN260:AN323" si="191">+$AC260*BM260</f>
        <v>0</v>
      </c>
      <c r="AO260" s="17">
        <f t="shared" ref="AO260:AO323" si="192">+$AC260*BN260</f>
        <v>0</v>
      </c>
      <c r="AP260" s="17">
        <f t="shared" ref="AP260:AP323" si="193">+AC260+P260+C260</f>
        <v>3500</v>
      </c>
      <c r="AQ260" s="18">
        <v>312.13548082059782</v>
      </c>
      <c r="AR260" s="18">
        <v>373.28472592058193</v>
      </c>
      <c r="AS260" s="18">
        <v>330.35971796991674</v>
      </c>
      <c r="AT260" s="18">
        <v>250.23477453992672</v>
      </c>
      <c r="AU260" s="18">
        <v>362.90001336878669</v>
      </c>
      <c r="AV260" s="18">
        <v>297.39615833390621</v>
      </c>
      <c r="AW260" s="18">
        <v>296.07857607041944</v>
      </c>
      <c r="AX260" s="18">
        <v>201.06486911972988</v>
      </c>
      <c r="AY260" s="18">
        <v>298.03848320945116</v>
      </c>
      <c r="AZ260" s="18">
        <v>259.55320619562309</v>
      </c>
      <c r="BA260" s="18">
        <v>265.01366217237506</v>
      </c>
      <c r="BB260" s="18">
        <v>258.84445777986468</v>
      </c>
      <c r="BC260" s="23">
        <v>8.9181565948742242E-2</v>
      </c>
      <c r="BD260" s="23">
        <v>0.10665277883445198</v>
      </c>
      <c r="BE260" s="23">
        <v>9.438849084854764E-2</v>
      </c>
      <c r="BF260" s="23">
        <v>7.149564986855049E-2</v>
      </c>
      <c r="BG260" s="23">
        <v>0.10368571810536763</v>
      </c>
      <c r="BH260" s="23">
        <v>8.4970330952544637E-2</v>
      </c>
      <c r="BI260" s="23">
        <v>8.4593878877262704E-2</v>
      </c>
      <c r="BJ260" s="23">
        <v>5.7447105462779965E-2</v>
      </c>
      <c r="BK260" s="23">
        <v>8.5153852345557474E-2</v>
      </c>
      <c r="BL260" s="23">
        <v>7.4158058913035174E-2</v>
      </c>
      <c r="BM260" s="23">
        <v>7.5718189192107169E-2</v>
      </c>
      <c r="BN260" s="23">
        <v>7.3955559365675619E-2</v>
      </c>
    </row>
    <row r="261" spans="1:66" x14ac:dyDescent="0.25">
      <c r="A261" s="16">
        <v>4014</v>
      </c>
      <c r="B261" s="16" t="s">
        <v>457</v>
      </c>
      <c r="C261" s="17">
        <v>0</v>
      </c>
      <c r="D261" s="17">
        <f t="shared" si="157"/>
        <v>0</v>
      </c>
      <c r="E261" s="17">
        <f t="shared" si="158"/>
        <v>0</v>
      </c>
      <c r="F261" s="17">
        <f t="shared" si="159"/>
        <v>0</v>
      </c>
      <c r="G261" s="17">
        <f t="shared" si="160"/>
        <v>0</v>
      </c>
      <c r="H261" s="17">
        <f t="shared" si="161"/>
        <v>0</v>
      </c>
      <c r="I261" s="17">
        <f t="shared" si="162"/>
        <v>0</v>
      </c>
      <c r="J261" s="17">
        <f t="shared" si="163"/>
        <v>0</v>
      </c>
      <c r="K261" s="17">
        <f t="shared" si="164"/>
        <v>0</v>
      </c>
      <c r="L261" s="17">
        <f t="shared" si="165"/>
        <v>0</v>
      </c>
      <c r="M261" s="17">
        <f t="shared" si="166"/>
        <v>0</v>
      </c>
      <c r="N261" s="17">
        <f t="shared" si="167"/>
        <v>0</v>
      </c>
      <c r="O261" s="17">
        <f t="shared" si="168"/>
        <v>0</v>
      </c>
      <c r="P261" s="17">
        <v>3000</v>
      </c>
      <c r="Q261" s="17">
        <f t="shared" si="169"/>
        <v>267.54469784622671</v>
      </c>
      <c r="R261" s="17">
        <f t="shared" si="170"/>
        <v>319.95833650335595</v>
      </c>
      <c r="S261" s="17">
        <f t="shared" si="171"/>
        <v>283.1654725456429</v>
      </c>
      <c r="T261" s="17">
        <f t="shared" si="172"/>
        <v>214.48694960565146</v>
      </c>
      <c r="U261" s="17">
        <f t="shared" si="173"/>
        <v>311.05715431610287</v>
      </c>
      <c r="V261" s="17">
        <f t="shared" si="174"/>
        <v>254.91099285763391</v>
      </c>
      <c r="W261" s="17">
        <f t="shared" si="175"/>
        <v>253.7816366317881</v>
      </c>
      <c r="X261" s="17">
        <f t="shared" si="176"/>
        <v>172.34131638833989</v>
      </c>
      <c r="Y261" s="17">
        <f t="shared" si="177"/>
        <v>255.46155703667242</v>
      </c>
      <c r="Z261" s="17">
        <f t="shared" si="178"/>
        <v>222.47417673910553</v>
      </c>
      <c r="AA261" s="17">
        <f t="shared" si="179"/>
        <v>227.15456757632151</v>
      </c>
      <c r="AB261" s="17">
        <f t="shared" si="180"/>
        <v>221.86667809702686</v>
      </c>
      <c r="AC261" s="17">
        <v>0</v>
      </c>
      <c r="AD261" s="17">
        <f t="shared" si="181"/>
        <v>0</v>
      </c>
      <c r="AE261" s="17">
        <f t="shared" si="182"/>
        <v>0</v>
      </c>
      <c r="AF261" s="17">
        <f t="shared" si="183"/>
        <v>0</v>
      </c>
      <c r="AG261" s="17">
        <f t="shared" si="184"/>
        <v>0</v>
      </c>
      <c r="AH261" s="17">
        <f t="shared" si="185"/>
        <v>0</v>
      </c>
      <c r="AI261" s="17">
        <f t="shared" si="186"/>
        <v>0</v>
      </c>
      <c r="AJ261" s="17">
        <f t="shared" si="187"/>
        <v>0</v>
      </c>
      <c r="AK261" s="17">
        <f t="shared" si="188"/>
        <v>0</v>
      </c>
      <c r="AL261" s="17">
        <f t="shared" si="189"/>
        <v>0</v>
      </c>
      <c r="AM261" s="17">
        <f t="shared" si="190"/>
        <v>0</v>
      </c>
      <c r="AN261" s="17">
        <f t="shared" si="191"/>
        <v>0</v>
      </c>
      <c r="AO261" s="17">
        <f t="shared" si="192"/>
        <v>0</v>
      </c>
      <c r="AP261" s="17">
        <f t="shared" si="193"/>
        <v>3000</v>
      </c>
      <c r="AQ261" s="18">
        <v>312.13548082059782</v>
      </c>
      <c r="AR261" s="18">
        <v>373.28472592058193</v>
      </c>
      <c r="AS261" s="18">
        <v>330.35971796991674</v>
      </c>
      <c r="AT261" s="18">
        <v>250.23477453992672</v>
      </c>
      <c r="AU261" s="18">
        <v>362.90001336878669</v>
      </c>
      <c r="AV261" s="18">
        <v>297.39615833390621</v>
      </c>
      <c r="AW261" s="18">
        <v>296.07857607041944</v>
      </c>
      <c r="AX261" s="18">
        <v>201.06486911972988</v>
      </c>
      <c r="AY261" s="18">
        <v>298.03848320945116</v>
      </c>
      <c r="AZ261" s="18">
        <v>259.55320619562309</v>
      </c>
      <c r="BA261" s="18">
        <v>265.01366217237506</v>
      </c>
      <c r="BB261" s="18">
        <v>258.84445777986468</v>
      </c>
      <c r="BC261" s="23">
        <v>8.9181565948742242E-2</v>
      </c>
      <c r="BD261" s="23">
        <v>0.10665277883445198</v>
      </c>
      <c r="BE261" s="23">
        <v>9.438849084854764E-2</v>
      </c>
      <c r="BF261" s="23">
        <v>7.149564986855049E-2</v>
      </c>
      <c r="BG261" s="23">
        <v>0.10368571810536763</v>
      </c>
      <c r="BH261" s="23">
        <v>8.4970330952544637E-2</v>
      </c>
      <c r="BI261" s="23">
        <v>8.4593878877262704E-2</v>
      </c>
      <c r="BJ261" s="23">
        <v>5.7447105462779965E-2</v>
      </c>
      <c r="BK261" s="23">
        <v>8.5153852345557474E-2</v>
      </c>
      <c r="BL261" s="23">
        <v>7.4158058913035174E-2</v>
      </c>
      <c r="BM261" s="23">
        <v>7.5718189192107169E-2</v>
      </c>
      <c r="BN261" s="23">
        <v>7.3955559365675619E-2</v>
      </c>
    </row>
    <row r="262" spans="1:66" x14ac:dyDescent="0.25">
      <c r="A262" s="16">
        <v>4227</v>
      </c>
      <c r="B262" s="16" t="s">
        <v>458</v>
      </c>
      <c r="C262" s="17">
        <v>3500</v>
      </c>
      <c r="D262" s="17">
        <f t="shared" si="157"/>
        <v>312.13548082059782</v>
      </c>
      <c r="E262" s="17">
        <f t="shared" si="158"/>
        <v>373.28472592058193</v>
      </c>
      <c r="F262" s="17">
        <f t="shared" si="159"/>
        <v>330.35971796991674</v>
      </c>
      <c r="G262" s="17">
        <f t="shared" si="160"/>
        <v>250.23477453992672</v>
      </c>
      <c r="H262" s="17">
        <f t="shared" si="161"/>
        <v>362.90001336878669</v>
      </c>
      <c r="I262" s="17">
        <f t="shared" si="162"/>
        <v>297.39615833390621</v>
      </c>
      <c r="J262" s="17">
        <f t="shared" si="163"/>
        <v>296.07857607041944</v>
      </c>
      <c r="K262" s="17">
        <f t="shared" si="164"/>
        <v>201.06486911972988</v>
      </c>
      <c r="L262" s="17">
        <f t="shared" si="165"/>
        <v>298.03848320945116</v>
      </c>
      <c r="M262" s="17">
        <f t="shared" si="166"/>
        <v>259.55320619562309</v>
      </c>
      <c r="N262" s="17">
        <f t="shared" si="167"/>
        <v>265.01366217237506</v>
      </c>
      <c r="O262" s="17">
        <f t="shared" si="168"/>
        <v>258.84445777986468</v>
      </c>
      <c r="P262" s="17">
        <v>0</v>
      </c>
      <c r="Q262" s="17">
        <f t="shared" si="169"/>
        <v>0</v>
      </c>
      <c r="R262" s="17">
        <f t="shared" si="170"/>
        <v>0</v>
      </c>
      <c r="S262" s="17">
        <f t="shared" si="171"/>
        <v>0</v>
      </c>
      <c r="T262" s="17">
        <f t="shared" si="172"/>
        <v>0</v>
      </c>
      <c r="U262" s="17">
        <f t="shared" si="173"/>
        <v>0</v>
      </c>
      <c r="V262" s="17">
        <f t="shared" si="174"/>
        <v>0</v>
      </c>
      <c r="W262" s="17">
        <f t="shared" si="175"/>
        <v>0</v>
      </c>
      <c r="X262" s="17">
        <f t="shared" si="176"/>
        <v>0</v>
      </c>
      <c r="Y262" s="17">
        <f t="shared" si="177"/>
        <v>0</v>
      </c>
      <c r="Z262" s="17">
        <f t="shared" si="178"/>
        <v>0</v>
      </c>
      <c r="AA262" s="17">
        <f t="shared" si="179"/>
        <v>0</v>
      </c>
      <c r="AB262" s="17">
        <f t="shared" si="180"/>
        <v>0</v>
      </c>
      <c r="AC262" s="17">
        <v>0</v>
      </c>
      <c r="AD262" s="17">
        <f t="shared" si="181"/>
        <v>0</v>
      </c>
      <c r="AE262" s="17">
        <f t="shared" si="182"/>
        <v>0</v>
      </c>
      <c r="AF262" s="17">
        <f t="shared" si="183"/>
        <v>0</v>
      </c>
      <c r="AG262" s="17">
        <f t="shared" si="184"/>
        <v>0</v>
      </c>
      <c r="AH262" s="17">
        <f t="shared" si="185"/>
        <v>0</v>
      </c>
      <c r="AI262" s="17">
        <f t="shared" si="186"/>
        <v>0</v>
      </c>
      <c r="AJ262" s="17">
        <f t="shared" si="187"/>
        <v>0</v>
      </c>
      <c r="AK262" s="17">
        <f t="shared" si="188"/>
        <v>0</v>
      </c>
      <c r="AL262" s="17">
        <f t="shared" si="189"/>
        <v>0</v>
      </c>
      <c r="AM262" s="17">
        <f t="shared" si="190"/>
        <v>0</v>
      </c>
      <c r="AN262" s="17">
        <f t="shared" si="191"/>
        <v>0</v>
      </c>
      <c r="AO262" s="17">
        <f t="shared" si="192"/>
        <v>0</v>
      </c>
      <c r="AP262" s="17">
        <f t="shared" si="193"/>
        <v>3500</v>
      </c>
      <c r="AQ262" s="18">
        <v>312.13548082059782</v>
      </c>
      <c r="AR262" s="18">
        <v>373.28472592058193</v>
      </c>
      <c r="AS262" s="18">
        <v>330.35971796991674</v>
      </c>
      <c r="AT262" s="18">
        <v>250.23477453992672</v>
      </c>
      <c r="AU262" s="18">
        <v>362.90001336878669</v>
      </c>
      <c r="AV262" s="18">
        <v>297.39615833390621</v>
      </c>
      <c r="AW262" s="18">
        <v>296.07857607041944</v>
      </c>
      <c r="AX262" s="18">
        <v>201.06486911972988</v>
      </c>
      <c r="AY262" s="18">
        <v>298.03848320945116</v>
      </c>
      <c r="AZ262" s="18">
        <v>259.55320619562309</v>
      </c>
      <c r="BA262" s="18">
        <v>265.01366217237506</v>
      </c>
      <c r="BB262" s="18">
        <v>258.84445777986468</v>
      </c>
      <c r="BC262" s="23">
        <v>8.9181565948742242E-2</v>
      </c>
      <c r="BD262" s="23">
        <v>0.10665277883445198</v>
      </c>
      <c r="BE262" s="23">
        <v>9.438849084854764E-2</v>
      </c>
      <c r="BF262" s="23">
        <v>7.149564986855049E-2</v>
      </c>
      <c r="BG262" s="23">
        <v>0.10368571810536763</v>
      </c>
      <c r="BH262" s="23">
        <v>8.4970330952544637E-2</v>
      </c>
      <c r="BI262" s="23">
        <v>8.4593878877262704E-2</v>
      </c>
      <c r="BJ262" s="23">
        <v>5.7447105462779965E-2</v>
      </c>
      <c r="BK262" s="23">
        <v>8.5153852345557474E-2</v>
      </c>
      <c r="BL262" s="23">
        <v>7.4158058913035174E-2</v>
      </c>
      <c r="BM262" s="23">
        <v>7.5718189192107169E-2</v>
      </c>
      <c r="BN262" s="23">
        <v>7.3955559365675619E-2</v>
      </c>
    </row>
    <row r="263" spans="1:66" x14ac:dyDescent="0.25">
      <c r="A263" s="16">
        <v>6632</v>
      </c>
      <c r="B263" s="16" t="s">
        <v>459</v>
      </c>
      <c r="C263" s="17">
        <v>3500</v>
      </c>
      <c r="D263" s="17">
        <f t="shared" si="157"/>
        <v>312.13548082059782</v>
      </c>
      <c r="E263" s="17">
        <f t="shared" si="158"/>
        <v>373.28472592058193</v>
      </c>
      <c r="F263" s="17">
        <f t="shared" si="159"/>
        <v>330.35971796991674</v>
      </c>
      <c r="G263" s="17">
        <f t="shared" si="160"/>
        <v>250.23477453992672</v>
      </c>
      <c r="H263" s="17">
        <f t="shared" si="161"/>
        <v>362.90001336878669</v>
      </c>
      <c r="I263" s="17">
        <f t="shared" si="162"/>
        <v>297.39615833390621</v>
      </c>
      <c r="J263" s="17">
        <f t="shared" si="163"/>
        <v>296.07857607041944</v>
      </c>
      <c r="K263" s="17">
        <f t="shared" si="164"/>
        <v>201.06486911972988</v>
      </c>
      <c r="L263" s="17">
        <f t="shared" si="165"/>
        <v>298.03848320945116</v>
      </c>
      <c r="M263" s="17">
        <f t="shared" si="166"/>
        <v>259.55320619562309</v>
      </c>
      <c r="N263" s="17">
        <f t="shared" si="167"/>
        <v>265.01366217237506</v>
      </c>
      <c r="O263" s="17">
        <f t="shared" si="168"/>
        <v>258.84445777986468</v>
      </c>
      <c r="P263" s="17">
        <v>0</v>
      </c>
      <c r="Q263" s="17">
        <f t="shared" si="169"/>
        <v>0</v>
      </c>
      <c r="R263" s="17">
        <f t="shared" si="170"/>
        <v>0</v>
      </c>
      <c r="S263" s="17">
        <f t="shared" si="171"/>
        <v>0</v>
      </c>
      <c r="T263" s="17">
        <f t="shared" si="172"/>
        <v>0</v>
      </c>
      <c r="U263" s="17">
        <f t="shared" si="173"/>
        <v>0</v>
      </c>
      <c r="V263" s="17">
        <f t="shared" si="174"/>
        <v>0</v>
      </c>
      <c r="W263" s="17">
        <f t="shared" si="175"/>
        <v>0</v>
      </c>
      <c r="X263" s="17">
        <f t="shared" si="176"/>
        <v>0</v>
      </c>
      <c r="Y263" s="17">
        <f t="shared" si="177"/>
        <v>0</v>
      </c>
      <c r="Z263" s="17">
        <f t="shared" si="178"/>
        <v>0</v>
      </c>
      <c r="AA263" s="17">
        <f t="shared" si="179"/>
        <v>0</v>
      </c>
      <c r="AB263" s="17">
        <f t="shared" si="180"/>
        <v>0</v>
      </c>
      <c r="AC263" s="17">
        <v>0</v>
      </c>
      <c r="AD263" s="17">
        <f t="shared" si="181"/>
        <v>0</v>
      </c>
      <c r="AE263" s="17">
        <f t="shared" si="182"/>
        <v>0</v>
      </c>
      <c r="AF263" s="17">
        <f t="shared" si="183"/>
        <v>0</v>
      </c>
      <c r="AG263" s="17">
        <f t="shared" si="184"/>
        <v>0</v>
      </c>
      <c r="AH263" s="17">
        <f t="shared" si="185"/>
        <v>0</v>
      </c>
      <c r="AI263" s="17">
        <f t="shared" si="186"/>
        <v>0</v>
      </c>
      <c r="AJ263" s="17">
        <f t="shared" si="187"/>
        <v>0</v>
      </c>
      <c r="AK263" s="17">
        <f t="shared" si="188"/>
        <v>0</v>
      </c>
      <c r="AL263" s="17">
        <f t="shared" si="189"/>
        <v>0</v>
      </c>
      <c r="AM263" s="17">
        <f t="shared" si="190"/>
        <v>0</v>
      </c>
      <c r="AN263" s="17">
        <f t="shared" si="191"/>
        <v>0</v>
      </c>
      <c r="AO263" s="17">
        <f t="shared" si="192"/>
        <v>0</v>
      </c>
      <c r="AP263" s="17">
        <f t="shared" si="193"/>
        <v>3500</v>
      </c>
      <c r="AQ263" s="18">
        <v>312.13548082059782</v>
      </c>
      <c r="AR263" s="18">
        <v>373.28472592058193</v>
      </c>
      <c r="AS263" s="18">
        <v>330.35971796991674</v>
      </c>
      <c r="AT263" s="18">
        <v>250.23477453992672</v>
      </c>
      <c r="AU263" s="18">
        <v>362.90001336878669</v>
      </c>
      <c r="AV263" s="18">
        <v>297.39615833390621</v>
      </c>
      <c r="AW263" s="18">
        <v>296.07857607041944</v>
      </c>
      <c r="AX263" s="18">
        <v>201.06486911972988</v>
      </c>
      <c r="AY263" s="18">
        <v>298.03848320945116</v>
      </c>
      <c r="AZ263" s="18">
        <v>259.55320619562309</v>
      </c>
      <c r="BA263" s="18">
        <v>265.01366217237506</v>
      </c>
      <c r="BB263" s="18">
        <v>258.84445777986468</v>
      </c>
      <c r="BC263" s="23">
        <v>8.9181565948742242E-2</v>
      </c>
      <c r="BD263" s="23">
        <v>0.10665277883445198</v>
      </c>
      <c r="BE263" s="23">
        <v>9.438849084854764E-2</v>
      </c>
      <c r="BF263" s="23">
        <v>7.149564986855049E-2</v>
      </c>
      <c r="BG263" s="23">
        <v>0.10368571810536763</v>
      </c>
      <c r="BH263" s="23">
        <v>8.4970330952544637E-2</v>
      </c>
      <c r="BI263" s="23">
        <v>8.4593878877262704E-2</v>
      </c>
      <c r="BJ263" s="23">
        <v>5.7447105462779965E-2</v>
      </c>
      <c r="BK263" s="23">
        <v>8.5153852345557474E-2</v>
      </c>
      <c r="BL263" s="23">
        <v>7.4158058913035174E-2</v>
      </c>
      <c r="BM263" s="23">
        <v>7.5718189192107169E-2</v>
      </c>
      <c r="BN263" s="23">
        <v>7.3955559365675619E-2</v>
      </c>
    </row>
    <row r="264" spans="1:66" x14ac:dyDescent="0.25">
      <c r="A264" s="16">
        <v>17078</v>
      </c>
      <c r="B264" s="16" t="s">
        <v>460</v>
      </c>
      <c r="C264" s="17">
        <v>3500</v>
      </c>
      <c r="D264" s="17">
        <f t="shared" si="157"/>
        <v>312.13548082059782</v>
      </c>
      <c r="E264" s="17">
        <f t="shared" si="158"/>
        <v>373.28472592058193</v>
      </c>
      <c r="F264" s="17">
        <f t="shared" si="159"/>
        <v>330.35971796991674</v>
      </c>
      <c r="G264" s="17">
        <f t="shared" si="160"/>
        <v>250.23477453992672</v>
      </c>
      <c r="H264" s="17">
        <f t="shared" si="161"/>
        <v>362.90001336878669</v>
      </c>
      <c r="I264" s="17">
        <f t="shared" si="162"/>
        <v>297.39615833390621</v>
      </c>
      <c r="J264" s="17">
        <f t="shared" si="163"/>
        <v>296.07857607041944</v>
      </c>
      <c r="K264" s="17">
        <f t="shared" si="164"/>
        <v>201.06486911972988</v>
      </c>
      <c r="L264" s="17">
        <f t="shared" si="165"/>
        <v>298.03848320945116</v>
      </c>
      <c r="M264" s="17">
        <f t="shared" si="166"/>
        <v>259.55320619562309</v>
      </c>
      <c r="N264" s="17">
        <f t="shared" si="167"/>
        <v>265.01366217237506</v>
      </c>
      <c r="O264" s="17">
        <f t="shared" si="168"/>
        <v>258.84445777986468</v>
      </c>
      <c r="P264" s="17">
        <v>0</v>
      </c>
      <c r="Q264" s="17">
        <f t="shared" si="169"/>
        <v>0</v>
      </c>
      <c r="R264" s="17">
        <f t="shared" si="170"/>
        <v>0</v>
      </c>
      <c r="S264" s="17">
        <f t="shared" si="171"/>
        <v>0</v>
      </c>
      <c r="T264" s="17">
        <f t="shared" si="172"/>
        <v>0</v>
      </c>
      <c r="U264" s="17">
        <f t="shared" si="173"/>
        <v>0</v>
      </c>
      <c r="V264" s="17">
        <f t="shared" si="174"/>
        <v>0</v>
      </c>
      <c r="W264" s="17">
        <f t="shared" si="175"/>
        <v>0</v>
      </c>
      <c r="X264" s="17">
        <f t="shared" si="176"/>
        <v>0</v>
      </c>
      <c r="Y264" s="17">
        <f t="shared" si="177"/>
        <v>0</v>
      </c>
      <c r="Z264" s="17">
        <f t="shared" si="178"/>
        <v>0</v>
      </c>
      <c r="AA264" s="17">
        <f t="shared" si="179"/>
        <v>0</v>
      </c>
      <c r="AB264" s="17">
        <f t="shared" si="180"/>
        <v>0</v>
      </c>
      <c r="AC264" s="17">
        <v>0</v>
      </c>
      <c r="AD264" s="17">
        <f t="shared" si="181"/>
        <v>0</v>
      </c>
      <c r="AE264" s="17">
        <f t="shared" si="182"/>
        <v>0</v>
      </c>
      <c r="AF264" s="17">
        <f t="shared" si="183"/>
        <v>0</v>
      </c>
      <c r="AG264" s="17">
        <f t="shared" si="184"/>
        <v>0</v>
      </c>
      <c r="AH264" s="17">
        <f t="shared" si="185"/>
        <v>0</v>
      </c>
      <c r="AI264" s="17">
        <f t="shared" si="186"/>
        <v>0</v>
      </c>
      <c r="AJ264" s="17">
        <f t="shared" si="187"/>
        <v>0</v>
      </c>
      <c r="AK264" s="17">
        <f t="shared" si="188"/>
        <v>0</v>
      </c>
      <c r="AL264" s="17">
        <f t="shared" si="189"/>
        <v>0</v>
      </c>
      <c r="AM264" s="17">
        <f t="shared" si="190"/>
        <v>0</v>
      </c>
      <c r="AN264" s="17">
        <f t="shared" si="191"/>
        <v>0</v>
      </c>
      <c r="AO264" s="17">
        <f t="shared" si="192"/>
        <v>0</v>
      </c>
      <c r="AP264" s="17">
        <f t="shared" si="193"/>
        <v>3500</v>
      </c>
      <c r="AQ264" s="18">
        <v>327.34093781485842</v>
      </c>
      <c r="AR264" s="18">
        <v>391.46902471185598</v>
      </c>
      <c r="AS264" s="18">
        <v>346.45295565959412</v>
      </c>
      <c r="AT264" s="18">
        <v>262.42478284251456</v>
      </c>
      <c r="AU264" s="18">
        <v>380.57842830575186</v>
      </c>
      <c r="AV264" s="18">
        <v>311.88359976131511</v>
      </c>
      <c r="AW264" s="18">
        <v>310.50183241899276</v>
      </c>
      <c r="AX264" s="18">
        <v>210.85960060113388</v>
      </c>
      <c r="AY264" s="18">
        <v>312.55721503436871</v>
      </c>
      <c r="AZ264" s="18">
        <v>272.19715524029561</v>
      </c>
      <c r="BA264" s="18">
        <v>277.92361342962937</v>
      </c>
      <c r="BB264" s="18">
        <v>271.45388065171238</v>
      </c>
      <c r="BC264" s="23">
        <v>8.9181565948742242E-2</v>
      </c>
      <c r="BD264" s="23">
        <v>0.10665277883445198</v>
      </c>
      <c r="BE264" s="23">
        <v>9.438849084854764E-2</v>
      </c>
      <c r="BF264" s="23">
        <v>7.149564986855049E-2</v>
      </c>
      <c r="BG264" s="23">
        <v>0.10368571810536763</v>
      </c>
      <c r="BH264" s="23">
        <v>8.4970330952544637E-2</v>
      </c>
      <c r="BI264" s="23">
        <v>8.4593878877262704E-2</v>
      </c>
      <c r="BJ264" s="23">
        <v>5.7447105462779965E-2</v>
      </c>
      <c r="BK264" s="23">
        <v>8.5153852345557474E-2</v>
      </c>
      <c r="BL264" s="23">
        <v>7.4158058913035174E-2</v>
      </c>
      <c r="BM264" s="23">
        <v>7.5718189192107169E-2</v>
      </c>
      <c r="BN264" s="23">
        <v>7.3955559365675619E-2</v>
      </c>
    </row>
    <row r="265" spans="1:66" x14ac:dyDescent="0.25">
      <c r="A265" s="16">
        <v>5199</v>
      </c>
      <c r="B265" s="16" t="s">
        <v>461</v>
      </c>
      <c r="C265" s="17">
        <v>3200</v>
      </c>
      <c r="D265" s="17">
        <f t="shared" si="157"/>
        <v>285.38101103597518</v>
      </c>
      <c r="E265" s="17">
        <f t="shared" si="158"/>
        <v>341.28889227024632</v>
      </c>
      <c r="F265" s="17">
        <f t="shared" si="159"/>
        <v>302.04317071535246</v>
      </c>
      <c r="G265" s="17">
        <f t="shared" si="160"/>
        <v>228.78607957936157</v>
      </c>
      <c r="H265" s="17">
        <f t="shared" si="161"/>
        <v>331.7942979371764</v>
      </c>
      <c r="I265" s="17">
        <f t="shared" si="162"/>
        <v>271.90505904814285</v>
      </c>
      <c r="J265" s="17">
        <f t="shared" si="163"/>
        <v>270.70041240724066</v>
      </c>
      <c r="K265" s="17">
        <f t="shared" si="164"/>
        <v>183.83073748089589</v>
      </c>
      <c r="L265" s="17">
        <f t="shared" si="165"/>
        <v>272.49232750578392</v>
      </c>
      <c r="M265" s="17">
        <f t="shared" si="166"/>
        <v>237.30578852171254</v>
      </c>
      <c r="N265" s="17">
        <f t="shared" si="167"/>
        <v>242.29820541474294</v>
      </c>
      <c r="O265" s="17">
        <f t="shared" si="168"/>
        <v>236.65778997016199</v>
      </c>
      <c r="P265" s="17">
        <v>0</v>
      </c>
      <c r="Q265" s="17">
        <f t="shared" si="169"/>
        <v>0</v>
      </c>
      <c r="R265" s="17">
        <f t="shared" si="170"/>
        <v>0</v>
      </c>
      <c r="S265" s="17">
        <f t="shared" si="171"/>
        <v>0</v>
      </c>
      <c r="T265" s="17">
        <f t="shared" si="172"/>
        <v>0</v>
      </c>
      <c r="U265" s="17">
        <f t="shared" si="173"/>
        <v>0</v>
      </c>
      <c r="V265" s="17">
        <f t="shared" si="174"/>
        <v>0</v>
      </c>
      <c r="W265" s="17">
        <f t="shared" si="175"/>
        <v>0</v>
      </c>
      <c r="X265" s="17">
        <f t="shared" si="176"/>
        <v>0</v>
      </c>
      <c r="Y265" s="17">
        <f t="shared" si="177"/>
        <v>0</v>
      </c>
      <c r="Z265" s="17">
        <f t="shared" si="178"/>
        <v>0</v>
      </c>
      <c r="AA265" s="17">
        <f t="shared" si="179"/>
        <v>0</v>
      </c>
      <c r="AB265" s="17">
        <f t="shared" si="180"/>
        <v>0</v>
      </c>
      <c r="AC265" s="17">
        <v>0</v>
      </c>
      <c r="AD265" s="17">
        <f t="shared" si="181"/>
        <v>0</v>
      </c>
      <c r="AE265" s="17">
        <f t="shared" si="182"/>
        <v>0</v>
      </c>
      <c r="AF265" s="17">
        <f t="shared" si="183"/>
        <v>0</v>
      </c>
      <c r="AG265" s="17">
        <f t="shared" si="184"/>
        <v>0</v>
      </c>
      <c r="AH265" s="17">
        <f t="shared" si="185"/>
        <v>0</v>
      </c>
      <c r="AI265" s="17">
        <f t="shared" si="186"/>
        <v>0</v>
      </c>
      <c r="AJ265" s="17">
        <f t="shared" si="187"/>
        <v>0</v>
      </c>
      <c r="AK265" s="17">
        <f t="shared" si="188"/>
        <v>0</v>
      </c>
      <c r="AL265" s="17">
        <f t="shared" si="189"/>
        <v>0</v>
      </c>
      <c r="AM265" s="17">
        <f t="shared" si="190"/>
        <v>0</v>
      </c>
      <c r="AN265" s="17">
        <f t="shared" si="191"/>
        <v>0</v>
      </c>
      <c r="AO265" s="17">
        <f t="shared" si="192"/>
        <v>0</v>
      </c>
      <c r="AP265" s="17">
        <f t="shared" si="193"/>
        <v>3200</v>
      </c>
      <c r="AQ265" s="18">
        <v>312.13548082059782</v>
      </c>
      <c r="AR265" s="18">
        <v>373.28472592058193</v>
      </c>
      <c r="AS265" s="18">
        <v>330.35971796991674</v>
      </c>
      <c r="AT265" s="18">
        <v>250.23477453992672</v>
      </c>
      <c r="AU265" s="18">
        <v>362.90001336878669</v>
      </c>
      <c r="AV265" s="18">
        <v>297.39615833390621</v>
      </c>
      <c r="AW265" s="18">
        <v>296.07857607041944</v>
      </c>
      <c r="AX265" s="18">
        <v>201.06486911972988</v>
      </c>
      <c r="AY265" s="18">
        <v>298.03848320945116</v>
      </c>
      <c r="AZ265" s="18">
        <v>259.55320619562309</v>
      </c>
      <c r="BA265" s="18">
        <v>265.01366217237506</v>
      </c>
      <c r="BB265" s="18">
        <v>258.84445777986468</v>
      </c>
      <c r="BC265" s="23">
        <v>8.9181565948742242E-2</v>
      </c>
      <c r="BD265" s="23">
        <v>0.10665277883445198</v>
      </c>
      <c r="BE265" s="23">
        <v>9.438849084854764E-2</v>
      </c>
      <c r="BF265" s="23">
        <v>7.149564986855049E-2</v>
      </c>
      <c r="BG265" s="23">
        <v>0.10368571810536763</v>
      </c>
      <c r="BH265" s="23">
        <v>8.4970330952544637E-2</v>
      </c>
      <c r="BI265" s="23">
        <v>8.4593878877262704E-2</v>
      </c>
      <c r="BJ265" s="23">
        <v>5.7447105462779965E-2</v>
      </c>
      <c r="BK265" s="23">
        <v>8.5153852345557474E-2</v>
      </c>
      <c r="BL265" s="23">
        <v>7.4158058913035174E-2</v>
      </c>
      <c r="BM265" s="23">
        <v>7.5718189192107169E-2</v>
      </c>
      <c r="BN265" s="23">
        <v>7.3955559365675619E-2</v>
      </c>
    </row>
    <row r="266" spans="1:66" x14ac:dyDescent="0.25">
      <c r="A266" s="16">
        <v>5343</v>
      </c>
      <c r="B266" s="16" t="s">
        <v>462</v>
      </c>
      <c r="C266" s="17">
        <v>0</v>
      </c>
      <c r="D266" s="17">
        <f t="shared" si="157"/>
        <v>0</v>
      </c>
      <c r="E266" s="17">
        <f t="shared" si="158"/>
        <v>0</v>
      </c>
      <c r="F266" s="17">
        <f t="shared" si="159"/>
        <v>0</v>
      </c>
      <c r="G266" s="17">
        <f t="shared" si="160"/>
        <v>0</v>
      </c>
      <c r="H266" s="17">
        <f t="shared" si="161"/>
        <v>0</v>
      </c>
      <c r="I266" s="17">
        <f t="shared" si="162"/>
        <v>0</v>
      </c>
      <c r="J266" s="17">
        <f t="shared" si="163"/>
        <v>0</v>
      </c>
      <c r="K266" s="17">
        <f t="shared" si="164"/>
        <v>0</v>
      </c>
      <c r="L266" s="17">
        <f t="shared" si="165"/>
        <v>0</v>
      </c>
      <c r="M266" s="17">
        <f t="shared" si="166"/>
        <v>0</v>
      </c>
      <c r="N266" s="17">
        <f t="shared" si="167"/>
        <v>0</v>
      </c>
      <c r="O266" s="17">
        <f t="shared" si="168"/>
        <v>0</v>
      </c>
      <c r="P266" s="17">
        <v>0</v>
      </c>
      <c r="Q266" s="17">
        <f t="shared" si="169"/>
        <v>0</v>
      </c>
      <c r="R266" s="17">
        <f t="shared" si="170"/>
        <v>0</v>
      </c>
      <c r="S266" s="17">
        <f t="shared" si="171"/>
        <v>0</v>
      </c>
      <c r="T266" s="17">
        <f t="shared" si="172"/>
        <v>0</v>
      </c>
      <c r="U266" s="17">
        <f t="shared" si="173"/>
        <v>0</v>
      </c>
      <c r="V266" s="17">
        <f t="shared" si="174"/>
        <v>0</v>
      </c>
      <c r="W266" s="17">
        <f t="shared" si="175"/>
        <v>0</v>
      </c>
      <c r="X266" s="17">
        <f t="shared" si="176"/>
        <v>0</v>
      </c>
      <c r="Y266" s="17">
        <f t="shared" si="177"/>
        <v>0</v>
      </c>
      <c r="Z266" s="17">
        <f t="shared" si="178"/>
        <v>0</v>
      </c>
      <c r="AA266" s="17">
        <f t="shared" si="179"/>
        <v>0</v>
      </c>
      <c r="AB266" s="17">
        <f t="shared" si="180"/>
        <v>0</v>
      </c>
      <c r="AC266" s="17">
        <v>0</v>
      </c>
      <c r="AD266" s="17">
        <f t="shared" si="181"/>
        <v>0</v>
      </c>
      <c r="AE266" s="17">
        <f t="shared" si="182"/>
        <v>0</v>
      </c>
      <c r="AF266" s="17">
        <f t="shared" si="183"/>
        <v>0</v>
      </c>
      <c r="AG266" s="17">
        <f t="shared" si="184"/>
        <v>0</v>
      </c>
      <c r="AH266" s="17">
        <f t="shared" si="185"/>
        <v>0</v>
      </c>
      <c r="AI266" s="17">
        <f t="shared" si="186"/>
        <v>0</v>
      </c>
      <c r="AJ266" s="17">
        <f t="shared" si="187"/>
        <v>0</v>
      </c>
      <c r="AK266" s="17">
        <f t="shared" si="188"/>
        <v>0</v>
      </c>
      <c r="AL266" s="17">
        <f t="shared" si="189"/>
        <v>0</v>
      </c>
      <c r="AM266" s="17">
        <f t="shared" si="190"/>
        <v>0</v>
      </c>
      <c r="AN266" s="17">
        <f t="shared" si="191"/>
        <v>0</v>
      </c>
      <c r="AO266" s="17">
        <f t="shared" si="192"/>
        <v>0</v>
      </c>
      <c r="AP266" s="17">
        <f t="shared" si="193"/>
        <v>0</v>
      </c>
      <c r="AQ266" s="18">
        <v>285.38101103597518</v>
      </c>
      <c r="AR266" s="18">
        <v>341.28889227024632</v>
      </c>
      <c r="AS266" s="18">
        <v>302.04317071535246</v>
      </c>
      <c r="AT266" s="18">
        <v>228.78607957936157</v>
      </c>
      <c r="AU266" s="18">
        <v>331.7942979371764</v>
      </c>
      <c r="AV266" s="18">
        <v>271.90505904814285</v>
      </c>
      <c r="AW266" s="18">
        <v>270.70041240724066</v>
      </c>
      <c r="AX266" s="18">
        <v>183.83073748089589</v>
      </c>
      <c r="AY266" s="18">
        <v>272.49232750578392</v>
      </c>
      <c r="AZ266" s="18">
        <v>237.30578852171254</v>
      </c>
      <c r="BA266" s="18">
        <v>242.29820541474294</v>
      </c>
      <c r="BB266" s="18">
        <v>236.65778997016199</v>
      </c>
      <c r="BC266" s="23">
        <v>8.9181565948742242E-2</v>
      </c>
      <c r="BD266" s="23">
        <v>0.10665277883445198</v>
      </c>
      <c r="BE266" s="23">
        <v>9.438849084854764E-2</v>
      </c>
      <c r="BF266" s="23">
        <v>7.149564986855049E-2</v>
      </c>
      <c r="BG266" s="23">
        <v>0.10368571810536763</v>
      </c>
      <c r="BH266" s="23">
        <v>8.4970330952544637E-2</v>
      </c>
      <c r="BI266" s="23">
        <v>8.4593878877262704E-2</v>
      </c>
      <c r="BJ266" s="23">
        <v>5.7447105462779965E-2</v>
      </c>
      <c r="BK266" s="23">
        <v>8.5153852345557474E-2</v>
      </c>
      <c r="BL266" s="23">
        <v>7.4158058913035174E-2</v>
      </c>
      <c r="BM266" s="23">
        <v>7.5718189192107169E-2</v>
      </c>
      <c r="BN266" s="23">
        <v>7.3955559365675619E-2</v>
      </c>
    </row>
    <row r="267" spans="1:66" x14ac:dyDescent="0.25">
      <c r="A267" s="16">
        <v>29304</v>
      </c>
      <c r="B267" s="16" t="s">
        <v>463</v>
      </c>
      <c r="C267" s="17">
        <v>149.49</v>
      </c>
      <c r="D267" s="17">
        <f t="shared" si="157"/>
        <v>13.331752293677479</v>
      </c>
      <c r="E267" s="17">
        <f t="shared" si="158"/>
        <v>15.943523907962229</v>
      </c>
      <c r="F267" s="17">
        <f t="shared" si="159"/>
        <v>14.110135496949388</v>
      </c>
      <c r="G267" s="17">
        <f t="shared" si="160"/>
        <v>10.687884698849613</v>
      </c>
      <c r="H267" s="17">
        <f t="shared" si="161"/>
        <v>15.499977999571408</v>
      </c>
      <c r="I267" s="17">
        <f t="shared" si="162"/>
        <v>12.702214774095898</v>
      </c>
      <c r="J267" s="17">
        <f t="shared" si="163"/>
        <v>12.645938953362002</v>
      </c>
      <c r="K267" s="17">
        <f t="shared" si="164"/>
        <v>8.5877677956309775</v>
      </c>
      <c r="L267" s="17">
        <f t="shared" si="165"/>
        <v>12.729649387137387</v>
      </c>
      <c r="M267" s="17">
        <f t="shared" si="166"/>
        <v>11.085888226909629</v>
      </c>
      <c r="N267" s="17">
        <f t="shared" si="167"/>
        <v>11.319112102328102</v>
      </c>
      <c r="O267" s="17">
        <f t="shared" si="168"/>
        <v>11.055616569574848</v>
      </c>
      <c r="P267" s="17">
        <v>0</v>
      </c>
      <c r="Q267" s="17">
        <f t="shared" si="169"/>
        <v>0</v>
      </c>
      <c r="R267" s="17">
        <f t="shared" si="170"/>
        <v>0</v>
      </c>
      <c r="S267" s="17">
        <f t="shared" si="171"/>
        <v>0</v>
      </c>
      <c r="T267" s="17">
        <f t="shared" si="172"/>
        <v>0</v>
      </c>
      <c r="U267" s="17">
        <f t="shared" si="173"/>
        <v>0</v>
      </c>
      <c r="V267" s="17">
        <f t="shared" si="174"/>
        <v>0</v>
      </c>
      <c r="W267" s="17">
        <f t="shared" si="175"/>
        <v>0</v>
      </c>
      <c r="X267" s="17">
        <f t="shared" si="176"/>
        <v>0</v>
      </c>
      <c r="Y267" s="17">
        <f t="shared" si="177"/>
        <v>0</v>
      </c>
      <c r="Z267" s="17">
        <f t="shared" si="178"/>
        <v>0</v>
      </c>
      <c r="AA267" s="17">
        <f t="shared" si="179"/>
        <v>0</v>
      </c>
      <c r="AB267" s="17">
        <f t="shared" si="180"/>
        <v>0</v>
      </c>
      <c r="AC267" s="17">
        <v>0</v>
      </c>
      <c r="AD267" s="17">
        <f t="shared" si="181"/>
        <v>0</v>
      </c>
      <c r="AE267" s="17">
        <f t="shared" si="182"/>
        <v>0</v>
      </c>
      <c r="AF267" s="17">
        <f t="shared" si="183"/>
        <v>0</v>
      </c>
      <c r="AG267" s="17">
        <f t="shared" si="184"/>
        <v>0</v>
      </c>
      <c r="AH267" s="17">
        <f t="shared" si="185"/>
        <v>0</v>
      </c>
      <c r="AI267" s="17">
        <f t="shared" si="186"/>
        <v>0</v>
      </c>
      <c r="AJ267" s="17">
        <f t="shared" si="187"/>
        <v>0</v>
      </c>
      <c r="AK267" s="17">
        <f t="shared" si="188"/>
        <v>0</v>
      </c>
      <c r="AL267" s="17">
        <f t="shared" si="189"/>
        <v>0</v>
      </c>
      <c r="AM267" s="17">
        <f t="shared" si="190"/>
        <v>0</v>
      </c>
      <c r="AN267" s="17">
        <f t="shared" si="191"/>
        <v>0</v>
      </c>
      <c r="AO267" s="17">
        <f t="shared" si="192"/>
        <v>0</v>
      </c>
      <c r="AP267" s="17">
        <f t="shared" si="193"/>
        <v>149.49</v>
      </c>
      <c r="AQ267" s="18">
        <v>284.88426971364066</v>
      </c>
      <c r="AR267" s="18">
        <v>340.6948362921384</v>
      </c>
      <c r="AS267" s="18">
        <v>301.51742682132601</v>
      </c>
      <c r="AT267" s="18">
        <v>228.38784880959372</v>
      </c>
      <c r="AU267" s="18">
        <v>331.21676848732949</v>
      </c>
      <c r="AV267" s="18">
        <v>271.43177430473713</v>
      </c>
      <c r="AW267" s="18">
        <v>270.22922450189429</v>
      </c>
      <c r="AX267" s="18">
        <v>183.51075710346819</v>
      </c>
      <c r="AY267" s="18">
        <v>272.01802054821917</v>
      </c>
      <c r="AZ267" s="18">
        <v>236.89272813356695</v>
      </c>
      <c r="BA267" s="18">
        <v>241.87645510094288</v>
      </c>
      <c r="BB267" s="18">
        <v>236.24585750449515</v>
      </c>
      <c r="BC267" s="23">
        <v>8.9181565948742242E-2</v>
      </c>
      <c r="BD267" s="23">
        <v>0.10665277883445198</v>
      </c>
      <c r="BE267" s="23">
        <v>9.438849084854764E-2</v>
      </c>
      <c r="BF267" s="23">
        <v>7.149564986855049E-2</v>
      </c>
      <c r="BG267" s="23">
        <v>0.10368571810536763</v>
      </c>
      <c r="BH267" s="23">
        <v>8.4970330952544637E-2</v>
      </c>
      <c r="BI267" s="23">
        <v>8.4593878877262704E-2</v>
      </c>
      <c r="BJ267" s="23">
        <v>5.7447105462779965E-2</v>
      </c>
      <c r="BK267" s="23">
        <v>8.5153852345557474E-2</v>
      </c>
      <c r="BL267" s="23">
        <v>7.4158058913035174E-2</v>
      </c>
      <c r="BM267" s="23">
        <v>7.5718189192107169E-2</v>
      </c>
      <c r="BN267" s="23">
        <v>7.3955559365675619E-2</v>
      </c>
    </row>
    <row r="268" spans="1:66" x14ac:dyDescent="0.25">
      <c r="A268" s="16">
        <v>3871</v>
      </c>
      <c r="B268" s="16" t="s">
        <v>464</v>
      </c>
      <c r="C268" s="17">
        <v>0</v>
      </c>
      <c r="D268" s="17">
        <f t="shared" si="157"/>
        <v>0</v>
      </c>
      <c r="E268" s="17">
        <f t="shared" si="158"/>
        <v>0</v>
      </c>
      <c r="F268" s="17">
        <f t="shared" si="159"/>
        <v>0</v>
      </c>
      <c r="G268" s="17">
        <f t="shared" si="160"/>
        <v>0</v>
      </c>
      <c r="H268" s="17">
        <f t="shared" si="161"/>
        <v>0</v>
      </c>
      <c r="I268" s="17">
        <f t="shared" si="162"/>
        <v>0</v>
      </c>
      <c r="J268" s="17">
        <f t="shared" si="163"/>
        <v>0</v>
      </c>
      <c r="K268" s="17">
        <f t="shared" si="164"/>
        <v>0</v>
      </c>
      <c r="L268" s="17">
        <f t="shared" si="165"/>
        <v>0</v>
      </c>
      <c r="M268" s="17">
        <f t="shared" si="166"/>
        <v>0</v>
      </c>
      <c r="N268" s="17">
        <f t="shared" si="167"/>
        <v>0</v>
      </c>
      <c r="O268" s="17">
        <f t="shared" si="168"/>
        <v>0</v>
      </c>
      <c r="P268" s="17">
        <v>3000</v>
      </c>
      <c r="Q268" s="17">
        <f t="shared" si="169"/>
        <v>267.54469784622671</v>
      </c>
      <c r="R268" s="17">
        <f t="shared" si="170"/>
        <v>319.95833650335595</v>
      </c>
      <c r="S268" s="17">
        <f t="shared" si="171"/>
        <v>283.1654725456429</v>
      </c>
      <c r="T268" s="17">
        <f t="shared" si="172"/>
        <v>214.48694960565146</v>
      </c>
      <c r="U268" s="17">
        <f t="shared" si="173"/>
        <v>311.05715431610287</v>
      </c>
      <c r="V268" s="17">
        <f t="shared" si="174"/>
        <v>254.91099285763391</v>
      </c>
      <c r="W268" s="17">
        <f t="shared" si="175"/>
        <v>253.7816366317881</v>
      </c>
      <c r="X268" s="17">
        <f t="shared" si="176"/>
        <v>172.34131638833989</v>
      </c>
      <c r="Y268" s="17">
        <f t="shared" si="177"/>
        <v>255.46155703667242</v>
      </c>
      <c r="Z268" s="17">
        <f t="shared" si="178"/>
        <v>222.47417673910553</v>
      </c>
      <c r="AA268" s="17">
        <f t="shared" si="179"/>
        <v>227.15456757632151</v>
      </c>
      <c r="AB268" s="17">
        <f t="shared" si="180"/>
        <v>221.86667809702686</v>
      </c>
      <c r="AC268" s="17">
        <v>0</v>
      </c>
      <c r="AD268" s="17">
        <f t="shared" si="181"/>
        <v>0</v>
      </c>
      <c r="AE268" s="17">
        <f t="shared" si="182"/>
        <v>0</v>
      </c>
      <c r="AF268" s="17">
        <f t="shared" si="183"/>
        <v>0</v>
      </c>
      <c r="AG268" s="17">
        <f t="shared" si="184"/>
        <v>0</v>
      </c>
      <c r="AH268" s="17">
        <f t="shared" si="185"/>
        <v>0</v>
      </c>
      <c r="AI268" s="17">
        <f t="shared" si="186"/>
        <v>0</v>
      </c>
      <c r="AJ268" s="17">
        <f t="shared" si="187"/>
        <v>0</v>
      </c>
      <c r="AK268" s="17">
        <f t="shared" si="188"/>
        <v>0</v>
      </c>
      <c r="AL268" s="17">
        <f t="shared" si="189"/>
        <v>0</v>
      </c>
      <c r="AM268" s="17">
        <f t="shared" si="190"/>
        <v>0</v>
      </c>
      <c r="AN268" s="17">
        <f t="shared" si="191"/>
        <v>0</v>
      </c>
      <c r="AO268" s="17">
        <f t="shared" si="192"/>
        <v>0</v>
      </c>
      <c r="AP268" s="17">
        <f t="shared" si="193"/>
        <v>3000</v>
      </c>
      <c r="AQ268" s="18">
        <v>280.87645013990419</v>
      </c>
      <c r="AR268" s="18">
        <v>335.90186041131813</v>
      </c>
      <c r="AS268" s="18">
        <v>297.2756080425923</v>
      </c>
      <c r="AT268" s="18">
        <v>225.17483430450108</v>
      </c>
      <c r="AU268" s="18">
        <v>326.55713231567427</v>
      </c>
      <c r="AV268" s="18">
        <v>267.61320763172978</v>
      </c>
      <c r="AW268" s="18">
        <v>266.42757558515012</v>
      </c>
      <c r="AX268" s="18">
        <v>180.92908418397087</v>
      </c>
      <c r="AY268" s="18">
        <v>268.19120642380977</v>
      </c>
      <c r="AZ268" s="18">
        <v>233.56006496601515</v>
      </c>
      <c r="BA268" s="18">
        <v>238.4736796786496</v>
      </c>
      <c r="BB268" s="18">
        <v>232.92229466660169</v>
      </c>
      <c r="BC268" s="23">
        <v>8.9181565948742242E-2</v>
      </c>
      <c r="BD268" s="23">
        <v>0.10665277883445198</v>
      </c>
      <c r="BE268" s="23">
        <v>9.438849084854764E-2</v>
      </c>
      <c r="BF268" s="23">
        <v>7.149564986855049E-2</v>
      </c>
      <c r="BG268" s="23">
        <v>0.10368571810536763</v>
      </c>
      <c r="BH268" s="23">
        <v>8.4970330952544637E-2</v>
      </c>
      <c r="BI268" s="23">
        <v>8.4593878877262704E-2</v>
      </c>
      <c r="BJ268" s="23">
        <v>5.7447105462779965E-2</v>
      </c>
      <c r="BK268" s="23">
        <v>8.5153852345557474E-2</v>
      </c>
      <c r="BL268" s="23">
        <v>7.4158058913035174E-2</v>
      </c>
      <c r="BM268" s="23">
        <v>7.5718189192107169E-2</v>
      </c>
      <c r="BN268" s="23">
        <v>7.3955559365675619E-2</v>
      </c>
    </row>
    <row r="269" spans="1:66" x14ac:dyDescent="0.25">
      <c r="A269" s="16">
        <v>2596</v>
      </c>
      <c r="B269" s="16" t="s">
        <v>465</v>
      </c>
      <c r="C269" s="17">
        <v>0</v>
      </c>
      <c r="D269" s="17">
        <f t="shared" si="157"/>
        <v>0</v>
      </c>
      <c r="E269" s="17">
        <f t="shared" si="158"/>
        <v>0</v>
      </c>
      <c r="F269" s="17">
        <f t="shared" si="159"/>
        <v>0</v>
      </c>
      <c r="G269" s="17">
        <f t="shared" si="160"/>
        <v>0</v>
      </c>
      <c r="H269" s="17">
        <f t="shared" si="161"/>
        <v>0</v>
      </c>
      <c r="I269" s="17">
        <f t="shared" si="162"/>
        <v>0</v>
      </c>
      <c r="J269" s="17">
        <f t="shared" si="163"/>
        <v>0</v>
      </c>
      <c r="K269" s="17">
        <f t="shared" si="164"/>
        <v>0</v>
      </c>
      <c r="L269" s="17">
        <f t="shared" si="165"/>
        <v>0</v>
      </c>
      <c r="M269" s="17">
        <f t="shared" si="166"/>
        <v>0</v>
      </c>
      <c r="N269" s="17">
        <f t="shared" si="167"/>
        <v>0</v>
      </c>
      <c r="O269" s="17">
        <f t="shared" si="168"/>
        <v>0</v>
      </c>
      <c r="P269" s="17">
        <v>0</v>
      </c>
      <c r="Q269" s="17">
        <f t="shared" si="169"/>
        <v>0</v>
      </c>
      <c r="R269" s="17">
        <f t="shared" si="170"/>
        <v>0</v>
      </c>
      <c r="S269" s="17">
        <f t="shared" si="171"/>
        <v>0</v>
      </c>
      <c r="T269" s="17">
        <f t="shared" si="172"/>
        <v>0</v>
      </c>
      <c r="U269" s="17">
        <f t="shared" si="173"/>
        <v>0</v>
      </c>
      <c r="V269" s="17">
        <f t="shared" si="174"/>
        <v>0</v>
      </c>
      <c r="W269" s="17">
        <f t="shared" si="175"/>
        <v>0</v>
      </c>
      <c r="X269" s="17">
        <f t="shared" si="176"/>
        <v>0</v>
      </c>
      <c r="Y269" s="17">
        <f t="shared" si="177"/>
        <v>0</v>
      </c>
      <c r="Z269" s="17">
        <f t="shared" si="178"/>
        <v>0</v>
      </c>
      <c r="AA269" s="17">
        <f t="shared" si="179"/>
        <v>0</v>
      </c>
      <c r="AB269" s="17">
        <f t="shared" si="180"/>
        <v>0</v>
      </c>
      <c r="AC269" s="17">
        <v>0</v>
      </c>
      <c r="AD269" s="17">
        <f t="shared" si="181"/>
        <v>0</v>
      </c>
      <c r="AE269" s="17">
        <f t="shared" si="182"/>
        <v>0</v>
      </c>
      <c r="AF269" s="17">
        <f t="shared" si="183"/>
        <v>0</v>
      </c>
      <c r="AG269" s="17">
        <f t="shared" si="184"/>
        <v>0</v>
      </c>
      <c r="AH269" s="17">
        <f t="shared" si="185"/>
        <v>0</v>
      </c>
      <c r="AI269" s="17">
        <f t="shared" si="186"/>
        <v>0</v>
      </c>
      <c r="AJ269" s="17">
        <f t="shared" si="187"/>
        <v>0</v>
      </c>
      <c r="AK269" s="17">
        <f t="shared" si="188"/>
        <v>0</v>
      </c>
      <c r="AL269" s="17">
        <f t="shared" si="189"/>
        <v>0</v>
      </c>
      <c r="AM269" s="17">
        <f t="shared" si="190"/>
        <v>0</v>
      </c>
      <c r="AN269" s="17">
        <f t="shared" si="191"/>
        <v>0</v>
      </c>
      <c r="AO269" s="17">
        <f t="shared" si="192"/>
        <v>0</v>
      </c>
      <c r="AP269" s="17">
        <f t="shared" si="193"/>
        <v>0</v>
      </c>
      <c r="AQ269" s="18">
        <v>298.72275166503891</v>
      </c>
      <c r="AR269" s="18">
        <v>357.24436128943802</v>
      </c>
      <c r="AS269" s="18">
        <v>316.16387772327687</v>
      </c>
      <c r="AT269" s="18">
        <v>239.48197179099645</v>
      </c>
      <c r="AU269" s="18">
        <v>347.30588873717562</v>
      </c>
      <c r="AV269" s="18">
        <v>284.61679049930541</v>
      </c>
      <c r="AW269" s="18">
        <v>283.35582587503689</v>
      </c>
      <c r="AX269" s="18">
        <v>192.4249393523387</v>
      </c>
      <c r="AY269" s="18">
        <v>285.23151412438398</v>
      </c>
      <c r="AZ269" s="18">
        <v>248.39998245122044</v>
      </c>
      <c r="BA269" s="18">
        <v>253.62579795426055</v>
      </c>
      <c r="BB269" s="18">
        <v>247.72168956238576</v>
      </c>
      <c r="BC269" s="23">
        <v>8.9181565948742242E-2</v>
      </c>
      <c r="BD269" s="23">
        <v>0.10665277883445198</v>
      </c>
      <c r="BE269" s="23">
        <v>9.438849084854764E-2</v>
      </c>
      <c r="BF269" s="23">
        <v>7.149564986855049E-2</v>
      </c>
      <c r="BG269" s="23">
        <v>0.10368571810536763</v>
      </c>
      <c r="BH269" s="23">
        <v>8.4970330952544637E-2</v>
      </c>
      <c r="BI269" s="23">
        <v>8.4593878877262704E-2</v>
      </c>
      <c r="BJ269" s="23">
        <v>5.7447105462779965E-2</v>
      </c>
      <c r="BK269" s="23">
        <v>8.5153852345557474E-2</v>
      </c>
      <c r="BL269" s="23">
        <v>7.4158058913035174E-2</v>
      </c>
      <c r="BM269" s="23">
        <v>7.5718189192107169E-2</v>
      </c>
      <c r="BN269" s="23">
        <v>7.3955559365675619E-2</v>
      </c>
    </row>
    <row r="270" spans="1:66" x14ac:dyDescent="0.25">
      <c r="A270" s="16">
        <v>1204</v>
      </c>
      <c r="B270" s="16" t="s">
        <v>466</v>
      </c>
      <c r="C270" s="17">
        <v>0</v>
      </c>
      <c r="D270" s="17">
        <f t="shared" si="157"/>
        <v>0</v>
      </c>
      <c r="E270" s="17">
        <f t="shared" si="158"/>
        <v>0</v>
      </c>
      <c r="F270" s="17">
        <f t="shared" si="159"/>
        <v>0</v>
      </c>
      <c r="G270" s="17">
        <f t="shared" si="160"/>
        <v>0</v>
      </c>
      <c r="H270" s="17">
        <f t="shared" si="161"/>
        <v>0</v>
      </c>
      <c r="I270" s="17">
        <f t="shared" si="162"/>
        <v>0</v>
      </c>
      <c r="J270" s="17">
        <f t="shared" si="163"/>
        <v>0</v>
      </c>
      <c r="K270" s="17">
        <f t="shared" si="164"/>
        <v>0</v>
      </c>
      <c r="L270" s="17">
        <f t="shared" si="165"/>
        <v>0</v>
      </c>
      <c r="M270" s="17">
        <f t="shared" si="166"/>
        <v>0</v>
      </c>
      <c r="N270" s="17">
        <f t="shared" si="167"/>
        <v>0</v>
      </c>
      <c r="O270" s="17">
        <f t="shared" si="168"/>
        <v>0</v>
      </c>
      <c r="P270" s="17">
        <v>0</v>
      </c>
      <c r="Q270" s="17">
        <f t="shared" si="169"/>
        <v>0</v>
      </c>
      <c r="R270" s="17">
        <f t="shared" si="170"/>
        <v>0</v>
      </c>
      <c r="S270" s="17">
        <f t="shared" si="171"/>
        <v>0</v>
      </c>
      <c r="T270" s="17">
        <f t="shared" si="172"/>
        <v>0</v>
      </c>
      <c r="U270" s="17">
        <f t="shared" si="173"/>
        <v>0</v>
      </c>
      <c r="V270" s="17">
        <f t="shared" si="174"/>
        <v>0</v>
      </c>
      <c r="W270" s="17">
        <f t="shared" si="175"/>
        <v>0</v>
      </c>
      <c r="X270" s="17">
        <f t="shared" si="176"/>
        <v>0</v>
      </c>
      <c r="Y270" s="17">
        <f t="shared" si="177"/>
        <v>0</v>
      </c>
      <c r="Z270" s="17">
        <f t="shared" si="178"/>
        <v>0</v>
      </c>
      <c r="AA270" s="17">
        <f t="shared" si="179"/>
        <v>0</v>
      </c>
      <c r="AB270" s="17">
        <f t="shared" si="180"/>
        <v>0</v>
      </c>
      <c r="AC270" s="17">
        <v>1000</v>
      </c>
      <c r="AD270" s="17">
        <f t="shared" si="181"/>
        <v>89.181565948742247</v>
      </c>
      <c r="AE270" s="17">
        <f t="shared" si="182"/>
        <v>106.65277883445198</v>
      </c>
      <c r="AF270" s="17">
        <f t="shared" si="183"/>
        <v>94.388490848547647</v>
      </c>
      <c r="AG270" s="17">
        <f t="shared" si="184"/>
        <v>71.495649868550487</v>
      </c>
      <c r="AH270" s="17">
        <f t="shared" si="185"/>
        <v>103.68571810536763</v>
      </c>
      <c r="AI270" s="17">
        <f t="shared" si="186"/>
        <v>84.970330952544643</v>
      </c>
      <c r="AJ270" s="17">
        <f t="shared" si="187"/>
        <v>84.593878877262711</v>
      </c>
      <c r="AK270" s="17">
        <f t="shared" si="188"/>
        <v>57.447105462779966</v>
      </c>
      <c r="AL270" s="17">
        <f t="shared" si="189"/>
        <v>85.153852345557468</v>
      </c>
      <c r="AM270" s="17">
        <f t="shared" si="190"/>
        <v>74.158058913035177</v>
      </c>
      <c r="AN270" s="17">
        <f t="shared" si="191"/>
        <v>75.718189192107175</v>
      </c>
      <c r="AO270" s="17">
        <f t="shared" si="192"/>
        <v>73.955559365675626</v>
      </c>
      <c r="AP270" s="17">
        <f t="shared" si="193"/>
        <v>1000</v>
      </c>
      <c r="AQ270" s="18">
        <v>271.48340170635294</v>
      </c>
      <c r="AR270" s="18">
        <v>324.6686564805795</v>
      </c>
      <c r="AS270" s="18">
        <v>287.33414024396905</v>
      </c>
      <c r="AT270" s="18">
        <v>217.644554982096</v>
      </c>
      <c r="AU270" s="18">
        <v>315.63643405622645</v>
      </c>
      <c r="AV270" s="18">
        <v>258.66370752415304</v>
      </c>
      <c r="AW270" s="18">
        <v>257.51772529240242</v>
      </c>
      <c r="AX270" s="18">
        <v>174.87846780110357</v>
      </c>
      <c r="AY270" s="18">
        <v>259.22237692551397</v>
      </c>
      <c r="AZ270" s="18">
        <v>225.74936741099972</v>
      </c>
      <c r="BA270" s="18">
        <v>230.49866140199092</v>
      </c>
      <c r="BB270" s="18">
        <v>225.13292537641192</v>
      </c>
      <c r="BC270" s="23">
        <v>8.9181565948742242E-2</v>
      </c>
      <c r="BD270" s="23">
        <v>0.10665277883445198</v>
      </c>
      <c r="BE270" s="23">
        <v>9.438849084854764E-2</v>
      </c>
      <c r="BF270" s="23">
        <v>7.149564986855049E-2</v>
      </c>
      <c r="BG270" s="23">
        <v>0.10368571810536763</v>
      </c>
      <c r="BH270" s="23">
        <v>8.4970330952544637E-2</v>
      </c>
      <c r="BI270" s="23">
        <v>8.4593878877262704E-2</v>
      </c>
      <c r="BJ270" s="23">
        <v>5.7447105462779965E-2</v>
      </c>
      <c r="BK270" s="23">
        <v>8.5153852345557474E-2</v>
      </c>
      <c r="BL270" s="23">
        <v>7.4158058913035174E-2</v>
      </c>
      <c r="BM270" s="23">
        <v>7.5718189192107169E-2</v>
      </c>
      <c r="BN270" s="23">
        <v>7.3955559365675619E-2</v>
      </c>
    </row>
    <row r="271" spans="1:66" x14ac:dyDescent="0.25">
      <c r="A271" s="16">
        <v>1328</v>
      </c>
      <c r="B271" s="16" t="s">
        <v>467</v>
      </c>
      <c r="C271" s="17">
        <v>0</v>
      </c>
      <c r="D271" s="17">
        <f t="shared" si="157"/>
        <v>0</v>
      </c>
      <c r="E271" s="17">
        <f t="shared" si="158"/>
        <v>0</v>
      </c>
      <c r="F271" s="17">
        <f t="shared" si="159"/>
        <v>0</v>
      </c>
      <c r="G271" s="17">
        <f t="shared" si="160"/>
        <v>0</v>
      </c>
      <c r="H271" s="17">
        <f t="shared" si="161"/>
        <v>0</v>
      </c>
      <c r="I271" s="17">
        <f t="shared" si="162"/>
        <v>0</v>
      </c>
      <c r="J271" s="17">
        <f t="shared" si="163"/>
        <v>0</v>
      </c>
      <c r="K271" s="17">
        <f t="shared" si="164"/>
        <v>0</v>
      </c>
      <c r="L271" s="17">
        <f t="shared" si="165"/>
        <v>0</v>
      </c>
      <c r="M271" s="17">
        <f t="shared" si="166"/>
        <v>0</v>
      </c>
      <c r="N271" s="17">
        <f t="shared" si="167"/>
        <v>0</v>
      </c>
      <c r="O271" s="17">
        <f t="shared" si="168"/>
        <v>0</v>
      </c>
      <c r="P271" s="17">
        <v>3000</v>
      </c>
      <c r="Q271" s="17">
        <f t="shared" si="169"/>
        <v>267.54469784622671</v>
      </c>
      <c r="R271" s="17">
        <f t="shared" si="170"/>
        <v>319.95833650335595</v>
      </c>
      <c r="S271" s="17">
        <f t="shared" si="171"/>
        <v>283.1654725456429</v>
      </c>
      <c r="T271" s="17">
        <f t="shared" si="172"/>
        <v>214.48694960565146</v>
      </c>
      <c r="U271" s="17">
        <f t="shared" si="173"/>
        <v>311.05715431610287</v>
      </c>
      <c r="V271" s="17">
        <f t="shared" si="174"/>
        <v>254.91099285763391</v>
      </c>
      <c r="W271" s="17">
        <f t="shared" si="175"/>
        <v>253.7816366317881</v>
      </c>
      <c r="X271" s="17">
        <f t="shared" si="176"/>
        <v>172.34131638833989</v>
      </c>
      <c r="Y271" s="17">
        <f t="shared" si="177"/>
        <v>255.46155703667242</v>
      </c>
      <c r="Z271" s="17">
        <f t="shared" si="178"/>
        <v>222.47417673910553</v>
      </c>
      <c r="AA271" s="17">
        <f t="shared" si="179"/>
        <v>227.15456757632151</v>
      </c>
      <c r="AB271" s="17">
        <f t="shared" si="180"/>
        <v>221.86667809702686</v>
      </c>
      <c r="AC271" s="17">
        <v>0</v>
      </c>
      <c r="AD271" s="17">
        <f t="shared" si="181"/>
        <v>0</v>
      </c>
      <c r="AE271" s="17">
        <f t="shared" si="182"/>
        <v>0</v>
      </c>
      <c r="AF271" s="17">
        <f t="shared" si="183"/>
        <v>0</v>
      </c>
      <c r="AG271" s="17">
        <f t="shared" si="184"/>
        <v>0</v>
      </c>
      <c r="AH271" s="17">
        <f t="shared" si="185"/>
        <v>0</v>
      </c>
      <c r="AI271" s="17">
        <f t="shared" si="186"/>
        <v>0</v>
      </c>
      <c r="AJ271" s="17">
        <f t="shared" si="187"/>
        <v>0</v>
      </c>
      <c r="AK271" s="17">
        <f t="shared" si="188"/>
        <v>0</v>
      </c>
      <c r="AL271" s="17">
        <f t="shared" si="189"/>
        <v>0</v>
      </c>
      <c r="AM271" s="17">
        <f t="shared" si="190"/>
        <v>0</v>
      </c>
      <c r="AN271" s="17">
        <f t="shared" si="191"/>
        <v>0</v>
      </c>
      <c r="AO271" s="17">
        <f t="shared" si="192"/>
        <v>0</v>
      </c>
      <c r="AP271" s="17">
        <f t="shared" si="193"/>
        <v>3000</v>
      </c>
      <c r="AQ271" s="18">
        <v>271.17438758034052</v>
      </c>
      <c r="AR271" s="18">
        <v>324.29910460191815</v>
      </c>
      <c r="AS271" s="18">
        <v>287.0070841231788</v>
      </c>
      <c r="AT271" s="18">
        <v>217.39682255530147</v>
      </c>
      <c r="AU271" s="18">
        <v>315.27716304299133</v>
      </c>
      <c r="AV271" s="18">
        <v>258.36928532740245</v>
      </c>
      <c r="AW271" s="18">
        <v>257.22460750209268</v>
      </c>
      <c r="AX271" s="18">
        <v>174.67941358067503</v>
      </c>
      <c r="AY271" s="18">
        <v>258.92731882713662</v>
      </c>
      <c r="AZ271" s="18">
        <v>225.49240973686605</v>
      </c>
      <c r="BA271" s="18">
        <v>230.23629787644026</v>
      </c>
      <c r="BB271" s="18">
        <v>224.87666936320983</v>
      </c>
      <c r="BC271" s="23">
        <v>8.9181565948742242E-2</v>
      </c>
      <c r="BD271" s="23">
        <v>0.10665277883445198</v>
      </c>
      <c r="BE271" s="23">
        <v>9.438849084854764E-2</v>
      </c>
      <c r="BF271" s="23">
        <v>7.149564986855049E-2</v>
      </c>
      <c r="BG271" s="23">
        <v>0.10368571810536763</v>
      </c>
      <c r="BH271" s="23">
        <v>8.4970330952544637E-2</v>
      </c>
      <c r="BI271" s="23">
        <v>8.4593878877262704E-2</v>
      </c>
      <c r="BJ271" s="23">
        <v>5.7447105462779965E-2</v>
      </c>
      <c r="BK271" s="23">
        <v>8.5153852345557474E-2</v>
      </c>
      <c r="BL271" s="23">
        <v>7.4158058913035174E-2</v>
      </c>
      <c r="BM271" s="23">
        <v>7.5718189192107169E-2</v>
      </c>
      <c r="BN271" s="23">
        <v>7.3955559365675619E-2</v>
      </c>
    </row>
    <row r="272" spans="1:66" x14ac:dyDescent="0.25">
      <c r="A272" s="16">
        <v>1490</v>
      </c>
      <c r="B272" s="16" t="s">
        <v>468</v>
      </c>
      <c r="C272" s="17">
        <v>0</v>
      </c>
      <c r="D272" s="17">
        <f t="shared" si="157"/>
        <v>0</v>
      </c>
      <c r="E272" s="17">
        <f t="shared" si="158"/>
        <v>0</v>
      </c>
      <c r="F272" s="17">
        <f t="shared" si="159"/>
        <v>0</v>
      </c>
      <c r="G272" s="17">
        <f t="shared" si="160"/>
        <v>0</v>
      </c>
      <c r="H272" s="17">
        <f t="shared" si="161"/>
        <v>0</v>
      </c>
      <c r="I272" s="17">
        <f t="shared" si="162"/>
        <v>0</v>
      </c>
      <c r="J272" s="17">
        <f t="shared" si="163"/>
        <v>0</v>
      </c>
      <c r="K272" s="17">
        <f t="shared" si="164"/>
        <v>0</v>
      </c>
      <c r="L272" s="17">
        <f t="shared" si="165"/>
        <v>0</v>
      </c>
      <c r="M272" s="17">
        <f t="shared" si="166"/>
        <v>0</v>
      </c>
      <c r="N272" s="17">
        <f t="shared" si="167"/>
        <v>0</v>
      </c>
      <c r="O272" s="17">
        <f t="shared" si="168"/>
        <v>0</v>
      </c>
      <c r="P272" s="17">
        <v>2000</v>
      </c>
      <c r="Q272" s="17">
        <f t="shared" si="169"/>
        <v>178.36313189748449</v>
      </c>
      <c r="R272" s="17">
        <f t="shared" si="170"/>
        <v>213.30555766890396</v>
      </c>
      <c r="S272" s="17">
        <f t="shared" si="171"/>
        <v>188.77698169709529</v>
      </c>
      <c r="T272" s="17">
        <f t="shared" si="172"/>
        <v>142.99129973710097</v>
      </c>
      <c r="U272" s="17">
        <f t="shared" si="173"/>
        <v>207.37143621073525</v>
      </c>
      <c r="V272" s="17">
        <f t="shared" si="174"/>
        <v>169.94066190508929</v>
      </c>
      <c r="W272" s="17">
        <f t="shared" si="175"/>
        <v>169.18775775452542</v>
      </c>
      <c r="X272" s="17">
        <f t="shared" si="176"/>
        <v>114.89421092555993</v>
      </c>
      <c r="Y272" s="17">
        <f t="shared" si="177"/>
        <v>170.30770469111494</v>
      </c>
      <c r="Z272" s="17">
        <f t="shared" si="178"/>
        <v>148.31611782607035</v>
      </c>
      <c r="AA272" s="17">
        <f t="shared" si="179"/>
        <v>151.43637838421435</v>
      </c>
      <c r="AB272" s="17">
        <f t="shared" si="180"/>
        <v>147.91111873135125</v>
      </c>
      <c r="AC272" s="17">
        <v>0</v>
      </c>
      <c r="AD272" s="17">
        <f t="shared" si="181"/>
        <v>0</v>
      </c>
      <c r="AE272" s="17">
        <f t="shared" si="182"/>
        <v>0</v>
      </c>
      <c r="AF272" s="17">
        <f t="shared" si="183"/>
        <v>0</v>
      </c>
      <c r="AG272" s="17">
        <f t="shared" si="184"/>
        <v>0</v>
      </c>
      <c r="AH272" s="17">
        <f t="shared" si="185"/>
        <v>0</v>
      </c>
      <c r="AI272" s="17">
        <f t="shared" si="186"/>
        <v>0</v>
      </c>
      <c r="AJ272" s="17">
        <f t="shared" si="187"/>
        <v>0</v>
      </c>
      <c r="AK272" s="17">
        <f t="shared" si="188"/>
        <v>0</v>
      </c>
      <c r="AL272" s="17">
        <f t="shared" si="189"/>
        <v>0</v>
      </c>
      <c r="AM272" s="17">
        <f t="shared" si="190"/>
        <v>0</v>
      </c>
      <c r="AN272" s="17">
        <f t="shared" si="191"/>
        <v>0</v>
      </c>
      <c r="AO272" s="17">
        <f t="shared" si="192"/>
        <v>0</v>
      </c>
      <c r="AP272" s="17">
        <f t="shared" si="193"/>
        <v>2000</v>
      </c>
      <c r="AQ272" s="18">
        <v>267.54469784622671</v>
      </c>
      <c r="AR272" s="18">
        <v>319.95833650335595</v>
      </c>
      <c r="AS272" s="18">
        <v>283.1654725456429</v>
      </c>
      <c r="AT272" s="18">
        <v>214.48694960565146</v>
      </c>
      <c r="AU272" s="18">
        <v>311.05715431610287</v>
      </c>
      <c r="AV272" s="18">
        <v>254.91099285763391</v>
      </c>
      <c r="AW272" s="18">
        <v>253.7816366317881</v>
      </c>
      <c r="AX272" s="18">
        <v>172.34131638833989</v>
      </c>
      <c r="AY272" s="18">
        <v>255.46155703667242</v>
      </c>
      <c r="AZ272" s="18">
        <v>222.47417673910553</v>
      </c>
      <c r="BA272" s="18">
        <v>227.15456757632151</v>
      </c>
      <c r="BB272" s="18">
        <v>221.86667809702686</v>
      </c>
      <c r="BC272" s="23">
        <v>8.9181565948742242E-2</v>
      </c>
      <c r="BD272" s="23">
        <v>0.10665277883445198</v>
      </c>
      <c r="BE272" s="23">
        <v>9.438849084854764E-2</v>
      </c>
      <c r="BF272" s="23">
        <v>7.149564986855049E-2</v>
      </c>
      <c r="BG272" s="23">
        <v>0.10368571810536763</v>
      </c>
      <c r="BH272" s="23">
        <v>8.4970330952544637E-2</v>
      </c>
      <c r="BI272" s="23">
        <v>8.4593878877262704E-2</v>
      </c>
      <c r="BJ272" s="23">
        <v>5.7447105462779965E-2</v>
      </c>
      <c r="BK272" s="23">
        <v>8.5153852345557474E-2</v>
      </c>
      <c r="BL272" s="23">
        <v>7.4158058913035174E-2</v>
      </c>
      <c r="BM272" s="23">
        <v>7.5718189192107169E-2</v>
      </c>
      <c r="BN272" s="23">
        <v>7.3955559365675619E-2</v>
      </c>
    </row>
    <row r="273" spans="1:66" x14ac:dyDescent="0.25">
      <c r="A273" s="16">
        <v>2103</v>
      </c>
      <c r="B273" s="16" t="s">
        <v>469</v>
      </c>
      <c r="C273" s="17">
        <v>2500</v>
      </c>
      <c r="D273" s="17">
        <f t="shared" si="157"/>
        <v>222.9539148718556</v>
      </c>
      <c r="E273" s="17">
        <f t="shared" si="158"/>
        <v>266.63194708612997</v>
      </c>
      <c r="F273" s="17">
        <f t="shared" si="159"/>
        <v>235.97122712136911</v>
      </c>
      <c r="G273" s="17">
        <f t="shared" si="160"/>
        <v>178.73912467137623</v>
      </c>
      <c r="H273" s="17">
        <f t="shared" si="161"/>
        <v>259.21429526341905</v>
      </c>
      <c r="I273" s="17">
        <f t="shared" si="162"/>
        <v>212.42582738136159</v>
      </c>
      <c r="J273" s="17">
        <f t="shared" si="163"/>
        <v>211.48469719315676</v>
      </c>
      <c r="K273" s="17">
        <f t="shared" si="164"/>
        <v>143.6177636569499</v>
      </c>
      <c r="L273" s="17">
        <f t="shared" si="165"/>
        <v>212.88463086389368</v>
      </c>
      <c r="M273" s="17">
        <f t="shared" si="166"/>
        <v>185.39514728258794</v>
      </c>
      <c r="N273" s="17">
        <f t="shared" si="167"/>
        <v>189.29547298026793</v>
      </c>
      <c r="O273" s="17">
        <f t="shared" si="168"/>
        <v>184.88889841418904</v>
      </c>
      <c r="P273" s="17">
        <v>2000</v>
      </c>
      <c r="Q273" s="17">
        <f t="shared" si="169"/>
        <v>178.36313189748449</v>
      </c>
      <c r="R273" s="17">
        <f t="shared" si="170"/>
        <v>213.30555766890396</v>
      </c>
      <c r="S273" s="17">
        <f t="shared" si="171"/>
        <v>188.77698169709529</v>
      </c>
      <c r="T273" s="17">
        <f t="shared" si="172"/>
        <v>142.99129973710097</v>
      </c>
      <c r="U273" s="17">
        <f t="shared" si="173"/>
        <v>207.37143621073525</v>
      </c>
      <c r="V273" s="17">
        <f t="shared" si="174"/>
        <v>169.94066190508929</v>
      </c>
      <c r="W273" s="17">
        <f t="shared" si="175"/>
        <v>169.18775775452542</v>
      </c>
      <c r="X273" s="17">
        <f t="shared" si="176"/>
        <v>114.89421092555993</v>
      </c>
      <c r="Y273" s="17">
        <f t="shared" si="177"/>
        <v>170.30770469111494</v>
      </c>
      <c r="Z273" s="17">
        <f t="shared" si="178"/>
        <v>148.31611782607035</v>
      </c>
      <c r="AA273" s="17">
        <f t="shared" si="179"/>
        <v>151.43637838421435</v>
      </c>
      <c r="AB273" s="17">
        <f t="shared" si="180"/>
        <v>147.91111873135125</v>
      </c>
      <c r="AC273" s="17">
        <v>0</v>
      </c>
      <c r="AD273" s="17">
        <f t="shared" si="181"/>
        <v>0</v>
      </c>
      <c r="AE273" s="17">
        <f t="shared" si="182"/>
        <v>0</v>
      </c>
      <c r="AF273" s="17">
        <f t="shared" si="183"/>
        <v>0</v>
      </c>
      <c r="AG273" s="17">
        <f t="shared" si="184"/>
        <v>0</v>
      </c>
      <c r="AH273" s="17">
        <f t="shared" si="185"/>
        <v>0</v>
      </c>
      <c r="AI273" s="17">
        <f t="shared" si="186"/>
        <v>0</v>
      </c>
      <c r="AJ273" s="17">
        <f t="shared" si="187"/>
        <v>0</v>
      </c>
      <c r="AK273" s="17">
        <f t="shared" si="188"/>
        <v>0</v>
      </c>
      <c r="AL273" s="17">
        <f t="shared" si="189"/>
        <v>0</v>
      </c>
      <c r="AM273" s="17">
        <f t="shared" si="190"/>
        <v>0</v>
      </c>
      <c r="AN273" s="17">
        <f t="shared" si="191"/>
        <v>0</v>
      </c>
      <c r="AO273" s="17">
        <f t="shared" si="192"/>
        <v>0</v>
      </c>
      <c r="AP273" s="17">
        <f t="shared" si="193"/>
        <v>4500</v>
      </c>
      <c r="AQ273" s="18">
        <v>267.54469784622671</v>
      </c>
      <c r="AR273" s="18">
        <v>319.95833650335595</v>
      </c>
      <c r="AS273" s="18">
        <v>283.1654725456429</v>
      </c>
      <c r="AT273" s="18">
        <v>214.48694960565146</v>
      </c>
      <c r="AU273" s="18">
        <v>311.05715431610287</v>
      </c>
      <c r="AV273" s="18">
        <v>254.91099285763391</v>
      </c>
      <c r="AW273" s="18">
        <v>253.7816366317881</v>
      </c>
      <c r="AX273" s="18">
        <v>172.34131638833989</v>
      </c>
      <c r="AY273" s="18">
        <v>255.46155703667242</v>
      </c>
      <c r="AZ273" s="18">
        <v>222.47417673910553</v>
      </c>
      <c r="BA273" s="18">
        <v>227.15456757632151</v>
      </c>
      <c r="BB273" s="18">
        <v>221.86667809702686</v>
      </c>
      <c r="BC273" s="23">
        <v>8.9181565948742242E-2</v>
      </c>
      <c r="BD273" s="23">
        <v>0.10665277883445198</v>
      </c>
      <c r="BE273" s="23">
        <v>9.438849084854764E-2</v>
      </c>
      <c r="BF273" s="23">
        <v>7.149564986855049E-2</v>
      </c>
      <c r="BG273" s="23">
        <v>0.10368571810536763</v>
      </c>
      <c r="BH273" s="23">
        <v>8.4970330952544637E-2</v>
      </c>
      <c r="BI273" s="23">
        <v>8.4593878877262704E-2</v>
      </c>
      <c r="BJ273" s="23">
        <v>5.7447105462779965E-2</v>
      </c>
      <c r="BK273" s="23">
        <v>8.5153852345557474E-2</v>
      </c>
      <c r="BL273" s="23">
        <v>7.4158058913035174E-2</v>
      </c>
      <c r="BM273" s="23">
        <v>7.5718189192107169E-2</v>
      </c>
      <c r="BN273" s="23">
        <v>7.3955559365675619E-2</v>
      </c>
    </row>
    <row r="274" spans="1:66" x14ac:dyDescent="0.25">
      <c r="A274" s="16">
        <v>2828</v>
      </c>
      <c r="B274" s="16" t="s">
        <v>470</v>
      </c>
      <c r="C274" s="17">
        <v>3000</v>
      </c>
      <c r="D274" s="17">
        <f t="shared" si="157"/>
        <v>267.54469784622671</v>
      </c>
      <c r="E274" s="17">
        <f t="shared" si="158"/>
        <v>319.95833650335595</v>
      </c>
      <c r="F274" s="17">
        <f t="shared" si="159"/>
        <v>283.1654725456429</v>
      </c>
      <c r="G274" s="17">
        <f t="shared" si="160"/>
        <v>214.48694960565146</v>
      </c>
      <c r="H274" s="17">
        <f t="shared" si="161"/>
        <v>311.05715431610287</v>
      </c>
      <c r="I274" s="17">
        <f t="shared" si="162"/>
        <v>254.91099285763391</v>
      </c>
      <c r="J274" s="17">
        <f t="shared" si="163"/>
        <v>253.7816366317881</v>
      </c>
      <c r="K274" s="17">
        <f t="shared" si="164"/>
        <v>172.34131638833989</v>
      </c>
      <c r="L274" s="17">
        <f t="shared" si="165"/>
        <v>255.46155703667242</v>
      </c>
      <c r="M274" s="17">
        <f t="shared" si="166"/>
        <v>222.47417673910553</v>
      </c>
      <c r="N274" s="17">
        <f t="shared" si="167"/>
        <v>227.15456757632151</v>
      </c>
      <c r="O274" s="17">
        <f t="shared" si="168"/>
        <v>221.86667809702686</v>
      </c>
      <c r="P274" s="17">
        <v>6000</v>
      </c>
      <c r="Q274" s="17">
        <f t="shared" si="169"/>
        <v>535.08939569245342</v>
      </c>
      <c r="R274" s="17">
        <f t="shared" si="170"/>
        <v>639.9166730067119</v>
      </c>
      <c r="S274" s="17">
        <f t="shared" si="171"/>
        <v>566.3309450912858</v>
      </c>
      <c r="T274" s="17">
        <f t="shared" si="172"/>
        <v>428.97389921130292</v>
      </c>
      <c r="U274" s="17">
        <f t="shared" si="173"/>
        <v>622.11430863220573</v>
      </c>
      <c r="V274" s="17">
        <f t="shared" si="174"/>
        <v>509.82198571526783</v>
      </c>
      <c r="W274" s="17">
        <f t="shared" si="175"/>
        <v>507.56327326357621</v>
      </c>
      <c r="X274" s="17">
        <f t="shared" si="176"/>
        <v>344.68263277667978</v>
      </c>
      <c r="Y274" s="17">
        <f t="shared" si="177"/>
        <v>510.92311407334483</v>
      </c>
      <c r="Z274" s="17">
        <f t="shared" si="178"/>
        <v>444.94835347821106</v>
      </c>
      <c r="AA274" s="17">
        <f t="shared" si="179"/>
        <v>454.30913515264302</v>
      </c>
      <c r="AB274" s="17">
        <f t="shared" si="180"/>
        <v>443.73335619405373</v>
      </c>
      <c r="AC274" s="17">
        <v>0</v>
      </c>
      <c r="AD274" s="17">
        <f t="shared" si="181"/>
        <v>0</v>
      </c>
      <c r="AE274" s="17">
        <f t="shared" si="182"/>
        <v>0</v>
      </c>
      <c r="AF274" s="17">
        <f t="shared" si="183"/>
        <v>0</v>
      </c>
      <c r="AG274" s="17">
        <f t="shared" si="184"/>
        <v>0</v>
      </c>
      <c r="AH274" s="17">
        <f t="shared" si="185"/>
        <v>0</v>
      </c>
      <c r="AI274" s="17">
        <f t="shared" si="186"/>
        <v>0</v>
      </c>
      <c r="AJ274" s="17">
        <f t="shared" si="187"/>
        <v>0</v>
      </c>
      <c r="AK274" s="17">
        <f t="shared" si="188"/>
        <v>0</v>
      </c>
      <c r="AL274" s="17">
        <f t="shared" si="189"/>
        <v>0</v>
      </c>
      <c r="AM274" s="17">
        <f t="shared" si="190"/>
        <v>0</v>
      </c>
      <c r="AN274" s="17">
        <f t="shared" si="191"/>
        <v>0</v>
      </c>
      <c r="AO274" s="17">
        <f t="shared" si="192"/>
        <v>0</v>
      </c>
      <c r="AP274" s="17">
        <f t="shared" si="193"/>
        <v>9000</v>
      </c>
      <c r="AQ274" s="18">
        <v>380.54871123589481</v>
      </c>
      <c r="AR274" s="18">
        <v>455.10052557840322</v>
      </c>
      <c r="AS274" s="18">
        <v>402.7673002351271</v>
      </c>
      <c r="AT274" s="18">
        <v>305.08073195403875</v>
      </c>
      <c r="AU274" s="18">
        <v>442.43971249893059</v>
      </c>
      <c r="AV274" s="18">
        <v>362.5788535252151</v>
      </c>
      <c r="AW274" s="18">
        <v>360.97248621638181</v>
      </c>
      <c r="AX274" s="18">
        <v>245.13386500365402</v>
      </c>
      <c r="AY274" s="18">
        <v>363.3619618823322</v>
      </c>
      <c r="AZ274" s="18">
        <v>316.44155882316738</v>
      </c>
      <c r="BA274" s="18">
        <v>323.09882661999188</v>
      </c>
      <c r="BB274" s="18">
        <v>315.57746834713981</v>
      </c>
      <c r="BC274" s="23">
        <v>8.9181565948742242E-2</v>
      </c>
      <c r="BD274" s="23">
        <v>0.10665277883445198</v>
      </c>
      <c r="BE274" s="23">
        <v>9.438849084854764E-2</v>
      </c>
      <c r="BF274" s="23">
        <v>7.149564986855049E-2</v>
      </c>
      <c r="BG274" s="23">
        <v>0.10368571810536763</v>
      </c>
      <c r="BH274" s="23">
        <v>8.4970330952544637E-2</v>
      </c>
      <c r="BI274" s="23">
        <v>8.4593878877262704E-2</v>
      </c>
      <c r="BJ274" s="23">
        <v>5.7447105462779965E-2</v>
      </c>
      <c r="BK274" s="23">
        <v>8.5153852345557474E-2</v>
      </c>
      <c r="BL274" s="23">
        <v>7.4158058913035174E-2</v>
      </c>
      <c r="BM274" s="23">
        <v>7.5718189192107169E-2</v>
      </c>
      <c r="BN274" s="23">
        <v>7.3955559365675619E-2</v>
      </c>
    </row>
    <row r="275" spans="1:66" x14ac:dyDescent="0.25">
      <c r="A275" s="16">
        <v>2947</v>
      </c>
      <c r="B275" s="16" t="s">
        <v>471</v>
      </c>
      <c r="C275" s="17">
        <v>0</v>
      </c>
      <c r="D275" s="17">
        <f t="shared" si="157"/>
        <v>0</v>
      </c>
      <c r="E275" s="17">
        <f t="shared" si="158"/>
        <v>0</v>
      </c>
      <c r="F275" s="17">
        <f t="shared" si="159"/>
        <v>0</v>
      </c>
      <c r="G275" s="17">
        <f t="shared" si="160"/>
        <v>0</v>
      </c>
      <c r="H275" s="17">
        <f t="shared" si="161"/>
        <v>0</v>
      </c>
      <c r="I275" s="17">
        <f t="shared" si="162"/>
        <v>0</v>
      </c>
      <c r="J275" s="17">
        <f t="shared" si="163"/>
        <v>0</v>
      </c>
      <c r="K275" s="17">
        <f t="shared" si="164"/>
        <v>0</v>
      </c>
      <c r="L275" s="17">
        <f t="shared" si="165"/>
        <v>0</v>
      </c>
      <c r="M275" s="17">
        <f t="shared" si="166"/>
        <v>0</v>
      </c>
      <c r="N275" s="17">
        <f t="shared" si="167"/>
        <v>0</v>
      </c>
      <c r="O275" s="17">
        <f t="shared" si="168"/>
        <v>0</v>
      </c>
      <c r="P275" s="17">
        <v>1500</v>
      </c>
      <c r="Q275" s="17">
        <f t="shared" si="169"/>
        <v>133.77234892311336</v>
      </c>
      <c r="R275" s="17">
        <f t="shared" si="170"/>
        <v>159.97916825167798</v>
      </c>
      <c r="S275" s="17">
        <f t="shared" si="171"/>
        <v>141.58273627282145</v>
      </c>
      <c r="T275" s="17">
        <f t="shared" si="172"/>
        <v>107.24347480282573</v>
      </c>
      <c r="U275" s="17">
        <f t="shared" si="173"/>
        <v>155.52857715805143</v>
      </c>
      <c r="V275" s="17">
        <f t="shared" si="174"/>
        <v>127.45549642881696</v>
      </c>
      <c r="W275" s="17">
        <f t="shared" si="175"/>
        <v>126.89081831589405</v>
      </c>
      <c r="X275" s="17">
        <f t="shared" si="176"/>
        <v>86.170658194169945</v>
      </c>
      <c r="Y275" s="17">
        <f t="shared" si="177"/>
        <v>127.73077851833621</v>
      </c>
      <c r="Z275" s="17">
        <f t="shared" si="178"/>
        <v>111.23708836955277</v>
      </c>
      <c r="AA275" s="17">
        <f t="shared" si="179"/>
        <v>113.57728378816076</v>
      </c>
      <c r="AB275" s="17">
        <f t="shared" si="180"/>
        <v>110.93333904851343</v>
      </c>
      <c r="AC275" s="17">
        <v>0</v>
      </c>
      <c r="AD275" s="17">
        <f t="shared" si="181"/>
        <v>0</v>
      </c>
      <c r="AE275" s="17">
        <f t="shared" si="182"/>
        <v>0</v>
      </c>
      <c r="AF275" s="17">
        <f t="shared" si="183"/>
        <v>0</v>
      </c>
      <c r="AG275" s="17">
        <f t="shared" si="184"/>
        <v>0</v>
      </c>
      <c r="AH275" s="17">
        <f t="shared" si="185"/>
        <v>0</v>
      </c>
      <c r="AI275" s="17">
        <f t="shared" si="186"/>
        <v>0</v>
      </c>
      <c r="AJ275" s="17">
        <f t="shared" si="187"/>
        <v>0</v>
      </c>
      <c r="AK275" s="17">
        <f t="shared" si="188"/>
        <v>0</v>
      </c>
      <c r="AL275" s="17">
        <f t="shared" si="189"/>
        <v>0</v>
      </c>
      <c r="AM275" s="17">
        <f t="shared" si="190"/>
        <v>0</v>
      </c>
      <c r="AN275" s="17">
        <f t="shared" si="191"/>
        <v>0</v>
      </c>
      <c r="AO275" s="17">
        <f t="shared" si="192"/>
        <v>0</v>
      </c>
      <c r="AP275" s="17">
        <f t="shared" si="193"/>
        <v>1500</v>
      </c>
      <c r="AQ275" s="18">
        <v>267.54469784622671</v>
      </c>
      <c r="AR275" s="18">
        <v>319.95833650335595</v>
      </c>
      <c r="AS275" s="18">
        <v>283.1654725456429</v>
      </c>
      <c r="AT275" s="18">
        <v>214.48694960565146</v>
      </c>
      <c r="AU275" s="18">
        <v>311.05715431610287</v>
      </c>
      <c r="AV275" s="18">
        <v>254.91099285763391</v>
      </c>
      <c r="AW275" s="18">
        <v>253.7816366317881</v>
      </c>
      <c r="AX275" s="18">
        <v>172.34131638833989</v>
      </c>
      <c r="AY275" s="18">
        <v>255.46155703667242</v>
      </c>
      <c r="AZ275" s="18">
        <v>222.47417673910553</v>
      </c>
      <c r="BA275" s="18">
        <v>227.15456757632151</v>
      </c>
      <c r="BB275" s="18">
        <v>221.86667809702686</v>
      </c>
      <c r="BC275" s="23">
        <v>8.9181565948742242E-2</v>
      </c>
      <c r="BD275" s="23">
        <v>0.10665277883445198</v>
      </c>
      <c r="BE275" s="23">
        <v>9.438849084854764E-2</v>
      </c>
      <c r="BF275" s="23">
        <v>7.149564986855049E-2</v>
      </c>
      <c r="BG275" s="23">
        <v>0.10368571810536763</v>
      </c>
      <c r="BH275" s="23">
        <v>8.4970330952544637E-2</v>
      </c>
      <c r="BI275" s="23">
        <v>8.4593878877262704E-2</v>
      </c>
      <c r="BJ275" s="23">
        <v>5.7447105462779965E-2</v>
      </c>
      <c r="BK275" s="23">
        <v>8.5153852345557474E-2</v>
      </c>
      <c r="BL275" s="23">
        <v>7.4158058913035174E-2</v>
      </c>
      <c r="BM275" s="23">
        <v>7.5718189192107169E-2</v>
      </c>
      <c r="BN275" s="23">
        <v>7.3955559365675619E-2</v>
      </c>
    </row>
    <row r="276" spans="1:66" x14ac:dyDescent="0.25">
      <c r="A276" s="16">
        <v>2953</v>
      </c>
      <c r="B276" s="16" t="s">
        <v>472</v>
      </c>
      <c r="C276" s="17">
        <v>3000</v>
      </c>
      <c r="D276" s="17">
        <f t="shared" si="157"/>
        <v>267.54469784622671</v>
      </c>
      <c r="E276" s="17">
        <f t="shared" si="158"/>
        <v>319.95833650335595</v>
      </c>
      <c r="F276" s="17">
        <f t="shared" si="159"/>
        <v>283.1654725456429</v>
      </c>
      <c r="G276" s="17">
        <f t="shared" si="160"/>
        <v>214.48694960565146</v>
      </c>
      <c r="H276" s="17">
        <f t="shared" si="161"/>
        <v>311.05715431610287</v>
      </c>
      <c r="I276" s="17">
        <f t="shared" si="162"/>
        <v>254.91099285763391</v>
      </c>
      <c r="J276" s="17">
        <f t="shared" si="163"/>
        <v>253.7816366317881</v>
      </c>
      <c r="K276" s="17">
        <f t="shared" si="164"/>
        <v>172.34131638833989</v>
      </c>
      <c r="L276" s="17">
        <f t="shared" si="165"/>
        <v>255.46155703667242</v>
      </c>
      <c r="M276" s="17">
        <f t="shared" si="166"/>
        <v>222.47417673910553</v>
      </c>
      <c r="N276" s="17">
        <f t="shared" si="167"/>
        <v>227.15456757632151</v>
      </c>
      <c r="O276" s="17">
        <f t="shared" si="168"/>
        <v>221.86667809702686</v>
      </c>
      <c r="P276" s="17">
        <v>0</v>
      </c>
      <c r="Q276" s="17">
        <f t="shared" si="169"/>
        <v>0</v>
      </c>
      <c r="R276" s="17">
        <f t="shared" si="170"/>
        <v>0</v>
      </c>
      <c r="S276" s="17">
        <f t="shared" si="171"/>
        <v>0</v>
      </c>
      <c r="T276" s="17">
        <f t="shared" si="172"/>
        <v>0</v>
      </c>
      <c r="U276" s="17">
        <f t="shared" si="173"/>
        <v>0</v>
      </c>
      <c r="V276" s="17">
        <f t="shared" si="174"/>
        <v>0</v>
      </c>
      <c r="W276" s="17">
        <f t="shared" si="175"/>
        <v>0</v>
      </c>
      <c r="X276" s="17">
        <f t="shared" si="176"/>
        <v>0</v>
      </c>
      <c r="Y276" s="17">
        <f t="shared" si="177"/>
        <v>0</v>
      </c>
      <c r="Z276" s="17">
        <f t="shared" si="178"/>
        <v>0</v>
      </c>
      <c r="AA276" s="17">
        <f t="shared" si="179"/>
        <v>0</v>
      </c>
      <c r="AB276" s="17">
        <f t="shared" si="180"/>
        <v>0</v>
      </c>
      <c r="AC276" s="17">
        <v>0</v>
      </c>
      <c r="AD276" s="17">
        <f t="shared" si="181"/>
        <v>0</v>
      </c>
      <c r="AE276" s="17">
        <f t="shared" si="182"/>
        <v>0</v>
      </c>
      <c r="AF276" s="17">
        <f t="shared" si="183"/>
        <v>0</v>
      </c>
      <c r="AG276" s="17">
        <f t="shared" si="184"/>
        <v>0</v>
      </c>
      <c r="AH276" s="17">
        <f t="shared" si="185"/>
        <v>0</v>
      </c>
      <c r="AI276" s="17">
        <f t="shared" si="186"/>
        <v>0</v>
      </c>
      <c r="AJ276" s="17">
        <f t="shared" si="187"/>
        <v>0</v>
      </c>
      <c r="AK276" s="17">
        <f t="shared" si="188"/>
        <v>0</v>
      </c>
      <c r="AL276" s="17">
        <f t="shared" si="189"/>
        <v>0</v>
      </c>
      <c r="AM276" s="17">
        <f t="shared" si="190"/>
        <v>0</v>
      </c>
      <c r="AN276" s="17">
        <f t="shared" si="191"/>
        <v>0</v>
      </c>
      <c r="AO276" s="17">
        <f t="shared" si="192"/>
        <v>0</v>
      </c>
      <c r="AP276" s="17">
        <f t="shared" si="193"/>
        <v>3000</v>
      </c>
      <c r="AQ276" s="18">
        <v>267.54469784622671</v>
      </c>
      <c r="AR276" s="18">
        <v>319.95833650335595</v>
      </c>
      <c r="AS276" s="18">
        <v>283.1654725456429</v>
      </c>
      <c r="AT276" s="18">
        <v>214.48694960565146</v>
      </c>
      <c r="AU276" s="18">
        <v>311.05715431610287</v>
      </c>
      <c r="AV276" s="18">
        <v>254.91099285763391</v>
      </c>
      <c r="AW276" s="18">
        <v>253.7816366317881</v>
      </c>
      <c r="AX276" s="18">
        <v>172.34131638833989</v>
      </c>
      <c r="AY276" s="18">
        <v>255.46155703667242</v>
      </c>
      <c r="AZ276" s="18">
        <v>222.47417673910553</v>
      </c>
      <c r="BA276" s="18">
        <v>227.15456757632151</v>
      </c>
      <c r="BB276" s="18">
        <v>221.86667809702686</v>
      </c>
      <c r="BC276" s="23">
        <v>8.9181565948742242E-2</v>
      </c>
      <c r="BD276" s="23">
        <v>0.10665277883445198</v>
      </c>
      <c r="BE276" s="23">
        <v>9.438849084854764E-2</v>
      </c>
      <c r="BF276" s="23">
        <v>7.149564986855049E-2</v>
      </c>
      <c r="BG276" s="23">
        <v>0.10368571810536763</v>
      </c>
      <c r="BH276" s="23">
        <v>8.4970330952544637E-2</v>
      </c>
      <c r="BI276" s="23">
        <v>8.4593878877262704E-2</v>
      </c>
      <c r="BJ276" s="23">
        <v>5.7447105462779965E-2</v>
      </c>
      <c r="BK276" s="23">
        <v>8.5153852345557474E-2</v>
      </c>
      <c r="BL276" s="23">
        <v>7.4158058913035174E-2</v>
      </c>
      <c r="BM276" s="23">
        <v>7.5718189192107169E-2</v>
      </c>
      <c r="BN276" s="23">
        <v>7.3955559365675619E-2</v>
      </c>
    </row>
    <row r="277" spans="1:66" x14ac:dyDescent="0.25">
      <c r="A277" s="16">
        <v>2955</v>
      </c>
      <c r="B277" s="16" t="s">
        <v>473</v>
      </c>
      <c r="C277" s="17">
        <v>0</v>
      </c>
      <c r="D277" s="17">
        <f t="shared" si="157"/>
        <v>0</v>
      </c>
      <c r="E277" s="17">
        <f t="shared" si="158"/>
        <v>0</v>
      </c>
      <c r="F277" s="17">
        <f t="shared" si="159"/>
        <v>0</v>
      </c>
      <c r="G277" s="17">
        <f t="shared" si="160"/>
        <v>0</v>
      </c>
      <c r="H277" s="17">
        <f t="shared" si="161"/>
        <v>0</v>
      </c>
      <c r="I277" s="17">
        <f t="shared" si="162"/>
        <v>0</v>
      </c>
      <c r="J277" s="17">
        <f t="shared" si="163"/>
        <v>0</v>
      </c>
      <c r="K277" s="17">
        <f t="shared" si="164"/>
        <v>0</v>
      </c>
      <c r="L277" s="17">
        <f t="shared" si="165"/>
        <v>0</v>
      </c>
      <c r="M277" s="17">
        <f t="shared" si="166"/>
        <v>0</v>
      </c>
      <c r="N277" s="17">
        <f t="shared" si="167"/>
        <v>0</v>
      </c>
      <c r="O277" s="17">
        <f t="shared" si="168"/>
        <v>0</v>
      </c>
      <c r="P277" s="17">
        <v>3000</v>
      </c>
      <c r="Q277" s="17">
        <f t="shared" si="169"/>
        <v>267.54469784622671</v>
      </c>
      <c r="R277" s="17">
        <f t="shared" si="170"/>
        <v>319.95833650335595</v>
      </c>
      <c r="S277" s="17">
        <f t="shared" si="171"/>
        <v>283.1654725456429</v>
      </c>
      <c r="T277" s="17">
        <f t="shared" si="172"/>
        <v>214.48694960565146</v>
      </c>
      <c r="U277" s="17">
        <f t="shared" si="173"/>
        <v>311.05715431610287</v>
      </c>
      <c r="V277" s="17">
        <f t="shared" si="174"/>
        <v>254.91099285763391</v>
      </c>
      <c r="W277" s="17">
        <f t="shared" si="175"/>
        <v>253.7816366317881</v>
      </c>
      <c r="X277" s="17">
        <f t="shared" si="176"/>
        <v>172.34131638833989</v>
      </c>
      <c r="Y277" s="17">
        <f t="shared" si="177"/>
        <v>255.46155703667242</v>
      </c>
      <c r="Z277" s="17">
        <f t="shared" si="178"/>
        <v>222.47417673910553</v>
      </c>
      <c r="AA277" s="17">
        <f t="shared" si="179"/>
        <v>227.15456757632151</v>
      </c>
      <c r="AB277" s="17">
        <f t="shared" si="180"/>
        <v>221.86667809702686</v>
      </c>
      <c r="AC277" s="17">
        <v>0</v>
      </c>
      <c r="AD277" s="17">
        <f t="shared" si="181"/>
        <v>0</v>
      </c>
      <c r="AE277" s="17">
        <f t="shared" si="182"/>
        <v>0</v>
      </c>
      <c r="AF277" s="17">
        <f t="shared" si="183"/>
        <v>0</v>
      </c>
      <c r="AG277" s="17">
        <f t="shared" si="184"/>
        <v>0</v>
      </c>
      <c r="AH277" s="17">
        <f t="shared" si="185"/>
        <v>0</v>
      </c>
      <c r="AI277" s="17">
        <f t="shared" si="186"/>
        <v>0</v>
      </c>
      <c r="AJ277" s="17">
        <f t="shared" si="187"/>
        <v>0</v>
      </c>
      <c r="AK277" s="17">
        <f t="shared" si="188"/>
        <v>0</v>
      </c>
      <c r="AL277" s="17">
        <f t="shared" si="189"/>
        <v>0</v>
      </c>
      <c r="AM277" s="17">
        <f t="shared" si="190"/>
        <v>0</v>
      </c>
      <c r="AN277" s="17">
        <f t="shared" si="191"/>
        <v>0</v>
      </c>
      <c r="AO277" s="17">
        <f t="shared" si="192"/>
        <v>0</v>
      </c>
      <c r="AP277" s="17">
        <f t="shared" si="193"/>
        <v>3000</v>
      </c>
      <c r="AQ277" s="18">
        <v>267.54469784622671</v>
      </c>
      <c r="AR277" s="18">
        <v>319.95833650335595</v>
      </c>
      <c r="AS277" s="18">
        <v>283.1654725456429</v>
      </c>
      <c r="AT277" s="18">
        <v>214.48694960565146</v>
      </c>
      <c r="AU277" s="18">
        <v>311.05715431610287</v>
      </c>
      <c r="AV277" s="18">
        <v>254.91099285763391</v>
      </c>
      <c r="AW277" s="18">
        <v>253.7816366317881</v>
      </c>
      <c r="AX277" s="18">
        <v>172.34131638833989</v>
      </c>
      <c r="AY277" s="18">
        <v>255.46155703667242</v>
      </c>
      <c r="AZ277" s="18">
        <v>222.47417673910553</v>
      </c>
      <c r="BA277" s="18">
        <v>227.15456757632151</v>
      </c>
      <c r="BB277" s="18">
        <v>221.86667809702686</v>
      </c>
      <c r="BC277" s="23">
        <v>8.9181565948742242E-2</v>
      </c>
      <c r="BD277" s="23">
        <v>0.10665277883445198</v>
      </c>
      <c r="BE277" s="23">
        <v>9.438849084854764E-2</v>
      </c>
      <c r="BF277" s="23">
        <v>7.149564986855049E-2</v>
      </c>
      <c r="BG277" s="23">
        <v>0.10368571810536763</v>
      </c>
      <c r="BH277" s="23">
        <v>8.4970330952544637E-2</v>
      </c>
      <c r="BI277" s="23">
        <v>8.4593878877262704E-2</v>
      </c>
      <c r="BJ277" s="23">
        <v>5.7447105462779965E-2</v>
      </c>
      <c r="BK277" s="23">
        <v>8.5153852345557474E-2</v>
      </c>
      <c r="BL277" s="23">
        <v>7.4158058913035174E-2</v>
      </c>
      <c r="BM277" s="23">
        <v>7.5718189192107169E-2</v>
      </c>
      <c r="BN277" s="23">
        <v>7.3955559365675619E-2</v>
      </c>
    </row>
    <row r="278" spans="1:66" x14ac:dyDescent="0.25">
      <c r="A278" s="16">
        <v>3438</v>
      </c>
      <c r="B278" s="16" t="s">
        <v>474</v>
      </c>
      <c r="C278" s="17">
        <v>4000</v>
      </c>
      <c r="D278" s="17">
        <f t="shared" si="157"/>
        <v>356.72626379496899</v>
      </c>
      <c r="E278" s="17">
        <f t="shared" si="158"/>
        <v>426.61111533780792</v>
      </c>
      <c r="F278" s="17">
        <f t="shared" si="159"/>
        <v>377.55396339419059</v>
      </c>
      <c r="G278" s="17">
        <f t="shared" si="160"/>
        <v>285.98259947420195</v>
      </c>
      <c r="H278" s="17">
        <f t="shared" si="161"/>
        <v>414.74287242147051</v>
      </c>
      <c r="I278" s="17">
        <f t="shared" si="162"/>
        <v>339.88132381017857</v>
      </c>
      <c r="J278" s="17">
        <f t="shared" si="163"/>
        <v>338.37551550905084</v>
      </c>
      <c r="K278" s="17">
        <f t="shared" si="164"/>
        <v>229.78842185111986</v>
      </c>
      <c r="L278" s="17">
        <f t="shared" si="165"/>
        <v>340.61540938222987</v>
      </c>
      <c r="M278" s="17">
        <f t="shared" si="166"/>
        <v>296.63223565214071</v>
      </c>
      <c r="N278" s="17">
        <f t="shared" si="167"/>
        <v>302.8727567684287</v>
      </c>
      <c r="O278" s="17">
        <f t="shared" si="168"/>
        <v>295.8222374627025</v>
      </c>
      <c r="P278" s="17">
        <v>0</v>
      </c>
      <c r="Q278" s="17">
        <f t="shared" si="169"/>
        <v>0</v>
      </c>
      <c r="R278" s="17">
        <f t="shared" si="170"/>
        <v>0</v>
      </c>
      <c r="S278" s="17">
        <f t="shared" si="171"/>
        <v>0</v>
      </c>
      <c r="T278" s="17">
        <f t="shared" si="172"/>
        <v>0</v>
      </c>
      <c r="U278" s="17">
        <f t="shared" si="173"/>
        <v>0</v>
      </c>
      <c r="V278" s="17">
        <f t="shared" si="174"/>
        <v>0</v>
      </c>
      <c r="W278" s="17">
        <f t="shared" si="175"/>
        <v>0</v>
      </c>
      <c r="X278" s="17">
        <f t="shared" si="176"/>
        <v>0</v>
      </c>
      <c r="Y278" s="17">
        <f t="shared" si="177"/>
        <v>0</v>
      </c>
      <c r="Z278" s="17">
        <f t="shared" si="178"/>
        <v>0</v>
      </c>
      <c r="AA278" s="17">
        <f t="shared" si="179"/>
        <v>0</v>
      </c>
      <c r="AB278" s="17">
        <f t="shared" si="180"/>
        <v>0</v>
      </c>
      <c r="AC278" s="17">
        <v>0</v>
      </c>
      <c r="AD278" s="17">
        <f t="shared" si="181"/>
        <v>0</v>
      </c>
      <c r="AE278" s="17">
        <f t="shared" si="182"/>
        <v>0</v>
      </c>
      <c r="AF278" s="17">
        <f t="shared" si="183"/>
        <v>0</v>
      </c>
      <c r="AG278" s="17">
        <f t="shared" si="184"/>
        <v>0</v>
      </c>
      <c r="AH278" s="17">
        <f t="shared" si="185"/>
        <v>0</v>
      </c>
      <c r="AI278" s="17">
        <f t="shared" si="186"/>
        <v>0</v>
      </c>
      <c r="AJ278" s="17">
        <f t="shared" si="187"/>
        <v>0</v>
      </c>
      <c r="AK278" s="17">
        <f t="shared" si="188"/>
        <v>0</v>
      </c>
      <c r="AL278" s="17">
        <f t="shared" si="189"/>
        <v>0</v>
      </c>
      <c r="AM278" s="17">
        <f t="shared" si="190"/>
        <v>0</v>
      </c>
      <c r="AN278" s="17">
        <f t="shared" si="191"/>
        <v>0</v>
      </c>
      <c r="AO278" s="17">
        <f t="shared" si="192"/>
        <v>0</v>
      </c>
      <c r="AP278" s="17">
        <f t="shared" si="193"/>
        <v>4000</v>
      </c>
      <c r="AQ278" s="18">
        <v>267.54469784622671</v>
      </c>
      <c r="AR278" s="18">
        <v>319.95833650335595</v>
      </c>
      <c r="AS278" s="18">
        <v>283.1654725456429</v>
      </c>
      <c r="AT278" s="18">
        <v>214.48694960565146</v>
      </c>
      <c r="AU278" s="18">
        <v>311.05715431610287</v>
      </c>
      <c r="AV278" s="18">
        <v>254.91099285763391</v>
      </c>
      <c r="AW278" s="18">
        <v>253.7816366317881</v>
      </c>
      <c r="AX278" s="18">
        <v>172.34131638833989</v>
      </c>
      <c r="AY278" s="18">
        <v>255.46155703667242</v>
      </c>
      <c r="AZ278" s="18">
        <v>222.47417673910553</v>
      </c>
      <c r="BA278" s="18">
        <v>227.15456757632151</v>
      </c>
      <c r="BB278" s="18">
        <v>221.86667809702686</v>
      </c>
      <c r="BC278" s="23">
        <v>8.9181565948742242E-2</v>
      </c>
      <c r="BD278" s="23">
        <v>0.10665277883445198</v>
      </c>
      <c r="BE278" s="23">
        <v>9.438849084854764E-2</v>
      </c>
      <c r="BF278" s="23">
        <v>7.149564986855049E-2</v>
      </c>
      <c r="BG278" s="23">
        <v>0.10368571810536763</v>
      </c>
      <c r="BH278" s="23">
        <v>8.4970330952544637E-2</v>
      </c>
      <c r="BI278" s="23">
        <v>8.4593878877262704E-2</v>
      </c>
      <c r="BJ278" s="23">
        <v>5.7447105462779965E-2</v>
      </c>
      <c r="BK278" s="23">
        <v>8.5153852345557474E-2</v>
      </c>
      <c r="BL278" s="23">
        <v>7.4158058913035174E-2</v>
      </c>
      <c r="BM278" s="23">
        <v>7.5718189192107169E-2</v>
      </c>
      <c r="BN278" s="23">
        <v>7.3955559365675619E-2</v>
      </c>
    </row>
    <row r="279" spans="1:66" x14ac:dyDescent="0.25">
      <c r="A279" s="16">
        <v>3710</v>
      </c>
      <c r="B279" s="16" t="s">
        <v>475</v>
      </c>
      <c r="C279" s="17">
        <v>0</v>
      </c>
      <c r="D279" s="17">
        <f t="shared" si="157"/>
        <v>0</v>
      </c>
      <c r="E279" s="17">
        <f t="shared" si="158"/>
        <v>0</v>
      </c>
      <c r="F279" s="17">
        <f t="shared" si="159"/>
        <v>0</v>
      </c>
      <c r="G279" s="17">
        <f t="shared" si="160"/>
        <v>0</v>
      </c>
      <c r="H279" s="17">
        <f t="shared" si="161"/>
        <v>0</v>
      </c>
      <c r="I279" s="17">
        <f t="shared" si="162"/>
        <v>0</v>
      </c>
      <c r="J279" s="17">
        <f t="shared" si="163"/>
        <v>0</v>
      </c>
      <c r="K279" s="17">
        <f t="shared" si="164"/>
        <v>0</v>
      </c>
      <c r="L279" s="17">
        <f t="shared" si="165"/>
        <v>0</v>
      </c>
      <c r="M279" s="17">
        <f t="shared" si="166"/>
        <v>0</v>
      </c>
      <c r="N279" s="17">
        <f t="shared" si="167"/>
        <v>0</v>
      </c>
      <c r="O279" s="17">
        <f t="shared" si="168"/>
        <v>0</v>
      </c>
      <c r="P279" s="17">
        <v>2000</v>
      </c>
      <c r="Q279" s="17">
        <f t="shared" si="169"/>
        <v>178.36313189748449</v>
      </c>
      <c r="R279" s="17">
        <f t="shared" si="170"/>
        <v>213.30555766890396</v>
      </c>
      <c r="S279" s="17">
        <f t="shared" si="171"/>
        <v>188.77698169709529</v>
      </c>
      <c r="T279" s="17">
        <f t="shared" si="172"/>
        <v>142.99129973710097</v>
      </c>
      <c r="U279" s="17">
        <f t="shared" si="173"/>
        <v>207.37143621073525</v>
      </c>
      <c r="V279" s="17">
        <f t="shared" si="174"/>
        <v>169.94066190508929</v>
      </c>
      <c r="W279" s="17">
        <f t="shared" si="175"/>
        <v>169.18775775452542</v>
      </c>
      <c r="X279" s="17">
        <f t="shared" si="176"/>
        <v>114.89421092555993</v>
      </c>
      <c r="Y279" s="17">
        <f t="shared" si="177"/>
        <v>170.30770469111494</v>
      </c>
      <c r="Z279" s="17">
        <f t="shared" si="178"/>
        <v>148.31611782607035</v>
      </c>
      <c r="AA279" s="17">
        <f t="shared" si="179"/>
        <v>151.43637838421435</v>
      </c>
      <c r="AB279" s="17">
        <f t="shared" si="180"/>
        <v>147.91111873135125</v>
      </c>
      <c r="AC279" s="17">
        <v>0</v>
      </c>
      <c r="AD279" s="17">
        <f t="shared" si="181"/>
        <v>0</v>
      </c>
      <c r="AE279" s="17">
        <f t="shared" si="182"/>
        <v>0</v>
      </c>
      <c r="AF279" s="17">
        <f t="shared" si="183"/>
        <v>0</v>
      </c>
      <c r="AG279" s="17">
        <f t="shared" si="184"/>
        <v>0</v>
      </c>
      <c r="AH279" s="17">
        <f t="shared" si="185"/>
        <v>0</v>
      </c>
      <c r="AI279" s="17">
        <f t="shared" si="186"/>
        <v>0</v>
      </c>
      <c r="AJ279" s="17">
        <f t="shared" si="187"/>
        <v>0</v>
      </c>
      <c r="AK279" s="17">
        <f t="shared" si="188"/>
        <v>0</v>
      </c>
      <c r="AL279" s="17">
        <f t="shared" si="189"/>
        <v>0</v>
      </c>
      <c r="AM279" s="17">
        <f t="shared" si="190"/>
        <v>0</v>
      </c>
      <c r="AN279" s="17">
        <f t="shared" si="191"/>
        <v>0</v>
      </c>
      <c r="AO279" s="17">
        <f t="shared" si="192"/>
        <v>0</v>
      </c>
      <c r="AP279" s="17">
        <f t="shared" si="193"/>
        <v>2000</v>
      </c>
      <c r="AQ279" s="18">
        <v>267.54469784622671</v>
      </c>
      <c r="AR279" s="18">
        <v>319.95833650335595</v>
      </c>
      <c r="AS279" s="18">
        <v>283.1654725456429</v>
      </c>
      <c r="AT279" s="18">
        <v>214.48694960565146</v>
      </c>
      <c r="AU279" s="18">
        <v>311.05715431610287</v>
      </c>
      <c r="AV279" s="18">
        <v>254.91099285763391</v>
      </c>
      <c r="AW279" s="18">
        <v>253.7816366317881</v>
      </c>
      <c r="AX279" s="18">
        <v>172.34131638833989</v>
      </c>
      <c r="AY279" s="18">
        <v>255.46155703667242</v>
      </c>
      <c r="AZ279" s="18">
        <v>222.47417673910553</v>
      </c>
      <c r="BA279" s="18">
        <v>227.15456757632151</v>
      </c>
      <c r="BB279" s="18">
        <v>221.86667809702686</v>
      </c>
      <c r="BC279" s="23">
        <v>8.9181565948742242E-2</v>
      </c>
      <c r="BD279" s="23">
        <v>0.10665277883445198</v>
      </c>
      <c r="BE279" s="23">
        <v>9.438849084854764E-2</v>
      </c>
      <c r="BF279" s="23">
        <v>7.149564986855049E-2</v>
      </c>
      <c r="BG279" s="23">
        <v>0.10368571810536763</v>
      </c>
      <c r="BH279" s="23">
        <v>8.4970330952544637E-2</v>
      </c>
      <c r="BI279" s="23">
        <v>8.4593878877262704E-2</v>
      </c>
      <c r="BJ279" s="23">
        <v>5.7447105462779965E-2</v>
      </c>
      <c r="BK279" s="23">
        <v>8.5153852345557474E-2</v>
      </c>
      <c r="BL279" s="23">
        <v>7.4158058913035174E-2</v>
      </c>
      <c r="BM279" s="23">
        <v>7.5718189192107169E-2</v>
      </c>
      <c r="BN279" s="23">
        <v>7.3955559365675619E-2</v>
      </c>
    </row>
    <row r="280" spans="1:66" x14ac:dyDescent="0.25">
      <c r="A280" s="16">
        <v>3861</v>
      </c>
      <c r="B280" s="16" t="s">
        <v>476</v>
      </c>
      <c r="C280" s="17">
        <v>0</v>
      </c>
      <c r="D280" s="17">
        <f t="shared" si="157"/>
        <v>0</v>
      </c>
      <c r="E280" s="17">
        <f t="shared" si="158"/>
        <v>0</v>
      </c>
      <c r="F280" s="17">
        <f t="shared" si="159"/>
        <v>0</v>
      </c>
      <c r="G280" s="17">
        <f t="shared" si="160"/>
        <v>0</v>
      </c>
      <c r="H280" s="17">
        <f t="shared" si="161"/>
        <v>0</v>
      </c>
      <c r="I280" s="17">
        <f t="shared" si="162"/>
        <v>0</v>
      </c>
      <c r="J280" s="17">
        <f t="shared" si="163"/>
        <v>0</v>
      </c>
      <c r="K280" s="17">
        <f t="shared" si="164"/>
        <v>0</v>
      </c>
      <c r="L280" s="17">
        <f t="shared" si="165"/>
        <v>0</v>
      </c>
      <c r="M280" s="17">
        <f t="shared" si="166"/>
        <v>0</v>
      </c>
      <c r="N280" s="17">
        <f t="shared" si="167"/>
        <v>0</v>
      </c>
      <c r="O280" s="17">
        <f t="shared" si="168"/>
        <v>0</v>
      </c>
      <c r="P280" s="17">
        <v>0</v>
      </c>
      <c r="Q280" s="17">
        <f t="shared" si="169"/>
        <v>0</v>
      </c>
      <c r="R280" s="17">
        <f t="shared" si="170"/>
        <v>0</v>
      </c>
      <c r="S280" s="17">
        <f t="shared" si="171"/>
        <v>0</v>
      </c>
      <c r="T280" s="17">
        <f t="shared" si="172"/>
        <v>0</v>
      </c>
      <c r="U280" s="17">
        <f t="shared" si="173"/>
        <v>0</v>
      </c>
      <c r="V280" s="17">
        <f t="shared" si="174"/>
        <v>0</v>
      </c>
      <c r="W280" s="17">
        <f t="shared" si="175"/>
        <v>0</v>
      </c>
      <c r="X280" s="17">
        <f t="shared" si="176"/>
        <v>0</v>
      </c>
      <c r="Y280" s="17">
        <f t="shared" si="177"/>
        <v>0</v>
      </c>
      <c r="Z280" s="17">
        <f t="shared" si="178"/>
        <v>0</v>
      </c>
      <c r="AA280" s="17">
        <f t="shared" si="179"/>
        <v>0</v>
      </c>
      <c r="AB280" s="17">
        <f t="shared" si="180"/>
        <v>0</v>
      </c>
      <c r="AC280" s="17">
        <v>0</v>
      </c>
      <c r="AD280" s="17">
        <f t="shared" si="181"/>
        <v>0</v>
      </c>
      <c r="AE280" s="17">
        <f t="shared" si="182"/>
        <v>0</v>
      </c>
      <c r="AF280" s="17">
        <f t="shared" si="183"/>
        <v>0</v>
      </c>
      <c r="AG280" s="17">
        <f t="shared" si="184"/>
        <v>0</v>
      </c>
      <c r="AH280" s="17">
        <f t="shared" si="185"/>
        <v>0</v>
      </c>
      <c r="AI280" s="17">
        <f t="shared" si="186"/>
        <v>0</v>
      </c>
      <c r="AJ280" s="17">
        <f t="shared" si="187"/>
        <v>0</v>
      </c>
      <c r="AK280" s="17">
        <f t="shared" si="188"/>
        <v>0</v>
      </c>
      <c r="AL280" s="17">
        <f t="shared" si="189"/>
        <v>0</v>
      </c>
      <c r="AM280" s="17">
        <f t="shared" si="190"/>
        <v>0</v>
      </c>
      <c r="AN280" s="17">
        <f t="shared" si="191"/>
        <v>0</v>
      </c>
      <c r="AO280" s="17">
        <f t="shared" si="192"/>
        <v>0</v>
      </c>
      <c r="AP280" s="17">
        <f t="shared" si="193"/>
        <v>0</v>
      </c>
      <c r="AQ280" s="18">
        <v>267.54469784622671</v>
      </c>
      <c r="AR280" s="18">
        <v>319.95833650335595</v>
      </c>
      <c r="AS280" s="18">
        <v>283.1654725456429</v>
      </c>
      <c r="AT280" s="18">
        <v>214.48694960565146</v>
      </c>
      <c r="AU280" s="18">
        <v>311.05715431610287</v>
      </c>
      <c r="AV280" s="18">
        <v>254.91099285763391</v>
      </c>
      <c r="AW280" s="18">
        <v>253.7816366317881</v>
      </c>
      <c r="AX280" s="18">
        <v>172.34131638833989</v>
      </c>
      <c r="AY280" s="18">
        <v>255.46155703667242</v>
      </c>
      <c r="AZ280" s="18">
        <v>222.47417673910553</v>
      </c>
      <c r="BA280" s="18">
        <v>227.15456757632151</v>
      </c>
      <c r="BB280" s="18">
        <v>221.86667809702686</v>
      </c>
      <c r="BC280" s="23">
        <v>8.9181565948742242E-2</v>
      </c>
      <c r="BD280" s="23">
        <v>0.10665277883445198</v>
      </c>
      <c r="BE280" s="23">
        <v>9.438849084854764E-2</v>
      </c>
      <c r="BF280" s="23">
        <v>7.149564986855049E-2</v>
      </c>
      <c r="BG280" s="23">
        <v>0.10368571810536763</v>
      </c>
      <c r="BH280" s="23">
        <v>8.4970330952544637E-2</v>
      </c>
      <c r="BI280" s="23">
        <v>8.4593878877262704E-2</v>
      </c>
      <c r="BJ280" s="23">
        <v>5.7447105462779965E-2</v>
      </c>
      <c r="BK280" s="23">
        <v>8.5153852345557474E-2</v>
      </c>
      <c r="BL280" s="23">
        <v>7.4158058913035174E-2</v>
      </c>
      <c r="BM280" s="23">
        <v>7.5718189192107169E-2</v>
      </c>
      <c r="BN280" s="23">
        <v>7.3955559365675619E-2</v>
      </c>
    </row>
    <row r="281" spans="1:66" x14ac:dyDescent="0.25">
      <c r="A281" s="16">
        <v>3918</v>
      </c>
      <c r="B281" s="16" t="s">
        <v>477</v>
      </c>
      <c r="C281" s="17">
        <v>8000</v>
      </c>
      <c r="D281" s="17">
        <f t="shared" si="157"/>
        <v>713.45252758993797</v>
      </c>
      <c r="E281" s="17">
        <f t="shared" si="158"/>
        <v>853.22223067561583</v>
      </c>
      <c r="F281" s="17">
        <f t="shared" si="159"/>
        <v>755.10792678838118</v>
      </c>
      <c r="G281" s="17">
        <f t="shared" si="160"/>
        <v>571.96519894840389</v>
      </c>
      <c r="H281" s="17">
        <f t="shared" si="161"/>
        <v>829.48574484294102</v>
      </c>
      <c r="I281" s="17">
        <f t="shared" si="162"/>
        <v>679.76264762035714</v>
      </c>
      <c r="J281" s="17">
        <f t="shared" si="163"/>
        <v>676.75103101810168</v>
      </c>
      <c r="K281" s="17">
        <f t="shared" si="164"/>
        <v>459.57684370223973</v>
      </c>
      <c r="L281" s="17">
        <f t="shared" si="165"/>
        <v>681.23081876445974</v>
      </c>
      <c r="M281" s="17">
        <f t="shared" si="166"/>
        <v>593.26447130428141</v>
      </c>
      <c r="N281" s="17">
        <f t="shared" si="167"/>
        <v>605.7455135368574</v>
      </c>
      <c r="O281" s="17">
        <f t="shared" si="168"/>
        <v>591.64447492540501</v>
      </c>
      <c r="P281" s="17">
        <v>0</v>
      </c>
      <c r="Q281" s="17">
        <f t="shared" si="169"/>
        <v>0</v>
      </c>
      <c r="R281" s="17">
        <f t="shared" si="170"/>
        <v>0</v>
      </c>
      <c r="S281" s="17">
        <f t="shared" si="171"/>
        <v>0</v>
      </c>
      <c r="T281" s="17">
        <f t="shared" si="172"/>
        <v>0</v>
      </c>
      <c r="U281" s="17">
        <f t="shared" si="173"/>
        <v>0</v>
      </c>
      <c r="V281" s="17">
        <f t="shared" si="174"/>
        <v>0</v>
      </c>
      <c r="W281" s="17">
        <f t="shared" si="175"/>
        <v>0</v>
      </c>
      <c r="X281" s="17">
        <f t="shared" si="176"/>
        <v>0</v>
      </c>
      <c r="Y281" s="17">
        <f t="shared" si="177"/>
        <v>0</v>
      </c>
      <c r="Z281" s="17">
        <f t="shared" si="178"/>
        <v>0</v>
      </c>
      <c r="AA281" s="17">
        <f t="shared" si="179"/>
        <v>0</v>
      </c>
      <c r="AB281" s="17">
        <f t="shared" si="180"/>
        <v>0</v>
      </c>
      <c r="AC281" s="17">
        <v>0</v>
      </c>
      <c r="AD281" s="17">
        <f t="shared" si="181"/>
        <v>0</v>
      </c>
      <c r="AE281" s="17">
        <f t="shared" si="182"/>
        <v>0</v>
      </c>
      <c r="AF281" s="17">
        <f t="shared" si="183"/>
        <v>0</v>
      </c>
      <c r="AG281" s="17">
        <f t="shared" si="184"/>
        <v>0</v>
      </c>
      <c r="AH281" s="17">
        <f t="shared" si="185"/>
        <v>0</v>
      </c>
      <c r="AI281" s="17">
        <f t="shared" si="186"/>
        <v>0</v>
      </c>
      <c r="AJ281" s="17">
        <f t="shared" si="187"/>
        <v>0</v>
      </c>
      <c r="AK281" s="17">
        <f t="shared" si="188"/>
        <v>0</v>
      </c>
      <c r="AL281" s="17">
        <f t="shared" si="189"/>
        <v>0</v>
      </c>
      <c r="AM281" s="17">
        <f t="shared" si="190"/>
        <v>0</v>
      </c>
      <c r="AN281" s="17">
        <f t="shared" si="191"/>
        <v>0</v>
      </c>
      <c r="AO281" s="17">
        <f t="shared" si="192"/>
        <v>0</v>
      </c>
      <c r="AP281" s="17">
        <f t="shared" si="193"/>
        <v>8000</v>
      </c>
      <c r="AQ281" s="18">
        <v>267.54469784622671</v>
      </c>
      <c r="AR281" s="18">
        <v>319.95833650335595</v>
      </c>
      <c r="AS281" s="18">
        <v>283.1654725456429</v>
      </c>
      <c r="AT281" s="18">
        <v>214.48694960565146</v>
      </c>
      <c r="AU281" s="18">
        <v>311.05715431610287</v>
      </c>
      <c r="AV281" s="18">
        <v>254.91099285763391</v>
      </c>
      <c r="AW281" s="18">
        <v>253.7816366317881</v>
      </c>
      <c r="AX281" s="18">
        <v>172.34131638833989</v>
      </c>
      <c r="AY281" s="18">
        <v>255.46155703667242</v>
      </c>
      <c r="AZ281" s="18">
        <v>222.47417673910553</v>
      </c>
      <c r="BA281" s="18">
        <v>227.15456757632151</v>
      </c>
      <c r="BB281" s="18">
        <v>221.86667809702686</v>
      </c>
      <c r="BC281" s="23">
        <v>8.9181565948742242E-2</v>
      </c>
      <c r="BD281" s="23">
        <v>0.10665277883445198</v>
      </c>
      <c r="BE281" s="23">
        <v>9.438849084854764E-2</v>
      </c>
      <c r="BF281" s="23">
        <v>7.149564986855049E-2</v>
      </c>
      <c r="BG281" s="23">
        <v>0.10368571810536763</v>
      </c>
      <c r="BH281" s="23">
        <v>8.4970330952544637E-2</v>
      </c>
      <c r="BI281" s="23">
        <v>8.4593878877262704E-2</v>
      </c>
      <c r="BJ281" s="23">
        <v>5.7447105462779965E-2</v>
      </c>
      <c r="BK281" s="23">
        <v>8.5153852345557474E-2</v>
      </c>
      <c r="BL281" s="23">
        <v>7.4158058913035174E-2</v>
      </c>
      <c r="BM281" s="23">
        <v>7.5718189192107169E-2</v>
      </c>
      <c r="BN281" s="23">
        <v>7.3955559365675619E-2</v>
      </c>
    </row>
    <row r="282" spans="1:66" x14ac:dyDescent="0.25">
      <c r="A282" s="16">
        <v>3944</v>
      </c>
      <c r="B282" s="16" t="s">
        <v>478</v>
      </c>
      <c r="C282" s="17">
        <v>0</v>
      </c>
      <c r="D282" s="17">
        <f t="shared" si="157"/>
        <v>0</v>
      </c>
      <c r="E282" s="17">
        <f t="shared" si="158"/>
        <v>0</v>
      </c>
      <c r="F282" s="17">
        <f t="shared" si="159"/>
        <v>0</v>
      </c>
      <c r="G282" s="17">
        <f t="shared" si="160"/>
        <v>0</v>
      </c>
      <c r="H282" s="17">
        <f t="shared" si="161"/>
        <v>0</v>
      </c>
      <c r="I282" s="17">
        <f t="shared" si="162"/>
        <v>0</v>
      </c>
      <c r="J282" s="17">
        <f t="shared" si="163"/>
        <v>0</v>
      </c>
      <c r="K282" s="17">
        <f t="shared" si="164"/>
        <v>0</v>
      </c>
      <c r="L282" s="17">
        <f t="shared" si="165"/>
        <v>0</v>
      </c>
      <c r="M282" s="17">
        <f t="shared" si="166"/>
        <v>0</v>
      </c>
      <c r="N282" s="17">
        <f t="shared" si="167"/>
        <v>0</v>
      </c>
      <c r="O282" s="17">
        <f t="shared" si="168"/>
        <v>0</v>
      </c>
      <c r="P282" s="17">
        <v>0</v>
      </c>
      <c r="Q282" s="17">
        <f t="shared" si="169"/>
        <v>0</v>
      </c>
      <c r="R282" s="17">
        <f t="shared" si="170"/>
        <v>0</v>
      </c>
      <c r="S282" s="17">
        <f t="shared" si="171"/>
        <v>0</v>
      </c>
      <c r="T282" s="17">
        <f t="shared" si="172"/>
        <v>0</v>
      </c>
      <c r="U282" s="17">
        <f t="shared" si="173"/>
        <v>0</v>
      </c>
      <c r="V282" s="17">
        <f t="shared" si="174"/>
        <v>0</v>
      </c>
      <c r="W282" s="17">
        <f t="shared" si="175"/>
        <v>0</v>
      </c>
      <c r="X282" s="17">
        <f t="shared" si="176"/>
        <v>0</v>
      </c>
      <c r="Y282" s="17">
        <f t="shared" si="177"/>
        <v>0</v>
      </c>
      <c r="Z282" s="17">
        <f t="shared" si="178"/>
        <v>0</v>
      </c>
      <c r="AA282" s="17">
        <f t="shared" si="179"/>
        <v>0</v>
      </c>
      <c r="AB282" s="17">
        <f t="shared" si="180"/>
        <v>0</v>
      </c>
      <c r="AC282" s="17">
        <v>0</v>
      </c>
      <c r="AD282" s="17">
        <f t="shared" si="181"/>
        <v>0</v>
      </c>
      <c r="AE282" s="17">
        <f t="shared" si="182"/>
        <v>0</v>
      </c>
      <c r="AF282" s="17">
        <f t="shared" si="183"/>
        <v>0</v>
      </c>
      <c r="AG282" s="17">
        <f t="shared" si="184"/>
        <v>0</v>
      </c>
      <c r="AH282" s="17">
        <f t="shared" si="185"/>
        <v>0</v>
      </c>
      <c r="AI282" s="17">
        <f t="shared" si="186"/>
        <v>0</v>
      </c>
      <c r="AJ282" s="17">
        <f t="shared" si="187"/>
        <v>0</v>
      </c>
      <c r="AK282" s="17">
        <f t="shared" si="188"/>
        <v>0</v>
      </c>
      <c r="AL282" s="17">
        <f t="shared" si="189"/>
        <v>0</v>
      </c>
      <c r="AM282" s="17">
        <f t="shared" si="190"/>
        <v>0</v>
      </c>
      <c r="AN282" s="17">
        <f t="shared" si="191"/>
        <v>0</v>
      </c>
      <c r="AO282" s="17">
        <f t="shared" si="192"/>
        <v>0</v>
      </c>
      <c r="AP282" s="17">
        <f t="shared" si="193"/>
        <v>0</v>
      </c>
      <c r="AQ282" s="18">
        <v>267.54469784622671</v>
      </c>
      <c r="AR282" s="18">
        <v>319.95833650335595</v>
      </c>
      <c r="AS282" s="18">
        <v>283.1654725456429</v>
      </c>
      <c r="AT282" s="18">
        <v>214.48694960565146</v>
      </c>
      <c r="AU282" s="18">
        <v>311.05715431610287</v>
      </c>
      <c r="AV282" s="18">
        <v>254.91099285763391</v>
      </c>
      <c r="AW282" s="18">
        <v>253.7816366317881</v>
      </c>
      <c r="AX282" s="18">
        <v>172.34131638833989</v>
      </c>
      <c r="AY282" s="18">
        <v>255.46155703667242</v>
      </c>
      <c r="AZ282" s="18">
        <v>222.47417673910553</v>
      </c>
      <c r="BA282" s="18">
        <v>227.15456757632151</v>
      </c>
      <c r="BB282" s="18">
        <v>221.86667809702686</v>
      </c>
      <c r="BC282" s="23">
        <v>8.9181565948742242E-2</v>
      </c>
      <c r="BD282" s="23">
        <v>0.10665277883445198</v>
      </c>
      <c r="BE282" s="23">
        <v>9.438849084854764E-2</v>
      </c>
      <c r="BF282" s="23">
        <v>7.149564986855049E-2</v>
      </c>
      <c r="BG282" s="23">
        <v>0.10368571810536763</v>
      </c>
      <c r="BH282" s="23">
        <v>8.4970330952544637E-2</v>
      </c>
      <c r="BI282" s="23">
        <v>8.4593878877262704E-2</v>
      </c>
      <c r="BJ282" s="23">
        <v>5.7447105462779965E-2</v>
      </c>
      <c r="BK282" s="23">
        <v>8.5153852345557474E-2</v>
      </c>
      <c r="BL282" s="23">
        <v>7.4158058913035174E-2</v>
      </c>
      <c r="BM282" s="23">
        <v>7.5718189192107169E-2</v>
      </c>
      <c r="BN282" s="23">
        <v>7.3955559365675619E-2</v>
      </c>
    </row>
    <row r="283" spans="1:66" x14ac:dyDescent="0.25">
      <c r="A283" s="16">
        <v>4094</v>
      </c>
      <c r="B283" s="16" t="s">
        <v>479</v>
      </c>
      <c r="C283" s="17">
        <v>0</v>
      </c>
      <c r="D283" s="17">
        <f t="shared" si="157"/>
        <v>0</v>
      </c>
      <c r="E283" s="17">
        <f t="shared" si="158"/>
        <v>0</v>
      </c>
      <c r="F283" s="17">
        <f t="shared" si="159"/>
        <v>0</v>
      </c>
      <c r="G283" s="17">
        <f t="shared" si="160"/>
        <v>0</v>
      </c>
      <c r="H283" s="17">
        <f t="shared" si="161"/>
        <v>0</v>
      </c>
      <c r="I283" s="17">
        <f t="shared" si="162"/>
        <v>0</v>
      </c>
      <c r="J283" s="17">
        <f t="shared" si="163"/>
        <v>0</v>
      </c>
      <c r="K283" s="17">
        <f t="shared" si="164"/>
        <v>0</v>
      </c>
      <c r="L283" s="17">
        <f t="shared" si="165"/>
        <v>0</v>
      </c>
      <c r="M283" s="17">
        <f t="shared" si="166"/>
        <v>0</v>
      </c>
      <c r="N283" s="17">
        <f t="shared" si="167"/>
        <v>0</v>
      </c>
      <c r="O283" s="17">
        <f t="shared" si="168"/>
        <v>0</v>
      </c>
      <c r="P283" s="17">
        <v>1500</v>
      </c>
      <c r="Q283" s="17">
        <f t="shared" si="169"/>
        <v>133.77234892311336</v>
      </c>
      <c r="R283" s="17">
        <f t="shared" si="170"/>
        <v>159.97916825167798</v>
      </c>
      <c r="S283" s="17">
        <f t="shared" si="171"/>
        <v>141.58273627282145</v>
      </c>
      <c r="T283" s="17">
        <f t="shared" si="172"/>
        <v>107.24347480282573</v>
      </c>
      <c r="U283" s="17">
        <f t="shared" si="173"/>
        <v>155.52857715805143</v>
      </c>
      <c r="V283" s="17">
        <f t="shared" si="174"/>
        <v>127.45549642881696</v>
      </c>
      <c r="W283" s="17">
        <f t="shared" si="175"/>
        <v>126.89081831589405</v>
      </c>
      <c r="X283" s="17">
        <f t="shared" si="176"/>
        <v>86.170658194169945</v>
      </c>
      <c r="Y283" s="17">
        <f t="shared" si="177"/>
        <v>127.73077851833621</v>
      </c>
      <c r="Z283" s="17">
        <f t="shared" si="178"/>
        <v>111.23708836955277</v>
      </c>
      <c r="AA283" s="17">
        <f t="shared" si="179"/>
        <v>113.57728378816076</v>
      </c>
      <c r="AB283" s="17">
        <f t="shared" si="180"/>
        <v>110.93333904851343</v>
      </c>
      <c r="AC283" s="17">
        <v>0</v>
      </c>
      <c r="AD283" s="17">
        <f t="shared" si="181"/>
        <v>0</v>
      </c>
      <c r="AE283" s="17">
        <f t="shared" si="182"/>
        <v>0</v>
      </c>
      <c r="AF283" s="17">
        <f t="shared" si="183"/>
        <v>0</v>
      </c>
      <c r="AG283" s="17">
        <f t="shared" si="184"/>
        <v>0</v>
      </c>
      <c r="AH283" s="17">
        <f t="shared" si="185"/>
        <v>0</v>
      </c>
      <c r="AI283" s="17">
        <f t="shared" si="186"/>
        <v>0</v>
      </c>
      <c r="AJ283" s="17">
        <f t="shared" si="187"/>
        <v>0</v>
      </c>
      <c r="AK283" s="17">
        <f t="shared" si="188"/>
        <v>0</v>
      </c>
      <c r="AL283" s="17">
        <f t="shared" si="189"/>
        <v>0</v>
      </c>
      <c r="AM283" s="17">
        <f t="shared" si="190"/>
        <v>0</v>
      </c>
      <c r="AN283" s="17">
        <f t="shared" si="191"/>
        <v>0</v>
      </c>
      <c r="AO283" s="17">
        <f t="shared" si="192"/>
        <v>0</v>
      </c>
      <c r="AP283" s="17">
        <f t="shared" si="193"/>
        <v>1500</v>
      </c>
      <c r="AQ283" s="18">
        <v>267.54469784622671</v>
      </c>
      <c r="AR283" s="18">
        <v>319.95833650335595</v>
      </c>
      <c r="AS283" s="18">
        <v>283.1654725456429</v>
      </c>
      <c r="AT283" s="18">
        <v>214.48694960565146</v>
      </c>
      <c r="AU283" s="18">
        <v>311.05715431610287</v>
      </c>
      <c r="AV283" s="18">
        <v>254.91099285763391</v>
      </c>
      <c r="AW283" s="18">
        <v>253.7816366317881</v>
      </c>
      <c r="AX283" s="18">
        <v>172.34131638833989</v>
      </c>
      <c r="AY283" s="18">
        <v>255.46155703667242</v>
      </c>
      <c r="AZ283" s="18">
        <v>222.47417673910553</v>
      </c>
      <c r="BA283" s="18">
        <v>227.15456757632151</v>
      </c>
      <c r="BB283" s="18">
        <v>221.86667809702686</v>
      </c>
      <c r="BC283" s="23">
        <v>8.9181565948742242E-2</v>
      </c>
      <c r="BD283" s="23">
        <v>0.10665277883445198</v>
      </c>
      <c r="BE283" s="23">
        <v>9.438849084854764E-2</v>
      </c>
      <c r="BF283" s="23">
        <v>7.149564986855049E-2</v>
      </c>
      <c r="BG283" s="23">
        <v>0.10368571810536763</v>
      </c>
      <c r="BH283" s="23">
        <v>8.4970330952544637E-2</v>
      </c>
      <c r="BI283" s="23">
        <v>8.4593878877262704E-2</v>
      </c>
      <c r="BJ283" s="23">
        <v>5.7447105462779965E-2</v>
      </c>
      <c r="BK283" s="23">
        <v>8.5153852345557474E-2</v>
      </c>
      <c r="BL283" s="23">
        <v>7.4158058913035174E-2</v>
      </c>
      <c r="BM283" s="23">
        <v>7.5718189192107169E-2</v>
      </c>
      <c r="BN283" s="23">
        <v>7.3955559365675619E-2</v>
      </c>
    </row>
    <row r="284" spans="1:66" x14ac:dyDescent="0.25">
      <c r="A284" s="16">
        <v>4184</v>
      </c>
      <c r="B284" s="16" t="s">
        <v>480</v>
      </c>
      <c r="C284" s="17">
        <v>500</v>
      </c>
      <c r="D284" s="17">
        <f t="shared" si="157"/>
        <v>44.590782974371123</v>
      </c>
      <c r="E284" s="17">
        <f t="shared" si="158"/>
        <v>53.32638941722599</v>
      </c>
      <c r="F284" s="17">
        <f t="shared" si="159"/>
        <v>47.194245424273824</v>
      </c>
      <c r="G284" s="17">
        <f t="shared" si="160"/>
        <v>35.747824934275243</v>
      </c>
      <c r="H284" s="17">
        <f t="shared" si="161"/>
        <v>51.842859052683814</v>
      </c>
      <c r="I284" s="17">
        <f t="shared" si="162"/>
        <v>42.485165476272321</v>
      </c>
      <c r="J284" s="17">
        <f t="shared" si="163"/>
        <v>42.296939438631355</v>
      </c>
      <c r="K284" s="17">
        <f t="shared" si="164"/>
        <v>28.723552731389983</v>
      </c>
      <c r="L284" s="17">
        <f t="shared" si="165"/>
        <v>42.576926172778734</v>
      </c>
      <c r="M284" s="17">
        <f t="shared" si="166"/>
        <v>37.079029456517588</v>
      </c>
      <c r="N284" s="17">
        <f t="shared" si="167"/>
        <v>37.859094596053588</v>
      </c>
      <c r="O284" s="17">
        <f t="shared" si="168"/>
        <v>36.977779682837813</v>
      </c>
      <c r="P284" s="17">
        <v>0</v>
      </c>
      <c r="Q284" s="17">
        <f t="shared" si="169"/>
        <v>0</v>
      </c>
      <c r="R284" s="17">
        <f t="shared" si="170"/>
        <v>0</v>
      </c>
      <c r="S284" s="17">
        <f t="shared" si="171"/>
        <v>0</v>
      </c>
      <c r="T284" s="17">
        <f t="shared" si="172"/>
        <v>0</v>
      </c>
      <c r="U284" s="17">
        <f t="shared" si="173"/>
        <v>0</v>
      </c>
      <c r="V284" s="17">
        <f t="shared" si="174"/>
        <v>0</v>
      </c>
      <c r="W284" s="17">
        <f t="shared" si="175"/>
        <v>0</v>
      </c>
      <c r="X284" s="17">
        <f t="shared" si="176"/>
        <v>0</v>
      </c>
      <c r="Y284" s="17">
        <f t="shared" si="177"/>
        <v>0</v>
      </c>
      <c r="Z284" s="17">
        <f t="shared" si="178"/>
        <v>0</v>
      </c>
      <c r="AA284" s="17">
        <f t="shared" si="179"/>
        <v>0</v>
      </c>
      <c r="AB284" s="17">
        <f t="shared" si="180"/>
        <v>0</v>
      </c>
      <c r="AC284" s="17">
        <v>0</v>
      </c>
      <c r="AD284" s="17">
        <f t="shared" si="181"/>
        <v>0</v>
      </c>
      <c r="AE284" s="17">
        <f t="shared" si="182"/>
        <v>0</v>
      </c>
      <c r="AF284" s="17">
        <f t="shared" si="183"/>
        <v>0</v>
      </c>
      <c r="AG284" s="17">
        <f t="shared" si="184"/>
        <v>0</v>
      </c>
      <c r="AH284" s="17">
        <f t="shared" si="185"/>
        <v>0</v>
      </c>
      <c r="AI284" s="17">
        <f t="shared" si="186"/>
        <v>0</v>
      </c>
      <c r="AJ284" s="17">
        <f t="shared" si="187"/>
        <v>0</v>
      </c>
      <c r="AK284" s="17">
        <f t="shared" si="188"/>
        <v>0</v>
      </c>
      <c r="AL284" s="17">
        <f t="shared" si="189"/>
        <v>0</v>
      </c>
      <c r="AM284" s="17">
        <f t="shared" si="190"/>
        <v>0</v>
      </c>
      <c r="AN284" s="17">
        <f t="shared" si="191"/>
        <v>0</v>
      </c>
      <c r="AO284" s="17">
        <f t="shared" si="192"/>
        <v>0</v>
      </c>
      <c r="AP284" s="17">
        <f t="shared" si="193"/>
        <v>500</v>
      </c>
      <c r="AQ284" s="18">
        <v>267.54469784622671</v>
      </c>
      <c r="AR284" s="18">
        <v>319.95833650335595</v>
      </c>
      <c r="AS284" s="18">
        <v>283.1654725456429</v>
      </c>
      <c r="AT284" s="18">
        <v>214.48694960565146</v>
      </c>
      <c r="AU284" s="18">
        <v>311.05715431610287</v>
      </c>
      <c r="AV284" s="18">
        <v>254.91099285763391</v>
      </c>
      <c r="AW284" s="18">
        <v>253.7816366317881</v>
      </c>
      <c r="AX284" s="18">
        <v>172.34131638833989</v>
      </c>
      <c r="AY284" s="18">
        <v>255.46155703667242</v>
      </c>
      <c r="AZ284" s="18">
        <v>222.47417673910553</v>
      </c>
      <c r="BA284" s="18">
        <v>227.15456757632151</v>
      </c>
      <c r="BB284" s="18">
        <v>221.86667809702686</v>
      </c>
      <c r="BC284" s="23">
        <v>8.9181565948742242E-2</v>
      </c>
      <c r="BD284" s="23">
        <v>0.10665277883445198</v>
      </c>
      <c r="BE284" s="23">
        <v>9.438849084854764E-2</v>
      </c>
      <c r="BF284" s="23">
        <v>7.149564986855049E-2</v>
      </c>
      <c r="BG284" s="23">
        <v>0.10368571810536763</v>
      </c>
      <c r="BH284" s="23">
        <v>8.4970330952544637E-2</v>
      </c>
      <c r="BI284" s="23">
        <v>8.4593878877262704E-2</v>
      </c>
      <c r="BJ284" s="23">
        <v>5.7447105462779965E-2</v>
      </c>
      <c r="BK284" s="23">
        <v>8.5153852345557474E-2</v>
      </c>
      <c r="BL284" s="23">
        <v>7.4158058913035174E-2</v>
      </c>
      <c r="BM284" s="23">
        <v>7.5718189192107169E-2</v>
      </c>
      <c r="BN284" s="23">
        <v>7.3955559365675619E-2</v>
      </c>
    </row>
    <row r="285" spans="1:66" x14ac:dyDescent="0.25">
      <c r="A285" s="16">
        <v>4379</v>
      </c>
      <c r="B285" s="16" t="s">
        <v>481</v>
      </c>
      <c r="C285" s="17">
        <v>4000</v>
      </c>
      <c r="D285" s="17">
        <f t="shared" si="157"/>
        <v>356.72626379496899</v>
      </c>
      <c r="E285" s="17">
        <f t="shared" si="158"/>
        <v>426.61111533780792</v>
      </c>
      <c r="F285" s="17">
        <f t="shared" si="159"/>
        <v>377.55396339419059</v>
      </c>
      <c r="G285" s="17">
        <f t="shared" si="160"/>
        <v>285.98259947420195</v>
      </c>
      <c r="H285" s="17">
        <f t="shared" si="161"/>
        <v>414.74287242147051</v>
      </c>
      <c r="I285" s="17">
        <f t="shared" si="162"/>
        <v>339.88132381017857</v>
      </c>
      <c r="J285" s="17">
        <f t="shared" si="163"/>
        <v>338.37551550905084</v>
      </c>
      <c r="K285" s="17">
        <f t="shared" si="164"/>
        <v>229.78842185111986</v>
      </c>
      <c r="L285" s="17">
        <f t="shared" si="165"/>
        <v>340.61540938222987</v>
      </c>
      <c r="M285" s="17">
        <f t="shared" si="166"/>
        <v>296.63223565214071</v>
      </c>
      <c r="N285" s="17">
        <f t="shared" si="167"/>
        <v>302.8727567684287</v>
      </c>
      <c r="O285" s="17">
        <f t="shared" si="168"/>
        <v>295.8222374627025</v>
      </c>
      <c r="P285" s="17">
        <v>0</v>
      </c>
      <c r="Q285" s="17">
        <f t="shared" si="169"/>
        <v>0</v>
      </c>
      <c r="R285" s="17">
        <f t="shared" si="170"/>
        <v>0</v>
      </c>
      <c r="S285" s="17">
        <f t="shared" si="171"/>
        <v>0</v>
      </c>
      <c r="T285" s="17">
        <f t="shared" si="172"/>
        <v>0</v>
      </c>
      <c r="U285" s="17">
        <f t="shared" si="173"/>
        <v>0</v>
      </c>
      <c r="V285" s="17">
        <f t="shared" si="174"/>
        <v>0</v>
      </c>
      <c r="W285" s="17">
        <f t="shared" si="175"/>
        <v>0</v>
      </c>
      <c r="X285" s="17">
        <f t="shared" si="176"/>
        <v>0</v>
      </c>
      <c r="Y285" s="17">
        <f t="shared" si="177"/>
        <v>0</v>
      </c>
      <c r="Z285" s="17">
        <f t="shared" si="178"/>
        <v>0</v>
      </c>
      <c r="AA285" s="17">
        <f t="shared" si="179"/>
        <v>0</v>
      </c>
      <c r="AB285" s="17">
        <f t="shared" si="180"/>
        <v>0</v>
      </c>
      <c r="AC285" s="17">
        <v>0</v>
      </c>
      <c r="AD285" s="17">
        <f t="shared" si="181"/>
        <v>0</v>
      </c>
      <c r="AE285" s="17">
        <f t="shared" si="182"/>
        <v>0</v>
      </c>
      <c r="AF285" s="17">
        <f t="shared" si="183"/>
        <v>0</v>
      </c>
      <c r="AG285" s="17">
        <f t="shared" si="184"/>
        <v>0</v>
      </c>
      <c r="AH285" s="17">
        <f t="shared" si="185"/>
        <v>0</v>
      </c>
      <c r="AI285" s="17">
        <f t="shared" si="186"/>
        <v>0</v>
      </c>
      <c r="AJ285" s="17">
        <f t="shared" si="187"/>
        <v>0</v>
      </c>
      <c r="AK285" s="17">
        <f t="shared" si="188"/>
        <v>0</v>
      </c>
      <c r="AL285" s="17">
        <f t="shared" si="189"/>
        <v>0</v>
      </c>
      <c r="AM285" s="17">
        <f t="shared" si="190"/>
        <v>0</v>
      </c>
      <c r="AN285" s="17">
        <f t="shared" si="191"/>
        <v>0</v>
      </c>
      <c r="AO285" s="17">
        <f t="shared" si="192"/>
        <v>0</v>
      </c>
      <c r="AP285" s="17">
        <f t="shared" si="193"/>
        <v>4000</v>
      </c>
      <c r="AQ285" s="18">
        <v>267.54469784622671</v>
      </c>
      <c r="AR285" s="18">
        <v>319.95833650335595</v>
      </c>
      <c r="AS285" s="18">
        <v>283.1654725456429</v>
      </c>
      <c r="AT285" s="18">
        <v>214.48694960565146</v>
      </c>
      <c r="AU285" s="18">
        <v>311.05715431610287</v>
      </c>
      <c r="AV285" s="18">
        <v>254.91099285763391</v>
      </c>
      <c r="AW285" s="18">
        <v>253.7816366317881</v>
      </c>
      <c r="AX285" s="18">
        <v>172.34131638833989</v>
      </c>
      <c r="AY285" s="18">
        <v>255.46155703667242</v>
      </c>
      <c r="AZ285" s="18">
        <v>222.47417673910553</v>
      </c>
      <c r="BA285" s="18">
        <v>227.15456757632151</v>
      </c>
      <c r="BB285" s="18">
        <v>221.86667809702686</v>
      </c>
      <c r="BC285" s="23">
        <v>8.9181565948742242E-2</v>
      </c>
      <c r="BD285" s="23">
        <v>0.10665277883445198</v>
      </c>
      <c r="BE285" s="23">
        <v>9.438849084854764E-2</v>
      </c>
      <c r="BF285" s="23">
        <v>7.149564986855049E-2</v>
      </c>
      <c r="BG285" s="23">
        <v>0.10368571810536763</v>
      </c>
      <c r="BH285" s="23">
        <v>8.4970330952544637E-2</v>
      </c>
      <c r="BI285" s="23">
        <v>8.4593878877262704E-2</v>
      </c>
      <c r="BJ285" s="23">
        <v>5.7447105462779965E-2</v>
      </c>
      <c r="BK285" s="23">
        <v>8.5153852345557474E-2</v>
      </c>
      <c r="BL285" s="23">
        <v>7.4158058913035174E-2</v>
      </c>
      <c r="BM285" s="23">
        <v>7.5718189192107169E-2</v>
      </c>
      <c r="BN285" s="23">
        <v>7.3955559365675619E-2</v>
      </c>
    </row>
    <row r="286" spans="1:66" x14ac:dyDescent="0.25">
      <c r="A286" s="16">
        <v>4588</v>
      </c>
      <c r="B286" s="16" t="s">
        <v>482</v>
      </c>
      <c r="C286" s="17">
        <v>3000</v>
      </c>
      <c r="D286" s="17">
        <f t="shared" si="157"/>
        <v>267.54469784622671</v>
      </c>
      <c r="E286" s="17">
        <f t="shared" si="158"/>
        <v>319.95833650335595</v>
      </c>
      <c r="F286" s="17">
        <f t="shared" si="159"/>
        <v>283.1654725456429</v>
      </c>
      <c r="G286" s="17">
        <f t="shared" si="160"/>
        <v>214.48694960565146</v>
      </c>
      <c r="H286" s="17">
        <f t="shared" si="161"/>
        <v>311.05715431610287</v>
      </c>
      <c r="I286" s="17">
        <f t="shared" si="162"/>
        <v>254.91099285763391</v>
      </c>
      <c r="J286" s="17">
        <f t="shared" si="163"/>
        <v>253.7816366317881</v>
      </c>
      <c r="K286" s="17">
        <f t="shared" si="164"/>
        <v>172.34131638833989</v>
      </c>
      <c r="L286" s="17">
        <f t="shared" si="165"/>
        <v>255.46155703667242</v>
      </c>
      <c r="M286" s="17">
        <f t="shared" si="166"/>
        <v>222.47417673910553</v>
      </c>
      <c r="N286" s="17">
        <f t="shared" si="167"/>
        <v>227.15456757632151</v>
      </c>
      <c r="O286" s="17">
        <f t="shared" si="168"/>
        <v>221.86667809702686</v>
      </c>
      <c r="P286" s="17">
        <v>0</v>
      </c>
      <c r="Q286" s="17">
        <f t="shared" si="169"/>
        <v>0</v>
      </c>
      <c r="R286" s="17">
        <f t="shared" si="170"/>
        <v>0</v>
      </c>
      <c r="S286" s="17">
        <f t="shared" si="171"/>
        <v>0</v>
      </c>
      <c r="T286" s="17">
        <f t="shared" si="172"/>
        <v>0</v>
      </c>
      <c r="U286" s="17">
        <f t="shared" si="173"/>
        <v>0</v>
      </c>
      <c r="V286" s="17">
        <f t="shared" si="174"/>
        <v>0</v>
      </c>
      <c r="W286" s="17">
        <f t="shared" si="175"/>
        <v>0</v>
      </c>
      <c r="X286" s="17">
        <f t="shared" si="176"/>
        <v>0</v>
      </c>
      <c r="Y286" s="17">
        <f t="shared" si="177"/>
        <v>0</v>
      </c>
      <c r="Z286" s="17">
        <f t="shared" si="178"/>
        <v>0</v>
      </c>
      <c r="AA286" s="17">
        <f t="shared" si="179"/>
        <v>0</v>
      </c>
      <c r="AB286" s="17">
        <f t="shared" si="180"/>
        <v>0</v>
      </c>
      <c r="AC286" s="17">
        <v>0</v>
      </c>
      <c r="AD286" s="17">
        <f t="shared" si="181"/>
        <v>0</v>
      </c>
      <c r="AE286" s="17">
        <f t="shared" si="182"/>
        <v>0</v>
      </c>
      <c r="AF286" s="17">
        <f t="shared" si="183"/>
        <v>0</v>
      </c>
      <c r="AG286" s="17">
        <f t="shared" si="184"/>
        <v>0</v>
      </c>
      <c r="AH286" s="17">
        <f t="shared" si="185"/>
        <v>0</v>
      </c>
      <c r="AI286" s="17">
        <f t="shared" si="186"/>
        <v>0</v>
      </c>
      <c r="AJ286" s="17">
        <f t="shared" si="187"/>
        <v>0</v>
      </c>
      <c r="AK286" s="17">
        <f t="shared" si="188"/>
        <v>0</v>
      </c>
      <c r="AL286" s="17">
        <f t="shared" si="189"/>
        <v>0</v>
      </c>
      <c r="AM286" s="17">
        <f t="shared" si="190"/>
        <v>0</v>
      </c>
      <c r="AN286" s="17">
        <f t="shared" si="191"/>
        <v>0</v>
      </c>
      <c r="AO286" s="17">
        <f t="shared" si="192"/>
        <v>0</v>
      </c>
      <c r="AP286" s="17">
        <f t="shared" si="193"/>
        <v>3000</v>
      </c>
      <c r="AQ286" s="18">
        <v>267.54469784622671</v>
      </c>
      <c r="AR286" s="18">
        <v>319.95833650335595</v>
      </c>
      <c r="AS286" s="18">
        <v>283.1654725456429</v>
      </c>
      <c r="AT286" s="18">
        <v>214.48694960565146</v>
      </c>
      <c r="AU286" s="18">
        <v>311.05715431610287</v>
      </c>
      <c r="AV286" s="18">
        <v>254.91099285763391</v>
      </c>
      <c r="AW286" s="18">
        <v>253.7816366317881</v>
      </c>
      <c r="AX286" s="18">
        <v>172.34131638833989</v>
      </c>
      <c r="AY286" s="18">
        <v>255.46155703667242</v>
      </c>
      <c r="AZ286" s="18">
        <v>222.47417673910553</v>
      </c>
      <c r="BA286" s="18">
        <v>227.15456757632151</v>
      </c>
      <c r="BB286" s="18">
        <v>221.86667809702686</v>
      </c>
      <c r="BC286" s="23">
        <v>8.9181565948742242E-2</v>
      </c>
      <c r="BD286" s="23">
        <v>0.10665277883445198</v>
      </c>
      <c r="BE286" s="23">
        <v>9.438849084854764E-2</v>
      </c>
      <c r="BF286" s="23">
        <v>7.149564986855049E-2</v>
      </c>
      <c r="BG286" s="23">
        <v>0.10368571810536763</v>
      </c>
      <c r="BH286" s="23">
        <v>8.4970330952544637E-2</v>
      </c>
      <c r="BI286" s="23">
        <v>8.4593878877262704E-2</v>
      </c>
      <c r="BJ286" s="23">
        <v>5.7447105462779965E-2</v>
      </c>
      <c r="BK286" s="23">
        <v>8.5153852345557474E-2</v>
      </c>
      <c r="BL286" s="23">
        <v>7.4158058913035174E-2</v>
      </c>
      <c r="BM286" s="23">
        <v>7.5718189192107169E-2</v>
      </c>
      <c r="BN286" s="23">
        <v>7.3955559365675619E-2</v>
      </c>
    </row>
    <row r="287" spans="1:66" x14ac:dyDescent="0.25">
      <c r="A287" s="16">
        <v>4842</v>
      </c>
      <c r="B287" s="16" t="s">
        <v>483</v>
      </c>
      <c r="C287" s="17">
        <v>8000</v>
      </c>
      <c r="D287" s="17">
        <f t="shared" si="157"/>
        <v>713.45252758993797</v>
      </c>
      <c r="E287" s="17">
        <f t="shared" si="158"/>
        <v>853.22223067561583</v>
      </c>
      <c r="F287" s="17">
        <f t="shared" si="159"/>
        <v>755.10792678838118</v>
      </c>
      <c r="G287" s="17">
        <f t="shared" si="160"/>
        <v>571.96519894840389</v>
      </c>
      <c r="H287" s="17">
        <f t="shared" si="161"/>
        <v>829.48574484294102</v>
      </c>
      <c r="I287" s="17">
        <f t="shared" si="162"/>
        <v>679.76264762035714</v>
      </c>
      <c r="J287" s="17">
        <f t="shared" si="163"/>
        <v>676.75103101810168</v>
      </c>
      <c r="K287" s="17">
        <f t="shared" si="164"/>
        <v>459.57684370223973</v>
      </c>
      <c r="L287" s="17">
        <f t="shared" si="165"/>
        <v>681.23081876445974</v>
      </c>
      <c r="M287" s="17">
        <f t="shared" si="166"/>
        <v>593.26447130428141</v>
      </c>
      <c r="N287" s="17">
        <f t="shared" si="167"/>
        <v>605.7455135368574</v>
      </c>
      <c r="O287" s="17">
        <f t="shared" si="168"/>
        <v>591.64447492540501</v>
      </c>
      <c r="P287" s="17">
        <v>0</v>
      </c>
      <c r="Q287" s="17">
        <f t="shared" si="169"/>
        <v>0</v>
      </c>
      <c r="R287" s="17">
        <f t="shared" si="170"/>
        <v>0</v>
      </c>
      <c r="S287" s="17">
        <f t="shared" si="171"/>
        <v>0</v>
      </c>
      <c r="T287" s="17">
        <f t="shared" si="172"/>
        <v>0</v>
      </c>
      <c r="U287" s="17">
        <f t="shared" si="173"/>
        <v>0</v>
      </c>
      <c r="V287" s="17">
        <f t="shared" si="174"/>
        <v>0</v>
      </c>
      <c r="W287" s="17">
        <f t="shared" si="175"/>
        <v>0</v>
      </c>
      <c r="X287" s="17">
        <f t="shared" si="176"/>
        <v>0</v>
      </c>
      <c r="Y287" s="17">
        <f t="shared" si="177"/>
        <v>0</v>
      </c>
      <c r="Z287" s="17">
        <f t="shared" si="178"/>
        <v>0</v>
      </c>
      <c r="AA287" s="17">
        <f t="shared" si="179"/>
        <v>0</v>
      </c>
      <c r="AB287" s="17">
        <f t="shared" si="180"/>
        <v>0</v>
      </c>
      <c r="AC287" s="17">
        <v>0</v>
      </c>
      <c r="AD287" s="17">
        <f t="shared" si="181"/>
        <v>0</v>
      </c>
      <c r="AE287" s="17">
        <f t="shared" si="182"/>
        <v>0</v>
      </c>
      <c r="AF287" s="17">
        <f t="shared" si="183"/>
        <v>0</v>
      </c>
      <c r="AG287" s="17">
        <f t="shared" si="184"/>
        <v>0</v>
      </c>
      <c r="AH287" s="17">
        <f t="shared" si="185"/>
        <v>0</v>
      </c>
      <c r="AI287" s="17">
        <f t="shared" si="186"/>
        <v>0</v>
      </c>
      <c r="AJ287" s="17">
        <f t="shared" si="187"/>
        <v>0</v>
      </c>
      <c r="AK287" s="17">
        <f t="shared" si="188"/>
        <v>0</v>
      </c>
      <c r="AL287" s="17">
        <f t="shared" si="189"/>
        <v>0</v>
      </c>
      <c r="AM287" s="17">
        <f t="shared" si="190"/>
        <v>0</v>
      </c>
      <c r="AN287" s="17">
        <f t="shared" si="191"/>
        <v>0</v>
      </c>
      <c r="AO287" s="17">
        <f t="shared" si="192"/>
        <v>0</v>
      </c>
      <c r="AP287" s="17">
        <f t="shared" si="193"/>
        <v>8000</v>
      </c>
      <c r="AQ287" s="18">
        <v>269.33697977709863</v>
      </c>
      <c r="AR287" s="18">
        <v>322.10173739959197</v>
      </c>
      <c r="AS287" s="18">
        <v>285.06239804622618</v>
      </c>
      <c r="AT287" s="18">
        <v>215.92379768105974</v>
      </c>
      <c r="AU287" s="18">
        <v>313.14092619286646</v>
      </c>
      <c r="AV287" s="18">
        <v>256.61864159878724</v>
      </c>
      <c r="AW287" s="18">
        <v>255.48171981558448</v>
      </c>
      <c r="AX287" s="18">
        <v>173.4958308668254</v>
      </c>
      <c r="AY287" s="18">
        <v>257.17289400726111</v>
      </c>
      <c r="AZ287" s="18">
        <v>223.96453124908081</v>
      </c>
      <c r="BA287" s="18">
        <v>228.67627602451529</v>
      </c>
      <c r="BB287" s="18">
        <v>223.35296297359886</v>
      </c>
      <c r="BC287" s="23">
        <v>8.9181565948742242E-2</v>
      </c>
      <c r="BD287" s="23">
        <v>0.10665277883445198</v>
      </c>
      <c r="BE287" s="23">
        <v>9.438849084854764E-2</v>
      </c>
      <c r="BF287" s="23">
        <v>7.149564986855049E-2</v>
      </c>
      <c r="BG287" s="23">
        <v>0.10368571810536763</v>
      </c>
      <c r="BH287" s="23">
        <v>8.4970330952544637E-2</v>
      </c>
      <c r="BI287" s="23">
        <v>8.4593878877262704E-2</v>
      </c>
      <c r="BJ287" s="23">
        <v>5.7447105462779965E-2</v>
      </c>
      <c r="BK287" s="23">
        <v>8.5153852345557474E-2</v>
      </c>
      <c r="BL287" s="23">
        <v>7.4158058913035174E-2</v>
      </c>
      <c r="BM287" s="23">
        <v>7.5718189192107169E-2</v>
      </c>
      <c r="BN287" s="23">
        <v>7.3955559365675619E-2</v>
      </c>
    </row>
    <row r="288" spans="1:66" x14ac:dyDescent="0.25">
      <c r="A288" s="16">
        <v>4938</v>
      </c>
      <c r="B288" s="16" t="s">
        <v>484</v>
      </c>
      <c r="C288" s="17">
        <v>8000</v>
      </c>
      <c r="D288" s="17">
        <f t="shared" si="157"/>
        <v>713.45252758993797</v>
      </c>
      <c r="E288" s="17">
        <f t="shared" si="158"/>
        <v>853.22223067561583</v>
      </c>
      <c r="F288" s="17">
        <f t="shared" si="159"/>
        <v>755.10792678838118</v>
      </c>
      <c r="G288" s="17">
        <f t="shared" si="160"/>
        <v>571.96519894840389</v>
      </c>
      <c r="H288" s="17">
        <f t="shared" si="161"/>
        <v>829.48574484294102</v>
      </c>
      <c r="I288" s="17">
        <f t="shared" si="162"/>
        <v>679.76264762035714</v>
      </c>
      <c r="J288" s="17">
        <f t="shared" si="163"/>
        <v>676.75103101810168</v>
      </c>
      <c r="K288" s="17">
        <f t="shared" si="164"/>
        <v>459.57684370223973</v>
      </c>
      <c r="L288" s="17">
        <f t="shared" si="165"/>
        <v>681.23081876445974</v>
      </c>
      <c r="M288" s="17">
        <f t="shared" si="166"/>
        <v>593.26447130428141</v>
      </c>
      <c r="N288" s="17">
        <f t="shared" si="167"/>
        <v>605.7455135368574</v>
      </c>
      <c r="O288" s="17">
        <f t="shared" si="168"/>
        <v>591.64447492540501</v>
      </c>
      <c r="P288" s="17">
        <v>0</v>
      </c>
      <c r="Q288" s="17">
        <f t="shared" si="169"/>
        <v>0</v>
      </c>
      <c r="R288" s="17">
        <f t="shared" si="170"/>
        <v>0</v>
      </c>
      <c r="S288" s="17">
        <f t="shared" si="171"/>
        <v>0</v>
      </c>
      <c r="T288" s="17">
        <f t="shared" si="172"/>
        <v>0</v>
      </c>
      <c r="U288" s="17">
        <f t="shared" si="173"/>
        <v>0</v>
      </c>
      <c r="V288" s="17">
        <f t="shared" si="174"/>
        <v>0</v>
      </c>
      <c r="W288" s="17">
        <f t="shared" si="175"/>
        <v>0</v>
      </c>
      <c r="X288" s="17">
        <f t="shared" si="176"/>
        <v>0</v>
      </c>
      <c r="Y288" s="17">
        <f t="shared" si="177"/>
        <v>0</v>
      </c>
      <c r="Z288" s="17">
        <f t="shared" si="178"/>
        <v>0</v>
      </c>
      <c r="AA288" s="17">
        <f t="shared" si="179"/>
        <v>0</v>
      </c>
      <c r="AB288" s="17">
        <f t="shared" si="180"/>
        <v>0</v>
      </c>
      <c r="AC288" s="17">
        <v>0</v>
      </c>
      <c r="AD288" s="17">
        <f t="shared" si="181"/>
        <v>0</v>
      </c>
      <c r="AE288" s="17">
        <f t="shared" si="182"/>
        <v>0</v>
      </c>
      <c r="AF288" s="17">
        <f t="shared" si="183"/>
        <v>0</v>
      </c>
      <c r="AG288" s="17">
        <f t="shared" si="184"/>
        <v>0</v>
      </c>
      <c r="AH288" s="17">
        <f t="shared" si="185"/>
        <v>0</v>
      </c>
      <c r="AI288" s="17">
        <f t="shared" si="186"/>
        <v>0</v>
      </c>
      <c r="AJ288" s="17">
        <f t="shared" si="187"/>
        <v>0</v>
      </c>
      <c r="AK288" s="17">
        <f t="shared" si="188"/>
        <v>0</v>
      </c>
      <c r="AL288" s="17">
        <f t="shared" si="189"/>
        <v>0</v>
      </c>
      <c r="AM288" s="17">
        <f t="shared" si="190"/>
        <v>0</v>
      </c>
      <c r="AN288" s="17">
        <f t="shared" si="191"/>
        <v>0</v>
      </c>
      <c r="AO288" s="17">
        <f t="shared" si="192"/>
        <v>0</v>
      </c>
      <c r="AP288" s="17">
        <f t="shared" si="193"/>
        <v>8000</v>
      </c>
      <c r="AQ288" s="18">
        <v>289.61713541854044</v>
      </c>
      <c r="AR288" s="18">
        <v>346.35489926488282</v>
      </c>
      <c r="AS288" s="18">
        <v>306.52662403065847</v>
      </c>
      <c r="AT288" s="18">
        <v>232.18212294811772</v>
      </c>
      <c r="AU288" s="18">
        <v>336.71936954718137</v>
      </c>
      <c r="AV288" s="18">
        <v>275.9411497683887</v>
      </c>
      <c r="AW288" s="18">
        <v>274.71862165391065</v>
      </c>
      <c r="AX288" s="18">
        <v>186.55947499037794</v>
      </c>
      <c r="AY288" s="18">
        <v>276.53713549219788</v>
      </c>
      <c r="AZ288" s="18">
        <v>240.82829632008173</v>
      </c>
      <c r="BA288" s="18">
        <v>245.89481940136804</v>
      </c>
      <c r="BB288" s="18">
        <v>240.17067904003156</v>
      </c>
      <c r="BC288" s="23">
        <v>8.9181565948742242E-2</v>
      </c>
      <c r="BD288" s="23">
        <v>0.10665277883445198</v>
      </c>
      <c r="BE288" s="23">
        <v>9.438849084854764E-2</v>
      </c>
      <c r="BF288" s="23">
        <v>7.149564986855049E-2</v>
      </c>
      <c r="BG288" s="23">
        <v>0.10368571810536763</v>
      </c>
      <c r="BH288" s="23">
        <v>8.4970330952544637E-2</v>
      </c>
      <c r="BI288" s="23">
        <v>8.4593878877262704E-2</v>
      </c>
      <c r="BJ288" s="23">
        <v>5.7447105462779965E-2</v>
      </c>
      <c r="BK288" s="23">
        <v>8.5153852345557474E-2</v>
      </c>
      <c r="BL288" s="23">
        <v>7.4158058913035174E-2</v>
      </c>
      <c r="BM288" s="23">
        <v>7.5718189192107169E-2</v>
      </c>
      <c r="BN288" s="23">
        <v>7.3955559365675619E-2</v>
      </c>
    </row>
    <row r="289" spans="1:66" x14ac:dyDescent="0.25">
      <c r="A289" s="16">
        <v>5010</v>
      </c>
      <c r="B289" s="16" t="s">
        <v>485</v>
      </c>
      <c r="C289" s="17">
        <v>2500</v>
      </c>
      <c r="D289" s="17">
        <f t="shared" si="157"/>
        <v>222.9539148718556</v>
      </c>
      <c r="E289" s="17">
        <f t="shared" si="158"/>
        <v>266.63194708612997</v>
      </c>
      <c r="F289" s="17">
        <f t="shared" si="159"/>
        <v>235.97122712136911</v>
      </c>
      <c r="G289" s="17">
        <f t="shared" si="160"/>
        <v>178.73912467137623</v>
      </c>
      <c r="H289" s="17">
        <f t="shared" si="161"/>
        <v>259.21429526341905</v>
      </c>
      <c r="I289" s="17">
        <f t="shared" si="162"/>
        <v>212.42582738136159</v>
      </c>
      <c r="J289" s="17">
        <f t="shared" si="163"/>
        <v>211.48469719315676</v>
      </c>
      <c r="K289" s="17">
        <f t="shared" si="164"/>
        <v>143.6177636569499</v>
      </c>
      <c r="L289" s="17">
        <f t="shared" si="165"/>
        <v>212.88463086389368</v>
      </c>
      <c r="M289" s="17">
        <f t="shared" si="166"/>
        <v>185.39514728258794</v>
      </c>
      <c r="N289" s="17">
        <f t="shared" si="167"/>
        <v>189.29547298026793</v>
      </c>
      <c r="O289" s="17">
        <f t="shared" si="168"/>
        <v>184.88889841418904</v>
      </c>
      <c r="P289" s="17">
        <v>0</v>
      </c>
      <c r="Q289" s="17">
        <f t="shared" si="169"/>
        <v>0</v>
      </c>
      <c r="R289" s="17">
        <f t="shared" si="170"/>
        <v>0</v>
      </c>
      <c r="S289" s="17">
        <f t="shared" si="171"/>
        <v>0</v>
      </c>
      <c r="T289" s="17">
        <f t="shared" si="172"/>
        <v>0</v>
      </c>
      <c r="U289" s="17">
        <f t="shared" si="173"/>
        <v>0</v>
      </c>
      <c r="V289" s="17">
        <f t="shared" si="174"/>
        <v>0</v>
      </c>
      <c r="W289" s="17">
        <f t="shared" si="175"/>
        <v>0</v>
      </c>
      <c r="X289" s="17">
        <f t="shared" si="176"/>
        <v>0</v>
      </c>
      <c r="Y289" s="17">
        <f t="shared" si="177"/>
        <v>0</v>
      </c>
      <c r="Z289" s="17">
        <f t="shared" si="178"/>
        <v>0</v>
      </c>
      <c r="AA289" s="17">
        <f t="shared" si="179"/>
        <v>0</v>
      </c>
      <c r="AB289" s="17">
        <f t="shared" si="180"/>
        <v>0</v>
      </c>
      <c r="AC289" s="17">
        <v>0</v>
      </c>
      <c r="AD289" s="17">
        <f t="shared" si="181"/>
        <v>0</v>
      </c>
      <c r="AE289" s="17">
        <f t="shared" si="182"/>
        <v>0</v>
      </c>
      <c r="AF289" s="17">
        <f t="shared" si="183"/>
        <v>0</v>
      </c>
      <c r="AG289" s="17">
        <f t="shared" si="184"/>
        <v>0</v>
      </c>
      <c r="AH289" s="17">
        <f t="shared" si="185"/>
        <v>0</v>
      </c>
      <c r="AI289" s="17">
        <f t="shared" si="186"/>
        <v>0</v>
      </c>
      <c r="AJ289" s="17">
        <f t="shared" si="187"/>
        <v>0</v>
      </c>
      <c r="AK289" s="17">
        <f t="shared" si="188"/>
        <v>0</v>
      </c>
      <c r="AL289" s="17">
        <f t="shared" si="189"/>
        <v>0</v>
      </c>
      <c r="AM289" s="17">
        <f t="shared" si="190"/>
        <v>0</v>
      </c>
      <c r="AN289" s="17">
        <f t="shared" si="191"/>
        <v>0</v>
      </c>
      <c r="AO289" s="17">
        <f t="shared" si="192"/>
        <v>0</v>
      </c>
      <c r="AP289" s="17">
        <f t="shared" si="193"/>
        <v>2500</v>
      </c>
      <c r="AQ289" s="18">
        <v>270.70547090658204</v>
      </c>
      <c r="AR289" s="18">
        <v>323.73832429080659</v>
      </c>
      <c r="AS289" s="18">
        <v>286.51078943829714</v>
      </c>
      <c r="AT289" s="18">
        <v>217.02089842829264</v>
      </c>
      <c r="AU289" s="18">
        <v>314.73198353719334</v>
      </c>
      <c r="AV289" s="18">
        <v>257.92251132725397</v>
      </c>
      <c r="AW289" s="18">
        <v>256.77981288695605</v>
      </c>
      <c r="AX289" s="18">
        <v>174.37735670015175</v>
      </c>
      <c r="AY289" s="18">
        <v>258.47957987150369</v>
      </c>
      <c r="AZ289" s="18">
        <v>225.1024866631013</v>
      </c>
      <c r="BA289" s="18">
        <v>229.83817163766818</v>
      </c>
      <c r="BB289" s="18">
        <v>224.48781103206514</v>
      </c>
      <c r="BC289" s="23">
        <v>8.9181565948742242E-2</v>
      </c>
      <c r="BD289" s="23">
        <v>0.10665277883445198</v>
      </c>
      <c r="BE289" s="23">
        <v>9.438849084854764E-2</v>
      </c>
      <c r="BF289" s="23">
        <v>7.149564986855049E-2</v>
      </c>
      <c r="BG289" s="23">
        <v>0.10368571810536763</v>
      </c>
      <c r="BH289" s="23">
        <v>8.4970330952544637E-2</v>
      </c>
      <c r="BI289" s="23">
        <v>8.4593878877262704E-2</v>
      </c>
      <c r="BJ289" s="23">
        <v>5.7447105462779965E-2</v>
      </c>
      <c r="BK289" s="23">
        <v>8.5153852345557474E-2</v>
      </c>
      <c r="BL289" s="23">
        <v>7.4158058913035174E-2</v>
      </c>
      <c r="BM289" s="23">
        <v>7.5718189192107169E-2</v>
      </c>
      <c r="BN289" s="23">
        <v>7.3955559365675619E-2</v>
      </c>
    </row>
    <row r="290" spans="1:66" x14ac:dyDescent="0.25">
      <c r="A290" s="16">
        <v>5278</v>
      </c>
      <c r="B290" s="16" t="s">
        <v>486</v>
      </c>
      <c r="C290" s="17">
        <v>0</v>
      </c>
      <c r="D290" s="17">
        <f t="shared" si="157"/>
        <v>0</v>
      </c>
      <c r="E290" s="17">
        <f t="shared" si="158"/>
        <v>0</v>
      </c>
      <c r="F290" s="17">
        <f t="shared" si="159"/>
        <v>0</v>
      </c>
      <c r="G290" s="17">
        <f t="shared" si="160"/>
        <v>0</v>
      </c>
      <c r="H290" s="17">
        <f t="shared" si="161"/>
        <v>0</v>
      </c>
      <c r="I290" s="17">
        <f t="shared" si="162"/>
        <v>0</v>
      </c>
      <c r="J290" s="17">
        <f t="shared" si="163"/>
        <v>0</v>
      </c>
      <c r="K290" s="17">
        <f t="shared" si="164"/>
        <v>0</v>
      </c>
      <c r="L290" s="17">
        <f t="shared" si="165"/>
        <v>0</v>
      </c>
      <c r="M290" s="17">
        <f t="shared" si="166"/>
        <v>0</v>
      </c>
      <c r="N290" s="17">
        <f t="shared" si="167"/>
        <v>0</v>
      </c>
      <c r="O290" s="17">
        <f t="shared" si="168"/>
        <v>0</v>
      </c>
      <c r="P290" s="17">
        <v>0</v>
      </c>
      <c r="Q290" s="17">
        <f t="shared" si="169"/>
        <v>0</v>
      </c>
      <c r="R290" s="17">
        <f t="shared" si="170"/>
        <v>0</v>
      </c>
      <c r="S290" s="17">
        <f t="shared" si="171"/>
        <v>0</v>
      </c>
      <c r="T290" s="17">
        <f t="shared" si="172"/>
        <v>0</v>
      </c>
      <c r="U290" s="17">
        <f t="shared" si="173"/>
        <v>0</v>
      </c>
      <c r="V290" s="17">
        <f t="shared" si="174"/>
        <v>0</v>
      </c>
      <c r="W290" s="17">
        <f t="shared" si="175"/>
        <v>0</v>
      </c>
      <c r="X290" s="17">
        <f t="shared" si="176"/>
        <v>0</v>
      </c>
      <c r="Y290" s="17">
        <f t="shared" si="177"/>
        <v>0</v>
      </c>
      <c r="Z290" s="17">
        <f t="shared" si="178"/>
        <v>0</v>
      </c>
      <c r="AA290" s="17">
        <f t="shared" si="179"/>
        <v>0</v>
      </c>
      <c r="AB290" s="17">
        <f t="shared" si="180"/>
        <v>0</v>
      </c>
      <c r="AC290" s="17">
        <v>0</v>
      </c>
      <c r="AD290" s="17">
        <f t="shared" si="181"/>
        <v>0</v>
      </c>
      <c r="AE290" s="17">
        <f t="shared" si="182"/>
        <v>0</v>
      </c>
      <c r="AF290" s="17">
        <f t="shared" si="183"/>
        <v>0</v>
      </c>
      <c r="AG290" s="17">
        <f t="shared" si="184"/>
        <v>0</v>
      </c>
      <c r="AH290" s="17">
        <f t="shared" si="185"/>
        <v>0</v>
      </c>
      <c r="AI290" s="17">
        <f t="shared" si="186"/>
        <v>0</v>
      </c>
      <c r="AJ290" s="17">
        <f t="shared" si="187"/>
        <v>0</v>
      </c>
      <c r="AK290" s="17">
        <f t="shared" si="188"/>
        <v>0</v>
      </c>
      <c r="AL290" s="17">
        <f t="shared" si="189"/>
        <v>0</v>
      </c>
      <c r="AM290" s="17">
        <f t="shared" si="190"/>
        <v>0</v>
      </c>
      <c r="AN290" s="17">
        <f t="shared" si="191"/>
        <v>0</v>
      </c>
      <c r="AO290" s="17">
        <f t="shared" si="192"/>
        <v>0</v>
      </c>
      <c r="AP290" s="17">
        <f t="shared" si="193"/>
        <v>0</v>
      </c>
      <c r="AQ290" s="18">
        <v>267.54469784622671</v>
      </c>
      <c r="AR290" s="18">
        <v>319.95833650335595</v>
      </c>
      <c r="AS290" s="18">
        <v>283.1654725456429</v>
      </c>
      <c r="AT290" s="18">
        <v>214.48694960565146</v>
      </c>
      <c r="AU290" s="18">
        <v>311.05715431610287</v>
      </c>
      <c r="AV290" s="18">
        <v>254.91099285763391</v>
      </c>
      <c r="AW290" s="18">
        <v>253.7816366317881</v>
      </c>
      <c r="AX290" s="18">
        <v>172.34131638833989</v>
      </c>
      <c r="AY290" s="18">
        <v>255.46155703667242</v>
      </c>
      <c r="AZ290" s="18">
        <v>222.47417673910553</v>
      </c>
      <c r="BA290" s="18">
        <v>227.15456757632151</v>
      </c>
      <c r="BB290" s="18">
        <v>221.86667809702686</v>
      </c>
      <c r="BC290" s="23">
        <v>8.9181565948742242E-2</v>
      </c>
      <c r="BD290" s="23">
        <v>0.10665277883445198</v>
      </c>
      <c r="BE290" s="23">
        <v>9.438849084854764E-2</v>
      </c>
      <c r="BF290" s="23">
        <v>7.149564986855049E-2</v>
      </c>
      <c r="BG290" s="23">
        <v>0.10368571810536763</v>
      </c>
      <c r="BH290" s="23">
        <v>8.4970330952544637E-2</v>
      </c>
      <c r="BI290" s="23">
        <v>8.4593878877262704E-2</v>
      </c>
      <c r="BJ290" s="23">
        <v>5.7447105462779965E-2</v>
      </c>
      <c r="BK290" s="23">
        <v>8.5153852345557474E-2</v>
      </c>
      <c r="BL290" s="23">
        <v>7.4158058913035174E-2</v>
      </c>
      <c r="BM290" s="23">
        <v>7.5718189192107169E-2</v>
      </c>
      <c r="BN290" s="23">
        <v>7.3955559365675619E-2</v>
      </c>
    </row>
    <row r="291" spans="1:66" x14ac:dyDescent="0.25">
      <c r="A291" s="16">
        <v>5292</v>
      </c>
      <c r="B291" s="16" t="s">
        <v>487</v>
      </c>
      <c r="C291" s="17">
        <v>0</v>
      </c>
      <c r="D291" s="17">
        <f t="shared" si="157"/>
        <v>0</v>
      </c>
      <c r="E291" s="17">
        <f t="shared" si="158"/>
        <v>0</v>
      </c>
      <c r="F291" s="17">
        <f t="shared" si="159"/>
        <v>0</v>
      </c>
      <c r="G291" s="17">
        <f t="shared" si="160"/>
        <v>0</v>
      </c>
      <c r="H291" s="17">
        <f t="shared" si="161"/>
        <v>0</v>
      </c>
      <c r="I291" s="17">
        <f t="shared" si="162"/>
        <v>0</v>
      </c>
      <c r="J291" s="17">
        <f t="shared" si="163"/>
        <v>0</v>
      </c>
      <c r="K291" s="17">
        <f t="shared" si="164"/>
        <v>0</v>
      </c>
      <c r="L291" s="17">
        <f t="shared" si="165"/>
        <v>0</v>
      </c>
      <c r="M291" s="17">
        <f t="shared" si="166"/>
        <v>0</v>
      </c>
      <c r="N291" s="17">
        <f t="shared" si="167"/>
        <v>0</v>
      </c>
      <c r="O291" s="17">
        <f t="shared" si="168"/>
        <v>0</v>
      </c>
      <c r="P291" s="17">
        <v>0</v>
      </c>
      <c r="Q291" s="17">
        <f t="shared" si="169"/>
        <v>0</v>
      </c>
      <c r="R291" s="17">
        <f t="shared" si="170"/>
        <v>0</v>
      </c>
      <c r="S291" s="17">
        <f t="shared" si="171"/>
        <v>0</v>
      </c>
      <c r="T291" s="17">
        <f t="shared" si="172"/>
        <v>0</v>
      </c>
      <c r="U291" s="17">
        <f t="shared" si="173"/>
        <v>0</v>
      </c>
      <c r="V291" s="17">
        <f t="shared" si="174"/>
        <v>0</v>
      </c>
      <c r="W291" s="17">
        <f t="shared" si="175"/>
        <v>0</v>
      </c>
      <c r="X291" s="17">
        <f t="shared" si="176"/>
        <v>0</v>
      </c>
      <c r="Y291" s="17">
        <f t="shared" si="177"/>
        <v>0</v>
      </c>
      <c r="Z291" s="17">
        <f t="shared" si="178"/>
        <v>0</v>
      </c>
      <c r="AA291" s="17">
        <f t="shared" si="179"/>
        <v>0</v>
      </c>
      <c r="AB291" s="17">
        <f t="shared" si="180"/>
        <v>0</v>
      </c>
      <c r="AC291" s="17">
        <v>2500</v>
      </c>
      <c r="AD291" s="17">
        <f t="shared" si="181"/>
        <v>222.9539148718556</v>
      </c>
      <c r="AE291" s="17">
        <f t="shared" si="182"/>
        <v>266.63194708612997</v>
      </c>
      <c r="AF291" s="17">
        <f t="shared" si="183"/>
        <v>235.97122712136911</v>
      </c>
      <c r="AG291" s="17">
        <f t="shared" si="184"/>
        <v>178.73912467137623</v>
      </c>
      <c r="AH291" s="17">
        <f t="shared" si="185"/>
        <v>259.21429526341905</v>
      </c>
      <c r="AI291" s="17">
        <f t="shared" si="186"/>
        <v>212.42582738136159</v>
      </c>
      <c r="AJ291" s="17">
        <f t="shared" si="187"/>
        <v>211.48469719315676</v>
      </c>
      <c r="AK291" s="17">
        <f t="shared" si="188"/>
        <v>143.6177636569499</v>
      </c>
      <c r="AL291" s="17">
        <f t="shared" si="189"/>
        <v>212.88463086389368</v>
      </c>
      <c r="AM291" s="17">
        <f t="shared" si="190"/>
        <v>185.39514728258794</v>
      </c>
      <c r="AN291" s="17">
        <f t="shared" si="191"/>
        <v>189.29547298026793</v>
      </c>
      <c r="AO291" s="17">
        <f t="shared" si="192"/>
        <v>184.88889841418904</v>
      </c>
      <c r="AP291" s="17">
        <f t="shared" si="193"/>
        <v>2500</v>
      </c>
      <c r="AQ291" s="18">
        <v>267.54469784622671</v>
      </c>
      <c r="AR291" s="18">
        <v>319.95833650335595</v>
      </c>
      <c r="AS291" s="18">
        <v>283.1654725456429</v>
      </c>
      <c r="AT291" s="18">
        <v>214.48694960565146</v>
      </c>
      <c r="AU291" s="18">
        <v>311.05715431610287</v>
      </c>
      <c r="AV291" s="18">
        <v>254.91099285763391</v>
      </c>
      <c r="AW291" s="18">
        <v>253.7816366317881</v>
      </c>
      <c r="AX291" s="18">
        <v>172.34131638833989</v>
      </c>
      <c r="AY291" s="18">
        <v>255.46155703667242</v>
      </c>
      <c r="AZ291" s="18">
        <v>222.47417673910553</v>
      </c>
      <c r="BA291" s="18">
        <v>227.15456757632151</v>
      </c>
      <c r="BB291" s="18">
        <v>221.86667809702686</v>
      </c>
      <c r="BC291" s="23">
        <v>8.9181565948742242E-2</v>
      </c>
      <c r="BD291" s="23">
        <v>0.10665277883445198</v>
      </c>
      <c r="BE291" s="23">
        <v>9.438849084854764E-2</v>
      </c>
      <c r="BF291" s="23">
        <v>7.149564986855049E-2</v>
      </c>
      <c r="BG291" s="23">
        <v>0.10368571810536763</v>
      </c>
      <c r="BH291" s="23">
        <v>8.4970330952544637E-2</v>
      </c>
      <c r="BI291" s="23">
        <v>8.4593878877262704E-2</v>
      </c>
      <c r="BJ291" s="23">
        <v>5.7447105462779965E-2</v>
      </c>
      <c r="BK291" s="23">
        <v>8.5153852345557474E-2</v>
      </c>
      <c r="BL291" s="23">
        <v>7.4158058913035174E-2</v>
      </c>
      <c r="BM291" s="23">
        <v>7.5718189192107169E-2</v>
      </c>
      <c r="BN291" s="23">
        <v>7.3955559365675619E-2</v>
      </c>
    </row>
    <row r="292" spans="1:66" x14ac:dyDescent="0.25">
      <c r="A292" s="16">
        <v>5486</v>
      </c>
      <c r="B292" s="16" t="s">
        <v>488</v>
      </c>
      <c r="C292" s="17">
        <v>0</v>
      </c>
      <c r="D292" s="17">
        <f t="shared" si="157"/>
        <v>0</v>
      </c>
      <c r="E292" s="17">
        <f t="shared" si="158"/>
        <v>0</v>
      </c>
      <c r="F292" s="17">
        <f t="shared" si="159"/>
        <v>0</v>
      </c>
      <c r="G292" s="17">
        <f t="shared" si="160"/>
        <v>0</v>
      </c>
      <c r="H292" s="17">
        <f t="shared" si="161"/>
        <v>0</v>
      </c>
      <c r="I292" s="17">
        <f t="shared" si="162"/>
        <v>0</v>
      </c>
      <c r="J292" s="17">
        <f t="shared" si="163"/>
        <v>0</v>
      </c>
      <c r="K292" s="17">
        <f t="shared" si="164"/>
        <v>0</v>
      </c>
      <c r="L292" s="17">
        <f t="shared" si="165"/>
        <v>0</v>
      </c>
      <c r="M292" s="17">
        <f t="shared" si="166"/>
        <v>0</v>
      </c>
      <c r="N292" s="17">
        <f t="shared" si="167"/>
        <v>0</v>
      </c>
      <c r="O292" s="17">
        <f t="shared" si="168"/>
        <v>0</v>
      </c>
      <c r="P292" s="17">
        <v>0</v>
      </c>
      <c r="Q292" s="17">
        <f t="shared" si="169"/>
        <v>0</v>
      </c>
      <c r="R292" s="17">
        <f t="shared" si="170"/>
        <v>0</v>
      </c>
      <c r="S292" s="17">
        <f t="shared" si="171"/>
        <v>0</v>
      </c>
      <c r="T292" s="17">
        <f t="shared" si="172"/>
        <v>0</v>
      </c>
      <c r="U292" s="17">
        <f t="shared" si="173"/>
        <v>0</v>
      </c>
      <c r="V292" s="17">
        <f t="shared" si="174"/>
        <v>0</v>
      </c>
      <c r="W292" s="17">
        <f t="shared" si="175"/>
        <v>0</v>
      </c>
      <c r="X292" s="17">
        <f t="shared" si="176"/>
        <v>0</v>
      </c>
      <c r="Y292" s="17">
        <f t="shared" si="177"/>
        <v>0</v>
      </c>
      <c r="Z292" s="17">
        <f t="shared" si="178"/>
        <v>0</v>
      </c>
      <c r="AA292" s="17">
        <f t="shared" si="179"/>
        <v>0</v>
      </c>
      <c r="AB292" s="17">
        <f t="shared" si="180"/>
        <v>0</v>
      </c>
      <c r="AC292" s="17">
        <v>0</v>
      </c>
      <c r="AD292" s="17">
        <f t="shared" si="181"/>
        <v>0</v>
      </c>
      <c r="AE292" s="17">
        <f t="shared" si="182"/>
        <v>0</v>
      </c>
      <c r="AF292" s="17">
        <f t="shared" si="183"/>
        <v>0</v>
      </c>
      <c r="AG292" s="17">
        <f t="shared" si="184"/>
        <v>0</v>
      </c>
      <c r="AH292" s="17">
        <f t="shared" si="185"/>
        <v>0</v>
      </c>
      <c r="AI292" s="17">
        <f t="shared" si="186"/>
        <v>0</v>
      </c>
      <c r="AJ292" s="17">
        <f t="shared" si="187"/>
        <v>0</v>
      </c>
      <c r="AK292" s="17">
        <f t="shared" si="188"/>
        <v>0</v>
      </c>
      <c r="AL292" s="17">
        <f t="shared" si="189"/>
        <v>0</v>
      </c>
      <c r="AM292" s="17">
        <f t="shared" si="190"/>
        <v>0</v>
      </c>
      <c r="AN292" s="17">
        <f t="shared" si="191"/>
        <v>0</v>
      </c>
      <c r="AO292" s="17">
        <f t="shared" si="192"/>
        <v>0</v>
      </c>
      <c r="AP292" s="17">
        <f t="shared" si="193"/>
        <v>0</v>
      </c>
      <c r="AQ292" s="18">
        <v>267.54469784622671</v>
      </c>
      <c r="AR292" s="18">
        <v>319.95833650335595</v>
      </c>
      <c r="AS292" s="18">
        <v>283.1654725456429</v>
      </c>
      <c r="AT292" s="18">
        <v>214.48694960565146</v>
      </c>
      <c r="AU292" s="18">
        <v>311.05715431610287</v>
      </c>
      <c r="AV292" s="18">
        <v>254.91099285763391</v>
      </c>
      <c r="AW292" s="18">
        <v>253.7816366317881</v>
      </c>
      <c r="AX292" s="18">
        <v>172.34131638833989</v>
      </c>
      <c r="AY292" s="18">
        <v>255.46155703667242</v>
      </c>
      <c r="AZ292" s="18">
        <v>222.47417673910553</v>
      </c>
      <c r="BA292" s="18">
        <v>227.15456757632151</v>
      </c>
      <c r="BB292" s="18">
        <v>221.86667809702686</v>
      </c>
      <c r="BC292" s="23">
        <v>8.9181565948742242E-2</v>
      </c>
      <c r="BD292" s="23">
        <v>0.10665277883445198</v>
      </c>
      <c r="BE292" s="23">
        <v>9.438849084854764E-2</v>
      </c>
      <c r="BF292" s="23">
        <v>7.149564986855049E-2</v>
      </c>
      <c r="BG292" s="23">
        <v>0.10368571810536763</v>
      </c>
      <c r="BH292" s="23">
        <v>8.4970330952544637E-2</v>
      </c>
      <c r="BI292" s="23">
        <v>8.4593878877262704E-2</v>
      </c>
      <c r="BJ292" s="23">
        <v>5.7447105462779965E-2</v>
      </c>
      <c r="BK292" s="23">
        <v>8.5153852345557474E-2</v>
      </c>
      <c r="BL292" s="23">
        <v>7.4158058913035174E-2</v>
      </c>
      <c r="BM292" s="23">
        <v>7.5718189192107169E-2</v>
      </c>
      <c r="BN292" s="23">
        <v>7.3955559365675619E-2</v>
      </c>
    </row>
    <row r="293" spans="1:66" x14ac:dyDescent="0.25">
      <c r="A293" s="16">
        <v>5496</v>
      </c>
      <c r="B293" s="16" t="s">
        <v>489</v>
      </c>
      <c r="C293" s="17">
        <v>3000</v>
      </c>
      <c r="D293" s="17">
        <f t="shared" si="157"/>
        <v>267.54469784622671</v>
      </c>
      <c r="E293" s="17">
        <f t="shared" si="158"/>
        <v>319.95833650335595</v>
      </c>
      <c r="F293" s="17">
        <f t="shared" si="159"/>
        <v>283.1654725456429</v>
      </c>
      <c r="G293" s="17">
        <f t="shared" si="160"/>
        <v>214.48694960565146</v>
      </c>
      <c r="H293" s="17">
        <f t="shared" si="161"/>
        <v>311.05715431610287</v>
      </c>
      <c r="I293" s="17">
        <f t="shared" si="162"/>
        <v>254.91099285763391</v>
      </c>
      <c r="J293" s="17">
        <f t="shared" si="163"/>
        <v>253.7816366317881</v>
      </c>
      <c r="K293" s="17">
        <f t="shared" si="164"/>
        <v>172.34131638833989</v>
      </c>
      <c r="L293" s="17">
        <f t="shared" si="165"/>
        <v>255.46155703667242</v>
      </c>
      <c r="M293" s="17">
        <f t="shared" si="166"/>
        <v>222.47417673910553</v>
      </c>
      <c r="N293" s="17">
        <f t="shared" si="167"/>
        <v>227.15456757632151</v>
      </c>
      <c r="O293" s="17">
        <f t="shared" si="168"/>
        <v>221.86667809702686</v>
      </c>
      <c r="P293" s="17">
        <v>0</v>
      </c>
      <c r="Q293" s="17">
        <f t="shared" si="169"/>
        <v>0</v>
      </c>
      <c r="R293" s="17">
        <f t="shared" si="170"/>
        <v>0</v>
      </c>
      <c r="S293" s="17">
        <f t="shared" si="171"/>
        <v>0</v>
      </c>
      <c r="T293" s="17">
        <f t="shared" si="172"/>
        <v>0</v>
      </c>
      <c r="U293" s="17">
        <f t="shared" si="173"/>
        <v>0</v>
      </c>
      <c r="V293" s="17">
        <f t="shared" si="174"/>
        <v>0</v>
      </c>
      <c r="W293" s="17">
        <f t="shared" si="175"/>
        <v>0</v>
      </c>
      <c r="X293" s="17">
        <f t="shared" si="176"/>
        <v>0</v>
      </c>
      <c r="Y293" s="17">
        <f t="shared" si="177"/>
        <v>0</v>
      </c>
      <c r="Z293" s="17">
        <f t="shared" si="178"/>
        <v>0</v>
      </c>
      <c r="AA293" s="17">
        <f t="shared" si="179"/>
        <v>0</v>
      </c>
      <c r="AB293" s="17">
        <f t="shared" si="180"/>
        <v>0</v>
      </c>
      <c r="AC293" s="17">
        <v>0</v>
      </c>
      <c r="AD293" s="17">
        <f t="shared" si="181"/>
        <v>0</v>
      </c>
      <c r="AE293" s="17">
        <f t="shared" si="182"/>
        <v>0</v>
      </c>
      <c r="AF293" s="17">
        <f t="shared" si="183"/>
        <v>0</v>
      </c>
      <c r="AG293" s="17">
        <f t="shared" si="184"/>
        <v>0</v>
      </c>
      <c r="AH293" s="17">
        <f t="shared" si="185"/>
        <v>0</v>
      </c>
      <c r="AI293" s="17">
        <f t="shared" si="186"/>
        <v>0</v>
      </c>
      <c r="AJ293" s="17">
        <f t="shared" si="187"/>
        <v>0</v>
      </c>
      <c r="AK293" s="17">
        <f t="shared" si="188"/>
        <v>0</v>
      </c>
      <c r="AL293" s="17">
        <f t="shared" si="189"/>
        <v>0</v>
      </c>
      <c r="AM293" s="17">
        <f t="shared" si="190"/>
        <v>0</v>
      </c>
      <c r="AN293" s="17">
        <f t="shared" si="191"/>
        <v>0</v>
      </c>
      <c r="AO293" s="17">
        <f t="shared" si="192"/>
        <v>0</v>
      </c>
      <c r="AP293" s="17">
        <f t="shared" si="193"/>
        <v>3000</v>
      </c>
      <c r="AQ293" s="18">
        <v>267.54469784622671</v>
      </c>
      <c r="AR293" s="18">
        <v>319.95833650335595</v>
      </c>
      <c r="AS293" s="18">
        <v>283.1654725456429</v>
      </c>
      <c r="AT293" s="18">
        <v>214.48694960565146</v>
      </c>
      <c r="AU293" s="18">
        <v>311.05715431610287</v>
      </c>
      <c r="AV293" s="18">
        <v>254.91099285763391</v>
      </c>
      <c r="AW293" s="18">
        <v>253.7816366317881</v>
      </c>
      <c r="AX293" s="18">
        <v>172.34131638833989</v>
      </c>
      <c r="AY293" s="18">
        <v>255.46155703667242</v>
      </c>
      <c r="AZ293" s="18">
        <v>222.47417673910553</v>
      </c>
      <c r="BA293" s="18">
        <v>227.15456757632151</v>
      </c>
      <c r="BB293" s="18">
        <v>221.86667809702686</v>
      </c>
      <c r="BC293" s="23">
        <v>8.9181565948742242E-2</v>
      </c>
      <c r="BD293" s="23">
        <v>0.10665277883445198</v>
      </c>
      <c r="BE293" s="23">
        <v>9.438849084854764E-2</v>
      </c>
      <c r="BF293" s="23">
        <v>7.149564986855049E-2</v>
      </c>
      <c r="BG293" s="23">
        <v>0.10368571810536763</v>
      </c>
      <c r="BH293" s="23">
        <v>8.4970330952544637E-2</v>
      </c>
      <c r="BI293" s="23">
        <v>8.4593878877262704E-2</v>
      </c>
      <c r="BJ293" s="23">
        <v>5.7447105462779965E-2</v>
      </c>
      <c r="BK293" s="23">
        <v>8.5153852345557474E-2</v>
      </c>
      <c r="BL293" s="23">
        <v>7.4158058913035174E-2</v>
      </c>
      <c r="BM293" s="23">
        <v>7.5718189192107169E-2</v>
      </c>
      <c r="BN293" s="23">
        <v>7.3955559365675619E-2</v>
      </c>
    </row>
    <row r="294" spans="1:66" x14ac:dyDescent="0.25">
      <c r="A294" s="16">
        <v>6554</v>
      </c>
      <c r="B294" s="16" t="s">
        <v>490</v>
      </c>
      <c r="C294" s="17">
        <v>0</v>
      </c>
      <c r="D294" s="17">
        <f t="shared" si="157"/>
        <v>0</v>
      </c>
      <c r="E294" s="17">
        <f t="shared" si="158"/>
        <v>0</v>
      </c>
      <c r="F294" s="17">
        <f t="shared" si="159"/>
        <v>0</v>
      </c>
      <c r="G294" s="17">
        <f t="shared" si="160"/>
        <v>0</v>
      </c>
      <c r="H294" s="17">
        <f t="shared" si="161"/>
        <v>0</v>
      </c>
      <c r="I294" s="17">
        <f t="shared" si="162"/>
        <v>0</v>
      </c>
      <c r="J294" s="17">
        <f t="shared" si="163"/>
        <v>0</v>
      </c>
      <c r="K294" s="17">
        <f t="shared" si="164"/>
        <v>0</v>
      </c>
      <c r="L294" s="17">
        <f t="shared" si="165"/>
        <v>0</v>
      </c>
      <c r="M294" s="17">
        <f t="shared" si="166"/>
        <v>0</v>
      </c>
      <c r="N294" s="17">
        <f t="shared" si="167"/>
        <v>0</v>
      </c>
      <c r="O294" s="17">
        <f t="shared" si="168"/>
        <v>0</v>
      </c>
      <c r="P294" s="17">
        <v>0</v>
      </c>
      <c r="Q294" s="17">
        <f t="shared" si="169"/>
        <v>0</v>
      </c>
      <c r="R294" s="17">
        <f t="shared" si="170"/>
        <v>0</v>
      </c>
      <c r="S294" s="17">
        <f t="shared" si="171"/>
        <v>0</v>
      </c>
      <c r="T294" s="17">
        <f t="shared" si="172"/>
        <v>0</v>
      </c>
      <c r="U294" s="17">
        <f t="shared" si="173"/>
        <v>0</v>
      </c>
      <c r="V294" s="17">
        <f t="shared" si="174"/>
        <v>0</v>
      </c>
      <c r="W294" s="17">
        <f t="shared" si="175"/>
        <v>0</v>
      </c>
      <c r="X294" s="17">
        <f t="shared" si="176"/>
        <v>0</v>
      </c>
      <c r="Y294" s="17">
        <f t="shared" si="177"/>
        <v>0</v>
      </c>
      <c r="Z294" s="17">
        <f t="shared" si="178"/>
        <v>0</v>
      </c>
      <c r="AA294" s="17">
        <f t="shared" si="179"/>
        <v>0</v>
      </c>
      <c r="AB294" s="17">
        <f t="shared" si="180"/>
        <v>0</v>
      </c>
      <c r="AC294" s="17">
        <v>1500</v>
      </c>
      <c r="AD294" s="17">
        <f t="shared" si="181"/>
        <v>133.77234892311336</v>
      </c>
      <c r="AE294" s="17">
        <f t="shared" si="182"/>
        <v>159.97916825167798</v>
      </c>
      <c r="AF294" s="17">
        <f t="shared" si="183"/>
        <v>141.58273627282145</v>
      </c>
      <c r="AG294" s="17">
        <f t="shared" si="184"/>
        <v>107.24347480282573</v>
      </c>
      <c r="AH294" s="17">
        <f t="shared" si="185"/>
        <v>155.52857715805143</v>
      </c>
      <c r="AI294" s="17">
        <f t="shared" si="186"/>
        <v>127.45549642881696</v>
      </c>
      <c r="AJ294" s="17">
        <f t="shared" si="187"/>
        <v>126.89081831589405</v>
      </c>
      <c r="AK294" s="17">
        <f t="shared" si="188"/>
        <v>86.170658194169945</v>
      </c>
      <c r="AL294" s="17">
        <f t="shared" si="189"/>
        <v>127.73077851833621</v>
      </c>
      <c r="AM294" s="17">
        <f t="shared" si="190"/>
        <v>111.23708836955277</v>
      </c>
      <c r="AN294" s="17">
        <f t="shared" si="191"/>
        <v>113.57728378816076</v>
      </c>
      <c r="AO294" s="17">
        <f t="shared" si="192"/>
        <v>110.93333904851343</v>
      </c>
      <c r="AP294" s="17">
        <f t="shared" si="193"/>
        <v>1500</v>
      </c>
      <c r="AQ294" s="18">
        <v>267.54469784622671</v>
      </c>
      <c r="AR294" s="18">
        <v>319.95833650335595</v>
      </c>
      <c r="AS294" s="18">
        <v>283.1654725456429</v>
      </c>
      <c r="AT294" s="18">
        <v>214.48694960565146</v>
      </c>
      <c r="AU294" s="18">
        <v>311.05715431610287</v>
      </c>
      <c r="AV294" s="18">
        <v>254.91099285763391</v>
      </c>
      <c r="AW294" s="18">
        <v>253.7816366317881</v>
      </c>
      <c r="AX294" s="18">
        <v>172.34131638833989</v>
      </c>
      <c r="AY294" s="18">
        <v>255.46155703667242</v>
      </c>
      <c r="AZ294" s="18">
        <v>222.47417673910553</v>
      </c>
      <c r="BA294" s="18">
        <v>227.15456757632151</v>
      </c>
      <c r="BB294" s="18">
        <v>221.86667809702686</v>
      </c>
      <c r="BC294" s="23">
        <v>8.9181565948742242E-2</v>
      </c>
      <c r="BD294" s="23">
        <v>0.10665277883445198</v>
      </c>
      <c r="BE294" s="23">
        <v>9.438849084854764E-2</v>
      </c>
      <c r="BF294" s="23">
        <v>7.149564986855049E-2</v>
      </c>
      <c r="BG294" s="23">
        <v>0.10368571810536763</v>
      </c>
      <c r="BH294" s="23">
        <v>8.4970330952544637E-2</v>
      </c>
      <c r="BI294" s="23">
        <v>8.4593878877262704E-2</v>
      </c>
      <c r="BJ294" s="23">
        <v>5.7447105462779965E-2</v>
      </c>
      <c r="BK294" s="23">
        <v>8.5153852345557474E-2</v>
      </c>
      <c r="BL294" s="23">
        <v>7.4158058913035174E-2</v>
      </c>
      <c r="BM294" s="23">
        <v>7.5718189192107169E-2</v>
      </c>
      <c r="BN294" s="23">
        <v>7.3955559365675619E-2</v>
      </c>
    </row>
    <row r="295" spans="1:66" x14ac:dyDescent="0.25">
      <c r="A295" s="16">
        <v>6703</v>
      </c>
      <c r="B295" s="16" t="s">
        <v>491</v>
      </c>
      <c r="C295" s="17">
        <v>0</v>
      </c>
      <c r="D295" s="17">
        <f t="shared" si="157"/>
        <v>0</v>
      </c>
      <c r="E295" s="17">
        <f t="shared" si="158"/>
        <v>0</v>
      </c>
      <c r="F295" s="17">
        <f t="shared" si="159"/>
        <v>0</v>
      </c>
      <c r="G295" s="17">
        <f t="shared" si="160"/>
        <v>0</v>
      </c>
      <c r="H295" s="17">
        <f t="shared" si="161"/>
        <v>0</v>
      </c>
      <c r="I295" s="17">
        <f t="shared" si="162"/>
        <v>0</v>
      </c>
      <c r="J295" s="17">
        <f t="shared" si="163"/>
        <v>0</v>
      </c>
      <c r="K295" s="17">
        <f t="shared" si="164"/>
        <v>0</v>
      </c>
      <c r="L295" s="17">
        <f t="shared" si="165"/>
        <v>0</v>
      </c>
      <c r="M295" s="17">
        <f t="shared" si="166"/>
        <v>0</v>
      </c>
      <c r="N295" s="17">
        <f t="shared" si="167"/>
        <v>0</v>
      </c>
      <c r="O295" s="17">
        <f t="shared" si="168"/>
        <v>0</v>
      </c>
      <c r="P295" s="17">
        <v>0</v>
      </c>
      <c r="Q295" s="17">
        <f t="shared" si="169"/>
        <v>0</v>
      </c>
      <c r="R295" s="17">
        <f t="shared" si="170"/>
        <v>0</v>
      </c>
      <c r="S295" s="17">
        <f t="shared" si="171"/>
        <v>0</v>
      </c>
      <c r="T295" s="17">
        <f t="shared" si="172"/>
        <v>0</v>
      </c>
      <c r="U295" s="17">
        <f t="shared" si="173"/>
        <v>0</v>
      </c>
      <c r="V295" s="17">
        <f t="shared" si="174"/>
        <v>0</v>
      </c>
      <c r="W295" s="17">
        <f t="shared" si="175"/>
        <v>0</v>
      </c>
      <c r="X295" s="17">
        <f t="shared" si="176"/>
        <v>0</v>
      </c>
      <c r="Y295" s="17">
        <f t="shared" si="177"/>
        <v>0</v>
      </c>
      <c r="Z295" s="17">
        <f t="shared" si="178"/>
        <v>0</v>
      </c>
      <c r="AA295" s="17">
        <f t="shared" si="179"/>
        <v>0</v>
      </c>
      <c r="AB295" s="17">
        <f t="shared" si="180"/>
        <v>0</v>
      </c>
      <c r="AC295" s="17">
        <v>2500</v>
      </c>
      <c r="AD295" s="17">
        <f t="shared" si="181"/>
        <v>222.9539148718556</v>
      </c>
      <c r="AE295" s="17">
        <f t="shared" si="182"/>
        <v>266.63194708612997</v>
      </c>
      <c r="AF295" s="17">
        <f t="shared" si="183"/>
        <v>235.97122712136911</v>
      </c>
      <c r="AG295" s="17">
        <f t="shared" si="184"/>
        <v>178.73912467137623</v>
      </c>
      <c r="AH295" s="17">
        <f t="shared" si="185"/>
        <v>259.21429526341905</v>
      </c>
      <c r="AI295" s="17">
        <f t="shared" si="186"/>
        <v>212.42582738136159</v>
      </c>
      <c r="AJ295" s="17">
        <f t="shared" si="187"/>
        <v>211.48469719315676</v>
      </c>
      <c r="AK295" s="17">
        <f t="shared" si="188"/>
        <v>143.6177636569499</v>
      </c>
      <c r="AL295" s="17">
        <f t="shared" si="189"/>
        <v>212.88463086389368</v>
      </c>
      <c r="AM295" s="17">
        <f t="shared" si="190"/>
        <v>185.39514728258794</v>
      </c>
      <c r="AN295" s="17">
        <f t="shared" si="191"/>
        <v>189.29547298026793</v>
      </c>
      <c r="AO295" s="17">
        <f t="shared" si="192"/>
        <v>184.88889841418904</v>
      </c>
      <c r="AP295" s="17">
        <f t="shared" si="193"/>
        <v>2500</v>
      </c>
      <c r="AQ295" s="18">
        <v>267.54469784622671</v>
      </c>
      <c r="AR295" s="18">
        <v>319.95833650335595</v>
      </c>
      <c r="AS295" s="18">
        <v>283.1654725456429</v>
      </c>
      <c r="AT295" s="18">
        <v>214.48694960565146</v>
      </c>
      <c r="AU295" s="18">
        <v>311.05715431610287</v>
      </c>
      <c r="AV295" s="18">
        <v>254.91099285763391</v>
      </c>
      <c r="AW295" s="18">
        <v>253.7816366317881</v>
      </c>
      <c r="AX295" s="18">
        <v>172.34131638833989</v>
      </c>
      <c r="AY295" s="18">
        <v>255.46155703667242</v>
      </c>
      <c r="AZ295" s="18">
        <v>222.47417673910553</v>
      </c>
      <c r="BA295" s="18">
        <v>227.15456757632151</v>
      </c>
      <c r="BB295" s="18">
        <v>221.86667809702686</v>
      </c>
      <c r="BC295" s="23">
        <v>8.9181565948742242E-2</v>
      </c>
      <c r="BD295" s="23">
        <v>0.10665277883445198</v>
      </c>
      <c r="BE295" s="23">
        <v>9.438849084854764E-2</v>
      </c>
      <c r="BF295" s="23">
        <v>7.149564986855049E-2</v>
      </c>
      <c r="BG295" s="23">
        <v>0.10368571810536763</v>
      </c>
      <c r="BH295" s="23">
        <v>8.4970330952544637E-2</v>
      </c>
      <c r="BI295" s="23">
        <v>8.4593878877262704E-2</v>
      </c>
      <c r="BJ295" s="23">
        <v>5.7447105462779965E-2</v>
      </c>
      <c r="BK295" s="23">
        <v>8.5153852345557474E-2</v>
      </c>
      <c r="BL295" s="23">
        <v>7.4158058913035174E-2</v>
      </c>
      <c r="BM295" s="23">
        <v>7.5718189192107169E-2</v>
      </c>
      <c r="BN295" s="23">
        <v>7.3955559365675619E-2</v>
      </c>
    </row>
    <row r="296" spans="1:66" x14ac:dyDescent="0.25">
      <c r="A296" s="16">
        <v>22352</v>
      </c>
      <c r="B296" s="16" t="s">
        <v>492</v>
      </c>
      <c r="C296" s="17">
        <v>10000</v>
      </c>
      <c r="D296" s="17">
        <f t="shared" si="157"/>
        <v>891.81565948742241</v>
      </c>
      <c r="E296" s="17">
        <f t="shared" si="158"/>
        <v>1066.5277883445199</v>
      </c>
      <c r="F296" s="17">
        <f t="shared" si="159"/>
        <v>943.88490848547644</v>
      </c>
      <c r="G296" s="17">
        <f t="shared" si="160"/>
        <v>714.95649868550493</v>
      </c>
      <c r="H296" s="17">
        <f t="shared" si="161"/>
        <v>1036.8571810536762</v>
      </c>
      <c r="I296" s="17">
        <f t="shared" si="162"/>
        <v>849.70330952544634</v>
      </c>
      <c r="J296" s="17">
        <f t="shared" si="163"/>
        <v>845.93878877262705</v>
      </c>
      <c r="K296" s="17">
        <f t="shared" si="164"/>
        <v>574.47105462779962</v>
      </c>
      <c r="L296" s="17">
        <f t="shared" si="165"/>
        <v>851.5385234555747</v>
      </c>
      <c r="M296" s="17">
        <f t="shared" si="166"/>
        <v>741.58058913035177</v>
      </c>
      <c r="N296" s="17">
        <f t="shared" si="167"/>
        <v>757.18189192107172</v>
      </c>
      <c r="O296" s="17">
        <f t="shared" si="168"/>
        <v>739.55559365675617</v>
      </c>
      <c r="P296" s="17">
        <v>0</v>
      </c>
      <c r="Q296" s="17">
        <f t="shared" si="169"/>
        <v>0</v>
      </c>
      <c r="R296" s="17">
        <f t="shared" si="170"/>
        <v>0</v>
      </c>
      <c r="S296" s="17">
        <f t="shared" si="171"/>
        <v>0</v>
      </c>
      <c r="T296" s="17">
        <f t="shared" si="172"/>
        <v>0</v>
      </c>
      <c r="U296" s="17">
        <f t="shared" si="173"/>
        <v>0</v>
      </c>
      <c r="V296" s="17">
        <f t="shared" si="174"/>
        <v>0</v>
      </c>
      <c r="W296" s="17">
        <f t="shared" si="175"/>
        <v>0</v>
      </c>
      <c r="X296" s="17">
        <f t="shared" si="176"/>
        <v>0</v>
      </c>
      <c r="Y296" s="17">
        <f t="shared" si="177"/>
        <v>0</v>
      </c>
      <c r="Z296" s="17">
        <f t="shared" si="178"/>
        <v>0</v>
      </c>
      <c r="AA296" s="17">
        <f t="shared" si="179"/>
        <v>0</v>
      </c>
      <c r="AB296" s="17">
        <f t="shared" si="180"/>
        <v>0</v>
      </c>
      <c r="AC296" s="17">
        <v>0</v>
      </c>
      <c r="AD296" s="17">
        <f t="shared" si="181"/>
        <v>0</v>
      </c>
      <c r="AE296" s="17">
        <f t="shared" si="182"/>
        <v>0</v>
      </c>
      <c r="AF296" s="17">
        <f t="shared" si="183"/>
        <v>0</v>
      </c>
      <c r="AG296" s="17">
        <f t="shared" si="184"/>
        <v>0</v>
      </c>
      <c r="AH296" s="17">
        <f t="shared" si="185"/>
        <v>0</v>
      </c>
      <c r="AI296" s="17">
        <f t="shared" si="186"/>
        <v>0</v>
      </c>
      <c r="AJ296" s="17">
        <f t="shared" si="187"/>
        <v>0</v>
      </c>
      <c r="AK296" s="17">
        <f t="shared" si="188"/>
        <v>0</v>
      </c>
      <c r="AL296" s="17">
        <f t="shared" si="189"/>
        <v>0</v>
      </c>
      <c r="AM296" s="17">
        <f t="shared" si="190"/>
        <v>0</v>
      </c>
      <c r="AN296" s="17">
        <f t="shared" si="191"/>
        <v>0</v>
      </c>
      <c r="AO296" s="17">
        <f t="shared" si="192"/>
        <v>0</v>
      </c>
      <c r="AP296" s="17">
        <f t="shared" si="193"/>
        <v>10000</v>
      </c>
      <c r="AQ296" s="18">
        <v>267.54469784622671</v>
      </c>
      <c r="AR296" s="18">
        <v>319.95833650335595</v>
      </c>
      <c r="AS296" s="18">
        <v>283.1654725456429</v>
      </c>
      <c r="AT296" s="18">
        <v>214.48694960565146</v>
      </c>
      <c r="AU296" s="18">
        <v>311.05715431610287</v>
      </c>
      <c r="AV296" s="18">
        <v>254.91099285763391</v>
      </c>
      <c r="AW296" s="18">
        <v>253.7816366317881</v>
      </c>
      <c r="AX296" s="18">
        <v>172.34131638833989</v>
      </c>
      <c r="AY296" s="18">
        <v>255.46155703667242</v>
      </c>
      <c r="AZ296" s="18">
        <v>222.47417673910553</v>
      </c>
      <c r="BA296" s="18">
        <v>227.15456757632151</v>
      </c>
      <c r="BB296" s="18">
        <v>221.86667809702686</v>
      </c>
      <c r="BC296" s="23">
        <v>8.9181565948742242E-2</v>
      </c>
      <c r="BD296" s="23">
        <v>0.10665277883445198</v>
      </c>
      <c r="BE296" s="23">
        <v>9.438849084854764E-2</v>
      </c>
      <c r="BF296" s="23">
        <v>7.149564986855049E-2</v>
      </c>
      <c r="BG296" s="23">
        <v>0.10368571810536763</v>
      </c>
      <c r="BH296" s="23">
        <v>8.4970330952544637E-2</v>
      </c>
      <c r="BI296" s="23">
        <v>8.4593878877262704E-2</v>
      </c>
      <c r="BJ296" s="23">
        <v>5.7447105462779965E-2</v>
      </c>
      <c r="BK296" s="23">
        <v>8.5153852345557474E-2</v>
      </c>
      <c r="BL296" s="23">
        <v>7.4158058913035174E-2</v>
      </c>
      <c r="BM296" s="23">
        <v>7.5718189192107169E-2</v>
      </c>
      <c r="BN296" s="23">
        <v>7.3955559365675619E-2</v>
      </c>
    </row>
    <row r="297" spans="1:66" x14ac:dyDescent="0.25">
      <c r="A297" s="16">
        <v>22401</v>
      </c>
      <c r="B297" s="16" t="s">
        <v>493</v>
      </c>
      <c r="C297" s="17">
        <v>3000</v>
      </c>
      <c r="D297" s="17">
        <f t="shared" si="157"/>
        <v>267.54469784622671</v>
      </c>
      <c r="E297" s="17">
        <f t="shared" si="158"/>
        <v>319.95833650335595</v>
      </c>
      <c r="F297" s="17">
        <f t="shared" si="159"/>
        <v>283.1654725456429</v>
      </c>
      <c r="G297" s="17">
        <f t="shared" si="160"/>
        <v>214.48694960565146</v>
      </c>
      <c r="H297" s="17">
        <f t="shared" si="161"/>
        <v>311.05715431610287</v>
      </c>
      <c r="I297" s="17">
        <f t="shared" si="162"/>
        <v>254.91099285763391</v>
      </c>
      <c r="J297" s="17">
        <f t="shared" si="163"/>
        <v>253.7816366317881</v>
      </c>
      <c r="K297" s="17">
        <f t="shared" si="164"/>
        <v>172.34131638833989</v>
      </c>
      <c r="L297" s="17">
        <f t="shared" si="165"/>
        <v>255.46155703667242</v>
      </c>
      <c r="M297" s="17">
        <f t="shared" si="166"/>
        <v>222.47417673910553</v>
      </c>
      <c r="N297" s="17">
        <f t="shared" si="167"/>
        <v>227.15456757632151</v>
      </c>
      <c r="O297" s="17">
        <f t="shared" si="168"/>
        <v>221.86667809702686</v>
      </c>
      <c r="P297" s="17">
        <v>0</v>
      </c>
      <c r="Q297" s="17">
        <f t="shared" si="169"/>
        <v>0</v>
      </c>
      <c r="R297" s="17">
        <f t="shared" si="170"/>
        <v>0</v>
      </c>
      <c r="S297" s="17">
        <f t="shared" si="171"/>
        <v>0</v>
      </c>
      <c r="T297" s="17">
        <f t="shared" si="172"/>
        <v>0</v>
      </c>
      <c r="U297" s="17">
        <f t="shared" si="173"/>
        <v>0</v>
      </c>
      <c r="V297" s="17">
        <f t="shared" si="174"/>
        <v>0</v>
      </c>
      <c r="W297" s="17">
        <f t="shared" si="175"/>
        <v>0</v>
      </c>
      <c r="X297" s="17">
        <f t="shared" si="176"/>
        <v>0</v>
      </c>
      <c r="Y297" s="17">
        <f t="shared" si="177"/>
        <v>0</v>
      </c>
      <c r="Z297" s="17">
        <f t="shared" si="178"/>
        <v>0</v>
      </c>
      <c r="AA297" s="17">
        <f t="shared" si="179"/>
        <v>0</v>
      </c>
      <c r="AB297" s="17">
        <f t="shared" si="180"/>
        <v>0</v>
      </c>
      <c r="AC297" s="17">
        <v>0</v>
      </c>
      <c r="AD297" s="17">
        <f t="shared" si="181"/>
        <v>0</v>
      </c>
      <c r="AE297" s="17">
        <f t="shared" si="182"/>
        <v>0</v>
      </c>
      <c r="AF297" s="17">
        <f t="shared" si="183"/>
        <v>0</v>
      </c>
      <c r="AG297" s="17">
        <f t="shared" si="184"/>
        <v>0</v>
      </c>
      <c r="AH297" s="17">
        <f t="shared" si="185"/>
        <v>0</v>
      </c>
      <c r="AI297" s="17">
        <f t="shared" si="186"/>
        <v>0</v>
      </c>
      <c r="AJ297" s="17">
        <f t="shared" si="187"/>
        <v>0</v>
      </c>
      <c r="AK297" s="17">
        <f t="shared" si="188"/>
        <v>0</v>
      </c>
      <c r="AL297" s="17">
        <f t="shared" si="189"/>
        <v>0</v>
      </c>
      <c r="AM297" s="17">
        <f t="shared" si="190"/>
        <v>0</v>
      </c>
      <c r="AN297" s="17">
        <f t="shared" si="191"/>
        <v>0</v>
      </c>
      <c r="AO297" s="17">
        <f t="shared" si="192"/>
        <v>0</v>
      </c>
      <c r="AP297" s="17">
        <f t="shared" si="193"/>
        <v>3000</v>
      </c>
      <c r="AQ297" s="18">
        <v>267.54469784622671</v>
      </c>
      <c r="AR297" s="18">
        <v>319.95833650335595</v>
      </c>
      <c r="AS297" s="18">
        <v>283.1654725456429</v>
      </c>
      <c r="AT297" s="18">
        <v>214.48694960565146</v>
      </c>
      <c r="AU297" s="18">
        <v>311.05715431610287</v>
      </c>
      <c r="AV297" s="18">
        <v>254.91099285763391</v>
      </c>
      <c r="AW297" s="18">
        <v>253.7816366317881</v>
      </c>
      <c r="AX297" s="18">
        <v>172.34131638833989</v>
      </c>
      <c r="AY297" s="18">
        <v>255.46155703667242</v>
      </c>
      <c r="AZ297" s="18">
        <v>222.47417673910553</v>
      </c>
      <c r="BA297" s="18">
        <v>227.15456757632151</v>
      </c>
      <c r="BB297" s="18">
        <v>221.86667809702686</v>
      </c>
      <c r="BC297" s="23">
        <v>8.9181565948742242E-2</v>
      </c>
      <c r="BD297" s="23">
        <v>0.10665277883445198</v>
      </c>
      <c r="BE297" s="23">
        <v>9.438849084854764E-2</v>
      </c>
      <c r="BF297" s="23">
        <v>7.149564986855049E-2</v>
      </c>
      <c r="BG297" s="23">
        <v>0.10368571810536763</v>
      </c>
      <c r="BH297" s="23">
        <v>8.4970330952544637E-2</v>
      </c>
      <c r="BI297" s="23">
        <v>8.4593878877262704E-2</v>
      </c>
      <c r="BJ297" s="23">
        <v>5.7447105462779965E-2</v>
      </c>
      <c r="BK297" s="23">
        <v>8.5153852345557474E-2</v>
      </c>
      <c r="BL297" s="23">
        <v>7.4158058913035174E-2</v>
      </c>
      <c r="BM297" s="23">
        <v>7.5718189192107169E-2</v>
      </c>
      <c r="BN297" s="23">
        <v>7.3955559365675619E-2</v>
      </c>
    </row>
    <row r="298" spans="1:66" x14ac:dyDescent="0.25">
      <c r="A298" s="16">
        <v>27015</v>
      </c>
      <c r="B298" s="16" t="s">
        <v>494</v>
      </c>
      <c r="C298" s="17">
        <v>0</v>
      </c>
      <c r="D298" s="17">
        <f t="shared" si="157"/>
        <v>0</v>
      </c>
      <c r="E298" s="17">
        <f t="shared" si="158"/>
        <v>0</v>
      </c>
      <c r="F298" s="17">
        <f t="shared" si="159"/>
        <v>0</v>
      </c>
      <c r="G298" s="17">
        <f t="shared" si="160"/>
        <v>0</v>
      </c>
      <c r="H298" s="17">
        <f t="shared" si="161"/>
        <v>0</v>
      </c>
      <c r="I298" s="17">
        <f t="shared" si="162"/>
        <v>0</v>
      </c>
      <c r="J298" s="17">
        <f t="shared" si="163"/>
        <v>0</v>
      </c>
      <c r="K298" s="17">
        <f t="shared" si="164"/>
        <v>0</v>
      </c>
      <c r="L298" s="17">
        <f t="shared" si="165"/>
        <v>0</v>
      </c>
      <c r="M298" s="17">
        <f t="shared" si="166"/>
        <v>0</v>
      </c>
      <c r="N298" s="17">
        <f t="shared" si="167"/>
        <v>0</v>
      </c>
      <c r="O298" s="17">
        <f t="shared" si="168"/>
        <v>0</v>
      </c>
      <c r="P298" s="17">
        <v>2000</v>
      </c>
      <c r="Q298" s="17">
        <f t="shared" si="169"/>
        <v>178.36313189748449</v>
      </c>
      <c r="R298" s="17">
        <f t="shared" si="170"/>
        <v>213.30555766890396</v>
      </c>
      <c r="S298" s="17">
        <f t="shared" si="171"/>
        <v>188.77698169709529</v>
      </c>
      <c r="T298" s="17">
        <f t="shared" si="172"/>
        <v>142.99129973710097</v>
      </c>
      <c r="U298" s="17">
        <f t="shared" si="173"/>
        <v>207.37143621073525</v>
      </c>
      <c r="V298" s="17">
        <f t="shared" si="174"/>
        <v>169.94066190508929</v>
      </c>
      <c r="W298" s="17">
        <f t="shared" si="175"/>
        <v>169.18775775452542</v>
      </c>
      <c r="X298" s="17">
        <f t="shared" si="176"/>
        <v>114.89421092555993</v>
      </c>
      <c r="Y298" s="17">
        <f t="shared" si="177"/>
        <v>170.30770469111494</v>
      </c>
      <c r="Z298" s="17">
        <f t="shared" si="178"/>
        <v>148.31611782607035</v>
      </c>
      <c r="AA298" s="17">
        <f t="shared" si="179"/>
        <v>151.43637838421435</v>
      </c>
      <c r="AB298" s="17">
        <f t="shared" si="180"/>
        <v>147.91111873135125</v>
      </c>
      <c r="AC298" s="17">
        <v>0</v>
      </c>
      <c r="AD298" s="17">
        <f t="shared" si="181"/>
        <v>0</v>
      </c>
      <c r="AE298" s="17">
        <f t="shared" si="182"/>
        <v>0</v>
      </c>
      <c r="AF298" s="17">
        <f t="shared" si="183"/>
        <v>0</v>
      </c>
      <c r="AG298" s="17">
        <f t="shared" si="184"/>
        <v>0</v>
      </c>
      <c r="AH298" s="17">
        <f t="shared" si="185"/>
        <v>0</v>
      </c>
      <c r="AI298" s="17">
        <f t="shared" si="186"/>
        <v>0</v>
      </c>
      <c r="AJ298" s="17">
        <f t="shared" si="187"/>
        <v>0</v>
      </c>
      <c r="AK298" s="17">
        <f t="shared" si="188"/>
        <v>0</v>
      </c>
      <c r="AL298" s="17">
        <f t="shared" si="189"/>
        <v>0</v>
      </c>
      <c r="AM298" s="17">
        <f t="shared" si="190"/>
        <v>0</v>
      </c>
      <c r="AN298" s="17">
        <f t="shared" si="191"/>
        <v>0</v>
      </c>
      <c r="AO298" s="17">
        <f t="shared" si="192"/>
        <v>0</v>
      </c>
      <c r="AP298" s="17">
        <f t="shared" si="193"/>
        <v>2000</v>
      </c>
      <c r="AQ298" s="18">
        <v>267.54469784622671</v>
      </c>
      <c r="AR298" s="18">
        <v>319.95833650335595</v>
      </c>
      <c r="AS298" s="18">
        <v>283.1654725456429</v>
      </c>
      <c r="AT298" s="18">
        <v>214.48694960565146</v>
      </c>
      <c r="AU298" s="18">
        <v>311.05715431610287</v>
      </c>
      <c r="AV298" s="18">
        <v>254.91099285763391</v>
      </c>
      <c r="AW298" s="18">
        <v>253.7816366317881</v>
      </c>
      <c r="AX298" s="18">
        <v>172.34131638833989</v>
      </c>
      <c r="AY298" s="18">
        <v>255.46155703667242</v>
      </c>
      <c r="AZ298" s="18">
        <v>222.47417673910553</v>
      </c>
      <c r="BA298" s="18">
        <v>227.15456757632151</v>
      </c>
      <c r="BB298" s="18">
        <v>221.86667809702686</v>
      </c>
      <c r="BC298" s="23">
        <v>8.9181565948742242E-2</v>
      </c>
      <c r="BD298" s="23">
        <v>0.10665277883445198</v>
      </c>
      <c r="BE298" s="23">
        <v>9.438849084854764E-2</v>
      </c>
      <c r="BF298" s="23">
        <v>7.149564986855049E-2</v>
      </c>
      <c r="BG298" s="23">
        <v>0.10368571810536763</v>
      </c>
      <c r="BH298" s="23">
        <v>8.4970330952544637E-2</v>
      </c>
      <c r="BI298" s="23">
        <v>8.4593878877262704E-2</v>
      </c>
      <c r="BJ298" s="23">
        <v>5.7447105462779965E-2</v>
      </c>
      <c r="BK298" s="23">
        <v>8.5153852345557474E-2</v>
      </c>
      <c r="BL298" s="23">
        <v>7.4158058913035174E-2</v>
      </c>
      <c r="BM298" s="23">
        <v>7.5718189192107169E-2</v>
      </c>
      <c r="BN298" s="23">
        <v>7.3955559365675619E-2</v>
      </c>
    </row>
    <row r="299" spans="1:66" x14ac:dyDescent="0.25">
      <c r="A299" s="16">
        <v>27103</v>
      </c>
      <c r="B299" s="16" t="s">
        <v>495</v>
      </c>
      <c r="C299" s="17">
        <v>0</v>
      </c>
      <c r="D299" s="17">
        <f t="shared" si="157"/>
        <v>0</v>
      </c>
      <c r="E299" s="17">
        <f t="shared" si="158"/>
        <v>0</v>
      </c>
      <c r="F299" s="17">
        <f t="shared" si="159"/>
        <v>0</v>
      </c>
      <c r="G299" s="17">
        <f t="shared" si="160"/>
        <v>0</v>
      </c>
      <c r="H299" s="17">
        <f t="shared" si="161"/>
        <v>0</v>
      </c>
      <c r="I299" s="17">
        <f t="shared" si="162"/>
        <v>0</v>
      </c>
      <c r="J299" s="17">
        <f t="shared" si="163"/>
        <v>0</v>
      </c>
      <c r="K299" s="17">
        <f t="shared" si="164"/>
        <v>0</v>
      </c>
      <c r="L299" s="17">
        <f t="shared" si="165"/>
        <v>0</v>
      </c>
      <c r="M299" s="17">
        <f t="shared" si="166"/>
        <v>0</v>
      </c>
      <c r="N299" s="17">
        <f t="shared" si="167"/>
        <v>0</v>
      </c>
      <c r="O299" s="17">
        <f t="shared" si="168"/>
        <v>0</v>
      </c>
      <c r="P299" s="17">
        <v>4000</v>
      </c>
      <c r="Q299" s="17">
        <f t="shared" si="169"/>
        <v>356.72626379496899</v>
      </c>
      <c r="R299" s="17">
        <f t="shared" si="170"/>
        <v>426.61111533780792</v>
      </c>
      <c r="S299" s="17">
        <f t="shared" si="171"/>
        <v>377.55396339419059</v>
      </c>
      <c r="T299" s="17">
        <f t="shared" si="172"/>
        <v>285.98259947420195</v>
      </c>
      <c r="U299" s="17">
        <f t="shared" si="173"/>
        <v>414.74287242147051</v>
      </c>
      <c r="V299" s="17">
        <f t="shared" si="174"/>
        <v>339.88132381017857</v>
      </c>
      <c r="W299" s="17">
        <f t="shared" si="175"/>
        <v>338.37551550905084</v>
      </c>
      <c r="X299" s="17">
        <f t="shared" si="176"/>
        <v>229.78842185111986</v>
      </c>
      <c r="Y299" s="17">
        <f t="shared" si="177"/>
        <v>340.61540938222987</v>
      </c>
      <c r="Z299" s="17">
        <f t="shared" si="178"/>
        <v>296.63223565214071</v>
      </c>
      <c r="AA299" s="17">
        <f t="shared" si="179"/>
        <v>302.8727567684287</v>
      </c>
      <c r="AB299" s="17">
        <f t="shared" si="180"/>
        <v>295.8222374627025</v>
      </c>
      <c r="AC299" s="17">
        <v>0</v>
      </c>
      <c r="AD299" s="17">
        <f t="shared" si="181"/>
        <v>0</v>
      </c>
      <c r="AE299" s="17">
        <f t="shared" si="182"/>
        <v>0</v>
      </c>
      <c r="AF299" s="17">
        <f t="shared" si="183"/>
        <v>0</v>
      </c>
      <c r="AG299" s="17">
        <f t="shared" si="184"/>
        <v>0</v>
      </c>
      <c r="AH299" s="17">
        <f t="shared" si="185"/>
        <v>0</v>
      </c>
      <c r="AI299" s="17">
        <f t="shared" si="186"/>
        <v>0</v>
      </c>
      <c r="AJ299" s="17">
        <f t="shared" si="187"/>
        <v>0</v>
      </c>
      <c r="AK299" s="17">
        <f t="shared" si="188"/>
        <v>0</v>
      </c>
      <c r="AL299" s="17">
        <f t="shared" si="189"/>
        <v>0</v>
      </c>
      <c r="AM299" s="17">
        <f t="shared" si="190"/>
        <v>0</v>
      </c>
      <c r="AN299" s="17">
        <f t="shared" si="191"/>
        <v>0</v>
      </c>
      <c r="AO299" s="17">
        <f t="shared" si="192"/>
        <v>0</v>
      </c>
      <c r="AP299" s="17">
        <f t="shared" si="193"/>
        <v>4000</v>
      </c>
      <c r="AQ299" s="18">
        <v>267.54469784622671</v>
      </c>
      <c r="AR299" s="18">
        <v>319.95833650335595</v>
      </c>
      <c r="AS299" s="18">
        <v>283.1654725456429</v>
      </c>
      <c r="AT299" s="18">
        <v>214.48694960565146</v>
      </c>
      <c r="AU299" s="18">
        <v>311.05715431610287</v>
      </c>
      <c r="AV299" s="18">
        <v>254.91099285763391</v>
      </c>
      <c r="AW299" s="18">
        <v>253.7816366317881</v>
      </c>
      <c r="AX299" s="18">
        <v>172.34131638833989</v>
      </c>
      <c r="AY299" s="18">
        <v>255.46155703667242</v>
      </c>
      <c r="AZ299" s="18">
        <v>222.47417673910553</v>
      </c>
      <c r="BA299" s="18">
        <v>227.15456757632151</v>
      </c>
      <c r="BB299" s="18">
        <v>221.86667809702686</v>
      </c>
      <c r="BC299" s="23">
        <v>8.9181565948742242E-2</v>
      </c>
      <c r="BD299" s="23">
        <v>0.10665277883445198</v>
      </c>
      <c r="BE299" s="23">
        <v>9.438849084854764E-2</v>
      </c>
      <c r="BF299" s="23">
        <v>7.149564986855049E-2</v>
      </c>
      <c r="BG299" s="23">
        <v>0.10368571810536763</v>
      </c>
      <c r="BH299" s="23">
        <v>8.4970330952544637E-2</v>
      </c>
      <c r="BI299" s="23">
        <v>8.4593878877262704E-2</v>
      </c>
      <c r="BJ299" s="23">
        <v>5.7447105462779965E-2</v>
      </c>
      <c r="BK299" s="23">
        <v>8.5153852345557474E-2</v>
      </c>
      <c r="BL299" s="23">
        <v>7.4158058913035174E-2</v>
      </c>
      <c r="BM299" s="23">
        <v>7.5718189192107169E-2</v>
      </c>
      <c r="BN299" s="23">
        <v>7.3955559365675619E-2</v>
      </c>
    </row>
    <row r="300" spans="1:66" x14ac:dyDescent="0.25">
      <c r="A300" s="16">
        <v>1778</v>
      </c>
      <c r="B300" s="16" t="s">
        <v>496</v>
      </c>
      <c r="C300" s="17">
        <v>0</v>
      </c>
      <c r="D300" s="17">
        <f t="shared" si="157"/>
        <v>0</v>
      </c>
      <c r="E300" s="17">
        <f t="shared" si="158"/>
        <v>0</v>
      </c>
      <c r="F300" s="17">
        <f t="shared" si="159"/>
        <v>0</v>
      </c>
      <c r="G300" s="17">
        <f t="shared" si="160"/>
        <v>0</v>
      </c>
      <c r="H300" s="17">
        <f t="shared" si="161"/>
        <v>0</v>
      </c>
      <c r="I300" s="17">
        <f t="shared" si="162"/>
        <v>0</v>
      </c>
      <c r="J300" s="17">
        <f t="shared" si="163"/>
        <v>0</v>
      </c>
      <c r="K300" s="17">
        <f t="shared" si="164"/>
        <v>0</v>
      </c>
      <c r="L300" s="17">
        <f t="shared" si="165"/>
        <v>0</v>
      </c>
      <c r="M300" s="17">
        <f t="shared" si="166"/>
        <v>0</v>
      </c>
      <c r="N300" s="17">
        <f t="shared" si="167"/>
        <v>0</v>
      </c>
      <c r="O300" s="17">
        <f t="shared" si="168"/>
        <v>0</v>
      </c>
      <c r="P300" s="17">
        <v>1500</v>
      </c>
      <c r="Q300" s="17">
        <f t="shared" si="169"/>
        <v>133.77234892311336</v>
      </c>
      <c r="R300" s="17">
        <f t="shared" si="170"/>
        <v>159.97916825167798</v>
      </c>
      <c r="S300" s="17">
        <f t="shared" si="171"/>
        <v>141.58273627282145</v>
      </c>
      <c r="T300" s="17">
        <f t="shared" si="172"/>
        <v>107.24347480282573</v>
      </c>
      <c r="U300" s="17">
        <f t="shared" si="173"/>
        <v>155.52857715805143</v>
      </c>
      <c r="V300" s="17">
        <f t="shared" si="174"/>
        <v>127.45549642881696</v>
      </c>
      <c r="W300" s="17">
        <f t="shared" si="175"/>
        <v>126.89081831589405</v>
      </c>
      <c r="X300" s="17">
        <f t="shared" si="176"/>
        <v>86.170658194169945</v>
      </c>
      <c r="Y300" s="17">
        <f t="shared" si="177"/>
        <v>127.73077851833621</v>
      </c>
      <c r="Z300" s="17">
        <f t="shared" si="178"/>
        <v>111.23708836955277</v>
      </c>
      <c r="AA300" s="17">
        <f t="shared" si="179"/>
        <v>113.57728378816076</v>
      </c>
      <c r="AB300" s="17">
        <f t="shared" si="180"/>
        <v>110.93333904851343</v>
      </c>
      <c r="AC300" s="17">
        <v>0</v>
      </c>
      <c r="AD300" s="17">
        <f t="shared" si="181"/>
        <v>0</v>
      </c>
      <c r="AE300" s="17">
        <f t="shared" si="182"/>
        <v>0</v>
      </c>
      <c r="AF300" s="17">
        <f t="shared" si="183"/>
        <v>0</v>
      </c>
      <c r="AG300" s="17">
        <f t="shared" si="184"/>
        <v>0</v>
      </c>
      <c r="AH300" s="17">
        <f t="shared" si="185"/>
        <v>0</v>
      </c>
      <c r="AI300" s="17">
        <f t="shared" si="186"/>
        <v>0</v>
      </c>
      <c r="AJ300" s="17">
        <f t="shared" si="187"/>
        <v>0</v>
      </c>
      <c r="AK300" s="17">
        <f t="shared" si="188"/>
        <v>0</v>
      </c>
      <c r="AL300" s="17">
        <f t="shared" si="189"/>
        <v>0</v>
      </c>
      <c r="AM300" s="17">
        <f t="shared" si="190"/>
        <v>0</v>
      </c>
      <c r="AN300" s="17">
        <f t="shared" si="191"/>
        <v>0</v>
      </c>
      <c r="AO300" s="17">
        <f t="shared" si="192"/>
        <v>0</v>
      </c>
      <c r="AP300" s="17">
        <f t="shared" si="193"/>
        <v>1500</v>
      </c>
      <c r="AQ300" s="18">
        <v>267.54469784622671</v>
      </c>
      <c r="AR300" s="18">
        <v>319.95833650335595</v>
      </c>
      <c r="AS300" s="18">
        <v>283.1654725456429</v>
      </c>
      <c r="AT300" s="18">
        <v>214.48694960565146</v>
      </c>
      <c r="AU300" s="18">
        <v>311.05715431610287</v>
      </c>
      <c r="AV300" s="18">
        <v>254.91099285763391</v>
      </c>
      <c r="AW300" s="18">
        <v>253.7816366317881</v>
      </c>
      <c r="AX300" s="18">
        <v>172.34131638833989</v>
      </c>
      <c r="AY300" s="18">
        <v>255.46155703667242</v>
      </c>
      <c r="AZ300" s="18">
        <v>222.47417673910553</v>
      </c>
      <c r="BA300" s="18">
        <v>227.15456757632151</v>
      </c>
      <c r="BB300" s="18">
        <v>221.86667809702686</v>
      </c>
      <c r="BC300" s="23">
        <v>8.9181565948742242E-2</v>
      </c>
      <c r="BD300" s="23">
        <v>0.10665277883445198</v>
      </c>
      <c r="BE300" s="23">
        <v>9.438849084854764E-2</v>
      </c>
      <c r="BF300" s="23">
        <v>7.149564986855049E-2</v>
      </c>
      <c r="BG300" s="23">
        <v>0.10368571810536763</v>
      </c>
      <c r="BH300" s="23">
        <v>8.4970330952544637E-2</v>
      </c>
      <c r="BI300" s="23">
        <v>8.4593878877262704E-2</v>
      </c>
      <c r="BJ300" s="23">
        <v>5.7447105462779965E-2</v>
      </c>
      <c r="BK300" s="23">
        <v>8.5153852345557474E-2</v>
      </c>
      <c r="BL300" s="23">
        <v>7.4158058913035174E-2</v>
      </c>
      <c r="BM300" s="23">
        <v>7.5718189192107169E-2</v>
      </c>
      <c r="BN300" s="23">
        <v>7.3955559365675619E-2</v>
      </c>
    </row>
    <row r="301" spans="1:66" x14ac:dyDescent="0.25">
      <c r="A301" s="16">
        <v>2185</v>
      </c>
      <c r="B301" s="16" t="s">
        <v>497</v>
      </c>
      <c r="C301" s="17">
        <v>500</v>
      </c>
      <c r="D301" s="17">
        <f t="shared" si="157"/>
        <v>44.590782974371123</v>
      </c>
      <c r="E301" s="17">
        <f t="shared" si="158"/>
        <v>53.32638941722599</v>
      </c>
      <c r="F301" s="17">
        <f t="shared" si="159"/>
        <v>47.194245424273824</v>
      </c>
      <c r="G301" s="17">
        <f t="shared" si="160"/>
        <v>35.747824934275243</v>
      </c>
      <c r="H301" s="17">
        <f t="shared" si="161"/>
        <v>51.842859052683814</v>
      </c>
      <c r="I301" s="17">
        <f t="shared" si="162"/>
        <v>42.485165476272321</v>
      </c>
      <c r="J301" s="17">
        <f t="shared" si="163"/>
        <v>42.296939438631355</v>
      </c>
      <c r="K301" s="17">
        <f t="shared" si="164"/>
        <v>28.723552731389983</v>
      </c>
      <c r="L301" s="17">
        <f t="shared" si="165"/>
        <v>42.576926172778734</v>
      </c>
      <c r="M301" s="17">
        <f t="shared" si="166"/>
        <v>37.079029456517588</v>
      </c>
      <c r="N301" s="17">
        <f t="shared" si="167"/>
        <v>37.859094596053588</v>
      </c>
      <c r="O301" s="17">
        <f t="shared" si="168"/>
        <v>36.977779682837813</v>
      </c>
      <c r="P301" s="17">
        <v>6000</v>
      </c>
      <c r="Q301" s="17">
        <f t="shared" si="169"/>
        <v>535.08939569245342</v>
      </c>
      <c r="R301" s="17">
        <f t="shared" si="170"/>
        <v>639.9166730067119</v>
      </c>
      <c r="S301" s="17">
        <f t="shared" si="171"/>
        <v>566.3309450912858</v>
      </c>
      <c r="T301" s="17">
        <f t="shared" si="172"/>
        <v>428.97389921130292</v>
      </c>
      <c r="U301" s="17">
        <f t="shared" si="173"/>
        <v>622.11430863220573</v>
      </c>
      <c r="V301" s="17">
        <f t="shared" si="174"/>
        <v>509.82198571526783</v>
      </c>
      <c r="W301" s="17">
        <f t="shared" si="175"/>
        <v>507.56327326357621</v>
      </c>
      <c r="X301" s="17">
        <f t="shared" si="176"/>
        <v>344.68263277667978</v>
      </c>
      <c r="Y301" s="17">
        <f t="shared" si="177"/>
        <v>510.92311407334483</v>
      </c>
      <c r="Z301" s="17">
        <f t="shared" si="178"/>
        <v>444.94835347821106</v>
      </c>
      <c r="AA301" s="17">
        <f t="shared" si="179"/>
        <v>454.30913515264302</v>
      </c>
      <c r="AB301" s="17">
        <f t="shared" si="180"/>
        <v>443.73335619405373</v>
      </c>
      <c r="AC301" s="17">
        <v>0</v>
      </c>
      <c r="AD301" s="17">
        <f t="shared" si="181"/>
        <v>0</v>
      </c>
      <c r="AE301" s="17">
        <f t="shared" si="182"/>
        <v>0</v>
      </c>
      <c r="AF301" s="17">
        <f t="shared" si="183"/>
        <v>0</v>
      </c>
      <c r="AG301" s="17">
        <f t="shared" si="184"/>
        <v>0</v>
      </c>
      <c r="AH301" s="17">
        <f t="shared" si="185"/>
        <v>0</v>
      </c>
      <c r="AI301" s="17">
        <f t="shared" si="186"/>
        <v>0</v>
      </c>
      <c r="AJ301" s="17">
        <f t="shared" si="187"/>
        <v>0</v>
      </c>
      <c r="AK301" s="17">
        <f t="shared" si="188"/>
        <v>0</v>
      </c>
      <c r="AL301" s="17">
        <f t="shared" si="189"/>
        <v>0</v>
      </c>
      <c r="AM301" s="17">
        <f t="shared" si="190"/>
        <v>0</v>
      </c>
      <c r="AN301" s="17">
        <f t="shared" si="191"/>
        <v>0</v>
      </c>
      <c r="AO301" s="17">
        <f t="shared" si="192"/>
        <v>0</v>
      </c>
      <c r="AP301" s="17">
        <f t="shared" si="193"/>
        <v>6500</v>
      </c>
      <c r="AQ301" s="18">
        <v>249.70838465647827</v>
      </c>
      <c r="AR301" s="18">
        <v>298.62778073646558</v>
      </c>
      <c r="AS301" s="18">
        <v>264.2877743759334</v>
      </c>
      <c r="AT301" s="18">
        <v>200.18781963194138</v>
      </c>
      <c r="AU301" s="18">
        <v>290.32001069502934</v>
      </c>
      <c r="AV301" s="18">
        <v>237.91692666712498</v>
      </c>
      <c r="AW301" s="18">
        <v>236.86286085633557</v>
      </c>
      <c r="AX301" s="18">
        <v>160.85189529578389</v>
      </c>
      <c r="AY301" s="18">
        <v>238.43078656756092</v>
      </c>
      <c r="AZ301" s="18">
        <v>207.64256495649849</v>
      </c>
      <c r="BA301" s="18">
        <v>212.01092973790009</v>
      </c>
      <c r="BB301" s="18">
        <v>207.07556622389174</v>
      </c>
      <c r="BC301" s="23">
        <v>8.9181565948742242E-2</v>
      </c>
      <c r="BD301" s="23">
        <v>0.10665277883445198</v>
      </c>
      <c r="BE301" s="23">
        <v>9.438849084854764E-2</v>
      </c>
      <c r="BF301" s="23">
        <v>7.149564986855049E-2</v>
      </c>
      <c r="BG301" s="23">
        <v>0.10368571810536763</v>
      </c>
      <c r="BH301" s="23">
        <v>8.4970330952544637E-2</v>
      </c>
      <c r="BI301" s="23">
        <v>8.4593878877262704E-2</v>
      </c>
      <c r="BJ301" s="23">
        <v>5.7447105462779965E-2</v>
      </c>
      <c r="BK301" s="23">
        <v>8.5153852345557474E-2</v>
      </c>
      <c r="BL301" s="23">
        <v>7.4158058913035174E-2</v>
      </c>
      <c r="BM301" s="23">
        <v>7.5718189192107169E-2</v>
      </c>
      <c r="BN301" s="23">
        <v>7.3955559365675619E-2</v>
      </c>
    </row>
    <row r="302" spans="1:66" x14ac:dyDescent="0.25">
      <c r="A302" s="16">
        <v>2062</v>
      </c>
      <c r="B302" s="16" t="s">
        <v>498</v>
      </c>
      <c r="C302" s="17">
        <v>2500</v>
      </c>
      <c r="D302" s="17">
        <f t="shared" si="157"/>
        <v>222.9539148718556</v>
      </c>
      <c r="E302" s="17">
        <f t="shared" si="158"/>
        <v>266.63194708612997</v>
      </c>
      <c r="F302" s="17">
        <f t="shared" si="159"/>
        <v>235.97122712136911</v>
      </c>
      <c r="G302" s="17">
        <f t="shared" si="160"/>
        <v>178.73912467137623</v>
      </c>
      <c r="H302" s="17">
        <f t="shared" si="161"/>
        <v>259.21429526341905</v>
      </c>
      <c r="I302" s="17">
        <f t="shared" si="162"/>
        <v>212.42582738136159</v>
      </c>
      <c r="J302" s="17">
        <f t="shared" si="163"/>
        <v>211.48469719315676</v>
      </c>
      <c r="K302" s="17">
        <f t="shared" si="164"/>
        <v>143.6177636569499</v>
      </c>
      <c r="L302" s="17">
        <f t="shared" si="165"/>
        <v>212.88463086389368</v>
      </c>
      <c r="M302" s="17">
        <f t="shared" si="166"/>
        <v>185.39514728258794</v>
      </c>
      <c r="N302" s="17">
        <f t="shared" si="167"/>
        <v>189.29547298026793</v>
      </c>
      <c r="O302" s="17">
        <f t="shared" si="168"/>
        <v>184.88889841418904</v>
      </c>
      <c r="P302" s="17">
        <v>0</v>
      </c>
      <c r="Q302" s="17">
        <f t="shared" si="169"/>
        <v>0</v>
      </c>
      <c r="R302" s="17">
        <f t="shared" si="170"/>
        <v>0</v>
      </c>
      <c r="S302" s="17">
        <f t="shared" si="171"/>
        <v>0</v>
      </c>
      <c r="T302" s="17">
        <f t="shared" si="172"/>
        <v>0</v>
      </c>
      <c r="U302" s="17">
        <f t="shared" si="173"/>
        <v>0</v>
      </c>
      <c r="V302" s="17">
        <f t="shared" si="174"/>
        <v>0</v>
      </c>
      <c r="W302" s="17">
        <f t="shared" si="175"/>
        <v>0</v>
      </c>
      <c r="X302" s="17">
        <f t="shared" si="176"/>
        <v>0</v>
      </c>
      <c r="Y302" s="17">
        <f t="shared" si="177"/>
        <v>0</v>
      </c>
      <c r="Z302" s="17">
        <f t="shared" si="178"/>
        <v>0</v>
      </c>
      <c r="AA302" s="17">
        <f t="shared" si="179"/>
        <v>0</v>
      </c>
      <c r="AB302" s="17">
        <f t="shared" si="180"/>
        <v>0</v>
      </c>
      <c r="AC302" s="17">
        <v>0</v>
      </c>
      <c r="AD302" s="17">
        <f t="shared" si="181"/>
        <v>0</v>
      </c>
      <c r="AE302" s="17">
        <f t="shared" si="182"/>
        <v>0</v>
      </c>
      <c r="AF302" s="17">
        <f t="shared" si="183"/>
        <v>0</v>
      </c>
      <c r="AG302" s="17">
        <f t="shared" si="184"/>
        <v>0</v>
      </c>
      <c r="AH302" s="17">
        <f t="shared" si="185"/>
        <v>0</v>
      </c>
      <c r="AI302" s="17">
        <f t="shared" si="186"/>
        <v>0</v>
      </c>
      <c r="AJ302" s="17">
        <f t="shared" si="187"/>
        <v>0</v>
      </c>
      <c r="AK302" s="17">
        <f t="shared" si="188"/>
        <v>0</v>
      </c>
      <c r="AL302" s="17">
        <f t="shared" si="189"/>
        <v>0</v>
      </c>
      <c r="AM302" s="17">
        <f t="shared" si="190"/>
        <v>0</v>
      </c>
      <c r="AN302" s="17">
        <f t="shared" si="191"/>
        <v>0</v>
      </c>
      <c r="AO302" s="17">
        <f t="shared" si="192"/>
        <v>0</v>
      </c>
      <c r="AP302" s="17">
        <f t="shared" si="193"/>
        <v>2500</v>
      </c>
      <c r="AQ302" s="18">
        <v>245.35899968515812</v>
      </c>
      <c r="AR302" s="18">
        <v>293.42632471270935</v>
      </c>
      <c r="AS302" s="18">
        <v>259.68444767724975</v>
      </c>
      <c r="AT302" s="18">
        <v>196.70097678785217</v>
      </c>
      <c r="AU302" s="18">
        <v>285.26325822303056</v>
      </c>
      <c r="AV302" s="18">
        <v>233.77292362656939</v>
      </c>
      <c r="AW302" s="18">
        <v>232.73721738349147</v>
      </c>
      <c r="AX302" s="18">
        <v>158.05019996236413</v>
      </c>
      <c r="AY302" s="18">
        <v>234.2778331886681</v>
      </c>
      <c r="AZ302" s="18">
        <v>204.02587642330977</v>
      </c>
      <c r="BA302" s="18">
        <v>208.31815365100101</v>
      </c>
      <c r="BB302" s="18">
        <v>203.46875359362772</v>
      </c>
      <c r="BC302" s="23">
        <v>8.9181565948742242E-2</v>
      </c>
      <c r="BD302" s="23">
        <v>0.10665277883445198</v>
      </c>
      <c r="BE302" s="23">
        <v>9.438849084854764E-2</v>
      </c>
      <c r="BF302" s="23">
        <v>7.149564986855049E-2</v>
      </c>
      <c r="BG302" s="23">
        <v>0.10368571810536763</v>
      </c>
      <c r="BH302" s="23">
        <v>8.4970330952544637E-2</v>
      </c>
      <c r="BI302" s="23">
        <v>8.4593878877262704E-2</v>
      </c>
      <c r="BJ302" s="23">
        <v>5.7447105462779965E-2</v>
      </c>
      <c r="BK302" s="23">
        <v>8.5153852345557474E-2</v>
      </c>
      <c r="BL302" s="23">
        <v>7.4158058913035174E-2</v>
      </c>
      <c r="BM302" s="23">
        <v>7.5718189192107169E-2</v>
      </c>
      <c r="BN302" s="23">
        <v>7.3955559365675619E-2</v>
      </c>
    </row>
    <row r="303" spans="1:66" x14ac:dyDescent="0.25">
      <c r="A303" s="16">
        <v>3041</v>
      </c>
      <c r="B303" s="16" t="s">
        <v>499</v>
      </c>
      <c r="C303" s="17">
        <v>2000</v>
      </c>
      <c r="D303" s="17">
        <f t="shared" si="157"/>
        <v>178.36313189748449</v>
      </c>
      <c r="E303" s="17">
        <f t="shared" si="158"/>
        <v>213.30555766890396</v>
      </c>
      <c r="F303" s="17">
        <f t="shared" si="159"/>
        <v>188.77698169709529</v>
      </c>
      <c r="G303" s="17">
        <f t="shared" si="160"/>
        <v>142.99129973710097</v>
      </c>
      <c r="H303" s="17">
        <f t="shared" si="161"/>
        <v>207.37143621073525</v>
      </c>
      <c r="I303" s="17">
        <f t="shared" si="162"/>
        <v>169.94066190508929</v>
      </c>
      <c r="J303" s="17">
        <f t="shared" si="163"/>
        <v>169.18775775452542</v>
      </c>
      <c r="K303" s="17">
        <f t="shared" si="164"/>
        <v>114.89421092555993</v>
      </c>
      <c r="L303" s="17">
        <f t="shared" si="165"/>
        <v>170.30770469111494</v>
      </c>
      <c r="M303" s="17">
        <f t="shared" si="166"/>
        <v>148.31611782607035</v>
      </c>
      <c r="N303" s="17">
        <f t="shared" si="167"/>
        <v>151.43637838421435</v>
      </c>
      <c r="O303" s="17">
        <f t="shared" si="168"/>
        <v>147.91111873135125</v>
      </c>
      <c r="P303" s="17">
        <v>0</v>
      </c>
      <c r="Q303" s="17">
        <f t="shared" si="169"/>
        <v>0</v>
      </c>
      <c r="R303" s="17">
        <f t="shared" si="170"/>
        <v>0</v>
      </c>
      <c r="S303" s="17">
        <f t="shared" si="171"/>
        <v>0</v>
      </c>
      <c r="T303" s="17">
        <f t="shared" si="172"/>
        <v>0</v>
      </c>
      <c r="U303" s="17">
        <f t="shared" si="173"/>
        <v>0</v>
      </c>
      <c r="V303" s="17">
        <f t="shared" si="174"/>
        <v>0</v>
      </c>
      <c r="W303" s="17">
        <f t="shared" si="175"/>
        <v>0</v>
      </c>
      <c r="X303" s="17">
        <f t="shared" si="176"/>
        <v>0</v>
      </c>
      <c r="Y303" s="17">
        <f t="shared" si="177"/>
        <v>0</v>
      </c>
      <c r="Z303" s="17">
        <f t="shared" si="178"/>
        <v>0</v>
      </c>
      <c r="AA303" s="17">
        <f t="shared" si="179"/>
        <v>0</v>
      </c>
      <c r="AB303" s="17">
        <f t="shared" si="180"/>
        <v>0</v>
      </c>
      <c r="AC303" s="17">
        <v>0</v>
      </c>
      <c r="AD303" s="17">
        <f t="shared" si="181"/>
        <v>0</v>
      </c>
      <c r="AE303" s="17">
        <f t="shared" si="182"/>
        <v>0</v>
      </c>
      <c r="AF303" s="17">
        <f t="shared" si="183"/>
        <v>0</v>
      </c>
      <c r="AG303" s="17">
        <f t="shared" si="184"/>
        <v>0</v>
      </c>
      <c r="AH303" s="17">
        <f t="shared" si="185"/>
        <v>0</v>
      </c>
      <c r="AI303" s="17">
        <f t="shared" si="186"/>
        <v>0</v>
      </c>
      <c r="AJ303" s="17">
        <f t="shared" si="187"/>
        <v>0</v>
      </c>
      <c r="AK303" s="17">
        <f t="shared" si="188"/>
        <v>0</v>
      </c>
      <c r="AL303" s="17">
        <f t="shared" si="189"/>
        <v>0</v>
      </c>
      <c r="AM303" s="17">
        <f t="shared" si="190"/>
        <v>0</v>
      </c>
      <c r="AN303" s="17">
        <f t="shared" si="191"/>
        <v>0</v>
      </c>
      <c r="AO303" s="17">
        <f t="shared" si="192"/>
        <v>0</v>
      </c>
      <c r="AP303" s="17">
        <f t="shared" si="193"/>
        <v>2000</v>
      </c>
      <c r="AQ303" s="18">
        <v>231.87207146672984</v>
      </c>
      <c r="AR303" s="18">
        <v>277.29722496957515</v>
      </c>
      <c r="AS303" s="18">
        <v>245.41007620622386</v>
      </c>
      <c r="AT303" s="18">
        <v>185.88868965823127</v>
      </c>
      <c r="AU303" s="18">
        <v>269.58286707395581</v>
      </c>
      <c r="AV303" s="18">
        <v>220.92286047661605</v>
      </c>
      <c r="AW303" s="18">
        <v>219.94408508088304</v>
      </c>
      <c r="AX303" s="18">
        <v>149.36247420322792</v>
      </c>
      <c r="AY303" s="18">
        <v>221.40001609844944</v>
      </c>
      <c r="AZ303" s="18">
        <v>192.81095317389145</v>
      </c>
      <c r="BA303" s="18">
        <v>196.86729189947863</v>
      </c>
      <c r="BB303" s="18">
        <v>192.28445435075662</v>
      </c>
      <c r="BC303" s="23">
        <v>8.9181565948742242E-2</v>
      </c>
      <c r="BD303" s="23">
        <v>0.10665277883445198</v>
      </c>
      <c r="BE303" s="23">
        <v>9.438849084854764E-2</v>
      </c>
      <c r="BF303" s="23">
        <v>7.149564986855049E-2</v>
      </c>
      <c r="BG303" s="23">
        <v>0.10368571810536763</v>
      </c>
      <c r="BH303" s="23">
        <v>8.4970330952544637E-2</v>
      </c>
      <c r="BI303" s="23">
        <v>8.4593878877262704E-2</v>
      </c>
      <c r="BJ303" s="23">
        <v>5.7447105462779965E-2</v>
      </c>
      <c r="BK303" s="23">
        <v>8.5153852345557474E-2</v>
      </c>
      <c r="BL303" s="23">
        <v>7.4158058913035174E-2</v>
      </c>
      <c r="BM303" s="23">
        <v>7.5718189192107169E-2</v>
      </c>
      <c r="BN303" s="23">
        <v>7.3955559365675619E-2</v>
      </c>
    </row>
    <row r="304" spans="1:66" x14ac:dyDescent="0.25">
      <c r="A304" s="16">
        <v>1876</v>
      </c>
      <c r="B304" s="16" t="s">
        <v>500</v>
      </c>
      <c r="C304" s="17">
        <v>0</v>
      </c>
      <c r="D304" s="17">
        <f t="shared" si="157"/>
        <v>0</v>
      </c>
      <c r="E304" s="17">
        <f t="shared" si="158"/>
        <v>0</v>
      </c>
      <c r="F304" s="17">
        <f t="shared" si="159"/>
        <v>0</v>
      </c>
      <c r="G304" s="17">
        <f t="shared" si="160"/>
        <v>0</v>
      </c>
      <c r="H304" s="17">
        <f t="shared" si="161"/>
        <v>0</v>
      </c>
      <c r="I304" s="17">
        <f t="shared" si="162"/>
        <v>0</v>
      </c>
      <c r="J304" s="17">
        <f t="shared" si="163"/>
        <v>0</v>
      </c>
      <c r="K304" s="17">
        <f t="shared" si="164"/>
        <v>0</v>
      </c>
      <c r="L304" s="17">
        <f t="shared" si="165"/>
        <v>0</v>
      </c>
      <c r="M304" s="17">
        <f t="shared" si="166"/>
        <v>0</v>
      </c>
      <c r="N304" s="17">
        <f t="shared" si="167"/>
        <v>0</v>
      </c>
      <c r="O304" s="17">
        <f t="shared" si="168"/>
        <v>0</v>
      </c>
      <c r="P304" s="17">
        <v>4000</v>
      </c>
      <c r="Q304" s="17">
        <f t="shared" si="169"/>
        <v>356.72626379496899</v>
      </c>
      <c r="R304" s="17">
        <f t="shared" si="170"/>
        <v>426.61111533780792</v>
      </c>
      <c r="S304" s="17">
        <f t="shared" si="171"/>
        <v>377.55396339419059</v>
      </c>
      <c r="T304" s="17">
        <f t="shared" si="172"/>
        <v>285.98259947420195</v>
      </c>
      <c r="U304" s="17">
        <f t="shared" si="173"/>
        <v>414.74287242147051</v>
      </c>
      <c r="V304" s="17">
        <f t="shared" si="174"/>
        <v>339.88132381017857</v>
      </c>
      <c r="W304" s="17">
        <f t="shared" si="175"/>
        <v>338.37551550905084</v>
      </c>
      <c r="X304" s="17">
        <f t="shared" si="176"/>
        <v>229.78842185111986</v>
      </c>
      <c r="Y304" s="17">
        <f t="shared" si="177"/>
        <v>340.61540938222987</v>
      </c>
      <c r="Z304" s="17">
        <f t="shared" si="178"/>
        <v>296.63223565214071</v>
      </c>
      <c r="AA304" s="17">
        <f t="shared" si="179"/>
        <v>302.8727567684287</v>
      </c>
      <c r="AB304" s="17">
        <f t="shared" si="180"/>
        <v>295.8222374627025</v>
      </c>
      <c r="AC304" s="17">
        <v>0</v>
      </c>
      <c r="AD304" s="17">
        <f t="shared" si="181"/>
        <v>0</v>
      </c>
      <c r="AE304" s="17">
        <f t="shared" si="182"/>
        <v>0</v>
      </c>
      <c r="AF304" s="17">
        <f t="shared" si="183"/>
        <v>0</v>
      </c>
      <c r="AG304" s="17">
        <f t="shared" si="184"/>
        <v>0</v>
      </c>
      <c r="AH304" s="17">
        <f t="shared" si="185"/>
        <v>0</v>
      </c>
      <c r="AI304" s="17">
        <f t="shared" si="186"/>
        <v>0</v>
      </c>
      <c r="AJ304" s="17">
        <f t="shared" si="187"/>
        <v>0</v>
      </c>
      <c r="AK304" s="17">
        <f t="shared" si="188"/>
        <v>0</v>
      </c>
      <c r="AL304" s="17">
        <f t="shared" si="189"/>
        <v>0</v>
      </c>
      <c r="AM304" s="17">
        <f t="shared" si="190"/>
        <v>0</v>
      </c>
      <c r="AN304" s="17">
        <f t="shared" si="191"/>
        <v>0</v>
      </c>
      <c r="AO304" s="17">
        <f t="shared" si="192"/>
        <v>0</v>
      </c>
      <c r="AP304" s="17">
        <f t="shared" si="193"/>
        <v>4000</v>
      </c>
      <c r="AQ304" s="18">
        <v>232.02171813439182</v>
      </c>
      <c r="AR304" s="18">
        <v>277.47618833245934</v>
      </c>
      <c r="AS304" s="18">
        <v>245.56846009386771</v>
      </c>
      <c r="AT304" s="18">
        <v>186.0086593587107</v>
      </c>
      <c r="AU304" s="18">
        <v>269.75685170893661</v>
      </c>
      <c r="AV304" s="18">
        <v>221.06544069195442</v>
      </c>
      <c r="AW304" s="18">
        <v>220.08603360963906</v>
      </c>
      <c r="AX304" s="18">
        <v>149.45887044619445</v>
      </c>
      <c r="AY304" s="18">
        <v>221.54290426268525</v>
      </c>
      <c r="AZ304" s="18">
        <v>192.93539039674752</v>
      </c>
      <c r="BA304" s="18">
        <v>196.994347020943</v>
      </c>
      <c r="BB304" s="18">
        <v>192.4085517793722</v>
      </c>
      <c r="BC304" s="23">
        <v>8.9181565948742242E-2</v>
      </c>
      <c r="BD304" s="23">
        <v>0.10665277883445198</v>
      </c>
      <c r="BE304" s="23">
        <v>9.438849084854764E-2</v>
      </c>
      <c r="BF304" s="23">
        <v>7.149564986855049E-2</v>
      </c>
      <c r="BG304" s="23">
        <v>0.10368571810536763</v>
      </c>
      <c r="BH304" s="23">
        <v>8.4970330952544637E-2</v>
      </c>
      <c r="BI304" s="23">
        <v>8.4593878877262704E-2</v>
      </c>
      <c r="BJ304" s="23">
        <v>5.7447105462779965E-2</v>
      </c>
      <c r="BK304" s="23">
        <v>8.5153852345557474E-2</v>
      </c>
      <c r="BL304" s="23">
        <v>7.4158058913035174E-2</v>
      </c>
      <c r="BM304" s="23">
        <v>7.5718189192107169E-2</v>
      </c>
      <c r="BN304" s="23">
        <v>7.3955559365675619E-2</v>
      </c>
    </row>
    <row r="305" spans="1:66" x14ac:dyDescent="0.25">
      <c r="A305" s="16">
        <v>3309</v>
      </c>
      <c r="B305" s="16" t="s">
        <v>501</v>
      </c>
      <c r="C305" s="17">
        <v>0</v>
      </c>
      <c r="D305" s="17">
        <f t="shared" si="157"/>
        <v>0</v>
      </c>
      <c r="E305" s="17">
        <f t="shared" si="158"/>
        <v>0</v>
      </c>
      <c r="F305" s="17">
        <f t="shared" si="159"/>
        <v>0</v>
      </c>
      <c r="G305" s="17">
        <f t="shared" si="160"/>
        <v>0</v>
      </c>
      <c r="H305" s="17">
        <f t="shared" si="161"/>
        <v>0</v>
      </c>
      <c r="I305" s="17">
        <f t="shared" si="162"/>
        <v>0</v>
      </c>
      <c r="J305" s="17">
        <f t="shared" si="163"/>
        <v>0</v>
      </c>
      <c r="K305" s="17">
        <f t="shared" si="164"/>
        <v>0</v>
      </c>
      <c r="L305" s="17">
        <f t="shared" si="165"/>
        <v>0</v>
      </c>
      <c r="M305" s="17">
        <f t="shared" si="166"/>
        <v>0</v>
      </c>
      <c r="N305" s="17">
        <f t="shared" si="167"/>
        <v>0</v>
      </c>
      <c r="O305" s="17">
        <f t="shared" si="168"/>
        <v>0</v>
      </c>
      <c r="P305" s="17">
        <v>0</v>
      </c>
      <c r="Q305" s="17">
        <f t="shared" si="169"/>
        <v>0</v>
      </c>
      <c r="R305" s="17">
        <f t="shared" si="170"/>
        <v>0</v>
      </c>
      <c r="S305" s="17">
        <f t="shared" si="171"/>
        <v>0</v>
      </c>
      <c r="T305" s="17">
        <f t="shared" si="172"/>
        <v>0</v>
      </c>
      <c r="U305" s="17">
        <f t="shared" si="173"/>
        <v>0</v>
      </c>
      <c r="V305" s="17">
        <f t="shared" si="174"/>
        <v>0</v>
      </c>
      <c r="W305" s="17">
        <f t="shared" si="175"/>
        <v>0</v>
      </c>
      <c r="X305" s="17">
        <f t="shared" si="176"/>
        <v>0</v>
      </c>
      <c r="Y305" s="17">
        <f t="shared" si="177"/>
        <v>0</v>
      </c>
      <c r="Z305" s="17">
        <f t="shared" si="178"/>
        <v>0</v>
      </c>
      <c r="AA305" s="17">
        <f t="shared" si="179"/>
        <v>0</v>
      </c>
      <c r="AB305" s="17">
        <f t="shared" si="180"/>
        <v>0</v>
      </c>
      <c r="AC305" s="17">
        <v>0</v>
      </c>
      <c r="AD305" s="17">
        <f t="shared" si="181"/>
        <v>0</v>
      </c>
      <c r="AE305" s="17">
        <f t="shared" si="182"/>
        <v>0</v>
      </c>
      <c r="AF305" s="17">
        <f t="shared" si="183"/>
        <v>0</v>
      </c>
      <c r="AG305" s="17">
        <f t="shared" si="184"/>
        <v>0</v>
      </c>
      <c r="AH305" s="17">
        <f t="shared" si="185"/>
        <v>0</v>
      </c>
      <c r="AI305" s="17">
        <f t="shared" si="186"/>
        <v>0</v>
      </c>
      <c r="AJ305" s="17">
        <f t="shared" si="187"/>
        <v>0</v>
      </c>
      <c r="AK305" s="17">
        <f t="shared" si="188"/>
        <v>0</v>
      </c>
      <c r="AL305" s="17">
        <f t="shared" si="189"/>
        <v>0</v>
      </c>
      <c r="AM305" s="17">
        <f t="shared" si="190"/>
        <v>0</v>
      </c>
      <c r="AN305" s="17">
        <f t="shared" si="191"/>
        <v>0</v>
      </c>
      <c r="AO305" s="17">
        <f t="shared" si="192"/>
        <v>0</v>
      </c>
      <c r="AP305" s="17">
        <f t="shared" si="193"/>
        <v>0</v>
      </c>
      <c r="AQ305" s="18">
        <v>222.9539148718556</v>
      </c>
      <c r="AR305" s="18">
        <v>266.63194708612997</v>
      </c>
      <c r="AS305" s="18">
        <v>235.97122712136911</v>
      </c>
      <c r="AT305" s="18">
        <v>178.73912467137623</v>
      </c>
      <c r="AU305" s="18">
        <v>259.21429526341905</v>
      </c>
      <c r="AV305" s="18">
        <v>212.42582738136159</v>
      </c>
      <c r="AW305" s="18">
        <v>211.48469719315676</v>
      </c>
      <c r="AX305" s="18">
        <v>143.6177636569499</v>
      </c>
      <c r="AY305" s="18">
        <v>212.88463086389368</v>
      </c>
      <c r="AZ305" s="18">
        <v>185.39514728258794</v>
      </c>
      <c r="BA305" s="18">
        <v>189.29547298026793</v>
      </c>
      <c r="BB305" s="18">
        <v>184.88889841418904</v>
      </c>
      <c r="BC305" s="23">
        <v>8.9181565948742242E-2</v>
      </c>
      <c r="BD305" s="23">
        <v>0.10665277883445198</v>
      </c>
      <c r="BE305" s="23">
        <v>9.438849084854764E-2</v>
      </c>
      <c r="BF305" s="23">
        <v>7.149564986855049E-2</v>
      </c>
      <c r="BG305" s="23">
        <v>0.10368571810536763</v>
      </c>
      <c r="BH305" s="23">
        <v>8.4970330952544637E-2</v>
      </c>
      <c r="BI305" s="23">
        <v>8.4593878877262704E-2</v>
      </c>
      <c r="BJ305" s="23">
        <v>5.7447105462779965E-2</v>
      </c>
      <c r="BK305" s="23">
        <v>8.5153852345557474E-2</v>
      </c>
      <c r="BL305" s="23">
        <v>7.4158058913035174E-2</v>
      </c>
      <c r="BM305" s="23">
        <v>7.5718189192107169E-2</v>
      </c>
      <c r="BN305" s="23">
        <v>7.3955559365675619E-2</v>
      </c>
    </row>
    <row r="306" spans="1:66" x14ac:dyDescent="0.25">
      <c r="A306" s="16">
        <v>3644</v>
      </c>
      <c r="B306" s="16" t="s">
        <v>502</v>
      </c>
      <c r="C306" s="17">
        <v>5000</v>
      </c>
      <c r="D306" s="17">
        <f t="shared" si="157"/>
        <v>445.9078297437112</v>
      </c>
      <c r="E306" s="17">
        <f t="shared" si="158"/>
        <v>533.26389417225994</v>
      </c>
      <c r="F306" s="17">
        <f t="shared" si="159"/>
        <v>471.94245424273822</v>
      </c>
      <c r="G306" s="17">
        <f t="shared" si="160"/>
        <v>357.47824934275246</v>
      </c>
      <c r="H306" s="17">
        <f t="shared" si="161"/>
        <v>518.42859052683809</v>
      </c>
      <c r="I306" s="17">
        <f t="shared" si="162"/>
        <v>424.85165476272317</v>
      </c>
      <c r="J306" s="17">
        <f t="shared" si="163"/>
        <v>422.96939438631352</v>
      </c>
      <c r="K306" s="17">
        <f t="shared" si="164"/>
        <v>287.23552731389981</v>
      </c>
      <c r="L306" s="17">
        <f t="shared" si="165"/>
        <v>425.76926172778735</v>
      </c>
      <c r="M306" s="17">
        <f t="shared" si="166"/>
        <v>370.79029456517588</v>
      </c>
      <c r="N306" s="17">
        <f t="shared" si="167"/>
        <v>378.59094596053586</v>
      </c>
      <c r="O306" s="17">
        <f t="shared" si="168"/>
        <v>369.77779682837809</v>
      </c>
      <c r="P306" s="17">
        <v>0</v>
      </c>
      <c r="Q306" s="17">
        <f t="shared" si="169"/>
        <v>0</v>
      </c>
      <c r="R306" s="17">
        <f t="shared" si="170"/>
        <v>0</v>
      </c>
      <c r="S306" s="17">
        <f t="shared" si="171"/>
        <v>0</v>
      </c>
      <c r="T306" s="17">
        <f t="shared" si="172"/>
        <v>0</v>
      </c>
      <c r="U306" s="17">
        <f t="shared" si="173"/>
        <v>0</v>
      </c>
      <c r="V306" s="17">
        <f t="shared" si="174"/>
        <v>0</v>
      </c>
      <c r="W306" s="17">
        <f t="shared" si="175"/>
        <v>0</v>
      </c>
      <c r="X306" s="17">
        <f t="shared" si="176"/>
        <v>0</v>
      </c>
      <c r="Y306" s="17">
        <f t="shared" si="177"/>
        <v>0</v>
      </c>
      <c r="Z306" s="17">
        <f t="shared" si="178"/>
        <v>0</v>
      </c>
      <c r="AA306" s="17">
        <f t="shared" si="179"/>
        <v>0</v>
      </c>
      <c r="AB306" s="17">
        <f t="shared" si="180"/>
        <v>0</v>
      </c>
      <c r="AC306" s="17">
        <v>0</v>
      </c>
      <c r="AD306" s="17">
        <f t="shared" si="181"/>
        <v>0</v>
      </c>
      <c r="AE306" s="17">
        <f t="shared" si="182"/>
        <v>0</v>
      </c>
      <c r="AF306" s="17">
        <f t="shared" si="183"/>
        <v>0</v>
      </c>
      <c r="AG306" s="17">
        <f t="shared" si="184"/>
        <v>0</v>
      </c>
      <c r="AH306" s="17">
        <f t="shared" si="185"/>
        <v>0</v>
      </c>
      <c r="AI306" s="17">
        <f t="shared" si="186"/>
        <v>0</v>
      </c>
      <c r="AJ306" s="17">
        <f t="shared" si="187"/>
        <v>0</v>
      </c>
      <c r="AK306" s="17">
        <f t="shared" si="188"/>
        <v>0</v>
      </c>
      <c r="AL306" s="17">
        <f t="shared" si="189"/>
        <v>0</v>
      </c>
      <c r="AM306" s="17">
        <f t="shared" si="190"/>
        <v>0</v>
      </c>
      <c r="AN306" s="17">
        <f t="shared" si="191"/>
        <v>0</v>
      </c>
      <c r="AO306" s="17">
        <f t="shared" si="192"/>
        <v>0</v>
      </c>
      <c r="AP306" s="17">
        <f t="shared" si="193"/>
        <v>5000</v>
      </c>
      <c r="AQ306" s="18">
        <v>222.9539148718556</v>
      </c>
      <c r="AR306" s="18">
        <v>266.63194708612997</v>
      </c>
      <c r="AS306" s="18">
        <v>235.97122712136911</v>
      </c>
      <c r="AT306" s="18">
        <v>178.73912467137623</v>
      </c>
      <c r="AU306" s="18">
        <v>259.21429526341905</v>
      </c>
      <c r="AV306" s="18">
        <v>212.42582738136159</v>
      </c>
      <c r="AW306" s="18">
        <v>211.48469719315676</v>
      </c>
      <c r="AX306" s="18">
        <v>143.6177636569499</v>
      </c>
      <c r="AY306" s="18">
        <v>212.88463086389368</v>
      </c>
      <c r="AZ306" s="18">
        <v>185.39514728258794</v>
      </c>
      <c r="BA306" s="18">
        <v>189.29547298026793</v>
      </c>
      <c r="BB306" s="18">
        <v>184.88889841418904</v>
      </c>
      <c r="BC306" s="23">
        <v>8.9181565948742242E-2</v>
      </c>
      <c r="BD306" s="23">
        <v>0.10665277883445198</v>
      </c>
      <c r="BE306" s="23">
        <v>9.438849084854764E-2</v>
      </c>
      <c r="BF306" s="23">
        <v>7.149564986855049E-2</v>
      </c>
      <c r="BG306" s="23">
        <v>0.10368571810536763</v>
      </c>
      <c r="BH306" s="23">
        <v>8.4970330952544637E-2</v>
      </c>
      <c r="BI306" s="23">
        <v>8.4593878877262704E-2</v>
      </c>
      <c r="BJ306" s="23">
        <v>5.7447105462779965E-2</v>
      </c>
      <c r="BK306" s="23">
        <v>8.5153852345557474E-2</v>
      </c>
      <c r="BL306" s="23">
        <v>7.4158058913035174E-2</v>
      </c>
      <c r="BM306" s="23">
        <v>7.5718189192107169E-2</v>
      </c>
      <c r="BN306" s="23">
        <v>7.3955559365675619E-2</v>
      </c>
    </row>
    <row r="307" spans="1:66" x14ac:dyDescent="0.25">
      <c r="A307" s="16">
        <v>3700</v>
      </c>
      <c r="B307" s="16" t="s">
        <v>503</v>
      </c>
      <c r="C307" s="17">
        <v>2500</v>
      </c>
      <c r="D307" s="17">
        <f t="shared" si="157"/>
        <v>222.9539148718556</v>
      </c>
      <c r="E307" s="17">
        <f t="shared" si="158"/>
        <v>266.63194708612997</v>
      </c>
      <c r="F307" s="17">
        <f t="shared" si="159"/>
        <v>235.97122712136911</v>
      </c>
      <c r="G307" s="17">
        <f t="shared" si="160"/>
        <v>178.73912467137623</v>
      </c>
      <c r="H307" s="17">
        <f t="shared" si="161"/>
        <v>259.21429526341905</v>
      </c>
      <c r="I307" s="17">
        <f t="shared" si="162"/>
        <v>212.42582738136159</v>
      </c>
      <c r="J307" s="17">
        <f t="shared" si="163"/>
        <v>211.48469719315676</v>
      </c>
      <c r="K307" s="17">
        <f t="shared" si="164"/>
        <v>143.6177636569499</v>
      </c>
      <c r="L307" s="17">
        <f t="shared" si="165"/>
        <v>212.88463086389368</v>
      </c>
      <c r="M307" s="17">
        <f t="shared" si="166"/>
        <v>185.39514728258794</v>
      </c>
      <c r="N307" s="17">
        <f t="shared" si="167"/>
        <v>189.29547298026793</v>
      </c>
      <c r="O307" s="17">
        <f t="shared" si="168"/>
        <v>184.88889841418904</v>
      </c>
      <c r="P307" s="17">
        <v>0</v>
      </c>
      <c r="Q307" s="17">
        <f t="shared" si="169"/>
        <v>0</v>
      </c>
      <c r="R307" s="17">
        <f t="shared" si="170"/>
        <v>0</v>
      </c>
      <c r="S307" s="17">
        <f t="shared" si="171"/>
        <v>0</v>
      </c>
      <c r="T307" s="17">
        <f t="shared" si="172"/>
        <v>0</v>
      </c>
      <c r="U307" s="17">
        <f t="shared" si="173"/>
        <v>0</v>
      </c>
      <c r="V307" s="17">
        <f t="shared" si="174"/>
        <v>0</v>
      </c>
      <c r="W307" s="17">
        <f t="shared" si="175"/>
        <v>0</v>
      </c>
      <c r="X307" s="17">
        <f t="shared" si="176"/>
        <v>0</v>
      </c>
      <c r="Y307" s="17">
        <f t="shared" si="177"/>
        <v>0</v>
      </c>
      <c r="Z307" s="17">
        <f t="shared" si="178"/>
        <v>0</v>
      </c>
      <c r="AA307" s="17">
        <f t="shared" si="179"/>
        <v>0</v>
      </c>
      <c r="AB307" s="17">
        <f t="shared" si="180"/>
        <v>0</v>
      </c>
      <c r="AC307" s="17">
        <v>0</v>
      </c>
      <c r="AD307" s="17">
        <f t="shared" si="181"/>
        <v>0</v>
      </c>
      <c r="AE307" s="17">
        <f t="shared" si="182"/>
        <v>0</v>
      </c>
      <c r="AF307" s="17">
        <f t="shared" si="183"/>
        <v>0</v>
      </c>
      <c r="AG307" s="17">
        <f t="shared" si="184"/>
        <v>0</v>
      </c>
      <c r="AH307" s="17">
        <f t="shared" si="185"/>
        <v>0</v>
      </c>
      <c r="AI307" s="17">
        <f t="shared" si="186"/>
        <v>0</v>
      </c>
      <c r="AJ307" s="17">
        <f t="shared" si="187"/>
        <v>0</v>
      </c>
      <c r="AK307" s="17">
        <f t="shared" si="188"/>
        <v>0</v>
      </c>
      <c r="AL307" s="17">
        <f t="shared" si="189"/>
        <v>0</v>
      </c>
      <c r="AM307" s="17">
        <f t="shared" si="190"/>
        <v>0</v>
      </c>
      <c r="AN307" s="17">
        <f t="shared" si="191"/>
        <v>0</v>
      </c>
      <c r="AO307" s="17">
        <f t="shared" si="192"/>
        <v>0</v>
      </c>
      <c r="AP307" s="17">
        <f t="shared" si="193"/>
        <v>2500</v>
      </c>
      <c r="AQ307" s="18">
        <v>226.72094421753044</v>
      </c>
      <c r="AR307" s="18">
        <v>271.13696046409717</v>
      </c>
      <c r="AS307" s="18">
        <v>239.95819697481173</v>
      </c>
      <c r="AT307" s="18">
        <v>181.75910092182377</v>
      </c>
      <c r="AU307" s="18">
        <v>263.59397999618977</v>
      </c>
      <c r="AV307" s="18">
        <v>216.01497416079707</v>
      </c>
      <c r="AW307" s="18">
        <v>215.05794263693232</v>
      </c>
      <c r="AX307" s="18">
        <v>146.04432939169772</v>
      </c>
      <c r="AY307" s="18">
        <v>216.48152958697003</v>
      </c>
      <c r="AZ307" s="18">
        <v>188.52758369107451</v>
      </c>
      <c r="BA307" s="18">
        <v>192.49380929174251</v>
      </c>
      <c r="BB307" s="18">
        <v>188.01278124179518</v>
      </c>
      <c r="BC307" s="23">
        <v>8.9181565948742242E-2</v>
      </c>
      <c r="BD307" s="23">
        <v>0.10665277883445198</v>
      </c>
      <c r="BE307" s="23">
        <v>9.438849084854764E-2</v>
      </c>
      <c r="BF307" s="23">
        <v>7.149564986855049E-2</v>
      </c>
      <c r="BG307" s="23">
        <v>0.10368571810536763</v>
      </c>
      <c r="BH307" s="23">
        <v>8.4970330952544637E-2</v>
      </c>
      <c r="BI307" s="23">
        <v>8.4593878877262704E-2</v>
      </c>
      <c r="BJ307" s="23">
        <v>5.7447105462779965E-2</v>
      </c>
      <c r="BK307" s="23">
        <v>8.5153852345557474E-2</v>
      </c>
      <c r="BL307" s="23">
        <v>7.4158058913035174E-2</v>
      </c>
      <c r="BM307" s="23">
        <v>7.5718189192107169E-2</v>
      </c>
      <c r="BN307" s="23">
        <v>7.3955559365675619E-2</v>
      </c>
    </row>
    <row r="308" spans="1:66" x14ac:dyDescent="0.25">
      <c r="A308" s="16">
        <v>4285</v>
      </c>
      <c r="B308" s="16" t="s">
        <v>504</v>
      </c>
      <c r="C308" s="17">
        <v>0</v>
      </c>
      <c r="D308" s="17">
        <f t="shared" si="157"/>
        <v>0</v>
      </c>
      <c r="E308" s="17">
        <f t="shared" si="158"/>
        <v>0</v>
      </c>
      <c r="F308" s="17">
        <f t="shared" si="159"/>
        <v>0</v>
      </c>
      <c r="G308" s="17">
        <f t="shared" si="160"/>
        <v>0</v>
      </c>
      <c r="H308" s="17">
        <f t="shared" si="161"/>
        <v>0</v>
      </c>
      <c r="I308" s="17">
        <f t="shared" si="162"/>
        <v>0</v>
      </c>
      <c r="J308" s="17">
        <f t="shared" si="163"/>
        <v>0</v>
      </c>
      <c r="K308" s="17">
        <f t="shared" si="164"/>
        <v>0</v>
      </c>
      <c r="L308" s="17">
        <f t="shared" si="165"/>
        <v>0</v>
      </c>
      <c r="M308" s="17">
        <f t="shared" si="166"/>
        <v>0</v>
      </c>
      <c r="N308" s="17">
        <f t="shared" si="167"/>
        <v>0</v>
      </c>
      <c r="O308" s="17">
        <f t="shared" si="168"/>
        <v>0</v>
      </c>
      <c r="P308" s="17">
        <v>0</v>
      </c>
      <c r="Q308" s="17">
        <f t="shared" si="169"/>
        <v>0</v>
      </c>
      <c r="R308" s="17">
        <f t="shared" si="170"/>
        <v>0</v>
      </c>
      <c r="S308" s="17">
        <f t="shared" si="171"/>
        <v>0</v>
      </c>
      <c r="T308" s="17">
        <f t="shared" si="172"/>
        <v>0</v>
      </c>
      <c r="U308" s="17">
        <f t="shared" si="173"/>
        <v>0</v>
      </c>
      <c r="V308" s="17">
        <f t="shared" si="174"/>
        <v>0</v>
      </c>
      <c r="W308" s="17">
        <f t="shared" si="175"/>
        <v>0</v>
      </c>
      <c r="X308" s="17">
        <f t="shared" si="176"/>
        <v>0</v>
      </c>
      <c r="Y308" s="17">
        <f t="shared" si="177"/>
        <v>0</v>
      </c>
      <c r="Z308" s="17">
        <f t="shared" si="178"/>
        <v>0</v>
      </c>
      <c r="AA308" s="17">
        <f t="shared" si="179"/>
        <v>0</v>
      </c>
      <c r="AB308" s="17">
        <f t="shared" si="180"/>
        <v>0</v>
      </c>
      <c r="AC308" s="17">
        <v>0</v>
      </c>
      <c r="AD308" s="17">
        <f t="shared" si="181"/>
        <v>0</v>
      </c>
      <c r="AE308" s="17">
        <f t="shared" si="182"/>
        <v>0</v>
      </c>
      <c r="AF308" s="17">
        <f t="shared" si="183"/>
        <v>0</v>
      </c>
      <c r="AG308" s="17">
        <f t="shared" si="184"/>
        <v>0</v>
      </c>
      <c r="AH308" s="17">
        <f t="shared" si="185"/>
        <v>0</v>
      </c>
      <c r="AI308" s="17">
        <f t="shared" si="186"/>
        <v>0</v>
      </c>
      <c r="AJ308" s="17">
        <f t="shared" si="187"/>
        <v>0</v>
      </c>
      <c r="AK308" s="17">
        <f t="shared" si="188"/>
        <v>0</v>
      </c>
      <c r="AL308" s="17">
        <f t="shared" si="189"/>
        <v>0</v>
      </c>
      <c r="AM308" s="17">
        <f t="shared" si="190"/>
        <v>0</v>
      </c>
      <c r="AN308" s="17">
        <f t="shared" si="191"/>
        <v>0</v>
      </c>
      <c r="AO308" s="17">
        <f t="shared" si="192"/>
        <v>0</v>
      </c>
      <c r="AP308" s="17">
        <f t="shared" si="193"/>
        <v>0</v>
      </c>
      <c r="AQ308" s="18">
        <v>222.9539148718556</v>
      </c>
      <c r="AR308" s="18">
        <v>266.63194708612997</v>
      </c>
      <c r="AS308" s="18">
        <v>235.97122712136911</v>
      </c>
      <c r="AT308" s="18">
        <v>178.73912467137623</v>
      </c>
      <c r="AU308" s="18">
        <v>259.21429526341905</v>
      </c>
      <c r="AV308" s="18">
        <v>212.42582738136159</v>
      </c>
      <c r="AW308" s="18">
        <v>211.48469719315676</v>
      </c>
      <c r="AX308" s="18">
        <v>143.6177636569499</v>
      </c>
      <c r="AY308" s="18">
        <v>212.88463086389368</v>
      </c>
      <c r="AZ308" s="18">
        <v>185.39514728258794</v>
      </c>
      <c r="BA308" s="18">
        <v>189.29547298026793</v>
      </c>
      <c r="BB308" s="18">
        <v>184.88889841418904</v>
      </c>
      <c r="BC308" s="23">
        <v>8.9181565948742242E-2</v>
      </c>
      <c r="BD308" s="23">
        <v>0.10665277883445198</v>
      </c>
      <c r="BE308" s="23">
        <v>9.438849084854764E-2</v>
      </c>
      <c r="BF308" s="23">
        <v>7.149564986855049E-2</v>
      </c>
      <c r="BG308" s="23">
        <v>0.10368571810536763</v>
      </c>
      <c r="BH308" s="23">
        <v>8.4970330952544637E-2</v>
      </c>
      <c r="BI308" s="23">
        <v>8.4593878877262704E-2</v>
      </c>
      <c r="BJ308" s="23">
        <v>5.7447105462779965E-2</v>
      </c>
      <c r="BK308" s="23">
        <v>8.5153852345557474E-2</v>
      </c>
      <c r="BL308" s="23">
        <v>7.4158058913035174E-2</v>
      </c>
      <c r="BM308" s="23">
        <v>7.5718189192107169E-2</v>
      </c>
      <c r="BN308" s="23">
        <v>7.3955559365675619E-2</v>
      </c>
    </row>
    <row r="309" spans="1:66" x14ac:dyDescent="0.25">
      <c r="A309" s="16">
        <v>5391</v>
      </c>
      <c r="B309" s="16" t="s">
        <v>505</v>
      </c>
      <c r="C309" s="17">
        <v>2500</v>
      </c>
      <c r="D309" s="17">
        <f t="shared" si="157"/>
        <v>222.9539148718556</v>
      </c>
      <c r="E309" s="17">
        <f t="shared" si="158"/>
        <v>266.63194708612997</v>
      </c>
      <c r="F309" s="17">
        <f t="shared" si="159"/>
        <v>235.97122712136911</v>
      </c>
      <c r="G309" s="17">
        <f t="shared" si="160"/>
        <v>178.73912467137623</v>
      </c>
      <c r="H309" s="17">
        <f t="shared" si="161"/>
        <v>259.21429526341905</v>
      </c>
      <c r="I309" s="17">
        <f t="shared" si="162"/>
        <v>212.42582738136159</v>
      </c>
      <c r="J309" s="17">
        <f t="shared" si="163"/>
        <v>211.48469719315676</v>
      </c>
      <c r="K309" s="17">
        <f t="shared" si="164"/>
        <v>143.6177636569499</v>
      </c>
      <c r="L309" s="17">
        <f t="shared" si="165"/>
        <v>212.88463086389368</v>
      </c>
      <c r="M309" s="17">
        <f t="shared" si="166"/>
        <v>185.39514728258794</v>
      </c>
      <c r="N309" s="17">
        <f t="shared" si="167"/>
        <v>189.29547298026793</v>
      </c>
      <c r="O309" s="17">
        <f t="shared" si="168"/>
        <v>184.88889841418904</v>
      </c>
      <c r="P309" s="17">
        <v>0</v>
      </c>
      <c r="Q309" s="17">
        <f t="shared" si="169"/>
        <v>0</v>
      </c>
      <c r="R309" s="17">
        <f t="shared" si="170"/>
        <v>0</v>
      </c>
      <c r="S309" s="17">
        <f t="shared" si="171"/>
        <v>0</v>
      </c>
      <c r="T309" s="17">
        <f t="shared" si="172"/>
        <v>0</v>
      </c>
      <c r="U309" s="17">
        <f t="shared" si="173"/>
        <v>0</v>
      </c>
      <c r="V309" s="17">
        <f t="shared" si="174"/>
        <v>0</v>
      </c>
      <c r="W309" s="17">
        <f t="shared" si="175"/>
        <v>0</v>
      </c>
      <c r="X309" s="17">
        <f t="shared" si="176"/>
        <v>0</v>
      </c>
      <c r="Y309" s="17">
        <f t="shared" si="177"/>
        <v>0</v>
      </c>
      <c r="Z309" s="17">
        <f t="shared" si="178"/>
        <v>0</v>
      </c>
      <c r="AA309" s="17">
        <f t="shared" si="179"/>
        <v>0</v>
      </c>
      <c r="AB309" s="17">
        <f t="shared" si="180"/>
        <v>0</v>
      </c>
      <c r="AC309" s="17">
        <v>0</v>
      </c>
      <c r="AD309" s="17">
        <f t="shared" si="181"/>
        <v>0</v>
      </c>
      <c r="AE309" s="17">
        <f t="shared" si="182"/>
        <v>0</v>
      </c>
      <c r="AF309" s="17">
        <f t="shared" si="183"/>
        <v>0</v>
      </c>
      <c r="AG309" s="17">
        <f t="shared" si="184"/>
        <v>0</v>
      </c>
      <c r="AH309" s="17">
        <f t="shared" si="185"/>
        <v>0</v>
      </c>
      <c r="AI309" s="17">
        <f t="shared" si="186"/>
        <v>0</v>
      </c>
      <c r="AJ309" s="17">
        <f t="shared" si="187"/>
        <v>0</v>
      </c>
      <c r="AK309" s="17">
        <f t="shared" si="188"/>
        <v>0</v>
      </c>
      <c r="AL309" s="17">
        <f t="shared" si="189"/>
        <v>0</v>
      </c>
      <c r="AM309" s="17">
        <f t="shared" si="190"/>
        <v>0</v>
      </c>
      <c r="AN309" s="17">
        <f t="shared" si="191"/>
        <v>0</v>
      </c>
      <c r="AO309" s="17">
        <f t="shared" si="192"/>
        <v>0</v>
      </c>
      <c r="AP309" s="17">
        <f t="shared" si="193"/>
        <v>2500</v>
      </c>
      <c r="AQ309" s="18">
        <v>222.9539148718556</v>
      </c>
      <c r="AR309" s="18">
        <v>266.63194708612997</v>
      </c>
      <c r="AS309" s="18">
        <v>235.97122712136911</v>
      </c>
      <c r="AT309" s="18">
        <v>178.73912467137623</v>
      </c>
      <c r="AU309" s="18">
        <v>259.21429526341905</v>
      </c>
      <c r="AV309" s="18">
        <v>212.42582738136159</v>
      </c>
      <c r="AW309" s="18">
        <v>211.48469719315676</v>
      </c>
      <c r="AX309" s="18">
        <v>143.6177636569499</v>
      </c>
      <c r="AY309" s="18">
        <v>212.88463086389368</v>
      </c>
      <c r="AZ309" s="18">
        <v>185.39514728258794</v>
      </c>
      <c r="BA309" s="18">
        <v>189.29547298026793</v>
      </c>
      <c r="BB309" s="18">
        <v>184.88889841418904</v>
      </c>
      <c r="BC309" s="23">
        <v>8.9181565948742242E-2</v>
      </c>
      <c r="BD309" s="23">
        <v>0.10665277883445198</v>
      </c>
      <c r="BE309" s="23">
        <v>9.438849084854764E-2</v>
      </c>
      <c r="BF309" s="23">
        <v>7.149564986855049E-2</v>
      </c>
      <c r="BG309" s="23">
        <v>0.10368571810536763</v>
      </c>
      <c r="BH309" s="23">
        <v>8.4970330952544637E-2</v>
      </c>
      <c r="BI309" s="23">
        <v>8.4593878877262704E-2</v>
      </c>
      <c r="BJ309" s="23">
        <v>5.7447105462779965E-2</v>
      </c>
      <c r="BK309" s="23">
        <v>8.5153852345557474E-2</v>
      </c>
      <c r="BL309" s="23">
        <v>7.4158058913035174E-2</v>
      </c>
      <c r="BM309" s="23">
        <v>7.5718189192107169E-2</v>
      </c>
      <c r="BN309" s="23">
        <v>7.3955559365675619E-2</v>
      </c>
    </row>
    <row r="310" spans="1:66" x14ac:dyDescent="0.25">
      <c r="A310" s="16">
        <v>5431</v>
      </c>
      <c r="B310" s="16" t="s">
        <v>506</v>
      </c>
      <c r="C310" s="17">
        <v>0</v>
      </c>
      <c r="D310" s="17">
        <f t="shared" si="157"/>
        <v>0</v>
      </c>
      <c r="E310" s="17">
        <f t="shared" si="158"/>
        <v>0</v>
      </c>
      <c r="F310" s="17">
        <f t="shared" si="159"/>
        <v>0</v>
      </c>
      <c r="G310" s="17">
        <f t="shared" si="160"/>
        <v>0</v>
      </c>
      <c r="H310" s="17">
        <f t="shared" si="161"/>
        <v>0</v>
      </c>
      <c r="I310" s="17">
        <f t="shared" si="162"/>
        <v>0</v>
      </c>
      <c r="J310" s="17">
        <f t="shared" si="163"/>
        <v>0</v>
      </c>
      <c r="K310" s="17">
        <f t="shared" si="164"/>
        <v>0</v>
      </c>
      <c r="L310" s="17">
        <f t="shared" si="165"/>
        <v>0</v>
      </c>
      <c r="M310" s="17">
        <f t="shared" si="166"/>
        <v>0</v>
      </c>
      <c r="N310" s="17">
        <f t="shared" si="167"/>
        <v>0</v>
      </c>
      <c r="O310" s="17">
        <f t="shared" si="168"/>
        <v>0</v>
      </c>
      <c r="P310" s="17">
        <v>0</v>
      </c>
      <c r="Q310" s="17">
        <f t="shared" si="169"/>
        <v>0</v>
      </c>
      <c r="R310" s="17">
        <f t="shared" si="170"/>
        <v>0</v>
      </c>
      <c r="S310" s="17">
        <f t="shared" si="171"/>
        <v>0</v>
      </c>
      <c r="T310" s="17">
        <f t="shared" si="172"/>
        <v>0</v>
      </c>
      <c r="U310" s="17">
        <f t="shared" si="173"/>
        <v>0</v>
      </c>
      <c r="V310" s="17">
        <f t="shared" si="174"/>
        <v>0</v>
      </c>
      <c r="W310" s="17">
        <f t="shared" si="175"/>
        <v>0</v>
      </c>
      <c r="X310" s="17">
        <f t="shared" si="176"/>
        <v>0</v>
      </c>
      <c r="Y310" s="17">
        <f t="shared" si="177"/>
        <v>0</v>
      </c>
      <c r="Z310" s="17">
        <f t="shared" si="178"/>
        <v>0</v>
      </c>
      <c r="AA310" s="17">
        <f t="shared" si="179"/>
        <v>0</v>
      </c>
      <c r="AB310" s="17">
        <f t="shared" si="180"/>
        <v>0</v>
      </c>
      <c r="AC310" s="17">
        <v>6000</v>
      </c>
      <c r="AD310" s="17">
        <f t="shared" si="181"/>
        <v>535.08939569245342</v>
      </c>
      <c r="AE310" s="17">
        <f t="shared" si="182"/>
        <v>639.9166730067119</v>
      </c>
      <c r="AF310" s="17">
        <f t="shared" si="183"/>
        <v>566.3309450912858</v>
      </c>
      <c r="AG310" s="17">
        <f t="shared" si="184"/>
        <v>428.97389921130292</v>
      </c>
      <c r="AH310" s="17">
        <f t="shared" si="185"/>
        <v>622.11430863220573</v>
      </c>
      <c r="AI310" s="17">
        <f t="shared" si="186"/>
        <v>509.82198571526783</v>
      </c>
      <c r="AJ310" s="17">
        <f t="shared" si="187"/>
        <v>507.56327326357621</v>
      </c>
      <c r="AK310" s="17">
        <f t="shared" si="188"/>
        <v>344.68263277667978</v>
      </c>
      <c r="AL310" s="17">
        <f t="shared" si="189"/>
        <v>510.92311407334483</v>
      </c>
      <c r="AM310" s="17">
        <f t="shared" si="190"/>
        <v>444.94835347821106</v>
      </c>
      <c r="AN310" s="17">
        <f t="shared" si="191"/>
        <v>454.30913515264302</v>
      </c>
      <c r="AO310" s="17">
        <f t="shared" si="192"/>
        <v>443.73335619405373</v>
      </c>
      <c r="AP310" s="17">
        <f t="shared" si="193"/>
        <v>6000</v>
      </c>
      <c r="AQ310" s="18">
        <v>222.9539148718556</v>
      </c>
      <c r="AR310" s="18">
        <v>266.63194708612997</v>
      </c>
      <c r="AS310" s="18">
        <v>235.97122712136911</v>
      </c>
      <c r="AT310" s="18">
        <v>178.73912467137623</v>
      </c>
      <c r="AU310" s="18">
        <v>259.21429526341905</v>
      </c>
      <c r="AV310" s="18">
        <v>212.42582738136159</v>
      </c>
      <c r="AW310" s="18">
        <v>211.48469719315676</v>
      </c>
      <c r="AX310" s="18">
        <v>143.6177636569499</v>
      </c>
      <c r="AY310" s="18">
        <v>212.88463086389368</v>
      </c>
      <c r="AZ310" s="18">
        <v>185.39514728258794</v>
      </c>
      <c r="BA310" s="18">
        <v>189.29547298026793</v>
      </c>
      <c r="BB310" s="18">
        <v>184.88889841418904</v>
      </c>
      <c r="BC310" s="23">
        <v>8.9181565948742242E-2</v>
      </c>
      <c r="BD310" s="23">
        <v>0.10665277883445198</v>
      </c>
      <c r="BE310" s="23">
        <v>9.438849084854764E-2</v>
      </c>
      <c r="BF310" s="23">
        <v>7.149564986855049E-2</v>
      </c>
      <c r="BG310" s="23">
        <v>0.10368571810536763</v>
      </c>
      <c r="BH310" s="23">
        <v>8.4970330952544637E-2</v>
      </c>
      <c r="BI310" s="23">
        <v>8.4593878877262704E-2</v>
      </c>
      <c r="BJ310" s="23">
        <v>5.7447105462779965E-2</v>
      </c>
      <c r="BK310" s="23">
        <v>8.5153852345557474E-2</v>
      </c>
      <c r="BL310" s="23">
        <v>7.4158058913035174E-2</v>
      </c>
      <c r="BM310" s="23">
        <v>7.5718189192107169E-2</v>
      </c>
      <c r="BN310" s="23">
        <v>7.3955559365675619E-2</v>
      </c>
    </row>
    <row r="311" spans="1:66" x14ac:dyDescent="0.25">
      <c r="A311" s="16">
        <v>6617</v>
      </c>
      <c r="B311" s="16" t="s">
        <v>507</v>
      </c>
      <c r="C311" s="17">
        <v>0</v>
      </c>
      <c r="D311" s="17">
        <f t="shared" si="157"/>
        <v>0</v>
      </c>
      <c r="E311" s="17">
        <f t="shared" si="158"/>
        <v>0</v>
      </c>
      <c r="F311" s="17">
        <f t="shared" si="159"/>
        <v>0</v>
      </c>
      <c r="G311" s="17">
        <f t="shared" si="160"/>
        <v>0</v>
      </c>
      <c r="H311" s="17">
        <f t="shared" si="161"/>
        <v>0</v>
      </c>
      <c r="I311" s="17">
        <f t="shared" si="162"/>
        <v>0</v>
      </c>
      <c r="J311" s="17">
        <f t="shared" si="163"/>
        <v>0</v>
      </c>
      <c r="K311" s="17">
        <f t="shared" si="164"/>
        <v>0</v>
      </c>
      <c r="L311" s="17">
        <f t="shared" si="165"/>
        <v>0</v>
      </c>
      <c r="M311" s="17">
        <f t="shared" si="166"/>
        <v>0</v>
      </c>
      <c r="N311" s="17">
        <f t="shared" si="167"/>
        <v>0</v>
      </c>
      <c r="O311" s="17">
        <f t="shared" si="168"/>
        <v>0</v>
      </c>
      <c r="P311" s="17">
        <v>0</v>
      </c>
      <c r="Q311" s="17">
        <f t="shared" si="169"/>
        <v>0</v>
      </c>
      <c r="R311" s="17">
        <f t="shared" si="170"/>
        <v>0</v>
      </c>
      <c r="S311" s="17">
        <f t="shared" si="171"/>
        <v>0</v>
      </c>
      <c r="T311" s="17">
        <f t="shared" si="172"/>
        <v>0</v>
      </c>
      <c r="U311" s="17">
        <f t="shared" si="173"/>
        <v>0</v>
      </c>
      <c r="V311" s="17">
        <f t="shared" si="174"/>
        <v>0</v>
      </c>
      <c r="W311" s="17">
        <f t="shared" si="175"/>
        <v>0</v>
      </c>
      <c r="X311" s="17">
        <f t="shared" si="176"/>
        <v>0</v>
      </c>
      <c r="Y311" s="17">
        <f t="shared" si="177"/>
        <v>0</v>
      </c>
      <c r="Z311" s="17">
        <f t="shared" si="178"/>
        <v>0</v>
      </c>
      <c r="AA311" s="17">
        <f t="shared" si="179"/>
        <v>0</v>
      </c>
      <c r="AB311" s="17">
        <f t="shared" si="180"/>
        <v>0</v>
      </c>
      <c r="AC311" s="17">
        <v>2500</v>
      </c>
      <c r="AD311" s="17">
        <f t="shared" si="181"/>
        <v>222.9539148718556</v>
      </c>
      <c r="AE311" s="17">
        <f t="shared" si="182"/>
        <v>266.63194708612997</v>
      </c>
      <c r="AF311" s="17">
        <f t="shared" si="183"/>
        <v>235.97122712136911</v>
      </c>
      <c r="AG311" s="17">
        <f t="shared" si="184"/>
        <v>178.73912467137623</v>
      </c>
      <c r="AH311" s="17">
        <f t="shared" si="185"/>
        <v>259.21429526341905</v>
      </c>
      <c r="AI311" s="17">
        <f t="shared" si="186"/>
        <v>212.42582738136159</v>
      </c>
      <c r="AJ311" s="17">
        <f t="shared" si="187"/>
        <v>211.48469719315676</v>
      </c>
      <c r="AK311" s="17">
        <f t="shared" si="188"/>
        <v>143.6177636569499</v>
      </c>
      <c r="AL311" s="17">
        <f t="shared" si="189"/>
        <v>212.88463086389368</v>
      </c>
      <c r="AM311" s="17">
        <f t="shared" si="190"/>
        <v>185.39514728258794</v>
      </c>
      <c r="AN311" s="17">
        <f t="shared" si="191"/>
        <v>189.29547298026793</v>
      </c>
      <c r="AO311" s="17">
        <f t="shared" si="192"/>
        <v>184.88889841418904</v>
      </c>
      <c r="AP311" s="17">
        <f t="shared" si="193"/>
        <v>2500</v>
      </c>
      <c r="AQ311" s="18">
        <v>225.89690654816411</v>
      </c>
      <c r="AR311" s="18">
        <v>270.15148878766689</v>
      </c>
      <c r="AS311" s="18">
        <v>239.08604731937118</v>
      </c>
      <c r="AT311" s="18">
        <v>181.0984811170384</v>
      </c>
      <c r="AU311" s="18">
        <v>262.63592396089621</v>
      </c>
      <c r="AV311" s="18">
        <v>215.22984830279557</v>
      </c>
      <c r="AW311" s="18">
        <v>214.27629519610642</v>
      </c>
      <c r="AX311" s="18">
        <v>145.51351813722167</v>
      </c>
      <c r="AY311" s="18">
        <v>215.69470799129709</v>
      </c>
      <c r="AZ311" s="18">
        <v>187.84236322671811</v>
      </c>
      <c r="BA311" s="18">
        <v>191.79417322360746</v>
      </c>
      <c r="BB311" s="18">
        <v>187.32943187325634</v>
      </c>
      <c r="BC311" s="23">
        <v>8.9181565948742242E-2</v>
      </c>
      <c r="BD311" s="23">
        <v>0.10665277883445198</v>
      </c>
      <c r="BE311" s="23">
        <v>9.438849084854764E-2</v>
      </c>
      <c r="BF311" s="23">
        <v>7.149564986855049E-2</v>
      </c>
      <c r="BG311" s="23">
        <v>0.10368571810536763</v>
      </c>
      <c r="BH311" s="23">
        <v>8.4970330952544637E-2</v>
      </c>
      <c r="BI311" s="23">
        <v>8.4593878877262704E-2</v>
      </c>
      <c r="BJ311" s="23">
        <v>5.7447105462779965E-2</v>
      </c>
      <c r="BK311" s="23">
        <v>8.5153852345557474E-2</v>
      </c>
      <c r="BL311" s="23">
        <v>7.4158058913035174E-2</v>
      </c>
      <c r="BM311" s="23">
        <v>7.5718189192107169E-2</v>
      </c>
      <c r="BN311" s="23">
        <v>7.3955559365675619E-2</v>
      </c>
    </row>
    <row r="312" spans="1:66" x14ac:dyDescent="0.25">
      <c r="A312" s="16">
        <v>6645</v>
      </c>
      <c r="B312" s="16" t="s">
        <v>508</v>
      </c>
      <c r="C312" s="17">
        <v>2500</v>
      </c>
      <c r="D312" s="17">
        <f t="shared" si="157"/>
        <v>222.9539148718556</v>
      </c>
      <c r="E312" s="17">
        <f t="shared" si="158"/>
        <v>266.63194708612997</v>
      </c>
      <c r="F312" s="17">
        <f t="shared" si="159"/>
        <v>235.97122712136911</v>
      </c>
      <c r="G312" s="17">
        <f t="shared" si="160"/>
        <v>178.73912467137623</v>
      </c>
      <c r="H312" s="17">
        <f t="shared" si="161"/>
        <v>259.21429526341905</v>
      </c>
      <c r="I312" s="17">
        <f t="shared" si="162"/>
        <v>212.42582738136159</v>
      </c>
      <c r="J312" s="17">
        <f t="shared" si="163"/>
        <v>211.48469719315676</v>
      </c>
      <c r="K312" s="17">
        <f t="shared" si="164"/>
        <v>143.6177636569499</v>
      </c>
      <c r="L312" s="17">
        <f t="shared" si="165"/>
        <v>212.88463086389368</v>
      </c>
      <c r="M312" s="17">
        <f t="shared" si="166"/>
        <v>185.39514728258794</v>
      </c>
      <c r="N312" s="17">
        <f t="shared" si="167"/>
        <v>189.29547298026793</v>
      </c>
      <c r="O312" s="17">
        <f t="shared" si="168"/>
        <v>184.88889841418904</v>
      </c>
      <c r="P312" s="17">
        <v>0</v>
      </c>
      <c r="Q312" s="17">
        <f t="shared" si="169"/>
        <v>0</v>
      </c>
      <c r="R312" s="17">
        <f t="shared" si="170"/>
        <v>0</v>
      </c>
      <c r="S312" s="17">
        <f t="shared" si="171"/>
        <v>0</v>
      </c>
      <c r="T312" s="17">
        <f t="shared" si="172"/>
        <v>0</v>
      </c>
      <c r="U312" s="17">
        <f t="shared" si="173"/>
        <v>0</v>
      </c>
      <c r="V312" s="17">
        <f t="shared" si="174"/>
        <v>0</v>
      </c>
      <c r="W312" s="17">
        <f t="shared" si="175"/>
        <v>0</v>
      </c>
      <c r="X312" s="17">
        <f t="shared" si="176"/>
        <v>0</v>
      </c>
      <c r="Y312" s="17">
        <f t="shared" si="177"/>
        <v>0</v>
      </c>
      <c r="Z312" s="17">
        <f t="shared" si="178"/>
        <v>0</v>
      </c>
      <c r="AA312" s="17">
        <f t="shared" si="179"/>
        <v>0</v>
      </c>
      <c r="AB312" s="17">
        <f t="shared" si="180"/>
        <v>0</v>
      </c>
      <c r="AC312" s="17">
        <v>0</v>
      </c>
      <c r="AD312" s="17">
        <f t="shared" si="181"/>
        <v>0</v>
      </c>
      <c r="AE312" s="17">
        <f t="shared" si="182"/>
        <v>0</v>
      </c>
      <c r="AF312" s="17">
        <f t="shared" si="183"/>
        <v>0</v>
      </c>
      <c r="AG312" s="17">
        <f t="shared" si="184"/>
        <v>0</v>
      </c>
      <c r="AH312" s="17">
        <f t="shared" si="185"/>
        <v>0</v>
      </c>
      <c r="AI312" s="17">
        <f t="shared" si="186"/>
        <v>0</v>
      </c>
      <c r="AJ312" s="17">
        <f t="shared" si="187"/>
        <v>0</v>
      </c>
      <c r="AK312" s="17">
        <f t="shared" si="188"/>
        <v>0</v>
      </c>
      <c r="AL312" s="17">
        <f t="shared" si="189"/>
        <v>0</v>
      </c>
      <c r="AM312" s="17">
        <f t="shared" si="190"/>
        <v>0</v>
      </c>
      <c r="AN312" s="17">
        <f t="shared" si="191"/>
        <v>0</v>
      </c>
      <c r="AO312" s="17">
        <f t="shared" si="192"/>
        <v>0</v>
      </c>
      <c r="AP312" s="17">
        <f t="shared" si="193"/>
        <v>2500</v>
      </c>
      <c r="AQ312" s="18">
        <v>222.9539148718556</v>
      </c>
      <c r="AR312" s="18">
        <v>266.63194708612997</v>
      </c>
      <c r="AS312" s="18">
        <v>235.97122712136911</v>
      </c>
      <c r="AT312" s="18">
        <v>178.73912467137623</v>
      </c>
      <c r="AU312" s="18">
        <v>259.21429526341905</v>
      </c>
      <c r="AV312" s="18">
        <v>212.42582738136159</v>
      </c>
      <c r="AW312" s="18">
        <v>211.48469719315676</v>
      </c>
      <c r="AX312" s="18">
        <v>143.6177636569499</v>
      </c>
      <c r="AY312" s="18">
        <v>212.88463086389368</v>
      </c>
      <c r="AZ312" s="18">
        <v>185.39514728258794</v>
      </c>
      <c r="BA312" s="18">
        <v>189.29547298026793</v>
      </c>
      <c r="BB312" s="18">
        <v>184.88889841418904</v>
      </c>
      <c r="BC312" s="23">
        <v>8.9181565948742242E-2</v>
      </c>
      <c r="BD312" s="23">
        <v>0.10665277883445198</v>
      </c>
      <c r="BE312" s="23">
        <v>9.438849084854764E-2</v>
      </c>
      <c r="BF312" s="23">
        <v>7.149564986855049E-2</v>
      </c>
      <c r="BG312" s="23">
        <v>0.10368571810536763</v>
      </c>
      <c r="BH312" s="23">
        <v>8.4970330952544637E-2</v>
      </c>
      <c r="BI312" s="23">
        <v>8.4593878877262704E-2</v>
      </c>
      <c r="BJ312" s="23">
        <v>5.7447105462779965E-2</v>
      </c>
      <c r="BK312" s="23">
        <v>8.5153852345557474E-2</v>
      </c>
      <c r="BL312" s="23">
        <v>7.4158058913035174E-2</v>
      </c>
      <c r="BM312" s="23">
        <v>7.5718189192107169E-2</v>
      </c>
      <c r="BN312" s="23">
        <v>7.3955559365675619E-2</v>
      </c>
    </row>
    <row r="313" spans="1:66" x14ac:dyDescent="0.25">
      <c r="A313" s="16">
        <v>6650</v>
      </c>
      <c r="B313" s="16" t="s">
        <v>509</v>
      </c>
      <c r="C313" s="17">
        <v>0</v>
      </c>
      <c r="D313" s="17">
        <f t="shared" si="157"/>
        <v>0</v>
      </c>
      <c r="E313" s="17">
        <f t="shared" si="158"/>
        <v>0</v>
      </c>
      <c r="F313" s="17">
        <f t="shared" si="159"/>
        <v>0</v>
      </c>
      <c r="G313" s="17">
        <f t="shared" si="160"/>
        <v>0</v>
      </c>
      <c r="H313" s="17">
        <f t="shared" si="161"/>
        <v>0</v>
      </c>
      <c r="I313" s="17">
        <f t="shared" si="162"/>
        <v>0</v>
      </c>
      <c r="J313" s="17">
        <f t="shared" si="163"/>
        <v>0</v>
      </c>
      <c r="K313" s="17">
        <f t="shared" si="164"/>
        <v>0</v>
      </c>
      <c r="L313" s="17">
        <f t="shared" si="165"/>
        <v>0</v>
      </c>
      <c r="M313" s="17">
        <f t="shared" si="166"/>
        <v>0</v>
      </c>
      <c r="N313" s="17">
        <f t="shared" si="167"/>
        <v>0</v>
      </c>
      <c r="O313" s="17">
        <f t="shared" si="168"/>
        <v>0</v>
      </c>
      <c r="P313" s="17">
        <v>0</v>
      </c>
      <c r="Q313" s="17">
        <f t="shared" si="169"/>
        <v>0</v>
      </c>
      <c r="R313" s="17">
        <f t="shared" si="170"/>
        <v>0</v>
      </c>
      <c r="S313" s="17">
        <f t="shared" si="171"/>
        <v>0</v>
      </c>
      <c r="T313" s="17">
        <f t="shared" si="172"/>
        <v>0</v>
      </c>
      <c r="U313" s="17">
        <f t="shared" si="173"/>
        <v>0</v>
      </c>
      <c r="V313" s="17">
        <f t="shared" si="174"/>
        <v>0</v>
      </c>
      <c r="W313" s="17">
        <f t="shared" si="175"/>
        <v>0</v>
      </c>
      <c r="X313" s="17">
        <f t="shared" si="176"/>
        <v>0</v>
      </c>
      <c r="Y313" s="17">
        <f t="shared" si="177"/>
        <v>0</v>
      </c>
      <c r="Z313" s="17">
        <f t="shared" si="178"/>
        <v>0</v>
      </c>
      <c r="AA313" s="17">
        <f t="shared" si="179"/>
        <v>0</v>
      </c>
      <c r="AB313" s="17">
        <f t="shared" si="180"/>
        <v>0</v>
      </c>
      <c r="AC313" s="17">
        <v>2500</v>
      </c>
      <c r="AD313" s="17">
        <f t="shared" si="181"/>
        <v>222.9539148718556</v>
      </c>
      <c r="AE313" s="17">
        <f t="shared" si="182"/>
        <v>266.63194708612997</v>
      </c>
      <c r="AF313" s="17">
        <f t="shared" si="183"/>
        <v>235.97122712136911</v>
      </c>
      <c r="AG313" s="17">
        <f t="shared" si="184"/>
        <v>178.73912467137623</v>
      </c>
      <c r="AH313" s="17">
        <f t="shared" si="185"/>
        <v>259.21429526341905</v>
      </c>
      <c r="AI313" s="17">
        <f t="shared" si="186"/>
        <v>212.42582738136159</v>
      </c>
      <c r="AJ313" s="17">
        <f t="shared" si="187"/>
        <v>211.48469719315676</v>
      </c>
      <c r="AK313" s="17">
        <f t="shared" si="188"/>
        <v>143.6177636569499</v>
      </c>
      <c r="AL313" s="17">
        <f t="shared" si="189"/>
        <v>212.88463086389368</v>
      </c>
      <c r="AM313" s="17">
        <f t="shared" si="190"/>
        <v>185.39514728258794</v>
      </c>
      <c r="AN313" s="17">
        <f t="shared" si="191"/>
        <v>189.29547298026793</v>
      </c>
      <c r="AO313" s="17">
        <f t="shared" si="192"/>
        <v>184.88889841418904</v>
      </c>
      <c r="AP313" s="17">
        <f t="shared" si="193"/>
        <v>2500</v>
      </c>
      <c r="AQ313" s="18">
        <v>222.9539148718556</v>
      </c>
      <c r="AR313" s="18">
        <v>266.63194708612997</v>
      </c>
      <c r="AS313" s="18">
        <v>235.97122712136911</v>
      </c>
      <c r="AT313" s="18">
        <v>178.73912467137623</v>
      </c>
      <c r="AU313" s="18">
        <v>259.21429526341905</v>
      </c>
      <c r="AV313" s="18">
        <v>212.42582738136159</v>
      </c>
      <c r="AW313" s="18">
        <v>211.48469719315676</v>
      </c>
      <c r="AX313" s="18">
        <v>143.6177636569499</v>
      </c>
      <c r="AY313" s="18">
        <v>212.88463086389368</v>
      </c>
      <c r="AZ313" s="18">
        <v>185.39514728258794</v>
      </c>
      <c r="BA313" s="18">
        <v>189.29547298026793</v>
      </c>
      <c r="BB313" s="18">
        <v>184.88889841418904</v>
      </c>
      <c r="BC313" s="23">
        <v>8.9181565948742242E-2</v>
      </c>
      <c r="BD313" s="23">
        <v>0.10665277883445198</v>
      </c>
      <c r="BE313" s="23">
        <v>9.438849084854764E-2</v>
      </c>
      <c r="BF313" s="23">
        <v>7.149564986855049E-2</v>
      </c>
      <c r="BG313" s="23">
        <v>0.10368571810536763</v>
      </c>
      <c r="BH313" s="23">
        <v>8.4970330952544637E-2</v>
      </c>
      <c r="BI313" s="23">
        <v>8.4593878877262704E-2</v>
      </c>
      <c r="BJ313" s="23">
        <v>5.7447105462779965E-2</v>
      </c>
      <c r="BK313" s="23">
        <v>8.5153852345557474E-2</v>
      </c>
      <c r="BL313" s="23">
        <v>7.4158058913035174E-2</v>
      </c>
      <c r="BM313" s="23">
        <v>7.5718189192107169E-2</v>
      </c>
      <c r="BN313" s="23">
        <v>7.3955559365675619E-2</v>
      </c>
    </row>
    <row r="314" spans="1:66" x14ac:dyDescent="0.25">
      <c r="A314" s="16">
        <v>6690</v>
      </c>
      <c r="B314" s="16" t="s">
        <v>510</v>
      </c>
      <c r="C314" s="17">
        <v>0</v>
      </c>
      <c r="D314" s="17">
        <f t="shared" si="157"/>
        <v>0</v>
      </c>
      <c r="E314" s="17">
        <f t="shared" si="158"/>
        <v>0</v>
      </c>
      <c r="F314" s="17">
        <f t="shared" si="159"/>
        <v>0</v>
      </c>
      <c r="G314" s="17">
        <f t="shared" si="160"/>
        <v>0</v>
      </c>
      <c r="H314" s="17">
        <f t="shared" si="161"/>
        <v>0</v>
      </c>
      <c r="I314" s="17">
        <f t="shared" si="162"/>
        <v>0</v>
      </c>
      <c r="J314" s="17">
        <f t="shared" si="163"/>
        <v>0</v>
      </c>
      <c r="K314" s="17">
        <f t="shared" si="164"/>
        <v>0</v>
      </c>
      <c r="L314" s="17">
        <f t="shared" si="165"/>
        <v>0</v>
      </c>
      <c r="M314" s="17">
        <f t="shared" si="166"/>
        <v>0</v>
      </c>
      <c r="N314" s="17">
        <f t="shared" si="167"/>
        <v>0</v>
      </c>
      <c r="O314" s="17">
        <f t="shared" si="168"/>
        <v>0</v>
      </c>
      <c r="P314" s="17">
        <v>0</v>
      </c>
      <c r="Q314" s="17">
        <f t="shared" si="169"/>
        <v>0</v>
      </c>
      <c r="R314" s="17">
        <f t="shared" si="170"/>
        <v>0</v>
      </c>
      <c r="S314" s="17">
        <f t="shared" si="171"/>
        <v>0</v>
      </c>
      <c r="T314" s="17">
        <f t="shared" si="172"/>
        <v>0</v>
      </c>
      <c r="U314" s="17">
        <f t="shared" si="173"/>
        <v>0</v>
      </c>
      <c r="V314" s="17">
        <f t="shared" si="174"/>
        <v>0</v>
      </c>
      <c r="W314" s="17">
        <f t="shared" si="175"/>
        <v>0</v>
      </c>
      <c r="X314" s="17">
        <f t="shared" si="176"/>
        <v>0</v>
      </c>
      <c r="Y314" s="17">
        <f t="shared" si="177"/>
        <v>0</v>
      </c>
      <c r="Z314" s="17">
        <f t="shared" si="178"/>
        <v>0</v>
      </c>
      <c r="AA314" s="17">
        <f t="shared" si="179"/>
        <v>0</v>
      </c>
      <c r="AB314" s="17">
        <f t="shared" si="180"/>
        <v>0</v>
      </c>
      <c r="AC314" s="17">
        <v>2500</v>
      </c>
      <c r="AD314" s="17">
        <f t="shared" si="181"/>
        <v>222.9539148718556</v>
      </c>
      <c r="AE314" s="17">
        <f t="shared" si="182"/>
        <v>266.63194708612997</v>
      </c>
      <c r="AF314" s="17">
        <f t="shared" si="183"/>
        <v>235.97122712136911</v>
      </c>
      <c r="AG314" s="17">
        <f t="shared" si="184"/>
        <v>178.73912467137623</v>
      </c>
      <c r="AH314" s="17">
        <f t="shared" si="185"/>
        <v>259.21429526341905</v>
      </c>
      <c r="AI314" s="17">
        <f t="shared" si="186"/>
        <v>212.42582738136159</v>
      </c>
      <c r="AJ314" s="17">
        <f t="shared" si="187"/>
        <v>211.48469719315676</v>
      </c>
      <c r="AK314" s="17">
        <f t="shared" si="188"/>
        <v>143.6177636569499</v>
      </c>
      <c r="AL314" s="17">
        <f t="shared" si="189"/>
        <v>212.88463086389368</v>
      </c>
      <c r="AM314" s="17">
        <f t="shared" si="190"/>
        <v>185.39514728258794</v>
      </c>
      <c r="AN314" s="17">
        <f t="shared" si="191"/>
        <v>189.29547298026793</v>
      </c>
      <c r="AO314" s="17">
        <f t="shared" si="192"/>
        <v>184.88889841418904</v>
      </c>
      <c r="AP314" s="17">
        <f t="shared" si="193"/>
        <v>2500</v>
      </c>
      <c r="AQ314" s="18">
        <v>225.1827405680466</v>
      </c>
      <c r="AR314" s="18">
        <v>269.29741333476062</v>
      </c>
      <c r="AS314" s="18">
        <v>238.33018428465601</v>
      </c>
      <c r="AT314" s="18">
        <v>180.52594395289105</v>
      </c>
      <c r="AU314" s="18">
        <v>261.80560873030845</v>
      </c>
      <c r="AV314" s="18">
        <v>214.5494058925276</v>
      </c>
      <c r="AW314" s="18">
        <v>213.59886741405734</v>
      </c>
      <c r="AX314" s="18">
        <v>145.05348171667572</v>
      </c>
      <c r="AY314" s="18">
        <v>215.01279594171388</v>
      </c>
      <c r="AZ314" s="18">
        <v>187.24850549094253</v>
      </c>
      <c r="BA314" s="18">
        <v>191.18782196455709</v>
      </c>
      <c r="BB314" s="18">
        <v>186.73719575385601</v>
      </c>
      <c r="BC314" s="23">
        <v>8.9181565948742242E-2</v>
      </c>
      <c r="BD314" s="23">
        <v>0.10665277883445198</v>
      </c>
      <c r="BE314" s="23">
        <v>9.438849084854764E-2</v>
      </c>
      <c r="BF314" s="23">
        <v>7.149564986855049E-2</v>
      </c>
      <c r="BG314" s="23">
        <v>0.10368571810536763</v>
      </c>
      <c r="BH314" s="23">
        <v>8.4970330952544637E-2</v>
      </c>
      <c r="BI314" s="23">
        <v>8.4593878877262704E-2</v>
      </c>
      <c r="BJ314" s="23">
        <v>5.7447105462779965E-2</v>
      </c>
      <c r="BK314" s="23">
        <v>8.5153852345557474E-2</v>
      </c>
      <c r="BL314" s="23">
        <v>7.4158058913035174E-2</v>
      </c>
      <c r="BM314" s="23">
        <v>7.5718189192107169E-2</v>
      </c>
      <c r="BN314" s="23">
        <v>7.3955559365675619E-2</v>
      </c>
    </row>
    <row r="315" spans="1:66" x14ac:dyDescent="0.25">
      <c r="A315" s="16">
        <v>6699</v>
      </c>
      <c r="B315" s="16" t="s">
        <v>511</v>
      </c>
      <c r="C315" s="17">
        <v>0</v>
      </c>
      <c r="D315" s="17">
        <f t="shared" si="157"/>
        <v>0</v>
      </c>
      <c r="E315" s="17">
        <f t="shared" si="158"/>
        <v>0</v>
      </c>
      <c r="F315" s="17">
        <f t="shared" si="159"/>
        <v>0</v>
      </c>
      <c r="G315" s="17">
        <f t="shared" si="160"/>
        <v>0</v>
      </c>
      <c r="H315" s="17">
        <f t="shared" si="161"/>
        <v>0</v>
      </c>
      <c r="I315" s="17">
        <f t="shared" si="162"/>
        <v>0</v>
      </c>
      <c r="J315" s="17">
        <f t="shared" si="163"/>
        <v>0</v>
      </c>
      <c r="K315" s="17">
        <f t="shared" si="164"/>
        <v>0</v>
      </c>
      <c r="L315" s="17">
        <f t="shared" si="165"/>
        <v>0</v>
      </c>
      <c r="M315" s="17">
        <f t="shared" si="166"/>
        <v>0</v>
      </c>
      <c r="N315" s="17">
        <f t="shared" si="167"/>
        <v>0</v>
      </c>
      <c r="O315" s="17">
        <f t="shared" si="168"/>
        <v>0</v>
      </c>
      <c r="P315" s="17">
        <v>0</v>
      </c>
      <c r="Q315" s="17">
        <f t="shared" si="169"/>
        <v>0</v>
      </c>
      <c r="R315" s="17">
        <f t="shared" si="170"/>
        <v>0</v>
      </c>
      <c r="S315" s="17">
        <f t="shared" si="171"/>
        <v>0</v>
      </c>
      <c r="T315" s="17">
        <f t="shared" si="172"/>
        <v>0</v>
      </c>
      <c r="U315" s="17">
        <f t="shared" si="173"/>
        <v>0</v>
      </c>
      <c r="V315" s="17">
        <f t="shared" si="174"/>
        <v>0</v>
      </c>
      <c r="W315" s="17">
        <f t="shared" si="175"/>
        <v>0</v>
      </c>
      <c r="X315" s="17">
        <f t="shared" si="176"/>
        <v>0</v>
      </c>
      <c r="Y315" s="17">
        <f t="shared" si="177"/>
        <v>0</v>
      </c>
      <c r="Z315" s="17">
        <f t="shared" si="178"/>
        <v>0</v>
      </c>
      <c r="AA315" s="17">
        <f t="shared" si="179"/>
        <v>0</v>
      </c>
      <c r="AB315" s="17">
        <f t="shared" si="180"/>
        <v>0</v>
      </c>
      <c r="AC315" s="17">
        <v>2800</v>
      </c>
      <c r="AD315" s="17">
        <f t="shared" si="181"/>
        <v>249.70838465647827</v>
      </c>
      <c r="AE315" s="17">
        <f t="shared" si="182"/>
        <v>298.62778073646558</v>
      </c>
      <c r="AF315" s="17">
        <f t="shared" si="183"/>
        <v>264.2877743759334</v>
      </c>
      <c r="AG315" s="17">
        <f t="shared" si="184"/>
        <v>200.18781963194138</v>
      </c>
      <c r="AH315" s="17">
        <f t="shared" si="185"/>
        <v>290.32001069502934</v>
      </c>
      <c r="AI315" s="17">
        <f t="shared" si="186"/>
        <v>237.91692666712498</v>
      </c>
      <c r="AJ315" s="17">
        <f t="shared" si="187"/>
        <v>236.86286085633557</v>
      </c>
      <c r="AK315" s="17">
        <f t="shared" si="188"/>
        <v>160.85189529578389</v>
      </c>
      <c r="AL315" s="17">
        <f t="shared" si="189"/>
        <v>238.43078656756092</v>
      </c>
      <c r="AM315" s="17">
        <f t="shared" si="190"/>
        <v>207.64256495649849</v>
      </c>
      <c r="AN315" s="17">
        <f t="shared" si="191"/>
        <v>212.01092973790009</v>
      </c>
      <c r="AO315" s="17">
        <f t="shared" si="192"/>
        <v>207.07556622389174</v>
      </c>
      <c r="AP315" s="17">
        <f t="shared" si="193"/>
        <v>2800</v>
      </c>
      <c r="AQ315" s="18">
        <v>222.9539148718556</v>
      </c>
      <c r="AR315" s="18">
        <v>266.63194708612997</v>
      </c>
      <c r="AS315" s="18">
        <v>235.97122712136911</v>
      </c>
      <c r="AT315" s="18">
        <v>178.73912467137623</v>
      </c>
      <c r="AU315" s="18">
        <v>259.21429526341905</v>
      </c>
      <c r="AV315" s="18">
        <v>212.42582738136159</v>
      </c>
      <c r="AW315" s="18">
        <v>211.48469719315676</v>
      </c>
      <c r="AX315" s="18">
        <v>143.6177636569499</v>
      </c>
      <c r="AY315" s="18">
        <v>212.88463086389368</v>
      </c>
      <c r="AZ315" s="18">
        <v>185.39514728258794</v>
      </c>
      <c r="BA315" s="18">
        <v>189.29547298026793</v>
      </c>
      <c r="BB315" s="18">
        <v>184.88889841418904</v>
      </c>
      <c r="BC315" s="23">
        <v>8.9181565948742242E-2</v>
      </c>
      <c r="BD315" s="23">
        <v>0.10665277883445198</v>
      </c>
      <c r="BE315" s="23">
        <v>9.438849084854764E-2</v>
      </c>
      <c r="BF315" s="23">
        <v>7.149564986855049E-2</v>
      </c>
      <c r="BG315" s="23">
        <v>0.10368571810536763</v>
      </c>
      <c r="BH315" s="23">
        <v>8.4970330952544637E-2</v>
      </c>
      <c r="BI315" s="23">
        <v>8.4593878877262704E-2</v>
      </c>
      <c r="BJ315" s="23">
        <v>5.7447105462779965E-2</v>
      </c>
      <c r="BK315" s="23">
        <v>8.5153852345557474E-2</v>
      </c>
      <c r="BL315" s="23">
        <v>7.4158058913035174E-2</v>
      </c>
      <c r="BM315" s="23">
        <v>7.5718189192107169E-2</v>
      </c>
      <c r="BN315" s="23">
        <v>7.3955559365675619E-2</v>
      </c>
    </row>
    <row r="316" spans="1:66" x14ac:dyDescent="0.25">
      <c r="A316" s="16">
        <v>12802</v>
      </c>
      <c r="B316" s="16" t="s">
        <v>512</v>
      </c>
      <c r="C316" s="17">
        <v>0</v>
      </c>
      <c r="D316" s="17">
        <f t="shared" si="157"/>
        <v>0</v>
      </c>
      <c r="E316" s="17">
        <f t="shared" si="158"/>
        <v>0</v>
      </c>
      <c r="F316" s="17">
        <f t="shared" si="159"/>
        <v>0</v>
      </c>
      <c r="G316" s="17">
        <f t="shared" si="160"/>
        <v>0</v>
      </c>
      <c r="H316" s="17">
        <f t="shared" si="161"/>
        <v>0</v>
      </c>
      <c r="I316" s="17">
        <f t="shared" si="162"/>
        <v>0</v>
      </c>
      <c r="J316" s="17">
        <f t="shared" si="163"/>
        <v>0</v>
      </c>
      <c r="K316" s="17">
        <f t="shared" si="164"/>
        <v>0</v>
      </c>
      <c r="L316" s="17">
        <f t="shared" si="165"/>
        <v>0</v>
      </c>
      <c r="M316" s="17">
        <f t="shared" si="166"/>
        <v>0</v>
      </c>
      <c r="N316" s="17">
        <f t="shared" si="167"/>
        <v>0</v>
      </c>
      <c r="O316" s="17">
        <f t="shared" si="168"/>
        <v>0</v>
      </c>
      <c r="P316" s="17">
        <v>2500</v>
      </c>
      <c r="Q316" s="17">
        <f t="shared" si="169"/>
        <v>222.9539148718556</v>
      </c>
      <c r="R316" s="17">
        <f t="shared" si="170"/>
        <v>266.63194708612997</v>
      </c>
      <c r="S316" s="17">
        <f t="shared" si="171"/>
        <v>235.97122712136911</v>
      </c>
      <c r="T316" s="17">
        <f t="shared" si="172"/>
        <v>178.73912467137623</v>
      </c>
      <c r="U316" s="17">
        <f t="shared" si="173"/>
        <v>259.21429526341905</v>
      </c>
      <c r="V316" s="17">
        <f t="shared" si="174"/>
        <v>212.42582738136159</v>
      </c>
      <c r="W316" s="17">
        <f t="shared" si="175"/>
        <v>211.48469719315676</v>
      </c>
      <c r="X316" s="17">
        <f t="shared" si="176"/>
        <v>143.6177636569499</v>
      </c>
      <c r="Y316" s="17">
        <f t="shared" si="177"/>
        <v>212.88463086389368</v>
      </c>
      <c r="Z316" s="17">
        <f t="shared" si="178"/>
        <v>185.39514728258794</v>
      </c>
      <c r="AA316" s="17">
        <f t="shared" si="179"/>
        <v>189.29547298026793</v>
      </c>
      <c r="AB316" s="17">
        <f t="shared" si="180"/>
        <v>184.88889841418904</v>
      </c>
      <c r="AC316" s="17">
        <v>0</v>
      </c>
      <c r="AD316" s="17">
        <f t="shared" si="181"/>
        <v>0</v>
      </c>
      <c r="AE316" s="17">
        <f t="shared" si="182"/>
        <v>0</v>
      </c>
      <c r="AF316" s="17">
        <f t="shared" si="183"/>
        <v>0</v>
      </c>
      <c r="AG316" s="17">
        <f t="shared" si="184"/>
        <v>0</v>
      </c>
      <c r="AH316" s="17">
        <f t="shared" si="185"/>
        <v>0</v>
      </c>
      <c r="AI316" s="17">
        <f t="shared" si="186"/>
        <v>0</v>
      </c>
      <c r="AJ316" s="17">
        <f t="shared" si="187"/>
        <v>0</v>
      </c>
      <c r="AK316" s="17">
        <f t="shared" si="188"/>
        <v>0</v>
      </c>
      <c r="AL316" s="17">
        <f t="shared" si="189"/>
        <v>0</v>
      </c>
      <c r="AM316" s="17">
        <f t="shared" si="190"/>
        <v>0</v>
      </c>
      <c r="AN316" s="17">
        <f t="shared" si="191"/>
        <v>0</v>
      </c>
      <c r="AO316" s="17">
        <f t="shared" si="192"/>
        <v>0</v>
      </c>
      <c r="AP316" s="17">
        <f t="shared" si="193"/>
        <v>2500</v>
      </c>
      <c r="AQ316" s="18">
        <v>222.9539148718556</v>
      </c>
      <c r="AR316" s="18">
        <v>266.63194708612997</v>
      </c>
      <c r="AS316" s="18">
        <v>235.97122712136911</v>
      </c>
      <c r="AT316" s="18">
        <v>178.73912467137623</v>
      </c>
      <c r="AU316" s="18">
        <v>259.21429526341905</v>
      </c>
      <c r="AV316" s="18">
        <v>212.42582738136159</v>
      </c>
      <c r="AW316" s="18">
        <v>211.48469719315676</v>
      </c>
      <c r="AX316" s="18">
        <v>143.6177636569499</v>
      </c>
      <c r="AY316" s="18">
        <v>212.88463086389368</v>
      </c>
      <c r="AZ316" s="18">
        <v>185.39514728258794</v>
      </c>
      <c r="BA316" s="18">
        <v>189.29547298026793</v>
      </c>
      <c r="BB316" s="18">
        <v>184.88889841418904</v>
      </c>
      <c r="BC316" s="23">
        <v>8.9181565948742242E-2</v>
      </c>
      <c r="BD316" s="23">
        <v>0.10665277883445198</v>
      </c>
      <c r="BE316" s="23">
        <v>9.438849084854764E-2</v>
      </c>
      <c r="BF316" s="23">
        <v>7.149564986855049E-2</v>
      </c>
      <c r="BG316" s="23">
        <v>0.10368571810536763</v>
      </c>
      <c r="BH316" s="23">
        <v>8.4970330952544637E-2</v>
      </c>
      <c r="BI316" s="23">
        <v>8.4593878877262704E-2</v>
      </c>
      <c r="BJ316" s="23">
        <v>5.7447105462779965E-2</v>
      </c>
      <c r="BK316" s="23">
        <v>8.5153852345557474E-2</v>
      </c>
      <c r="BL316" s="23">
        <v>7.4158058913035174E-2</v>
      </c>
      <c r="BM316" s="23">
        <v>7.5718189192107169E-2</v>
      </c>
      <c r="BN316" s="23">
        <v>7.3955559365675619E-2</v>
      </c>
    </row>
    <row r="317" spans="1:66" x14ac:dyDescent="0.25">
      <c r="A317" s="16">
        <v>17180</v>
      </c>
      <c r="B317" s="16" t="s">
        <v>513</v>
      </c>
      <c r="C317" s="17">
        <v>2500</v>
      </c>
      <c r="D317" s="17">
        <f t="shared" si="157"/>
        <v>222.9539148718556</v>
      </c>
      <c r="E317" s="17">
        <f t="shared" si="158"/>
        <v>266.63194708612997</v>
      </c>
      <c r="F317" s="17">
        <f t="shared" si="159"/>
        <v>235.97122712136911</v>
      </c>
      <c r="G317" s="17">
        <f t="shared" si="160"/>
        <v>178.73912467137623</v>
      </c>
      <c r="H317" s="17">
        <f t="shared" si="161"/>
        <v>259.21429526341905</v>
      </c>
      <c r="I317" s="17">
        <f t="shared" si="162"/>
        <v>212.42582738136159</v>
      </c>
      <c r="J317" s="17">
        <f t="shared" si="163"/>
        <v>211.48469719315676</v>
      </c>
      <c r="K317" s="17">
        <f t="shared" si="164"/>
        <v>143.6177636569499</v>
      </c>
      <c r="L317" s="17">
        <f t="shared" si="165"/>
        <v>212.88463086389368</v>
      </c>
      <c r="M317" s="17">
        <f t="shared" si="166"/>
        <v>185.39514728258794</v>
      </c>
      <c r="N317" s="17">
        <f t="shared" si="167"/>
        <v>189.29547298026793</v>
      </c>
      <c r="O317" s="17">
        <f t="shared" si="168"/>
        <v>184.88889841418904</v>
      </c>
      <c r="P317" s="17">
        <v>500</v>
      </c>
      <c r="Q317" s="17">
        <f t="shared" si="169"/>
        <v>44.590782974371123</v>
      </c>
      <c r="R317" s="17">
        <f t="shared" si="170"/>
        <v>53.32638941722599</v>
      </c>
      <c r="S317" s="17">
        <f t="shared" si="171"/>
        <v>47.194245424273824</v>
      </c>
      <c r="T317" s="17">
        <f t="shared" si="172"/>
        <v>35.747824934275243</v>
      </c>
      <c r="U317" s="17">
        <f t="shared" si="173"/>
        <v>51.842859052683814</v>
      </c>
      <c r="V317" s="17">
        <f t="shared" si="174"/>
        <v>42.485165476272321</v>
      </c>
      <c r="W317" s="17">
        <f t="shared" si="175"/>
        <v>42.296939438631355</v>
      </c>
      <c r="X317" s="17">
        <f t="shared" si="176"/>
        <v>28.723552731389983</v>
      </c>
      <c r="Y317" s="17">
        <f t="shared" si="177"/>
        <v>42.576926172778734</v>
      </c>
      <c r="Z317" s="17">
        <f t="shared" si="178"/>
        <v>37.079029456517588</v>
      </c>
      <c r="AA317" s="17">
        <f t="shared" si="179"/>
        <v>37.859094596053588</v>
      </c>
      <c r="AB317" s="17">
        <f t="shared" si="180"/>
        <v>36.977779682837813</v>
      </c>
      <c r="AC317" s="17">
        <v>0</v>
      </c>
      <c r="AD317" s="17">
        <f t="shared" si="181"/>
        <v>0</v>
      </c>
      <c r="AE317" s="17">
        <f t="shared" si="182"/>
        <v>0</v>
      </c>
      <c r="AF317" s="17">
        <f t="shared" si="183"/>
        <v>0</v>
      </c>
      <c r="AG317" s="17">
        <f t="shared" si="184"/>
        <v>0</v>
      </c>
      <c r="AH317" s="17">
        <f t="shared" si="185"/>
        <v>0</v>
      </c>
      <c r="AI317" s="17">
        <f t="shared" si="186"/>
        <v>0</v>
      </c>
      <c r="AJ317" s="17">
        <f t="shared" si="187"/>
        <v>0</v>
      </c>
      <c r="AK317" s="17">
        <f t="shared" si="188"/>
        <v>0</v>
      </c>
      <c r="AL317" s="17">
        <f t="shared" si="189"/>
        <v>0</v>
      </c>
      <c r="AM317" s="17">
        <f t="shared" si="190"/>
        <v>0</v>
      </c>
      <c r="AN317" s="17">
        <f t="shared" si="191"/>
        <v>0</v>
      </c>
      <c r="AO317" s="17">
        <f t="shared" si="192"/>
        <v>0</v>
      </c>
      <c r="AP317" s="17">
        <f t="shared" si="193"/>
        <v>3000</v>
      </c>
      <c r="AQ317" s="18">
        <v>222.9539148718556</v>
      </c>
      <c r="AR317" s="18">
        <v>266.63194708612997</v>
      </c>
      <c r="AS317" s="18">
        <v>235.97122712136911</v>
      </c>
      <c r="AT317" s="18">
        <v>178.73912467137623</v>
      </c>
      <c r="AU317" s="18">
        <v>259.21429526341905</v>
      </c>
      <c r="AV317" s="18">
        <v>212.42582738136159</v>
      </c>
      <c r="AW317" s="18">
        <v>211.48469719315676</v>
      </c>
      <c r="AX317" s="18">
        <v>143.6177636569499</v>
      </c>
      <c r="AY317" s="18">
        <v>212.88463086389368</v>
      </c>
      <c r="AZ317" s="18">
        <v>185.39514728258794</v>
      </c>
      <c r="BA317" s="18">
        <v>189.29547298026793</v>
      </c>
      <c r="BB317" s="18">
        <v>184.88889841418904</v>
      </c>
      <c r="BC317" s="23">
        <v>8.9181565948742242E-2</v>
      </c>
      <c r="BD317" s="23">
        <v>0.10665277883445198</v>
      </c>
      <c r="BE317" s="23">
        <v>9.438849084854764E-2</v>
      </c>
      <c r="BF317" s="23">
        <v>7.149564986855049E-2</v>
      </c>
      <c r="BG317" s="23">
        <v>0.10368571810536763</v>
      </c>
      <c r="BH317" s="23">
        <v>8.4970330952544637E-2</v>
      </c>
      <c r="BI317" s="23">
        <v>8.4593878877262704E-2</v>
      </c>
      <c r="BJ317" s="23">
        <v>5.7447105462779965E-2</v>
      </c>
      <c r="BK317" s="23">
        <v>8.5153852345557474E-2</v>
      </c>
      <c r="BL317" s="23">
        <v>7.4158058913035174E-2</v>
      </c>
      <c r="BM317" s="23">
        <v>7.5718189192107169E-2</v>
      </c>
      <c r="BN317" s="23">
        <v>7.3955559365675619E-2</v>
      </c>
    </row>
    <row r="318" spans="1:66" x14ac:dyDescent="0.25">
      <c r="A318" s="16">
        <v>22906</v>
      </c>
      <c r="B318" s="16" t="s">
        <v>514</v>
      </c>
      <c r="C318" s="17">
        <v>2000</v>
      </c>
      <c r="D318" s="17">
        <f t="shared" si="157"/>
        <v>178.36313189748449</v>
      </c>
      <c r="E318" s="17">
        <f t="shared" si="158"/>
        <v>213.30555766890396</v>
      </c>
      <c r="F318" s="17">
        <f t="shared" si="159"/>
        <v>188.77698169709529</v>
      </c>
      <c r="G318" s="17">
        <f t="shared" si="160"/>
        <v>142.99129973710097</v>
      </c>
      <c r="H318" s="17">
        <f t="shared" si="161"/>
        <v>207.37143621073525</v>
      </c>
      <c r="I318" s="17">
        <f t="shared" si="162"/>
        <v>169.94066190508929</v>
      </c>
      <c r="J318" s="17">
        <f t="shared" si="163"/>
        <v>169.18775775452542</v>
      </c>
      <c r="K318" s="17">
        <f t="shared" si="164"/>
        <v>114.89421092555993</v>
      </c>
      <c r="L318" s="17">
        <f t="shared" si="165"/>
        <v>170.30770469111494</v>
      </c>
      <c r="M318" s="17">
        <f t="shared" si="166"/>
        <v>148.31611782607035</v>
      </c>
      <c r="N318" s="17">
        <f t="shared" si="167"/>
        <v>151.43637838421435</v>
      </c>
      <c r="O318" s="17">
        <f t="shared" si="168"/>
        <v>147.91111873135125</v>
      </c>
      <c r="P318" s="17">
        <v>0</v>
      </c>
      <c r="Q318" s="17">
        <f t="shared" si="169"/>
        <v>0</v>
      </c>
      <c r="R318" s="17">
        <f t="shared" si="170"/>
        <v>0</v>
      </c>
      <c r="S318" s="17">
        <f t="shared" si="171"/>
        <v>0</v>
      </c>
      <c r="T318" s="17">
        <f t="shared" si="172"/>
        <v>0</v>
      </c>
      <c r="U318" s="17">
        <f t="shared" si="173"/>
        <v>0</v>
      </c>
      <c r="V318" s="17">
        <f t="shared" si="174"/>
        <v>0</v>
      </c>
      <c r="W318" s="17">
        <f t="shared" si="175"/>
        <v>0</v>
      </c>
      <c r="X318" s="17">
        <f t="shared" si="176"/>
        <v>0</v>
      </c>
      <c r="Y318" s="17">
        <f t="shared" si="177"/>
        <v>0</v>
      </c>
      <c r="Z318" s="17">
        <f t="shared" si="178"/>
        <v>0</v>
      </c>
      <c r="AA318" s="17">
        <f t="shared" si="179"/>
        <v>0</v>
      </c>
      <c r="AB318" s="17">
        <f t="shared" si="180"/>
        <v>0</v>
      </c>
      <c r="AC318" s="17">
        <v>1500</v>
      </c>
      <c r="AD318" s="17">
        <f t="shared" si="181"/>
        <v>133.77234892311336</v>
      </c>
      <c r="AE318" s="17">
        <f t="shared" si="182"/>
        <v>159.97916825167798</v>
      </c>
      <c r="AF318" s="17">
        <f t="shared" si="183"/>
        <v>141.58273627282145</v>
      </c>
      <c r="AG318" s="17">
        <f t="shared" si="184"/>
        <v>107.24347480282573</v>
      </c>
      <c r="AH318" s="17">
        <f t="shared" si="185"/>
        <v>155.52857715805143</v>
      </c>
      <c r="AI318" s="17">
        <f t="shared" si="186"/>
        <v>127.45549642881696</v>
      </c>
      <c r="AJ318" s="17">
        <f t="shared" si="187"/>
        <v>126.89081831589405</v>
      </c>
      <c r="AK318" s="17">
        <f t="shared" si="188"/>
        <v>86.170658194169945</v>
      </c>
      <c r="AL318" s="17">
        <f t="shared" si="189"/>
        <v>127.73077851833621</v>
      </c>
      <c r="AM318" s="17">
        <f t="shared" si="190"/>
        <v>111.23708836955277</v>
      </c>
      <c r="AN318" s="17">
        <f t="shared" si="191"/>
        <v>113.57728378816076</v>
      </c>
      <c r="AO318" s="17">
        <f t="shared" si="192"/>
        <v>110.93333904851343</v>
      </c>
      <c r="AP318" s="17">
        <f t="shared" si="193"/>
        <v>3500</v>
      </c>
      <c r="AQ318" s="18">
        <v>269.01173460608351</v>
      </c>
      <c r="AR318" s="18">
        <v>321.71277471518266</v>
      </c>
      <c r="AS318" s="18">
        <v>284.71816322010153</v>
      </c>
      <c r="AT318" s="18">
        <v>215.6630530459891</v>
      </c>
      <c r="AU318" s="18">
        <v>312.76278437893615</v>
      </c>
      <c r="AV318" s="18">
        <v>256.30875480180327</v>
      </c>
      <c r="AW318" s="18">
        <v>255.17320593931908</v>
      </c>
      <c r="AX318" s="18">
        <v>173.28632127320262</v>
      </c>
      <c r="AY318" s="18">
        <v>256.86233790775685</v>
      </c>
      <c r="AZ318" s="18">
        <v>223.69407680822493</v>
      </c>
      <c r="BA318" s="18">
        <v>228.40013178853167</v>
      </c>
      <c r="BB318" s="18">
        <v>223.0832470485922</v>
      </c>
      <c r="BC318" s="23">
        <v>8.9181565948742242E-2</v>
      </c>
      <c r="BD318" s="23">
        <v>0.10665277883445198</v>
      </c>
      <c r="BE318" s="23">
        <v>9.438849084854764E-2</v>
      </c>
      <c r="BF318" s="23">
        <v>7.149564986855049E-2</v>
      </c>
      <c r="BG318" s="23">
        <v>0.10368571810536763</v>
      </c>
      <c r="BH318" s="23">
        <v>8.4970330952544637E-2</v>
      </c>
      <c r="BI318" s="23">
        <v>8.4593878877262704E-2</v>
      </c>
      <c r="BJ318" s="23">
        <v>5.7447105462779965E-2</v>
      </c>
      <c r="BK318" s="23">
        <v>8.5153852345557474E-2</v>
      </c>
      <c r="BL318" s="23">
        <v>7.4158058913035174E-2</v>
      </c>
      <c r="BM318" s="23">
        <v>7.5718189192107169E-2</v>
      </c>
      <c r="BN318" s="23">
        <v>7.3955559365675619E-2</v>
      </c>
    </row>
    <row r="319" spans="1:66" x14ac:dyDescent="0.25">
      <c r="A319" s="16">
        <v>34057</v>
      </c>
      <c r="B319" s="16" t="s">
        <v>515</v>
      </c>
      <c r="C319" s="17">
        <v>500</v>
      </c>
      <c r="D319" s="17">
        <f t="shared" si="157"/>
        <v>44.590782974371123</v>
      </c>
      <c r="E319" s="17">
        <f t="shared" si="158"/>
        <v>53.32638941722599</v>
      </c>
      <c r="F319" s="17">
        <f t="shared" si="159"/>
        <v>47.194245424273824</v>
      </c>
      <c r="G319" s="17">
        <f t="shared" si="160"/>
        <v>35.747824934275243</v>
      </c>
      <c r="H319" s="17">
        <f t="shared" si="161"/>
        <v>51.842859052683814</v>
      </c>
      <c r="I319" s="17">
        <f t="shared" si="162"/>
        <v>42.485165476272321</v>
      </c>
      <c r="J319" s="17">
        <f t="shared" si="163"/>
        <v>42.296939438631355</v>
      </c>
      <c r="K319" s="17">
        <f t="shared" si="164"/>
        <v>28.723552731389983</v>
      </c>
      <c r="L319" s="17">
        <f t="shared" si="165"/>
        <v>42.576926172778734</v>
      </c>
      <c r="M319" s="17">
        <f t="shared" si="166"/>
        <v>37.079029456517588</v>
      </c>
      <c r="N319" s="17">
        <f t="shared" si="167"/>
        <v>37.859094596053588</v>
      </c>
      <c r="O319" s="17">
        <f t="shared" si="168"/>
        <v>36.977779682837813</v>
      </c>
      <c r="P319" s="17">
        <v>0</v>
      </c>
      <c r="Q319" s="17">
        <f t="shared" si="169"/>
        <v>0</v>
      </c>
      <c r="R319" s="17">
        <f t="shared" si="170"/>
        <v>0</v>
      </c>
      <c r="S319" s="17">
        <f t="shared" si="171"/>
        <v>0</v>
      </c>
      <c r="T319" s="17">
        <f t="shared" si="172"/>
        <v>0</v>
      </c>
      <c r="U319" s="17">
        <f t="shared" si="173"/>
        <v>0</v>
      </c>
      <c r="V319" s="17">
        <f t="shared" si="174"/>
        <v>0</v>
      </c>
      <c r="W319" s="17">
        <f t="shared" si="175"/>
        <v>0</v>
      </c>
      <c r="X319" s="17">
        <f t="shared" si="176"/>
        <v>0</v>
      </c>
      <c r="Y319" s="17">
        <f t="shared" si="177"/>
        <v>0</v>
      </c>
      <c r="Z319" s="17">
        <f t="shared" si="178"/>
        <v>0</v>
      </c>
      <c r="AA319" s="17">
        <f t="shared" si="179"/>
        <v>0</v>
      </c>
      <c r="AB319" s="17">
        <f t="shared" si="180"/>
        <v>0</v>
      </c>
      <c r="AC319" s="17">
        <v>0</v>
      </c>
      <c r="AD319" s="17">
        <f t="shared" si="181"/>
        <v>0</v>
      </c>
      <c r="AE319" s="17">
        <f t="shared" si="182"/>
        <v>0</v>
      </c>
      <c r="AF319" s="17">
        <f t="shared" si="183"/>
        <v>0</v>
      </c>
      <c r="AG319" s="17">
        <f t="shared" si="184"/>
        <v>0</v>
      </c>
      <c r="AH319" s="17">
        <f t="shared" si="185"/>
        <v>0</v>
      </c>
      <c r="AI319" s="17">
        <f t="shared" si="186"/>
        <v>0</v>
      </c>
      <c r="AJ319" s="17">
        <f t="shared" si="187"/>
        <v>0</v>
      </c>
      <c r="AK319" s="17">
        <f t="shared" si="188"/>
        <v>0</v>
      </c>
      <c r="AL319" s="17">
        <f t="shared" si="189"/>
        <v>0</v>
      </c>
      <c r="AM319" s="17">
        <f t="shared" si="190"/>
        <v>0</v>
      </c>
      <c r="AN319" s="17">
        <f t="shared" si="191"/>
        <v>0</v>
      </c>
      <c r="AO319" s="17">
        <f t="shared" si="192"/>
        <v>0</v>
      </c>
      <c r="AP319" s="17">
        <f t="shared" si="193"/>
        <v>500</v>
      </c>
      <c r="AQ319" s="18">
        <v>238.86078488230299</v>
      </c>
      <c r="AR319" s="18">
        <v>285.65506998293694</v>
      </c>
      <c r="AS319" s="18">
        <v>252.80683029157029</v>
      </c>
      <c r="AT319" s="18">
        <v>191.49144626018023</v>
      </c>
      <c r="AU319" s="18">
        <v>277.70819837328293</v>
      </c>
      <c r="AV319" s="18">
        <v>227.5815604617122</v>
      </c>
      <c r="AW319" s="18">
        <v>226.57328439909969</v>
      </c>
      <c r="AX319" s="18">
        <v>153.86431662281865</v>
      </c>
      <c r="AY319" s="18">
        <v>228.07309773750902</v>
      </c>
      <c r="AZ319" s="18">
        <v>198.62234946061145</v>
      </c>
      <c r="BA319" s="18">
        <v>202.80094779551811</v>
      </c>
      <c r="BB319" s="18">
        <v>198.07998176044777</v>
      </c>
      <c r="BC319" s="23">
        <v>8.9181565948742242E-2</v>
      </c>
      <c r="BD319" s="23">
        <v>0.10665277883445198</v>
      </c>
      <c r="BE319" s="23">
        <v>9.438849084854764E-2</v>
      </c>
      <c r="BF319" s="23">
        <v>7.149564986855049E-2</v>
      </c>
      <c r="BG319" s="23">
        <v>0.10368571810536763</v>
      </c>
      <c r="BH319" s="23">
        <v>8.4970330952544637E-2</v>
      </c>
      <c r="BI319" s="23">
        <v>8.4593878877262704E-2</v>
      </c>
      <c r="BJ319" s="23">
        <v>5.7447105462779965E-2</v>
      </c>
      <c r="BK319" s="23">
        <v>8.5153852345557474E-2</v>
      </c>
      <c r="BL319" s="23">
        <v>7.4158058913035174E-2</v>
      </c>
      <c r="BM319" s="23">
        <v>7.5718189192107169E-2</v>
      </c>
      <c r="BN319" s="23">
        <v>7.3955559365675619E-2</v>
      </c>
    </row>
    <row r="320" spans="1:66" x14ac:dyDescent="0.25">
      <c r="A320" s="16">
        <v>16046</v>
      </c>
      <c r="B320" s="16" t="s">
        <v>516</v>
      </c>
      <c r="C320" s="17">
        <v>0</v>
      </c>
      <c r="D320" s="17">
        <f t="shared" si="157"/>
        <v>0</v>
      </c>
      <c r="E320" s="17">
        <f t="shared" si="158"/>
        <v>0</v>
      </c>
      <c r="F320" s="17">
        <f t="shared" si="159"/>
        <v>0</v>
      </c>
      <c r="G320" s="17">
        <f t="shared" si="160"/>
        <v>0</v>
      </c>
      <c r="H320" s="17">
        <f t="shared" si="161"/>
        <v>0</v>
      </c>
      <c r="I320" s="17">
        <f t="shared" si="162"/>
        <v>0</v>
      </c>
      <c r="J320" s="17">
        <f t="shared" si="163"/>
        <v>0</v>
      </c>
      <c r="K320" s="17">
        <f t="shared" si="164"/>
        <v>0</v>
      </c>
      <c r="L320" s="17">
        <f t="shared" si="165"/>
        <v>0</v>
      </c>
      <c r="M320" s="17">
        <f t="shared" si="166"/>
        <v>0</v>
      </c>
      <c r="N320" s="17">
        <f t="shared" si="167"/>
        <v>0</v>
      </c>
      <c r="O320" s="17">
        <f t="shared" si="168"/>
        <v>0</v>
      </c>
      <c r="P320" s="17">
        <v>0</v>
      </c>
      <c r="Q320" s="17">
        <f t="shared" si="169"/>
        <v>0</v>
      </c>
      <c r="R320" s="17">
        <f t="shared" si="170"/>
        <v>0</v>
      </c>
      <c r="S320" s="17">
        <f t="shared" si="171"/>
        <v>0</v>
      </c>
      <c r="T320" s="17">
        <f t="shared" si="172"/>
        <v>0</v>
      </c>
      <c r="U320" s="17">
        <f t="shared" si="173"/>
        <v>0</v>
      </c>
      <c r="V320" s="17">
        <f t="shared" si="174"/>
        <v>0</v>
      </c>
      <c r="W320" s="17">
        <f t="shared" si="175"/>
        <v>0</v>
      </c>
      <c r="X320" s="17">
        <f t="shared" si="176"/>
        <v>0</v>
      </c>
      <c r="Y320" s="17">
        <f t="shared" si="177"/>
        <v>0</v>
      </c>
      <c r="Z320" s="17">
        <f t="shared" si="178"/>
        <v>0</v>
      </c>
      <c r="AA320" s="17">
        <f t="shared" si="179"/>
        <v>0</v>
      </c>
      <c r="AB320" s="17">
        <f t="shared" si="180"/>
        <v>0</v>
      </c>
      <c r="AC320" s="17">
        <v>0</v>
      </c>
      <c r="AD320" s="17">
        <f t="shared" si="181"/>
        <v>0</v>
      </c>
      <c r="AE320" s="17">
        <f t="shared" si="182"/>
        <v>0</v>
      </c>
      <c r="AF320" s="17">
        <f t="shared" si="183"/>
        <v>0</v>
      </c>
      <c r="AG320" s="17">
        <f t="shared" si="184"/>
        <v>0</v>
      </c>
      <c r="AH320" s="17">
        <f t="shared" si="185"/>
        <v>0</v>
      </c>
      <c r="AI320" s="17">
        <f t="shared" si="186"/>
        <v>0</v>
      </c>
      <c r="AJ320" s="17">
        <f t="shared" si="187"/>
        <v>0</v>
      </c>
      <c r="AK320" s="17">
        <f t="shared" si="188"/>
        <v>0</v>
      </c>
      <c r="AL320" s="17">
        <f t="shared" si="189"/>
        <v>0</v>
      </c>
      <c r="AM320" s="17">
        <f t="shared" si="190"/>
        <v>0</v>
      </c>
      <c r="AN320" s="17">
        <f t="shared" si="191"/>
        <v>0</v>
      </c>
      <c r="AO320" s="17">
        <f t="shared" si="192"/>
        <v>0</v>
      </c>
      <c r="AP320" s="17">
        <f t="shared" si="193"/>
        <v>0</v>
      </c>
      <c r="AQ320" s="18">
        <v>220.16877456727639</v>
      </c>
      <c r="AR320" s="18">
        <v>263.30118080313002</v>
      </c>
      <c r="AS320" s="18">
        <v>233.02347455216895</v>
      </c>
      <c r="AT320" s="18">
        <v>176.50631552598139</v>
      </c>
      <c r="AU320" s="18">
        <v>255.97619028698844</v>
      </c>
      <c r="AV320" s="18">
        <v>209.77220394571361</v>
      </c>
      <c r="AW320" s="18">
        <v>208.84283035581984</v>
      </c>
      <c r="AX320" s="18">
        <v>141.82369055334729</v>
      </c>
      <c r="AY320" s="18">
        <v>210.22527605514193</v>
      </c>
      <c r="AZ320" s="18">
        <v>183.07919110273386</v>
      </c>
      <c r="BA320" s="18">
        <v>186.93079393179841</v>
      </c>
      <c r="BB320" s="18">
        <v>182.57926629519901</v>
      </c>
      <c r="BC320" s="23">
        <v>8.9181565948742242E-2</v>
      </c>
      <c r="BD320" s="23">
        <v>0.10665277883445198</v>
      </c>
      <c r="BE320" s="23">
        <v>9.438849084854764E-2</v>
      </c>
      <c r="BF320" s="23">
        <v>7.149564986855049E-2</v>
      </c>
      <c r="BG320" s="23">
        <v>0.10368571810536763</v>
      </c>
      <c r="BH320" s="23">
        <v>8.4970330952544637E-2</v>
      </c>
      <c r="BI320" s="23">
        <v>8.4593878877262704E-2</v>
      </c>
      <c r="BJ320" s="23">
        <v>5.7447105462779965E-2</v>
      </c>
      <c r="BK320" s="23">
        <v>8.5153852345557474E-2</v>
      </c>
      <c r="BL320" s="23">
        <v>7.4158058913035174E-2</v>
      </c>
      <c r="BM320" s="23">
        <v>7.5718189192107169E-2</v>
      </c>
      <c r="BN320" s="23">
        <v>7.3955559365675619E-2</v>
      </c>
    </row>
    <row r="321" spans="1:66" x14ac:dyDescent="0.25">
      <c r="A321" s="16">
        <v>6546</v>
      </c>
      <c r="B321" s="16" t="s">
        <v>517</v>
      </c>
      <c r="C321" s="17">
        <v>1500</v>
      </c>
      <c r="D321" s="17">
        <f t="shared" si="157"/>
        <v>133.77234892311336</v>
      </c>
      <c r="E321" s="17">
        <f t="shared" si="158"/>
        <v>159.97916825167798</v>
      </c>
      <c r="F321" s="17">
        <f t="shared" si="159"/>
        <v>141.58273627282145</v>
      </c>
      <c r="G321" s="17">
        <f t="shared" si="160"/>
        <v>107.24347480282573</v>
      </c>
      <c r="H321" s="17">
        <f t="shared" si="161"/>
        <v>155.52857715805143</v>
      </c>
      <c r="I321" s="17">
        <f t="shared" si="162"/>
        <v>127.45549642881696</v>
      </c>
      <c r="J321" s="17">
        <f t="shared" si="163"/>
        <v>126.89081831589405</v>
      </c>
      <c r="K321" s="17">
        <f t="shared" si="164"/>
        <v>86.170658194169945</v>
      </c>
      <c r="L321" s="17">
        <f t="shared" si="165"/>
        <v>127.73077851833621</v>
      </c>
      <c r="M321" s="17">
        <f t="shared" si="166"/>
        <v>111.23708836955277</v>
      </c>
      <c r="N321" s="17">
        <f t="shared" si="167"/>
        <v>113.57728378816076</v>
      </c>
      <c r="O321" s="17">
        <f t="shared" si="168"/>
        <v>110.93333904851343</v>
      </c>
      <c r="P321" s="17">
        <v>0</v>
      </c>
      <c r="Q321" s="17">
        <f t="shared" si="169"/>
        <v>0</v>
      </c>
      <c r="R321" s="17">
        <f t="shared" si="170"/>
        <v>0</v>
      </c>
      <c r="S321" s="17">
        <f t="shared" si="171"/>
        <v>0</v>
      </c>
      <c r="T321" s="17">
        <f t="shared" si="172"/>
        <v>0</v>
      </c>
      <c r="U321" s="17">
        <f t="shared" si="173"/>
        <v>0</v>
      </c>
      <c r="V321" s="17">
        <f t="shared" si="174"/>
        <v>0</v>
      </c>
      <c r="W321" s="17">
        <f t="shared" si="175"/>
        <v>0</v>
      </c>
      <c r="X321" s="17">
        <f t="shared" si="176"/>
        <v>0</v>
      </c>
      <c r="Y321" s="17">
        <f t="shared" si="177"/>
        <v>0</v>
      </c>
      <c r="Z321" s="17">
        <f t="shared" si="178"/>
        <v>0</v>
      </c>
      <c r="AA321" s="17">
        <f t="shared" si="179"/>
        <v>0</v>
      </c>
      <c r="AB321" s="17">
        <f t="shared" si="180"/>
        <v>0</v>
      </c>
      <c r="AC321" s="17">
        <v>0</v>
      </c>
      <c r="AD321" s="17">
        <f t="shared" si="181"/>
        <v>0</v>
      </c>
      <c r="AE321" s="17">
        <f t="shared" si="182"/>
        <v>0</v>
      </c>
      <c r="AF321" s="17">
        <f t="shared" si="183"/>
        <v>0</v>
      </c>
      <c r="AG321" s="17">
        <f t="shared" si="184"/>
        <v>0</v>
      </c>
      <c r="AH321" s="17">
        <f t="shared" si="185"/>
        <v>0</v>
      </c>
      <c r="AI321" s="17">
        <f t="shared" si="186"/>
        <v>0</v>
      </c>
      <c r="AJ321" s="17">
        <f t="shared" si="187"/>
        <v>0</v>
      </c>
      <c r="AK321" s="17">
        <f t="shared" si="188"/>
        <v>0</v>
      </c>
      <c r="AL321" s="17">
        <f t="shared" si="189"/>
        <v>0</v>
      </c>
      <c r="AM321" s="17">
        <f t="shared" si="190"/>
        <v>0</v>
      </c>
      <c r="AN321" s="17">
        <f t="shared" si="191"/>
        <v>0</v>
      </c>
      <c r="AO321" s="17">
        <f t="shared" si="192"/>
        <v>0</v>
      </c>
      <c r="AP321" s="17">
        <f t="shared" si="193"/>
        <v>1500</v>
      </c>
      <c r="AQ321" s="18">
        <v>196.19944508723293</v>
      </c>
      <c r="AR321" s="18">
        <v>234.63611343579436</v>
      </c>
      <c r="AS321" s="18">
        <v>207.6546798668048</v>
      </c>
      <c r="AT321" s="18">
        <v>157.29042971081108</v>
      </c>
      <c r="AU321" s="18">
        <v>228.10857983180878</v>
      </c>
      <c r="AV321" s="18">
        <v>186.93472809559819</v>
      </c>
      <c r="AW321" s="18">
        <v>186.10653352997795</v>
      </c>
      <c r="AX321" s="18">
        <v>126.38363201811592</v>
      </c>
      <c r="AY321" s="18">
        <v>187.33847516022644</v>
      </c>
      <c r="AZ321" s="18">
        <v>163.14772960867739</v>
      </c>
      <c r="BA321" s="18">
        <v>166.58001622263578</v>
      </c>
      <c r="BB321" s="18">
        <v>162.70223060448637</v>
      </c>
      <c r="BC321" s="23">
        <v>8.9181565948742242E-2</v>
      </c>
      <c r="BD321" s="23">
        <v>0.10665277883445198</v>
      </c>
      <c r="BE321" s="23">
        <v>9.438849084854764E-2</v>
      </c>
      <c r="BF321" s="23">
        <v>7.149564986855049E-2</v>
      </c>
      <c r="BG321" s="23">
        <v>0.10368571810536763</v>
      </c>
      <c r="BH321" s="23">
        <v>8.4970330952544637E-2</v>
      </c>
      <c r="BI321" s="23">
        <v>8.4593878877262704E-2</v>
      </c>
      <c r="BJ321" s="23">
        <v>5.7447105462779965E-2</v>
      </c>
      <c r="BK321" s="23">
        <v>8.5153852345557474E-2</v>
      </c>
      <c r="BL321" s="23">
        <v>7.4158058913035174E-2</v>
      </c>
      <c r="BM321" s="23">
        <v>7.5718189192107169E-2</v>
      </c>
      <c r="BN321" s="23">
        <v>7.3955559365675619E-2</v>
      </c>
    </row>
    <row r="322" spans="1:66" x14ac:dyDescent="0.25">
      <c r="A322" s="16">
        <v>3603</v>
      </c>
      <c r="B322" s="16" t="s">
        <v>518</v>
      </c>
      <c r="C322" s="17">
        <v>500</v>
      </c>
      <c r="D322" s="17">
        <f t="shared" si="157"/>
        <v>44.590782974371123</v>
      </c>
      <c r="E322" s="17">
        <f t="shared" si="158"/>
        <v>53.32638941722599</v>
      </c>
      <c r="F322" s="17">
        <f t="shared" si="159"/>
        <v>47.194245424273824</v>
      </c>
      <c r="G322" s="17">
        <f t="shared" si="160"/>
        <v>35.747824934275243</v>
      </c>
      <c r="H322" s="17">
        <f t="shared" si="161"/>
        <v>51.842859052683814</v>
      </c>
      <c r="I322" s="17">
        <f t="shared" si="162"/>
        <v>42.485165476272321</v>
      </c>
      <c r="J322" s="17">
        <f t="shared" si="163"/>
        <v>42.296939438631355</v>
      </c>
      <c r="K322" s="17">
        <f t="shared" si="164"/>
        <v>28.723552731389983</v>
      </c>
      <c r="L322" s="17">
        <f t="shared" si="165"/>
        <v>42.576926172778734</v>
      </c>
      <c r="M322" s="17">
        <f t="shared" si="166"/>
        <v>37.079029456517588</v>
      </c>
      <c r="N322" s="17">
        <f t="shared" si="167"/>
        <v>37.859094596053588</v>
      </c>
      <c r="O322" s="17">
        <f t="shared" si="168"/>
        <v>36.977779682837813</v>
      </c>
      <c r="P322" s="17">
        <v>0</v>
      </c>
      <c r="Q322" s="17">
        <f t="shared" si="169"/>
        <v>0</v>
      </c>
      <c r="R322" s="17">
        <f t="shared" si="170"/>
        <v>0</v>
      </c>
      <c r="S322" s="17">
        <f t="shared" si="171"/>
        <v>0</v>
      </c>
      <c r="T322" s="17">
        <f t="shared" si="172"/>
        <v>0</v>
      </c>
      <c r="U322" s="17">
        <f t="shared" si="173"/>
        <v>0</v>
      </c>
      <c r="V322" s="17">
        <f t="shared" si="174"/>
        <v>0</v>
      </c>
      <c r="W322" s="17">
        <f t="shared" si="175"/>
        <v>0</v>
      </c>
      <c r="X322" s="17">
        <f t="shared" si="176"/>
        <v>0</v>
      </c>
      <c r="Y322" s="17">
        <f t="shared" si="177"/>
        <v>0</v>
      </c>
      <c r="Z322" s="17">
        <f t="shared" si="178"/>
        <v>0</v>
      </c>
      <c r="AA322" s="17">
        <f t="shared" si="179"/>
        <v>0</v>
      </c>
      <c r="AB322" s="17">
        <f t="shared" si="180"/>
        <v>0</v>
      </c>
      <c r="AC322" s="17">
        <v>0</v>
      </c>
      <c r="AD322" s="17">
        <f t="shared" si="181"/>
        <v>0</v>
      </c>
      <c r="AE322" s="17">
        <f t="shared" si="182"/>
        <v>0</v>
      </c>
      <c r="AF322" s="17">
        <f t="shared" si="183"/>
        <v>0</v>
      </c>
      <c r="AG322" s="17">
        <f t="shared" si="184"/>
        <v>0</v>
      </c>
      <c r="AH322" s="17">
        <f t="shared" si="185"/>
        <v>0</v>
      </c>
      <c r="AI322" s="17">
        <f t="shared" si="186"/>
        <v>0</v>
      </c>
      <c r="AJ322" s="17">
        <f t="shared" si="187"/>
        <v>0</v>
      </c>
      <c r="AK322" s="17">
        <f t="shared" si="188"/>
        <v>0</v>
      </c>
      <c r="AL322" s="17">
        <f t="shared" si="189"/>
        <v>0</v>
      </c>
      <c r="AM322" s="17">
        <f t="shared" si="190"/>
        <v>0</v>
      </c>
      <c r="AN322" s="17">
        <f t="shared" si="191"/>
        <v>0</v>
      </c>
      <c r="AO322" s="17">
        <f t="shared" si="192"/>
        <v>0</v>
      </c>
      <c r="AP322" s="17">
        <f t="shared" si="193"/>
        <v>500</v>
      </c>
      <c r="AQ322" s="18">
        <v>192.27269155694387</v>
      </c>
      <c r="AR322" s="18">
        <v>229.9400849309346</v>
      </c>
      <c r="AS322" s="18">
        <v>203.49866022625241</v>
      </c>
      <c r="AT322" s="18">
        <v>154.14240475144894</v>
      </c>
      <c r="AU322" s="18">
        <v>223.54319397791136</v>
      </c>
      <c r="AV322" s="18">
        <v>183.19339945342671</v>
      </c>
      <c r="AW322" s="18">
        <v>182.3817804491332</v>
      </c>
      <c r="AX322" s="18">
        <v>123.85417851748426</v>
      </c>
      <c r="AY322" s="18">
        <v>183.58906588759922</v>
      </c>
      <c r="AZ322" s="18">
        <v>159.88247611667754</v>
      </c>
      <c r="BA322" s="18">
        <v>163.24606863431811</v>
      </c>
      <c r="BB322" s="18">
        <v>159.4458933700563</v>
      </c>
      <c r="BC322" s="23">
        <v>8.9181565948742242E-2</v>
      </c>
      <c r="BD322" s="23">
        <v>0.10665277883445198</v>
      </c>
      <c r="BE322" s="23">
        <v>9.438849084854764E-2</v>
      </c>
      <c r="BF322" s="23">
        <v>7.149564986855049E-2</v>
      </c>
      <c r="BG322" s="23">
        <v>0.10368571810536763</v>
      </c>
      <c r="BH322" s="23">
        <v>8.4970330952544637E-2</v>
      </c>
      <c r="BI322" s="23">
        <v>8.4593878877262704E-2</v>
      </c>
      <c r="BJ322" s="23">
        <v>5.7447105462779965E-2</v>
      </c>
      <c r="BK322" s="23">
        <v>8.5153852345557474E-2</v>
      </c>
      <c r="BL322" s="23">
        <v>7.4158058913035174E-2</v>
      </c>
      <c r="BM322" s="23">
        <v>7.5718189192107169E-2</v>
      </c>
      <c r="BN322" s="23">
        <v>7.3955559365675619E-2</v>
      </c>
    </row>
    <row r="323" spans="1:66" x14ac:dyDescent="0.25">
      <c r="A323" s="16">
        <v>3498</v>
      </c>
      <c r="B323" s="16" t="s">
        <v>519</v>
      </c>
      <c r="C323" s="17">
        <v>100</v>
      </c>
      <c r="D323" s="17">
        <f t="shared" si="157"/>
        <v>8.9181565948742243</v>
      </c>
      <c r="E323" s="17">
        <f t="shared" si="158"/>
        <v>10.665277883445198</v>
      </c>
      <c r="F323" s="17">
        <f t="shared" si="159"/>
        <v>9.4388490848547644</v>
      </c>
      <c r="G323" s="17">
        <f t="shared" si="160"/>
        <v>7.149564986855049</v>
      </c>
      <c r="H323" s="17">
        <f t="shared" si="161"/>
        <v>10.368571810536762</v>
      </c>
      <c r="I323" s="17">
        <f t="shared" si="162"/>
        <v>8.4970330952544639</v>
      </c>
      <c r="J323" s="17">
        <f t="shared" si="163"/>
        <v>8.4593878877262707</v>
      </c>
      <c r="K323" s="17">
        <f t="shared" si="164"/>
        <v>5.7447105462779966</v>
      </c>
      <c r="L323" s="17">
        <f t="shared" si="165"/>
        <v>8.5153852345557475</v>
      </c>
      <c r="M323" s="17">
        <f t="shared" si="166"/>
        <v>7.415805891303517</v>
      </c>
      <c r="N323" s="17">
        <f t="shared" si="167"/>
        <v>7.5718189192107168</v>
      </c>
      <c r="O323" s="17">
        <f t="shared" si="168"/>
        <v>7.395555936567562</v>
      </c>
      <c r="P323" s="17">
        <v>3000</v>
      </c>
      <c r="Q323" s="17">
        <f t="shared" si="169"/>
        <v>267.54469784622671</v>
      </c>
      <c r="R323" s="17">
        <f t="shared" si="170"/>
        <v>319.95833650335595</v>
      </c>
      <c r="S323" s="17">
        <f t="shared" si="171"/>
        <v>283.1654725456429</v>
      </c>
      <c r="T323" s="17">
        <f t="shared" si="172"/>
        <v>214.48694960565146</v>
      </c>
      <c r="U323" s="17">
        <f t="shared" si="173"/>
        <v>311.05715431610287</v>
      </c>
      <c r="V323" s="17">
        <f t="shared" si="174"/>
        <v>254.91099285763391</v>
      </c>
      <c r="W323" s="17">
        <f t="shared" si="175"/>
        <v>253.7816366317881</v>
      </c>
      <c r="X323" s="17">
        <f t="shared" si="176"/>
        <v>172.34131638833989</v>
      </c>
      <c r="Y323" s="17">
        <f t="shared" si="177"/>
        <v>255.46155703667242</v>
      </c>
      <c r="Z323" s="17">
        <f t="shared" si="178"/>
        <v>222.47417673910553</v>
      </c>
      <c r="AA323" s="17">
        <f t="shared" si="179"/>
        <v>227.15456757632151</v>
      </c>
      <c r="AB323" s="17">
        <f t="shared" si="180"/>
        <v>221.86667809702686</v>
      </c>
      <c r="AC323" s="17">
        <v>0</v>
      </c>
      <c r="AD323" s="17">
        <f t="shared" si="181"/>
        <v>0</v>
      </c>
      <c r="AE323" s="17">
        <f t="shared" si="182"/>
        <v>0</v>
      </c>
      <c r="AF323" s="17">
        <f t="shared" si="183"/>
        <v>0</v>
      </c>
      <c r="AG323" s="17">
        <f t="shared" si="184"/>
        <v>0</v>
      </c>
      <c r="AH323" s="17">
        <f t="shared" si="185"/>
        <v>0</v>
      </c>
      <c r="AI323" s="17">
        <f t="shared" si="186"/>
        <v>0</v>
      </c>
      <c r="AJ323" s="17">
        <f t="shared" si="187"/>
        <v>0</v>
      </c>
      <c r="AK323" s="17">
        <f t="shared" si="188"/>
        <v>0</v>
      </c>
      <c r="AL323" s="17">
        <f t="shared" si="189"/>
        <v>0</v>
      </c>
      <c r="AM323" s="17">
        <f t="shared" si="190"/>
        <v>0</v>
      </c>
      <c r="AN323" s="17">
        <f t="shared" si="191"/>
        <v>0</v>
      </c>
      <c r="AO323" s="17">
        <f t="shared" si="192"/>
        <v>0</v>
      </c>
      <c r="AP323" s="17">
        <f t="shared" si="193"/>
        <v>3100</v>
      </c>
      <c r="AQ323" s="18">
        <v>200.89663816575319</v>
      </c>
      <c r="AR323" s="18">
        <v>240.25351529700495</v>
      </c>
      <c r="AS323" s="18">
        <v>212.62612167979782</v>
      </c>
      <c r="AT323" s="18">
        <v>161.05610558938764</v>
      </c>
      <c r="AU323" s="18">
        <v>233.56970660441851</v>
      </c>
      <c r="AV323" s="18">
        <v>191.41011542686874</v>
      </c>
      <c r="AW323" s="18">
        <v>190.56209313044337</v>
      </c>
      <c r="AX323" s="18">
        <v>129.40937106284053</v>
      </c>
      <c r="AY323" s="18">
        <v>191.82352856326696</v>
      </c>
      <c r="AZ323" s="18">
        <v>167.05363457162696</v>
      </c>
      <c r="BA323" s="18">
        <v>170.56809324738407</v>
      </c>
      <c r="BB323" s="18">
        <v>166.59746991627651</v>
      </c>
      <c r="BC323" s="23">
        <v>8.9181565948742242E-2</v>
      </c>
      <c r="BD323" s="23">
        <v>0.10665277883445198</v>
      </c>
      <c r="BE323" s="23">
        <v>9.438849084854764E-2</v>
      </c>
      <c r="BF323" s="23">
        <v>7.149564986855049E-2</v>
      </c>
      <c r="BG323" s="23">
        <v>0.10368571810536763</v>
      </c>
      <c r="BH323" s="23">
        <v>8.4970330952544637E-2</v>
      </c>
      <c r="BI323" s="23">
        <v>8.4593878877262704E-2</v>
      </c>
      <c r="BJ323" s="23">
        <v>5.7447105462779965E-2</v>
      </c>
      <c r="BK323" s="23">
        <v>8.5153852345557474E-2</v>
      </c>
      <c r="BL323" s="23">
        <v>7.4158058913035174E-2</v>
      </c>
      <c r="BM323" s="23">
        <v>7.5718189192107169E-2</v>
      </c>
      <c r="BN323" s="23">
        <v>7.3955559365675619E-2</v>
      </c>
    </row>
    <row r="324" spans="1:66" x14ac:dyDescent="0.25">
      <c r="A324" s="16">
        <v>2175</v>
      </c>
      <c r="B324" s="16" t="s">
        <v>520</v>
      </c>
      <c r="C324" s="17">
        <v>0</v>
      </c>
      <c r="D324" s="17">
        <f t="shared" ref="D324:D387" si="194">+$C324*BC324</f>
        <v>0</v>
      </c>
      <c r="E324" s="17">
        <f t="shared" ref="E324:E387" si="195">+$C324*BD324</f>
        <v>0</v>
      </c>
      <c r="F324" s="17">
        <f t="shared" ref="F324:F387" si="196">+$C324*BE324</f>
        <v>0</v>
      </c>
      <c r="G324" s="17">
        <f t="shared" ref="G324:G387" si="197">+$C324*BF324</f>
        <v>0</v>
      </c>
      <c r="H324" s="17">
        <f t="shared" ref="H324:H387" si="198">+$C324*BG324</f>
        <v>0</v>
      </c>
      <c r="I324" s="17">
        <f t="shared" ref="I324:I387" si="199">+$C324*BH324</f>
        <v>0</v>
      </c>
      <c r="J324" s="17">
        <f t="shared" ref="J324:J387" si="200">+$C324*BI324</f>
        <v>0</v>
      </c>
      <c r="K324" s="17">
        <f t="shared" ref="K324:K387" si="201">+$C324*BJ324</f>
        <v>0</v>
      </c>
      <c r="L324" s="17">
        <f t="shared" ref="L324:L387" si="202">+$C324*BK324</f>
        <v>0</v>
      </c>
      <c r="M324" s="17">
        <f t="shared" ref="M324:M387" si="203">+$C324*BL324</f>
        <v>0</v>
      </c>
      <c r="N324" s="17">
        <f t="shared" ref="N324:N387" si="204">+$C324*BM324</f>
        <v>0</v>
      </c>
      <c r="O324" s="17">
        <f t="shared" ref="O324:O387" si="205">+$C324*BN324</f>
        <v>0</v>
      </c>
      <c r="P324" s="17">
        <v>0</v>
      </c>
      <c r="Q324" s="17">
        <f t="shared" ref="Q324:Q387" si="206">+$P324*BC324</f>
        <v>0</v>
      </c>
      <c r="R324" s="17">
        <f t="shared" ref="R324:R387" si="207">+$P324*BD324</f>
        <v>0</v>
      </c>
      <c r="S324" s="17">
        <f t="shared" ref="S324:S387" si="208">+$P324*BE324</f>
        <v>0</v>
      </c>
      <c r="T324" s="17">
        <f t="shared" ref="T324:T387" si="209">+$P324*BF324</f>
        <v>0</v>
      </c>
      <c r="U324" s="17">
        <f t="shared" ref="U324:U387" si="210">+$P324*BG324</f>
        <v>0</v>
      </c>
      <c r="V324" s="17">
        <f t="shared" ref="V324:V387" si="211">+$P324*BH324</f>
        <v>0</v>
      </c>
      <c r="W324" s="17">
        <f t="shared" ref="W324:W387" si="212">+$P324*BI324</f>
        <v>0</v>
      </c>
      <c r="X324" s="17">
        <f t="shared" ref="X324:X387" si="213">+$P324*BJ324</f>
        <v>0</v>
      </c>
      <c r="Y324" s="17">
        <f t="shared" ref="Y324:Y387" si="214">+$P324*BK324</f>
        <v>0</v>
      </c>
      <c r="Z324" s="17">
        <f t="shared" ref="Z324:Z387" si="215">+$P324*BL324</f>
        <v>0</v>
      </c>
      <c r="AA324" s="17">
        <f t="shared" ref="AA324:AA387" si="216">+$P324*BM324</f>
        <v>0</v>
      </c>
      <c r="AB324" s="17">
        <f t="shared" ref="AB324:AB387" si="217">+$P324*BN324</f>
        <v>0</v>
      </c>
      <c r="AC324" s="17">
        <v>0</v>
      </c>
      <c r="AD324" s="17">
        <f t="shared" ref="AD324:AD387" si="218">+$AC324*BC324</f>
        <v>0</v>
      </c>
      <c r="AE324" s="17">
        <f t="shared" ref="AE324:AE387" si="219">+$AC324*BD324</f>
        <v>0</v>
      </c>
      <c r="AF324" s="17">
        <f t="shared" ref="AF324:AF387" si="220">+$AC324*BE324</f>
        <v>0</v>
      </c>
      <c r="AG324" s="17">
        <f t="shared" ref="AG324:AG387" si="221">+$AC324*BF324</f>
        <v>0</v>
      </c>
      <c r="AH324" s="17">
        <f t="shared" ref="AH324:AH387" si="222">+$AC324*BG324</f>
        <v>0</v>
      </c>
      <c r="AI324" s="17">
        <f t="shared" ref="AI324:AI387" si="223">+$AC324*BH324</f>
        <v>0</v>
      </c>
      <c r="AJ324" s="17">
        <f t="shared" ref="AJ324:AJ387" si="224">+$AC324*BI324</f>
        <v>0</v>
      </c>
      <c r="AK324" s="17">
        <f t="shared" ref="AK324:AK387" si="225">+$AC324*BJ324</f>
        <v>0</v>
      </c>
      <c r="AL324" s="17">
        <f t="shared" ref="AL324:AL387" si="226">+$AC324*BK324</f>
        <v>0</v>
      </c>
      <c r="AM324" s="17">
        <f t="shared" ref="AM324:AM387" si="227">+$AC324*BL324</f>
        <v>0</v>
      </c>
      <c r="AN324" s="17">
        <f t="shared" ref="AN324:AN387" si="228">+$AC324*BM324</f>
        <v>0</v>
      </c>
      <c r="AO324" s="17">
        <f t="shared" ref="AO324:AO387" si="229">+$AC324*BN324</f>
        <v>0</v>
      </c>
      <c r="AP324" s="17">
        <f t="shared" ref="AP324:AP387" si="230">+AC324+P324+C324</f>
        <v>0</v>
      </c>
      <c r="AQ324" s="18">
        <v>203.65413218488831</v>
      </c>
      <c r="AR324" s="18">
        <v>243.55121921856622</v>
      </c>
      <c r="AS324" s="18">
        <v>215.54461381683493</v>
      </c>
      <c r="AT324" s="18">
        <v>163.26675108332321</v>
      </c>
      <c r="AU324" s="18">
        <v>236.77566900823646</v>
      </c>
      <c r="AV324" s="18">
        <v>194.03739805992143</v>
      </c>
      <c r="AW324" s="18">
        <v>193.17773586532834</v>
      </c>
      <c r="AX324" s="18">
        <v>131.18563556374971</v>
      </c>
      <c r="AY324" s="18">
        <v>194.45648567779159</v>
      </c>
      <c r="AZ324" s="18">
        <v>169.34660175321801</v>
      </c>
      <c r="BA324" s="18">
        <v>172.90929965720403</v>
      </c>
      <c r="BB324" s="18">
        <v>168.8841758118632</v>
      </c>
      <c r="BC324" s="23">
        <v>8.9181565948742242E-2</v>
      </c>
      <c r="BD324" s="23">
        <v>0.10665277883445198</v>
      </c>
      <c r="BE324" s="23">
        <v>9.438849084854764E-2</v>
      </c>
      <c r="BF324" s="23">
        <v>7.149564986855049E-2</v>
      </c>
      <c r="BG324" s="23">
        <v>0.10368571810536763</v>
      </c>
      <c r="BH324" s="23">
        <v>8.4970330952544637E-2</v>
      </c>
      <c r="BI324" s="23">
        <v>8.4593878877262704E-2</v>
      </c>
      <c r="BJ324" s="23">
        <v>5.7447105462779965E-2</v>
      </c>
      <c r="BK324" s="23">
        <v>8.5153852345557474E-2</v>
      </c>
      <c r="BL324" s="23">
        <v>7.4158058913035174E-2</v>
      </c>
      <c r="BM324" s="23">
        <v>7.5718189192107169E-2</v>
      </c>
      <c r="BN324" s="23">
        <v>7.3955559365675619E-2</v>
      </c>
    </row>
    <row r="325" spans="1:66" x14ac:dyDescent="0.25">
      <c r="A325" s="16">
        <v>2286</v>
      </c>
      <c r="B325" s="16" t="s">
        <v>521</v>
      </c>
      <c r="C325" s="17">
        <v>2000</v>
      </c>
      <c r="D325" s="17">
        <f t="shared" si="194"/>
        <v>178.36313189748449</v>
      </c>
      <c r="E325" s="17">
        <f t="shared" si="195"/>
        <v>213.30555766890396</v>
      </c>
      <c r="F325" s="17">
        <f t="shared" si="196"/>
        <v>188.77698169709529</v>
      </c>
      <c r="G325" s="17">
        <f t="shared" si="197"/>
        <v>142.99129973710097</v>
      </c>
      <c r="H325" s="17">
        <f t="shared" si="198"/>
        <v>207.37143621073525</v>
      </c>
      <c r="I325" s="17">
        <f t="shared" si="199"/>
        <v>169.94066190508929</v>
      </c>
      <c r="J325" s="17">
        <f t="shared" si="200"/>
        <v>169.18775775452542</v>
      </c>
      <c r="K325" s="17">
        <f t="shared" si="201"/>
        <v>114.89421092555993</v>
      </c>
      <c r="L325" s="17">
        <f t="shared" si="202"/>
        <v>170.30770469111494</v>
      </c>
      <c r="M325" s="17">
        <f t="shared" si="203"/>
        <v>148.31611782607035</v>
      </c>
      <c r="N325" s="17">
        <f t="shared" si="204"/>
        <v>151.43637838421435</v>
      </c>
      <c r="O325" s="17">
        <f t="shared" si="205"/>
        <v>147.91111873135125</v>
      </c>
      <c r="P325" s="17">
        <v>0</v>
      </c>
      <c r="Q325" s="17">
        <f t="shared" si="206"/>
        <v>0</v>
      </c>
      <c r="R325" s="17">
        <f t="shared" si="207"/>
        <v>0</v>
      </c>
      <c r="S325" s="17">
        <f t="shared" si="208"/>
        <v>0</v>
      </c>
      <c r="T325" s="17">
        <f t="shared" si="209"/>
        <v>0</v>
      </c>
      <c r="U325" s="17">
        <f t="shared" si="210"/>
        <v>0</v>
      </c>
      <c r="V325" s="17">
        <f t="shared" si="211"/>
        <v>0</v>
      </c>
      <c r="W325" s="17">
        <f t="shared" si="212"/>
        <v>0</v>
      </c>
      <c r="X325" s="17">
        <f t="shared" si="213"/>
        <v>0</v>
      </c>
      <c r="Y325" s="17">
        <f t="shared" si="214"/>
        <v>0</v>
      </c>
      <c r="Z325" s="17">
        <f t="shared" si="215"/>
        <v>0</v>
      </c>
      <c r="AA325" s="17">
        <f t="shared" si="216"/>
        <v>0</v>
      </c>
      <c r="AB325" s="17">
        <f t="shared" si="217"/>
        <v>0</v>
      </c>
      <c r="AC325" s="17">
        <v>0</v>
      </c>
      <c r="AD325" s="17">
        <f t="shared" si="218"/>
        <v>0</v>
      </c>
      <c r="AE325" s="17">
        <f t="shared" si="219"/>
        <v>0</v>
      </c>
      <c r="AF325" s="17">
        <f t="shared" si="220"/>
        <v>0</v>
      </c>
      <c r="AG325" s="17">
        <f t="shared" si="221"/>
        <v>0</v>
      </c>
      <c r="AH325" s="17">
        <f t="shared" si="222"/>
        <v>0</v>
      </c>
      <c r="AI325" s="17">
        <f t="shared" si="223"/>
        <v>0</v>
      </c>
      <c r="AJ325" s="17">
        <f t="shared" si="224"/>
        <v>0</v>
      </c>
      <c r="AK325" s="17">
        <f t="shared" si="225"/>
        <v>0</v>
      </c>
      <c r="AL325" s="17">
        <f t="shared" si="226"/>
        <v>0</v>
      </c>
      <c r="AM325" s="17">
        <f t="shared" si="227"/>
        <v>0</v>
      </c>
      <c r="AN325" s="17">
        <f t="shared" si="228"/>
        <v>0</v>
      </c>
      <c r="AO325" s="17">
        <f t="shared" si="229"/>
        <v>0</v>
      </c>
      <c r="AP325" s="17">
        <f t="shared" si="230"/>
        <v>2000</v>
      </c>
      <c r="AQ325" s="18">
        <v>178.36313189748449</v>
      </c>
      <c r="AR325" s="18">
        <v>213.30555766890396</v>
      </c>
      <c r="AS325" s="18">
        <v>188.77698169709529</v>
      </c>
      <c r="AT325" s="18">
        <v>142.99129973710097</v>
      </c>
      <c r="AU325" s="18">
        <v>207.37143621073525</v>
      </c>
      <c r="AV325" s="18">
        <v>169.94066190508929</v>
      </c>
      <c r="AW325" s="18">
        <v>169.18775775452542</v>
      </c>
      <c r="AX325" s="18">
        <v>114.89421092555993</v>
      </c>
      <c r="AY325" s="18">
        <v>170.30770469111494</v>
      </c>
      <c r="AZ325" s="18">
        <v>148.31611782607035</v>
      </c>
      <c r="BA325" s="18">
        <v>151.43637838421435</v>
      </c>
      <c r="BB325" s="18">
        <v>147.91111873135125</v>
      </c>
      <c r="BC325" s="23">
        <v>8.9181565948742242E-2</v>
      </c>
      <c r="BD325" s="23">
        <v>0.10665277883445198</v>
      </c>
      <c r="BE325" s="23">
        <v>9.438849084854764E-2</v>
      </c>
      <c r="BF325" s="23">
        <v>7.149564986855049E-2</v>
      </c>
      <c r="BG325" s="23">
        <v>0.10368571810536763</v>
      </c>
      <c r="BH325" s="23">
        <v>8.4970330952544637E-2</v>
      </c>
      <c r="BI325" s="23">
        <v>8.4593878877262704E-2</v>
      </c>
      <c r="BJ325" s="23">
        <v>5.7447105462779965E-2</v>
      </c>
      <c r="BK325" s="23">
        <v>8.5153852345557474E-2</v>
      </c>
      <c r="BL325" s="23">
        <v>7.4158058913035174E-2</v>
      </c>
      <c r="BM325" s="23">
        <v>7.5718189192107169E-2</v>
      </c>
      <c r="BN325" s="23">
        <v>7.3955559365675619E-2</v>
      </c>
    </row>
    <row r="326" spans="1:66" x14ac:dyDescent="0.25">
      <c r="A326" s="16">
        <v>2357</v>
      </c>
      <c r="B326" s="16" t="s">
        <v>522</v>
      </c>
      <c r="C326" s="17">
        <v>0</v>
      </c>
      <c r="D326" s="17">
        <f t="shared" si="194"/>
        <v>0</v>
      </c>
      <c r="E326" s="17">
        <f t="shared" si="195"/>
        <v>0</v>
      </c>
      <c r="F326" s="17">
        <f t="shared" si="196"/>
        <v>0</v>
      </c>
      <c r="G326" s="17">
        <f t="shared" si="197"/>
        <v>0</v>
      </c>
      <c r="H326" s="17">
        <f t="shared" si="198"/>
        <v>0</v>
      </c>
      <c r="I326" s="17">
        <f t="shared" si="199"/>
        <v>0</v>
      </c>
      <c r="J326" s="17">
        <f t="shared" si="200"/>
        <v>0</v>
      </c>
      <c r="K326" s="17">
        <f t="shared" si="201"/>
        <v>0</v>
      </c>
      <c r="L326" s="17">
        <f t="shared" si="202"/>
        <v>0</v>
      </c>
      <c r="M326" s="17">
        <f t="shared" si="203"/>
        <v>0</v>
      </c>
      <c r="N326" s="17">
        <f t="shared" si="204"/>
        <v>0</v>
      </c>
      <c r="O326" s="17">
        <f t="shared" si="205"/>
        <v>0</v>
      </c>
      <c r="P326" s="17">
        <v>0</v>
      </c>
      <c r="Q326" s="17">
        <f t="shared" si="206"/>
        <v>0</v>
      </c>
      <c r="R326" s="17">
        <f t="shared" si="207"/>
        <v>0</v>
      </c>
      <c r="S326" s="17">
        <f t="shared" si="208"/>
        <v>0</v>
      </c>
      <c r="T326" s="17">
        <f t="shared" si="209"/>
        <v>0</v>
      </c>
      <c r="U326" s="17">
        <f t="shared" si="210"/>
        <v>0</v>
      </c>
      <c r="V326" s="17">
        <f t="shared" si="211"/>
        <v>0</v>
      </c>
      <c r="W326" s="17">
        <f t="shared" si="212"/>
        <v>0</v>
      </c>
      <c r="X326" s="17">
        <f t="shared" si="213"/>
        <v>0</v>
      </c>
      <c r="Y326" s="17">
        <f t="shared" si="214"/>
        <v>0</v>
      </c>
      <c r="Z326" s="17">
        <f t="shared" si="215"/>
        <v>0</v>
      </c>
      <c r="AA326" s="17">
        <f t="shared" si="216"/>
        <v>0</v>
      </c>
      <c r="AB326" s="17">
        <f t="shared" si="217"/>
        <v>0</v>
      </c>
      <c r="AC326" s="17">
        <v>0</v>
      </c>
      <c r="AD326" s="17">
        <f t="shared" si="218"/>
        <v>0</v>
      </c>
      <c r="AE326" s="17">
        <f t="shared" si="219"/>
        <v>0</v>
      </c>
      <c r="AF326" s="17">
        <f t="shared" si="220"/>
        <v>0</v>
      </c>
      <c r="AG326" s="17">
        <f t="shared" si="221"/>
        <v>0</v>
      </c>
      <c r="AH326" s="17">
        <f t="shared" si="222"/>
        <v>0</v>
      </c>
      <c r="AI326" s="17">
        <f t="shared" si="223"/>
        <v>0</v>
      </c>
      <c r="AJ326" s="17">
        <f t="shared" si="224"/>
        <v>0</v>
      </c>
      <c r="AK326" s="17">
        <f t="shared" si="225"/>
        <v>0</v>
      </c>
      <c r="AL326" s="17">
        <f t="shared" si="226"/>
        <v>0</v>
      </c>
      <c r="AM326" s="17">
        <f t="shared" si="227"/>
        <v>0</v>
      </c>
      <c r="AN326" s="17">
        <f t="shared" si="228"/>
        <v>0</v>
      </c>
      <c r="AO326" s="17">
        <f t="shared" si="229"/>
        <v>0</v>
      </c>
      <c r="AP326" s="17">
        <f t="shared" si="230"/>
        <v>0</v>
      </c>
      <c r="AQ326" s="18">
        <v>178.36313189748449</v>
      </c>
      <c r="AR326" s="18">
        <v>213.30555766890396</v>
      </c>
      <c r="AS326" s="18">
        <v>188.77698169709529</v>
      </c>
      <c r="AT326" s="18">
        <v>142.99129973710097</v>
      </c>
      <c r="AU326" s="18">
        <v>207.37143621073525</v>
      </c>
      <c r="AV326" s="18">
        <v>169.94066190508929</v>
      </c>
      <c r="AW326" s="18">
        <v>169.18775775452542</v>
      </c>
      <c r="AX326" s="18">
        <v>114.89421092555993</v>
      </c>
      <c r="AY326" s="18">
        <v>170.30770469111494</v>
      </c>
      <c r="AZ326" s="18">
        <v>148.31611782607035</v>
      </c>
      <c r="BA326" s="18">
        <v>151.43637838421435</v>
      </c>
      <c r="BB326" s="18">
        <v>147.91111873135125</v>
      </c>
      <c r="BC326" s="23">
        <v>8.9181565948742242E-2</v>
      </c>
      <c r="BD326" s="23">
        <v>0.10665277883445198</v>
      </c>
      <c r="BE326" s="23">
        <v>9.438849084854764E-2</v>
      </c>
      <c r="BF326" s="23">
        <v>7.149564986855049E-2</v>
      </c>
      <c r="BG326" s="23">
        <v>0.10368571810536763</v>
      </c>
      <c r="BH326" s="23">
        <v>8.4970330952544637E-2</v>
      </c>
      <c r="BI326" s="23">
        <v>8.4593878877262704E-2</v>
      </c>
      <c r="BJ326" s="23">
        <v>5.7447105462779965E-2</v>
      </c>
      <c r="BK326" s="23">
        <v>8.5153852345557474E-2</v>
      </c>
      <c r="BL326" s="23">
        <v>7.4158058913035174E-2</v>
      </c>
      <c r="BM326" s="23">
        <v>7.5718189192107169E-2</v>
      </c>
      <c r="BN326" s="23">
        <v>7.3955559365675619E-2</v>
      </c>
    </row>
    <row r="327" spans="1:66" x14ac:dyDescent="0.25">
      <c r="A327" s="16">
        <v>2477</v>
      </c>
      <c r="B327" s="16" t="s">
        <v>523</v>
      </c>
      <c r="C327" s="17">
        <v>0</v>
      </c>
      <c r="D327" s="17">
        <f t="shared" si="194"/>
        <v>0</v>
      </c>
      <c r="E327" s="17">
        <f t="shared" si="195"/>
        <v>0</v>
      </c>
      <c r="F327" s="17">
        <f t="shared" si="196"/>
        <v>0</v>
      </c>
      <c r="G327" s="17">
        <f t="shared" si="197"/>
        <v>0</v>
      </c>
      <c r="H327" s="17">
        <f t="shared" si="198"/>
        <v>0</v>
      </c>
      <c r="I327" s="17">
        <f t="shared" si="199"/>
        <v>0</v>
      </c>
      <c r="J327" s="17">
        <f t="shared" si="200"/>
        <v>0</v>
      </c>
      <c r="K327" s="17">
        <f t="shared" si="201"/>
        <v>0</v>
      </c>
      <c r="L327" s="17">
        <f t="shared" si="202"/>
        <v>0</v>
      </c>
      <c r="M327" s="17">
        <f t="shared" si="203"/>
        <v>0</v>
      </c>
      <c r="N327" s="17">
        <f t="shared" si="204"/>
        <v>0</v>
      </c>
      <c r="O327" s="17">
        <f t="shared" si="205"/>
        <v>0</v>
      </c>
      <c r="P327" s="17">
        <v>5000</v>
      </c>
      <c r="Q327" s="17">
        <f t="shared" si="206"/>
        <v>445.9078297437112</v>
      </c>
      <c r="R327" s="17">
        <f t="shared" si="207"/>
        <v>533.26389417225994</v>
      </c>
      <c r="S327" s="17">
        <f t="shared" si="208"/>
        <v>471.94245424273822</v>
      </c>
      <c r="T327" s="17">
        <f t="shared" si="209"/>
        <v>357.47824934275246</v>
      </c>
      <c r="U327" s="17">
        <f t="shared" si="210"/>
        <v>518.42859052683809</v>
      </c>
      <c r="V327" s="17">
        <f t="shared" si="211"/>
        <v>424.85165476272317</v>
      </c>
      <c r="W327" s="17">
        <f t="shared" si="212"/>
        <v>422.96939438631352</v>
      </c>
      <c r="X327" s="17">
        <f t="shared" si="213"/>
        <v>287.23552731389981</v>
      </c>
      <c r="Y327" s="17">
        <f t="shared" si="214"/>
        <v>425.76926172778735</v>
      </c>
      <c r="Z327" s="17">
        <f t="shared" si="215"/>
        <v>370.79029456517588</v>
      </c>
      <c r="AA327" s="17">
        <f t="shared" si="216"/>
        <v>378.59094596053586</v>
      </c>
      <c r="AB327" s="17">
        <f t="shared" si="217"/>
        <v>369.77779682837809</v>
      </c>
      <c r="AC327" s="17">
        <v>0</v>
      </c>
      <c r="AD327" s="17">
        <f t="shared" si="218"/>
        <v>0</v>
      </c>
      <c r="AE327" s="17">
        <f t="shared" si="219"/>
        <v>0</v>
      </c>
      <c r="AF327" s="17">
        <f t="shared" si="220"/>
        <v>0</v>
      </c>
      <c r="AG327" s="17">
        <f t="shared" si="221"/>
        <v>0</v>
      </c>
      <c r="AH327" s="17">
        <f t="shared" si="222"/>
        <v>0</v>
      </c>
      <c r="AI327" s="17">
        <f t="shared" si="223"/>
        <v>0</v>
      </c>
      <c r="AJ327" s="17">
        <f t="shared" si="224"/>
        <v>0</v>
      </c>
      <c r="AK327" s="17">
        <f t="shared" si="225"/>
        <v>0</v>
      </c>
      <c r="AL327" s="17">
        <f t="shared" si="226"/>
        <v>0</v>
      </c>
      <c r="AM327" s="17">
        <f t="shared" si="227"/>
        <v>0</v>
      </c>
      <c r="AN327" s="17">
        <f t="shared" si="228"/>
        <v>0</v>
      </c>
      <c r="AO327" s="17">
        <f t="shared" si="229"/>
        <v>0</v>
      </c>
      <c r="AP327" s="17">
        <f t="shared" si="230"/>
        <v>5000</v>
      </c>
      <c r="AQ327" s="18">
        <v>178.36313189748449</v>
      </c>
      <c r="AR327" s="18">
        <v>213.30555766890396</v>
      </c>
      <c r="AS327" s="18">
        <v>188.77698169709529</v>
      </c>
      <c r="AT327" s="18">
        <v>142.99129973710097</v>
      </c>
      <c r="AU327" s="18">
        <v>207.37143621073525</v>
      </c>
      <c r="AV327" s="18">
        <v>169.94066190508929</v>
      </c>
      <c r="AW327" s="18">
        <v>169.18775775452542</v>
      </c>
      <c r="AX327" s="18">
        <v>114.89421092555993</v>
      </c>
      <c r="AY327" s="18">
        <v>170.30770469111494</v>
      </c>
      <c r="AZ327" s="18">
        <v>148.31611782607035</v>
      </c>
      <c r="BA327" s="18">
        <v>151.43637838421435</v>
      </c>
      <c r="BB327" s="18">
        <v>147.91111873135125</v>
      </c>
      <c r="BC327" s="23">
        <v>8.9181565948742242E-2</v>
      </c>
      <c r="BD327" s="23">
        <v>0.10665277883445198</v>
      </c>
      <c r="BE327" s="23">
        <v>9.438849084854764E-2</v>
      </c>
      <c r="BF327" s="23">
        <v>7.149564986855049E-2</v>
      </c>
      <c r="BG327" s="23">
        <v>0.10368571810536763</v>
      </c>
      <c r="BH327" s="23">
        <v>8.4970330952544637E-2</v>
      </c>
      <c r="BI327" s="23">
        <v>8.4593878877262704E-2</v>
      </c>
      <c r="BJ327" s="23">
        <v>5.7447105462779965E-2</v>
      </c>
      <c r="BK327" s="23">
        <v>8.5153852345557474E-2</v>
      </c>
      <c r="BL327" s="23">
        <v>7.4158058913035174E-2</v>
      </c>
      <c r="BM327" s="23">
        <v>7.5718189192107169E-2</v>
      </c>
      <c r="BN327" s="23">
        <v>7.3955559365675619E-2</v>
      </c>
    </row>
    <row r="328" spans="1:66" x14ac:dyDescent="0.25">
      <c r="A328" s="16">
        <v>2816</v>
      </c>
      <c r="B328" s="16" t="s">
        <v>524</v>
      </c>
      <c r="C328" s="17">
        <v>0</v>
      </c>
      <c r="D328" s="17">
        <f t="shared" si="194"/>
        <v>0</v>
      </c>
      <c r="E328" s="17">
        <f t="shared" si="195"/>
        <v>0</v>
      </c>
      <c r="F328" s="17">
        <f t="shared" si="196"/>
        <v>0</v>
      </c>
      <c r="G328" s="17">
        <f t="shared" si="197"/>
        <v>0</v>
      </c>
      <c r="H328" s="17">
        <f t="shared" si="198"/>
        <v>0</v>
      </c>
      <c r="I328" s="17">
        <f t="shared" si="199"/>
        <v>0</v>
      </c>
      <c r="J328" s="17">
        <f t="shared" si="200"/>
        <v>0</v>
      </c>
      <c r="K328" s="17">
        <f t="shared" si="201"/>
        <v>0</v>
      </c>
      <c r="L328" s="17">
        <f t="shared" si="202"/>
        <v>0</v>
      </c>
      <c r="M328" s="17">
        <f t="shared" si="203"/>
        <v>0</v>
      </c>
      <c r="N328" s="17">
        <f t="shared" si="204"/>
        <v>0</v>
      </c>
      <c r="O328" s="17">
        <f t="shared" si="205"/>
        <v>0</v>
      </c>
      <c r="P328" s="17">
        <v>0</v>
      </c>
      <c r="Q328" s="17">
        <f t="shared" si="206"/>
        <v>0</v>
      </c>
      <c r="R328" s="17">
        <f t="shared" si="207"/>
        <v>0</v>
      </c>
      <c r="S328" s="17">
        <f t="shared" si="208"/>
        <v>0</v>
      </c>
      <c r="T328" s="17">
        <f t="shared" si="209"/>
        <v>0</v>
      </c>
      <c r="U328" s="17">
        <f t="shared" si="210"/>
        <v>0</v>
      </c>
      <c r="V328" s="17">
        <f t="shared" si="211"/>
        <v>0</v>
      </c>
      <c r="W328" s="17">
        <f t="shared" si="212"/>
        <v>0</v>
      </c>
      <c r="X328" s="17">
        <f t="shared" si="213"/>
        <v>0</v>
      </c>
      <c r="Y328" s="17">
        <f t="shared" si="214"/>
        <v>0</v>
      </c>
      <c r="Z328" s="17">
        <f t="shared" si="215"/>
        <v>0</v>
      </c>
      <c r="AA328" s="17">
        <f t="shared" si="216"/>
        <v>0</v>
      </c>
      <c r="AB328" s="17">
        <f t="shared" si="217"/>
        <v>0</v>
      </c>
      <c r="AC328" s="17">
        <v>0</v>
      </c>
      <c r="AD328" s="17">
        <f t="shared" si="218"/>
        <v>0</v>
      </c>
      <c r="AE328" s="17">
        <f t="shared" si="219"/>
        <v>0</v>
      </c>
      <c r="AF328" s="17">
        <f t="shared" si="220"/>
        <v>0</v>
      </c>
      <c r="AG328" s="17">
        <f t="shared" si="221"/>
        <v>0</v>
      </c>
      <c r="AH328" s="17">
        <f t="shared" si="222"/>
        <v>0</v>
      </c>
      <c r="AI328" s="17">
        <f t="shared" si="223"/>
        <v>0</v>
      </c>
      <c r="AJ328" s="17">
        <f t="shared" si="224"/>
        <v>0</v>
      </c>
      <c r="AK328" s="17">
        <f t="shared" si="225"/>
        <v>0</v>
      </c>
      <c r="AL328" s="17">
        <f t="shared" si="226"/>
        <v>0</v>
      </c>
      <c r="AM328" s="17">
        <f t="shared" si="227"/>
        <v>0</v>
      </c>
      <c r="AN328" s="17">
        <f t="shared" si="228"/>
        <v>0</v>
      </c>
      <c r="AO328" s="17">
        <f t="shared" si="229"/>
        <v>0</v>
      </c>
      <c r="AP328" s="17">
        <f t="shared" si="230"/>
        <v>0</v>
      </c>
      <c r="AQ328" s="18">
        <v>178.36313189748449</v>
      </c>
      <c r="AR328" s="18">
        <v>213.30555766890396</v>
      </c>
      <c r="AS328" s="18">
        <v>188.77698169709529</v>
      </c>
      <c r="AT328" s="18">
        <v>142.99129973710097</v>
      </c>
      <c r="AU328" s="18">
        <v>207.37143621073525</v>
      </c>
      <c r="AV328" s="18">
        <v>169.94066190508929</v>
      </c>
      <c r="AW328" s="18">
        <v>169.18775775452542</v>
      </c>
      <c r="AX328" s="18">
        <v>114.89421092555993</v>
      </c>
      <c r="AY328" s="18">
        <v>170.30770469111494</v>
      </c>
      <c r="AZ328" s="18">
        <v>148.31611782607035</v>
      </c>
      <c r="BA328" s="18">
        <v>151.43637838421435</v>
      </c>
      <c r="BB328" s="18">
        <v>147.91111873135125</v>
      </c>
      <c r="BC328" s="23">
        <v>8.9181565948742242E-2</v>
      </c>
      <c r="BD328" s="23">
        <v>0.10665277883445198</v>
      </c>
      <c r="BE328" s="23">
        <v>9.438849084854764E-2</v>
      </c>
      <c r="BF328" s="23">
        <v>7.149564986855049E-2</v>
      </c>
      <c r="BG328" s="23">
        <v>0.10368571810536763</v>
      </c>
      <c r="BH328" s="23">
        <v>8.4970330952544637E-2</v>
      </c>
      <c r="BI328" s="23">
        <v>8.4593878877262704E-2</v>
      </c>
      <c r="BJ328" s="23">
        <v>5.7447105462779965E-2</v>
      </c>
      <c r="BK328" s="23">
        <v>8.5153852345557474E-2</v>
      </c>
      <c r="BL328" s="23">
        <v>7.4158058913035174E-2</v>
      </c>
      <c r="BM328" s="23">
        <v>7.5718189192107169E-2</v>
      </c>
      <c r="BN328" s="23">
        <v>7.3955559365675619E-2</v>
      </c>
    </row>
    <row r="329" spans="1:66" x14ac:dyDescent="0.25">
      <c r="A329" s="16">
        <v>3275</v>
      </c>
      <c r="B329" s="16" t="s">
        <v>525</v>
      </c>
      <c r="C329" s="17">
        <v>30000</v>
      </c>
      <c r="D329" s="17">
        <f t="shared" si="194"/>
        <v>2675.4469784622675</v>
      </c>
      <c r="E329" s="17">
        <f t="shared" si="195"/>
        <v>3199.5833650335594</v>
      </c>
      <c r="F329" s="17">
        <f t="shared" si="196"/>
        <v>2831.6547254564293</v>
      </c>
      <c r="G329" s="17">
        <f t="shared" si="197"/>
        <v>2144.8694960565149</v>
      </c>
      <c r="H329" s="17">
        <f t="shared" si="198"/>
        <v>3110.5715431610288</v>
      </c>
      <c r="I329" s="17">
        <f t="shared" si="199"/>
        <v>2549.1099285763389</v>
      </c>
      <c r="J329" s="17">
        <f t="shared" si="200"/>
        <v>2537.8163663178811</v>
      </c>
      <c r="K329" s="17">
        <f t="shared" si="201"/>
        <v>1723.413163883399</v>
      </c>
      <c r="L329" s="17">
        <f t="shared" si="202"/>
        <v>2554.6155703667241</v>
      </c>
      <c r="M329" s="17">
        <f t="shared" si="203"/>
        <v>2224.7417673910554</v>
      </c>
      <c r="N329" s="17">
        <f t="shared" si="204"/>
        <v>2271.5456757632151</v>
      </c>
      <c r="O329" s="17">
        <f t="shared" si="205"/>
        <v>2218.6667809702685</v>
      </c>
      <c r="P329" s="17">
        <v>0</v>
      </c>
      <c r="Q329" s="17">
        <f t="shared" si="206"/>
        <v>0</v>
      </c>
      <c r="R329" s="17">
        <f t="shared" si="207"/>
        <v>0</v>
      </c>
      <c r="S329" s="17">
        <f t="shared" si="208"/>
        <v>0</v>
      </c>
      <c r="T329" s="17">
        <f t="shared" si="209"/>
        <v>0</v>
      </c>
      <c r="U329" s="17">
        <f t="shared" si="210"/>
        <v>0</v>
      </c>
      <c r="V329" s="17">
        <f t="shared" si="211"/>
        <v>0</v>
      </c>
      <c r="W329" s="17">
        <f t="shared" si="212"/>
        <v>0</v>
      </c>
      <c r="X329" s="17">
        <f t="shared" si="213"/>
        <v>0</v>
      </c>
      <c r="Y329" s="17">
        <f t="shared" si="214"/>
        <v>0</v>
      </c>
      <c r="Z329" s="17">
        <f t="shared" si="215"/>
        <v>0</v>
      </c>
      <c r="AA329" s="17">
        <f t="shared" si="216"/>
        <v>0</v>
      </c>
      <c r="AB329" s="17">
        <f t="shared" si="217"/>
        <v>0</v>
      </c>
      <c r="AC329" s="17">
        <v>0</v>
      </c>
      <c r="AD329" s="17">
        <f t="shared" si="218"/>
        <v>0</v>
      </c>
      <c r="AE329" s="17">
        <f t="shared" si="219"/>
        <v>0</v>
      </c>
      <c r="AF329" s="17">
        <f t="shared" si="220"/>
        <v>0</v>
      </c>
      <c r="AG329" s="17">
        <f t="shared" si="221"/>
        <v>0</v>
      </c>
      <c r="AH329" s="17">
        <f t="shared" si="222"/>
        <v>0</v>
      </c>
      <c r="AI329" s="17">
        <f t="shared" si="223"/>
        <v>0</v>
      </c>
      <c r="AJ329" s="17">
        <f t="shared" si="224"/>
        <v>0</v>
      </c>
      <c r="AK329" s="17">
        <f t="shared" si="225"/>
        <v>0</v>
      </c>
      <c r="AL329" s="17">
        <f t="shared" si="226"/>
        <v>0</v>
      </c>
      <c r="AM329" s="17">
        <f t="shared" si="227"/>
        <v>0</v>
      </c>
      <c r="AN329" s="17">
        <f t="shared" si="228"/>
        <v>0</v>
      </c>
      <c r="AO329" s="17">
        <f t="shared" si="229"/>
        <v>0</v>
      </c>
      <c r="AP329" s="17">
        <f t="shared" si="230"/>
        <v>30000</v>
      </c>
      <c r="AQ329" s="18">
        <v>178.36313189748449</v>
      </c>
      <c r="AR329" s="18">
        <v>213.30555766890396</v>
      </c>
      <c r="AS329" s="18">
        <v>188.77698169709529</v>
      </c>
      <c r="AT329" s="18">
        <v>142.99129973710097</v>
      </c>
      <c r="AU329" s="18">
        <v>207.37143621073525</v>
      </c>
      <c r="AV329" s="18">
        <v>169.94066190508929</v>
      </c>
      <c r="AW329" s="18">
        <v>169.18775775452542</v>
      </c>
      <c r="AX329" s="18">
        <v>114.89421092555993</v>
      </c>
      <c r="AY329" s="18">
        <v>170.30770469111494</v>
      </c>
      <c r="AZ329" s="18">
        <v>148.31611782607035</v>
      </c>
      <c r="BA329" s="18">
        <v>151.43637838421435</v>
      </c>
      <c r="BB329" s="18">
        <v>147.91111873135125</v>
      </c>
      <c r="BC329" s="23">
        <v>8.9181565948742242E-2</v>
      </c>
      <c r="BD329" s="23">
        <v>0.10665277883445198</v>
      </c>
      <c r="BE329" s="23">
        <v>9.438849084854764E-2</v>
      </c>
      <c r="BF329" s="23">
        <v>7.149564986855049E-2</v>
      </c>
      <c r="BG329" s="23">
        <v>0.10368571810536763</v>
      </c>
      <c r="BH329" s="23">
        <v>8.4970330952544637E-2</v>
      </c>
      <c r="BI329" s="23">
        <v>8.4593878877262704E-2</v>
      </c>
      <c r="BJ329" s="23">
        <v>5.7447105462779965E-2</v>
      </c>
      <c r="BK329" s="23">
        <v>8.5153852345557474E-2</v>
      </c>
      <c r="BL329" s="23">
        <v>7.4158058913035174E-2</v>
      </c>
      <c r="BM329" s="23">
        <v>7.5718189192107169E-2</v>
      </c>
      <c r="BN329" s="23">
        <v>7.3955559365675619E-2</v>
      </c>
    </row>
    <row r="330" spans="1:66" x14ac:dyDescent="0.25">
      <c r="A330" s="16">
        <v>3589</v>
      </c>
      <c r="B330" s="16" t="s">
        <v>526</v>
      </c>
      <c r="C330" s="17">
        <v>0</v>
      </c>
      <c r="D330" s="17">
        <f t="shared" si="194"/>
        <v>0</v>
      </c>
      <c r="E330" s="17">
        <f t="shared" si="195"/>
        <v>0</v>
      </c>
      <c r="F330" s="17">
        <f t="shared" si="196"/>
        <v>0</v>
      </c>
      <c r="G330" s="17">
        <f t="shared" si="197"/>
        <v>0</v>
      </c>
      <c r="H330" s="17">
        <f t="shared" si="198"/>
        <v>0</v>
      </c>
      <c r="I330" s="17">
        <f t="shared" si="199"/>
        <v>0</v>
      </c>
      <c r="J330" s="17">
        <f t="shared" si="200"/>
        <v>0</v>
      </c>
      <c r="K330" s="17">
        <f t="shared" si="201"/>
        <v>0</v>
      </c>
      <c r="L330" s="17">
        <f t="shared" si="202"/>
        <v>0</v>
      </c>
      <c r="M330" s="17">
        <f t="shared" si="203"/>
        <v>0</v>
      </c>
      <c r="N330" s="17">
        <f t="shared" si="204"/>
        <v>0</v>
      </c>
      <c r="O330" s="17">
        <f t="shared" si="205"/>
        <v>0</v>
      </c>
      <c r="P330" s="17">
        <v>0</v>
      </c>
      <c r="Q330" s="17">
        <f t="shared" si="206"/>
        <v>0</v>
      </c>
      <c r="R330" s="17">
        <f t="shared" si="207"/>
        <v>0</v>
      </c>
      <c r="S330" s="17">
        <f t="shared" si="208"/>
        <v>0</v>
      </c>
      <c r="T330" s="17">
        <f t="shared" si="209"/>
        <v>0</v>
      </c>
      <c r="U330" s="17">
        <f t="shared" si="210"/>
        <v>0</v>
      </c>
      <c r="V330" s="17">
        <f t="shared" si="211"/>
        <v>0</v>
      </c>
      <c r="W330" s="17">
        <f t="shared" si="212"/>
        <v>0</v>
      </c>
      <c r="X330" s="17">
        <f t="shared" si="213"/>
        <v>0</v>
      </c>
      <c r="Y330" s="17">
        <f t="shared" si="214"/>
        <v>0</v>
      </c>
      <c r="Z330" s="17">
        <f t="shared" si="215"/>
        <v>0</v>
      </c>
      <c r="AA330" s="17">
        <f t="shared" si="216"/>
        <v>0</v>
      </c>
      <c r="AB330" s="17">
        <f t="shared" si="217"/>
        <v>0</v>
      </c>
      <c r="AC330" s="17">
        <v>0</v>
      </c>
      <c r="AD330" s="17">
        <f t="shared" si="218"/>
        <v>0</v>
      </c>
      <c r="AE330" s="17">
        <f t="shared" si="219"/>
        <v>0</v>
      </c>
      <c r="AF330" s="17">
        <f t="shared" si="220"/>
        <v>0</v>
      </c>
      <c r="AG330" s="17">
        <f t="shared" si="221"/>
        <v>0</v>
      </c>
      <c r="AH330" s="17">
        <f t="shared" si="222"/>
        <v>0</v>
      </c>
      <c r="AI330" s="17">
        <f t="shared" si="223"/>
        <v>0</v>
      </c>
      <c r="AJ330" s="17">
        <f t="shared" si="224"/>
        <v>0</v>
      </c>
      <c r="AK330" s="17">
        <f t="shared" si="225"/>
        <v>0</v>
      </c>
      <c r="AL330" s="17">
        <f t="shared" si="226"/>
        <v>0</v>
      </c>
      <c r="AM330" s="17">
        <f t="shared" si="227"/>
        <v>0</v>
      </c>
      <c r="AN330" s="17">
        <f t="shared" si="228"/>
        <v>0</v>
      </c>
      <c r="AO330" s="17">
        <f t="shared" si="229"/>
        <v>0</v>
      </c>
      <c r="AP330" s="17">
        <f t="shared" si="230"/>
        <v>0</v>
      </c>
      <c r="AQ330" s="18">
        <v>178.36313189748449</v>
      </c>
      <c r="AR330" s="18">
        <v>213.30555766890396</v>
      </c>
      <c r="AS330" s="18">
        <v>188.77698169709529</v>
      </c>
      <c r="AT330" s="18">
        <v>142.99129973710097</v>
      </c>
      <c r="AU330" s="18">
        <v>207.37143621073525</v>
      </c>
      <c r="AV330" s="18">
        <v>169.94066190508929</v>
      </c>
      <c r="AW330" s="18">
        <v>169.18775775452542</v>
      </c>
      <c r="AX330" s="18">
        <v>114.89421092555993</v>
      </c>
      <c r="AY330" s="18">
        <v>170.30770469111494</v>
      </c>
      <c r="AZ330" s="18">
        <v>148.31611782607035</v>
      </c>
      <c r="BA330" s="18">
        <v>151.43637838421435</v>
      </c>
      <c r="BB330" s="18">
        <v>147.91111873135125</v>
      </c>
      <c r="BC330" s="23">
        <v>8.9181565948742242E-2</v>
      </c>
      <c r="BD330" s="23">
        <v>0.10665277883445198</v>
      </c>
      <c r="BE330" s="23">
        <v>9.438849084854764E-2</v>
      </c>
      <c r="BF330" s="23">
        <v>7.149564986855049E-2</v>
      </c>
      <c r="BG330" s="23">
        <v>0.10368571810536763</v>
      </c>
      <c r="BH330" s="23">
        <v>8.4970330952544637E-2</v>
      </c>
      <c r="BI330" s="23">
        <v>8.4593878877262704E-2</v>
      </c>
      <c r="BJ330" s="23">
        <v>5.7447105462779965E-2</v>
      </c>
      <c r="BK330" s="23">
        <v>8.5153852345557474E-2</v>
      </c>
      <c r="BL330" s="23">
        <v>7.4158058913035174E-2</v>
      </c>
      <c r="BM330" s="23">
        <v>7.5718189192107169E-2</v>
      </c>
      <c r="BN330" s="23">
        <v>7.3955559365675619E-2</v>
      </c>
    </row>
    <row r="331" spans="1:66" x14ac:dyDescent="0.25">
      <c r="A331" s="16">
        <v>3780</v>
      </c>
      <c r="B331" s="16" t="s">
        <v>527</v>
      </c>
      <c r="C331" s="17">
        <v>2000</v>
      </c>
      <c r="D331" s="17">
        <f t="shared" si="194"/>
        <v>178.36313189748449</v>
      </c>
      <c r="E331" s="17">
        <f t="shared" si="195"/>
        <v>213.30555766890396</v>
      </c>
      <c r="F331" s="17">
        <f t="shared" si="196"/>
        <v>188.77698169709529</v>
      </c>
      <c r="G331" s="17">
        <f t="shared" si="197"/>
        <v>142.99129973710097</v>
      </c>
      <c r="H331" s="17">
        <f t="shared" si="198"/>
        <v>207.37143621073525</v>
      </c>
      <c r="I331" s="17">
        <f t="shared" si="199"/>
        <v>169.94066190508929</v>
      </c>
      <c r="J331" s="17">
        <f t="shared" si="200"/>
        <v>169.18775775452542</v>
      </c>
      <c r="K331" s="17">
        <f t="shared" si="201"/>
        <v>114.89421092555993</v>
      </c>
      <c r="L331" s="17">
        <f t="shared" si="202"/>
        <v>170.30770469111494</v>
      </c>
      <c r="M331" s="17">
        <f t="shared" si="203"/>
        <v>148.31611782607035</v>
      </c>
      <c r="N331" s="17">
        <f t="shared" si="204"/>
        <v>151.43637838421435</v>
      </c>
      <c r="O331" s="17">
        <f t="shared" si="205"/>
        <v>147.91111873135125</v>
      </c>
      <c r="P331" s="17">
        <v>0</v>
      </c>
      <c r="Q331" s="17">
        <f t="shared" si="206"/>
        <v>0</v>
      </c>
      <c r="R331" s="17">
        <f t="shared" si="207"/>
        <v>0</v>
      </c>
      <c r="S331" s="17">
        <f t="shared" si="208"/>
        <v>0</v>
      </c>
      <c r="T331" s="17">
        <f t="shared" si="209"/>
        <v>0</v>
      </c>
      <c r="U331" s="17">
        <f t="shared" si="210"/>
        <v>0</v>
      </c>
      <c r="V331" s="17">
        <f t="shared" si="211"/>
        <v>0</v>
      </c>
      <c r="W331" s="17">
        <f t="shared" si="212"/>
        <v>0</v>
      </c>
      <c r="X331" s="17">
        <f t="shared" si="213"/>
        <v>0</v>
      </c>
      <c r="Y331" s="17">
        <f t="shared" si="214"/>
        <v>0</v>
      </c>
      <c r="Z331" s="17">
        <f t="shared" si="215"/>
        <v>0</v>
      </c>
      <c r="AA331" s="17">
        <f t="shared" si="216"/>
        <v>0</v>
      </c>
      <c r="AB331" s="17">
        <f t="shared" si="217"/>
        <v>0</v>
      </c>
      <c r="AC331" s="17">
        <v>0</v>
      </c>
      <c r="AD331" s="17">
        <f t="shared" si="218"/>
        <v>0</v>
      </c>
      <c r="AE331" s="17">
        <f t="shared" si="219"/>
        <v>0</v>
      </c>
      <c r="AF331" s="17">
        <f t="shared" si="220"/>
        <v>0</v>
      </c>
      <c r="AG331" s="17">
        <f t="shared" si="221"/>
        <v>0</v>
      </c>
      <c r="AH331" s="17">
        <f t="shared" si="222"/>
        <v>0</v>
      </c>
      <c r="AI331" s="17">
        <f t="shared" si="223"/>
        <v>0</v>
      </c>
      <c r="AJ331" s="17">
        <f t="shared" si="224"/>
        <v>0</v>
      </c>
      <c r="AK331" s="17">
        <f t="shared" si="225"/>
        <v>0</v>
      </c>
      <c r="AL331" s="17">
        <f t="shared" si="226"/>
        <v>0</v>
      </c>
      <c r="AM331" s="17">
        <f t="shared" si="227"/>
        <v>0</v>
      </c>
      <c r="AN331" s="17">
        <f t="shared" si="228"/>
        <v>0</v>
      </c>
      <c r="AO331" s="17">
        <f t="shared" si="229"/>
        <v>0</v>
      </c>
      <c r="AP331" s="17">
        <f t="shared" si="230"/>
        <v>2000</v>
      </c>
      <c r="AQ331" s="18">
        <v>178.36313189748449</v>
      </c>
      <c r="AR331" s="18">
        <v>213.30555766890396</v>
      </c>
      <c r="AS331" s="18">
        <v>188.77698169709529</v>
      </c>
      <c r="AT331" s="18">
        <v>142.99129973710097</v>
      </c>
      <c r="AU331" s="18">
        <v>207.37143621073525</v>
      </c>
      <c r="AV331" s="18">
        <v>169.94066190508929</v>
      </c>
      <c r="AW331" s="18">
        <v>169.18775775452542</v>
      </c>
      <c r="AX331" s="18">
        <v>114.89421092555993</v>
      </c>
      <c r="AY331" s="18">
        <v>170.30770469111494</v>
      </c>
      <c r="AZ331" s="18">
        <v>148.31611782607035</v>
      </c>
      <c r="BA331" s="18">
        <v>151.43637838421435</v>
      </c>
      <c r="BB331" s="18">
        <v>147.91111873135125</v>
      </c>
      <c r="BC331" s="23">
        <v>8.9181565948742242E-2</v>
      </c>
      <c r="BD331" s="23">
        <v>0.10665277883445198</v>
      </c>
      <c r="BE331" s="23">
        <v>9.438849084854764E-2</v>
      </c>
      <c r="BF331" s="23">
        <v>7.149564986855049E-2</v>
      </c>
      <c r="BG331" s="23">
        <v>0.10368571810536763</v>
      </c>
      <c r="BH331" s="23">
        <v>8.4970330952544637E-2</v>
      </c>
      <c r="BI331" s="23">
        <v>8.4593878877262704E-2</v>
      </c>
      <c r="BJ331" s="23">
        <v>5.7447105462779965E-2</v>
      </c>
      <c r="BK331" s="23">
        <v>8.5153852345557474E-2</v>
      </c>
      <c r="BL331" s="23">
        <v>7.4158058913035174E-2</v>
      </c>
      <c r="BM331" s="23">
        <v>7.5718189192107169E-2</v>
      </c>
      <c r="BN331" s="23">
        <v>7.3955559365675619E-2</v>
      </c>
    </row>
    <row r="332" spans="1:66" x14ac:dyDescent="0.25">
      <c r="A332" s="16">
        <v>3951</v>
      </c>
      <c r="B332" s="16" t="s">
        <v>528</v>
      </c>
      <c r="C332" s="17">
        <v>30000</v>
      </c>
      <c r="D332" s="17">
        <f t="shared" si="194"/>
        <v>2675.4469784622675</v>
      </c>
      <c r="E332" s="17">
        <f t="shared" si="195"/>
        <v>3199.5833650335594</v>
      </c>
      <c r="F332" s="17">
        <f t="shared" si="196"/>
        <v>2831.6547254564293</v>
      </c>
      <c r="G332" s="17">
        <f t="shared" si="197"/>
        <v>2144.8694960565149</v>
      </c>
      <c r="H332" s="17">
        <f t="shared" si="198"/>
        <v>3110.5715431610288</v>
      </c>
      <c r="I332" s="17">
        <f t="shared" si="199"/>
        <v>2549.1099285763389</v>
      </c>
      <c r="J332" s="17">
        <f t="shared" si="200"/>
        <v>2537.8163663178811</v>
      </c>
      <c r="K332" s="17">
        <f t="shared" si="201"/>
        <v>1723.413163883399</v>
      </c>
      <c r="L332" s="17">
        <f t="shared" si="202"/>
        <v>2554.6155703667241</v>
      </c>
      <c r="M332" s="17">
        <f t="shared" si="203"/>
        <v>2224.7417673910554</v>
      </c>
      <c r="N332" s="17">
        <f t="shared" si="204"/>
        <v>2271.5456757632151</v>
      </c>
      <c r="O332" s="17">
        <f t="shared" si="205"/>
        <v>2218.6667809702685</v>
      </c>
      <c r="P332" s="17">
        <v>0</v>
      </c>
      <c r="Q332" s="17">
        <f t="shared" si="206"/>
        <v>0</v>
      </c>
      <c r="R332" s="17">
        <f t="shared" si="207"/>
        <v>0</v>
      </c>
      <c r="S332" s="17">
        <f t="shared" si="208"/>
        <v>0</v>
      </c>
      <c r="T332" s="17">
        <f t="shared" si="209"/>
        <v>0</v>
      </c>
      <c r="U332" s="17">
        <f t="shared" si="210"/>
        <v>0</v>
      </c>
      <c r="V332" s="17">
        <f t="shared" si="211"/>
        <v>0</v>
      </c>
      <c r="W332" s="17">
        <f t="shared" si="212"/>
        <v>0</v>
      </c>
      <c r="X332" s="17">
        <f t="shared" si="213"/>
        <v>0</v>
      </c>
      <c r="Y332" s="17">
        <f t="shared" si="214"/>
        <v>0</v>
      </c>
      <c r="Z332" s="17">
        <f t="shared" si="215"/>
        <v>0</v>
      </c>
      <c r="AA332" s="17">
        <f t="shared" si="216"/>
        <v>0</v>
      </c>
      <c r="AB332" s="17">
        <f t="shared" si="217"/>
        <v>0</v>
      </c>
      <c r="AC332" s="17">
        <v>2500</v>
      </c>
      <c r="AD332" s="17">
        <f t="shared" si="218"/>
        <v>222.9539148718556</v>
      </c>
      <c r="AE332" s="17">
        <f t="shared" si="219"/>
        <v>266.63194708612997</v>
      </c>
      <c r="AF332" s="17">
        <f t="shared" si="220"/>
        <v>235.97122712136911</v>
      </c>
      <c r="AG332" s="17">
        <f t="shared" si="221"/>
        <v>178.73912467137623</v>
      </c>
      <c r="AH332" s="17">
        <f t="shared" si="222"/>
        <v>259.21429526341905</v>
      </c>
      <c r="AI332" s="17">
        <f t="shared" si="223"/>
        <v>212.42582738136159</v>
      </c>
      <c r="AJ332" s="17">
        <f t="shared" si="224"/>
        <v>211.48469719315676</v>
      </c>
      <c r="AK332" s="17">
        <f t="shared" si="225"/>
        <v>143.6177636569499</v>
      </c>
      <c r="AL332" s="17">
        <f t="shared" si="226"/>
        <v>212.88463086389368</v>
      </c>
      <c r="AM332" s="17">
        <f t="shared" si="227"/>
        <v>185.39514728258794</v>
      </c>
      <c r="AN332" s="17">
        <f t="shared" si="228"/>
        <v>189.29547298026793</v>
      </c>
      <c r="AO332" s="17">
        <f t="shared" si="229"/>
        <v>184.88889841418904</v>
      </c>
      <c r="AP332" s="17">
        <f t="shared" si="230"/>
        <v>32500</v>
      </c>
      <c r="AQ332" s="18">
        <v>178.36313189748449</v>
      </c>
      <c r="AR332" s="18">
        <v>213.30555766890396</v>
      </c>
      <c r="AS332" s="18">
        <v>188.77698169709529</v>
      </c>
      <c r="AT332" s="18">
        <v>142.99129973710097</v>
      </c>
      <c r="AU332" s="18">
        <v>207.37143621073525</v>
      </c>
      <c r="AV332" s="18">
        <v>169.94066190508929</v>
      </c>
      <c r="AW332" s="18">
        <v>169.18775775452542</v>
      </c>
      <c r="AX332" s="18">
        <v>114.89421092555993</v>
      </c>
      <c r="AY332" s="18">
        <v>170.30770469111494</v>
      </c>
      <c r="AZ332" s="18">
        <v>148.31611782607035</v>
      </c>
      <c r="BA332" s="18">
        <v>151.43637838421435</v>
      </c>
      <c r="BB332" s="18">
        <v>147.91111873135125</v>
      </c>
      <c r="BC332" s="23">
        <v>8.9181565948742242E-2</v>
      </c>
      <c r="BD332" s="23">
        <v>0.10665277883445198</v>
      </c>
      <c r="BE332" s="23">
        <v>9.438849084854764E-2</v>
      </c>
      <c r="BF332" s="23">
        <v>7.149564986855049E-2</v>
      </c>
      <c r="BG332" s="23">
        <v>0.10368571810536763</v>
      </c>
      <c r="BH332" s="23">
        <v>8.4970330952544637E-2</v>
      </c>
      <c r="BI332" s="23">
        <v>8.4593878877262704E-2</v>
      </c>
      <c r="BJ332" s="23">
        <v>5.7447105462779965E-2</v>
      </c>
      <c r="BK332" s="23">
        <v>8.5153852345557474E-2</v>
      </c>
      <c r="BL332" s="23">
        <v>7.4158058913035174E-2</v>
      </c>
      <c r="BM332" s="23">
        <v>7.5718189192107169E-2</v>
      </c>
      <c r="BN332" s="23">
        <v>7.3955559365675619E-2</v>
      </c>
    </row>
    <row r="333" spans="1:66" x14ac:dyDescent="0.25">
      <c r="A333" s="16">
        <v>4097</v>
      </c>
      <c r="B333" s="16" t="s">
        <v>529</v>
      </c>
      <c r="C333" s="17">
        <v>1500</v>
      </c>
      <c r="D333" s="17">
        <f t="shared" si="194"/>
        <v>133.77234892311336</v>
      </c>
      <c r="E333" s="17">
        <f t="shared" si="195"/>
        <v>159.97916825167798</v>
      </c>
      <c r="F333" s="17">
        <f t="shared" si="196"/>
        <v>141.58273627282145</v>
      </c>
      <c r="G333" s="17">
        <f t="shared" si="197"/>
        <v>107.24347480282573</v>
      </c>
      <c r="H333" s="17">
        <f t="shared" si="198"/>
        <v>155.52857715805143</v>
      </c>
      <c r="I333" s="17">
        <f t="shared" si="199"/>
        <v>127.45549642881696</v>
      </c>
      <c r="J333" s="17">
        <f t="shared" si="200"/>
        <v>126.89081831589405</v>
      </c>
      <c r="K333" s="17">
        <f t="shared" si="201"/>
        <v>86.170658194169945</v>
      </c>
      <c r="L333" s="17">
        <f t="shared" si="202"/>
        <v>127.73077851833621</v>
      </c>
      <c r="M333" s="17">
        <f t="shared" si="203"/>
        <v>111.23708836955277</v>
      </c>
      <c r="N333" s="17">
        <f t="shared" si="204"/>
        <v>113.57728378816076</v>
      </c>
      <c r="O333" s="17">
        <f t="shared" si="205"/>
        <v>110.93333904851343</v>
      </c>
      <c r="P333" s="17">
        <v>0</v>
      </c>
      <c r="Q333" s="17">
        <f t="shared" si="206"/>
        <v>0</v>
      </c>
      <c r="R333" s="17">
        <f t="shared" si="207"/>
        <v>0</v>
      </c>
      <c r="S333" s="17">
        <f t="shared" si="208"/>
        <v>0</v>
      </c>
      <c r="T333" s="17">
        <f t="shared" si="209"/>
        <v>0</v>
      </c>
      <c r="U333" s="17">
        <f t="shared" si="210"/>
        <v>0</v>
      </c>
      <c r="V333" s="17">
        <f t="shared" si="211"/>
        <v>0</v>
      </c>
      <c r="W333" s="17">
        <f t="shared" si="212"/>
        <v>0</v>
      </c>
      <c r="X333" s="17">
        <f t="shared" si="213"/>
        <v>0</v>
      </c>
      <c r="Y333" s="17">
        <f t="shared" si="214"/>
        <v>0</v>
      </c>
      <c r="Z333" s="17">
        <f t="shared" si="215"/>
        <v>0</v>
      </c>
      <c r="AA333" s="17">
        <f t="shared" si="216"/>
        <v>0</v>
      </c>
      <c r="AB333" s="17">
        <f t="shared" si="217"/>
        <v>0</v>
      </c>
      <c r="AC333" s="17">
        <v>0</v>
      </c>
      <c r="AD333" s="17">
        <f t="shared" si="218"/>
        <v>0</v>
      </c>
      <c r="AE333" s="17">
        <f t="shared" si="219"/>
        <v>0</v>
      </c>
      <c r="AF333" s="17">
        <f t="shared" si="220"/>
        <v>0</v>
      </c>
      <c r="AG333" s="17">
        <f t="shared" si="221"/>
        <v>0</v>
      </c>
      <c r="AH333" s="17">
        <f t="shared" si="222"/>
        <v>0</v>
      </c>
      <c r="AI333" s="17">
        <f t="shared" si="223"/>
        <v>0</v>
      </c>
      <c r="AJ333" s="17">
        <f t="shared" si="224"/>
        <v>0</v>
      </c>
      <c r="AK333" s="17">
        <f t="shared" si="225"/>
        <v>0</v>
      </c>
      <c r="AL333" s="17">
        <f t="shared" si="226"/>
        <v>0</v>
      </c>
      <c r="AM333" s="17">
        <f t="shared" si="227"/>
        <v>0</v>
      </c>
      <c r="AN333" s="17">
        <f t="shared" si="228"/>
        <v>0</v>
      </c>
      <c r="AO333" s="17">
        <f t="shared" si="229"/>
        <v>0</v>
      </c>
      <c r="AP333" s="17">
        <f t="shared" si="230"/>
        <v>1500</v>
      </c>
      <c r="AQ333" s="18">
        <v>178.36313189748449</v>
      </c>
      <c r="AR333" s="18">
        <v>213.30555766890396</v>
      </c>
      <c r="AS333" s="18">
        <v>188.77698169709529</v>
      </c>
      <c r="AT333" s="18">
        <v>142.99129973710097</v>
      </c>
      <c r="AU333" s="18">
        <v>207.37143621073525</v>
      </c>
      <c r="AV333" s="18">
        <v>169.94066190508929</v>
      </c>
      <c r="AW333" s="18">
        <v>169.18775775452542</v>
      </c>
      <c r="AX333" s="18">
        <v>114.89421092555993</v>
      </c>
      <c r="AY333" s="18">
        <v>170.30770469111494</v>
      </c>
      <c r="AZ333" s="18">
        <v>148.31611782607035</v>
      </c>
      <c r="BA333" s="18">
        <v>151.43637838421435</v>
      </c>
      <c r="BB333" s="18">
        <v>147.91111873135125</v>
      </c>
      <c r="BC333" s="23">
        <v>8.9181565948742242E-2</v>
      </c>
      <c r="BD333" s="23">
        <v>0.10665277883445198</v>
      </c>
      <c r="BE333" s="23">
        <v>9.438849084854764E-2</v>
      </c>
      <c r="BF333" s="23">
        <v>7.149564986855049E-2</v>
      </c>
      <c r="BG333" s="23">
        <v>0.10368571810536763</v>
      </c>
      <c r="BH333" s="23">
        <v>8.4970330952544637E-2</v>
      </c>
      <c r="BI333" s="23">
        <v>8.4593878877262704E-2</v>
      </c>
      <c r="BJ333" s="23">
        <v>5.7447105462779965E-2</v>
      </c>
      <c r="BK333" s="23">
        <v>8.5153852345557474E-2</v>
      </c>
      <c r="BL333" s="23">
        <v>7.4158058913035174E-2</v>
      </c>
      <c r="BM333" s="23">
        <v>7.5718189192107169E-2</v>
      </c>
      <c r="BN333" s="23">
        <v>7.3955559365675619E-2</v>
      </c>
    </row>
    <row r="334" spans="1:66" x14ac:dyDescent="0.25">
      <c r="A334" s="16">
        <v>4219</v>
      </c>
      <c r="B334" s="16" t="s">
        <v>530</v>
      </c>
      <c r="C334" s="17">
        <v>0</v>
      </c>
      <c r="D334" s="17">
        <f t="shared" si="194"/>
        <v>0</v>
      </c>
      <c r="E334" s="17">
        <f t="shared" si="195"/>
        <v>0</v>
      </c>
      <c r="F334" s="17">
        <f t="shared" si="196"/>
        <v>0</v>
      </c>
      <c r="G334" s="17">
        <f t="shared" si="197"/>
        <v>0</v>
      </c>
      <c r="H334" s="17">
        <f t="shared" si="198"/>
        <v>0</v>
      </c>
      <c r="I334" s="17">
        <f t="shared" si="199"/>
        <v>0</v>
      </c>
      <c r="J334" s="17">
        <f t="shared" si="200"/>
        <v>0</v>
      </c>
      <c r="K334" s="17">
        <f t="shared" si="201"/>
        <v>0</v>
      </c>
      <c r="L334" s="17">
        <f t="shared" si="202"/>
        <v>0</v>
      </c>
      <c r="M334" s="17">
        <f t="shared" si="203"/>
        <v>0</v>
      </c>
      <c r="N334" s="17">
        <f t="shared" si="204"/>
        <v>0</v>
      </c>
      <c r="O334" s="17">
        <f t="shared" si="205"/>
        <v>0</v>
      </c>
      <c r="P334" s="17">
        <v>0</v>
      </c>
      <c r="Q334" s="17">
        <f t="shared" si="206"/>
        <v>0</v>
      </c>
      <c r="R334" s="17">
        <f t="shared" si="207"/>
        <v>0</v>
      </c>
      <c r="S334" s="17">
        <f t="shared" si="208"/>
        <v>0</v>
      </c>
      <c r="T334" s="17">
        <f t="shared" si="209"/>
        <v>0</v>
      </c>
      <c r="U334" s="17">
        <f t="shared" si="210"/>
        <v>0</v>
      </c>
      <c r="V334" s="17">
        <f t="shared" si="211"/>
        <v>0</v>
      </c>
      <c r="W334" s="17">
        <f t="shared" si="212"/>
        <v>0</v>
      </c>
      <c r="X334" s="17">
        <f t="shared" si="213"/>
        <v>0</v>
      </c>
      <c r="Y334" s="17">
        <f t="shared" si="214"/>
        <v>0</v>
      </c>
      <c r="Z334" s="17">
        <f t="shared" si="215"/>
        <v>0</v>
      </c>
      <c r="AA334" s="17">
        <f t="shared" si="216"/>
        <v>0</v>
      </c>
      <c r="AB334" s="17">
        <f t="shared" si="217"/>
        <v>0</v>
      </c>
      <c r="AC334" s="17">
        <v>500</v>
      </c>
      <c r="AD334" s="17">
        <f t="shared" si="218"/>
        <v>44.590782974371123</v>
      </c>
      <c r="AE334" s="17">
        <f t="shared" si="219"/>
        <v>53.32638941722599</v>
      </c>
      <c r="AF334" s="17">
        <f t="shared" si="220"/>
        <v>47.194245424273824</v>
      </c>
      <c r="AG334" s="17">
        <f t="shared" si="221"/>
        <v>35.747824934275243</v>
      </c>
      <c r="AH334" s="17">
        <f t="shared" si="222"/>
        <v>51.842859052683814</v>
      </c>
      <c r="AI334" s="17">
        <f t="shared" si="223"/>
        <v>42.485165476272321</v>
      </c>
      <c r="AJ334" s="17">
        <f t="shared" si="224"/>
        <v>42.296939438631355</v>
      </c>
      <c r="AK334" s="17">
        <f t="shared" si="225"/>
        <v>28.723552731389983</v>
      </c>
      <c r="AL334" s="17">
        <f t="shared" si="226"/>
        <v>42.576926172778734</v>
      </c>
      <c r="AM334" s="17">
        <f t="shared" si="227"/>
        <v>37.079029456517588</v>
      </c>
      <c r="AN334" s="17">
        <f t="shared" si="228"/>
        <v>37.859094596053588</v>
      </c>
      <c r="AO334" s="17">
        <f t="shared" si="229"/>
        <v>36.977779682837813</v>
      </c>
      <c r="AP334" s="17">
        <f t="shared" si="230"/>
        <v>500</v>
      </c>
      <c r="AQ334" s="18">
        <v>178.36313189748449</v>
      </c>
      <c r="AR334" s="18">
        <v>213.30555766890396</v>
      </c>
      <c r="AS334" s="18">
        <v>188.77698169709529</v>
      </c>
      <c r="AT334" s="18">
        <v>142.99129973710097</v>
      </c>
      <c r="AU334" s="18">
        <v>207.37143621073525</v>
      </c>
      <c r="AV334" s="18">
        <v>169.94066190508929</v>
      </c>
      <c r="AW334" s="18">
        <v>169.18775775452542</v>
      </c>
      <c r="AX334" s="18">
        <v>114.89421092555993</v>
      </c>
      <c r="AY334" s="18">
        <v>170.30770469111494</v>
      </c>
      <c r="AZ334" s="18">
        <v>148.31611782607035</v>
      </c>
      <c r="BA334" s="18">
        <v>151.43637838421435</v>
      </c>
      <c r="BB334" s="18">
        <v>147.91111873135125</v>
      </c>
      <c r="BC334" s="23">
        <v>8.9181565948742242E-2</v>
      </c>
      <c r="BD334" s="23">
        <v>0.10665277883445198</v>
      </c>
      <c r="BE334" s="23">
        <v>9.438849084854764E-2</v>
      </c>
      <c r="BF334" s="23">
        <v>7.149564986855049E-2</v>
      </c>
      <c r="BG334" s="23">
        <v>0.10368571810536763</v>
      </c>
      <c r="BH334" s="23">
        <v>8.4970330952544637E-2</v>
      </c>
      <c r="BI334" s="23">
        <v>8.4593878877262704E-2</v>
      </c>
      <c r="BJ334" s="23">
        <v>5.7447105462779965E-2</v>
      </c>
      <c r="BK334" s="23">
        <v>8.5153852345557474E-2</v>
      </c>
      <c r="BL334" s="23">
        <v>7.4158058913035174E-2</v>
      </c>
      <c r="BM334" s="23">
        <v>7.5718189192107169E-2</v>
      </c>
      <c r="BN334" s="23">
        <v>7.3955559365675619E-2</v>
      </c>
    </row>
    <row r="335" spans="1:66" x14ac:dyDescent="0.25">
      <c r="A335" s="16">
        <v>4342</v>
      </c>
      <c r="B335" s="16" t="s">
        <v>531</v>
      </c>
      <c r="C335" s="17">
        <v>4000</v>
      </c>
      <c r="D335" s="17">
        <f t="shared" si="194"/>
        <v>356.72626379496899</v>
      </c>
      <c r="E335" s="17">
        <f t="shared" si="195"/>
        <v>426.61111533780792</v>
      </c>
      <c r="F335" s="17">
        <f t="shared" si="196"/>
        <v>377.55396339419059</v>
      </c>
      <c r="G335" s="17">
        <f t="shared" si="197"/>
        <v>285.98259947420195</v>
      </c>
      <c r="H335" s="17">
        <f t="shared" si="198"/>
        <v>414.74287242147051</v>
      </c>
      <c r="I335" s="17">
        <f t="shared" si="199"/>
        <v>339.88132381017857</v>
      </c>
      <c r="J335" s="17">
        <f t="shared" si="200"/>
        <v>338.37551550905084</v>
      </c>
      <c r="K335" s="17">
        <f t="shared" si="201"/>
        <v>229.78842185111986</v>
      </c>
      <c r="L335" s="17">
        <f t="shared" si="202"/>
        <v>340.61540938222987</v>
      </c>
      <c r="M335" s="17">
        <f t="shared" si="203"/>
        <v>296.63223565214071</v>
      </c>
      <c r="N335" s="17">
        <f t="shared" si="204"/>
        <v>302.8727567684287</v>
      </c>
      <c r="O335" s="17">
        <f t="shared" si="205"/>
        <v>295.8222374627025</v>
      </c>
      <c r="P335" s="17">
        <v>0</v>
      </c>
      <c r="Q335" s="17">
        <f t="shared" si="206"/>
        <v>0</v>
      </c>
      <c r="R335" s="17">
        <f t="shared" si="207"/>
        <v>0</v>
      </c>
      <c r="S335" s="17">
        <f t="shared" si="208"/>
        <v>0</v>
      </c>
      <c r="T335" s="17">
        <f t="shared" si="209"/>
        <v>0</v>
      </c>
      <c r="U335" s="17">
        <f t="shared" si="210"/>
        <v>0</v>
      </c>
      <c r="V335" s="17">
        <f t="shared" si="211"/>
        <v>0</v>
      </c>
      <c r="W335" s="17">
        <f t="shared" si="212"/>
        <v>0</v>
      </c>
      <c r="X335" s="17">
        <f t="shared" si="213"/>
        <v>0</v>
      </c>
      <c r="Y335" s="17">
        <f t="shared" si="214"/>
        <v>0</v>
      </c>
      <c r="Z335" s="17">
        <f t="shared" si="215"/>
        <v>0</v>
      </c>
      <c r="AA335" s="17">
        <f t="shared" si="216"/>
        <v>0</v>
      </c>
      <c r="AB335" s="17">
        <f t="shared" si="217"/>
        <v>0</v>
      </c>
      <c r="AC335" s="17">
        <v>0</v>
      </c>
      <c r="AD335" s="17">
        <f t="shared" si="218"/>
        <v>0</v>
      </c>
      <c r="AE335" s="17">
        <f t="shared" si="219"/>
        <v>0</v>
      </c>
      <c r="AF335" s="17">
        <f t="shared" si="220"/>
        <v>0</v>
      </c>
      <c r="AG335" s="17">
        <f t="shared" si="221"/>
        <v>0</v>
      </c>
      <c r="AH335" s="17">
        <f t="shared" si="222"/>
        <v>0</v>
      </c>
      <c r="AI335" s="17">
        <f t="shared" si="223"/>
        <v>0</v>
      </c>
      <c r="AJ335" s="17">
        <f t="shared" si="224"/>
        <v>0</v>
      </c>
      <c r="AK335" s="17">
        <f t="shared" si="225"/>
        <v>0</v>
      </c>
      <c r="AL335" s="17">
        <f t="shared" si="226"/>
        <v>0</v>
      </c>
      <c r="AM335" s="17">
        <f t="shared" si="227"/>
        <v>0</v>
      </c>
      <c r="AN335" s="17">
        <f t="shared" si="228"/>
        <v>0</v>
      </c>
      <c r="AO335" s="17">
        <f t="shared" si="229"/>
        <v>0</v>
      </c>
      <c r="AP335" s="17">
        <f t="shared" si="230"/>
        <v>4000</v>
      </c>
      <c r="AQ335" s="18">
        <v>178.36313189748449</v>
      </c>
      <c r="AR335" s="18">
        <v>213.30555766890396</v>
      </c>
      <c r="AS335" s="18">
        <v>188.77698169709529</v>
      </c>
      <c r="AT335" s="18">
        <v>142.99129973710097</v>
      </c>
      <c r="AU335" s="18">
        <v>207.37143621073525</v>
      </c>
      <c r="AV335" s="18">
        <v>169.94066190508929</v>
      </c>
      <c r="AW335" s="18">
        <v>169.18775775452542</v>
      </c>
      <c r="AX335" s="18">
        <v>114.89421092555993</v>
      </c>
      <c r="AY335" s="18">
        <v>170.30770469111494</v>
      </c>
      <c r="AZ335" s="18">
        <v>148.31611782607035</v>
      </c>
      <c r="BA335" s="18">
        <v>151.43637838421435</v>
      </c>
      <c r="BB335" s="18">
        <v>147.91111873135125</v>
      </c>
      <c r="BC335" s="23">
        <v>8.9181565948742242E-2</v>
      </c>
      <c r="BD335" s="23">
        <v>0.10665277883445198</v>
      </c>
      <c r="BE335" s="23">
        <v>9.438849084854764E-2</v>
      </c>
      <c r="BF335" s="23">
        <v>7.149564986855049E-2</v>
      </c>
      <c r="BG335" s="23">
        <v>0.10368571810536763</v>
      </c>
      <c r="BH335" s="23">
        <v>8.4970330952544637E-2</v>
      </c>
      <c r="BI335" s="23">
        <v>8.4593878877262704E-2</v>
      </c>
      <c r="BJ335" s="23">
        <v>5.7447105462779965E-2</v>
      </c>
      <c r="BK335" s="23">
        <v>8.5153852345557474E-2</v>
      </c>
      <c r="BL335" s="23">
        <v>7.4158058913035174E-2</v>
      </c>
      <c r="BM335" s="23">
        <v>7.5718189192107169E-2</v>
      </c>
      <c r="BN335" s="23">
        <v>7.3955559365675619E-2</v>
      </c>
    </row>
    <row r="336" spans="1:66" x14ac:dyDescent="0.25">
      <c r="A336" s="16">
        <v>4757</v>
      </c>
      <c r="B336" s="16" t="s">
        <v>532</v>
      </c>
      <c r="C336" s="17">
        <v>0</v>
      </c>
      <c r="D336" s="17">
        <f t="shared" si="194"/>
        <v>0</v>
      </c>
      <c r="E336" s="17">
        <f t="shared" si="195"/>
        <v>0</v>
      </c>
      <c r="F336" s="17">
        <f t="shared" si="196"/>
        <v>0</v>
      </c>
      <c r="G336" s="17">
        <f t="shared" si="197"/>
        <v>0</v>
      </c>
      <c r="H336" s="17">
        <f t="shared" si="198"/>
        <v>0</v>
      </c>
      <c r="I336" s="17">
        <f t="shared" si="199"/>
        <v>0</v>
      </c>
      <c r="J336" s="17">
        <f t="shared" si="200"/>
        <v>0</v>
      </c>
      <c r="K336" s="17">
        <f t="shared" si="201"/>
        <v>0</v>
      </c>
      <c r="L336" s="17">
        <f t="shared" si="202"/>
        <v>0</v>
      </c>
      <c r="M336" s="17">
        <f t="shared" si="203"/>
        <v>0</v>
      </c>
      <c r="N336" s="17">
        <f t="shared" si="204"/>
        <v>0</v>
      </c>
      <c r="O336" s="17">
        <f t="shared" si="205"/>
        <v>0</v>
      </c>
      <c r="P336" s="17">
        <v>0</v>
      </c>
      <c r="Q336" s="17">
        <f t="shared" si="206"/>
        <v>0</v>
      </c>
      <c r="R336" s="17">
        <f t="shared" si="207"/>
        <v>0</v>
      </c>
      <c r="S336" s="17">
        <f t="shared" si="208"/>
        <v>0</v>
      </c>
      <c r="T336" s="17">
        <f t="shared" si="209"/>
        <v>0</v>
      </c>
      <c r="U336" s="17">
        <f t="shared" si="210"/>
        <v>0</v>
      </c>
      <c r="V336" s="17">
        <f t="shared" si="211"/>
        <v>0</v>
      </c>
      <c r="W336" s="17">
        <f t="shared" si="212"/>
        <v>0</v>
      </c>
      <c r="X336" s="17">
        <f t="shared" si="213"/>
        <v>0</v>
      </c>
      <c r="Y336" s="17">
        <f t="shared" si="214"/>
        <v>0</v>
      </c>
      <c r="Z336" s="17">
        <f t="shared" si="215"/>
        <v>0</v>
      </c>
      <c r="AA336" s="17">
        <f t="shared" si="216"/>
        <v>0</v>
      </c>
      <c r="AB336" s="17">
        <f t="shared" si="217"/>
        <v>0</v>
      </c>
      <c r="AC336" s="17">
        <v>0</v>
      </c>
      <c r="AD336" s="17">
        <f t="shared" si="218"/>
        <v>0</v>
      </c>
      <c r="AE336" s="17">
        <f t="shared" si="219"/>
        <v>0</v>
      </c>
      <c r="AF336" s="17">
        <f t="shared" si="220"/>
        <v>0</v>
      </c>
      <c r="AG336" s="17">
        <f t="shared" si="221"/>
        <v>0</v>
      </c>
      <c r="AH336" s="17">
        <f t="shared" si="222"/>
        <v>0</v>
      </c>
      <c r="AI336" s="17">
        <f t="shared" si="223"/>
        <v>0</v>
      </c>
      <c r="AJ336" s="17">
        <f t="shared" si="224"/>
        <v>0</v>
      </c>
      <c r="AK336" s="17">
        <f t="shared" si="225"/>
        <v>0</v>
      </c>
      <c r="AL336" s="17">
        <f t="shared" si="226"/>
        <v>0</v>
      </c>
      <c r="AM336" s="17">
        <f t="shared" si="227"/>
        <v>0</v>
      </c>
      <c r="AN336" s="17">
        <f t="shared" si="228"/>
        <v>0</v>
      </c>
      <c r="AO336" s="17">
        <f t="shared" si="229"/>
        <v>0</v>
      </c>
      <c r="AP336" s="17">
        <f t="shared" si="230"/>
        <v>0</v>
      </c>
      <c r="AQ336" s="18">
        <v>178.36313189748449</v>
      </c>
      <c r="AR336" s="18">
        <v>213.30555766890396</v>
      </c>
      <c r="AS336" s="18">
        <v>188.77698169709529</v>
      </c>
      <c r="AT336" s="18">
        <v>142.99129973710097</v>
      </c>
      <c r="AU336" s="18">
        <v>207.37143621073525</v>
      </c>
      <c r="AV336" s="18">
        <v>169.94066190508929</v>
      </c>
      <c r="AW336" s="18">
        <v>169.18775775452542</v>
      </c>
      <c r="AX336" s="18">
        <v>114.89421092555993</v>
      </c>
      <c r="AY336" s="18">
        <v>170.30770469111494</v>
      </c>
      <c r="AZ336" s="18">
        <v>148.31611782607035</v>
      </c>
      <c r="BA336" s="18">
        <v>151.43637838421435</v>
      </c>
      <c r="BB336" s="18">
        <v>147.91111873135125</v>
      </c>
      <c r="BC336" s="23">
        <v>8.9181565948742242E-2</v>
      </c>
      <c r="BD336" s="23">
        <v>0.10665277883445198</v>
      </c>
      <c r="BE336" s="23">
        <v>9.438849084854764E-2</v>
      </c>
      <c r="BF336" s="23">
        <v>7.149564986855049E-2</v>
      </c>
      <c r="BG336" s="23">
        <v>0.10368571810536763</v>
      </c>
      <c r="BH336" s="23">
        <v>8.4970330952544637E-2</v>
      </c>
      <c r="BI336" s="23">
        <v>8.4593878877262704E-2</v>
      </c>
      <c r="BJ336" s="23">
        <v>5.7447105462779965E-2</v>
      </c>
      <c r="BK336" s="23">
        <v>8.5153852345557474E-2</v>
      </c>
      <c r="BL336" s="23">
        <v>7.4158058913035174E-2</v>
      </c>
      <c r="BM336" s="23">
        <v>7.5718189192107169E-2</v>
      </c>
      <c r="BN336" s="23">
        <v>7.3955559365675619E-2</v>
      </c>
    </row>
    <row r="337" spans="1:66" x14ac:dyDescent="0.25">
      <c r="A337" s="16">
        <v>4818</v>
      </c>
      <c r="B337" s="16" t="s">
        <v>533</v>
      </c>
      <c r="C337" s="17">
        <v>0</v>
      </c>
      <c r="D337" s="17">
        <f t="shared" si="194"/>
        <v>0</v>
      </c>
      <c r="E337" s="17">
        <f t="shared" si="195"/>
        <v>0</v>
      </c>
      <c r="F337" s="17">
        <f t="shared" si="196"/>
        <v>0</v>
      </c>
      <c r="G337" s="17">
        <f t="shared" si="197"/>
        <v>0</v>
      </c>
      <c r="H337" s="17">
        <f t="shared" si="198"/>
        <v>0</v>
      </c>
      <c r="I337" s="17">
        <f t="shared" si="199"/>
        <v>0</v>
      </c>
      <c r="J337" s="17">
        <f t="shared" si="200"/>
        <v>0</v>
      </c>
      <c r="K337" s="17">
        <f t="shared" si="201"/>
        <v>0</v>
      </c>
      <c r="L337" s="17">
        <f t="shared" si="202"/>
        <v>0</v>
      </c>
      <c r="M337" s="17">
        <f t="shared" si="203"/>
        <v>0</v>
      </c>
      <c r="N337" s="17">
        <f t="shared" si="204"/>
        <v>0</v>
      </c>
      <c r="O337" s="17">
        <f t="shared" si="205"/>
        <v>0</v>
      </c>
      <c r="P337" s="17">
        <v>0</v>
      </c>
      <c r="Q337" s="17">
        <f t="shared" si="206"/>
        <v>0</v>
      </c>
      <c r="R337" s="17">
        <f t="shared" si="207"/>
        <v>0</v>
      </c>
      <c r="S337" s="17">
        <f t="shared" si="208"/>
        <v>0</v>
      </c>
      <c r="T337" s="17">
        <f t="shared" si="209"/>
        <v>0</v>
      </c>
      <c r="U337" s="17">
        <f t="shared" si="210"/>
        <v>0</v>
      </c>
      <c r="V337" s="17">
        <f t="shared" si="211"/>
        <v>0</v>
      </c>
      <c r="W337" s="17">
        <f t="shared" si="212"/>
        <v>0</v>
      </c>
      <c r="X337" s="17">
        <f t="shared" si="213"/>
        <v>0</v>
      </c>
      <c r="Y337" s="17">
        <f t="shared" si="214"/>
        <v>0</v>
      </c>
      <c r="Z337" s="17">
        <f t="shared" si="215"/>
        <v>0</v>
      </c>
      <c r="AA337" s="17">
        <f t="shared" si="216"/>
        <v>0</v>
      </c>
      <c r="AB337" s="17">
        <f t="shared" si="217"/>
        <v>0</v>
      </c>
      <c r="AC337" s="17">
        <v>0</v>
      </c>
      <c r="AD337" s="17">
        <f t="shared" si="218"/>
        <v>0</v>
      </c>
      <c r="AE337" s="17">
        <f t="shared" si="219"/>
        <v>0</v>
      </c>
      <c r="AF337" s="17">
        <f t="shared" si="220"/>
        <v>0</v>
      </c>
      <c r="AG337" s="17">
        <f t="shared" si="221"/>
        <v>0</v>
      </c>
      <c r="AH337" s="17">
        <f t="shared" si="222"/>
        <v>0</v>
      </c>
      <c r="AI337" s="17">
        <f t="shared" si="223"/>
        <v>0</v>
      </c>
      <c r="AJ337" s="17">
        <f t="shared" si="224"/>
        <v>0</v>
      </c>
      <c r="AK337" s="17">
        <f t="shared" si="225"/>
        <v>0</v>
      </c>
      <c r="AL337" s="17">
        <f t="shared" si="226"/>
        <v>0</v>
      </c>
      <c r="AM337" s="17">
        <f t="shared" si="227"/>
        <v>0</v>
      </c>
      <c r="AN337" s="17">
        <f t="shared" si="228"/>
        <v>0</v>
      </c>
      <c r="AO337" s="17">
        <f t="shared" si="229"/>
        <v>0</v>
      </c>
      <c r="AP337" s="17">
        <f t="shared" si="230"/>
        <v>0</v>
      </c>
      <c r="AQ337" s="18">
        <v>178.36313189748449</v>
      </c>
      <c r="AR337" s="18">
        <v>213.30555766890396</v>
      </c>
      <c r="AS337" s="18">
        <v>188.77698169709529</v>
      </c>
      <c r="AT337" s="18">
        <v>142.99129973710097</v>
      </c>
      <c r="AU337" s="18">
        <v>207.37143621073525</v>
      </c>
      <c r="AV337" s="18">
        <v>169.94066190508929</v>
      </c>
      <c r="AW337" s="18">
        <v>169.18775775452542</v>
      </c>
      <c r="AX337" s="18">
        <v>114.89421092555993</v>
      </c>
      <c r="AY337" s="18">
        <v>170.30770469111494</v>
      </c>
      <c r="AZ337" s="18">
        <v>148.31611782607035</v>
      </c>
      <c r="BA337" s="18">
        <v>151.43637838421435</v>
      </c>
      <c r="BB337" s="18">
        <v>147.91111873135125</v>
      </c>
      <c r="BC337" s="23">
        <v>8.9181565948742242E-2</v>
      </c>
      <c r="BD337" s="23">
        <v>0.10665277883445198</v>
      </c>
      <c r="BE337" s="23">
        <v>9.438849084854764E-2</v>
      </c>
      <c r="BF337" s="23">
        <v>7.149564986855049E-2</v>
      </c>
      <c r="BG337" s="23">
        <v>0.10368571810536763</v>
      </c>
      <c r="BH337" s="23">
        <v>8.4970330952544637E-2</v>
      </c>
      <c r="BI337" s="23">
        <v>8.4593878877262704E-2</v>
      </c>
      <c r="BJ337" s="23">
        <v>5.7447105462779965E-2</v>
      </c>
      <c r="BK337" s="23">
        <v>8.5153852345557474E-2</v>
      </c>
      <c r="BL337" s="23">
        <v>7.4158058913035174E-2</v>
      </c>
      <c r="BM337" s="23">
        <v>7.5718189192107169E-2</v>
      </c>
      <c r="BN337" s="23">
        <v>7.3955559365675619E-2</v>
      </c>
    </row>
    <row r="338" spans="1:66" x14ac:dyDescent="0.25">
      <c r="A338" s="16">
        <v>5028</v>
      </c>
      <c r="B338" s="16" t="s">
        <v>534</v>
      </c>
      <c r="C338" s="17">
        <v>2000</v>
      </c>
      <c r="D338" s="17">
        <f t="shared" si="194"/>
        <v>178.36313189748449</v>
      </c>
      <c r="E338" s="17">
        <f t="shared" si="195"/>
        <v>213.30555766890396</v>
      </c>
      <c r="F338" s="17">
        <f t="shared" si="196"/>
        <v>188.77698169709529</v>
      </c>
      <c r="G338" s="17">
        <f t="shared" si="197"/>
        <v>142.99129973710097</v>
      </c>
      <c r="H338" s="17">
        <f t="shared" si="198"/>
        <v>207.37143621073525</v>
      </c>
      <c r="I338" s="17">
        <f t="shared" si="199"/>
        <v>169.94066190508929</v>
      </c>
      <c r="J338" s="17">
        <f t="shared" si="200"/>
        <v>169.18775775452542</v>
      </c>
      <c r="K338" s="17">
        <f t="shared" si="201"/>
        <v>114.89421092555993</v>
      </c>
      <c r="L338" s="17">
        <f t="shared" si="202"/>
        <v>170.30770469111494</v>
      </c>
      <c r="M338" s="17">
        <f t="shared" si="203"/>
        <v>148.31611782607035</v>
      </c>
      <c r="N338" s="17">
        <f t="shared" si="204"/>
        <v>151.43637838421435</v>
      </c>
      <c r="O338" s="17">
        <f t="shared" si="205"/>
        <v>147.91111873135125</v>
      </c>
      <c r="P338" s="17">
        <v>0</v>
      </c>
      <c r="Q338" s="17">
        <f t="shared" si="206"/>
        <v>0</v>
      </c>
      <c r="R338" s="17">
        <f t="shared" si="207"/>
        <v>0</v>
      </c>
      <c r="S338" s="17">
        <f t="shared" si="208"/>
        <v>0</v>
      </c>
      <c r="T338" s="17">
        <f t="shared" si="209"/>
        <v>0</v>
      </c>
      <c r="U338" s="17">
        <f t="shared" si="210"/>
        <v>0</v>
      </c>
      <c r="V338" s="17">
        <f t="shared" si="211"/>
        <v>0</v>
      </c>
      <c r="W338" s="17">
        <f t="shared" si="212"/>
        <v>0</v>
      </c>
      <c r="X338" s="17">
        <f t="shared" si="213"/>
        <v>0</v>
      </c>
      <c r="Y338" s="17">
        <f t="shared" si="214"/>
        <v>0</v>
      </c>
      <c r="Z338" s="17">
        <f t="shared" si="215"/>
        <v>0</v>
      </c>
      <c r="AA338" s="17">
        <f t="shared" si="216"/>
        <v>0</v>
      </c>
      <c r="AB338" s="17">
        <f t="shared" si="217"/>
        <v>0</v>
      </c>
      <c r="AC338" s="17">
        <v>0</v>
      </c>
      <c r="AD338" s="17">
        <f t="shared" si="218"/>
        <v>0</v>
      </c>
      <c r="AE338" s="17">
        <f t="shared" si="219"/>
        <v>0</v>
      </c>
      <c r="AF338" s="17">
        <f t="shared" si="220"/>
        <v>0</v>
      </c>
      <c r="AG338" s="17">
        <f t="shared" si="221"/>
        <v>0</v>
      </c>
      <c r="AH338" s="17">
        <f t="shared" si="222"/>
        <v>0</v>
      </c>
      <c r="AI338" s="17">
        <f t="shared" si="223"/>
        <v>0</v>
      </c>
      <c r="AJ338" s="17">
        <f t="shared" si="224"/>
        <v>0</v>
      </c>
      <c r="AK338" s="17">
        <f t="shared" si="225"/>
        <v>0</v>
      </c>
      <c r="AL338" s="17">
        <f t="shared" si="226"/>
        <v>0</v>
      </c>
      <c r="AM338" s="17">
        <f t="shared" si="227"/>
        <v>0</v>
      </c>
      <c r="AN338" s="17">
        <f t="shared" si="228"/>
        <v>0</v>
      </c>
      <c r="AO338" s="17">
        <f t="shared" si="229"/>
        <v>0</v>
      </c>
      <c r="AP338" s="17">
        <f t="shared" si="230"/>
        <v>2000</v>
      </c>
      <c r="AQ338" s="18">
        <v>445.9078297437112</v>
      </c>
      <c r="AR338" s="18">
        <v>533.26389417225994</v>
      </c>
      <c r="AS338" s="18">
        <v>471.94245424273822</v>
      </c>
      <c r="AT338" s="18">
        <v>357.47824934275246</v>
      </c>
      <c r="AU338" s="18">
        <v>518.42859052683809</v>
      </c>
      <c r="AV338" s="18">
        <v>424.85165476272317</v>
      </c>
      <c r="AW338" s="18">
        <v>422.96939438631352</v>
      </c>
      <c r="AX338" s="18">
        <v>287.23552731389981</v>
      </c>
      <c r="AY338" s="18">
        <v>425.76926172778735</v>
      </c>
      <c r="AZ338" s="18">
        <v>370.79029456517588</v>
      </c>
      <c r="BA338" s="18">
        <v>378.59094596053586</v>
      </c>
      <c r="BB338" s="18">
        <v>369.77779682837809</v>
      </c>
      <c r="BC338" s="23">
        <v>8.9181565948742242E-2</v>
      </c>
      <c r="BD338" s="23">
        <v>0.10665277883445198</v>
      </c>
      <c r="BE338" s="23">
        <v>9.438849084854764E-2</v>
      </c>
      <c r="BF338" s="23">
        <v>7.149564986855049E-2</v>
      </c>
      <c r="BG338" s="23">
        <v>0.10368571810536763</v>
      </c>
      <c r="BH338" s="23">
        <v>8.4970330952544637E-2</v>
      </c>
      <c r="BI338" s="23">
        <v>8.4593878877262704E-2</v>
      </c>
      <c r="BJ338" s="23">
        <v>5.7447105462779965E-2</v>
      </c>
      <c r="BK338" s="23">
        <v>8.5153852345557474E-2</v>
      </c>
      <c r="BL338" s="23">
        <v>7.4158058913035174E-2</v>
      </c>
      <c r="BM338" s="23">
        <v>7.5718189192107169E-2</v>
      </c>
      <c r="BN338" s="23">
        <v>7.3955559365675619E-2</v>
      </c>
    </row>
    <row r="339" spans="1:66" x14ac:dyDescent="0.25">
      <c r="A339" s="16">
        <v>5311</v>
      </c>
      <c r="B339" s="16" t="s">
        <v>535</v>
      </c>
      <c r="C339" s="17">
        <v>0</v>
      </c>
      <c r="D339" s="17">
        <f t="shared" si="194"/>
        <v>0</v>
      </c>
      <c r="E339" s="17">
        <f t="shared" si="195"/>
        <v>0</v>
      </c>
      <c r="F339" s="17">
        <f t="shared" si="196"/>
        <v>0</v>
      </c>
      <c r="G339" s="17">
        <f t="shared" si="197"/>
        <v>0</v>
      </c>
      <c r="H339" s="17">
        <f t="shared" si="198"/>
        <v>0</v>
      </c>
      <c r="I339" s="17">
        <f t="shared" si="199"/>
        <v>0</v>
      </c>
      <c r="J339" s="17">
        <f t="shared" si="200"/>
        <v>0</v>
      </c>
      <c r="K339" s="17">
        <f t="shared" si="201"/>
        <v>0</v>
      </c>
      <c r="L339" s="17">
        <f t="shared" si="202"/>
        <v>0</v>
      </c>
      <c r="M339" s="17">
        <f t="shared" si="203"/>
        <v>0</v>
      </c>
      <c r="N339" s="17">
        <f t="shared" si="204"/>
        <v>0</v>
      </c>
      <c r="O339" s="17">
        <f t="shared" si="205"/>
        <v>0</v>
      </c>
      <c r="P339" s="17">
        <v>1500</v>
      </c>
      <c r="Q339" s="17">
        <f t="shared" si="206"/>
        <v>133.77234892311336</v>
      </c>
      <c r="R339" s="17">
        <f t="shared" si="207"/>
        <v>159.97916825167798</v>
      </c>
      <c r="S339" s="17">
        <f t="shared" si="208"/>
        <v>141.58273627282145</v>
      </c>
      <c r="T339" s="17">
        <f t="shared" si="209"/>
        <v>107.24347480282573</v>
      </c>
      <c r="U339" s="17">
        <f t="shared" si="210"/>
        <v>155.52857715805143</v>
      </c>
      <c r="V339" s="17">
        <f t="shared" si="211"/>
        <v>127.45549642881696</v>
      </c>
      <c r="W339" s="17">
        <f t="shared" si="212"/>
        <v>126.89081831589405</v>
      </c>
      <c r="X339" s="17">
        <f t="shared" si="213"/>
        <v>86.170658194169945</v>
      </c>
      <c r="Y339" s="17">
        <f t="shared" si="214"/>
        <v>127.73077851833621</v>
      </c>
      <c r="Z339" s="17">
        <f t="shared" si="215"/>
        <v>111.23708836955277</v>
      </c>
      <c r="AA339" s="17">
        <f t="shared" si="216"/>
        <v>113.57728378816076</v>
      </c>
      <c r="AB339" s="17">
        <f t="shared" si="217"/>
        <v>110.93333904851343</v>
      </c>
      <c r="AC339" s="17">
        <v>0</v>
      </c>
      <c r="AD339" s="17">
        <f t="shared" si="218"/>
        <v>0</v>
      </c>
      <c r="AE339" s="17">
        <f t="shared" si="219"/>
        <v>0</v>
      </c>
      <c r="AF339" s="17">
        <f t="shared" si="220"/>
        <v>0</v>
      </c>
      <c r="AG339" s="17">
        <f t="shared" si="221"/>
        <v>0</v>
      </c>
      <c r="AH339" s="17">
        <f t="shared" si="222"/>
        <v>0</v>
      </c>
      <c r="AI339" s="17">
        <f t="shared" si="223"/>
        <v>0</v>
      </c>
      <c r="AJ339" s="17">
        <f t="shared" si="224"/>
        <v>0</v>
      </c>
      <c r="AK339" s="17">
        <f t="shared" si="225"/>
        <v>0</v>
      </c>
      <c r="AL339" s="17">
        <f t="shared" si="226"/>
        <v>0</v>
      </c>
      <c r="AM339" s="17">
        <f t="shared" si="227"/>
        <v>0</v>
      </c>
      <c r="AN339" s="17">
        <f t="shared" si="228"/>
        <v>0</v>
      </c>
      <c r="AO339" s="17">
        <f t="shared" si="229"/>
        <v>0</v>
      </c>
      <c r="AP339" s="17">
        <f t="shared" si="230"/>
        <v>1500</v>
      </c>
      <c r="AQ339" s="18">
        <v>178.36313189748449</v>
      </c>
      <c r="AR339" s="18">
        <v>213.30555766890396</v>
      </c>
      <c r="AS339" s="18">
        <v>188.77698169709529</v>
      </c>
      <c r="AT339" s="18">
        <v>142.99129973710097</v>
      </c>
      <c r="AU339" s="18">
        <v>207.37143621073525</v>
      </c>
      <c r="AV339" s="18">
        <v>169.94066190508929</v>
      </c>
      <c r="AW339" s="18">
        <v>169.18775775452542</v>
      </c>
      <c r="AX339" s="18">
        <v>114.89421092555993</v>
      </c>
      <c r="AY339" s="18">
        <v>170.30770469111494</v>
      </c>
      <c r="AZ339" s="18">
        <v>148.31611782607035</v>
      </c>
      <c r="BA339" s="18">
        <v>151.43637838421435</v>
      </c>
      <c r="BB339" s="18">
        <v>147.91111873135125</v>
      </c>
      <c r="BC339" s="23">
        <v>8.9181565948742242E-2</v>
      </c>
      <c r="BD339" s="23">
        <v>0.10665277883445198</v>
      </c>
      <c r="BE339" s="23">
        <v>9.438849084854764E-2</v>
      </c>
      <c r="BF339" s="23">
        <v>7.149564986855049E-2</v>
      </c>
      <c r="BG339" s="23">
        <v>0.10368571810536763</v>
      </c>
      <c r="BH339" s="23">
        <v>8.4970330952544637E-2</v>
      </c>
      <c r="BI339" s="23">
        <v>8.4593878877262704E-2</v>
      </c>
      <c r="BJ339" s="23">
        <v>5.7447105462779965E-2</v>
      </c>
      <c r="BK339" s="23">
        <v>8.5153852345557474E-2</v>
      </c>
      <c r="BL339" s="23">
        <v>7.4158058913035174E-2</v>
      </c>
      <c r="BM339" s="23">
        <v>7.5718189192107169E-2</v>
      </c>
      <c r="BN339" s="23">
        <v>7.3955559365675619E-2</v>
      </c>
    </row>
    <row r="340" spans="1:66" x14ac:dyDescent="0.25">
      <c r="A340" s="16">
        <v>5321</v>
      </c>
      <c r="B340" s="16" t="s">
        <v>536</v>
      </c>
      <c r="C340" s="17">
        <v>0</v>
      </c>
      <c r="D340" s="17">
        <f t="shared" si="194"/>
        <v>0</v>
      </c>
      <c r="E340" s="17">
        <f t="shared" si="195"/>
        <v>0</v>
      </c>
      <c r="F340" s="17">
        <f t="shared" si="196"/>
        <v>0</v>
      </c>
      <c r="G340" s="17">
        <f t="shared" si="197"/>
        <v>0</v>
      </c>
      <c r="H340" s="17">
        <f t="shared" si="198"/>
        <v>0</v>
      </c>
      <c r="I340" s="17">
        <f t="shared" si="199"/>
        <v>0</v>
      </c>
      <c r="J340" s="17">
        <f t="shared" si="200"/>
        <v>0</v>
      </c>
      <c r="K340" s="17">
        <f t="shared" si="201"/>
        <v>0</v>
      </c>
      <c r="L340" s="17">
        <f t="shared" si="202"/>
        <v>0</v>
      </c>
      <c r="M340" s="17">
        <f t="shared" si="203"/>
        <v>0</v>
      </c>
      <c r="N340" s="17">
        <f t="shared" si="204"/>
        <v>0</v>
      </c>
      <c r="O340" s="17">
        <f t="shared" si="205"/>
        <v>0</v>
      </c>
      <c r="P340" s="17">
        <v>0</v>
      </c>
      <c r="Q340" s="17">
        <f t="shared" si="206"/>
        <v>0</v>
      </c>
      <c r="R340" s="17">
        <f t="shared" si="207"/>
        <v>0</v>
      </c>
      <c r="S340" s="17">
        <f t="shared" si="208"/>
        <v>0</v>
      </c>
      <c r="T340" s="17">
        <f t="shared" si="209"/>
        <v>0</v>
      </c>
      <c r="U340" s="17">
        <f t="shared" si="210"/>
        <v>0</v>
      </c>
      <c r="V340" s="17">
        <f t="shared" si="211"/>
        <v>0</v>
      </c>
      <c r="W340" s="17">
        <f t="shared" si="212"/>
        <v>0</v>
      </c>
      <c r="X340" s="17">
        <f t="shared" si="213"/>
        <v>0</v>
      </c>
      <c r="Y340" s="17">
        <f t="shared" si="214"/>
        <v>0</v>
      </c>
      <c r="Z340" s="17">
        <f t="shared" si="215"/>
        <v>0</v>
      </c>
      <c r="AA340" s="17">
        <f t="shared" si="216"/>
        <v>0</v>
      </c>
      <c r="AB340" s="17">
        <f t="shared" si="217"/>
        <v>0</v>
      </c>
      <c r="AC340" s="17">
        <v>0</v>
      </c>
      <c r="AD340" s="17">
        <f t="shared" si="218"/>
        <v>0</v>
      </c>
      <c r="AE340" s="17">
        <f t="shared" si="219"/>
        <v>0</v>
      </c>
      <c r="AF340" s="17">
        <f t="shared" si="220"/>
        <v>0</v>
      </c>
      <c r="AG340" s="17">
        <f t="shared" si="221"/>
        <v>0</v>
      </c>
      <c r="AH340" s="17">
        <f t="shared" si="222"/>
        <v>0</v>
      </c>
      <c r="AI340" s="17">
        <f t="shared" si="223"/>
        <v>0</v>
      </c>
      <c r="AJ340" s="17">
        <f t="shared" si="224"/>
        <v>0</v>
      </c>
      <c r="AK340" s="17">
        <f t="shared" si="225"/>
        <v>0</v>
      </c>
      <c r="AL340" s="17">
        <f t="shared" si="226"/>
        <v>0</v>
      </c>
      <c r="AM340" s="17">
        <f t="shared" si="227"/>
        <v>0</v>
      </c>
      <c r="AN340" s="17">
        <f t="shared" si="228"/>
        <v>0</v>
      </c>
      <c r="AO340" s="17">
        <f t="shared" si="229"/>
        <v>0</v>
      </c>
      <c r="AP340" s="17">
        <f t="shared" si="230"/>
        <v>0</v>
      </c>
      <c r="AQ340" s="18">
        <v>178.36313189748449</v>
      </c>
      <c r="AR340" s="18">
        <v>213.30555766890396</v>
      </c>
      <c r="AS340" s="18">
        <v>188.77698169709529</v>
      </c>
      <c r="AT340" s="18">
        <v>142.99129973710097</v>
      </c>
      <c r="AU340" s="18">
        <v>207.37143621073525</v>
      </c>
      <c r="AV340" s="18">
        <v>169.94066190508929</v>
      </c>
      <c r="AW340" s="18">
        <v>169.18775775452542</v>
      </c>
      <c r="AX340" s="18">
        <v>114.89421092555993</v>
      </c>
      <c r="AY340" s="18">
        <v>170.30770469111494</v>
      </c>
      <c r="AZ340" s="18">
        <v>148.31611782607035</v>
      </c>
      <c r="BA340" s="18">
        <v>151.43637838421435</v>
      </c>
      <c r="BB340" s="18">
        <v>147.91111873135125</v>
      </c>
      <c r="BC340" s="23">
        <v>8.9181565948742242E-2</v>
      </c>
      <c r="BD340" s="23">
        <v>0.10665277883445198</v>
      </c>
      <c r="BE340" s="23">
        <v>9.438849084854764E-2</v>
      </c>
      <c r="BF340" s="23">
        <v>7.149564986855049E-2</v>
      </c>
      <c r="BG340" s="23">
        <v>0.10368571810536763</v>
      </c>
      <c r="BH340" s="23">
        <v>8.4970330952544637E-2</v>
      </c>
      <c r="BI340" s="23">
        <v>8.4593878877262704E-2</v>
      </c>
      <c r="BJ340" s="23">
        <v>5.7447105462779965E-2</v>
      </c>
      <c r="BK340" s="23">
        <v>8.5153852345557474E-2</v>
      </c>
      <c r="BL340" s="23">
        <v>7.4158058913035174E-2</v>
      </c>
      <c r="BM340" s="23">
        <v>7.5718189192107169E-2</v>
      </c>
      <c r="BN340" s="23">
        <v>7.3955559365675619E-2</v>
      </c>
    </row>
    <row r="341" spans="1:66" x14ac:dyDescent="0.25">
      <c r="A341" s="16">
        <v>5406</v>
      </c>
      <c r="B341" s="16" t="s">
        <v>537</v>
      </c>
      <c r="C341" s="17">
        <v>3000</v>
      </c>
      <c r="D341" s="17">
        <f t="shared" si="194"/>
        <v>267.54469784622671</v>
      </c>
      <c r="E341" s="17">
        <f t="shared" si="195"/>
        <v>319.95833650335595</v>
      </c>
      <c r="F341" s="17">
        <f t="shared" si="196"/>
        <v>283.1654725456429</v>
      </c>
      <c r="G341" s="17">
        <f t="shared" si="197"/>
        <v>214.48694960565146</v>
      </c>
      <c r="H341" s="17">
        <f t="shared" si="198"/>
        <v>311.05715431610287</v>
      </c>
      <c r="I341" s="17">
        <f t="shared" si="199"/>
        <v>254.91099285763391</v>
      </c>
      <c r="J341" s="17">
        <f t="shared" si="200"/>
        <v>253.7816366317881</v>
      </c>
      <c r="K341" s="17">
        <f t="shared" si="201"/>
        <v>172.34131638833989</v>
      </c>
      <c r="L341" s="17">
        <f t="shared" si="202"/>
        <v>255.46155703667242</v>
      </c>
      <c r="M341" s="17">
        <f t="shared" si="203"/>
        <v>222.47417673910553</v>
      </c>
      <c r="N341" s="17">
        <f t="shared" si="204"/>
        <v>227.15456757632151</v>
      </c>
      <c r="O341" s="17">
        <f t="shared" si="205"/>
        <v>221.86667809702686</v>
      </c>
      <c r="P341" s="17">
        <v>0</v>
      </c>
      <c r="Q341" s="17">
        <f t="shared" si="206"/>
        <v>0</v>
      </c>
      <c r="R341" s="17">
        <f t="shared" si="207"/>
        <v>0</v>
      </c>
      <c r="S341" s="17">
        <f t="shared" si="208"/>
        <v>0</v>
      </c>
      <c r="T341" s="17">
        <f t="shared" si="209"/>
        <v>0</v>
      </c>
      <c r="U341" s="17">
        <f t="shared" si="210"/>
        <v>0</v>
      </c>
      <c r="V341" s="17">
        <f t="shared" si="211"/>
        <v>0</v>
      </c>
      <c r="W341" s="17">
        <f t="shared" si="212"/>
        <v>0</v>
      </c>
      <c r="X341" s="17">
        <f t="shared" si="213"/>
        <v>0</v>
      </c>
      <c r="Y341" s="17">
        <f t="shared" si="214"/>
        <v>0</v>
      </c>
      <c r="Z341" s="17">
        <f t="shared" si="215"/>
        <v>0</v>
      </c>
      <c r="AA341" s="17">
        <f t="shared" si="216"/>
        <v>0</v>
      </c>
      <c r="AB341" s="17">
        <f t="shared" si="217"/>
        <v>0</v>
      </c>
      <c r="AC341" s="17">
        <v>0</v>
      </c>
      <c r="AD341" s="17">
        <f t="shared" si="218"/>
        <v>0</v>
      </c>
      <c r="AE341" s="17">
        <f t="shared" si="219"/>
        <v>0</v>
      </c>
      <c r="AF341" s="17">
        <f t="shared" si="220"/>
        <v>0</v>
      </c>
      <c r="AG341" s="17">
        <f t="shared" si="221"/>
        <v>0</v>
      </c>
      <c r="AH341" s="17">
        <f t="shared" si="222"/>
        <v>0</v>
      </c>
      <c r="AI341" s="17">
        <f t="shared" si="223"/>
        <v>0</v>
      </c>
      <c r="AJ341" s="17">
        <f t="shared" si="224"/>
        <v>0</v>
      </c>
      <c r="AK341" s="17">
        <f t="shared" si="225"/>
        <v>0</v>
      </c>
      <c r="AL341" s="17">
        <f t="shared" si="226"/>
        <v>0</v>
      </c>
      <c r="AM341" s="17">
        <f t="shared" si="227"/>
        <v>0</v>
      </c>
      <c r="AN341" s="17">
        <f t="shared" si="228"/>
        <v>0</v>
      </c>
      <c r="AO341" s="17">
        <f t="shared" si="229"/>
        <v>0</v>
      </c>
      <c r="AP341" s="17">
        <f t="shared" si="230"/>
        <v>3000</v>
      </c>
      <c r="AQ341" s="18">
        <v>178.36313189748449</v>
      </c>
      <c r="AR341" s="18">
        <v>213.30555766890396</v>
      </c>
      <c r="AS341" s="18">
        <v>188.77698169709529</v>
      </c>
      <c r="AT341" s="18">
        <v>142.99129973710097</v>
      </c>
      <c r="AU341" s="18">
        <v>207.37143621073525</v>
      </c>
      <c r="AV341" s="18">
        <v>169.94066190508929</v>
      </c>
      <c r="AW341" s="18">
        <v>169.18775775452542</v>
      </c>
      <c r="AX341" s="18">
        <v>114.89421092555993</v>
      </c>
      <c r="AY341" s="18">
        <v>170.30770469111494</v>
      </c>
      <c r="AZ341" s="18">
        <v>148.31611782607035</v>
      </c>
      <c r="BA341" s="18">
        <v>151.43637838421435</v>
      </c>
      <c r="BB341" s="18">
        <v>147.91111873135125</v>
      </c>
      <c r="BC341" s="23">
        <v>8.9181565948742242E-2</v>
      </c>
      <c r="BD341" s="23">
        <v>0.10665277883445198</v>
      </c>
      <c r="BE341" s="23">
        <v>9.438849084854764E-2</v>
      </c>
      <c r="BF341" s="23">
        <v>7.149564986855049E-2</v>
      </c>
      <c r="BG341" s="23">
        <v>0.10368571810536763</v>
      </c>
      <c r="BH341" s="23">
        <v>8.4970330952544637E-2</v>
      </c>
      <c r="BI341" s="23">
        <v>8.4593878877262704E-2</v>
      </c>
      <c r="BJ341" s="23">
        <v>5.7447105462779965E-2</v>
      </c>
      <c r="BK341" s="23">
        <v>8.5153852345557474E-2</v>
      </c>
      <c r="BL341" s="23">
        <v>7.4158058913035174E-2</v>
      </c>
      <c r="BM341" s="23">
        <v>7.5718189192107169E-2</v>
      </c>
      <c r="BN341" s="23">
        <v>7.3955559365675619E-2</v>
      </c>
    </row>
    <row r="342" spans="1:66" x14ac:dyDescent="0.25">
      <c r="A342" s="16">
        <v>5517</v>
      </c>
      <c r="B342" s="16" t="s">
        <v>538</v>
      </c>
      <c r="C342" s="17">
        <v>0</v>
      </c>
      <c r="D342" s="17">
        <f t="shared" si="194"/>
        <v>0</v>
      </c>
      <c r="E342" s="17">
        <f t="shared" si="195"/>
        <v>0</v>
      </c>
      <c r="F342" s="17">
        <f t="shared" si="196"/>
        <v>0</v>
      </c>
      <c r="G342" s="17">
        <f t="shared" si="197"/>
        <v>0</v>
      </c>
      <c r="H342" s="17">
        <f t="shared" si="198"/>
        <v>0</v>
      </c>
      <c r="I342" s="17">
        <f t="shared" si="199"/>
        <v>0</v>
      </c>
      <c r="J342" s="17">
        <f t="shared" si="200"/>
        <v>0</v>
      </c>
      <c r="K342" s="17">
        <f t="shared" si="201"/>
        <v>0</v>
      </c>
      <c r="L342" s="17">
        <f t="shared" si="202"/>
        <v>0</v>
      </c>
      <c r="M342" s="17">
        <f t="shared" si="203"/>
        <v>0</v>
      </c>
      <c r="N342" s="17">
        <f t="shared" si="204"/>
        <v>0</v>
      </c>
      <c r="O342" s="17">
        <f t="shared" si="205"/>
        <v>0</v>
      </c>
      <c r="P342" s="17">
        <v>0</v>
      </c>
      <c r="Q342" s="17">
        <f t="shared" si="206"/>
        <v>0</v>
      </c>
      <c r="R342" s="17">
        <f t="shared" si="207"/>
        <v>0</v>
      </c>
      <c r="S342" s="17">
        <f t="shared" si="208"/>
        <v>0</v>
      </c>
      <c r="T342" s="17">
        <f t="shared" si="209"/>
        <v>0</v>
      </c>
      <c r="U342" s="17">
        <f t="shared" si="210"/>
        <v>0</v>
      </c>
      <c r="V342" s="17">
        <f t="shared" si="211"/>
        <v>0</v>
      </c>
      <c r="W342" s="17">
        <f t="shared" si="212"/>
        <v>0</v>
      </c>
      <c r="X342" s="17">
        <f t="shared" si="213"/>
        <v>0</v>
      </c>
      <c r="Y342" s="17">
        <f t="shared" si="214"/>
        <v>0</v>
      </c>
      <c r="Z342" s="17">
        <f t="shared" si="215"/>
        <v>0</v>
      </c>
      <c r="AA342" s="17">
        <f t="shared" si="216"/>
        <v>0</v>
      </c>
      <c r="AB342" s="17">
        <f t="shared" si="217"/>
        <v>0</v>
      </c>
      <c r="AC342" s="17">
        <v>0</v>
      </c>
      <c r="AD342" s="17">
        <f t="shared" si="218"/>
        <v>0</v>
      </c>
      <c r="AE342" s="17">
        <f t="shared" si="219"/>
        <v>0</v>
      </c>
      <c r="AF342" s="17">
        <f t="shared" si="220"/>
        <v>0</v>
      </c>
      <c r="AG342" s="17">
        <f t="shared" si="221"/>
        <v>0</v>
      </c>
      <c r="AH342" s="17">
        <f t="shared" si="222"/>
        <v>0</v>
      </c>
      <c r="AI342" s="17">
        <f t="shared" si="223"/>
        <v>0</v>
      </c>
      <c r="AJ342" s="17">
        <f t="shared" si="224"/>
        <v>0</v>
      </c>
      <c r="AK342" s="17">
        <f t="shared" si="225"/>
        <v>0</v>
      </c>
      <c r="AL342" s="17">
        <f t="shared" si="226"/>
        <v>0</v>
      </c>
      <c r="AM342" s="17">
        <f t="shared" si="227"/>
        <v>0</v>
      </c>
      <c r="AN342" s="17">
        <f t="shared" si="228"/>
        <v>0</v>
      </c>
      <c r="AO342" s="17">
        <f t="shared" si="229"/>
        <v>0</v>
      </c>
      <c r="AP342" s="17">
        <f t="shared" si="230"/>
        <v>0</v>
      </c>
      <c r="AQ342" s="18">
        <v>178.36313189748449</v>
      </c>
      <c r="AR342" s="18">
        <v>213.30555766890396</v>
      </c>
      <c r="AS342" s="18">
        <v>188.77698169709529</v>
      </c>
      <c r="AT342" s="18">
        <v>142.99129973710097</v>
      </c>
      <c r="AU342" s="18">
        <v>207.37143621073525</v>
      </c>
      <c r="AV342" s="18">
        <v>169.94066190508929</v>
      </c>
      <c r="AW342" s="18">
        <v>169.18775775452542</v>
      </c>
      <c r="AX342" s="18">
        <v>114.89421092555993</v>
      </c>
      <c r="AY342" s="18">
        <v>170.30770469111494</v>
      </c>
      <c r="AZ342" s="18">
        <v>148.31611782607035</v>
      </c>
      <c r="BA342" s="18">
        <v>151.43637838421435</v>
      </c>
      <c r="BB342" s="18">
        <v>147.91111873135125</v>
      </c>
      <c r="BC342" s="23">
        <v>8.9181565948742242E-2</v>
      </c>
      <c r="BD342" s="23">
        <v>0.10665277883445198</v>
      </c>
      <c r="BE342" s="23">
        <v>9.438849084854764E-2</v>
      </c>
      <c r="BF342" s="23">
        <v>7.149564986855049E-2</v>
      </c>
      <c r="BG342" s="23">
        <v>0.10368571810536763</v>
      </c>
      <c r="BH342" s="23">
        <v>8.4970330952544637E-2</v>
      </c>
      <c r="BI342" s="23">
        <v>8.4593878877262704E-2</v>
      </c>
      <c r="BJ342" s="23">
        <v>5.7447105462779965E-2</v>
      </c>
      <c r="BK342" s="23">
        <v>8.5153852345557474E-2</v>
      </c>
      <c r="BL342" s="23">
        <v>7.4158058913035174E-2</v>
      </c>
      <c r="BM342" s="23">
        <v>7.5718189192107169E-2</v>
      </c>
      <c r="BN342" s="23">
        <v>7.3955559365675619E-2</v>
      </c>
    </row>
    <row r="343" spans="1:66" x14ac:dyDescent="0.25">
      <c r="A343" s="16">
        <v>6542</v>
      </c>
      <c r="B343" s="16" t="s">
        <v>539</v>
      </c>
      <c r="C343" s="17">
        <v>0</v>
      </c>
      <c r="D343" s="17">
        <f t="shared" si="194"/>
        <v>0</v>
      </c>
      <c r="E343" s="17">
        <f t="shared" si="195"/>
        <v>0</v>
      </c>
      <c r="F343" s="17">
        <f t="shared" si="196"/>
        <v>0</v>
      </c>
      <c r="G343" s="17">
        <f t="shared" si="197"/>
        <v>0</v>
      </c>
      <c r="H343" s="17">
        <f t="shared" si="198"/>
        <v>0</v>
      </c>
      <c r="I343" s="17">
        <f t="shared" si="199"/>
        <v>0</v>
      </c>
      <c r="J343" s="17">
        <f t="shared" si="200"/>
        <v>0</v>
      </c>
      <c r="K343" s="17">
        <f t="shared" si="201"/>
        <v>0</v>
      </c>
      <c r="L343" s="17">
        <f t="shared" si="202"/>
        <v>0</v>
      </c>
      <c r="M343" s="17">
        <f t="shared" si="203"/>
        <v>0</v>
      </c>
      <c r="N343" s="17">
        <f t="shared" si="204"/>
        <v>0</v>
      </c>
      <c r="O343" s="17">
        <f t="shared" si="205"/>
        <v>0</v>
      </c>
      <c r="P343" s="17">
        <v>0</v>
      </c>
      <c r="Q343" s="17">
        <f t="shared" si="206"/>
        <v>0</v>
      </c>
      <c r="R343" s="17">
        <f t="shared" si="207"/>
        <v>0</v>
      </c>
      <c r="S343" s="17">
        <f t="shared" si="208"/>
        <v>0</v>
      </c>
      <c r="T343" s="17">
        <f t="shared" si="209"/>
        <v>0</v>
      </c>
      <c r="U343" s="17">
        <f t="shared" si="210"/>
        <v>0</v>
      </c>
      <c r="V343" s="17">
        <f t="shared" si="211"/>
        <v>0</v>
      </c>
      <c r="W343" s="17">
        <f t="shared" si="212"/>
        <v>0</v>
      </c>
      <c r="X343" s="17">
        <f t="shared" si="213"/>
        <v>0</v>
      </c>
      <c r="Y343" s="17">
        <f t="shared" si="214"/>
        <v>0</v>
      </c>
      <c r="Z343" s="17">
        <f t="shared" si="215"/>
        <v>0</v>
      </c>
      <c r="AA343" s="17">
        <f t="shared" si="216"/>
        <v>0</v>
      </c>
      <c r="AB343" s="17">
        <f t="shared" si="217"/>
        <v>0</v>
      </c>
      <c r="AC343" s="17">
        <v>1500</v>
      </c>
      <c r="AD343" s="17">
        <f t="shared" si="218"/>
        <v>133.77234892311336</v>
      </c>
      <c r="AE343" s="17">
        <f t="shared" si="219"/>
        <v>159.97916825167798</v>
      </c>
      <c r="AF343" s="17">
        <f t="shared" si="220"/>
        <v>141.58273627282145</v>
      </c>
      <c r="AG343" s="17">
        <f t="shared" si="221"/>
        <v>107.24347480282573</v>
      </c>
      <c r="AH343" s="17">
        <f t="shared" si="222"/>
        <v>155.52857715805143</v>
      </c>
      <c r="AI343" s="17">
        <f t="shared" si="223"/>
        <v>127.45549642881696</v>
      </c>
      <c r="AJ343" s="17">
        <f t="shared" si="224"/>
        <v>126.89081831589405</v>
      </c>
      <c r="AK343" s="17">
        <f t="shared" si="225"/>
        <v>86.170658194169945</v>
      </c>
      <c r="AL343" s="17">
        <f t="shared" si="226"/>
        <v>127.73077851833621</v>
      </c>
      <c r="AM343" s="17">
        <f t="shared" si="227"/>
        <v>111.23708836955277</v>
      </c>
      <c r="AN343" s="17">
        <f t="shared" si="228"/>
        <v>113.57728378816076</v>
      </c>
      <c r="AO343" s="17">
        <f t="shared" si="229"/>
        <v>110.93333904851343</v>
      </c>
      <c r="AP343" s="17">
        <f t="shared" si="230"/>
        <v>1500</v>
      </c>
      <c r="AQ343" s="18">
        <v>178.36313189748449</v>
      </c>
      <c r="AR343" s="18">
        <v>213.30555766890396</v>
      </c>
      <c r="AS343" s="18">
        <v>188.77698169709529</v>
      </c>
      <c r="AT343" s="18">
        <v>142.99129973710097</v>
      </c>
      <c r="AU343" s="18">
        <v>207.37143621073525</v>
      </c>
      <c r="AV343" s="18">
        <v>169.94066190508929</v>
      </c>
      <c r="AW343" s="18">
        <v>169.18775775452542</v>
      </c>
      <c r="AX343" s="18">
        <v>114.89421092555993</v>
      </c>
      <c r="AY343" s="18">
        <v>170.30770469111494</v>
      </c>
      <c r="AZ343" s="18">
        <v>148.31611782607035</v>
      </c>
      <c r="BA343" s="18">
        <v>151.43637838421435</v>
      </c>
      <c r="BB343" s="18">
        <v>147.91111873135125</v>
      </c>
      <c r="BC343" s="23">
        <v>8.9181565948742242E-2</v>
      </c>
      <c r="BD343" s="23">
        <v>0.10665277883445198</v>
      </c>
      <c r="BE343" s="23">
        <v>9.438849084854764E-2</v>
      </c>
      <c r="BF343" s="23">
        <v>7.149564986855049E-2</v>
      </c>
      <c r="BG343" s="23">
        <v>0.10368571810536763</v>
      </c>
      <c r="BH343" s="23">
        <v>8.4970330952544637E-2</v>
      </c>
      <c r="BI343" s="23">
        <v>8.4593878877262704E-2</v>
      </c>
      <c r="BJ343" s="23">
        <v>5.7447105462779965E-2</v>
      </c>
      <c r="BK343" s="23">
        <v>8.5153852345557474E-2</v>
      </c>
      <c r="BL343" s="23">
        <v>7.4158058913035174E-2</v>
      </c>
      <c r="BM343" s="23">
        <v>7.5718189192107169E-2</v>
      </c>
      <c r="BN343" s="23">
        <v>7.3955559365675619E-2</v>
      </c>
    </row>
    <row r="344" spans="1:66" x14ac:dyDescent="0.25">
      <c r="A344" s="16">
        <v>6578</v>
      </c>
      <c r="B344" s="16" t="s">
        <v>540</v>
      </c>
      <c r="C344" s="17">
        <v>0</v>
      </c>
      <c r="D344" s="17">
        <f t="shared" si="194"/>
        <v>0</v>
      </c>
      <c r="E344" s="17">
        <f t="shared" si="195"/>
        <v>0</v>
      </c>
      <c r="F344" s="17">
        <f t="shared" si="196"/>
        <v>0</v>
      </c>
      <c r="G344" s="17">
        <f t="shared" si="197"/>
        <v>0</v>
      </c>
      <c r="H344" s="17">
        <f t="shared" si="198"/>
        <v>0</v>
      </c>
      <c r="I344" s="17">
        <f t="shared" si="199"/>
        <v>0</v>
      </c>
      <c r="J344" s="17">
        <f t="shared" si="200"/>
        <v>0</v>
      </c>
      <c r="K344" s="17">
        <f t="shared" si="201"/>
        <v>0</v>
      </c>
      <c r="L344" s="17">
        <f t="shared" si="202"/>
        <v>0</v>
      </c>
      <c r="M344" s="17">
        <f t="shared" si="203"/>
        <v>0</v>
      </c>
      <c r="N344" s="17">
        <f t="shared" si="204"/>
        <v>0</v>
      </c>
      <c r="O344" s="17">
        <f t="shared" si="205"/>
        <v>0</v>
      </c>
      <c r="P344" s="17">
        <v>0</v>
      </c>
      <c r="Q344" s="17">
        <f t="shared" si="206"/>
        <v>0</v>
      </c>
      <c r="R344" s="17">
        <f t="shared" si="207"/>
        <v>0</v>
      </c>
      <c r="S344" s="17">
        <f t="shared" si="208"/>
        <v>0</v>
      </c>
      <c r="T344" s="17">
        <f t="shared" si="209"/>
        <v>0</v>
      </c>
      <c r="U344" s="17">
        <f t="shared" si="210"/>
        <v>0</v>
      </c>
      <c r="V344" s="17">
        <f t="shared" si="211"/>
        <v>0</v>
      </c>
      <c r="W344" s="17">
        <f t="shared" si="212"/>
        <v>0</v>
      </c>
      <c r="X344" s="17">
        <f t="shared" si="213"/>
        <v>0</v>
      </c>
      <c r="Y344" s="17">
        <f t="shared" si="214"/>
        <v>0</v>
      </c>
      <c r="Z344" s="17">
        <f t="shared" si="215"/>
        <v>0</v>
      </c>
      <c r="AA344" s="17">
        <f t="shared" si="216"/>
        <v>0</v>
      </c>
      <c r="AB344" s="17">
        <f t="shared" si="217"/>
        <v>0</v>
      </c>
      <c r="AC344" s="17">
        <v>0</v>
      </c>
      <c r="AD344" s="17">
        <f t="shared" si="218"/>
        <v>0</v>
      </c>
      <c r="AE344" s="17">
        <f t="shared" si="219"/>
        <v>0</v>
      </c>
      <c r="AF344" s="17">
        <f t="shared" si="220"/>
        <v>0</v>
      </c>
      <c r="AG344" s="17">
        <f t="shared" si="221"/>
        <v>0</v>
      </c>
      <c r="AH344" s="17">
        <f t="shared" si="222"/>
        <v>0</v>
      </c>
      <c r="AI344" s="17">
        <f t="shared" si="223"/>
        <v>0</v>
      </c>
      <c r="AJ344" s="17">
        <f t="shared" si="224"/>
        <v>0</v>
      </c>
      <c r="AK344" s="17">
        <f t="shared" si="225"/>
        <v>0</v>
      </c>
      <c r="AL344" s="17">
        <f t="shared" si="226"/>
        <v>0</v>
      </c>
      <c r="AM344" s="17">
        <f t="shared" si="227"/>
        <v>0</v>
      </c>
      <c r="AN344" s="17">
        <f t="shared" si="228"/>
        <v>0</v>
      </c>
      <c r="AO344" s="17">
        <f t="shared" si="229"/>
        <v>0</v>
      </c>
      <c r="AP344" s="17">
        <f t="shared" si="230"/>
        <v>0</v>
      </c>
      <c r="AQ344" s="18">
        <v>178.36313189748449</v>
      </c>
      <c r="AR344" s="18">
        <v>213.30555766890396</v>
      </c>
      <c r="AS344" s="18">
        <v>188.77698169709529</v>
      </c>
      <c r="AT344" s="18">
        <v>142.99129973710097</v>
      </c>
      <c r="AU344" s="18">
        <v>207.37143621073525</v>
      </c>
      <c r="AV344" s="18">
        <v>169.94066190508929</v>
      </c>
      <c r="AW344" s="18">
        <v>169.18775775452542</v>
      </c>
      <c r="AX344" s="18">
        <v>114.89421092555993</v>
      </c>
      <c r="AY344" s="18">
        <v>170.30770469111494</v>
      </c>
      <c r="AZ344" s="18">
        <v>148.31611782607035</v>
      </c>
      <c r="BA344" s="18">
        <v>151.43637838421435</v>
      </c>
      <c r="BB344" s="18">
        <v>147.91111873135125</v>
      </c>
      <c r="BC344" s="23">
        <v>8.9181565948742242E-2</v>
      </c>
      <c r="BD344" s="23">
        <v>0.10665277883445198</v>
      </c>
      <c r="BE344" s="23">
        <v>9.438849084854764E-2</v>
      </c>
      <c r="BF344" s="23">
        <v>7.149564986855049E-2</v>
      </c>
      <c r="BG344" s="23">
        <v>0.10368571810536763</v>
      </c>
      <c r="BH344" s="23">
        <v>8.4970330952544637E-2</v>
      </c>
      <c r="BI344" s="23">
        <v>8.4593878877262704E-2</v>
      </c>
      <c r="BJ344" s="23">
        <v>5.7447105462779965E-2</v>
      </c>
      <c r="BK344" s="23">
        <v>8.5153852345557474E-2</v>
      </c>
      <c r="BL344" s="23">
        <v>7.4158058913035174E-2</v>
      </c>
      <c r="BM344" s="23">
        <v>7.5718189192107169E-2</v>
      </c>
      <c r="BN344" s="23">
        <v>7.3955559365675619E-2</v>
      </c>
    </row>
    <row r="345" spans="1:66" x14ac:dyDescent="0.25">
      <c r="A345" s="16">
        <v>6593</v>
      </c>
      <c r="B345" s="16" t="s">
        <v>541</v>
      </c>
      <c r="C345" s="17">
        <v>0</v>
      </c>
      <c r="D345" s="17">
        <f t="shared" si="194"/>
        <v>0</v>
      </c>
      <c r="E345" s="17">
        <f t="shared" si="195"/>
        <v>0</v>
      </c>
      <c r="F345" s="17">
        <f t="shared" si="196"/>
        <v>0</v>
      </c>
      <c r="G345" s="17">
        <f t="shared" si="197"/>
        <v>0</v>
      </c>
      <c r="H345" s="17">
        <f t="shared" si="198"/>
        <v>0</v>
      </c>
      <c r="I345" s="17">
        <f t="shared" si="199"/>
        <v>0</v>
      </c>
      <c r="J345" s="17">
        <f t="shared" si="200"/>
        <v>0</v>
      </c>
      <c r="K345" s="17">
        <f t="shared" si="201"/>
        <v>0</v>
      </c>
      <c r="L345" s="17">
        <f t="shared" si="202"/>
        <v>0</v>
      </c>
      <c r="M345" s="17">
        <f t="shared" si="203"/>
        <v>0</v>
      </c>
      <c r="N345" s="17">
        <f t="shared" si="204"/>
        <v>0</v>
      </c>
      <c r="O345" s="17">
        <f t="shared" si="205"/>
        <v>0</v>
      </c>
      <c r="P345" s="17">
        <v>0</v>
      </c>
      <c r="Q345" s="17">
        <f t="shared" si="206"/>
        <v>0</v>
      </c>
      <c r="R345" s="17">
        <f t="shared" si="207"/>
        <v>0</v>
      </c>
      <c r="S345" s="17">
        <f t="shared" si="208"/>
        <v>0</v>
      </c>
      <c r="T345" s="17">
        <f t="shared" si="209"/>
        <v>0</v>
      </c>
      <c r="U345" s="17">
        <f t="shared" si="210"/>
        <v>0</v>
      </c>
      <c r="V345" s="17">
        <f t="shared" si="211"/>
        <v>0</v>
      </c>
      <c r="W345" s="17">
        <f t="shared" si="212"/>
        <v>0</v>
      </c>
      <c r="X345" s="17">
        <f t="shared" si="213"/>
        <v>0</v>
      </c>
      <c r="Y345" s="17">
        <f t="shared" si="214"/>
        <v>0</v>
      </c>
      <c r="Z345" s="17">
        <f t="shared" si="215"/>
        <v>0</v>
      </c>
      <c r="AA345" s="17">
        <f t="shared" si="216"/>
        <v>0</v>
      </c>
      <c r="AB345" s="17">
        <f t="shared" si="217"/>
        <v>0</v>
      </c>
      <c r="AC345" s="17">
        <v>1600</v>
      </c>
      <c r="AD345" s="17">
        <f t="shared" si="218"/>
        <v>142.69050551798759</v>
      </c>
      <c r="AE345" s="17">
        <f t="shared" si="219"/>
        <v>170.64444613512316</v>
      </c>
      <c r="AF345" s="17">
        <f t="shared" si="220"/>
        <v>151.02158535767623</v>
      </c>
      <c r="AG345" s="17">
        <f t="shared" si="221"/>
        <v>114.39303978968078</v>
      </c>
      <c r="AH345" s="17">
        <f t="shared" si="222"/>
        <v>165.8971489685882</v>
      </c>
      <c r="AI345" s="17">
        <f t="shared" si="223"/>
        <v>135.95252952407142</v>
      </c>
      <c r="AJ345" s="17">
        <f t="shared" si="224"/>
        <v>135.35020620362033</v>
      </c>
      <c r="AK345" s="17">
        <f t="shared" si="225"/>
        <v>91.915368740447946</v>
      </c>
      <c r="AL345" s="17">
        <f t="shared" si="226"/>
        <v>136.24616375289196</v>
      </c>
      <c r="AM345" s="17">
        <f t="shared" si="227"/>
        <v>118.65289426085627</v>
      </c>
      <c r="AN345" s="17">
        <f t="shared" si="228"/>
        <v>121.14910270737147</v>
      </c>
      <c r="AO345" s="17">
        <f t="shared" si="229"/>
        <v>118.32889498508099</v>
      </c>
      <c r="AP345" s="17">
        <f t="shared" si="230"/>
        <v>1600</v>
      </c>
      <c r="AQ345" s="18">
        <v>178.36313189748449</v>
      </c>
      <c r="AR345" s="18">
        <v>213.30555766890396</v>
      </c>
      <c r="AS345" s="18">
        <v>188.77698169709529</v>
      </c>
      <c r="AT345" s="18">
        <v>142.99129973710097</v>
      </c>
      <c r="AU345" s="18">
        <v>207.37143621073525</v>
      </c>
      <c r="AV345" s="18">
        <v>169.94066190508929</v>
      </c>
      <c r="AW345" s="18">
        <v>169.18775775452542</v>
      </c>
      <c r="AX345" s="18">
        <v>114.89421092555993</v>
      </c>
      <c r="AY345" s="18">
        <v>170.30770469111494</v>
      </c>
      <c r="AZ345" s="18">
        <v>148.31611782607035</v>
      </c>
      <c r="BA345" s="18">
        <v>151.43637838421435</v>
      </c>
      <c r="BB345" s="18">
        <v>147.91111873135125</v>
      </c>
      <c r="BC345" s="23">
        <v>8.9181565948742242E-2</v>
      </c>
      <c r="BD345" s="23">
        <v>0.10665277883445198</v>
      </c>
      <c r="BE345" s="23">
        <v>9.438849084854764E-2</v>
      </c>
      <c r="BF345" s="23">
        <v>7.149564986855049E-2</v>
      </c>
      <c r="BG345" s="23">
        <v>0.10368571810536763</v>
      </c>
      <c r="BH345" s="23">
        <v>8.4970330952544637E-2</v>
      </c>
      <c r="BI345" s="23">
        <v>8.4593878877262704E-2</v>
      </c>
      <c r="BJ345" s="23">
        <v>5.7447105462779965E-2</v>
      </c>
      <c r="BK345" s="23">
        <v>8.5153852345557474E-2</v>
      </c>
      <c r="BL345" s="23">
        <v>7.4158058913035174E-2</v>
      </c>
      <c r="BM345" s="23">
        <v>7.5718189192107169E-2</v>
      </c>
      <c r="BN345" s="23">
        <v>7.3955559365675619E-2</v>
      </c>
    </row>
    <row r="346" spans="1:66" x14ac:dyDescent="0.25">
      <c r="A346" s="16">
        <v>6612</v>
      </c>
      <c r="B346" s="16" t="s">
        <v>542</v>
      </c>
      <c r="C346" s="17">
        <v>0</v>
      </c>
      <c r="D346" s="17">
        <f t="shared" si="194"/>
        <v>0</v>
      </c>
      <c r="E346" s="17">
        <f t="shared" si="195"/>
        <v>0</v>
      </c>
      <c r="F346" s="17">
        <f t="shared" si="196"/>
        <v>0</v>
      </c>
      <c r="G346" s="17">
        <f t="shared" si="197"/>
        <v>0</v>
      </c>
      <c r="H346" s="17">
        <f t="shared" si="198"/>
        <v>0</v>
      </c>
      <c r="I346" s="17">
        <f t="shared" si="199"/>
        <v>0</v>
      </c>
      <c r="J346" s="17">
        <f t="shared" si="200"/>
        <v>0</v>
      </c>
      <c r="K346" s="17">
        <f t="shared" si="201"/>
        <v>0</v>
      </c>
      <c r="L346" s="17">
        <f t="shared" si="202"/>
        <v>0</v>
      </c>
      <c r="M346" s="17">
        <f t="shared" si="203"/>
        <v>0</v>
      </c>
      <c r="N346" s="17">
        <f t="shared" si="204"/>
        <v>0</v>
      </c>
      <c r="O346" s="17">
        <f t="shared" si="205"/>
        <v>0</v>
      </c>
      <c r="P346" s="17">
        <v>2500</v>
      </c>
      <c r="Q346" s="17">
        <f t="shared" si="206"/>
        <v>222.9539148718556</v>
      </c>
      <c r="R346" s="17">
        <f t="shared" si="207"/>
        <v>266.63194708612997</v>
      </c>
      <c r="S346" s="17">
        <f t="shared" si="208"/>
        <v>235.97122712136911</v>
      </c>
      <c r="T346" s="17">
        <f t="shared" si="209"/>
        <v>178.73912467137623</v>
      </c>
      <c r="U346" s="17">
        <f t="shared" si="210"/>
        <v>259.21429526341905</v>
      </c>
      <c r="V346" s="17">
        <f t="shared" si="211"/>
        <v>212.42582738136159</v>
      </c>
      <c r="W346" s="17">
        <f t="shared" si="212"/>
        <v>211.48469719315676</v>
      </c>
      <c r="X346" s="17">
        <f t="shared" si="213"/>
        <v>143.6177636569499</v>
      </c>
      <c r="Y346" s="17">
        <f t="shared" si="214"/>
        <v>212.88463086389368</v>
      </c>
      <c r="Z346" s="17">
        <f t="shared" si="215"/>
        <v>185.39514728258794</v>
      </c>
      <c r="AA346" s="17">
        <f t="shared" si="216"/>
        <v>189.29547298026793</v>
      </c>
      <c r="AB346" s="17">
        <f t="shared" si="217"/>
        <v>184.88889841418904</v>
      </c>
      <c r="AC346" s="17">
        <v>0</v>
      </c>
      <c r="AD346" s="17">
        <f t="shared" si="218"/>
        <v>0</v>
      </c>
      <c r="AE346" s="17">
        <f t="shared" si="219"/>
        <v>0</v>
      </c>
      <c r="AF346" s="17">
        <f t="shared" si="220"/>
        <v>0</v>
      </c>
      <c r="AG346" s="17">
        <f t="shared" si="221"/>
        <v>0</v>
      </c>
      <c r="AH346" s="17">
        <f t="shared" si="222"/>
        <v>0</v>
      </c>
      <c r="AI346" s="17">
        <f t="shared" si="223"/>
        <v>0</v>
      </c>
      <c r="AJ346" s="17">
        <f t="shared" si="224"/>
        <v>0</v>
      </c>
      <c r="AK346" s="17">
        <f t="shared" si="225"/>
        <v>0</v>
      </c>
      <c r="AL346" s="17">
        <f t="shared" si="226"/>
        <v>0</v>
      </c>
      <c r="AM346" s="17">
        <f t="shared" si="227"/>
        <v>0</v>
      </c>
      <c r="AN346" s="17">
        <f t="shared" si="228"/>
        <v>0</v>
      </c>
      <c r="AO346" s="17">
        <f t="shared" si="229"/>
        <v>0</v>
      </c>
      <c r="AP346" s="17">
        <f t="shared" si="230"/>
        <v>2500</v>
      </c>
      <c r="AQ346" s="18">
        <v>178.36313189748449</v>
      </c>
      <c r="AR346" s="18">
        <v>213.30555766890396</v>
      </c>
      <c r="AS346" s="18">
        <v>188.77698169709529</v>
      </c>
      <c r="AT346" s="18">
        <v>142.99129973710097</v>
      </c>
      <c r="AU346" s="18">
        <v>207.37143621073525</v>
      </c>
      <c r="AV346" s="18">
        <v>169.94066190508929</v>
      </c>
      <c r="AW346" s="18">
        <v>169.18775775452542</v>
      </c>
      <c r="AX346" s="18">
        <v>114.89421092555993</v>
      </c>
      <c r="AY346" s="18">
        <v>170.30770469111494</v>
      </c>
      <c r="AZ346" s="18">
        <v>148.31611782607035</v>
      </c>
      <c r="BA346" s="18">
        <v>151.43637838421435</v>
      </c>
      <c r="BB346" s="18">
        <v>147.91111873135125</v>
      </c>
      <c r="BC346" s="23">
        <v>8.9181565948742242E-2</v>
      </c>
      <c r="BD346" s="23">
        <v>0.10665277883445198</v>
      </c>
      <c r="BE346" s="23">
        <v>9.438849084854764E-2</v>
      </c>
      <c r="BF346" s="23">
        <v>7.149564986855049E-2</v>
      </c>
      <c r="BG346" s="23">
        <v>0.10368571810536763</v>
      </c>
      <c r="BH346" s="23">
        <v>8.4970330952544637E-2</v>
      </c>
      <c r="BI346" s="23">
        <v>8.4593878877262704E-2</v>
      </c>
      <c r="BJ346" s="23">
        <v>5.7447105462779965E-2</v>
      </c>
      <c r="BK346" s="23">
        <v>8.5153852345557474E-2</v>
      </c>
      <c r="BL346" s="23">
        <v>7.4158058913035174E-2</v>
      </c>
      <c r="BM346" s="23">
        <v>7.5718189192107169E-2</v>
      </c>
      <c r="BN346" s="23">
        <v>7.3955559365675619E-2</v>
      </c>
    </row>
    <row r="347" spans="1:66" x14ac:dyDescent="0.25">
      <c r="A347" s="16">
        <v>6619</v>
      </c>
      <c r="B347" s="16" t="s">
        <v>543</v>
      </c>
      <c r="C347" s="17">
        <v>0</v>
      </c>
      <c r="D347" s="17">
        <f t="shared" si="194"/>
        <v>0</v>
      </c>
      <c r="E347" s="17">
        <f t="shared" si="195"/>
        <v>0</v>
      </c>
      <c r="F347" s="17">
        <f t="shared" si="196"/>
        <v>0</v>
      </c>
      <c r="G347" s="17">
        <f t="shared" si="197"/>
        <v>0</v>
      </c>
      <c r="H347" s="17">
        <f t="shared" si="198"/>
        <v>0</v>
      </c>
      <c r="I347" s="17">
        <f t="shared" si="199"/>
        <v>0</v>
      </c>
      <c r="J347" s="17">
        <f t="shared" si="200"/>
        <v>0</v>
      </c>
      <c r="K347" s="17">
        <f t="shared" si="201"/>
        <v>0</v>
      </c>
      <c r="L347" s="17">
        <f t="shared" si="202"/>
        <v>0</v>
      </c>
      <c r="M347" s="17">
        <f t="shared" si="203"/>
        <v>0</v>
      </c>
      <c r="N347" s="17">
        <f t="shared" si="204"/>
        <v>0</v>
      </c>
      <c r="O347" s="17">
        <f t="shared" si="205"/>
        <v>0</v>
      </c>
      <c r="P347" s="17">
        <v>0</v>
      </c>
      <c r="Q347" s="17">
        <f t="shared" si="206"/>
        <v>0</v>
      </c>
      <c r="R347" s="17">
        <f t="shared" si="207"/>
        <v>0</v>
      </c>
      <c r="S347" s="17">
        <f t="shared" si="208"/>
        <v>0</v>
      </c>
      <c r="T347" s="17">
        <f t="shared" si="209"/>
        <v>0</v>
      </c>
      <c r="U347" s="17">
        <f t="shared" si="210"/>
        <v>0</v>
      </c>
      <c r="V347" s="17">
        <f t="shared" si="211"/>
        <v>0</v>
      </c>
      <c r="W347" s="17">
        <f t="shared" si="212"/>
        <v>0</v>
      </c>
      <c r="X347" s="17">
        <f t="shared" si="213"/>
        <v>0</v>
      </c>
      <c r="Y347" s="17">
        <f t="shared" si="214"/>
        <v>0</v>
      </c>
      <c r="Z347" s="17">
        <f t="shared" si="215"/>
        <v>0</v>
      </c>
      <c r="AA347" s="17">
        <f t="shared" si="216"/>
        <v>0</v>
      </c>
      <c r="AB347" s="17">
        <f t="shared" si="217"/>
        <v>0</v>
      </c>
      <c r="AC347" s="17">
        <v>2000</v>
      </c>
      <c r="AD347" s="17">
        <f t="shared" si="218"/>
        <v>178.36313189748449</v>
      </c>
      <c r="AE347" s="17">
        <f t="shared" si="219"/>
        <v>213.30555766890396</v>
      </c>
      <c r="AF347" s="17">
        <f t="shared" si="220"/>
        <v>188.77698169709529</v>
      </c>
      <c r="AG347" s="17">
        <f t="shared" si="221"/>
        <v>142.99129973710097</v>
      </c>
      <c r="AH347" s="17">
        <f t="shared" si="222"/>
        <v>207.37143621073525</v>
      </c>
      <c r="AI347" s="17">
        <f t="shared" si="223"/>
        <v>169.94066190508929</v>
      </c>
      <c r="AJ347" s="17">
        <f t="shared" si="224"/>
        <v>169.18775775452542</v>
      </c>
      <c r="AK347" s="17">
        <f t="shared" si="225"/>
        <v>114.89421092555993</v>
      </c>
      <c r="AL347" s="17">
        <f t="shared" si="226"/>
        <v>170.30770469111494</v>
      </c>
      <c r="AM347" s="17">
        <f t="shared" si="227"/>
        <v>148.31611782607035</v>
      </c>
      <c r="AN347" s="17">
        <f t="shared" si="228"/>
        <v>151.43637838421435</v>
      </c>
      <c r="AO347" s="17">
        <f t="shared" si="229"/>
        <v>147.91111873135125</v>
      </c>
      <c r="AP347" s="17">
        <f t="shared" si="230"/>
        <v>2000</v>
      </c>
      <c r="AQ347" s="18">
        <v>178.36313189748449</v>
      </c>
      <c r="AR347" s="18">
        <v>213.30555766890396</v>
      </c>
      <c r="AS347" s="18">
        <v>188.77698169709529</v>
      </c>
      <c r="AT347" s="18">
        <v>142.99129973710097</v>
      </c>
      <c r="AU347" s="18">
        <v>207.37143621073525</v>
      </c>
      <c r="AV347" s="18">
        <v>169.94066190508929</v>
      </c>
      <c r="AW347" s="18">
        <v>169.18775775452542</v>
      </c>
      <c r="AX347" s="18">
        <v>114.89421092555993</v>
      </c>
      <c r="AY347" s="18">
        <v>170.30770469111494</v>
      </c>
      <c r="AZ347" s="18">
        <v>148.31611782607035</v>
      </c>
      <c r="BA347" s="18">
        <v>151.43637838421435</v>
      </c>
      <c r="BB347" s="18">
        <v>147.91111873135125</v>
      </c>
      <c r="BC347" s="23">
        <v>8.9181565948742242E-2</v>
      </c>
      <c r="BD347" s="23">
        <v>0.10665277883445198</v>
      </c>
      <c r="BE347" s="23">
        <v>9.438849084854764E-2</v>
      </c>
      <c r="BF347" s="23">
        <v>7.149564986855049E-2</v>
      </c>
      <c r="BG347" s="23">
        <v>0.10368571810536763</v>
      </c>
      <c r="BH347" s="23">
        <v>8.4970330952544637E-2</v>
      </c>
      <c r="BI347" s="23">
        <v>8.4593878877262704E-2</v>
      </c>
      <c r="BJ347" s="23">
        <v>5.7447105462779965E-2</v>
      </c>
      <c r="BK347" s="23">
        <v>8.5153852345557474E-2</v>
      </c>
      <c r="BL347" s="23">
        <v>7.4158058913035174E-2</v>
      </c>
      <c r="BM347" s="23">
        <v>7.5718189192107169E-2</v>
      </c>
      <c r="BN347" s="23">
        <v>7.3955559365675619E-2</v>
      </c>
    </row>
    <row r="348" spans="1:66" x14ac:dyDescent="0.25">
      <c r="A348" s="16">
        <v>6634</v>
      </c>
      <c r="B348" s="16" t="s">
        <v>544</v>
      </c>
      <c r="C348" s="17">
        <v>0</v>
      </c>
      <c r="D348" s="17">
        <f t="shared" si="194"/>
        <v>0</v>
      </c>
      <c r="E348" s="17">
        <f t="shared" si="195"/>
        <v>0</v>
      </c>
      <c r="F348" s="17">
        <f t="shared" si="196"/>
        <v>0</v>
      </c>
      <c r="G348" s="17">
        <f t="shared" si="197"/>
        <v>0</v>
      </c>
      <c r="H348" s="17">
        <f t="shared" si="198"/>
        <v>0</v>
      </c>
      <c r="I348" s="17">
        <f t="shared" si="199"/>
        <v>0</v>
      </c>
      <c r="J348" s="17">
        <f t="shared" si="200"/>
        <v>0</v>
      </c>
      <c r="K348" s="17">
        <f t="shared" si="201"/>
        <v>0</v>
      </c>
      <c r="L348" s="17">
        <f t="shared" si="202"/>
        <v>0</v>
      </c>
      <c r="M348" s="17">
        <f t="shared" si="203"/>
        <v>0</v>
      </c>
      <c r="N348" s="17">
        <f t="shared" si="204"/>
        <v>0</v>
      </c>
      <c r="O348" s="17">
        <f t="shared" si="205"/>
        <v>0</v>
      </c>
      <c r="P348" s="17">
        <v>0</v>
      </c>
      <c r="Q348" s="17">
        <f t="shared" si="206"/>
        <v>0</v>
      </c>
      <c r="R348" s="17">
        <f t="shared" si="207"/>
        <v>0</v>
      </c>
      <c r="S348" s="17">
        <f t="shared" si="208"/>
        <v>0</v>
      </c>
      <c r="T348" s="17">
        <f t="shared" si="209"/>
        <v>0</v>
      </c>
      <c r="U348" s="17">
        <f t="shared" si="210"/>
        <v>0</v>
      </c>
      <c r="V348" s="17">
        <f t="shared" si="211"/>
        <v>0</v>
      </c>
      <c r="W348" s="17">
        <f t="shared" si="212"/>
        <v>0</v>
      </c>
      <c r="X348" s="17">
        <f t="shared" si="213"/>
        <v>0</v>
      </c>
      <c r="Y348" s="17">
        <f t="shared" si="214"/>
        <v>0</v>
      </c>
      <c r="Z348" s="17">
        <f t="shared" si="215"/>
        <v>0</v>
      </c>
      <c r="AA348" s="17">
        <f t="shared" si="216"/>
        <v>0</v>
      </c>
      <c r="AB348" s="17">
        <f t="shared" si="217"/>
        <v>0</v>
      </c>
      <c r="AC348" s="17">
        <v>0</v>
      </c>
      <c r="AD348" s="17">
        <f t="shared" si="218"/>
        <v>0</v>
      </c>
      <c r="AE348" s="17">
        <f t="shared" si="219"/>
        <v>0</v>
      </c>
      <c r="AF348" s="17">
        <f t="shared" si="220"/>
        <v>0</v>
      </c>
      <c r="AG348" s="17">
        <f t="shared" si="221"/>
        <v>0</v>
      </c>
      <c r="AH348" s="17">
        <f t="shared" si="222"/>
        <v>0</v>
      </c>
      <c r="AI348" s="17">
        <f t="shared" si="223"/>
        <v>0</v>
      </c>
      <c r="AJ348" s="17">
        <f t="shared" si="224"/>
        <v>0</v>
      </c>
      <c r="AK348" s="17">
        <f t="shared" si="225"/>
        <v>0</v>
      </c>
      <c r="AL348" s="17">
        <f t="shared" si="226"/>
        <v>0</v>
      </c>
      <c r="AM348" s="17">
        <f t="shared" si="227"/>
        <v>0</v>
      </c>
      <c r="AN348" s="17">
        <f t="shared" si="228"/>
        <v>0</v>
      </c>
      <c r="AO348" s="17">
        <f t="shared" si="229"/>
        <v>0</v>
      </c>
      <c r="AP348" s="17">
        <f t="shared" si="230"/>
        <v>0</v>
      </c>
      <c r="AQ348" s="18">
        <v>178.36313189748449</v>
      </c>
      <c r="AR348" s="18">
        <v>213.30555766890396</v>
      </c>
      <c r="AS348" s="18">
        <v>188.77698169709529</v>
      </c>
      <c r="AT348" s="18">
        <v>142.99129973710097</v>
      </c>
      <c r="AU348" s="18">
        <v>207.37143621073525</v>
      </c>
      <c r="AV348" s="18">
        <v>169.94066190508929</v>
      </c>
      <c r="AW348" s="18">
        <v>169.18775775452542</v>
      </c>
      <c r="AX348" s="18">
        <v>114.89421092555993</v>
      </c>
      <c r="AY348" s="18">
        <v>170.30770469111494</v>
      </c>
      <c r="AZ348" s="18">
        <v>148.31611782607035</v>
      </c>
      <c r="BA348" s="18">
        <v>151.43637838421435</v>
      </c>
      <c r="BB348" s="18">
        <v>147.91111873135125</v>
      </c>
      <c r="BC348" s="23">
        <v>8.9181565948742242E-2</v>
      </c>
      <c r="BD348" s="23">
        <v>0.10665277883445198</v>
      </c>
      <c r="BE348" s="23">
        <v>9.438849084854764E-2</v>
      </c>
      <c r="BF348" s="23">
        <v>7.149564986855049E-2</v>
      </c>
      <c r="BG348" s="23">
        <v>0.10368571810536763</v>
      </c>
      <c r="BH348" s="23">
        <v>8.4970330952544637E-2</v>
      </c>
      <c r="BI348" s="23">
        <v>8.4593878877262704E-2</v>
      </c>
      <c r="BJ348" s="23">
        <v>5.7447105462779965E-2</v>
      </c>
      <c r="BK348" s="23">
        <v>8.5153852345557474E-2</v>
      </c>
      <c r="BL348" s="23">
        <v>7.4158058913035174E-2</v>
      </c>
      <c r="BM348" s="23">
        <v>7.5718189192107169E-2</v>
      </c>
      <c r="BN348" s="23">
        <v>7.3955559365675619E-2</v>
      </c>
    </row>
    <row r="349" spans="1:66" x14ac:dyDescent="0.25">
      <c r="A349" s="16">
        <v>6680</v>
      </c>
      <c r="B349" s="16" t="s">
        <v>545</v>
      </c>
      <c r="C349" s="17">
        <v>0</v>
      </c>
      <c r="D349" s="17">
        <f t="shared" si="194"/>
        <v>0</v>
      </c>
      <c r="E349" s="17">
        <f t="shared" si="195"/>
        <v>0</v>
      </c>
      <c r="F349" s="17">
        <f t="shared" si="196"/>
        <v>0</v>
      </c>
      <c r="G349" s="17">
        <f t="shared" si="197"/>
        <v>0</v>
      </c>
      <c r="H349" s="17">
        <f t="shared" si="198"/>
        <v>0</v>
      </c>
      <c r="I349" s="17">
        <f t="shared" si="199"/>
        <v>0</v>
      </c>
      <c r="J349" s="17">
        <f t="shared" si="200"/>
        <v>0</v>
      </c>
      <c r="K349" s="17">
        <f t="shared" si="201"/>
        <v>0</v>
      </c>
      <c r="L349" s="17">
        <f t="shared" si="202"/>
        <v>0</v>
      </c>
      <c r="M349" s="17">
        <f t="shared" si="203"/>
        <v>0</v>
      </c>
      <c r="N349" s="17">
        <f t="shared" si="204"/>
        <v>0</v>
      </c>
      <c r="O349" s="17">
        <f t="shared" si="205"/>
        <v>0</v>
      </c>
      <c r="P349" s="17">
        <v>0</v>
      </c>
      <c r="Q349" s="17">
        <f t="shared" si="206"/>
        <v>0</v>
      </c>
      <c r="R349" s="17">
        <f t="shared" si="207"/>
        <v>0</v>
      </c>
      <c r="S349" s="17">
        <f t="shared" si="208"/>
        <v>0</v>
      </c>
      <c r="T349" s="17">
        <f t="shared" si="209"/>
        <v>0</v>
      </c>
      <c r="U349" s="17">
        <f t="shared" si="210"/>
        <v>0</v>
      </c>
      <c r="V349" s="17">
        <f t="shared" si="211"/>
        <v>0</v>
      </c>
      <c r="W349" s="17">
        <f t="shared" si="212"/>
        <v>0</v>
      </c>
      <c r="X349" s="17">
        <f t="shared" si="213"/>
        <v>0</v>
      </c>
      <c r="Y349" s="17">
        <f t="shared" si="214"/>
        <v>0</v>
      </c>
      <c r="Z349" s="17">
        <f t="shared" si="215"/>
        <v>0</v>
      </c>
      <c r="AA349" s="17">
        <f t="shared" si="216"/>
        <v>0</v>
      </c>
      <c r="AB349" s="17">
        <f t="shared" si="217"/>
        <v>0</v>
      </c>
      <c r="AC349" s="17">
        <v>2000</v>
      </c>
      <c r="AD349" s="17">
        <f t="shared" si="218"/>
        <v>178.36313189748449</v>
      </c>
      <c r="AE349" s="17">
        <f t="shared" si="219"/>
        <v>213.30555766890396</v>
      </c>
      <c r="AF349" s="17">
        <f t="shared" si="220"/>
        <v>188.77698169709529</v>
      </c>
      <c r="AG349" s="17">
        <f t="shared" si="221"/>
        <v>142.99129973710097</v>
      </c>
      <c r="AH349" s="17">
        <f t="shared" si="222"/>
        <v>207.37143621073525</v>
      </c>
      <c r="AI349" s="17">
        <f t="shared" si="223"/>
        <v>169.94066190508929</v>
      </c>
      <c r="AJ349" s="17">
        <f t="shared" si="224"/>
        <v>169.18775775452542</v>
      </c>
      <c r="AK349" s="17">
        <f t="shared" si="225"/>
        <v>114.89421092555993</v>
      </c>
      <c r="AL349" s="17">
        <f t="shared" si="226"/>
        <v>170.30770469111494</v>
      </c>
      <c r="AM349" s="17">
        <f t="shared" si="227"/>
        <v>148.31611782607035</v>
      </c>
      <c r="AN349" s="17">
        <f t="shared" si="228"/>
        <v>151.43637838421435</v>
      </c>
      <c r="AO349" s="17">
        <f t="shared" si="229"/>
        <v>147.91111873135125</v>
      </c>
      <c r="AP349" s="17">
        <f t="shared" si="230"/>
        <v>2000</v>
      </c>
      <c r="AQ349" s="18">
        <v>178.36313189748449</v>
      </c>
      <c r="AR349" s="18">
        <v>213.30555766890396</v>
      </c>
      <c r="AS349" s="18">
        <v>188.77698169709529</v>
      </c>
      <c r="AT349" s="18">
        <v>142.99129973710097</v>
      </c>
      <c r="AU349" s="18">
        <v>207.37143621073525</v>
      </c>
      <c r="AV349" s="18">
        <v>169.94066190508929</v>
      </c>
      <c r="AW349" s="18">
        <v>169.18775775452542</v>
      </c>
      <c r="AX349" s="18">
        <v>114.89421092555993</v>
      </c>
      <c r="AY349" s="18">
        <v>170.30770469111494</v>
      </c>
      <c r="AZ349" s="18">
        <v>148.31611782607035</v>
      </c>
      <c r="BA349" s="18">
        <v>151.43637838421435</v>
      </c>
      <c r="BB349" s="18">
        <v>147.91111873135125</v>
      </c>
      <c r="BC349" s="23">
        <v>8.9181565948742242E-2</v>
      </c>
      <c r="BD349" s="23">
        <v>0.10665277883445198</v>
      </c>
      <c r="BE349" s="23">
        <v>9.438849084854764E-2</v>
      </c>
      <c r="BF349" s="23">
        <v>7.149564986855049E-2</v>
      </c>
      <c r="BG349" s="23">
        <v>0.10368571810536763</v>
      </c>
      <c r="BH349" s="23">
        <v>8.4970330952544637E-2</v>
      </c>
      <c r="BI349" s="23">
        <v>8.4593878877262704E-2</v>
      </c>
      <c r="BJ349" s="23">
        <v>5.7447105462779965E-2</v>
      </c>
      <c r="BK349" s="23">
        <v>8.5153852345557474E-2</v>
      </c>
      <c r="BL349" s="23">
        <v>7.4158058913035174E-2</v>
      </c>
      <c r="BM349" s="23">
        <v>7.5718189192107169E-2</v>
      </c>
      <c r="BN349" s="23">
        <v>7.3955559365675619E-2</v>
      </c>
    </row>
    <row r="350" spans="1:66" x14ac:dyDescent="0.25">
      <c r="A350" s="16">
        <v>17319</v>
      </c>
      <c r="B350" s="16" t="s">
        <v>546</v>
      </c>
      <c r="C350" s="17">
        <v>0</v>
      </c>
      <c r="D350" s="17">
        <f t="shared" si="194"/>
        <v>0</v>
      </c>
      <c r="E350" s="17">
        <f t="shared" si="195"/>
        <v>0</v>
      </c>
      <c r="F350" s="17">
        <f t="shared" si="196"/>
        <v>0</v>
      </c>
      <c r="G350" s="17">
        <f t="shared" si="197"/>
        <v>0</v>
      </c>
      <c r="H350" s="17">
        <f t="shared" si="198"/>
        <v>0</v>
      </c>
      <c r="I350" s="17">
        <f t="shared" si="199"/>
        <v>0</v>
      </c>
      <c r="J350" s="17">
        <f t="shared" si="200"/>
        <v>0</v>
      </c>
      <c r="K350" s="17">
        <f t="shared" si="201"/>
        <v>0</v>
      </c>
      <c r="L350" s="17">
        <f t="shared" si="202"/>
        <v>0</v>
      </c>
      <c r="M350" s="17">
        <f t="shared" si="203"/>
        <v>0</v>
      </c>
      <c r="N350" s="17">
        <f t="shared" si="204"/>
        <v>0</v>
      </c>
      <c r="O350" s="17">
        <f t="shared" si="205"/>
        <v>0</v>
      </c>
      <c r="P350" s="17">
        <v>0</v>
      </c>
      <c r="Q350" s="17">
        <f t="shared" si="206"/>
        <v>0</v>
      </c>
      <c r="R350" s="17">
        <f t="shared" si="207"/>
        <v>0</v>
      </c>
      <c r="S350" s="17">
        <f t="shared" si="208"/>
        <v>0</v>
      </c>
      <c r="T350" s="17">
        <f t="shared" si="209"/>
        <v>0</v>
      </c>
      <c r="U350" s="17">
        <f t="shared" si="210"/>
        <v>0</v>
      </c>
      <c r="V350" s="17">
        <f t="shared" si="211"/>
        <v>0</v>
      </c>
      <c r="W350" s="17">
        <f t="shared" si="212"/>
        <v>0</v>
      </c>
      <c r="X350" s="17">
        <f t="shared" si="213"/>
        <v>0</v>
      </c>
      <c r="Y350" s="17">
        <f t="shared" si="214"/>
        <v>0</v>
      </c>
      <c r="Z350" s="17">
        <f t="shared" si="215"/>
        <v>0</v>
      </c>
      <c r="AA350" s="17">
        <f t="shared" si="216"/>
        <v>0</v>
      </c>
      <c r="AB350" s="17">
        <f t="shared" si="217"/>
        <v>0</v>
      </c>
      <c r="AC350" s="17">
        <v>0</v>
      </c>
      <c r="AD350" s="17">
        <f t="shared" si="218"/>
        <v>0</v>
      </c>
      <c r="AE350" s="17">
        <f t="shared" si="219"/>
        <v>0</v>
      </c>
      <c r="AF350" s="17">
        <f t="shared" si="220"/>
        <v>0</v>
      </c>
      <c r="AG350" s="17">
        <f t="shared" si="221"/>
        <v>0</v>
      </c>
      <c r="AH350" s="17">
        <f t="shared" si="222"/>
        <v>0</v>
      </c>
      <c r="AI350" s="17">
        <f t="shared" si="223"/>
        <v>0</v>
      </c>
      <c r="AJ350" s="17">
        <f t="shared" si="224"/>
        <v>0</v>
      </c>
      <c r="AK350" s="17">
        <f t="shared" si="225"/>
        <v>0</v>
      </c>
      <c r="AL350" s="17">
        <f t="shared" si="226"/>
        <v>0</v>
      </c>
      <c r="AM350" s="17">
        <f t="shared" si="227"/>
        <v>0</v>
      </c>
      <c r="AN350" s="17">
        <f t="shared" si="228"/>
        <v>0</v>
      </c>
      <c r="AO350" s="17">
        <f t="shared" si="229"/>
        <v>0</v>
      </c>
      <c r="AP350" s="17">
        <f t="shared" si="230"/>
        <v>0</v>
      </c>
      <c r="AQ350" s="18">
        <v>178.36313189748449</v>
      </c>
      <c r="AR350" s="18">
        <v>213.30555766890396</v>
      </c>
      <c r="AS350" s="18">
        <v>188.77698169709529</v>
      </c>
      <c r="AT350" s="18">
        <v>142.99129973710097</v>
      </c>
      <c r="AU350" s="18">
        <v>207.37143621073525</v>
      </c>
      <c r="AV350" s="18">
        <v>169.94066190508929</v>
      </c>
      <c r="AW350" s="18">
        <v>169.18775775452542</v>
      </c>
      <c r="AX350" s="18">
        <v>114.89421092555993</v>
      </c>
      <c r="AY350" s="18">
        <v>170.30770469111494</v>
      </c>
      <c r="AZ350" s="18">
        <v>148.31611782607035</v>
      </c>
      <c r="BA350" s="18">
        <v>151.43637838421435</v>
      </c>
      <c r="BB350" s="18">
        <v>147.91111873135125</v>
      </c>
      <c r="BC350" s="23">
        <v>8.9181565948742242E-2</v>
      </c>
      <c r="BD350" s="23">
        <v>0.10665277883445198</v>
      </c>
      <c r="BE350" s="23">
        <v>9.438849084854764E-2</v>
      </c>
      <c r="BF350" s="23">
        <v>7.149564986855049E-2</v>
      </c>
      <c r="BG350" s="23">
        <v>0.10368571810536763</v>
      </c>
      <c r="BH350" s="23">
        <v>8.4970330952544637E-2</v>
      </c>
      <c r="BI350" s="23">
        <v>8.4593878877262704E-2</v>
      </c>
      <c r="BJ350" s="23">
        <v>5.7447105462779965E-2</v>
      </c>
      <c r="BK350" s="23">
        <v>8.5153852345557474E-2</v>
      </c>
      <c r="BL350" s="23">
        <v>7.4158058913035174E-2</v>
      </c>
      <c r="BM350" s="23">
        <v>7.5718189192107169E-2</v>
      </c>
      <c r="BN350" s="23">
        <v>7.3955559365675619E-2</v>
      </c>
    </row>
    <row r="351" spans="1:66" x14ac:dyDescent="0.25">
      <c r="A351" s="16">
        <v>29206</v>
      </c>
      <c r="B351" s="16" t="s">
        <v>547</v>
      </c>
      <c r="C351" s="17">
        <v>2000</v>
      </c>
      <c r="D351" s="17">
        <f t="shared" si="194"/>
        <v>178.36313189748449</v>
      </c>
      <c r="E351" s="17">
        <f t="shared" si="195"/>
        <v>213.30555766890396</v>
      </c>
      <c r="F351" s="17">
        <f t="shared" si="196"/>
        <v>188.77698169709529</v>
      </c>
      <c r="G351" s="17">
        <f t="shared" si="197"/>
        <v>142.99129973710097</v>
      </c>
      <c r="H351" s="17">
        <f t="shared" si="198"/>
        <v>207.37143621073525</v>
      </c>
      <c r="I351" s="17">
        <f t="shared" si="199"/>
        <v>169.94066190508929</v>
      </c>
      <c r="J351" s="17">
        <f t="shared" si="200"/>
        <v>169.18775775452542</v>
      </c>
      <c r="K351" s="17">
        <f t="shared" si="201"/>
        <v>114.89421092555993</v>
      </c>
      <c r="L351" s="17">
        <f t="shared" si="202"/>
        <v>170.30770469111494</v>
      </c>
      <c r="M351" s="17">
        <f t="shared" si="203"/>
        <v>148.31611782607035</v>
      </c>
      <c r="N351" s="17">
        <f t="shared" si="204"/>
        <v>151.43637838421435</v>
      </c>
      <c r="O351" s="17">
        <f t="shared" si="205"/>
        <v>147.91111873135125</v>
      </c>
      <c r="P351" s="17">
        <v>4000</v>
      </c>
      <c r="Q351" s="17">
        <f t="shared" si="206"/>
        <v>356.72626379496899</v>
      </c>
      <c r="R351" s="17">
        <f t="shared" si="207"/>
        <v>426.61111533780792</v>
      </c>
      <c r="S351" s="17">
        <f t="shared" si="208"/>
        <v>377.55396339419059</v>
      </c>
      <c r="T351" s="17">
        <f t="shared" si="209"/>
        <v>285.98259947420195</v>
      </c>
      <c r="U351" s="17">
        <f t="shared" si="210"/>
        <v>414.74287242147051</v>
      </c>
      <c r="V351" s="17">
        <f t="shared" si="211"/>
        <v>339.88132381017857</v>
      </c>
      <c r="W351" s="17">
        <f t="shared" si="212"/>
        <v>338.37551550905084</v>
      </c>
      <c r="X351" s="17">
        <f t="shared" si="213"/>
        <v>229.78842185111986</v>
      </c>
      <c r="Y351" s="17">
        <f t="shared" si="214"/>
        <v>340.61540938222987</v>
      </c>
      <c r="Z351" s="17">
        <f t="shared" si="215"/>
        <v>296.63223565214071</v>
      </c>
      <c r="AA351" s="17">
        <f t="shared" si="216"/>
        <v>302.8727567684287</v>
      </c>
      <c r="AB351" s="17">
        <f t="shared" si="217"/>
        <v>295.8222374627025</v>
      </c>
      <c r="AC351" s="17">
        <v>0</v>
      </c>
      <c r="AD351" s="17">
        <f t="shared" si="218"/>
        <v>0</v>
      </c>
      <c r="AE351" s="17">
        <f t="shared" si="219"/>
        <v>0</v>
      </c>
      <c r="AF351" s="17">
        <f t="shared" si="220"/>
        <v>0</v>
      </c>
      <c r="AG351" s="17">
        <f t="shared" si="221"/>
        <v>0</v>
      </c>
      <c r="AH351" s="17">
        <f t="shared" si="222"/>
        <v>0</v>
      </c>
      <c r="AI351" s="17">
        <f t="shared" si="223"/>
        <v>0</v>
      </c>
      <c r="AJ351" s="17">
        <f t="shared" si="224"/>
        <v>0</v>
      </c>
      <c r="AK351" s="17">
        <f t="shared" si="225"/>
        <v>0</v>
      </c>
      <c r="AL351" s="17">
        <f t="shared" si="226"/>
        <v>0</v>
      </c>
      <c r="AM351" s="17">
        <f t="shared" si="227"/>
        <v>0</v>
      </c>
      <c r="AN351" s="17">
        <f t="shared" si="228"/>
        <v>0</v>
      </c>
      <c r="AO351" s="17">
        <f t="shared" si="229"/>
        <v>0</v>
      </c>
      <c r="AP351" s="17">
        <f t="shared" si="230"/>
        <v>6000</v>
      </c>
      <c r="AQ351" s="18">
        <v>178.36313189748449</v>
      </c>
      <c r="AR351" s="18">
        <v>213.30555766890396</v>
      </c>
      <c r="AS351" s="18">
        <v>188.77698169709529</v>
      </c>
      <c r="AT351" s="18">
        <v>142.99129973710097</v>
      </c>
      <c r="AU351" s="18">
        <v>207.37143621073525</v>
      </c>
      <c r="AV351" s="18">
        <v>169.94066190508929</v>
      </c>
      <c r="AW351" s="18">
        <v>169.18775775452542</v>
      </c>
      <c r="AX351" s="18">
        <v>114.89421092555993</v>
      </c>
      <c r="AY351" s="18">
        <v>170.30770469111494</v>
      </c>
      <c r="AZ351" s="18">
        <v>148.31611782607035</v>
      </c>
      <c r="BA351" s="18">
        <v>151.43637838421435</v>
      </c>
      <c r="BB351" s="18">
        <v>147.91111873135125</v>
      </c>
      <c r="BC351" s="23">
        <v>8.9181565948742242E-2</v>
      </c>
      <c r="BD351" s="23">
        <v>0.10665277883445198</v>
      </c>
      <c r="BE351" s="23">
        <v>9.438849084854764E-2</v>
      </c>
      <c r="BF351" s="23">
        <v>7.149564986855049E-2</v>
      </c>
      <c r="BG351" s="23">
        <v>0.10368571810536763</v>
      </c>
      <c r="BH351" s="23">
        <v>8.4970330952544637E-2</v>
      </c>
      <c r="BI351" s="23">
        <v>8.4593878877262704E-2</v>
      </c>
      <c r="BJ351" s="23">
        <v>5.7447105462779965E-2</v>
      </c>
      <c r="BK351" s="23">
        <v>8.5153852345557474E-2</v>
      </c>
      <c r="BL351" s="23">
        <v>7.4158058913035174E-2</v>
      </c>
      <c r="BM351" s="23">
        <v>7.5718189192107169E-2</v>
      </c>
      <c r="BN351" s="23">
        <v>7.3955559365675619E-2</v>
      </c>
    </row>
    <row r="352" spans="1:66" x14ac:dyDescent="0.25">
      <c r="A352" s="16">
        <v>1716</v>
      </c>
      <c r="B352" s="16" t="s">
        <v>548</v>
      </c>
      <c r="C352" s="17">
        <v>1000</v>
      </c>
      <c r="D352" s="17">
        <f t="shared" si="194"/>
        <v>89.181565948742247</v>
      </c>
      <c r="E352" s="17">
        <f t="shared" si="195"/>
        <v>106.65277883445198</v>
      </c>
      <c r="F352" s="17">
        <f t="shared" si="196"/>
        <v>94.388490848547647</v>
      </c>
      <c r="G352" s="17">
        <f t="shared" si="197"/>
        <v>71.495649868550487</v>
      </c>
      <c r="H352" s="17">
        <f t="shared" si="198"/>
        <v>103.68571810536763</v>
      </c>
      <c r="I352" s="17">
        <f t="shared" si="199"/>
        <v>84.970330952544643</v>
      </c>
      <c r="J352" s="17">
        <f t="shared" si="200"/>
        <v>84.593878877262711</v>
      </c>
      <c r="K352" s="17">
        <f t="shared" si="201"/>
        <v>57.447105462779966</v>
      </c>
      <c r="L352" s="17">
        <f t="shared" si="202"/>
        <v>85.153852345557468</v>
      </c>
      <c r="M352" s="17">
        <f t="shared" si="203"/>
        <v>74.158058913035177</v>
      </c>
      <c r="N352" s="17">
        <f t="shared" si="204"/>
        <v>75.718189192107175</v>
      </c>
      <c r="O352" s="17">
        <f t="shared" si="205"/>
        <v>73.955559365675626</v>
      </c>
      <c r="P352" s="17">
        <v>0</v>
      </c>
      <c r="Q352" s="17">
        <f t="shared" si="206"/>
        <v>0</v>
      </c>
      <c r="R352" s="17">
        <f t="shared" si="207"/>
        <v>0</v>
      </c>
      <c r="S352" s="17">
        <f t="shared" si="208"/>
        <v>0</v>
      </c>
      <c r="T352" s="17">
        <f t="shared" si="209"/>
        <v>0</v>
      </c>
      <c r="U352" s="17">
        <f t="shared" si="210"/>
        <v>0</v>
      </c>
      <c r="V352" s="17">
        <f t="shared" si="211"/>
        <v>0</v>
      </c>
      <c r="W352" s="17">
        <f t="shared" si="212"/>
        <v>0</v>
      </c>
      <c r="X352" s="17">
        <f t="shared" si="213"/>
        <v>0</v>
      </c>
      <c r="Y352" s="17">
        <f t="shared" si="214"/>
        <v>0</v>
      </c>
      <c r="Z352" s="17">
        <f t="shared" si="215"/>
        <v>0</v>
      </c>
      <c r="AA352" s="17">
        <f t="shared" si="216"/>
        <v>0</v>
      </c>
      <c r="AB352" s="17">
        <f t="shared" si="217"/>
        <v>0</v>
      </c>
      <c r="AC352" s="17">
        <v>0</v>
      </c>
      <c r="AD352" s="17">
        <f t="shared" si="218"/>
        <v>0</v>
      </c>
      <c r="AE352" s="17">
        <f t="shared" si="219"/>
        <v>0</v>
      </c>
      <c r="AF352" s="17">
        <f t="shared" si="220"/>
        <v>0</v>
      </c>
      <c r="AG352" s="17">
        <f t="shared" si="221"/>
        <v>0</v>
      </c>
      <c r="AH352" s="17">
        <f t="shared" si="222"/>
        <v>0</v>
      </c>
      <c r="AI352" s="17">
        <f t="shared" si="223"/>
        <v>0</v>
      </c>
      <c r="AJ352" s="17">
        <f t="shared" si="224"/>
        <v>0</v>
      </c>
      <c r="AK352" s="17">
        <f t="shared" si="225"/>
        <v>0</v>
      </c>
      <c r="AL352" s="17">
        <f t="shared" si="226"/>
        <v>0</v>
      </c>
      <c r="AM352" s="17">
        <f t="shared" si="227"/>
        <v>0</v>
      </c>
      <c r="AN352" s="17">
        <f t="shared" si="228"/>
        <v>0</v>
      </c>
      <c r="AO352" s="17">
        <f t="shared" si="229"/>
        <v>0</v>
      </c>
      <c r="AP352" s="17">
        <f t="shared" si="230"/>
        <v>1000</v>
      </c>
      <c r="AQ352" s="18">
        <v>178.36313189748449</v>
      </c>
      <c r="AR352" s="18">
        <v>213.30555766890396</v>
      </c>
      <c r="AS352" s="18">
        <v>188.77698169709529</v>
      </c>
      <c r="AT352" s="18">
        <v>142.99129973710097</v>
      </c>
      <c r="AU352" s="18">
        <v>207.37143621073525</v>
      </c>
      <c r="AV352" s="18">
        <v>169.94066190508929</v>
      </c>
      <c r="AW352" s="18">
        <v>169.18775775452542</v>
      </c>
      <c r="AX352" s="18">
        <v>114.89421092555993</v>
      </c>
      <c r="AY352" s="18">
        <v>170.30770469111494</v>
      </c>
      <c r="AZ352" s="18">
        <v>148.31611782607035</v>
      </c>
      <c r="BA352" s="18">
        <v>151.43637838421435</v>
      </c>
      <c r="BB352" s="18">
        <v>147.91111873135125</v>
      </c>
      <c r="BC352" s="23">
        <v>8.9181565948742242E-2</v>
      </c>
      <c r="BD352" s="23">
        <v>0.10665277883445198</v>
      </c>
      <c r="BE352" s="23">
        <v>9.438849084854764E-2</v>
      </c>
      <c r="BF352" s="23">
        <v>7.149564986855049E-2</v>
      </c>
      <c r="BG352" s="23">
        <v>0.10368571810536763</v>
      </c>
      <c r="BH352" s="23">
        <v>8.4970330952544637E-2</v>
      </c>
      <c r="BI352" s="23">
        <v>8.4593878877262704E-2</v>
      </c>
      <c r="BJ352" s="23">
        <v>5.7447105462779965E-2</v>
      </c>
      <c r="BK352" s="23">
        <v>8.5153852345557474E-2</v>
      </c>
      <c r="BL352" s="23">
        <v>7.4158058913035174E-2</v>
      </c>
      <c r="BM352" s="23">
        <v>7.5718189192107169E-2</v>
      </c>
      <c r="BN352" s="23">
        <v>7.3955559365675619E-2</v>
      </c>
    </row>
    <row r="353" spans="1:66" x14ac:dyDescent="0.25">
      <c r="A353" s="16">
        <v>34046</v>
      </c>
      <c r="B353" s="16" t="s">
        <v>549</v>
      </c>
      <c r="C353" s="17">
        <v>1500</v>
      </c>
      <c r="D353" s="17">
        <f t="shared" si="194"/>
        <v>133.77234892311336</v>
      </c>
      <c r="E353" s="17">
        <f t="shared" si="195"/>
        <v>159.97916825167798</v>
      </c>
      <c r="F353" s="17">
        <f t="shared" si="196"/>
        <v>141.58273627282145</v>
      </c>
      <c r="G353" s="17">
        <f t="shared" si="197"/>
        <v>107.24347480282573</v>
      </c>
      <c r="H353" s="17">
        <f t="shared" si="198"/>
        <v>155.52857715805143</v>
      </c>
      <c r="I353" s="17">
        <f t="shared" si="199"/>
        <v>127.45549642881696</v>
      </c>
      <c r="J353" s="17">
        <f t="shared" si="200"/>
        <v>126.89081831589405</v>
      </c>
      <c r="K353" s="17">
        <f t="shared" si="201"/>
        <v>86.170658194169945</v>
      </c>
      <c r="L353" s="17">
        <f t="shared" si="202"/>
        <v>127.73077851833621</v>
      </c>
      <c r="M353" s="17">
        <f t="shared" si="203"/>
        <v>111.23708836955277</v>
      </c>
      <c r="N353" s="17">
        <f t="shared" si="204"/>
        <v>113.57728378816076</v>
      </c>
      <c r="O353" s="17">
        <f t="shared" si="205"/>
        <v>110.93333904851343</v>
      </c>
      <c r="P353" s="17">
        <v>0</v>
      </c>
      <c r="Q353" s="17">
        <f t="shared" si="206"/>
        <v>0</v>
      </c>
      <c r="R353" s="17">
        <f t="shared" si="207"/>
        <v>0</v>
      </c>
      <c r="S353" s="17">
        <f t="shared" si="208"/>
        <v>0</v>
      </c>
      <c r="T353" s="17">
        <f t="shared" si="209"/>
        <v>0</v>
      </c>
      <c r="U353" s="17">
        <f t="shared" si="210"/>
        <v>0</v>
      </c>
      <c r="V353" s="17">
        <f t="shared" si="211"/>
        <v>0</v>
      </c>
      <c r="W353" s="17">
        <f t="shared" si="212"/>
        <v>0</v>
      </c>
      <c r="X353" s="17">
        <f t="shared" si="213"/>
        <v>0</v>
      </c>
      <c r="Y353" s="17">
        <f t="shared" si="214"/>
        <v>0</v>
      </c>
      <c r="Z353" s="17">
        <f t="shared" si="215"/>
        <v>0</v>
      </c>
      <c r="AA353" s="17">
        <f t="shared" si="216"/>
        <v>0</v>
      </c>
      <c r="AB353" s="17">
        <f t="shared" si="217"/>
        <v>0</v>
      </c>
      <c r="AC353" s="17">
        <v>0</v>
      </c>
      <c r="AD353" s="17">
        <f t="shared" si="218"/>
        <v>0</v>
      </c>
      <c r="AE353" s="17">
        <f t="shared" si="219"/>
        <v>0</v>
      </c>
      <c r="AF353" s="17">
        <f t="shared" si="220"/>
        <v>0</v>
      </c>
      <c r="AG353" s="17">
        <f t="shared" si="221"/>
        <v>0</v>
      </c>
      <c r="AH353" s="17">
        <f t="shared" si="222"/>
        <v>0</v>
      </c>
      <c r="AI353" s="17">
        <f t="shared" si="223"/>
        <v>0</v>
      </c>
      <c r="AJ353" s="17">
        <f t="shared" si="224"/>
        <v>0</v>
      </c>
      <c r="AK353" s="17">
        <f t="shared" si="225"/>
        <v>0</v>
      </c>
      <c r="AL353" s="17">
        <f t="shared" si="226"/>
        <v>0</v>
      </c>
      <c r="AM353" s="17">
        <f t="shared" si="227"/>
        <v>0</v>
      </c>
      <c r="AN353" s="17">
        <f t="shared" si="228"/>
        <v>0</v>
      </c>
      <c r="AO353" s="17">
        <f t="shared" si="229"/>
        <v>0</v>
      </c>
      <c r="AP353" s="17">
        <f t="shared" si="230"/>
        <v>1500</v>
      </c>
      <c r="AQ353" s="18">
        <v>169.31236231404449</v>
      </c>
      <c r="AR353" s="18">
        <v>202.48168710333195</v>
      </c>
      <c r="AS353" s="18">
        <v>179.19777692634875</v>
      </c>
      <c r="AT353" s="18">
        <v>135.73542071889142</v>
      </c>
      <c r="AU353" s="18">
        <v>196.84868373737584</v>
      </c>
      <c r="AV353" s="18">
        <v>161.3172779277084</v>
      </c>
      <c r="AW353" s="18">
        <v>160.60257876890867</v>
      </c>
      <c r="AX353" s="18">
        <v>109.06407653345879</v>
      </c>
      <c r="AY353" s="18">
        <v>161.66569567812138</v>
      </c>
      <c r="AZ353" s="18">
        <v>140.79003890116317</v>
      </c>
      <c r="BA353" s="18">
        <v>143.75196651767496</v>
      </c>
      <c r="BB353" s="18">
        <v>140.40559087800693</v>
      </c>
      <c r="BC353" s="23">
        <v>8.9181565948742242E-2</v>
      </c>
      <c r="BD353" s="23">
        <v>0.10665277883445198</v>
      </c>
      <c r="BE353" s="23">
        <v>9.438849084854764E-2</v>
      </c>
      <c r="BF353" s="23">
        <v>7.149564986855049E-2</v>
      </c>
      <c r="BG353" s="23">
        <v>0.10368571810536763</v>
      </c>
      <c r="BH353" s="23">
        <v>8.4970330952544637E-2</v>
      </c>
      <c r="BI353" s="23">
        <v>8.4593878877262704E-2</v>
      </c>
      <c r="BJ353" s="23">
        <v>5.7447105462779965E-2</v>
      </c>
      <c r="BK353" s="23">
        <v>8.5153852345557474E-2</v>
      </c>
      <c r="BL353" s="23">
        <v>7.4158058913035174E-2</v>
      </c>
      <c r="BM353" s="23">
        <v>7.5718189192107169E-2</v>
      </c>
      <c r="BN353" s="23">
        <v>7.3955559365675619E-2</v>
      </c>
    </row>
    <row r="354" spans="1:66" x14ac:dyDescent="0.25">
      <c r="A354" s="16">
        <v>3745</v>
      </c>
      <c r="B354" s="16" t="s">
        <v>550</v>
      </c>
      <c r="C354" s="17">
        <v>0</v>
      </c>
      <c r="D354" s="17">
        <f t="shared" si="194"/>
        <v>0</v>
      </c>
      <c r="E354" s="17">
        <f t="shared" si="195"/>
        <v>0</v>
      </c>
      <c r="F354" s="17">
        <f t="shared" si="196"/>
        <v>0</v>
      </c>
      <c r="G354" s="17">
        <f t="shared" si="197"/>
        <v>0</v>
      </c>
      <c r="H354" s="17">
        <f t="shared" si="198"/>
        <v>0</v>
      </c>
      <c r="I354" s="17">
        <f t="shared" si="199"/>
        <v>0</v>
      </c>
      <c r="J354" s="17">
        <f t="shared" si="200"/>
        <v>0</v>
      </c>
      <c r="K354" s="17">
        <f t="shared" si="201"/>
        <v>0</v>
      </c>
      <c r="L354" s="17">
        <f t="shared" si="202"/>
        <v>0</v>
      </c>
      <c r="M354" s="17">
        <f t="shared" si="203"/>
        <v>0</v>
      </c>
      <c r="N354" s="17">
        <f t="shared" si="204"/>
        <v>0</v>
      </c>
      <c r="O354" s="17">
        <f t="shared" si="205"/>
        <v>0</v>
      </c>
      <c r="P354" s="17">
        <v>0</v>
      </c>
      <c r="Q354" s="17">
        <f t="shared" si="206"/>
        <v>0</v>
      </c>
      <c r="R354" s="17">
        <f t="shared" si="207"/>
        <v>0</v>
      </c>
      <c r="S354" s="17">
        <f t="shared" si="208"/>
        <v>0</v>
      </c>
      <c r="T354" s="17">
        <f t="shared" si="209"/>
        <v>0</v>
      </c>
      <c r="U354" s="17">
        <f t="shared" si="210"/>
        <v>0</v>
      </c>
      <c r="V354" s="17">
        <f t="shared" si="211"/>
        <v>0</v>
      </c>
      <c r="W354" s="17">
        <f t="shared" si="212"/>
        <v>0</v>
      </c>
      <c r="X354" s="17">
        <f t="shared" si="213"/>
        <v>0</v>
      </c>
      <c r="Y354" s="17">
        <f t="shared" si="214"/>
        <v>0</v>
      </c>
      <c r="Z354" s="17">
        <f t="shared" si="215"/>
        <v>0</v>
      </c>
      <c r="AA354" s="17">
        <f t="shared" si="216"/>
        <v>0</v>
      </c>
      <c r="AB354" s="17">
        <f t="shared" si="217"/>
        <v>0</v>
      </c>
      <c r="AC354" s="17">
        <v>0</v>
      </c>
      <c r="AD354" s="17">
        <f t="shared" si="218"/>
        <v>0</v>
      </c>
      <c r="AE354" s="17">
        <f t="shared" si="219"/>
        <v>0</v>
      </c>
      <c r="AF354" s="17">
        <f t="shared" si="220"/>
        <v>0</v>
      </c>
      <c r="AG354" s="17">
        <f t="shared" si="221"/>
        <v>0</v>
      </c>
      <c r="AH354" s="17">
        <f t="shared" si="222"/>
        <v>0</v>
      </c>
      <c r="AI354" s="17">
        <f t="shared" si="223"/>
        <v>0</v>
      </c>
      <c r="AJ354" s="17">
        <f t="shared" si="224"/>
        <v>0</v>
      </c>
      <c r="AK354" s="17">
        <f t="shared" si="225"/>
        <v>0</v>
      </c>
      <c r="AL354" s="17">
        <f t="shared" si="226"/>
        <v>0</v>
      </c>
      <c r="AM354" s="17">
        <f t="shared" si="227"/>
        <v>0</v>
      </c>
      <c r="AN354" s="17">
        <f t="shared" si="228"/>
        <v>0</v>
      </c>
      <c r="AO354" s="17">
        <f t="shared" si="229"/>
        <v>0</v>
      </c>
      <c r="AP354" s="17">
        <f t="shared" si="230"/>
        <v>0</v>
      </c>
      <c r="AQ354" s="18">
        <v>165.04065448666569</v>
      </c>
      <c r="AR354" s="18">
        <v>197.37312564994053</v>
      </c>
      <c r="AS354" s="18">
        <v>174.67666260319416</v>
      </c>
      <c r="AT354" s="18">
        <v>132.3108505858377</v>
      </c>
      <c r="AU354" s="18">
        <v>191.88224152584681</v>
      </c>
      <c r="AV354" s="18">
        <v>157.24728404541244</v>
      </c>
      <c r="AW354" s="18">
        <v>156.55061656456664</v>
      </c>
      <c r="AX354" s="18">
        <v>106.31241762889708</v>
      </c>
      <c r="AY354" s="18">
        <v>157.58691130462151</v>
      </c>
      <c r="AZ354" s="18">
        <v>137.23794203728767</v>
      </c>
      <c r="BA354" s="18">
        <v>140.12514097356222</v>
      </c>
      <c r="BB354" s="18">
        <v>136.86319353995043</v>
      </c>
      <c r="BC354" s="23">
        <v>8.9181565948742242E-2</v>
      </c>
      <c r="BD354" s="23">
        <v>0.10665277883445198</v>
      </c>
      <c r="BE354" s="23">
        <v>9.438849084854764E-2</v>
      </c>
      <c r="BF354" s="23">
        <v>7.149564986855049E-2</v>
      </c>
      <c r="BG354" s="23">
        <v>0.10368571810536763</v>
      </c>
      <c r="BH354" s="23">
        <v>8.4970330952544637E-2</v>
      </c>
      <c r="BI354" s="23">
        <v>8.4593878877262704E-2</v>
      </c>
      <c r="BJ354" s="23">
        <v>5.7447105462779965E-2</v>
      </c>
      <c r="BK354" s="23">
        <v>8.5153852345557474E-2</v>
      </c>
      <c r="BL354" s="23">
        <v>7.4158058913035174E-2</v>
      </c>
      <c r="BM354" s="23">
        <v>7.5718189192107169E-2</v>
      </c>
      <c r="BN354" s="23">
        <v>7.3955559365675619E-2</v>
      </c>
    </row>
    <row r="355" spans="1:66" x14ac:dyDescent="0.25">
      <c r="A355" s="16">
        <v>5248</v>
      </c>
      <c r="B355" s="16" t="s">
        <v>551</v>
      </c>
      <c r="C355" s="17">
        <v>0</v>
      </c>
      <c r="D355" s="17">
        <f t="shared" si="194"/>
        <v>0</v>
      </c>
      <c r="E355" s="17">
        <f t="shared" si="195"/>
        <v>0</v>
      </c>
      <c r="F355" s="17">
        <f t="shared" si="196"/>
        <v>0</v>
      </c>
      <c r="G355" s="17">
        <f t="shared" si="197"/>
        <v>0</v>
      </c>
      <c r="H355" s="17">
        <f t="shared" si="198"/>
        <v>0</v>
      </c>
      <c r="I355" s="17">
        <f t="shared" si="199"/>
        <v>0</v>
      </c>
      <c r="J355" s="17">
        <f t="shared" si="200"/>
        <v>0</v>
      </c>
      <c r="K355" s="17">
        <f t="shared" si="201"/>
        <v>0</v>
      </c>
      <c r="L355" s="17">
        <f t="shared" si="202"/>
        <v>0</v>
      </c>
      <c r="M355" s="17">
        <f t="shared" si="203"/>
        <v>0</v>
      </c>
      <c r="N355" s="17">
        <f t="shared" si="204"/>
        <v>0</v>
      </c>
      <c r="O355" s="17">
        <f t="shared" si="205"/>
        <v>0</v>
      </c>
      <c r="P355" s="17">
        <v>3000</v>
      </c>
      <c r="Q355" s="17">
        <f t="shared" si="206"/>
        <v>267.54469784622671</v>
      </c>
      <c r="R355" s="17">
        <f t="shared" si="207"/>
        <v>319.95833650335595</v>
      </c>
      <c r="S355" s="17">
        <f t="shared" si="208"/>
        <v>283.1654725456429</v>
      </c>
      <c r="T355" s="17">
        <f t="shared" si="209"/>
        <v>214.48694960565146</v>
      </c>
      <c r="U355" s="17">
        <f t="shared" si="210"/>
        <v>311.05715431610287</v>
      </c>
      <c r="V355" s="17">
        <f t="shared" si="211"/>
        <v>254.91099285763391</v>
      </c>
      <c r="W355" s="17">
        <f t="shared" si="212"/>
        <v>253.7816366317881</v>
      </c>
      <c r="X355" s="17">
        <f t="shared" si="213"/>
        <v>172.34131638833989</v>
      </c>
      <c r="Y355" s="17">
        <f t="shared" si="214"/>
        <v>255.46155703667242</v>
      </c>
      <c r="Z355" s="17">
        <f t="shared" si="215"/>
        <v>222.47417673910553</v>
      </c>
      <c r="AA355" s="17">
        <f t="shared" si="216"/>
        <v>227.15456757632151</v>
      </c>
      <c r="AB355" s="17">
        <f t="shared" si="217"/>
        <v>221.86667809702686</v>
      </c>
      <c r="AC355" s="17">
        <v>0</v>
      </c>
      <c r="AD355" s="17">
        <f t="shared" si="218"/>
        <v>0</v>
      </c>
      <c r="AE355" s="17">
        <f t="shared" si="219"/>
        <v>0</v>
      </c>
      <c r="AF355" s="17">
        <f t="shared" si="220"/>
        <v>0</v>
      </c>
      <c r="AG355" s="17">
        <f t="shared" si="221"/>
        <v>0</v>
      </c>
      <c r="AH355" s="17">
        <f t="shared" si="222"/>
        <v>0</v>
      </c>
      <c r="AI355" s="17">
        <f t="shared" si="223"/>
        <v>0</v>
      </c>
      <c r="AJ355" s="17">
        <f t="shared" si="224"/>
        <v>0</v>
      </c>
      <c r="AK355" s="17">
        <f t="shared" si="225"/>
        <v>0</v>
      </c>
      <c r="AL355" s="17">
        <f t="shared" si="226"/>
        <v>0</v>
      </c>
      <c r="AM355" s="17">
        <f t="shared" si="227"/>
        <v>0</v>
      </c>
      <c r="AN355" s="17">
        <f t="shared" si="228"/>
        <v>0</v>
      </c>
      <c r="AO355" s="17">
        <f t="shared" si="229"/>
        <v>0</v>
      </c>
      <c r="AP355" s="17">
        <f t="shared" si="230"/>
        <v>3000</v>
      </c>
      <c r="AQ355" s="18">
        <v>160.52681870773603</v>
      </c>
      <c r="AR355" s="18">
        <v>191.97500190201356</v>
      </c>
      <c r="AS355" s="18">
        <v>169.89928352738576</v>
      </c>
      <c r="AT355" s="18">
        <v>128.69216976339089</v>
      </c>
      <c r="AU355" s="18">
        <v>186.63429258966173</v>
      </c>
      <c r="AV355" s="18">
        <v>152.94659571458035</v>
      </c>
      <c r="AW355" s="18">
        <v>152.26898197907286</v>
      </c>
      <c r="AX355" s="18">
        <v>103.40478983300393</v>
      </c>
      <c r="AY355" s="18">
        <v>153.27693422200346</v>
      </c>
      <c r="AZ355" s="18">
        <v>133.48450604346331</v>
      </c>
      <c r="BA355" s="18">
        <v>136.2927405457929</v>
      </c>
      <c r="BB355" s="18">
        <v>133.1200068582161</v>
      </c>
      <c r="BC355" s="23">
        <v>8.9181565948742242E-2</v>
      </c>
      <c r="BD355" s="23">
        <v>0.10665277883445198</v>
      </c>
      <c r="BE355" s="23">
        <v>9.438849084854764E-2</v>
      </c>
      <c r="BF355" s="23">
        <v>7.149564986855049E-2</v>
      </c>
      <c r="BG355" s="23">
        <v>0.10368571810536763</v>
      </c>
      <c r="BH355" s="23">
        <v>8.4970330952544637E-2</v>
      </c>
      <c r="BI355" s="23">
        <v>8.4593878877262704E-2</v>
      </c>
      <c r="BJ355" s="23">
        <v>5.7447105462779965E-2</v>
      </c>
      <c r="BK355" s="23">
        <v>8.5153852345557474E-2</v>
      </c>
      <c r="BL355" s="23">
        <v>7.4158058913035174E-2</v>
      </c>
      <c r="BM355" s="23">
        <v>7.5718189192107169E-2</v>
      </c>
      <c r="BN355" s="23">
        <v>7.3955559365675619E-2</v>
      </c>
    </row>
    <row r="356" spans="1:66" x14ac:dyDescent="0.25">
      <c r="A356" s="16">
        <v>34011</v>
      </c>
      <c r="B356" s="16" t="s">
        <v>552</v>
      </c>
      <c r="C356" s="17">
        <v>2000</v>
      </c>
      <c r="D356" s="17">
        <f t="shared" si="194"/>
        <v>178.36313189748449</v>
      </c>
      <c r="E356" s="17">
        <f t="shared" si="195"/>
        <v>213.30555766890396</v>
      </c>
      <c r="F356" s="17">
        <f t="shared" si="196"/>
        <v>188.77698169709529</v>
      </c>
      <c r="G356" s="17">
        <f t="shared" si="197"/>
        <v>142.99129973710097</v>
      </c>
      <c r="H356" s="17">
        <f t="shared" si="198"/>
        <v>207.37143621073525</v>
      </c>
      <c r="I356" s="17">
        <f t="shared" si="199"/>
        <v>169.94066190508929</v>
      </c>
      <c r="J356" s="17">
        <f t="shared" si="200"/>
        <v>169.18775775452542</v>
      </c>
      <c r="K356" s="17">
        <f t="shared" si="201"/>
        <v>114.89421092555993</v>
      </c>
      <c r="L356" s="17">
        <f t="shared" si="202"/>
        <v>170.30770469111494</v>
      </c>
      <c r="M356" s="17">
        <f t="shared" si="203"/>
        <v>148.31611782607035</v>
      </c>
      <c r="N356" s="17">
        <f t="shared" si="204"/>
        <v>151.43637838421435</v>
      </c>
      <c r="O356" s="17">
        <f t="shared" si="205"/>
        <v>147.91111873135125</v>
      </c>
      <c r="P356" s="17">
        <v>0</v>
      </c>
      <c r="Q356" s="17">
        <f t="shared" si="206"/>
        <v>0</v>
      </c>
      <c r="R356" s="17">
        <f t="shared" si="207"/>
        <v>0</v>
      </c>
      <c r="S356" s="17">
        <f t="shared" si="208"/>
        <v>0</v>
      </c>
      <c r="T356" s="17">
        <f t="shared" si="209"/>
        <v>0</v>
      </c>
      <c r="U356" s="17">
        <f t="shared" si="210"/>
        <v>0</v>
      </c>
      <c r="V356" s="17">
        <f t="shared" si="211"/>
        <v>0</v>
      </c>
      <c r="W356" s="17">
        <f t="shared" si="212"/>
        <v>0</v>
      </c>
      <c r="X356" s="17">
        <f t="shared" si="213"/>
        <v>0</v>
      </c>
      <c r="Y356" s="17">
        <f t="shared" si="214"/>
        <v>0</v>
      </c>
      <c r="Z356" s="17">
        <f t="shared" si="215"/>
        <v>0</v>
      </c>
      <c r="AA356" s="17">
        <f t="shared" si="216"/>
        <v>0</v>
      </c>
      <c r="AB356" s="17">
        <f t="shared" si="217"/>
        <v>0</v>
      </c>
      <c r="AC356" s="17">
        <v>0</v>
      </c>
      <c r="AD356" s="17">
        <f t="shared" si="218"/>
        <v>0</v>
      </c>
      <c r="AE356" s="17">
        <f t="shared" si="219"/>
        <v>0</v>
      </c>
      <c r="AF356" s="17">
        <f t="shared" si="220"/>
        <v>0</v>
      </c>
      <c r="AG356" s="17">
        <f t="shared" si="221"/>
        <v>0</v>
      </c>
      <c r="AH356" s="17">
        <f t="shared" si="222"/>
        <v>0</v>
      </c>
      <c r="AI356" s="17">
        <f t="shared" si="223"/>
        <v>0</v>
      </c>
      <c r="AJ356" s="17">
        <f t="shared" si="224"/>
        <v>0</v>
      </c>
      <c r="AK356" s="17">
        <f t="shared" si="225"/>
        <v>0</v>
      </c>
      <c r="AL356" s="17">
        <f t="shared" si="226"/>
        <v>0</v>
      </c>
      <c r="AM356" s="17">
        <f t="shared" si="227"/>
        <v>0</v>
      </c>
      <c r="AN356" s="17">
        <f t="shared" si="228"/>
        <v>0</v>
      </c>
      <c r="AO356" s="17">
        <f t="shared" si="229"/>
        <v>0</v>
      </c>
      <c r="AP356" s="17">
        <f t="shared" si="230"/>
        <v>2000</v>
      </c>
      <c r="AQ356" s="18">
        <v>145.97238714490132</v>
      </c>
      <c r="AR356" s="18">
        <v>174.56926839623102</v>
      </c>
      <c r="AS356" s="18">
        <v>154.49508182090278</v>
      </c>
      <c r="AT356" s="18">
        <v>117.02407970484346</v>
      </c>
      <c r="AU356" s="18">
        <v>169.71278339486574</v>
      </c>
      <c r="AV356" s="18">
        <v>139.07943770312508</v>
      </c>
      <c r="AW356" s="18">
        <v>138.46326094630362</v>
      </c>
      <c r="AX356" s="18">
        <v>94.029422221478256</v>
      </c>
      <c r="AY356" s="18">
        <v>139.37982551920848</v>
      </c>
      <c r="AZ356" s="18">
        <v>121.38191082885599</v>
      </c>
      <c r="BA356" s="18">
        <v>123.93553206964103</v>
      </c>
      <c r="BB356" s="18">
        <v>121.05045956973787</v>
      </c>
      <c r="BC356" s="23">
        <v>8.9181565948742242E-2</v>
      </c>
      <c r="BD356" s="23">
        <v>0.10665277883445198</v>
      </c>
      <c r="BE356" s="23">
        <v>9.438849084854764E-2</v>
      </c>
      <c r="BF356" s="23">
        <v>7.149564986855049E-2</v>
      </c>
      <c r="BG356" s="23">
        <v>0.10368571810536763</v>
      </c>
      <c r="BH356" s="23">
        <v>8.4970330952544637E-2</v>
      </c>
      <c r="BI356" s="23">
        <v>8.4593878877262704E-2</v>
      </c>
      <c r="BJ356" s="23">
        <v>5.7447105462779965E-2</v>
      </c>
      <c r="BK356" s="23">
        <v>8.5153852345557474E-2</v>
      </c>
      <c r="BL356" s="23">
        <v>7.4158058913035174E-2</v>
      </c>
      <c r="BM356" s="23">
        <v>7.5718189192107169E-2</v>
      </c>
      <c r="BN356" s="23">
        <v>7.3955559365675619E-2</v>
      </c>
    </row>
    <row r="357" spans="1:66" x14ac:dyDescent="0.25">
      <c r="A357" s="16">
        <v>1542</v>
      </c>
      <c r="B357" s="16" t="s">
        <v>553</v>
      </c>
      <c r="C357" s="17">
        <v>0</v>
      </c>
      <c r="D357" s="17">
        <f t="shared" si="194"/>
        <v>0</v>
      </c>
      <c r="E357" s="17">
        <f t="shared" si="195"/>
        <v>0</v>
      </c>
      <c r="F357" s="17">
        <f t="shared" si="196"/>
        <v>0</v>
      </c>
      <c r="G357" s="17">
        <f t="shared" si="197"/>
        <v>0</v>
      </c>
      <c r="H357" s="17">
        <f t="shared" si="198"/>
        <v>0</v>
      </c>
      <c r="I357" s="17">
        <f t="shared" si="199"/>
        <v>0</v>
      </c>
      <c r="J357" s="17">
        <f t="shared" si="200"/>
        <v>0</v>
      </c>
      <c r="K357" s="17">
        <f t="shared" si="201"/>
        <v>0</v>
      </c>
      <c r="L357" s="17">
        <f t="shared" si="202"/>
        <v>0</v>
      </c>
      <c r="M357" s="17">
        <f t="shared" si="203"/>
        <v>0</v>
      </c>
      <c r="N357" s="17">
        <f t="shared" si="204"/>
        <v>0</v>
      </c>
      <c r="O357" s="17">
        <f t="shared" si="205"/>
        <v>0</v>
      </c>
      <c r="P357" s="17">
        <v>0</v>
      </c>
      <c r="Q357" s="17">
        <f t="shared" si="206"/>
        <v>0</v>
      </c>
      <c r="R357" s="17">
        <f t="shared" si="207"/>
        <v>0</v>
      </c>
      <c r="S357" s="17">
        <f t="shared" si="208"/>
        <v>0</v>
      </c>
      <c r="T357" s="17">
        <f t="shared" si="209"/>
        <v>0</v>
      </c>
      <c r="U357" s="17">
        <f t="shared" si="210"/>
        <v>0</v>
      </c>
      <c r="V357" s="17">
        <f t="shared" si="211"/>
        <v>0</v>
      </c>
      <c r="W357" s="17">
        <f t="shared" si="212"/>
        <v>0</v>
      </c>
      <c r="X357" s="17">
        <f t="shared" si="213"/>
        <v>0</v>
      </c>
      <c r="Y357" s="17">
        <f t="shared" si="214"/>
        <v>0</v>
      </c>
      <c r="Z357" s="17">
        <f t="shared" si="215"/>
        <v>0</v>
      </c>
      <c r="AA357" s="17">
        <f t="shared" si="216"/>
        <v>0</v>
      </c>
      <c r="AB357" s="17">
        <f t="shared" si="217"/>
        <v>0</v>
      </c>
      <c r="AC357" s="17">
        <v>0</v>
      </c>
      <c r="AD357" s="17">
        <f t="shared" si="218"/>
        <v>0</v>
      </c>
      <c r="AE357" s="17">
        <f t="shared" si="219"/>
        <v>0</v>
      </c>
      <c r="AF357" s="17">
        <f t="shared" si="220"/>
        <v>0</v>
      </c>
      <c r="AG357" s="17">
        <f t="shared" si="221"/>
        <v>0</v>
      </c>
      <c r="AH357" s="17">
        <f t="shared" si="222"/>
        <v>0</v>
      </c>
      <c r="AI357" s="17">
        <f t="shared" si="223"/>
        <v>0</v>
      </c>
      <c r="AJ357" s="17">
        <f t="shared" si="224"/>
        <v>0</v>
      </c>
      <c r="AK357" s="17">
        <f t="shared" si="225"/>
        <v>0</v>
      </c>
      <c r="AL357" s="17">
        <f t="shared" si="226"/>
        <v>0</v>
      </c>
      <c r="AM357" s="17">
        <f t="shared" si="227"/>
        <v>0</v>
      </c>
      <c r="AN357" s="17">
        <f t="shared" si="228"/>
        <v>0</v>
      </c>
      <c r="AO357" s="17">
        <f t="shared" si="229"/>
        <v>0</v>
      </c>
      <c r="AP357" s="17">
        <f t="shared" si="230"/>
        <v>0</v>
      </c>
      <c r="AQ357" s="18">
        <v>147.31546152808937</v>
      </c>
      <c r="AR357" s="18">
        <v>176.17545924547787</v>
      </c>
      <c r="AS357" s="18">
        <v>155.91657249308193</v>
      </c>
      <c r="AT357" s="18">
        <v>118.10080419186382</v>
      </c>
      <c r="AU357" s="18">
        <v>171.27429030953257</v>
      </c>
      <c r="AV357" s="18">
        <v>140.35909088727038</v>
      </c>
      <c r="AW357" s="18">
        <v>139.73724476219519</v>
      </c>
      <c r="AX357" s="18">
        <v>94.89457562974772</v>
      </c>
      <c r="AY357" s="18">
        <v>140.66224253553258</v>
      </c>
      <c r="AZ357" s="18">
        <v>122.4987311960863</v>
      </c>
      <c r="BA357" s="18">
        <v>125.07584799887415</v>
      </c>
      <c r="BB357" s="18">
        <v>122.16423029378494</v>
      </c>
      <c r="BC357" s="23">
        <v>8.9181565948742242E-2</v>
      </c>
      <c r="BD357" s="23">
        <v>0.10665277883445198</v>
      </c>
      <c r="BE357" s="23">
        <v>9.438849084854764E-2</v>
      </c>
      <c r="BF357" s="23">
        <v>7.149564986855049E-2</v>
      </c>
      <c r="BG357" s="23">
        <v>0.10368571810536763</v>
      </c>
      <c r="BH357" s="23">
        <v>8.4970330952544637E-2</v>
      </c>
      <c r="BI357" s="23">
        <v>8.4593878877262704E-2</v>
      </c>
      <c r="BJ357" s="23">
        <v>5.7447105462779965E-2</v>
      </c>
      <c r="BK357" s="23">
        <v>8.5153852345557474E-2</v>
      </c>
      <c r="BL357" s="23">
        <v>7.4158058913035174E-2</v>
      </c>
      <c r="BM357" s="23">
        <v>7.5718189192107169E-2</v>
      </c>
      <c r="BN357" s="23">
        <v>7.3955559365675619E-2</v>
      </c>
    </row>
    <row r="358" spans="1:66" x14ac:dyDescent="0.25">
      <c r="A358" s="16">
        <v>2017</v>
      </c>
      <c r="B358" s="16" t="s">
        <v>554</v>
      </c>
      <c r="C358" s="17">
        <v>0</v>
      </c>
      <c r="D358" s="17">
        <f t="shared" si="194"/>
        <v>0</v>
      </c>
      <c r="E358" s="17">
        <f t="shared" si="195"/>
        <v>0</v>
      </c>
      <c r="F358" s="17">
        <f t="shared" si="196"/>
        <v>0</v>
      </c>
      <c r="G358" s="17">
        <f t="shared" si="197"/>
        <v>0</v>
      </c>
      <c r="H358" s="17">
        <f t="shared" si="198"/>
        <v>0</v>
      </c>
      <c r="I358" s="17">
        <f t="shared" si="199"/>
        <v>0</v>
      </c>
      <c r="J358" s="17">
        <f t="shared" si="200"/>
        <v>0</v>
      </c>
      <c r="K358" s="17">
        <f t="shared" si="201"/>
        <v>0</v>
      </c>
      <c r="L358" s="17">
        <f t="shared" si="202"/>
        <v>0</v>
      </c>
      <c r="M358" s="17">
        <f t="shared" si="203"/>
        <v>0</v>
      </c>
      <c r="N358" s="17">
        <f t="shared" si="204"/>
        <v>0</v>
      </c>
      <c r="O358" s="17">
        <f t="shared" si="205"/>
        <v>0</v>
      </c>
      <c r="P358" s="17">
        <v>1000</v>
      </c>
      <c r="Q358" s="17">
        <f t="shared" si="206"/>
        <v>89.181565948742247</v>
      </c>
      <c r="R358" s="17">
        <f t="shared" si="207"/>
        <v>106.65277883445198</v>
      </c>
      <c r="S358" s="17">
        <f t="shared" si="208"/>
        <v>94.388490848547647</v>
      </c>
      <c r="T358" s="17">
        <f t="shared" si="209"/>
        <v>71.495649868550487</v>
      </c>
      <c r="U358" s="17">
        <f t="shared" si="210"/>
        <v>103.68571810536763</v>
      </c>
      <c r="V358" s="17">
        <f t="shared" si="211"/>
        <v>84.970330952544643</v>
      </c>
      <c r="W358" s="17">
        <f t="shared" si="212"/>
        <v>84.593878877262711</v>
      </c>
      <c r="X358" s="17">
        <f t="shared" si="213"/>
        <v>57.447105462779966</v>
      </c>
      <c r="Y358" s="17">
        <f t="shared" si="214"/>
        <v>85.153852345557468</v>
      </c>
      <c r="Z358" s="17">
        <f t="shared" si="215"/>
        <v>74.158058913035177</v>
      </c>
      <c r="AA358" s="17">
        <f t="shared" si="216"/>
        <v>75.718189192107175</v>
      </c>
      <c r="AB358" s="17">
        <f t="shared" si="217"/>
        <v>73.955559365675626</v>
      </c>
      <c r="AC358" s="17">
        <v>0</v>
      </c>
      <c r="AD358" s="17">
        <f t="shared" si="218"/>
        <v>0</v>
      </c>
      <c r="AE358" s="17">
        <f t="shared" si="219"/>
        <v>0</v>
      </c>
      <c r="AF358" s="17">
        <f t="shared" si="220"/>
        <v>0</v>
      </c>
      <c r="AG358" s="17">
        <f t="shared" si="221"/>
        <v>0</v>
      </c>
      <c r="AH358" s="17">
        <f t="shared" si="222"/>
        <v>0</v>
      </c>
      <c r="AI358" s="17">
        <f t="shared" si="223"/>
        <v>0</v>
      </c>
      <c r="AJ358" s="17">
        <f t="shared" si="224"/>
        <v>0</v>
      </c>
      <c r="AK358" s="17">
        <f t="shared" si="225"/>
        <v>0</v>
      </c>
      <c r="AL358" s="17">
        <f t="shared" si="226"/>
        <v>0</v>
      </c>
      <c r="AM358" s="17">
        <f t="shared" si="227"/>
        <v>0</v>
      </c>
      <c r="AN358" s="17">
        <f t="shared" si="228"/>
        <v>0</v>
      </c>
      <c r="AO358" s="17">
        <f t="shared" si="229"/>
        <v>0</v>
      </c>
      <c r="AP358" s="17">
        <f t="shared" si="230"/>
        <v>1000</v>
      </c>
      <c r="AQ358" s="18">
        <v>142.69050551798759</v>
      </c>
      <c r="AR358" s="18">
        <v>170.64444613512316</v>
      </c>
      <c r="AS358" s="18">
        <v>151.02158535767623</v>
      </c>
      <c r="AT358" s="18">
        <v>114.39303978968078</v>
      </c>
      <c r="AU358" s="18">
        <v>165.8971489685882</v>
      </c>
      <c r="AV358" s="18">
        <v>135.95252952407142</v>
      </c>
      <c r="AW358" s="18">
        <v>135.35020620362033</v>
      </c>
      <c r="AX358" s="18">
        <v>91.915368740447946</v>
      </c>
      <c r="AY358" s="18">
        <v>136.24616375289196</v>
      </c>
      <c r="AZ358" s="18">
        <v>118.65289426085627</v>
      </c>
      <c r="BA358" s="18">
        <v>121.14910270737147</v>
      </c>
      <c r="BB358" s="18">
        <v>118.32889498508099</v>
      </c>
      <c r="BC358" s="23">
        <v>8.9181565948742242E-2</v>
      </c>
      <c r="BD358" s="23">
        <v>0.10665277883445198</v>
      </c>
      <c r="BE358" s="23">
        <v>9.438849084854764E-2</v>
      </c>
      <c r="BF358" s="23">
        <v>7.149564986855049E-2</v>
      </c>
      <c r="BG358" s="23">
        <v>0.10368571810536763</v>
      </c>
      <c r="BH358" s="23">
        <v>8.4970330952544637E-2</v>
      </c>
      <c r="BI358" s="23">
        <v>8.4593878877262704E-2</v>
      </c>
      <c r="BJ358" s="23">
        <v>5.7447105462779965E-2</v>
      </c>
      <c r="BK358" s="23">
        <v>8.5153852345557474E-2</v>
      </c>
      <c r="BL358" s="23">
        <v>7.4158058913035174E-2</v>
      </c>
      <c r="BM358" s="23">
        <v>7.5718189192107169E-2</v>
      </c>
      <c r="BN358" s="23">
        <v>7.3955559365675619E-2</v>
      </c>
    </row>
    <row r="359" spans="1:66" x14ac:dyDescent="0.25">
      <c r="A359" s="16">
        <v>5150</v>
      </c>
      <c r="B359" s="16" t="s">
        <v>555</v>
      </c>
      <c r="C359" s="17">
        <v>1600</v>
      </c>
      <c r="D359" s="17">
        <f t="shared" si="194"/>
        <v>142.69050551798759</v>
      </c>
      <c r="E359" s="17">
        <f t="shared" si="195"/>
        <v>170.64444613512316</v>
      </c>
      <c r="F359" s="17">
        <f t="shared" si="196"/>
        <v>151.02158535767623</v>
      </c>
      <c r="G359" s="17">
        <f t="shared" si="197"/>
        <v>114.39303978968078</v>
      </c>
      <c r="H359" s="17">
        <f t="shared" si="198"/>
        <v>165.8971489685882</v>
      </c>
      <c r="I359" s="17">
        <f t="shared" si="199"/>
        <v>135.95252952407142</v>
      </c>
      <c r="J359" s="17">
        <f t="shared" si="200"/>
        <v>135.35020620362033</v>
      </c>
      <c r="K359" s="17">
        <f t="shared" si="201"/>
        <v>91.915368740447946</v>
      </c>
      <c r="L359" s="17">
        <f t="shared" si="202"/>
        <v>136.24616375289196</v>
      </c>
      <c r="M359" s="17">
        <f t="shared" si="203"/>
        <v>118.65289426085627</v>
      </c>
      <c r="N359" s="17">
        <f t="shared" si="204"/>
        <v>121.14910270737147</v>
      </c>
      <c r="O359" s="17">
        <f t="shared" si="205"/>
        <v>118.32889498508099</v>
      </c>
      <c r="P359" s="17">
        <v>0</v>
      </c>
      <c r="Q359" s="17">
        <f t="shared" si="206"/>
        <v>0</v>
      </c>
      <c r="R359" s="17">
        <f t="shared" si="207"/>
        <v>0</v>
      </c>
      <c r="S359" s="17">
        <f t="shared" si="208"/>
        <v>0</v>
      </c>
      <c r="T359" s="17">
        <f t="shared" si="209"/>
        <v>0</v>
      </c>
      <c r="U359" s="17">
        <f t="shared" si="210"/>
        <v>0</v>
      </c>
      <c r="V359" s="17">
        <f t="shared" si="211"/>
        <v>0</v>
      </c>
      <c r="W359" s="17">
        <f t="shared" si="212"/>
        <v>0</v>
      </c>
      <c r="X359" s="17">
        <f t="shared" si="213"/>
        <v>0</v>
      </c>
      <c r="Y359" s="17">
        <f t="shared" si="214"/>
        <v>0</v>
      </c>
      <c r="Z359" s="17">
        <f t="shared" si="215"/>
        <v>0</v>
      </c>
      <c r="AA359" s="17">
        <f t="shared" si="216"/>
        <v>0</v>
      </c>
      <c r="AB359" s="17">
        <f t="shared" si="217"/>
        <v>0</v>
      </c>
      <c r="AC359" s="17">
        <v>0</v>
      </c>
      <c r="AD359" s="17">
        <f t="shared" si="218"/>
        <v>0</v>
      </c>
      <c r="AE359" s="17">
        <f t="shared" si="219"/>
        <v>0</v>
      </c>
      <c r="AF359" s="17">
        <f t="shared" si="220"/>
        <v>0</v>
      </c>
      <c r="AG359" s="17">
        <f t="shared" si="221"/>
        <v>0</v>
      </c>
      <c r="AH359" s="17">
        <f t="shared" si="222"/>
        <v>0</v>
      </c>
      <c r="AI359" s="17">
        <f t="shared" si="223"/>
        <v>0</v>
      </c>
      <c r="AJ359" s="17">
        <f t="shared" si="224"/>
        <v>0</v>
      </c>
      <c r="AK359" s="17">
        <f t="shared" si="225"/>
        <v>0</v>
      </c>
      <c r="AL359" s="17">
        <f t="shared" si="226"/>
        <v>0</v>
      </c>
      <c r="AM359" s="17">
        <f t="shared" si="227"/>
        <v>0</v>
      </c>
      <c r="AN359" s="17">
        <f t="shared" si="228"/>
        <v>0</v>
      </c>
      <c r="AO359" s="17">
        <f t="shared" si="229"/>
        <v>0</v>
      </c>
      <c r="AP359" s="17">
        <f t="shared" si="230"/>
        <v>1600</v>
      </c>
      <c r="AQ359" s="18">
        <v>118.9625905369674</v>
      </c>
      <c r="AR359" s="18">
        <v>142.26808784009239</v>
      </c>
      <c r="AS359" s="18">
        <v>125.90830031703911</v>
      </c>
      <c r="AT359" s="18">
        <v>95.370692698704644</v>
      </c>
      <c r="AU359" s="18">
        <v>138.31021575231978</v>
      </c>
      <c r="AV359" s="18">
        <v>113.34506835984455</v>
      </c>
      <c r="AW359" s="18">
        <v>112.84290500789919</v>
      </c>
      <c r="AX359" s="18">
        <v>76.630819519704332</v>
      </c>
      <c r="AY359" s="18">
        <v>113.58987433627591</v>
      </c>
      <c r="AZ359" s="18">
        <v>98.922178632277408</v>
      </c>
      <c r="BA359" s="18">
        <v>101.00329413635187</v>
      </c>
      <c r="BB359" s="18">
        <v>98.65205699357125</v>
      </c>
      <c r="BC359" s="23">
        <v>8.9181565948742242E-2</v>
      </c>
      <c r="BD359" s="23">
        <v>0.10665277883445198</v>
      </c>
      <c r="BE359" s="23">
        <v>9.438849084854764E-2</v>
      </c>
      <c r="BF359" s="23">
        <v>7.149564986855049E-2</v>
      </c>
      <c r="BG359" s="23">
        <v>0.10368571810536763</v>
      </c>
      <c r="BH359" s="23">
        <v>8.4970330952544637E-2</v>
      </c>
      <c r="BI359" s="23">
        <v>8.4593878877262704E-2</v>
      </c>
      <c r="BJ359" s="23">
        <v>5.7447105462779965E-2</v>
      </c>
      <c r="BK359" s="23">
        <v>8.5153852345557474E-2</v>
      </c>
      <c r="BL359" s="23">
        <v>7.4158058913035174E-2</v>
      </c>
      <c r="BM359" s="23">
        <v>7.5718189192107169E-2</v>
      </c>
      <c r="BN359" s="23">
        <v>7.3955559365675619E-2</v>
      </c>
    </row>
    <row r="360" spans="1:66" x14ac:dyDescent="0.25">
      <c r="A360" s="16">
        <v>2448</v>
      </c>
      <c r="B360" s="16" t="s">
        <v>556</v>
      </c>
      <c r="C360" s="17">
        <v>0</v>
      </c>
      <c r="D360" s="17">
        <f t="shared" si="194"/>
        <v>0</v>
      </c>
      <c r="E360" s="17">
        <f t="shared" si="195"/>
        <v>0</v>
      </c>
      <c r="F360" s="17">
        <f t="shared" si="196"/>
        <v>0</v>
      </c>
      <c r="G360" s="17">
        <f t="shared" si="197"/>
        <v>0</v>
      </c>
      <c r="H360" s="17">
        <f t="shared" si="198"/>
        <v>0</v>
      </c>
      <c r="I360" s="17">
        <f t="shared" si="199"/>
        <v>0</v>
      </c>
      <c r="J360" s="17">
        <f t="shared" si="200"/>
        <v>0</v>
      </c>
      <c r="K360" s="17">
        <f t="shared" si="201"/>
        <v>0</v>
      </c>
      <c r="L360" s="17">
        <f t="shared" si="202"/>
        <v>0</v>
      </c>
      <c r="M360" s="17">
        <f t="shared" si="203"/>
        <v>0</v>
      </c>
      <c r="N360" s="17">
        <f t="shared" si="204"/>
        <v>0</v>
      </c>
      <c r="O360" s="17">
        <f t="shared" si="205"/>
        <v>0</v>
      </c>
      <c r="P360" s="17">
        <v>0</v>
      </c>
      <c r="Q360" s="17">
        <f t="shared" si="206"/>
        <v>0</v>
      </c>
      <c r="R360" s="17">
        <f t="shared" si="207"/>
        <v>0</v>
      </c>
      <c r="S360" s="17">
        <f t="shared" si="208"/>
        <v>0</v>
      </c>
      <c r="T360" s="17">
        <f t="shared" si="209"/>
        <v>0</v>
      </c>
      <c r="U360" s="17">
        <f t="shared" si="210"/>
        <v>0</v>
      </c>
      <c r="V360" s="17">
        <f t="shared" si="211"/>
        <v>0</v>
      </c>
      <c r="W360" s="17">
        <f t="shared" si="212"/>
        <v>0</v>
      </c>
      <c r="X360" s="17">
        <f t="shared" si="213"/>
        <v>0</v>
      </c>
      <c r="Y360" s="17">
        <f t="shared" si="214"/>
        <v>0</v>
      </c>
      <c r="Z360" s="17">
        <f t="shared" si="215"/>
        <v>0</v>
      </c>
      <c r="AA360" s="17">
        <f t="shared" si="216"/>
        <v>0</v>
      </c>
      <c r="AB360" s="17">
        <f t="shared" si="217"/>
        <v>0</v>
      </c>
      <c r="AC360" s="17">
        <v>0</v>
      </c>
      <c r="AD360" s="17">
        <f t="shared" si="218"/>
        <v>0</v>
      </c>
      <c r="AE360" s="17">
        <f t="shared" si="219"/>
        <v>0</v>
      </c>
      <c r="AF360" s="17">
        <f t="shared" si="220"/>
        <v>0</v>
      </c>
      <c r="AG360" s="17">
        <f t="shared" si="221"/>
        <v>0</v>
      </c>
      <c r="AH360" s="17">
        <f t="shared" si="222"/>
        <v>0</v>
      </c>
      <c r="AI360" s="17">
        <f t="shared" si="223"/>
        <v>0</v>
      </c>
      <c r="AJ360" s="17">
        <f t="shared" si="224"/>
        <v>0</v>
      </c>
      <c r="AK360" s="17">
        <f t="shared" si="225"/>
        <v>0</v>
      </c>
      <c r="AL360" s="17">
        <f t="shared" si="226"/>
        <v>0</v>
      </c>
      <c r="AM360" s="17">
        <f t="shared" si="227"/>
        <v>0</v>
      </c>
      <c r="AN360" s="17">
        <f t="shared" si="228"/>
        <v>0</v>
      </c>
      <c r="AO360" s="17">
        <f t="shared" si="229"/>
        <v>0</v>
      </c>
      <c r="AP360" s="17">
        <f t="shared" si="230"/>
        <v>0</v>
      </c>
      <c r="AQ360" s="18">
        <v>142.69050551798759</v>
      </c>
      <c r="AR360" s="18">
        <v>170.64444613512316</v>
      </c>
      <c r="AS360" s="18">
        <v>151.02158535767623</v>
      </c>
      <c r="AT360" s="18">
        <v>114.39303978968078</v>
      </c>
      <c r="AU360" s="18">
        <v>165.8971489685882</v>
      </c>
      <c r="AV360" s="18">
        <v>135.95252952407142</v>
      </c>
      <c r="AW360" s="18">
        <v>135.35020620362033</v>
      </c>
      <c r="AX360" s="18">
        <v>91.915368740447946</v>
      </c>
      <c r="AY360" s="18">
        <v>136.24616375289196</v>
      </c>
      <c r="AZ360" s="18">
        <v>118.65289426085627</v>
      </c>
      <c r="BA360" s="18">
        <v>121.14910270737147</v>
      </c>
      <c r="BB360" s="18">
        <v>118.32889498508099</v>
      </c>
      <c r="BC360" s="23">
        <v>8.9181565948742242E-2</v>
      </c>
      <c r="BD360" s="23">
        <v>0.10665277883445198</v>
      </c>
      <c r="BE360" s="23">
        <v>9.438849084854764E-2</v>
      </c>
      <c r="BF360" s="23">
        <v>7.149564986855049E-2</v>
      </c>
      <c r="BG360" s="23">
        <v>0.10368571810536763</v>
      </c>
      <c r="BH360" s="23">
        <v>8.4970330952544637E-2</v>
      </c>
      <c r="BI360" s="23">
        <v>8.4593878877262704E-2</v>
      </c>
      <c r="BJ360" s="23">
        <v>5.7447105462779965E-2</v>
      </c>
      <c r="BK360" s="23">
        <v>8.5153852345557474E-2</v>
      </c>
      <c r="BL360" s="23">
        <v>7.4158058913035174E-2</v>
      </c>
      <c r="BM360" s="23">
        <v>7.5718189192107169E-2</v>
      </c>
      <c r="BN360" s="23">
        <v>7.3955559365675619E-2</v>
      </c>
    </row>
    <row r="361" spans="1:66" x14ac:dyDescent="0.25">
      <c r="A361" s="16">
        <v>2891</v>
      </c>
      <c r="B361" s="16" t="s">
        <v>557</v>
      </c>
      <c r="C361" s="17">
        <v>0</v>
      </c>
      <c r="D361" s="17">
        <f t="shared" si="194"/>
        <v>0</v>
      </c>
      <c r="E361" s="17">
        <f t="shared" si="195"/>
        <v>0</v>
      </c>
      <c r="F361" s="17">
        <f t="shared" si="196"/>
        <v>0</v>
      </c>
      <c r="G361" s="17">
        <f t="shared" si="197"/>
        <v>0</v>
      </c>
      <c r="H361" s="17">
        <f t="shared" si="198"/>
        <v>0</v>
      </c>
      <c r="I361" s="17">
        <f t="shared" si="199"/>
        <v>0</v>
      </c>
      <c r="J361" s="17">
        <f t="shared" si="200"/>
        <v>0</v>
      </c>
      <c r="K361" s="17">
        <f t="shared" si="201"/>
        <v>0</v>
      </c>
      <c r="L361" s="17">
        <f t="shared" si="202"/>
        <v>0</v>
      </c>
      <c r="M361" s="17">
        <f t="shared" si="203"/>
        <v>0</v>
      </c>
      <c r="N361" s="17">
        <f t="shared" si="204"/>
        <v>0</v>
      </c>
      <c r="O361" s="17">
        <f t="shared" si="205"/>
        <v>0</v>
      </c>
      <c r="P361" s="17">
        <v>0</v>
      </c>
      <c r="Q361" s="17">
        <f t="shared" si="206"/>
        <v>0</v>
      </c>
      <c r="R361" s="17">
        <f t="shared" si="207"/>
        <v>0</v>
      </c>
      <c r="S361" s="17">
        <f t="shared" si="208"/>
        <v>0</v>
      </c>
      <c r="T361" s="17">
        <f t="shared" si="209"/>
        <v>0</v>
      </c>
      <c r="U361" s="17">
        <f t="shared" si="210"/>
        <v>0</v>
      </c>
      <c r="V361" s="17">
        <f t="shared" si="211"/>
        <v>0</v>
      </c>
      <c r="W361" s="17">
        <f t="shared" si="212"/>
        <v>0</v>
      </c>
      <c r="X361" s="17">
        <f t="shared" si="213"/>
        <v>0</v>
      </c>
      <c r="Y361" s="17">
        <f t="shared" si="214"/>
        <v>0</v>
      </c>
      <c r="Z361" s="17">
        <f t="shared" si="215"/>
        <v>0</v>
      </c>
      <c r="AA361" s="17">
        <f t="shared" si="216"/>
        <v>0</v>
      </c>
      <c r="AB361" s="17">
        <f t="shared" si="217"/>
        <v>0</v>
      </c>
      <c r="AC361" s="17">
        <v>0</v>
      </c>
      <c r="AD361" s="17">
        <f t="shared" si="218"/>
        <v>0</v>
      </c>
      <c r="AE361" s="17">
        <f t="shared" si="219"/>
        <v>0</v>
      </c>
      <c r="AF361" s="17">
        <f t="shared" si="220"/>
        <v>0</v>
      </c>
      <c r="AG361" s="17">
        <f t="shared" si="221"/>
        <v>0</v>
      </c>
      <c r="AH361" s="17">
        <f t="shared" si="222"/>
        <v>0</v>
      </c>
      <c r="AI361" s="17">
        <f t="shared" si="223"/>
        <v>0</v>
      </c>
      <c r="AJ361" s="17">
        <f t="shared" si="224"/>
        <v>0</v>
      </c>
      <c r="AK361" s="17">
        <f t="shared" si="225"/>
        <v>0</v>
      </c>
      <c r="AL361" s="17">
        <f t="shared" si="226"/>
        <v>0</v>
      </c>
      <c r="AM361" s="17">
        <f t="shared" si="227"/>
        <v>0</v>
      </c>
      <c r="AN361" s="17">
        <f t="shared" si="228"/>
        <v>0</v>
      </c>
      <c r="AO361" s="17">
        <f t="shared" si="229"/>
        <v>0</v>
      </c>
      <c r="AP361" s="17">
        <f t="shared" si="230"/>
        <v>0</v>
      </c>
      <c r="AQ361" s="18">
        <v>133.77234892311336</v>
      </c>
      <c r="AR361" s="18">
        <v>159.97916825167798</v>
      </c>
      <c r="AS361" s="18">
        <v>141.58273627282145</v>
      </c>
      <c r="AT361" s="18">
        <v>107.24347480282573</v>
      </c>
      <c r="AU361" s="18">
        <v>155.52857715805143</v>
      </c>
      <c r="AV361" s="18">
        <v>127.45549642881696</v>
      </c>
      <c r="AW361" s="18">
        <v>126.89081831589405</v>
      </c>
      <c r="AX361" s="18">
        <v>86.170658194169945</v>
      </c>
      <c r="AY361" s="18">
        <v>127.73077851833621</v>
      </c>
      <c r="AZ361" s="18">
        <v>111.23708836955277</v>
      </c>
      <c r="BA361" s="18">
        <v>113.57728378816076</v>
      </c>
      <c r="BB361" s="18">
        <v>110.93333904851343</v>
      </c>
      <c r="BC361" s="23">
        <v>8.9181565948742242E-2</v>
      </c>
      <c r="BD361" s="23">
        <v>0.10665277883445198</v>
      </c>
      <c r="BE361" s="23">
        <v>9.438849084854764E-2</v>
      </c>
      <c r="BF361" s="23">
        <v>7.149564986855049E-2</v>
      </c>
      <c r="BG361" s="23">
        <v>0.10368571810536763</v>
      </c>
      <c r="BH361" s="23">
        <v>8.4970330952544637E-2</v>
      </c>
      <c r="BI361" s="23">
        <v>8.4593878877262704E-2</v>
      </c>
      <c r="BJ361" s="23">
        <v>5.7447105462779965E-2</v>
      </c>
      <c r="BK361" s="23">
        <v>8.5153852345557474E-2</v>
      </c>
      <c r="BL361" s="23">
        <v>7.4158058913035174E-2</v>
      </c>
      <c r="BM361" s="23">
        <v>7.5718189192107169E-2</v>
      </c>
      <c r="BN361" s="23">
        <v>7.3955559365675619E-2</v>
      </c>
    </row>
    <row r="362" spans="1:66" x14ac:dyDescent="0.25">
      <c r="A362" s="16">
        <v>3119</v>
      </c>
      <c r="B362" s="16" t="s">
        <v>558</v>
      </c>
      <c r="C362" s="17">
        <v>0</v>
      </c>
      <c r="D362" s="17">
        <f t="shared" si="194"/>
        <v>0</v>
      </c>
      <c r="E362" s="17">
        <f t="shared" si="195"/>
        <v>0</v>
      </c>
      <c r="F362" s="17">
        <f t="shared" si="196"/>
        <v>0</v>
      </c>
      <c r="G362" s="17">
        <f t="shared" si="197"/>
        <v>0</v>
      </c>
      <c r="H362" s="17">
        <f t="shared" si="198"/>
        <v>0</v>
      </c>
      <c r="I362" s="17">
        <f t="shared" si="199"/>
        <v>0</v>
      </c>
      <c r="J362" s="17">
        <f t="shared" si="200"/>
        <v>0</v>
      </c>
      <c r="K362" s="17">
        <f t="shared" si="201"/>
        <v>0</v>
      </c>
      <c r="L362" s="17">
        <f t="shared" si="202"/>
        <v>0</v>
      </c>
      <c r="M362" s="17">
        <f t="shared" si="203"/>
        <v>0</v>
      </c>
      <c r="N362" s="17">
        <f t="shared" si="204"/>
        <v>0</v>
      </c>
      <c r="O362" s="17">
        <f t="shared" si="205"/>
        <v>0</v>
      </c>
      <c r="P362" s="17">
        <v>1000</v>
      </c>
      <c r="Q362" s="17">
        <f t="shared" si="206"/>
        <v>89.181565948742247</v>
      </c>
      <c r="R362" s="17">
        <f t="shared" si="207"/>
        <v>106.65277883445198</v>
      </c>
      <c r="S362" s="17">
        <f t="shared" si="208"/>
        <v>94.388490848547647</v>
      </c>
      <c r="T362" s="17">
        <f t="shared" si="209"/>
        <v>71.495649868550487</v>
      </c>
      <c r="U362" s="17">
        <f t="shared" si="210"/>
        <v>103.68571810536763</v>
      </c>
      <c r="V362" s="17">
        <f t="shared" si="211"/>
        <v>84.970330952544643</v>
      </c>
      <c r="W362" s="17">
        <f t="shared" si="212"/>
        <v>84.593878877262711</v>
      </c>
      <c r="X362" s="17">
        <f t="shared" si="213"/>
        <v>57.447105462779966</v>
      </c>
      <c r="Y362" s="17">
        <f t="shared" si="214"/>
        <v>85.153852345557468</v>
      </c>
      <c r="Z362" s="17">
        <f t="shared" si="215"/>
        <v>74.158058913035177</v>
      </c>
      <c r="AA362" s="17">
        <f t="shared" si="216"/>
        <v>75.718189192107175</v>
      </c>
      <c r="AB362" s="17">
        <f t="shared" si="217"/>
        <v>73.955559365675626</v>
      </c>
      <c r="AC362" s="17">
        <v>0</v>
      </c>
      <c r="AD362" s="17">
        <f t="shared" si="218"/>
        <v>0</v>
      </c>
      <c r="AE362" s="17">
        <f t="shared" si="219"/>
        <v>0</v>
      </c>
      <c r="AF362" s="17">
        <f t="shared" si="220"/>
        <v>0</v>
      </c>
      <c r="AG362" s="17">
        <f t="shared" si="221"/>
        <v>0</v>
      </c>
      <c r="AH362" s="17">
        <f t="shared" si="222"/>
        <v>0</v>
      </c>
      <c r="AI362" s="17">
        <f t="shared" si="223"/>
        <v>0</v>
      </c>
      <c r="AJ362" s="17">
        <f t="shared" si="224"/>
        <v>0</v>
      </c>
      <c r="AK362" s="17">
        <f t="shared" si="225"/>
        <v>0</v>
      </c>
      <c r="AL362" s="17">
        <f t="shared" si="226"/>
        <v>0</v>
      </c>
      <c r="AM362" s="17">
        <f t="shared" si="227"/>
        <v>0</v>
      </c>
      <c r="AN362" s="17">
        <f t="shared" si="228"/>
        <v>0</v>
      </c>
      <c r="AO362" s="17">
        <f t="shared" si="229"/>
        <v>0</v>
      </c>
      <c r="AP362" s="17">
        <f t="shared" si="230"/>
        <v>1000</v>
      </c>
      <c r="AQ362" s="18">
        <v>133.77234892311336</v>
      </c>
      <c r="AR362" s="18">
        <v>159.97916825167798</v>
      </c>
      <c r="AS362" s="18">
        <v>141.58273627282145</v>
      </c>
      <c r="AT362" s="18">
        <v>107.24347480282573</v>
      </c>
      <c r="AU362" s="18">
        <v>155.52857715805143</v>
      </c>
      <c r="AV362" s="18">
        <v>127.45549642881696</v>
      </c>
      <c r="AW362" s="18">
        <v>126.89081831589405</v>
      </c>
      <c r="AX362" s="18">
        <v>86.170658194169945</v>
      </c>
      <c r="AY362" s="18">
        <v>127.73077851833621</v>
      </c>
      <c r="AZ362" s="18">
        <v>111.23708836955277</v>
      </c>
      <c r="BA362" s="18">
        <v>113.57728378816076</v>
      </c>
      <c r="BB362" s="18">
        <v>110.93333904851343</v>
      </c>
      <c r="BC362" s="23">
        <v>8.9181565948742242E-2</v>
      </c>
      <c r="BD362" s="23">
        <v>0.10665277883445198</v>
      </c>
      <c r="BE362" s="23">
        <v>9.438849084854764E-2</v>
      </c>
      <c r="BF362" s="23">
        <v>7.149564986855049E-2</v>
      </c>
      <c r="BG362" s="23">
        <v>0.10368571810536763</v>
      </c>
      <c r="BH362" s="23">
        <v>8.4970330952544637E-2</v>
      </c>
      <c r="BI362" s="23">
        <v>8.4593878877262704E-2</v>
      </c>
      <c r="BJ362" s="23">
        <v>5.7447105462779965E-2</v>
      </c>
      <c r="BK362" s="23">
        <v>8.5153852345557474E-2</v>
      </c>
      <c r="BL362" s="23">
        <v>7.4158058913035174E-2</v>
      </c>
      <c r="BM362" s="23">
        <v>7.5718189192107169E-2</v>
      </c>
      <c r="BN362" s="23">
        <v>7.3955559365675619E-2</v>
      </c>
    </row>
    <row r="363" spans="1:66" x14ac:dyDescent="0.25">
      <c r="A363" s="16">
        <v>4151</v>
      </c>
      <c r="B363" s="16" t="s">
        <v>559</v>
      </c>
      <c r="C363" s="17">
        <v>3000</v>
      </c>
      <c r="D363" s="17">
        <f t="shared" si="194"/>
        <v>267.54469784622671</v>
      </c>
      <c r="E363" s="17">
        <f t="shared" si="195"/>
        <v>319.95833650335595</v>
      </c>
      <c r="F363" s="17">
        <f t="shared" si="196"/>
        <v>283.1654725456429</v>
      </c>
      <c r="G363" s="17">
        <f t="shared" si="197"/>
        <v>214.48694960565146</v>
      </c>
      <c r="H363" s="17">
        <f t="shared" si="198"/>
        <v>311.05715431610287</v>
      </c>
      <c r="I363" s="17">
        <f t="shared" si="199"/>
        <v>254.91099285763391</v>
      </c>
      <c r="J363" s="17">
        <f t="shared" si="200"/>
        <v>253.7816366317881</v>
      </c>
      <c r="K363" s="17">
        <f t="shared" si="201"/>
        <v>172.34131638833989</v>
      </c>
      <c r="L363" s="17">
        <f t="shared" si="202"/>
        <v>255.46155703667242</v>
      </c>
      <c r="M363" s="17">
        <f t="shared" si="203"/>
        <v>222.47417673910553</v>
      </c>
      <c r="N363" s="17">
        <f t="shared" si="204"/>
        <v>227.15456757632151</v>
      </c>
      <c r="O363" s="17">
        <f t="shared" si="205"/>
        <v>221.86667809702686</v>
      </c>
      <c r="P363" s="17">
        <v>0</v>
      </c>
      <c r="Q363" s="17">
        <f t="shared" si="206"/>
        <v>0</v>
      </c>
      <c r="R363" s="17">
        <f t="shared" si="207"/>
        <v>0</v>
      </c>
      <c r="S363" s="17">
        <f t="shared" si="208"/>
        <v>0</v>
      </c>
      <c r="T363" s="17">
        <f t="shared" si="209"/>
        <v>0</v>
      </c>
      <c r="U363" s="17">
        <f t="shared" si="210"/>
        <v>0</v>
      </c>
      <c r="V363" s="17">
        <f t="shared" si="211"/>
        <v>0</v>
      </c>
      <c r="W363" s="17">
        <f t="shared" si="212"/>
        <v>0</v>
      </c>
      <c r="X363" s="17">
        <f t="shared" si="213"/>
        <v>0</v>
      </c>
      <c r="Y363" s="17">
        <f t="shared" si="214"/>
        <v>0</v>
      </c>
      <c r="Z363" s="17">
        <f t="shared" si="215"/>
        <v>0</v>
      </c>
      <c r="AA363" s="17">
        <f t="shared" si="216"/>
        <v>0</v>
      </c>
      <c r="AB363" s="17">
        <f t="shared" si="217"/>
        <v>0</v>
      </c>
      <c r="AC363" s="17">
        <v>0</v>
      </c>
      <c r="AD363" s="17">
        <f t="shared" si="218"/>
        <v>0</v>
      </c>
      <c r="AE363" s="17">
        <f t="shared" si="219"/>
        <v>0</v>
      </c>
      <c r="AF363" s="17">
        <f t="shared" si="220"/>
        <v>0</v>
      </c>
      <c r="AG363" s="17">
        <f t="shared" si="221"/>
        <v>0</v>
      </c>
      <c r="AH363" s="17">
        <f t="shared" si="222"/>
        <v>0</v>
      </c>
      <c r="AI363" s="17">
        <f t="shared" si="223"/>
        <v>0</v>
      </c>
      <c r="AJ363" s="17">
        <f t="shared" si="224"/>
        <v>0</v>
      </c>
      <c r="AK363" s="17">
        <f t="shared" si="225"/>
        <v>0</v>
      </c>
      <c r="AL363" s="17">
        <f t="shared" si="226"/>
        <v>0</v>
      </c>
      <c r="AM363" s="17">
        <f t="shared" si="227"/>
        <v>0</v>
      </c>
      <c r="AN363" s="17">
        <f t="shared" si="228"/>
        <v>0</v>
      </c>
      <c r="AO363" s="17">
        <f t="shared" si="229"/>
        <v>0</v>
      </c>
      <c r="AP363" s="17">
        <f t="shared" si="230"/>
        <v>3000</v>
      </c>
      <c r="AQ363" s="18">
        <v>133.77234892311336</v>
      </c>
      <c r="AR363" s="18">
        <v>159.97916825167798</v>
      </c>
      <c r="AS363" s="18">
        <v>141.58273627282145</v>
      </c>
      <c r="AT363" s="18">
        <v>107.24347480282573</v>
      </c>
      <c r="AU363" s="18">
        <v>155.52857715805143</v>
      </c>
      <c r="AV363" s="18">
        <v>127.45549642881696</v>
      </c>
      <c r="AW363" s="18">
        <v>126.89081831589405</v>
      </c>
      <c r="AX363" s="18">
        <v>86.170658194169945</v>
      </c>
      <c r="AY363" s="18">
        <v>127.73077851833621</v>
      </c>
      <c r="AZ363" s="18">
        <v>111.23708836955277</v>
      </c>
      <c r="BA363" s="18">
        <v>113.57728378816076</v>
      </c>
      <c r="BB363" s="18">
        <v>110.93333904851343</v>
      </c>
      <c r="BC363" s="23">
        <v>8.9181565948742242E-2</v>
      </c>
      <c r="BD363" s="23">
        <v>0.10665277883445198</v>
      </c>
      <c r="BE363" s="23">
        <v>9.438849084854764E-2</v>
      </c>
      <c r="BF363" s="23">
        <v>7.149564986855049E-2</v>
      </c>
      <c r="BG363" s="23">
        <v>0.10368571810536763</v>
      </c>
      <c r="BH363" s="23">
        <v>8.4970330952544637E-2</v>
      </c>
      <c r="BI363" s="23">
        <v>8.4593878877262704E-2</v>
      </c>
      <c r="BJ363" s="23">
        <v>5.7447105462779965E-2</v>
      </c>
      <c r="BK363" s="23">
        <v>8.5153852345557474E-2</v>
      </c>
      <c r="BL363" s="23">
        <v>7.4158058913035174E-2</v>
      </c>
      <c r="BM363" s="23">
        <v>7.5718189192107169E-2</v>
      </c>
      <c r="BN363" s="23">
        <v>7.3955559365675619E-2</v>
      </c>
    </row>
    <row r="364" spans="1:66" x14ac:dyDescent="0.25">
      <c r="A364" s="16">
        <v>4539</v>
      </c>
      <c r="B364" s="16" t="s">
        <v>560</v>
      </c>
      <c r="C364" s="17">
        <v>1500</v>
      </c>
      <c r="D364" s="17">
        <f t="shared" si="194"/>
        <v>133.77234892311336</v>
      </c>
      <c r="E364" s="17">
        <f t="shared" si="195"/>
        <v>159.97916825167798</v>
      </c>
      <c r="F364" s="17">
        <f t="shared" si="196"/>
        <v>141.58273627282145</v>
      </c>
      <c r="G364" s="17">
        <f t="shared" si="197"/>
        <v>107.24347480282573</v>
      </c>
      <c r="H364" s="17">
        <f t="shared" si="198"/>
        <v>155.52857715805143</v>
      </c>
      <c r="I364" s="17">
        <f t="shared" si="199"/>
        <v>127.45549642881696</v>
      </c>
      <c r="J364" s="17">
        <f t="shared" si="200"/>
        <v>126.89081831589405</v>
      </c>
      <c r="K364" s="17">
        <f t="shared" si="201"/>
        <v>86.170658194169945</v>
      </c>
      <c r="L364" s="17">
        <f t="shared" si="202"/>
        <v>127.73077851833621</v>
      </c>
      <c r="M364" s="17">
        <f t="shared" si="203"/>
        <v>111.23708836955277</v>
      </c>
      <c r="N364" s="17">
        <f t="shared" si="204"/>
        <v>113.57728378816076</v>
      </c>
      <c r="O364" s="17">
        <f t="shared" si="205"/>
        <v>110.93333904851343</v>
      </c>
      <c r="P364" s="17">
        <v>0</v>
      </c>
      <c r="Q364" s="17">
        <f t="shared" si="206"/>
        <v>0</v>
      </c>
      <c r="R364" s="17">
        <f t="shared" si="207"/>
        <v>0</v>
      </c>
      <c r="S364" s="17">
        <f t="shared" si="208"/>
        <v>0</v>
      </c>
      <c r="T364" s="17">
        <f t="shared" si="209"/>
        <v>0</v>
      </c>
      <c r="U364" s="17">
        <f t="shared" si="210"/>
        <v>0</v>
      </c>
      <c r="V364" s="17">
        <f t="shared" si="211"/>
        <v>0</v>
      </c>
      <c r="W364" s="17">
        <f t="shared" si="212"/>
        <v>0</v>
      </c>
      <c r="X364" s="17">
        <f t="shared" si="213"/>
        <v>0</v>
      </c>
      <c r="Y364" s="17">
        <f t="shared" si="214"/>
        <v>0</v>
      </c>
      <c r="Z364" s="17">
        <f t="shared" si="215"/>
        <v>0</v>
      </c>
      <c r="AA364" s="17">
        <f t="shared" si="216"/>
        <v>0</v>
      </c>
      <c r="AB364" s="17">
        <f t="shared" si="217"/>
        <v>0</v>
      </c>
      <c r="AC364" s="17">
        <v>0</v>
      </c>
      <c r="AD364" s="17">
        <f t="shared" si="218"/>
        <v>0</v>
      </c>
      <c r="AE364" s="17">
        <f t="shared" si="219"/>
        <v>0</v>
      </c>
      <c r="AF364" s="17">
        <f t="shared" si="220"/>
        <v>0</v>
      </c>
      <c r="AG364" s="17">
        <f t="shared" si="221"/>
        <v>0</v>
      </c>
      <c r="AH364" s="17">
        <f t="shared" si="222"/>
        <v>0</v>
      </c>
      <c r="AI364" s="17">
        <f t="shared" si="223"/>
        <v>0</v>
      </c>
      <c r="AJ364" s="17">
        <f t="shared" si="224"/>
        <v>0</v>
      </c>
      <c r="AK364" s="17">
        <f t="shared" si="225"/>
        <v>0</v>
      </c>
      <c r="AL364" s="17">
        <f t="shared" si="226"/>
        <v>0</v>
      </c>
      <c r="AM364" s="17">
        <f t="shared" si="227"/>
        <v>0</v>
      </c>
      <c r="AN364" s="17">
        <f t="shared" si="228"/>
        <v>0</v>
      </c>
      <c r="AO364" s="17">
        <f t="shared" si="229"/>
        <v>0</v>
      </c>
      <c r="AP364" s="17">
        <f t="shared" si="230"/>
        <v>1500</v>
      </c>
      <c r="AQ364" s="18">
        <v>133.77234892311336</v>
      </c>
      <c r="AR364" s="18">
        <v>159.97916825167798</v>
      </c>
      <c r="AS364" s="18">
        <v>141.58273627282145</v>
      </c>
      <c r="AT364" s="18">
        <v>107.24347480282573</v>
      </c>
      <c r="AU364" s="18">
        <v>155.52857715805143</v>
      </c>
      <c r="AV364" s="18">
        <v>127.45549642881696</v>
      </c>
      <c r="AW364" s="18">
        <v>126.89081831589405</v>
      </c>
      <c r="AX364" s="18">
        <v>86.170658194169945</v>
      </c>
      <c r="AY364" s="18">
        <v>127.73077851833621</v>
      </c>
      <c r="AZ364" s="18">
        <v>111.23708836955277</v>
      </c>
      <c r="BA364" s="18">
        <v>113.57728378816076</v>
      </c>
      <c r="BB364" s="18">
        <v>110.93333904851343</v>
      </c>
      <c r="BC364" s="23">
        <v>8.9181565948742242E-2</v>
      </c>
      <c r="BD364" s="23">
        <v>0.10665277883445198</v>
      </c>
      <c r="BE364" s="23">
        <v>9.438849084854764E-2</v>
      </c>
      <c r="BF364" s="23">
        <v>7.149564986855049E-2</v>
      </c>
      <c r="BG364" s="23">
        <v>0.10368571810536763</v>
      </c>
      <c r="BH364" s="23">
        <v>8.4970330952544637E-2</v>
      </c>
      <c r="BI364" s="23">
        <v>8.4593878877262704E-2</v>
      </c>
      <c r="BJ364" s="23">
        <v>5.7447105462779965E-2</v>
      </c>
      <c r="BK364" s="23">
        <v>8.5153852345557474E-2</v>
      </c>
      <c r="BL364" s="23">
        <v>7.4158058913035174E-2</v>
      </c>
      <c r="BM364" s="23">
        <v>7.5718189192107169E-2</v>
      </c>
      <c r="BN364" s="23">
        <v>7.3955559365675619E-2</v>
      </c>
    </row>
    <row r="365" spans="1:66" x14ac:dyDescent="0.25">
      <c r="A365" s="16">
        <v>4978</v>
      </c>
      <c r="B365" s="16" t="s">
        <v>561</v>
      </c>
      <c r="C365" s="17">
        <v>1500</v>
      </c>
      <c r="D365" s="17">
        <f t="shared" si="194"/>
        <v>133.77234892311336</v>
      </c>
      <c r="E365" s="17">
        <f t="shared" si="195"/>
        <v>159.97916825167798</v>
      </c>
      <c r="F365" s="17">
        <f t="shared" si="196"/>
        <v>141.58273627282145</v>
      </c>
      <c r="G365" s="17">
        <f t="shared" si="197"/>
        <v>107.24347480282573</v>
      </c>
      <c r="H365" s="17">
        <f t="shared" si="198"/>
        <v>155.52857715805143</v>
      </c>
      <c r="I365" s="17">
        <f t="shared" si="199"/>
        <v>127.45549642881696</v>
      </c>
      <c r="J365" s="17">
        <f t="shared" si="200"/>
        <v>126.89081831589405</v>
      </c>
      <c r="K365" s="17">
        <f t="shared" si="201"/>
        <v>86.170658194169945</v>
      </c>
      <c r="L365" s="17">
        <f t="shared" si="202"/>
        <v>127.73077851833621</v>
      </c>
      <c r="M365" s="17">
        <f t="shared" si="203"/>
        <v>111.23708836955277</v>
      </c>
      <c r="N365" s="17">
        <f t="shared" si="204"/>
        <v>113.57728378816076</v>
      </c>
      <c r="O365" s="17">
        <f t="shared" si="205"/>
        <v>110.93333904851343</v>
      </c>
      <c r="P365" s="17">
        <v>0</v>
      </c>
      <c r="Q365" s="17">
        <f t="shared" si="206"/>
        <v>0</v>
      </c>
      <c r="R365" s="17">
        <f t="shared" si="207"/>
        <v>0</v>
      </c>
      <c r="S365" s="17">
        <f t="shared" si="208"/>
        <v>0</v>
      </c>
      <c r="T365" s="17">
        <f t="shared" si="209"/>
        <v>0</v>
      </c>
      <c r="U365" s="17">
        <f t="shared" si="210"/>
        <v>0</v>
      </c>
      <c r="V365" s="17">
        <f t="shared" si="211"/>
        <v>0</v>
      </c>
      <c r="W365" s="17">
        <f t="shared" si="212"/>
        <v>0</v>
      </c>
      <c r="X365" s="17">
        <f t="shared" si="213"/>
        <v>0</v>
      </c>
      <c r="Y365" s="17">
        <f t="shared" si="214"/>
        <v>0</v>
      </c>
      <c r="Z365" s="17">
        <f t="shared" si="215"/>
        <v>0</v>
      </c>
      <c r="AA365" s="17">
        <f t="shared" si="216"/>
        <v>0</v>
      </c>
      <c r="AB365" s="17">
        <f t="shared" si="217"/>
        <v>0</v>
      </c>
      <c r="AC365" s="17">
        <v>0</v>
      </c>
      <c r="AD365" s="17">
        <f t="shared" si="218"/>
        <v>0</v>
      </c>
      <c r="AE365" s="17">
        <f t="shared" si="219"/>
        <v>0</v>
      </c>
      <c r="AF365" s="17">
        <f t="shared" si="220"/>
        <v>0</v>
      </c>
      <c r="AG365" s="17">
        <f t="shared" si="221"/>
        <v>0</v>
      </c>
      <c r="AH365" s="17">
        <f t="shared" si="222"/>
        <v>0</v>
      </c>
      <c r="AI365" s="17">
        <f t="shared" si="223"/>
        <v>0</v>
      </c>
      <c r="AJ365" s="17">
        <f t="shared" si="224"/>
        <v>0</v>
      </c>
      <c r="AK365" s="17">
        <f t="shared" si="225"/>
        <v>0</v>
      </c>
      <c r="AL365" s="17">
        <f t="shared" si="226"/>
        <v>0</v>
      </c>
      <c r="AM365" s="17">
        <f t="shared" si="227"/>
        <v>0</v>
      </c>
      <c r="AN365" s="17">
        <f t="shared" si="228"/>
        <v>0</v>
      </c>
      <c r="AO365" s="17">
        <f t="shared" si="229"/>
        <v>0</v>
      </c>
      <c r="AP365" s="17">
        <f t="shared" si="230"/>
        <v>1500</v>
      </c>
      <c r="AQ365" s="18">
        <v>133.77234892311336</v>
      </c>
      <c r="AR365" s="18">
        <v>159.97916825167798</v>
      </c>
      <c r="AS365" s="18">
        <v>141.58273627282145</v>
      </c>
      <c r="AT365" s="18">
        <v>107.24347480282573</v>
      </c>
      <c r="AU365" s="18">
        <v>155.52857715805143</v>
      </c>
      <c r="AV365" s="18">
        <v>127.45549642881696</v>
      </c>
      <c r="AW365" s="18">
        <v>126.89081831589405</v>
      </c>
      <c r="AX365" s="18">
        <v>86.170658194169945</v>
      </c>
      <c r="AY365" s="18">
        <v>127.73077851833621</v>
      </c>
      <c r="AZ365" s="18">
        <v>111.23708836955277</v>
      </c>
      <c r="BA365" s="18">
        <v>113.57728378816076</v>
      </c>
      <c r="BB365" s="18">
        <v>110.93333904851343</v>
      </c>
      <c r="BC365" s="23">
        <v>8.9181565948742242E-2</v>
      </c>
      <c r="BD365" s="23">
        <v>0.10665277883445198</v>
      </c>
      <c r="BE365" s="23">
        <v>9.438849084854764E-2</v>
      </c>
      <c r="BF365" s="23">
        <v>7.149564986855049E-2</v>
      </c>
      <c r="BG365" s="23">
        <v>0.10368571810536763</v>
      </c>
      <c r="BH365" s="23">
        <v>8.4970330952544637E-2</v>
      </c>
      <c r="BI365" s="23">
        <v>8.4593878877262704E-2</v>
      </c>
      <c r="BJ365" s="23">
        <v>5.7447105462779965E-2</v>
      </c>
      <c r="BK365" s="23">
        <v>8.5153852345557474E-2</v>
      </c>
      <c r="BL365" s="23">
        <v>7.4158058913035174E-2</v>
      </c>
      <c r="BM365" s="23">
        <v>7.5718189192107169E-2</v>
      </c>
      <c r="BN365" s="23">
        <v>7.3955559365675619E-2</v>
      </c>
    </row>
    <row r="366" spans="1:66" x14ac:dyDescent="0.25">
      <c r="A366" s="16">
        <v>5041</v>
      </c>
      <c r="B366" s="16" t="s">
        <v>562</v>
      </c>
      <c r="C366" s="17">
        <v>0</v>
      </c>
      <c r="D366" s="17">
        <f t="shared" si="194"/>
        <v>0</v>
      </c>
      <c r="E366" s="17">
        <f t="shared" si="195"/>
        <v>0</v>
      </c>
      <c r="F366" s="17">
        <f t="shared" si="196"/>
        <v>0</v>
      </c>
      <c r="G366" s="17">
        <f t="shared" si="197"/>
        <v>0</v>
      </c>
      <c r="H366" s="17">
        <f t="shared" si="198"/>
        <v>0</v>
      </c>
      <c r="I366" s="17">
        <f t="shared" si="199"/>
        <v>0</v>
      </c>
      <c r="J366" s="17">
        <f t="shared" si="200"/>
        <v>0</v>
      </c>
      <c r="K366" s="17">
        <f t="shared" si="201"/>
        <v>0</v>
      </c>
      <c r="L366" s="17">
        <f t="shared" si="202"/>
        <v>0</v>
      </c>
      <c r="M366" s="17">
        <f t="shared" si="203"/>
        <v>0</v>
      </c>
      <c r="N366" s="17">
        <f t="shared" si="204"/>
        <v>0</v>
      </c>
      <c r="O366" s="17">
        <f t="shared" si="205"/>
        <v>0</v>
      </c>
      <c r="P366" s="17">
        <v>0</v>
      </c>
      <c r="Q366" s="17">
        <f t="shared" si="206"/>
        <v>0</v>
      </c>
      <c r="R366" s="17">
        <f t="shared" si="207"/>
        <v>0</v>
      </c>
      <c r="S366" s="17">
        <f t="shared" si="208"/>
        <v>0</v>
      </c>
      <c r="T366" s="17">
        <f t="shared" si="209"/>
        <v>0</v>
      </c>
      <c r="U366" s="17">
        <f t="shared" si="210"/>
        <v>0</v>
      </c>
      <c r="V366" s="17">
        <f t="shared" si="211"/>
        <v>0</v>
      </c>
      <c r="W366" s="17">
        <f t="shared" si="212"/>
        <v>0</v>
      </c>
      <c r="X366" s="17">
        <f t="shared" si="213"/>
        <v>0</v>
      </c>
      <c r="Y366" s="17">
        <f t="shared" si="214"/>
        <v>0</v>
      </c>
      <c r="Z366" s="17">
        <f t="shared" si="215"/>
        <v>0</v>
      </c>
      <c r="AA366" s="17">
        <f t="shared" si="216"/>
        <v>0</v>
      </c>
      <c r="AB366" s="17">
        <f t="shared" si="217"/>
        <v>0</v>
      </c>
      <c r="AC366" s="17">
        <v>0</v>
      </c>
      <c r="AD366" s="17">
        <f t="shared" si="218"/>
        <v>0</v>
      </c>
      <c r="AE366" s="17">
        <f t="shared" si="219"/>
        <v>0</v>
      </c>
      <c r="AF366" s="17">
        <f t="shared" si="220"/>
        <v>0</v>
      </c>
      <c r="AG366" s="17">
        <f t="shared" si="221"/>
        <v>0</v>
      </c>
      <c r="AH366" s="17">
        <f t="shared" si="222"/>
        <v>0</v>
      </c>
      <c r="AI366" s="17">
        <f t="shared" si="223"/>
        <v>0</v>
      </c>
      <c r="AJ366" s="17">
        <f t="shared" si="224"/>
        <v>0</v>
      </c>
      <c r="AK366" s="17">
        <f t="shared" si="225"/>
        <v>0</v>
      </c>
      <c r="AL366" s="17">
        <f t="shared" si="226"/>
        <v>0</v>
      </c>
      <c r="AM366" s="17">
        <f t="shared" si="227"/>
        <v>0</v>
      </c>
      <c r="AN366" s="17">
        <f t="shared" si="228"/>
        <v>0</v>
      </c>
      <c r="AO366" s="17">
        <f t="shared" si="229"/>
        <v>0</v>
      </c>
      <c r="AP366" s="17">
        <f t="shared" si="230"/>
        <v>0</v>
      </c>
      <c r="AQ366" s="18">
        <v>133.77234892311336</v>
      </c>
      <c r="AR366" s="18">
        <v>159.97916825167798</v>
      </c>
      <c r="AS366" s="18">
        <v>141.58273627282145</v>
      </c>
      <c r="AT366" s="18">
        <v>107.24347480282573</v>
      </c>
      <c r="AU366" s="18">
        <v>155.52857715805143</v>
      </c>
      <c r="AV366" s="18">
        <v>127.45549642881696</v>
      </c>
      <c r="AW366" s="18">
        <v>126.89081831589405</v>
      </c>
      <c r="AX366" s="18">
        <v>86.170658194169945</v>
      </c>
      <c r="AY366" s="18">
        <v>127.73077851833621</v>
      </c>
      <c r="AZ366" s="18">
        <v>111.23708836955277</v>
      </c>
      <c r="BA366" s="18">
        <v>113.57728378816076</v>
      </c>
      <c r="BB366" s="18">
        <v>110.93333904851343</v>
      </c>
      <c r="BC366" s="23">
        <v>8.9181565948742242E-2</v>
      </c>
      <c r="BD366" s="23">
        <v>0.10665277883445198</v>
      </c>
      <c r="BE366" s="23">
        <v>9.438849084854764E-2</v>
      </c>
      <c r="BF366" s="23">
        <v>7.149564986855049E-2</v>
      </c>
      <c r="BG366" s="23">
        <v>0.10368571810536763</v>
      </c>
      <c r="BH366" s="23">
        <v>8.4970330952544637E-2</v>
      </c>
      <c r="BI366" s="23">
        <v>8.4593878877262704E-2</v>
      </c>
      <c r="BJ366" s="23">
        <v>5.7447105462779965E-2</v>
      </c>
      <c r="BK366" s="23">
        <v>8.5153852345557474E-2</v>
      </c>
      <c r="BL366" s="23">
        <v>7.4158058913035174E-2</v>
      </c>
      <c r="BM366" s="23">
        <v>7.5718189192107169E-2</v>
      </c>
      <c r="BN366" s="23">
        <v>7.3955559365675619E-2</v>
      </c>
    </row>
    <row r="367" spans="1:66" x14ac:dyDescent="0.25">
      <c r="A367" s="16">
        <v>5465</v>
      </c>
      <c r="B367" s="16" t="s">
        <v>563</v>
      </c>
      <c r="C367" s="17">
        <v>0</v>
      </c>
      <c r="D367" s="17">
        <f t="shared" si="194"/>
        <v>0</v>
      </c>
      <c r="E367" s="17">
        <f t="shared" si="195"/>
        <v>0</v>
      </c>
      <c r="F367" s="17">
        <f t="shared" si="196"/>
        <v>0</v>
      </c>
      <c r="G367" s="17">
        <f t="shared" si="197"/>
        <v>0</v>
      </c>
      <c r="H367" s="17">
        <f t="shared" si="198"/>
        <v>0</v>
      </c>
      <c r="I367" s="17">
        <f t="shared" si="199"/>
        <v>0</v>
      </c>
      <c r="J367" s="17">
        <f t="shared" si="200"/>
        <v>0</v>
      </c>
      <c r="K367" s="17">
        <f t="shared" si="201"/>
        <v>0</v>
      </c>
      <c r="L367" s="17">
        <f t="shared" si="202"/>
        <v>0</v>
      </c>
      <c r="M367" s="17">
        <f t="shared" si="203"/>
        <v>0</v>
      </c>
      <c r="N367" s="17">
        <f t="shared" si="204"/>
        <v>0</v>
      </c>
      <c r="O367" s="17">
        <f t="shared" si="205"/>
        <v>0</v>
      </c>
      <c r="P367" s="17">
        <v>0</v>
      </c>
      <c r="Q367" s="17">
        <f t="shared" si="206"/>
        <v>0</v>
      </c>
      <c r="R367" s="17">
        <f t="shared" si="207"/>
        <v>0</v>
      </c>
      <c r="S367" s="17">
        <f t="shared" si="208"/>
        <v>0</v>
      </c>
      <c r="T367" s="17">
        <f t="shared" si="209"/>
        <v>0</v>
      </c>
      <c r="U367" s="17">
        <f t="shared" si="210"/>
        <v>0</v>
      </c>
      <c r="V367" s="17">
        <f t="shared" si="211"/>
        <v>0</v>
      </c>
      <c r="W367" s="17">
        <f t="shared" si="212"/>
        <v>0</v>
      </c>
      <c r="X367" s="17">
        <f t="shared" si="213"/>
        <v>0</v>
      </c>
      <c r="Y367" s="17">
        <f t="shared" si="214"/>
        <v>0</v>
      </c>
      <c r="Z367" s="17">
        <f t="shared" si="215"/>
        <v>0</v>
      </c>
      <c r="AA367" s="17">
        <f t="shared" si="216"/>
        <v>0</v>
      </c>
      <c r="AB367" s="17">
        <f t="shared" si="217"/>
        <v>0</v>
      </c>
      <c r="AC367" s="17">
        <v>0</v>
      </c>
      <c r="AD367" s="17">
        <f t="shared" si="218"/>
        <v>0</v>
      </c>
      <c r="AE367" s="17">
        <f t="shared" si="219"/>
        <v>0</v>
      </c>
      <c r="AF367" s="17">
        <f t="shared" si="220"/>
        <v>0</v>
      </c>
      <c r="AG367" s="17">
        <f t="shared" si="221"/>
        <v>0</v>
      </c>
      <c r="AH367" s="17">
        <f t="shared" si="222"/>
        <v>0</v>
      </c>
      <c r="AI367" s="17">
        <f t="shared" si="223"/>
        <v>0</v>
      </c>
      <c r="AJ367" s="17">
        <f t="shared" si="224"/>
        <v>0</v>
      </c>
      <c r="AK367" s="17">
        <f t="shared" si="225"/>
        <v>0</v>
      </c>
      <c r="AL367" s="17">
        <f t="shared" si="226"/>
        <v>0</v>
      </c>
      <c r="AM367" s="17">
        <f t="shared" si="227"/>
        <v>0</v>
      </c>
      <c r="AN367" s="17">
        <f t="shared" si="228"/>
        <v>0</v>
      </c>
      <c r="AO367" s="17">
        <f t="shared" si="229"/>
        <v>0</v>
      </c>
      <c r="AP367" s="17">
        <f t="shared" si="230"/>
        <v>0</v>
      </c>
      <c r="AQ367" s="18">
        <v>133.77234892311336</v>
      </c>
      <c r="AR367" s="18">
        <v>159.97916825167798</v>
      </c>
      <c r="AS367" s="18">
        <v>141.58273627282145</v>
      </c>
      <c r="AT367" s="18">
        <v>107.24347480282573</v>
      </c>
      <c r="AU367" s="18">
        <v>155.52857715805143</v>
      </c>
      <c r="AV367" s="18">
        <v>127.45549642881696</v>
      </c>
      <c r="AW367" s="18">
        <v>126.89081831589405</v>
      </c>
      <c r="AX367" s="18">
        <v>86.170658194169945</v>
      </c>
      <c r="AY367" s="18">
        <v>127.73077851833621</v>
      </c>
      <c r="AZ367" s="18">
        <v>111.23708836955277</v>
      </c>
      <c r="BA367" s="18">
        <v>113.57728378816076</v>
      </c>
      <c r="BB367" s="18">
        <v>110.93333904851343</v>
      </c>
      <c r="BC367" s="23">
        <v>8.9181565948742242E-2</v>
      </c>
      <c r="BD367" s="23">
        <v>0.10665277883445198</v>
      </c>
      <c r="BE367" s="23">
        <v>9.438849084854764E-2</v>
      </c>
      <c r="BF367" s="23">
        <v>7.149564986855049E-2</v>
      </c>
      <c r="BG367" s="23">
        <v>0.10368571810536763</v>
      </c>
      <c r="BH367" s="23">
        <v>8.4970330952544637E-2</v>
      </c>
      <c r="BI367" s="23">
        <v>8.4593878877262704E-2</v>
      </c>
      <c r="BJ367" s="23">
        <v>5.7447105462779965E-2</v>
      </c>
      <c r="BK367" s="23">
        <v>8.5153852345557474E-2</v>
      </c>
      <c r="BL367" s="23">
        <v>7.4158058913035174E-2</v>
      </c>
      <c r="BM367" s="23">
        <v>7.5718189192107169E-2</v>
      </c>
      <c r="BN367" s="23">
        <v>7.3955559365675619E-2</v>
      </c>
    </row>
    <row r="368" spans="1:66" x14ac:dyDescent="0.25">
      <c r="A368" s="16">
        <v>5512</v>
      </c>
      <c r="B368" s="16" t="s">
        <v>564</v>
      </c>
      <c r="C368" s="17">
        <v>0</v>
      </c>
      <c r="D368" s="17">
        <f t="shared" si="194"/>
        <v>0</v>
      </c>
      <c r="E368" s="17">
        <f t="shared" si="195"/>
        <v>0</v>
      </c>
      <c r="F368" s="17">
        <f t="shared" si="196"/>
        <v>0</v>
      </c>
      <c r="G368" s="17">
        <f t="shared" si="197"/>
        <v>0</v>
      </c>
      <c r="H368" s="17">
        <f t="shared" si="198"/>
        <v>0</v>
      </c>
      <c r="I368" s="17">
        <f t="shared" si="199"/>
        <v>0</v>
      </c>
      <c r="J368" s="17">
        <f t="shared" si="200"/>
        <v>0</v>
      </c>
      <c r="K368" s="17">
        <f t="shared" si="201"/>
        <v>0</v>
      </c>
      <c r="L368" s="17">
        <f t="shared" si="202"/>
        <v>0</v>
      </c>
      <c r="M368" s="17">
        <f t="shared" si="203"/>
        <v>0</v>
      </c>
      <c r="N368" s="17">
        <f t="shared" si="204"/>
        <v>0</v>
      </c>
      <c r="O368" s="17">
        <f t="shared" si="205"/>
        <v>0</v>
      </c>
      <c r="P368" s="17">
        <v>0</v>
      </c>
      <c r="Q368" s="17">
        <f t="shared" si="206"/>
        <v>0</v>
      </c>
      <c r="R368" s="17">
        <f t="shared" si="207"/>
        <v>0</v>
      </c>
      <c r="S368" s="17">
        <f t="shared" si="208"/>
        <v>0</v>
      </c>
      <c r="T368" s="17">
        <f t="shared" si="209"/>
        <v>0</v>
      </c>
      <c r="U368" s="17">
        <f t="shared" si="210"/>
        <v>0</v>
      </c>
      <c r="V368" s="17">
        <f t="shared" si="211"/>
        <v>0</v>
      </c>
      <c r="W368" s="17">
        <f t="shared" si="212"/>
        <v>0</v>
      </c>
      <c r="X368" s="17">
        <f t="shared" si="213"/>
        <v>0</v>
      </c>
      <c r="Y368" s="17">
        <f t="shared" si="214"/>
        <v>0</v>
      </c>
      <c r="Z368" s="17">
        <f t="shared" si="215"/>
        <v>0</v>
      </c>
      <c r="AA368" s="17">
        <f t="shared" si="216"/>
        <v>0</v>
      </c>
      <c r="AB368" s="17">
        <f t="shared" si="217"/>
        <v>0</v>
      </c>
      <c r="AC368" s="17">
        <v>0</v>
      </c>
      <c r="AD368" s="17">
        <f t="shared" si="218"/>
        <v>0</v>
      </c>
      <c r="AE368" s="17">
        <f t="shared" si="219"/>
        <v>0</v>
      </c>
      <c r="AF368" s="17">
        <f t="shared" si="220"/>
        <v>0</v>
      </c>
      <c r="AG368" s="17">
        <f t="shared" si="221"/>
        <v>0</v>
      </c>
      <c r="AH368" s="17">
        <f t="shared" si="222"/>
        <v>0</v>
      </c>
      <c r="AI368" s="17">
        <f t="shared" si="223"/>
        <v>0</v>
      </c>
      <c r="AJ368" s="17">
        <f t="shared" si="224"/>
        <v>0</v>
      </c>
      <c r="AK368" s="17">
        <f t="shared" si="225"/>
        <v>0</v>
      </c>
      <c r="AL368" s="17">
        <f t="shared" si="226"/>
        <v>0</v>
      </c>
      <c r="AM368" s="17">
        <f t="shared" si="227"/>
        <v>0</v>
      </c>
      <c r="AN368" s="17">
        <f t="shared" si="228"/>
        <v>0</v>
      </c>
      <c r="AO368" s="17">
        <f t="shared" si="229"/>
        <v>0</v>
      </c>
      <c r="AP368" s="17">
        <f t="shared" si="230"/>
        <v>0</v>
      </c>
      <c r="AQ368" s="18">
        <v>133.77234892311336</v>
      </c>
      <c r="AR368" s="18">
        <v>159.97916825167798</v>
      </c>
      <c r="AS368" s="18">
        <v>141.58273627282145</v>
      </c>
      <c r="AT368" s="18">
        <v>107.24347480282573</v>
      </c>
      <c r="AU368" s="18">
        <v>155.52857715805143</v>
      </c>
      <c r="AV368" s="18">
        <v>127.45549642881696</v>
      </c>
      <c r="AW368" s="18">
        <v>126.89081831589405</v>
      </c>
      <c r="AX368" s="18">
        <v>86.170658194169945</v>
      </c>
      <c r="AY368" s="18">
        <v>127.73077851833621</v>
      </c>
      <c r="AZ368" s="18">
        <v>111.23708836955277</v>
      </c>
      <c r="BA368" s="18">
        <v>113.57728378816076</v>
      </c>
      <c r="BB368" s="18">
        <v>110.93333904851343</v>
      </c>
      <c r="BC368" s="23">
        <v>8.9181565948742242E-2</v>
      </c>
      <c r="BD368" s="23">
        <v>0.10665277883445198</v>
      </c>
      <c r="BE368" s="23">
        <v>9.438849084854764E-2</v>
      </c>
      <c r="BF368" s="23">
        <v>7.149564986855049E-2</v>
      </c>
      <c r="BG368" s="23">
        <v>0.10368571810536763</v>
      </c>
      <c r="BH368" s="23">
        <v>8.4970330952544637E-2</v>
      </c>
      <c r="BI368" s="23">
        <v>8.4593878877262704E-2</v>
      </c>
      <c r="BJ368" s="23">
        <v>5.7447105462779965E-2</v>
      </c>
      <c r="BK368" s="23">
        <v>8.5153852345557474E-2</v>
      </c>
      <c r="BL368" s="23">
        <v>7.4158058913035174E-2</v>
      </c>
      <c r="BM368" s="23">
        <v>7.5718189192107169E-2</v>
      </c>
      <c r="BN368" s="23">
        <v>7.3955559365675619E-2</v>
      </c>
    </row>
    <row r="369" spans="1:66" x14ac:dyDescent="0.25">
      <c r="A369" s="16">
        <v>5535</v>
      </c>
      <c r="B369" s="16" t="s">
        <v>565</v>
      </c>
      <c r="C369" s="17">
        <v>0</v>
      </c>
      <c r="D369" s="17">
        <f t="shared" si="194"/>
        <v>0</v>
      </c>
      <c r="E369" s="17">
        <f t="shared" si="195"/>
        <v>0</v>
      </c>
      <c r="F369" s="17">
        <f t="shared" si="196"/>
        <v>0</v>
      </c>
      <c r="G369" s="17">
        <f t="shared" si="197"/>
        <v>0</v>
      </c>
      <c r="H369" s="17">
        <f t="shared" si="198"/>
        <v>0</v>
      </c>
      <c r="I369" s="17">
        <f t="shared" si="199"/>
        <v>0</v>
      </c>
      <c r="J369" s="17">
        <f t="shared" si="200"/>
        <v>0</v>
      </c>
      <c r="K369" s="17">
        <f t="shared" si="201"/>
        <v>0</v>
      </c>
      <c r="L369" s="17">
        <f t="shared" si="202"/>
        <v>0</v>
      </c>
      <c r="M369" s="17">
        <f t="shared" si="203"/>
        <v>0</v>
      </c>
      <c r="N369" s="17">
        <f t="shared" si="204"/>
        <v>0</v>
      </c>
      <c r="O369" s="17">
        <f t="shared" si="205"/>
        <v>0</v>
      </c>
      <c r="P369" s="17">
        <v>0</v>
      </c>
      <c r="Q369" s="17">
        <f t="shared" si="206"/>
        <v>0</v>
      </c>
      <c r="R369" s="17">
        <f t="shared" si="207"/>
        <v>0</v>
      </c>
      <c r="S369" s="17">
        <f t="shared" si="208"/>
        <v>0</v>
      </c>
      <c r="T369" s="17">
        <f t="shared" si="209"/>
        <v>0</v>
      </c>
      <c r="U369" s="17">
        <f t="shared" si="210"/>
        <v>0</v>
      </c>
      <c r="V369" s="17">
        <f t="shared" si="211"/>
        <v>0</v>
      </c>
      <c r="W369" s="17">
        <f t="shared" si="212"/>
        <v>0</v>
      </c>
      <c r="X369" s="17">
        <f t="shared" si="213"/>
        <v>0</v>
      </c>
      <c r="Y369" s="17">
        <f t="shared" si="214"/>
        <v>0</v>
      </c>
      <c r="Z369" s="17">
        <f t="shared" si="215"/>
        <v>0</v>
      </c>
      <c r="AA369" s="17">
        <f t="shared" si="216"/>
        <v>0</v>
      </c>
      <c r="AB369" s="17">
        <f t="shared" si="217"/>
        <v>0</v>
      </c>
      <c r="AC369" s="17">
        <v>0</v>
      </c>
      <c r="AD369" s="17">
        <f t="shared" si="218"/>
        <v>0</v>
      </c>
      <c r="AE369" s="17">
        <f t="shared" si="219"/>
        <v>0</v>
      </c>
      <c r="AF369" s="17">
        <f t="shared" si="220"/>
        <v>0</v>
      </c>
      <c r="AG369" s="17">
        <f t="shared" si="221"/>
        <v>0</v>
      </c>
      <c r="AH369" s="17">
        <f t="shared" si="222"/>
        <v>0</v>
      </c>
      <c r="AI369" s="17">
        <f t="shared" si="223"/>
        <v>0</v>
      </c>
      <c r="AJ369" s="17">
        <f t="shared" si="224"/>
        <v>0</v>
      </c>
      <c r="AK369" s="17">
        <f t="shared" si="225"/>
        <v>0</v>
      </c>
      <c r="AL369" s="17">
        <f t="shared" si="226"/>
        <v>0</v>
      </c>
      <c r="AM369" s="17">
        <f t="shared" si="227"/>
        <v>0</v>
      </c>
      <c r="AN369" s="17">
        <f t="shared" si="228"/>
        <v>0</v>
      </c>
      <c r="AO369" s="17">
        <f t="shared" si="229"/>
        <v>0</v>
      </c>
      <c r="AP369" s="17">
        <f t="shared" si="230"/>
        <v>0</v>
      </c>
      <c r="AQ369" s="18">
        <v>133.77234892311336</v>
      </c>
      <c r="AR369" s="18">
        <v>159.97916825167798</v>
      </c>
      <c r="AS369" s="18">
        <v>141.58273627282145</v>
      </c>
      <c r="AT369" s="18">
        <v>107.24347480282573</v>
      </c>
      <c r="AU369" s="18">
        <v>155.52857715805143</v>
      </c>
      <c r="AV369" s="18">
        <v>127.45549642881696</v>
      </c>
      <c r="AW369" s="18">
        <v>126.89081831589405</v>
      </c>
      <c r="AX369" s="18">
        <v>86.170658194169945</v>
      </c>
      <c r="AY369" s="18">
        <v>127.73077851833621</v>
      </c>
      <c r="AZ369" s="18">
        <v>111.23708836955277</v>
      </c>
      <c r="BA369" s="18">
        <v>113.57728378816076</v>
      </c>
      <c r="BB369" s="18">
        <v>110.93333904851343</v>
      </c>
      <c r="BC369" s="23">
        <v>8.9181565948742242E-2</v>
      </c>
      <c r="BD369" s="23">
        <v>0.10665277883445198</v>
      </c>
      <c r="BE369" s="23">
        <v>9.438849084854764E-2</v>
      </c>
      <c r="BF369" s="23">
        <v>7.149564986855049E-2</v>
      </c>
      <c r="BG369" s="23">
        <v>0.10368571810536763</v>
      </c>
      <c r="BH369" s="23">
        <v>8.4970330952544637E-2</v>
      </c>
      <c r="BI369" s="23">
        <v>8.4593878877262704E-2</v>
      </c>
      <c r="BJ369" s="23">
        <v>5.7447105462779965E-2</v>
      </c>
      <c r="BK369" s="23">
        <v>8.5153852345557474E-2</v>
      </c>
      <c r="BL369" s="23">
        <v>7.4158058913035174E-2</v>
      </c>
      <c r="BM369" s="23">
        <v>7.5718189192107169E-2</v>
      </c>
      <c r="BN369" s="23">
        <v>7.3955559365675619E-2</v>
      </c>
    </row>
    <row r="370" spans="1:66" x14ac:dyDescent="0.25">
      <c r="A370" s="16">
        <v>5624</v>
      </c>
      <c r="B370" s="16" t="s">
        <v>566</v>
      </c>
      <c r="C370" s="17">
        <v>1500</v>
      </c>
      <c r="D370" s="17">
        <f t="shared" si="194"/>
        <v>133.77234892311336</v>
      </c>
      <c r="E370" s="17">
        <f t="shared" si="195"/>
        <v>159.97916825167798</v>
      </c>
      <c r="F370" s="17">
        <f t="shared" si="196"/>
        <v>141.58273627282145</v>
      </c>
      <c r="G370" s="17">
        <f t="shared" si="197"/>
        <v>107.24347480282573</v>
      </c>
      <c r="H370" s="17">
        <f t="shared" si="198"/>
        <v>155.52857715805143</v>
      </c>
      <c r="I370" s="17">
        <f t="shared" si="199"/>
        <v>127.45549642881696</v>
      </c>
      <c r="J370" s="17">
        <f t="shared" si="200"/>
        <v>126.89081831589405</v>
      </c>
      <c r="K370" s="17">
        <f t="shared" si="201"/>
        <v>86.170658194169945</v>
      </c>
      <c r="L370" s="17">
        <f t="shared" si="202"/>
        <v>127.73077851833621</v>
      </c>
      <c r="M370" s="17">
        <f t="shared" si="203"/>
        <v>111.23708836955277</v>
      </c>
      <c r="N370" s="17">
        <f t="shared" si="204"/>
        <v>113.57728378816076</v>
      </c>
      <c r="O370" s="17">
        <f t="shared" si="205"/>
        <v>110.93333904851343</v>
      </c>
      <c r="P370" s="17">
        <v>0</v>
      </c>
      <c r="Q370" s="17">
        <f t="shared" si="206"/>
        <v>0</v>
      </c>
      <c r="R370" s="17">
        <f t="shared" si="207"/>
        <v>0</v>
      </c>
      <c r="S370" s="17">
        <f t="shared" si="208"/>
        <v>0</v>
      </c>
      <c r="T370" s="17">
        <f t="shared" si="209"/>
        <v>0</v>
      </c>
      <c r="U370" s="17">
        <f t="shared" si="210"/>
        <v>0</v>
      </c>
      <c r="V370" s="17">
        <f t="shared" si="211"/>
        <v>0</v>
      </c>
      <c r="W370" s="17">
        <f t="shared" si="212"/>
        <v>0</v>
      </c>
      <c r="X370" s="17">
        <f t="shared" si="213"/>
        <v>0</v>
      </c>
      <c r="Y370" s="17">
        <f t="shared" si="214"/>
        <v>0</v>
      </c>
      <c r="Z370" s="17">
        <f t="shared" si="215"/>
        <v>0</v>
      </c>
      <c r="AA370" s="17">
        <f t="shared" si="216"/>
        <v>0</v>
      </c>
      <c r="AB370" s="17">
        <f t="shared" si="217"/>
        <v>0</v>
      </c>
      <c r="AC370" s="17">
        <v>0</v>
      </c>
      <c r="AD370" s="17">
        <f t="shared" si="218"/>
        <v>0</v>
      </c>
      <c r="AE370" s="17">
        <f t="shared" si="219"/>
        <v>0</v>
      </c>
      <c r="AF370" s="17">
        <f t="shared" si="220"/>
        <v>0</v>
      </c>
      <c r="AG370" s="17">
        <f t="shared" si="221"/>
        <v>0</v>
      </c>
      <c r="AH370" s="17">
        <f t="shared" si="222"/>
        <v>0</v>
      </c>
      <c r="AI370" s="17">
        <f t="shared" si="223"/>
        <v>0</v>
      </c>
      <c r="AJ370" s="17">
        <f t="shared" si="224"/>
        <v>0</v>
      </c>
      <c r="AK370" s="17">
        <f t="shared" si="225"/>
        <v>0</v>
      </c>
      <c r="AL370" s="17">
        <f t="shared" si="226"/>
        <v>0</v>
      </c>
      <c r="AM370" s="17">
        <f t="shared" si="227"/>
        <v>0</v>
      </c>
      <c r="AN370" s="17">
        <f t="shared" si="228"/>
        <v>0</v>
      </c>
      <c r="AO370" s="17">
        <f t="shared" si="229"/>
        <v>0</v>
      </c>
      <c r="AP370" s="17">
        <f t="shared" si="230"/>
        <v>1500</v>
      </c>
      <c r="AQ370" s="18">
        <v>133.77234892311336</v>
      </c>
      <c r="AR370" s="18">
        <v>159.97916825167798</v>
      </c>
      <c r="AS370" s="18">
        <v>141.58273627282145</v>
      </c>
      <c r="AT370" s="18">
        <v>107.24347480282573</v>
      </c>
      <c r="AU370" s="18">
        <v>155.52857715805143</v>
      </c>
      <c r="AV370" s="18">
        <v>127.45549642881696</v>
      </c>
      <c r="AW370" s="18">
        <v>126.89081831589405</v>
      </c>
      <c r="AX370" s="18">
        <v>86.170658194169945</v>
      </c>
      <c r="AY370" s="18">
        <v>127.73077851833621</v>
      </c>
      <c r="AZ370" s="18">
        <v>111.23708836955277</v>
      </c>
      <c r="BA370" s="18">
        <v>113.57728378816076</v>
      </c>
      <c r="BB370" s="18">
        <v>110.93333904851343</v>
      </c>
      <c r="BC370" s="23">
        <v>8.9181565948742242E-2</v>
      </c>
      <c r="BD370" s="23">
        <v>0.10665277883445198</v>
      </c>
      <c r="BE370" s="23">
        <v>9.438849084854764E-2</v>
      </c>
      <c r="BF370" s="23">
        <v>7.149564986855049E-2</v>
      </c>
      <c r="BG370" s="23">
        <v>0.10368571810536763</v>
      </c>
      <c r="BH370" s="23">
        <v>8.4970330952544637E-2</v>
      </c>
      <c r="BI370" s="23">
        <v>8.4593878877262704E-2</v>
      </c>
      <c r="BJ370" s="23">
        <v>5.7447105462779965E-2</v>
      </c>
      <c r="BK370" s="23">
        <v>8.5153852345557474E-2</v>
      </c>
      <c r="BL370" s="23">
        <v>7.4158058913035174E-2</v>
      </c>
      <c r="BM370" s="23">
        <v>7.5718189192107169E-2</v>
      </c>
      <c r="BN370" s="23">
        <v>7.3955559365675619E-2</v>
      </c>
    </row>
    <row r="371" spans="1:66" x14ac:dyDescent="0.25">
      <c r="A371" s="16">
        <v>6537</v>
      </c>
      <c r="B371" s="16" t="s">
        <v>567</v>
      </c>
      <c r="C371" s="17">
        <v>0</v>
      </c>
      <c r="D371" s="17">
        <f t="shared" si="194"/>
        <v>0</v>
      </c>
      <c r="E371" s="17">
        <f t="shared" si="195"/>
        <v>0</v>
      </c>
      <c r="F371" s="17">
        <f t="shared" si="196"/>
        <v>0</v>
      </c>
      <c r="G371" s="17">
        <f t="shared" si="197"/>
        <v>0</v>
      </c>
      <c r="H371" s="17">
        <f t="shared" si="198"/>
        <v>0</v>
      </c>
      <c r="I371" s="17">
        <f t="shared" si="199"/>
        <v>0</v>
      </c>
      <c r="J371" s="17">
        <f t="shared" si="200"/>
        <v>0</v>
      </c>
      <c r="K371" s="17">
        <f t="shared" si="201"/>
        <v>0</v>
      </c>
      <c r="L371" s="17">
        <f t="shared" si="202"/>
        <v>0</v>
      </c>
      <c r="M371" s="17">
        <f t="shared" si="203"/>
        <v>0</v>
      </c>
      <c r="N371" s="17">
        <f t="shared" si="204"/>
        <v>0</v>
      </c>
      <c r="O371" s="17">
        <f t="shared" si="205"/>
        <v>0</v>
      </c>
      <c r="P371" s="17">
        <v>0</v>
      </c>
      <c r="Q371" s="17">
        <f t="shared" si="206"/>
        <v>0</v>
      </c>
      <c r="R371" s="17">
        <f t="shared" si="207"/>
        <v>0</v>
      </c>
      <c r="S371" s="17">
        <f t="shared" si="208"/>
        <v>0</v>
      </c>
      <c r="T371" s="17">
        <f t="shared" si="209"/>
        <v>0</v>
      </c>
      <c r="U371" s="17">
        <f t="shared" si="210"/>
        <v>0</v>
      </c>
      <c r="V371" s="17">
        <f t="shared" si="211"/>
        <v>0</v>
      </c>
      <c r="W371" s="17">
        <f t="shared" si="212"/>
        <v>0</v>
      </c>
      <c r="X371" s="17">
        <f t="shared" si="213"/>
        <v>0</v>
      </c>
      <c r="Y371" s="17">
        <f t="shared" si="214"/>
        <v>0</v>
      </c>
      <c r="Z371" s="17">
        <f t="shared" si="215"/>
        <v>0</v>
      </c>
      <c r="AA371" s="17">
        <f t="shared" si="216"/>
        <v>0</v>
      </c>
      <c r="AB371" s="17">
        <f t="shared" si="217"/>
        <v>0</v>
      </c>
      <c r="AC371" s="17">
        <v>0</v>
      </c>
      <c r="AD371" s="17">
        <f t="shared" si="218"/>
        <v>0</v>
      </c>
      <c r="AE371" s="17">
        <f t="shared" si="219"/>
        <v>0</v>
      </c>
      <c r="AF371" s="17">
        <f t="shared" si="220"/>
        <v>0</v>
      </c>
      <c r="AG371" s="17">
        <f t="shared" si="221"/>
        <v>0</v>
      </c>
      <c r="AH371" s="17">
        <f t="shared" si="222"/>
        <v>0</v>
      </c>
      <c r="AI371" s="17">
        <f t="shared" si="223"/>
        <v>0</v>
      </c>
      <c r="AJ371" s="17">
        <f t="shared" si="224"/>
        <v>0</v>
      </c>
      <c r="AK371" s="17">
        <f t="shared" si="225"/>
        <v>0</v>
      </c>
      <c r="AL371" s="17">
        <f t="shared" si="226"/>
        <v>0</v>
      </c>
      <c r="AM371" s="17">
        <f t="shared" si="227"/>
        <v>0</v>
      </c>
      <c r="AN371" s="17">
        <f t="shared" si="228"/>
        <v>0</v>
      </c>
      <c r="AO371" s="17">
        <f t="shared" si="229"/>
        <v>0</v>
      </c>
      <c r="AP371" s="17">
        <f t="shared" si="230"/>
        <v>0</v>
      </c>
      <c r="AQ371" s="18">
        <v>133.77234892311336</v>
      </c>
      <c r="AR371" s="18">
        <v>159.97916825167798</v>
      </c>
      <c r="AS371" s="18">
        <v>141.58273627282145</v>
      </c>
      <c r="AT371" s="18">
        <v>107.24347480282573</v>
      </c>
      <c r="AU371" s="18">
        <v>155.52857715805143</v>
      </c>
      <c r="AV371" s="18">
        <v>127.45549642881696</v>
      </c>
      <c r="AW371" s="18">
        <v>126.89081831589405</v>
      </c>
      <c r="AX371" s="18">
        <v>86.170658194169945</v>
      </c>
      <c r="AY371" s="18">
        <v>127.73077851833621</v>
      </c>
      <c r="AZ371" s="18">
        <v>111.23708836955277</v>
      </c>
      <c r="BA371" s="18">
        <v>113.57728378816076</v>
      </c>
      <c r="BB371" s="18">
        <v>110.93333904851343</v>
      </c>
      <c r="BC371" s="23">
        <v>8.9181565948742242E-2</v>
      </c>
      <c r="BD371" s="23">
        <v>0.10665277883445198</v>
      </c>
      <c r="BE371" s="23">
        <v>9.438849084854764E-2</v>
      </c>
      <c r="BF371" s="23">
        <v>7.149564986855049E-2</v>
      </c>
      <c r="BG371" s="23">
        <v>0.10368571810536763</v>
      </c>
      <c r="BH371" s="23">
        <v>8.4970330952544637E-2</v>
      </c>
      <c r="BI371" s="23">
        <v>8.4593878877262704E-2</v>
      </c>
      <c r="BJ371" s="23">
        <v>5.7447105462779965E-2</v>
      </c>
      <c r="BK371" s="23">
        <v>8.5153852345557474E-2</v>
      </c>
      <c r="BL371" s="23">
        <v>7.4158058913035174E-2</v>
      </c>
      <c r="BM371" s="23">
        <v>7.5718189192107169E-2</v>
      </c>
      <c r="BN371" s="23">
        <v>7.3955559365675619E-2</v>
      </c>
    </row>
    <row r="372" spans="1:66" x14ac:dyDescent="0.25">
      <c r="A372" s="16">
        <v>6570</v>
      </c>
      <c r="B372" s="16" t="s">
        <v>568</v>
      </c>
      <c r="C372" s="17">
        <v>0</v>
      </c>
      <c r="D372" s="17">
        <f t="shared" si="194"/>
        <v>0</v>
      </c>
      <c r="E372" s="17">
        <f t="shared" si="195"/>
        <v>0</v>
      </c>
      <c r="F372" s="17">
        <f t="shared" si="196"/>
        <v>0</v>
      </c>
      <c r="G372" s="17">
        <f t="shared" si="197"/>
        <v>0</v>
      </c>
      <c r="H372" s="17">
        <f t="shared" si="198"/>
        <v>0</v>
      </c>
      <c r="I372" s="17">
        <f t="shared" si="199"/>
        <v>0</v>
      </c>
      <c r="J372" s="17">
        <f t="shared" si="200"/>
        <v>0</v>
      </c>
      <c r="K372" s="17">
        <f t="shared" si="201"/>
        <v>0</v>
      </c>
      <c r="L372" s="17">
        <f t="shared" si="202"/>
        <v>0</v>
      </c>
      <c r="M372" s="17">
        <f t="shared" si="203"/>
        <v>0</v>
      </c>
      <c r="N372" s="17">
        <f t="shared" si="204"/>
        <v>0</v>
      </c>
      <c r="O372" s="17">
        <f t="shared" si="205"/>
        <v>0</v>
      </c>
      <c r="P372" s="17">
        <v>0</v>
      </c>
      <c r="Q372" s="17">
        <f t="shared" si="206"/>
        <v>0</v>
      </c>
      <c r="R372" s="17">
        <f t="shared" si="207"/>
        <v>0</v>
      </c>
      <c r="S372" s="17">
        <f t="shared" si="208"/>
        <v>0</v>
      </c>
      <c r="T372" s="17">
        <f t="shared" si="209"/>
        <v>0</v>
      </c>
      <c r="U372" s="17">
        <f t="shared" si="210"/>
        <v>0</v>
      </c>
      <c r="V372" s="17">
        <f t="shared" si="211"/>
        <v>0</v>
      </c>
      <c r="W372" s="17">
        <f t="shared" si="212"/>
        <v>0</v>
      </c>
      <c r="X372" s="17">
        <f t="shared" si="213"/>
        <v>0</v>
      </c>
      <c r="Y372" s="17">
        <f t="shared" si="214"/>
        <v>0</v>
      </c>
      <c r="Z372" s="17">
        <f t="shared" si="215"/>
        <v>0</v>
      </c>
      <c r="AA372" s="17">
        <f t="shared" si="216"/>
        <v>0</v>
      </c>
      <c r="AB372" s="17">
        <f t="shared" si="217"/>
        <v>0</v>
      </c>
      <c r="AC372" s="17">
        <v>0</v>
      </c>
      <c r="AD372" s="17">
        <f t="shared" si="218"/>
        <v>0</v>
      </c>
      <c r="AE372" s="17">
        <f t="shared" si="219"/>
        <v>0</v>
      </c>
      <c r="AF372" s="17">
        <f t="shared" si="220"/>
        <v>0</v>
      </c>
      <c r="AG372" s="17">
        <f t="shared" si="221"/>
        <v>0</v>
      </c>
      <c r="AH372" s="17">
        <f t="shared" si="222"/>
        <v>0</v>
      </c>
      <c r="AI372" s="17">
        <f t="shared" si="223"/>
        <v>0</v>
      </c>
      <c r="AJ372" s="17">
        <f t="shared" si="224"/>
        <v>0</v>
      </c>
      <c r="AK372" s="17">
        <f t="shared" si="225"/>
        <v>0</v>
      </c>
      <c r="AL372" s="17">
        <f t="shared" si="226"/>
        <v>0</v>
      </c>
      <c r="AM372" s="17">
        <f t="shared" si="227"/>
        <v>0</v>
      </c>
      <c r="AN372" s="17">
        <f t="shared" si="228"/>
        <v>0</v>
      </c>
      <c r="AO372" s="17">
        <f t="shared" si="229"/>
        <v>0</v>
      </c>
      <c r="AP372" s="17">
        <f t="shared" si="230"/>
        <v>0</v>
      </c>
      <c r="AQ372" s="18">
        <v>133.77234892311336</v>
      </c>
      <c r="AR372" s="18">
        <v>159.97916825167798</v>
      </c>
      <c r="AS372" s="18">
        <v>141.58273627282145</v>
      </c>
      <c r="AT372" s="18">
        <v>107.24347480282573</v>
      </c>
      <c r="AU372" s="18">
        <v>155.52857715805143</v>
      </c>
      <c r="AV372" s="18">
        <v>127.45549642881696</v>
      </c>
      <c r="AW372" s="18">
        <v>126.89081831589405</v>
      </c>
      <c r="AX372" s="18">
        <v>86.170658194169945</v>
      </c>
      <c r="AY372" s="18">
        <v>127.73077851833621</v>
      </c>
      <c r="AZ372" s="18">
        <v>111.23708836955277</v>
      </c>
      <c r="BA372" s="18">
        <v>113.57728378816076</v>
      </c>
      <c r="BB372" s="18">
        <v>110.93333904851343</v>
      </c>
      <c r="BC372" s="23">
        <v>8.9181565948742242E-2</v>
      </c>
      <c r="BD372" s="23">
        <v>0.10665277883445198</v>
      </c>
      <c r="BE372" s="23">
        <v>9.438849084854764E-2</v>
      </c>
      <c r="BF372" s="23">
        <v>7.149564986855049E-2</v>
      </c>
      <c r="BG372" s="23">
        <v>0.10368571810536763</v>
      </c>
      <c r="BH372" s="23">
        <v>8.4970330952544637E-2</v>
      </c>
      <c r="BI372" s="23">
        <v>8.4593878877262704E-2</v>
      </c>
      <c r="BJ372" s="23">
        <v>5.7447105462779965E-2</v>
      </c>
      <c r="BK372" s="23">
        <v>8.5153852345557474E-2</v>
      </c>
      <c r="BL372" s="23">
        <v>7.4158058913035174E-2</v>
      </c>
      <c r="BM372" s="23">
        <v>7.5718189192107169E-2</v>
      </c>
      <c r="BN372" s="23">
        <v>7.3955559365675619E-2</v>
      </c>
    </row>
    <row r="373" spans="1:66" x14ac:dyDescent="0.25">
      <c r="A373" s="16">
        <v>6574</v>
      </c>
      <c r="B373" s="16" t="s">
        <v>569</v>
      </c>
      <c r="C373" s="17">
        <v>0</v>
      </c>
      <c r="D373" s="17">
        <f t="shared" si="194"/>
        <v>0</v>
      </c>
      <c r="E373" s="17">
        <f t="shared" si="195"/>
        <v>0</v>
      </c>
      <c r="F373" s="17">
        <f t="shared" si="196"/>
        <v>0</v>
      </c>
      <c r="G373" s="17">
        <f t="shared" si="197"/>
        <v>0</v>
      </c>
      <c r="H373" s="17">
        <f t="shared" si="198"/>
        <v>0</v>
      </c>
      <c r="I373" s="17">
        <f t="shared" si="199"/>
        <v>0</v>
      </c>
      <c r="J373" s="17">
        <f t="shared" si="200"/>
        <v>0</v>
      </c>
      <c r="K373" s="17">
        <f t="shared" si="201"/>
        <v>0</v>
      </c>
      <c r="L373" s="17">
        <f t="shared" si="202"/>
        <v>0</v>
      </c>
      <c r="M373" s="17">
        <f t="shared" si="203"/>
        <v>0</v>
      </c>
      <c r="N373" s="17">
        <f t="shared" si="204"/>
        <v>0</v>
      </c>
      <c r="O373" s="17">
        <f t="shared" si="205"/>
        <v>0</v>
      </c>
      <c r="P373" s="17">
        <v>0</v>
      </c>
      <c r="Q373" s="17">
        <f t="shared" si="206"/>
        <v>0</v>
      </c>
      <c r="R373" s="17">
        <f t="shared" si="207"/>
        <v>0</v>
      </c>
      <c r="S373" s="17">
        <f t="shared" si="208"/>
        <v>0</v>
      </c>
      <c r="T373" s="17">
        <f t="shared" si="209"/>
        <v>0</v>
      </c>
      <c r="U373" s="17">
        <f t="shared" si="210"/>
        <v>0</v>
      </c>
      <c r="V373" s="17">
        <f t="shared" si="211"/>
        <v>0</v>
      </c>
      <c r="W373" s="17">
        <f t="shared" si="212"/>
        <v>0</v>
      </c>
      <c r="X373" s="17">
        <f t="shared" si="213"/>
        <v>0</v>
      </c>
      <c r="Y373" s="17">
        <f t="shared" si="214"/>
        <v>0</v>
      </c>
      <c r="Z373" s="17">
        <f t="shared" si="215"/>
        <v>0</v>
      </c>
      <c r="AA373" s="17">
        <f t="shared" si="216"/>
        <v>0</v>
      </c>
      <c r="AB373" s="17">
        <f t="shared" si="217"/>
        <v>0</v>
      </c>
      <c r="AC373" s="17">
        <v>0</v>
      </c>
      <c r="AD373" s="17">
        <f t="shared" si="218"/>
        <v>0</v>
      </c>
      <c r="AE373" s="17">
        <f t="shared" si="219"/>
        <v>0</v>
      </c>
      <c r="AF373" s="17">
        <f t="shared" si="220"/>
        <v>0</v>
      </c>
      <c r="AG373" s="17">
        <f t="shared" si="221"/>
        <v>0</v>
      </c>
      <c r="AH373" s="17">
        <f t="shared" si="222"/>
        <v>0</v>
      </c>
      <c r="AI373" s="17">
        <f t="shared" si="223"/>
        <v>0</v>
      </c>
      <c r="AJ373" s="17">
        <f t="shared" si="224"/>
        <v>0</v>
      </c>
      <c r="AK373" s="17">
        <f t="shared" si="225"/>
        <v>0</v>
      </c>
      <c r="AL373" s="17">
        <f t="shared" si="226"/>
        <v>0</v>
      </c>
      <c r="AM373" s="17">
        <f t="shared" si="227"/>
        <v>0</v>
      </c>
      <c r="AN373" s="17">
        <f t="shared" si="228"/>
        <v>0</v>
      </c>
      <c r="AO373" s="17">
        <f t="shared" si="229"/>
        <v>0</v>
      </c>
      <c r="AP373" s="17">
        <f t="shared" si="230"/>
        <v>0</v>
      </c>
      <c r="AQ373" s="18">
        <v>133.77234892311336</v>
      </c>
      <c r="AR373" s="18">
        <v>159.97916825167798</v>
      </c>
      <c r="AS373" s="18">
        <v>141.58273627282145</v>
      </c>
      <c r="AT373" s="18">
        <v>107.24347480282573</v>
      </c>
      <c r="AU373" s="18">
        <v>155.52857715805143</v>
      </c>
      <c r="AV373" s="18">
        <v>127.45549642881696</v>
      </c>
      <c r="AW373" s="18">
        <v>126.89081831589405</v>
      </c>
      <c r="AX373" s="18">
        <v>86.170658194169945</v>
      </c>
      <c r="AY373" s="18">
        <v>127.73077851833621</v>
      </c>
      <c r="AZ373" s="18">
        <v>111.23708836955277</v>
      </c>
      <c r="BA373" s="18">
        <v>113.57728378816076</v>
      </c>
      <c r="BB373" s="18">
        <v>110.93333904851343</v>
      </c>
      <c r="BC373" s="23">
        <v>8.9181565948742242E-2</v>
      </c>
      <c r="BD373" s="23">
        <v>0.10665277883445198</v>
      </c>
      <c r="BE373" s="23">
        <v>9.438849084854764E-2</v>
      </c>
      <c r="BF373" s="23">
        <v>7.149564986855049E-2</v>
      </c>
      <c r="BG373" s="23">
        <v>0.10368571810536763</v>
      </c>
      <c r="BH373" s="23">
        <v>8.4970330952544637E-2</v>
      </c>
      <c r="BI373" s="23">
        <v>8.4593878877262704E-2</v>
      </c>
      <c r="BJ373" s="23">
        <v>5.7447105462779965E-2</v>
      </c>
      <c r="BK373" s="23">
        <v>8.5153852345557474E-2</v>
      </c>
      <c r="BL373" s="23">
        <v>7.4158058913035174E-2</v>
      </c>
      <c r="BM373" s="23">
        <v>7.5718189192107169E-2</v>
      </c>
      <c r="BN373" s="23">
        <v>7.3955559365675619E-2</v>
      </c>
    </row>
    <row r="374" spans="1:66" x14ac:dyDescent="0.25">
      <c r="A374" s="16">
        <v>1713</v>
      </c>
      <c r="B374" s="16" t="s">
        <v>570</v>
      </c>
      <c r="C374" s="17">
        <v>0</v>
      </c>
      <c r="D374" s="17">
        <f t="shared" si="194"/>
        <v>0</v>
      </c>
      <c r="E374" s="17">
        <f t="shared" si="195"/>
        <v>0</v>
      </c>
      <c r="F374" s="17">
        <f t="shared" si="196"/>
        <v>0</v>
      </c>
      <c r="G374" s="17">
        <f t="shared" si="197"/>
        <v>0</v>
      </c>
      <c r="H374" s="17">
        <f t="shared" si="198"/>
        <v>0</v>
      </c>
      <c r="I374" s="17">
        <f t="shared" si="199"/>
        <v>0</v>
      </c>
      <c r="J374" s="17">
        <f t="shared" si="200"/>
        <v>0</v>
      </c>
      <c r="K374" s="17">
        <f t="shared" si="201"/>
        <v>0</v>
      </c>
      <c r="L374" s="17">
        <f t="shared" si="202"/>
        <v>0</v>
      </c>
      <c r="M374" s="17">
        <f t="shared" si="203"/>
        <v>0</v>
      </c>
      <c r="N374" s="17">
        <f t="shared" si="204"/>
        <v>0</v>
      </c>
      <c r="O374" s="17">
        <f t="shared" si="205"/>
        <v>0</v>
      </c>
      <c r="P374" s="17">
        <v>0</v>
      </c>
      <c r="Q374" s="17">
        <f t="shared" si="206"/>
        <v>0</v>
      </c>
      <c r="R374" s="17">
        <f t="shared" si="207"/>
        <v>0</v>
      </c>
      <c r="S374" s="17">
        <f t="shared" si="208"/>
        <v>0</v>
      </c>
      <c r="T374" s="17">
        <f t="shared" si="209"/>
        <v>0</v>
      </c>
      <c r="U374" s="17">
        <f t="shared" si="210"/>
        <v>0</v>
      </c>
      <c r="V374" s="17">
        <f t="shared" si="211"/>
        <v>0</v>
      </c>
      <c r="W374" s="17">
        <f t="shared" si="212"/>
        <v>0</v>
      </c>
      <c r="X374" s="17">
        <f t="shared" si="213"/>
        <v>0</v>
      </c>
      <c r="Y374" s="17">
        <f t="shared" si="214"/>
        <v>0</v>
      </c>
      <c r="Z374" s="17">
        <f t="shared" si="215"/>
        <v>0</v>
      </c>
      <c r="AA374" s="17">
        <f t="shared" si="216"/>
        <v>0</v>
      </c>
      <c r="AB374" s="17">
        <f t="shared" si="217"/>
        <v>0</v>
      </c>
      <c r="AC374" s="17">
        <v>0</v>
      </c>
      <c r="AD374" s="17">
        <f t="shared" si="218"/>
        <v>0</v>
      </c>
      <c r="AE374" s="17">
        <f t="shared" si="219"/>
        <v>0</v>
      </c>
      <c r="AF374" s="17">
        <f t="shared" si="220"/>
        <v>0</v>
      </c>
      <c r="AG374" s="17">
        <f t="shared" si="221"/>
        <v>0</v>
      </c>
      <c r="AH374" s="17">
        <f t="shared" si="222"/>
        <v>0</v>
      </c>
      <c r="AI374" s="17">
        <f t="shared" si="223"/>
        <v>0</v>
      </c>
      <c r="AJ374" s="17">
        <f t="shared" si="224"/>
        <v>0</v>
      </c>
      <c r="AK374" s="17">
        <f t="shared" si="225"/>
        <v>0</v>
      </c>
      <c r="AL374" s="17">
        <f t="shared" si="226"/>
        <v>0</v>
      </c>
      <c r="AM374" s="17">
        <f t="shared" si="227"/>
        <v>0</v>
      </c>
      <c r="AN374" s="17">
        <f t="shared" si="228"/>
        <v>0</v>
      </c>
      <c r="AO374" s="17">
        <f t="shared" si="229"/>
        <v>0</v>
      </c>
      <c r="AP374" s="17">
        <f t="shared" si="230"/>
        <v>0</v>
      </c>
      <c r="AQ374" s="18">
        <v>134.55518470901143</v>
      </c>
      <c r="AR374" s="18">
        <v>160.91536634428681</v>
      </c>
      <c r="AS374" s="18">
        <v>142.41127844549001</v>
      </c>
      <c r="AT374" s="18">
        <v>107.87106361737187</v>
      </c>
      <c r="AU374" s="18">
        <v>156.43873039158035</v>
      </c>
      <c r="AV374" s="18">
        <v>128.20136599391839</v>
      </c>
      <c r="AW374" s="18">
        <v>127.63338338467867</v>
      </c>
      <c r="AX374" s="18">
        <v>86.674928885922228</v>
      </c>
      <c r="AY374" s="18">
        <v>128.47825903422552</v>
      </c>
      <c r="AZ374" s="18">
        <v>111.88804781069139</v>
      </c>
      <c r="BA374" s="18">
        <v>114.24193805288907</v>
      </c>
      <c r="BB374" s="18">
        <v>111.58252094862533</v>
      </c>
      <c r="BC374" s="23">
        <v>8.9181565948742242E-2</v>
      </c>
      <c r="BD374" s="23">
        <v>0.10665277883445198</v>
      </c>
      <c r="BE374" s="23">
        <v>9.438849084854764E-2</v>
      </c>
      <c r="BF374" s="23">
        <v>7.149564986855049E-2</v>
      </c>
      <c r="BG374" s="23">
        <v>0.10368571810536763</v>
      </c>
      <c r="BH374" s="23">
        <v>8.4970330952544637E-2</v>
      </c>
      <c r="BI374" s="23">
        <v>8.4593878877262704E-2</v>
      </c>
      <c r="BJ374" s="23">
        <v>5.7447105462779965E-2</v>
      </c>
      <c r="BK374" s="23">
        <v>8.5153852345557474E-2</v>
      </c>
      <c r="BL374" s="23">
        <v>7.4158058913035174E-2</v>
      </c>
      <c r="BM374" s="23">
        <v>7.5718189192107169E-2</v>
      </c>
      <c r="BN374" s="23">
        <v>7.3955559365675619E-2</v>
      </c>
    </row>
    <row r="375" spans="1:66" x14ac:dyDescent="0.25">
      <c r="A375" s="16">
        <v>5506</v>
      </c>
      <c r="B375" s="16" t="s">
        <v>571</v>
      </c>
      <c r="C375" s="17">
        <v>0</v>
      </c>
      <c r="D375" s="17">
        <f t="shared" si="194"/>
        <v>0</v>
      </c>
      <c r="E375" s="17">
        <f t="shared" si="195"/>
        <v>0</v>
      </c>
      <c r="F375" s="17">
        <f t="shared" si="196"/>
        <v>0</v>
      </c>
      <c r="G375" s="17">
        <f t="shared" si="197"/>
        <v>0</v>
      </c>
      <c r="H375" s="17">
        <f t="shared" si="198"/>
        <v>0</v>
      </c>
      <c r="I375" s="17">
        <f t="shared" si="199"/>
        <v>0</v>
      </c>
      <c r="J375" s="17">
        <f t="shared" si="200"/>
        <v>0</v>
      </c>
      <c r="K375" s="17">
        <f t="shared" si="201"/>
        <v>0</v>
      </c>
      <c r="L375" s="17">
        <f t="shared" si="202"/>
        <v>0</v>
      </c>
      <c r="M375" s="17">
        <f t="shared" si="203"/>
        <v>0</v>
      </c>
      <c r="N375" s="17">
        <f t="shared" si="204"/>
        <v>0</v>
      </c>
      <c r="O375" s="17">
        <f t="shared" si="205"/>
        <v>0</v>
      </c>
      <c r="P375" s="17">
        <v>0</v>
      </c>
      <c r="Q375" s="17">
        <f t="shared" si="206"/>
        <v>0</v>
      </c>
      <c r="R375" s="17">
        <f t="shared" si="207"/>
        <v>0</v>
      </c>
      <c r="S375" s="17">
        <f t="shared" si="208"/>
        <v>0</v>
      </c>
      <c r="T375" s="17">
        <f t="shared" si="209"/>
        <v>0</v>
      </c>
      <c r="U375" s="17">
        <f t="shared" si="210"/>
        <v>0</v>
      </c>
      <c r="V375" s="17">
        <f t="shared" si="211"/>
        <v>0</v>
      </c>
      <c r="W375" s="17">
        <f t="shared" si="212"/>
        <v>0</v>
      </c>
      <c r="X375" s="17">
        <f t="shared" si="213"/>
        <v>0</v>
      </c>
      <c r="Y375" s="17">
        <f t="shared" si="214"/>
        <v>0</v>
      </c>
      <c r="Z375" s="17">
        <f t="shared" si="215"/>
        <v>0</v>
      </c>
      <c r="AA375" s="17">
        <f t="shared" si="216"/>
        <v>0</v>
      </c>
      <c r="AB375" s="17">
        <f t="shared" si="217"/>
        <v>0</v>
      </c>
      <c r="AC375" s="17">
        <v>3400</v>
      </c>
      <c r="AD375" s="17">
        <f t="shared" si="218"/>
        <v>303.21732422572364</v>
      </c>
      <c r="AE375" s="17">
        <f t="shared" si="219"/>
        <v>362.61944803713675</v>
      </c>
      <c r="AF375" s="17">
        <f t="shared" si="220"/>
        <v>320.92086888506196</v>
      </c>
      <c r="AG375" s="17">
        <f t="shared" si="221"/>
        <v>243.08520955307168</v>
      </c>
      <c r="AH375" s="17">
        <f t="shared" si="222"/>
        <v>352.53144155824992</v>
      </c>
      <c r="AI375" s="17">
        <f t="shared" si="223"/>
        <v>288.89912523865178</v>
      </c>
      <c r="AJ375" s="17">
        <f t="shared" si="224"/>
        <v>287.61918818269322</v>
      </c>
      <c r="AK375" s="17">
        <f t="shared" si="225"/>
        <v>195.32015857345189</v>
      </c>
      <c r="AL375" s="17">
        <f t="shared" si="226"/>
        <v>289.52309797489539</v>
      </c>
      <c r="AM375" s="17">
        <f t="shared" si="227"/>
        <v>252.13740030431958</v>
      </c>
      <c r="AN375" s="17">
        <f t="shared" si="228"/>
        <v>257.44184325316439</v>
      </c>
      <c r="AO375" s="17">
        <f t="shared" si="229"/>
        <v>251.44890184329711</v>
      </c>
      <c r="AP375" s="17">
        <f t="shared" si="230"/>
        <v>3400</v>
      </c>
      <c r="AQ375" s="18">
        <v>131.50535351669632</v>
      </c>
      <c r="AR375" s="18">
        <v>157.2680546137062</v>
      </c>
      <c r="AS375" s="18">
        <v>139.18338083545137</v>
      </c>
      <c r="AT375" s="18">
        <v>105.42605538316718</v>
      </c>
      <c r="AU375" s="18">
        <v>152.89288620381299</v>
      </c>
      <c r="AV375" s="18">
        <v>125.29555061600327</v>
      </c>
      <c r="AW375" s="18">
        <v>124.74044191483404</v>
      </c>
      <c r="AX375" s="18">
        <v>84.71035277330607</v>
      </c>
      <c r="AY375" s="18">
        <v>125.56616759171213</v>
      </c>
      <c r="AZ375" s="18">
        <v>109.3519905119834</v>
      </c>
      <c r="BA375" s="18">
        <v>111.65252741889738</v>
      </c>
      <c r="BB375" s="18">
        <v>109.05338872943796</v>
      </c>
      <c r="BC375" s="23">
        <v>8.9181565948742242E-2</v>
      </c>
      <c r="BD375" s="23">
        <v>0.10665277883445198</v>
      </c>
      <c r="BE375" s="23">
        <v>9.438849084854764E-2</v>
      </c>
      <c r="BF375" s="23">
        <v>7.149564986855049E-2</v>
      </c>
      <c r="BG375" s="23">
        <v>0.10368571810536763</v>
      </c>
      <c r="BH375" s="23">
        <v>8.4970330952544637E-2</v>
      </c>
      <c r="BI375" s="23">
        <v>8.4593878877262704E-2</v>
      </c>
      <c r="BJ375" s="23">
        <v>5.7447105462779965E-2</v>
      </c>
      <c r="BK375" s="23">
        <v>8.5153852345557474E-2</v>
      </c>
      <c r="BL375" s="23">
        <v>7.4158058913035174E-2</v>
      </c>
      <c r="BM375" s="23">
        <v>7.5718189192107169E-2</v>
      </c>
      <c r="BN375" s="23">
        <v>7.3955559365675619E-2</v>
      </c>
    </row>
    <row r="376" spans="1:66" x14ac:dyDescent="0.25">
      <c r="A376" s="16">
        <v>6581</v>
      </c>
      <c r="B376" s="16" t="s">
        <v>572</v>
      </c>
      <c r="C376" s="17">
        <v>1000</v>
      </c>
      <c r="D376" s="17">
        <f t="shared" si="194"/>
        <v>89.181565948742247</v>
      </c>
      <c r="E376" s="17">
        <f t="shared" si="195"/>
        <v>106.65277883445198</v>
      </c>
      <c r="F376" s="17">
        <f t="shared" si="196"/>
        <v>94.388490848547647</v>
      </c>
      <c r="G376" s="17">
        <f t="shared" si="197"/>
        <v>71.495649868550487</v>
      </c>
      <c r="H376" s="17">
        <f t="shared" si="198"/>
        <v>103.68571810536763</v>
      </c>
      <c r="I376" s="17">
        <f t="shared" si="199"/>
        <v>84.970330952544643</v>
      </c>
      <c r="J376" s="17">
        <f t="shared" si="200"/>
        <v>84.593878877262711</v>
      </c>
      <c r="K376" s="17">
        <f t="shared" si="201"/>
        <v>57.447105462779966</v>
      </c>
      <c r="L376" s="17">
        <f t="shared" si="202"/>
        <v>85.153852345557468</v>
      </c>
      <c r="M376" s="17">
        <f t="shared" si="203"/>
        <v>74.158058913035177</v>
      </c>
      <c r="N376" s="17">
        <f t="shared" si="204"/>
        <v>75.718189192107175</v>
      </c>
      <c r="O376" s="17">
        <f t="shared" si="205"/>
        <v>73.955559365675626</v>
      </c>
      <c r="P376" s="17">
        <v>0</v>
      </c>
      <c r="Q376" s="17">
        <f t="shared" si="206"/>
        <v>0</v>
      </c>
      <c r="R376" s="17">
        <f t="shared" si="207"/>
        <v>0</v>
      </c>
      <c r="S376" s="17">
        <f t="shared" si="208"/>
        <v>0</v>
      </c>
      <c r="T376" s="17">
        <f t="shared" si="209"/>
        <v>0</v>
      </c>
      <c r="U376" s="17">
        <f t="shared" si="210"/>
        <v>0</v>
      </c>
      <c r="V376" s="17">
        <f t="shared" si="211"/>
        <v>0</v>
      </c>
      <c r="W376" s="17">
        <f t="shared" si="212"/>
        <v>0</v>
      </c>
      <c r="X376" s="17">
        <f t="shared" si="213"/>
        <v>0</v>
      </c>
      <c r="Y376" s="17">
        <f t="shared" si="214"/>
        <v>0</v>
      </c>
      <c r="Z376" s="17">
        <f t="shared" si="215"/>
        <v>0</v>
      </c>
      <c r="AA376" s="17">
        <f t="shared" si="216"/>
        <v>0</v>
      </c>
      <c r="AB376" s="17">
        <f t="shared" si="217"/>
        <v>0</v>
      </c>
      <c r="AC376" s="17">
        <v>0</v>
      </c>
      <c r="AD376" s="17">
        <f t="shared" si="218"/>
        <v>0</v>
      </c>
      <c r="AE376" s="17">
        <f t="shared" si="219"/>
        <v>0</v>
      </c>
      <c r="AF376" s="17">
        <f t="shared" si="220"/>
        <v>0</v>
      </c>
      <c r="AG376" s="17">
        <f t="shared" si="221"/>
        <v>0</v>
      </c>
      <c r="AH376" s="17">
        <f t="shared" si="222"/>
        <v>0</v>
      </c>
      <c r="AI376" s="17">
        <f t="shared" si="223"/>
        <v>0</v>
      </c>
      <c r="AJ376" s="17">
        <f t="shared" si="224"/>
        <v>0</v>
      </c>
      <c r="AK376" s="17">
        <f t="shared" si="225"/>
        <v>0</v>
      </c>
      <c r="AL376" s="17">
        <f t="shared" si="226"/>
        <v>0</v>
      </c>
      <c r="AM376" s="17">
        <f t="shared" si="227"/>
        <v>0</v>
      </c>
      <c r="AN376" s="17">
        <f t="shared" si="228"/>
        <v>0</v>
      </c>
      <c r="AO376" s="17">
        <f t="shared" si="229"/>
        <v>0</v>
      </c>
      <c r="AP376" s="17">
        <f t="shared" si="230"/>
        <v>1000</v>
      </c>
      <c r="AQ376" s="18">
        <v>124.85419232823914</v>
      </c>
      <c r="AR376" s="18">
        <v>149.31389036823279</v>
      </c>
      <c r="AS376" s="18">
        <v>132.1438871879667</v>
      </c>
      <c r="AT376" s="18">
        <v>100.09390981597069</v>
      </c>
      <c r="AU376" s="18">
        <v>145.16000534751467</v>
      </c>
      <c r="AV376" s="18">
        <v>118.95846333356249</v>
      </c>
      <c r="AW376" s="18">
        <v>118.43143042816779</v>
      </c>
      <c r="AX376" s="18">
        <v>80.425947647891945</v>
      </c>
      <c r="AY376" s="18">
        <v>119.21539328378046</v>
      </c>
      <c r="AZ376" s="18">
        <v>103.82128247824924</v>
      </c>
      <c r="BA376" s="18">
        <v>106.00546486895004</v>
      </c>
      <c r="BB376" s="18">
        <v>103.53778311194587</v>
      </c>
      <c r="BC376" s="23">
        <v>8.9181565948742242E-2</v>
      </c>
      <c r="BD376" s="23">
        <v>0.10665277883445198</v>
      </c>
      <c r="BE376" s="23">
        <v>9.438849084854764E-2</v>
      </c>
      <c r="BF376" s="23">
        <v>7.149564986855049E-2</v>
      </c>
      <c r="BG376" s="23">
        <v>0.10368571810536763</v>
      </c>
      <c r="BH376" s="23">
        <v>8.4970330952544637E-2</v>
      </c>
      <c r="BI376" s="23">
        <v>8.4593878877262704E-2</v>
      </c>
      <c r="BJ376" s="23">
        <v>5.7447105462779965E-2</v>
      </c>
      <c r="BK376" s="23">
        <v>8.5153852345557474E-2</v>
      </c>
      <c r="BL376" s="23">
        <v>7.4158058913035174E-2</v>
      </c>
      <c r="BM376" s="23">
        <v>7.5718189192107169E-2</v>
      </c>
      <c r="BN376" s="23">
        <v>7.3955559365675619E-2</v>
      </c>
    </row>
    <row r="377" spans="1:66" x14ac:dyDescent="0.25">
      <c r="A377" s="16">
        <v>6582</v>
      </c>
      <c r="B377" s="16" t="s">
        <v>573</v>
      </c>
      <c r="C377" s="17">
        <v>0</v>
      </c>
      <c r="D377" s="17">
        <f t="shared" si="194"/>
        <v>0</v>
      </c>
      <c r="E377" s="17">
        <f t="shared" si="195"/>
        <v>0</v>
      </c>
      <c r="F377" s="17">
        <f t="shared" si="196"/>
        <v>0</v>
      </c>
      <c r="G377" s="17">
        <f t="shared" si="197"/>
        <v>0</v>
      </c>
      <c r="H377" s="17">
        <f t="shared" si="198"/>
        <v>0</v>
      </c>
      <c r="I377" s="17">
        <f t="shared" si="199"/>
        <v>0</v>
      </c>
      <c r="J377" s="17">
        <f t="shared" si="200"/>
        <v>0</v>
      </c>
      <c r="K377" s="17">
        <f t="shared" si="201"/>
        <v>0</v>
      </c>
      <c r="L377" s="17">
        <f t="shared" si="202"/>
        <v>0</v>
      </c>
      <c r="M377" s="17">
        <f t="shared" si="203"/>
        <v>0</v>
      </c>
      <c r="N377" s="17">
        <f t="shared" si="204"/>
        <v>0</v>
      </c>
      <c r="O377" s="17">
        <f t="shared" si="205"/>
        <v>0</v>
      </c>
      <c r="P377" s="17">
        <v>0</v>
      </c>
      <c r="Q377" s="17">
        <f t="shared" si="206"/>
        <v>0</v>
      </c>
      <c r="R377" s="17">
        <f t="shared" si="207"/>
        <v>0</v>
      </c>
      <c r="S377" s="17">
        <f t="shared" si="208"/>
        <v>0</v>
      </c>
      <c r="T377" s="17">
        <f t="shared" si="209"/>
        <v>0</v>
      </c>
      <c r="U377" s="17">
        <f t="shared" si="210"/>
        <v>0</v>
      </c>
      <c r="V377" s="17">
        <f t="shared" si="211"/>
        <v>0</v>
      </c>
      <c r="W377" s="17">
        <f t="shared" si="212"/>
        <v>0</v>
      </c>
      <c r="X377" s="17">
        <f t="shared" si="213"/>
        <v>0</v>
      </c>
      <c r="Y377" s="17">
        <f t="shared" si="214"/>
        <v>0</v>
      </c>
      <c r="Z377" s="17">
        <f t="shared" si="215"/>
        <v>0</v>
      </c>
      <c r="AA377" s="17">
        <f t="shared" si="216"/>
        <v>0</v>
      </c>
      <c r="AB377" s="17">
        <f t="shared" si="217"/>
        <v>0</v>
      </c>
      <c r="AC377" s="17">
        <v>0</v>
      </c>
      <c r="AD377" s="17">
        <f t="shared" si="218"/>
        <v>0</v>
      </c>
      <c r="AE377" s="17">
        <f t="shared" si="219"/>
        <v>0</v>
      </c>
      <c r="AF377" s="17">
        <f t="shared" si="220"/>
        <v>0</v>
      </c>
      <c r="AG377" s="17">
        <f t="shared" si="221"/>
        <v>0</v>
      </c>
      <c r="AH377" s="17">
        <f t="shared" si="222"/>
        <v>0</v>
      </c>
      <c r="AI377" s="17">
        <f t="shared" si="223"/>
        <v>0</v>
      </c>
      <c r="AJ377" s="17">
        <f t="shared" si="224"/>
        <v>0</v>
      </c>
      <c r="AK377" s="17">
        <f t="shared" si="225"/>
        <v>0</v>
      </c>
      <c r="AL377" s="17">
        <f t="shared" si="226"/>
        <v>0</v>
      </c>
      <c r="AM377" s="17">
        <f t="shared" si="227"/>
        <v>0</v>
      </c>
      <c r="AN377" s="17">
        <f t="shared" si="228"/>
        <v>0</v>
      </c>
      <c r="AO377" s="17">
        <f t="shared" si="229"/>
        <v>0</v>
      </c>
      <c r="AP377" s="17">
        <f t="shared" si="230"/>
        <v>0</v>
      </c>
      <c r="AQ377" s="18">
        <v>124.85419232823914</v>
      </c>
      <c r="AR377" s="18">
        <v>149.31389036823279</v>
      </c>
      <c r="AS377" s="18">
        <v>132.1438871879667</v>
      </c>
      <c r="AT377" s="18">
        <v>100.09390981597069</v>
      </c>
      <c r="AU377" s="18">
        <v>145.16000534751467</v>
      </c>
      <c r="AV377" s="18">
        <v>118.95846333356249</v>
      </c>
      <c r="AW377" s="18">
        <v>118.43143042816779</v>
      </c>
      <c r="AX377" s="18">
        <v>80.425947647891945</v>
      </c>
      <c r="AY377" s="18">
        <v>119.21539328378046</v>
      </c>
      <c r="AZ377" s="18">
        <v>103.82128247824924</v>
      </c>
      <c r="BA377" s="18">
        <v>106.00546486895004</v>
      </c>
      <c r="BB377" s="18">
        <v>103.53778311194587</v>
      </c>
      <c r="BC377" s="23">
        <v>8.9181565948742242E-2</v>
      </c>
      <c r="BD377" s="23">
        <v>0.10665277883445198</v>
      </c>
      <c r="BE377" s="23">
        <v>9.438849084854764E-2</v>
      </c>
      <c r="BF377" s="23">
        <v>7.149564986855049E-2</v>
      </c>
      <c r="BG377" s="23">
        <v>0.10368571810536763</v>
      </c>
      <c r="BH377" s="23">
        <v>8.4970330952544637E-2</v>
      </c>
      <c r="BI377" s="23">
        <v>8.4593878877262704E-2</v>
      </c>
      <c r="BJ377" s="23">
        <v>5.7447105462779965E-2</v>
      </c>
      <c r="BK377" s="23">
        <v>8.5153852345557474E-2</v>
      </c>
      <c r="BL377" s="23">
        <v>7.4158058913035174E-2</v>
      </c>
      <c r="BM377" s="23">
        <v>7.5718189192107169E-2</v>
      </c>
      <c r="BN377" s="23">
        <v>7.3955559365675619E-2</v>
      </c>
    </row>
    <row r="378" spans="1:66" x14ac:dyDescent="0.25">
      <c r="A378" s="16">
        <v>3013</v>
      </c>
      <c r="B378" s="16" t="s">
        <v>574</v>
      </c>
      <c r="C378" s="17">
        <v>1300</v>
      </c>
      <c r="D378" s="17">
        <f t="shared" si="194"/>
        <v>115.93603573336492</v>
      </c>
      <c r="E378" s="17">
        <f t="shared" si="195"/>
        <v>138.64861248478758</v>
      </c>
      <c r="F378" s="17">
        <f t="shared" si="196"/>
        <v>122.70503810311193</v>
      </c>
      <c r="G378" s="17">
        <f t="shared" si="197"/>
        <v>92.944344829115636</v>
      </c>
      <c r="H378" s="17">
        <f t="shared" si="198"/>
        <v>134.79143353697791</v>
      </c>
      <c r="I378" s="17">
        <f t="shared" si="199"/>
        <v>110.46143023830803</v>
      </c>
      <c r="J378" s="17">
        <f t="shared" si="200"/>
        <v>109.97204254044152</v>
      </c>
      <c r="K378" s="17">
        <f t="shared" si="201"/>
        <v>74.681237101613959</v>
      </c>
      <c r="L378" s="17">
        <f t="shared" si="202"/>
        <v>110.70000804922472</v>
      </c>
      <c r="M378" s="17">
        <f t="shared" si="203"/>
        <v>96.405476586945724</v>
      </c>
      <c r="N378" s="17">
        <f t="shared" si="204"/>
        <v>98.433645949739315</v>
      </c>
      <c r="O378" s="17">
        <f t="shared" si="205"/>
        <v>96.142227175378309</v>
      </c>
      <c r="P378" s="17">
        <v>0</v>
      </c>
      <c r="Q378" s="17">
        <f t="shared" si="206"/>
        <v>0</v>
      </c>
      <c r="R378" s="17">
        <f t="shared" si="207"/>
        <v>0</v>
      </c>
      <c r="S378" s="17">
        <f t="shared" si="208"/>
        <v>0</v>
      </c>
      <c r="T378" s="17">
        <f t="shared" si="209"/>
        <v>0</v>
      </c>
      <c r="U378" s="17">
        <f t="shared" si="210"/>
        <v>0</v>
      </c>
      <c r="V378" s="17">
        <f t="shared" si="211"/>
        <v>0</v>
      </c>
      <c r="W378" s="17">
        <f t="shared" si="212"/>
        <v>0</v>
      </c>
      <c r="X378" s="17">
        <f t="shared" si="213"/>
        <v>0</v>
      </c>
      <c r="Y378" s="17">
        <f t="shared" si="214"/>
        <v>0</v>
      </c>
      <c r="Z378" s="17">
        <f t="shared" si="215"/>
        <v>0</v>
      </c>
      <c r="AA378" s="17">
        <f t="shared" si="216"/>
        <v>0</v>
      </c>
      <c r="AB378" s="17">
        <f t="shared" si="217"/>
        <v>0</v>
      </c>
      <c r="AC378" s="17">
        <v>0</v>
      </c>
      <c r="AD378" s="17">
        <f t="shared" si="218"/>
        <v>0</v>
      </c>
      <c r="AE378" s="17">
        <f t="shared" si="219"/>
        <v>0</v>
      </c>
      <c r="AF378" s="17">
        <f t="shared" si="220"/>
        <v>0</v>
      </c>
      <c r="AG378" s="17">
        <f t="shared" si="221"/>
        <v>0</v>
      </c>
      <c r="AH378" s="17">
        <f t="shared" si="222"/>
        <v>0</v>
      </c>
      <c r="AI378" s="17">
        <f t="shared" si="223"/>
        <v>0</v>
      </c>
      <c r="AJ378" s="17">
        <f t="shared" si="224"/>
        <v>0</v>
      </c>
      <c r="AK378" s="17">
        <f t="shared" si="225"/>
        <v>0</v>
      </c>
      <c r="AL378" s="17">
        <f t="shared" si="226"/>
        <v>0</v>
      </c>
      <c r="AM378" s="17">
        <f t="shared" si="227"/>
        <v>0</v>
      </c>
      <c r="AN378" s="17">
        <f t="shared" si="228"/>
        <v>0</v>
      </c>
      <c r="AO378" s="17">
        <f t="shared" si="229"/>
        <v>0</v>
      </c>
      <c r="AP378" s="17">
        <f t="shared" si="230"/>
        <v>1300</v>
      </c>
      <c r="AQ378" s="18">
        <v>117.14177050499191</v>
      </c>
      <c r="AR378" s="18">
        <v>140.09055805462935</v>
      </c>
      <c r="AS378" s="18">
        <v>123.98117049938429</v>
      </c>
      <c r="AT378" s="18">
        <v>93.910966015338431</v>
      </c>
      <c r="AU378" s="18">
        <v>136.19326444576248</v>
      </c>
      <c r="AV378" s="18">
        <v>111.61022911278643</v>
      </c>
      <c r="AW378" s="18">
        <v>111.11575178286211</v>
      </c>
      <c r="AX378" s="18">
        <v>75.457921967470739</v>
      </c>
      <c r="AY378" s="18">
        <v>111.85128813293665</v>
      </c>
      <c r="AZ378" s="18">
        <v>97.408093543449965</v>
      </c>
      <c r="BA378" s="18">
        <v>99.457355867616613</v>
      </c>
      <c r="BB378" s="18">
        <v>97.142106338002236</v>
      </c>
      <c r="BC378" s="23">
        <v>8.9181565948742242E-2</v>
      </c>
      <c r="BD378" s="23">
        <v>0.10665277883445198</v>
      </c>
      <c r="BE378" s="23">
        <v>9.438849084854764E-2</v>
      </c>
      <c r="BF378" s="23">
        <v>7.149564986855049E-2</v>
      </c>
      <c r="BG378" s="23">
        <v>0.10368571810536763</v>
      </c>
      <c r="BH378" s="23">
        <v>8.4970330952544637E-2</v>
      </c>
      <c r="BI378" s="23">
        <v>8.4593878877262704E-2</v>
      </c>
      <c r="BJ378" s="23">
        <v>5.7447105462779965E-2</v>
      </c>
      <c r="BK378" s="23">
        <v>8.5153852345557474E-2</v>
      </c>
      <c r="BL378" s="23">
        <v>7.4158058913035174E-2</v>
      </c>
      <c r="BM378" s="23">
        <v>7.5718189192107169E-2</v>
      </c>
      <c r="BN378" s="23">
        <v>7.3955559365675619E-2</v>
      </c>
    </row>
    <row r="379" spans="1:66" x14ac:dyDescent="0.25">
      <c r="A379" s="16">
        <v>4823</v>
      </c>
      <c r="B379" s="16" t="s">
        <v>575</v>
      </c>
      <c r="C379" s="17">
        <v>1300</v>
      </c>
      <c r="D379" s="17">
        <f t="shared" si="194"/>
        <v>115.93603573336492</v>
      </c>
      <c r="E379" s="17">
        <f t="shared" si="195"/>
        <v>138.64861248478758</v>
      </c>
      <c r="F379" s="17">
        <f t="shared" si="196"/>
        <v>122.70503810311193</v>
      </c>
      <c r="G379" s="17">
        <f t="shared" si="197"/>
        <v>92.944344829115636</v>
      </c>
      <c r="H379" s="17">
        <f t="shared" si="198"/>
        <v>134.79143353697791</v>
      </c>
      <c r="I379" s="17">
        <f t="shared" si="199"/>
        <v>110.46143023830803</v>
      </c>
      <c r="J379" s="17">
        <f t="shared" si="200"/>
        <v>109.97204254044152</v>
      </c>
      <c r="K379" s="17">
        <f t="shared" si="201"/>
        <v>74.681237101613959</v>
      </c>
      <c r="L379" s="17">
        <f t="shared" si="202"/>
        <v>110.70000804922472</v>
      </c>
      <c r="M379" s="17">
        <f t="shared" si="203"/>
        <v>96.405476586945724</v>
      </c>
      <c r="N379" s="17">
        <f t="shared" si="204"/>
        <v>98.433645949739315</v>
      </c>
      <c r="O379" s="17">
        <f t="shared" si="205"/>
        <v>96.142227175378309</v>
      </c>
      <c r="P379" s="17">
        <v>0</v>
      </c>
      <c r="Q379" s="17">
        <f t="shared" si="206"/>
        <v>0</v>
      </c>
      <c r="R379" s="17">
        <f t="shared" si="207"/>
        <v>0</v>
      </c>
      <c r="S379" s="17">
        <f t="shared" si="208"/>
        <v>0</v>
      </c>
      <c r="T379" s="17">
        <f t="shared" si="209"/>
        <v>0</v>
      </c>
      <c r="U379" s="17">
        <f t="shared" si="210"/>
        <v>0</v>
      </c>
      <c r="V379" s="17">
        <f t="shared" si="211"/>
        <v>0</v>
      </c>
      <c r="W379" s="17">
        <f t="shared" si="212"/>
        <v>0</v>
      </c>
      <c r="X379" s="17">
        <f t="shared" si="213"/>
        <v>0</v>
      </c>
      <c r="Y379" s="17">
        <f t="shared" si="214"/>
        <v>0</v>
      </c>
      <c r="Z379" s="17">
        <f t="shared" si="215"/>
        <v>0</v>
      </c>
      <c r="AA379" s="17">
        <f t="shared" si="216"/>
        <v>0</v>
      </c>
      <c r="AB379" s="17">
        <f t="shared" si="217"/>
        <v>0</v>
      </c>
      <c r="AC379" s="17">
        <v>0</v>
      </c>
      <c r="AD379" s="17">
        <f t="shared" si="218"/>
        <v>0</v>
      </c>
      <c r="AE379" s="17">
        <f t="shared" si="219"/>
        <v>0</v>
      </c>
      <c r="AF379" s="17">
        <f t="shared" si="220"/>
        <v>0</v>
      </c>
      <c r="AG379" s="17">
        <f t="shared" si="221"/>
        <v>0</v>
      </c>
      <c r="AH379" s="17">
        <f t="shared" si="222"/>
        <v>0</v>
      </c>
      <c r="AI379" s="17">
        <f t="shared" si="223"/>
        <v>0</v>
      </c>
      <c r="AJ379" s="17">
        <f t="shared" si="224"/>
        <v>0</v>
      </c>
      <c r="AK379" s="17">
        <f t="shared" si="225"/>
        <v>0</v>
      </c>
      <c r="AL379" s="17">
        <f t="shared" si="226"/>
        <v>0</v>
      </c>
      <c r="AM379" s="17">
        <f t="shared" si="227"/>
        <v>0</v>
      </c>
      <c r="AN379" s="17">
        <f t="shared" si="228"/>
        <v>0</v>
      </c>
      <c r="AO379" s="17">
        <f t="shared" si="229"/>
        <v>0</v>
      </c>
      <c r="AP379" s="17">
        <f t="shared" si="230"/>
        <v>1300</v>
      </c>
      <c r="AQ379" s="18">
        <v>115.93603573336492</v>
      </c>
      <c r="AR379" s="18">
        <v>138.64861248478758</v>
      </c>
      <c r="AS379" s="18">
        <v>122.70503810311193</v>
      </c>
      <c r="AT379" s="18">
        <v>92.944344829115636</v>
      </c>
      <c r="AU379" s="18">
        <v>134.79143353697791</v>
      </c>
      <c r="AV379" s="18">
        <v>110.46143023830803</v>
      </c>
      <c r="AW379" s="18">
        <v>109.97204254044152</v>
      </c>
      <c r="AX379" s="18">
        <v>74.681237101613959</v>
      </c>
      <c r="AY379" s="18">
        <v>110.70000804922472</v>
      </c>
      <c r="AZ379" s="18">
        <v>96.405476586945724</v>
      </c>
      <c r="BA379" s="18">
        <v>98.433645949739315</v>
      </c>
      <c r="BB379" s="18">
        <v>96.142227175378309</v>
      </c>
      <c r="BC379" s="23">
        <v>8.9181565948742242E-2</v>
      </c>
      <c r="BD379" s="23">
        <v>0.10665277883445198</v>
      </c>
      <c r="BE379" s="23">
        <v>9.438849084854764E-2</v>
      </c>
      <c r="BF379" s="23">
        <v>7.149564986855049E-2</v>
      </c>
      <c r="BG379" s="23">
        <v>0.10368571810536763</v>
      </c>
      <c r="BH379" s="23">
        <v>8.4970330952544637E-2</v>
      </c>
      <c r="BI379" s="23">
        <v>8.4593878877262704E-2</v>
      </c>
      <c r="BJ379" s="23">
        <v>5.7447105462779965E-2</v>
      </c>
      <c r="BK379" s="23">
        <v>8.5153852345557474E-2</v>
      </c>
      <c r="BL379" s="23">
        <v>7.4158058913035174E-2</v>
      </c>
      <c r="BM379" s="23">
        <v>7.5718189192107169E-2</v>
      </c>
      <c r="BN379" s="23">
        <v>7.3955559365675619E-2</v>
      </c>
    </row>
    <row r="380" spans="1:66" x14ac:dyDescent="0.25">
      <c r="A380" s="16">
        <v>5113</v>
      </c>
      <c r="B380" s="16" t="s">
        <v>576</v>
      </c>
      <c r="C380" s="17">
        <v>0</v>
      </c>
      <c r="D380" s="17">
        <f t="shared" si="194"/>
        <v>0</v>
      </c>
      <c r="E380" s="17">
        <f t="shared" si="195"/>
        <v>0</v>
      </c>
      <c r="F380" s="17">
        <f t="shared" si="196"/>
        <v>0</v>
      </c>
      <c r="G380" s="17">
        <f t="shared" si="197"/>
        <v>0</v>
      </c>
      <c r="H380" s="17">
        <f t="shared" si="198"/>
        <v>0</v>
      </c>
      <c r="I380" s="17">
        <f t="shared" si="199"/>
        <v>0</v>
      </c>
      <c r="J380" s="17">
        <f t="shared" si="200"/>
        <v>0</v>
      </c>
      <c r="K380" s="17">
        <f t="shared" si="201"/>
        <v>0</v>
      </c>
      <c r="L380" s="17">
        <f t="shared" si="202"/>
        <v>0</v>
      </c>
      <c r="M380" s="17">
        <f t="shared" si="203"/>
        <v>0</v>
      </c>
      <c r="N380" s="17">
        <f t="shared" si="204"/>
        <v>0</v>
      </c>
      <c r="O380" s="17">
        <f t="shared" si="205"/>
        <v>0</v>
      </c>
      <c r="P380" s="17">
        <v>0</v>
      </c>
      <c r="Q380" s="17">
        <f t="shared" si="206"/>
        <v>0</v>
      </c>
      <c r="R380" s="17">
        <f t="shared" si="207"/>
        <v>0</v>
      </c>
      <c r="S380" s="17">
        <f t="shared" si="208"/>
        <v>0</v>
      </c>
      <c r="T380" s="17">
        <f t="shared" si="209"/>
        <v>0</v>
      </c>
      <c r="U380" s="17">
        <f t="shared" si="210"/>
        <v>0</v>
      </c>
      <c r="V380" s="17">
        <f t="shared" si="211"/>
        <v>0</v>
      </c>
      <c r="W380" s="17">
        <f t="shared" si="212"/>
        <v>0</v>
      </c>
      <c r="X380" s="17">
        <f t="shared" si="213"/>
        <v>0</v>
      </c>
      <c r="Y380" s="17">
        <f t="shared" si="214"/>
        <v>0</v>
      </c>
      <c r="Z380" s="17">
        <f t="shared" si="215"/>
        <v>0</v>
      </c>
      <c r="AA380" s="17">
        <f t="shared" si="216"/>
        <v>0</v>
      </c>
      <c r="AB380" s="17">
        <f t="shared" si="217"/>
        <v>0</v>
      </c>
      <c r="AC380" s="17">
        <v>0</v>
      </c>
      <c r="AD380" s="17">
        <f t="shared" si="218"/>
        <v>0</v>
      </c>
      <c r="AE380" s="17">
        <f t="shared" si="219"/>
        <v>0</v>
      </c>
      <c r="AF380" s="17">
        <f t="shared" si="220"/>
        <v>0</v>
      </c>
      <c r="AG380" s="17">
        <f t="shared" si="221"/>
        <v>0</v>
      </c>
      <c r="AH380" s="17">
        <f t="shared" si="222"/>
        <v>0</v>
      </c>
      <c r="AI380" s="17">
        <f t="shared" si="223"/>
        <v>0</v>
      </c>
      <c r="AJ380" s="17">
        <f t="shared" si="224"/>
        <v>0</v>
      </c>
      <c r="AK380" s="17">
        <f t="shared" si="225"/>
        <v>0</v>
      </c>
      <c r="AL380" s="17">
        <f t="shared" si="226"/>
        <v>0</v>
      </c>
      <c r="AM380" s="17">
        <f t="shared" si="227"/>
        <v>0</v>
      </c>
      <c r="AN380" s="17">
        <f t="shared" si="228"/>
        <v>0</v>
      </c>
      <c r="AO380" s="17">
        <f t="shared" si="229"/>
        <v>0</v>
      </c>
      <c r="AP380" s="17">
        <f t="shared" si="230"/>
        <v>0</v>
      </c>
      <c r="AQ380" s="18">
        <v>115.93603573336492</v>
      </c>
      <c r="AR380" s="18">
        <v>138.64861248478758</v>
      </c>
      <c r="AS380" s="18">
        <v>122.70503810311193</v>
      </c>
      <c r="AT380" s="18">
        <v>92.944344829115636</v>
      </c>
      <c r="AU380" s="18">
        <v>134.79143353697791</v>
      </c>
      <c r="AV380" s="18">
        <v>110.46143023830803</v>
      </c>
      <c r="AW380" s="18">
        <v>109.97204254044152</v>
      </c>
      <c r="AX380" s="18">
        <v>74.681237101613959</v>
      </c>
      <c r="AY380" s="18">
        <v>110.70000804922472</v>
      </c>
      <c r="AZ380" s="18">
        <v>96.405476586945724</v>
      </c>
      <c r="BA380" s="18">
        <v>98.433645949739315</v>
      </c>
      <c r="BB380" s="18">
        <v>96.142227175378309</v>
      </c>
      <c r="BC380" s="23">
        <v>8.9181565948742242E-2</v>
      </c>
      <c r="BD380" s="23">
        <v>0.10665277883445198</v>
      </c>
      <c r="BE380" s="23">
        <v>9.438849084854764E-2</v>
      </c>
      <c r="BF380" s="23">
        <v>7.149564986855049E-2</v>
      </c>
      <c r="BG380" s="23">
        <v>0.10368571810536763</v>
      </c>
      <c r="BH380" s="23">
        <v>8.4970330952544637E-2</v>
      </c>
      <c r="BI380" s="23">
        <v>8.4593878877262704E-2</v>
      </c>
      <c r="BJ380" s="23">
        <v>5.7447105462779965E-2</v>
      </c>
      <c r="BK380" s="23">
        <v>8.5153852345557474E-2</v>
      </c>
      <c r="BL380" s="23">
        <v>7.4158058913035174E-2</v>
      </c>
      <c r="BM380" s="23">
        <v>7.5718189192107169E-2</v>
      </c>
      <c r="BN380" s="23">
        <v>7.3955559365675619E-2</v>
      </c>
    </row>
    <row r="381" spans="1:66" x14ac:dyDescent="0.25">
      <c r="A381" s="16">
        <v>17199</v>
      </c>
      <c r="B381" s="16" t="s">
        <v>577</v>
      </c>
      <c r="C381" s="17">
        <v>1300</v>
      </c>
      <c r="D381" s="17">
        <f t="shared" si="194"/>
        <v>115.93603573336492</v>
      </c>
      <c r="E381" s="17">
        <f t="shared" si="195"/>
        <v>138.64861248478758</v>
      </c>
      <c r="F381" s="17">
        <f t="shared" si="196"/>
        <v>122.70503810311193</v>
      </c>
      <c r="G381" s="17">
        <f t="shared" si="197"/>
        <v>92.944344829115636</v>
      </c>
      <c r="H381" s="17">
        <f t="shared" si="198"/>
        <v>134.79143353697791</v>
      </c>
      <c r="I381" s="17">
        <f t="shared" si="199"/>
        <v>110.46143023830803</v>
      </c>
      <c r="J381" s="17">
        <f t="shared" si="200"/>
        <v>109.97204254044152</v>
      </c>
      <c r="K381" s="17">
        <f t="shared" si="201"/>
        <v>74.681237101613959</v>
      </c>
      <c r="L381" s="17">
        <f t="shared" si="202"/>
        <v>110.70000804922472</v>
      </c>
      <c r="M381" s="17">
        <f t="shared" si="203"/>
        <v>96.405476586945724</v>
      </c>
      <c r="N381" s="17">
        <f t="shared" si="204"/>
        <v>98.433645949739315</v>
      </c>
      <c r="O381" s="17">
        <f t="shared" si="205"/>
        <v>96.142227175378309</v>
      </c>
      <c r="P381" s="17">
        <v>0</v>
      </c>
      <c r="Q381" s="17">
        <f t="shared" si="206"/>
        <v>0</v>
      </c>
      <c r="R381" s="17">
        <f t="shared" si="207"/>
        <v>0</v>
      </c>
      <c r="S381" s="17">
        <f t="shared" si="208"/>
        <v>0</v>
      </c>
      <c r="T381" s="17">
        <f t="shared" si="209"/>
        <v>0</v>
      </c>
      <c r="U381" s="17">
        <f t="shared" si="210"/>
        <v>0</v>
      </c>
      <c r="V381" s="17">
        <f t="shared" si="211"/>
        <v>0</v>
      </c>
      <c r="W381" s="17">
        <f t="shared" si="212"/>
        <v>0</v>
      </c>
      <c r="X381" s="17">
        <f t="shared" si="213"/>
        <v>0</v>
      </c>
      <c r="Y381" s="17">
        <f t="shared" si="214"/>
        <v>0</v>
      </c>
      <c r="Z381" s="17">
        <f t="shared" si="215"/>
        <v>0</v>
      </c>
      <c r="AA381" s="17">
        <f t="shared" si="216"/>
        <v>0</v>
      </c>
      <c r="AB381" s="17">
        <f t="shared" si="217"/>
        <v>0</v>
      </c>
      <c r="AC381" s="17">
        <v>0</v>
      </c>
      <c r="AD381" s="17">
        <f t="shared" si="218"/>
        <v>0</v>
      </c>
      <c r="AE381" s="17">
        <f t="shared" si="219"/>
        <v>0</v>
      </c>
      <c r="AF381" s="17">
        <f t="shared" si="220"/>
        <v>0</v>
      </c>
      <c r="AG381" s="17">
        <f t="shared" si="221"/>
        <v>0</v>
      </c>
      <c r="AH381" s="17">
        <f t="shared" si="222"/>
        <v>0</v>
      </c>
      <c r="AI381" s="17">
        <f t="shared" si="223"/>
        <v>0</v>
      </c>
      <c r="AJ381" s="17">
        <f t="shared" si="224"/>
        <v>0</v>
      </c>
      <c r="AK381" s="17">
        <f t="shared" si="225"/>
        <v>0</v>
      </c>
      <c r="AL381" s="17">
        <f t="shared" si="226"/>
        <v>0</v>
      </c>
      <c r="AM381" s="17">
        <f t="shared" si="227"/>
        <v>0</v>
      </c>
      <c r="AN381" s="17">
        <f t="shared" si="228"/>
        <v>0</v>
      </c>
      <c r="AO381" s="17">
        <f t="shared" si="229"/>
        <v>0</v>
      </c>
      <c r="AP381" s="17">
        <f t="shared" si="230"/>
        <v>1300</v>
      </c>
      <c r="AQ381" s="18">
        <v>115.93603573336492</v>
      </c>
      <c r="AR381" s="18">
        <v>138.64861248478758</v>
      </c>
      <c r="AS381" s="18">
        <v>122.70503810311193</v>
      </c>
      <c r="AT381" s="18">
        <v>92.944344829115636</v>
      </c>
      <c r="AU381" s="18">
        <v>134.79143353697791</v>
      </c>
      <c r="AV381" s="18">
        <v>110.46143023830803</v>
      </c>
      <c r="AW381" s="18">
        <v>109.97204254044152</v>
      </c>
      <c r="AX381" s="18">
        <v>74.681237101613959</v>
      </c>
      <c r="AY381" s="18">
        <v>110.70000804922472</v>
      </c>
      <c r="AZ381" s="18">
        <v>96.405476586945724</v>
      </c>
      <c r="BA381" s="18">
        <v>98.433645949739315</v>
      </c>
      <c r="BB381" s="18">
        <v>96.142227175378309</v>
      </c>
      <c r="BC381" s="23">
        <v>8.9181565948742242E-2</v>
      </c>
      <c r="BD381" s="23">
        <v>0.10665277883445198</v>
      </c>
      <c r="BE381" s="23">
        <v>9.438849084854764E-2</v>
      </c>
      <c r="BF381" s="23">
        <v>7.149564986855049E-2</v>
      </c>
      <c r="BG381" s="23">
        <v>0.10368571810536763</v>
      </c>
      <c r="BH381" s="23">
        <v>8.4970330952544637E-2</v>
      </c>
      <c r="BI381" s="23">
        <v>8.4593878877262704E-2</v>
      </c>
      <c r="BJ381" s="23">
        <v>5.7447105462779965E-2</v>
      </c>
      <c r="BK381" s="23">
        <v>8.5153852345557474E-2</v>
      </c>
      <c r="BL381" s="23">
        <v>7.4158058913035174E-2</v>
      </c>
      <c r="BM381" s="23">
        <v>7.5718189192107169E-2</v>
      </c>
      <c r="BN381" s="23">
        <v>7.3955559365675619E-2</v>
      </c>
    </row>
    <row r="382" spans="1:66" x14ac:dyDescent="0.25">
      <c r="A382" s="16">
        <v>1862</v>
      </c>
      <c r="B382" s="16" t="s">
        <v>578</v>
      </c>
      <c r="C382" s="17">
        <v>0</v>
      </c>
      <c r="D382" s="17">
        <f t="shared" si="194"/>
        <v>0</v>
      </c>
      <c r="E382" s="17">
        <f t="shared" si="195"/>
        <v>0</v>
      </c>
      <c r="F382" s="17">
        <f t="shared" si="196"/>
        <v>0</v>
      </c>
      <c r="G382" s="17">
        <f t="shared" si="197"/>
        <v>0</v>
      </c>
      <c r="H382" s="17">
        <f t="shared" si="198"/>
        <v>0</v>
      </c>
      <c r="I382" s="17">
        <f t="shared" si="199"/>
        <v>0</v>
      </c>
      <c r="J382" s="17">
        <f t="shared" si="200"/>
        <v>0</v>
      </c>
      <c r="K382" s="17">
        <f t="shared" si="201"/>
        <v>0</v>
      </c>
      <c r="L382" s="17">
        <f t="shared" si="202"/>
        <v>0</v>
      </c>
      <c r="M382" s="17">
        <f t="shared" si="203"/>
        <v>0</v>
      </c>
      <c r="N382" s="17">
        <f t="shared" si="204"/>
        <v>0</v>
      </c>
      <c r="O382" s="17">
        <f t="shared" si="205"/>
        <v>0</v>
      </c>
      <c r="P382" s="17">
        <v>2000</v>
      </c>
      <c r="Q382" s="17">
        <f t="shared" si="206"/>
        <v>178.36313189748449</v>
      </c>
      <c r="R382" s="17">
        <f t="shared" si="207"/>
        <v>213.30555766890396</v>
      </c>
      <c r="S382" s="17">
        <f t="shared" si="208"/>
        <v>188.77698169709529</v>
      </c>
      <c r="T382" s="17">
        <f t="shared" si="209"/>
        <v>142.99129973710097</v>
      </c>
      <c r="U382" s="17">
        <f t="shared" si="210"/>
        <v>207.37143621073525</v>
      </c>
      <c r="V382" s="17">
        <f t="shared" si="211"/>
        <v>169.94066190508929</v>
      </c>
      <c r="W382" s="17">
        <f t="shared" si="212"/>
        <v>169.18775775452542</v>
      </c>
      <c r="X382" s="17">
        <f t="shared" si="213"/>
        <v>114.89421092555993</v>
      </c>
      <c r="Y382" s="17">
        <f t="shared" si="214"/>
        <v>170.30770469111494</v>
      </c>
      <c r="Z382" s="17">
        <f t="shared" si="215"/>
        <v>148.31611782607035</v>
      </c>
      <c r="AA382" s="17">
        <f t="shared" si="216"/>
        <v>151.43637838421435</v>
      </c>
      <c r="AB382" s="17">
        <f t="shared" si="217"/>
        <v>147.91111873135125</v>
      </c>
      <c r="AC382" s="17">
        <v>0</v>
      </c>
      <c r="AD382" s="17">
        <f t="shared" si="218"/>
        <v>0</v>
      </c>
      <c r="AE382" s="17">
        <f t="shared" si="219"/>
        <v>0</v>
      </c>
      <c r="AF382" s="17">
        <f t="shared" si="220"/>
        <v>0</v>
      </c>
      <c r="AG382" s="17">
        <f t="shared" si="221"/>
        <v>0</v>
      </c>
      <c r="AH382" s="17">
        <f t="shared" si="222"/>
        <v>0</v>
      </c>
      <c r="AI382" s="17">
        <f t="shared" si="223"/>
        <v>0</v>
      </c>
      <c r="AJ382" s="17">
        <f t="shared" si="224"/>
        <v>0</v>
      </c>
      <c r="AK382" s="17">
        <f t="shared" si="225"/>
        <v>0</v>
      </c>
      <c r="AL382" s="17">
        <f t="shared" si="226"/>
        <v>0</v>
      </c>
      <c r="AM382" s="17">
        <f t="shared" si="227"/>
        <v>0</v>
      </c>
      <c r="AN382" s="17">
        <f t="shared" si="228"/>
        <v>0</v>
      </c>
      <c r="AO382" s="17">
        <f t="shared" si="229"/>
        <v>0</v>
      </c>
      <c r="AP382" s="17">
        <f t="shared" si="230"/>
        <v>2000</v>
      </c>
      <c r="AQ382" s="18">
        <v>115.93603573336492</v>
      </c>
      <c r="AR382" s="18">
        <v>138.64861248478758</v>
      </c>
      <c r="AS382" s="18">
        <v>122.70503810311193</v>
      </c>
      <c r="AT382" s="18">
        <v>92.944344829115636</v>
      </c>
      <c r="AU382" s="18">
        <v>134.79143353697791</v>
      </c>
      <c r="AV382" s="18">
        <v>110.46143023830803</v>
      </c>
      <c r="AW382" s="18">
        <v>109.97204254044152</v>
      </c>
      <c r="AX382" s="18">
        <v>74.681237101613959</v>
      </c>
      <c r="AY382" s="18">
        <v>110.70000804922472</v>
      </c>
      <c r="AZ382" s="18">
        <v>96.405476586945724</v>
      </c>
      <c r="BA382" s="18">
        <v>98.433645949739315</v>
      </c>
      <c r="BB382" s="18">
        <v>96.142227175378309</v>
      </c>
      <c r="BC382" s="23">
        <v>8.9181565948742242E-2</v>
      </c>
      <c r="BD382" s="23">
        <v>0.10665277883445198</v>
      </c>
      <c r="BE382" s="23">
        <v>9.438849084854764E-2</v>
      </c>
      <c r="BF382" s="23">
        <v>7.149564986855049E-2</v>
      </c>
      <c r="BG382" s="23">
        <v>0.10368571810536763</v>
      </c>
      <c r="BH382" s="23">
        <v>8.4970330952544637E-2</v>
      </c>
      <c r="BI382" s="23">
        <v>8.4593878877262704E-2</v>
      </c>
      <c r="BJ382" s="23">
        <v>5.7447105462779965E-2</v>
      </c>
      <c r="BK382" s="23">
        <v>8.5153852345557474E-2</v>
      </c>
      <c r="BL382" s="23">
        <v>7.4158058913035174E-2</v>
      </c>
      <c r="BM382" s="23">
        <v>7.5718189192107169E-2</v>
      </c>
      <c r="BN382" s="23">
        <v>7.3955559365675619E-2</v>
      </c>
    </row>
    <row r="383" spans="1:66" x14ac:dyDescent="0.25">
      <c r="A383" s="16">
        <v>4249</v>
      </c>
      <c r="B383" s="16" t="s">
        <v>579</v>
      </c>
      <c r="C383" s="17">
        <v>2000</v>
      </c>
      <c r="D383" s="17">
        <f t="shared" si="194"/>
        <v>178.36313189748449</v>
      </c>
      <c r="E383" s="17">
        <f t="shared" si="195"/>
        <v>213.30555766890396</v>
      </c>
      <c r="F383" s="17">
        <f t="shared" si="196"/>
        <v>188.77698169709529</v>
      </c>
      <c r="G383" s="17">
        <f t="shared" si="197"/>
        <v>142.99129973710097</v>
      </c>
      <c r="H383" s="17">
        <f t="shared" si="198"/>
        <v>207.37143621073525</v>
      </c>
      <c r="I383" s="17">
        <f t="shared" si="199"/>
        <v>169.94066190508929</v>
      </c>
      <c r="J383" s="17">
        <f t="shared" si="200"/>
        <v>169.18775775452542</v>
      </c>
      <c r="K383" s="17">
        <f t="shared" si="201"/>
        <v>114.89421092555993</v>
      </c>
      <c r="L383" s="17">
        <f t="shared" si="202"/>
        <v>170.30770469111494</v>
      </c>
      <c r="M383" s="17">
        <f t="shared" si="203"/>
        <v>148.31611782607035</v>
      </c>
      <c r="N383" s="17">
        <f t="shared" si="204"/>
        <v>151.43637838421435</v>
      </c>
      <c r="O383" s="17">
        <f t="shared" si="205"/>
        <v>147.91111873135125</v>
      </c>
      <c r="P383" s="17">
        <v>0</v>
      </c>
      <c r="Q383" s="17">
        <f t="shared" si="206"/>
        <v>0</v>
      </c>
      <c r="R383" s="17">
        <f t="shared" si="207"/>
        <v>0</v>
      </c>
      <c r="S383" s="17">
        <f t="shared" si="208"/>
        <v>0</v>
      </c>
      <c r="T383" s="17">
        <f t="shared" si="209"/>
        <v>0</v>
      </c>
      <c r="U383" s="17">
        <f t="shared" si="210"/>
        <v>0</v>
      </c>
      <c r="V383" s="17">
        <f t="shared" si="211"/>
        <v>0</v>
      </c>
      <c r="W383" s="17">
        <f t="shared" si="212"/>
        <v>0</v>
      </c>
      <c r="X383" s="17">
        <f t="shared" si="213"/>
        <v>0</v>
      </c>
      <c r="Y383" s="17">
        <f t="shared" si="214"/>
        <v>0</v>
      </c>
      <c r="Z383" s="17">
        <f t="shared" si="215"/>
        <v>0</v>
      </c>
      <c r="AA383" s="17">
        <f t="shared" si="216"/>
        <v>0</v>
      </c>
      <c r="AB383" s="17">
        <f t="shared" si="217"/>
        <v>0</v>
      </c>
      <c r="AC383" s="17">
        <v>0</v>
      </c>
      <c r="AD383" s="17">
        <f t="shared" si="218"/>
        <v>0</v>
      </c>
      <c r="AE383" s="17">
        <f t="shared" si="219"/>
        <v>0</v>
      </c>
      <c r="AF383" s="17">
        <f t="shared" si="220"/>
        <v>0</v>
      </c>
      <c r="AG383" s="17">
        <f t="shared" si="221"/>
        <v>0</v>
      </c>
      <c r="AH383" s="17">
        <f t="shared" si="222"/>
        <v>0</v>
      </c>
      <c r="AI383" s="17">
        <f t="shared" si="223"/>
        <v>0</v>
      </c>
      <c r="AJ383" s="17">
        <f t="shared" si="224"/>
        <v>0</v>
      </c>
      <c r="AK383" s="17">
        <f t="shared" si="225"/>
        <v>0</v>
      </c>
      <c r="AL383" s="17">
        <f t="shared" si="226"/>
        <v>0</v>
      </c>
      <c r="AM383" s="17">
        <f t="shared" si="227"/>
        <v>0</v>
      </c>
      <c r="AN383" s="17">
        <f t="shared" si="228"/>
        <v>0</v>
      </c>
      <c r="AO383" s="17">
        <f t="shared" si="229"/>
        <v>0</v>
      </c>
      <c r="AP383" s="17">
        <f t="shared" si="230"/>
        <v>2000</v>
      </c>
      <c r="AQ383" s="18">
        <v>114.43243453146911</v>
      </c>
      <c r="AR383" s="18">
        <v>136.85044663363871</v>
      </c>
      <c r="AS383" s="18">
        <v>121.11364814740541</v>
      </c>
      <c r="AT383" s="18">
        <v>91.738928172331867</v>
      </c>
      <c r="AU383" s="18">
        <v>133.0432923297214</v>
      </c>
      <c r="AV383" s="18">
        <v>109.02883045844811</v>
      </c>
      <c r="AW383" s="18">
        <v>108.54578974257086</v>
      </c>
      <c r="AX383" s="18">
        <v>73.712678903511474</v>
      </c>
      <c r="AY383" s="18">
        <v>109.26431409867861</v>
      </c>
      <c r="AZ383" s="18">
        <v>95.155171713671947</v>
      </c>
      <c r="BA383" s="18">
        <v>97.157037279960377</v>
      </c>
      <c r="BB383" s="18">
        <v>94.895336444473003</v>
      </c>
      <c r="BC383" s="23">
        <v>8.9181565948742242E-2</v>
      </c>
      <c r="BD383" s="23">
        <v>0.10665277883445198</v>
      </c>
      <c r="BE383" s="23">
        <v>9.438849084854764E-2</v>
      </c>
      <c r="BF383" s="23">
        <v>7.149564986855049E-2</v>
      </c>
      <c r="BG383" s="23">
        <v>0.10368571810536763</v>
      </c>
      <c r="BH383" s="23">
        <v>8.4970330952544637E-2</v>
      </c>
      <c r="BI383" s="23">
        <v>8.4593878877262704E-2</v>
      </c>
      <c r="BJ383" s="23">
        <v>5.7447105462779965E-2</v>
      </c>
      <c r="BK383" s="23">
        <v>8.5153852345557474E-2</v>
      </c>
      <c r="BL383" s="23">
        <v>7.4158058913035174E-2</v>
      </c>
      <c r="BM383" s="23">
        <v>7.5718189192107169E-2</v>
      </c>
      <c r="BN383" s="23">
        <v>7.3955559365675619E-2</v>
      </c>
    </row>
    <row r="384" spans="1:66" x14ac:dyDescent="0.25">
      <c r="A384" s="16">
        <v>2938</v>
      </c>
      <c r="B384" s="16" t="s">
        <v>580</v>
      </c>
      <c r="C384" s="17">
        <v>500</v>
      </c>
      <c r="D384" s="17">
        <f t="shared" si="194"/>
        <v>44.590782974371123</v>
      </c>
      <c r="E384" s="17">
        <f t="shared" si="195"/>
        <v>53.32638941722599</v>
      </c>
      <c r="F384" s="17">
        <f t="shared" si="196"/>
        <v>47.194245424273824</v>
      </c>
      <c r="G384" s="17">
        <f t="shared" si="197"/>
        <v>35.747824934275243</v>
      </c>
      <c r="H384" s="17">
        <f t="shared" si="198"/>
        <v>51.842859052683814</v>
      </c>
      <c r="I384" s="17">
        <f t="shared" si="199"/>
        <v>42.485165476272321</v>
      </c>
      <c r="J384" s="17">
        <f t="shared" si="200"/>
        <v>42.296939438631355</v>
      </c>
      <c r="K384" s="17">
        <f t="shared" si="201"/>
        <v>28.723552731389983</v>
      </c>
      <c r="L384" s="17">
        <f t="shared" si="202"/>
        <v>42.576926172778734</v>
      </c>
      <c r="M384" s="17">
        <f t="shared" si="203"/>
        <v>37.079029456517588</v>
      </c>
      <c r="N384" s="17">
        <f t="shared" si="204"/>
        <v>37.859094596053588</v>
      </c>
      <c r="O384" s="17">
        <f t="shared" si="205"/>
        <v>36.977779682837813</v>
      </c>
      <c r="P384" s="17">
        <v>0</v>
      </c>
      <c r="Q384" s="17">
        <f t="shared" si="206"/>
        <v>0</v>
      </c>
      <c r="R384" s="17">
        <f t="shared" si="207"/>
        <v>0</v>
      </c>
      <c r="S384" s="17">
        <f t="shared" si="208"/>
        <v>0</v>
      </c>
      <c r="T384" s="17">
        <f t="shared" si="209"/>
        <v>0</v>
      </c>
      <c r="U384" s="17">
        <f t="shared" si="210"/>
        <v>0</v>
      </c>
      <c r="V384" s="17">
        <f t="shared" si="211"/>
        <v>0</v>
      </c>
      <c r="W384" s="17">
        <f t="shared" si="212"/>
        <v>0</v>
      </c>
      <c r="X384" s="17">
        <f t="shared" si="213"/>
        <v>0</v>
      </c>
      <c r="Y384" s="17">
        <f t="shared" si="214"/>
        <v>0</v>
      </c>
      <c r="Z384" s="17">
        <f t="shared" si="215"/>
        <v>0</v>
      </c>
      <c r="AA384" s="17">
        <f t="shared" si="216"/>
        <v>0</v>
      </c>
      <c r="AB384" s="17">
        <f t="shared" si="217"/>
        <v>0</v>
      </c>
      <c r="AC384" s="17">
        <v>0</v>
      </c>
      <c r="AD384" s="17">
        <f t="shared" si="218"/>
        <v>0</v>
      </c>
      <c r="AE384" s="17">
        <f t="shared" si="219"/>
        <v>0</v>
      </c>
      <c r="AF384" s="17">
        <f t="shared" si="220"/>
        <v>0</v>
      </c>
      <c r="AG384" s="17">
        <f t="shared" si="221"/>
        <v>0</v>
      </c>
      <c r="AH384" s="17">
        <f t="shared" si="222"/>
        <v>0</v>
      </c>
      <c r="AI384" s="17">
        <f t="shared" si="223"/>
        <v>0</v>
      </c>
      <c r="AJ384" s="17">
        <f t="shared" si="224"/>
        <v>0</v>
      </c>
      <c r="AK384" s="17">
        <f t="shared" si="225"/>
        <v>0</v>
      </c>
      <c r="AL384" s="17">
        <f t="shared" si="226"/>
        <v>0</v>
      </c>
      <c r="AM384" s="17">
        <f t="shared" si="227"/>
        <v>0</v>
      </c>
      <c r="AN384" s="17">
        <f t="shared" si="228"/>
        <v>0</v>
      </c>
      <c r="AO384" s="17">
        <f t="shared" si="229"/>
        <v>0</v>
      </c>
      <c r="AP384" s="17">
        <f t="shared" si="230"/>
        <v>500</v>
      </c>
      <c r="AQ384" s="18">
        <v>113.00160548738749</v>
      </c>
      <c r="AR384" s="18">
        <v>135.13930945001877</v>
      </c>
      <c r="AS384" s="18">
        <v>119.59927920023132</v>
      </c>
      <c r="AT384" s="18">
        <v>90.591851965840846</v>
      </c>
      <c r="AU384" s="18">
        <v>131.37975866843891</v>
      </c>
      <c r="AV384" s="18">
        <v>107.66556646864549</v>
      </c>
      <c r="AW384" s="18">
        <v>107.18856554986407</v>
      </c>
      <c r="AX384" s="18">
        <v>72.790997543466645</v>
      </c>
      <c r="AY384" s="18">
        <v>107.89810569164649</v>
      </c>
      <c r="AZ384" s="18">
        <v>93.965379816471213</v>
      </c>
      <c r="BA384" s="18">
        <v>95.942214652562228</v>
      </c>
      <c r="BB384" s="18">
        <v>93.70879345001012</v>
      </c>
      <c r="BC384" s="23">
        <v>8.9181565948742242E-2</v>
      </c>
      <c r="BD384" s="23">
        <v>0.10665277883445198</v>
      </c>
      <c r="BE384" s="23">
        <v>9.438849084854764E-2</v>
      </c>
      <c r="BF384" s="23">
        <v>7.149564986855049E-2</v>
      </c>
      <c r="BG384" s="23">
        <v>0.10368571810536763</v>
      </c>
      <c r="BH384" s="23">
        <v>8.4970330952544637E-2</v>
      </c>
      <c r="BI384" s="23">
        <v>8.4593878877262704E-2</v>
      </c>
      <c r="BJ384" s="23">
        <v>5.7447105462779965E-2</v>
      </c>
      <c r="BK384" s="23">
        <v>8.5153852345557474E-2</v>
      </c>
      <c r="BL384" s="23">
        <v>7.4158058913035174E-2</v>
      </c>
      <c r="BM384" s="23">
        <v>7.5718189192107169E-2</v>
      </c>
      <c r="BN384" s="23">
        <v>7.3955559365675619E-2</v>
      </c>
    </row>
    <row r="385" spans="1:66" x14ac:dyDescent="0.25">
      <c r="A385" s="16">
        <v>4111</v>
      </c>
      <c r="B385" s="16" t="s">
        <v>581</v>
      </c>
      <c r="C385" s="17">
        <v>0</v>
      </c>
      <c r="D385" s="17">
        <f t="shared" si="194"/>
        <v>0</v>
      </c>
      <c r="E385" s="17">
        <f t="shared" si="195"/>
        <v>0</v>
      </c>
      <c r="F385" s="17">
        <f t="shared" si="196"/>
        <v>0</v>
      </c>
      <c r="G385" s="17">
        <f t="shared" si="197"/>
        <v>0</v>
      </c>
      <c r="H385" s="17">
        <f t="shared" si="198"/>
        <v>0</v>
      </c>
      <c r="I385" s="17">
        <f t="shared" si="199"/>
        <v>0</v>
      </c>
      <c r="J385" s="17">
        <f t="shared" si="200"/>
        <v>0</v>
      </c>
      <c r="K385" s="17">
        <f t="shared" si="201"/>
        <v>0</v>
      </c>
      <c r="L385" s="17">
        <f t="shared" si="202"/>
        <v>0</v>
      </c>
      <c r="M385" s="17">
        <f t="shared" si="203"/>
        <v>0</v>
      </c>
      <c r="N385" s="17">
        <f t="shared" si="204"/>
        <v>0</v>
      </c>
      <c r="O385" s="17">
        <f t="shared" si="205"/>
        <v>0</v>
      </c>
      <c r="P385" s="17">
        <v>0</v>
      </c>
      <c r="Q385" s="17">
        <f t="shared" si="206"/>
        <v>0</v>
      </c>
      <c r="R385" s="17">
        <f t="shared" si="207"/>
        <v>0</v>
      </c>
      <c r="S385" s="17">
        <f t="shared" si="208"/>
        <v>0</v>
      </c>
      <c r="T385" s="17">
        <f t="shared" si="209"/>
        <v>0</v>
      </c>
      <c r="U385" s="17">
        <f t="shared" si="210"/>
        <v>0</v>
      </c>
      <c r="V385" s="17">
        <f t="shared" si="211"/>
        <v>0</v>
      </c>
      <c r="W385" s="17">
        <f t="shared" si="212"/>
        <v>0</v>
      </c>
      <c r="X385" s="17">
        <f t="shared" si="213"/>
        <v>0</v>
      </c>
      <c r="Y385" s="17">
        <f t="shared" si="214"/>
        <v>0</v>
      </c>
      <c r="Z385" s="17">
        <f t="shared" si="215"/>
        <v>0</v>
      </c>
      <c r="AA385" s="17">
        <f t="shared" si="216"/>
        <v>0</v>
      </c>
      <c r="AB385" s="17">
        <f t="shared" si="217"/>
        <v>0</v>
      </c>
      <c r="AC385" s="17">
        <v>0</v>
      </c>
      <c r="AD385" s="17">
        <f t="shared" si="218"/>
        <v>0</v>
      </c>
      <c r="AE385" s="17">
        <f t="shared" si="219"/>
        <v>0</v>
      </c>
      <c r="AF385" s="17">
        <f t="shared" si="220"/>
        <v>0</v>
      </c>
      <c r="AG385" s="17">
        <f t="shared" si="221"/>
        <v>0</v>
      </c>
      <c r="AH385" s="17">
        <f t="shared" si="222"/>
        <v>0</v>
      </c>
      <c r="AI385" s="17">
        <f t="shared" si="223"/>
        <v>0</v>
      </c>
      <c r="AJ385" s="17">
        <f t="shared" si="224"/>
        <v>0</v>
      </c>
      <c r="AK385" s="17">
        <f t="shared" si="225"/>
        <v>0</v>
      </c>
      <c r="AL385" s="17">
        <f t="shared" si="226"/>
        <v>0</v>
      </c>
      <c r="AM385" s="17">
        <f t="shared" si="227"/>
        <v>0</v>
      </c>
      <c r="AN385" s="17">
        <f t="shared" si="228"/>
        <v>0</v>
      </c>
      <c r="AO385" s="17">
        <f t="shared" si="229"/>
        <v>0</v>
      </c>
      <c r="AP385" s="17">
        <f t="shared" si="230"/>
        <v>0</v>
      </c>
      <c r="AQ385" s="18">
        <v>111.22573296465019</v>
      </c>
      <c r="AR385" s="18">
        <v>133.01553266508833</v>
      </c>
      <c r="AS385" s="18">
        <v>117.71972118196419</v>
      </c>
      <c r="AT385" s="18">
        <v>89.168159090008402</v>
      </c>
      <c r="AU385" s="18">
        <v>129.31506496380672</v>
      </c>
      <c r="AV385" s="18">
        <v>105.97355226838748</v>
      </c>
      <c r="AW385" s="18">
        <v>105.50404763978113</v>
      </c>
      <c r="AX385" s="18">
        <v>71.647053332386307</v>
      </c>
      <c r="AY385" s="18">
        <v>106.20243702988941</v>
      </c>
      <c r="AZ385" s="18">
        <v>92.488670389335951</v>
      </c>
      <c r="BA385" s="18">
        <v>94.434438351179793</v>
      </c>
      <c r="BB385" s="18">
        <v>92.23611639636141</v>
      </c>
      <c r="BC385" s="23">
        <v>8.9181565948742242E-2</v>
      </c>
      <c r="BD385" s="23">
        <v>0.10665277883445198</v>
      </c>
      <c r="BE385" s="23">
        <v>9.438849084854764E-2</v>
      </c>
      <c r="BF385" s="23">
        <v>7.149564986855049E-2</v>
      </c>
      <c r="BG385" s="23">
        <v>0.10368571810536763</v>
      </c>
      <c r="BH385" s="23">
        <v>8.4970330952544637E-2</v>
      </c>
      <c r="BI385" s="23">
        <v>8.4593878877262704E-2</v>
      </c>
      <c r="BJ385" s="23">
        <v>5.7447105462779965E-2</v>
      </c>
      <c r="BK385" s="23">
        <v>8.5153852345557474E-2</v>
      </c>
      <c r="BL385" s="23">
        <v>7.4158058913035174E-2</v>
      </c>
      <c r="BM385" s="23">
        <v>7.5718189192107169E-2</v>
      </c>
      <c r="BN385" s="23">
        <v>7.3955559365675619E-2</v>
      </c>
    </row>
    <row r="386" spans="1:66" x14ac:dyDescent="0.25">
      <c r="A386" s="16">
        <v>5420</v>
      </c>
      <c r="B386" s="16" t="s">
        <v>582</v>
      </c>
      <c r="C386" s="17">
        <v>0</v>
      </c>
      <c r="D386" s="17">
        <f t="shared" si="194"/>
        <v>0</v>
      </c>
      <c r="E386" s="17">
        <f t="shared" si="195"/>
        <v>0</v>
      </c>
      <c r="F386" s="17">
        <f t="shared" si="196"/>
        <v>0</v>
      </c>
      <c r="G386" s="17">
        <f t="shared" si="197"/>
        <v>0</v>
      </c>
      <c r="H386" s="17">
        <f t="shared" si="198"/>
        <v>0</v>
      </c>
      <c r="I386" s="17">
        <f t="shared" si="199"/>
        <v>0</v>
      </c>
      <c r="J386" s="17">
        <f t="shared" si="200"/>
        <v>0</v>
      </c>
      <c r="K386" s="17">
        <f t="shared" si="201"/>
        <v>0</v>
      </c>
      <c r="L386" s="17">
        <f t="shared" si="202"/>
        <v>0</v>
      </c>
      <c r="M386" s="17">
        <f t="shared" si="203"/>
        <v>0</v>
      </c>
      <c r="N386" s="17">
        <f t="shared" si="204"/>
        <v>0</v>
      </c>
      <c r="O386" s="17">
        <f t="shared" si="205"/>
        <v>0</v>
      </c>
      <c r="P386" s="17">
        <v>0</v>
      </c>
      <c r="Q386" s="17">
        <f t="shared" si="206"/>
        <v>0</v>
      </c>
      <c r="R386" s="17">
        <f t="shared" si="207"/>
        <v>0</v>
      </c>
      <c r="S386" s="17">
        <f t="shared" si="208"/>
        <v>0</v>
      </c>
      <c r="T386" s="17">
        <f t="shared" si="209"/>
        <v>0</v>
      </c>
      <c r="U386" s="17">
        <f t="shared" si="210"/>
        <v>0</v>
      </c>
      <c r="V386" s="17">
        <f t="shared" si="211"/>
        <v>0</v>
      </c>
      <c r="W386" s="17">
        <f t="shared" si="212"/>
        <v>0</v>
      </c>
      <c r="X386" s="17">
        <f t="shared" si="213"/>
        <v>0</v>
      </c>
      <c r="Y386" s="17">
        <f t="shared" si="214"/>
        <v>0</v>
      </c>
      <c r="Z386" s="17">
        <f t="shared" si="215"/>
        <v>0</v>
      </c>
      <c r="AA386" s="17">
        <f t="shared" si="216"/>
        <v>0</v>
      </c>
      <c r="AB386" s="17">
        <f t="shared" si="217"/>
        <v>0</v>
      </c>
      <c r="AC386" s="17">
        <v>0</v>
      </c>
      <c r="AD386" s="17">
        <f t="shared" si="218"/>
        <v>0</v>
      </c>
      <c r="AE386" s="17">
        <f t="shared" si="219"/>
        <v>0</v>
      </c>
      <c r="AF386" s="17">
        <f t="shared" si="220"/>
        <v>0</v>
      </c>
      <c r="AG386" s="17">
        <f t="shared" si="221"/>
        <v>0</v>
      </c>
      <c r="AH386" s="17">
        <f t="shared" si="222"/>
        <v>0</v>
      </c>
      <c r="AI386" s="17">
        <f t="shared" si="223"/>
        <v>0</v>
      </c>
      <c r="AJ386" s="17">
        <f t="shared" si="224"/>
        <v>0</v>
      </c>
      <c r="AK386" s="17">
        <f t="shared" si="225"/>
        <v>0</v>
      </c>
      <c r="AL386" s="17">
        <f t="shared" si="226"/>
        <v>0</v>
      </c>
      <c r="AM386" s="17">
        <f t="shared" si="227"/>
        <v>0</v>
      </c>
      <c r="AN386" s="17">
        <f t="shared" si="228"/>
        <v>0</v>
      </c>
      <c r="AO386" s="17">
        <f t="shared" si="229"/>
        <v>0</v>
      </c>
      <c r="AP386" s="17">
        <f t="shared" si="230"/>
        <v>0</v>
      </c>
      <c r="AQ386" s="18">
        <v>109.96755943224534</v>
      </c>
      <c r="AR386" s="18">
        <v>131.51087526129189</v>
      </c>
      <c r="AS386" s="18">
        <v>116.38808835307289</v>
      </c>
      <c r="AT386" s="18">
        <v>88.159498461662892</v>
      </c>
      <c r="AU386" s="18">
        <v>127.8522668527762</v>
      </c>
      <c r="AV386" s="18">
        <v>104.77479083930898</v>
      </c>
      <c r="AW386" s="18">
        <v>104.31059719658072</v>
      </c>
      <c r="AX386" s="18">
        <v>70.836589568517411</v>
      </c>
      <c r="AY386" s="18">
        <v>105.00108648099828</v>
      </c>
      <c r="AZ386" s="18">
        <v>91.442448494190856</v>
      </c>
      <c r="BA386" s="18">
        <v>93.366206138057549</v>
      </c>
      <c r="BB386" s="18">
        <v>91.192751364830471</v>
      </c>
      <c r="BC386" s="23">
        <v>8.9181565948742242E-2</v>
      </c>
      <c r="BD386" s="23">
        <v>0.10665277883445198</v>
      </c>
      <c r="BE386" s="23">
        <v>9.438849084854764E-2</v>
      </c>
      <c r="BF386" s="23">
        <v>7.149564986855049E-2</v>
      </c>
      <c r="BG386" s="23">
        <v>0.10368571810536763</v>
      </c>
      <c r="BH386" s="23">
        <v>8.4970330952544637E-2</v>
      </c>
      <c r="BI386" s="23">
        <v>8.4593878877262704E-2</v>
      </c>
      <c r="BJ386" s="23">
        <v>5.7447105462779965E-2</v>
      </c>
      <c r="BK386" s="23">
        <v>8.5153852345557474E-2</v>
      </c>
      <c r="BL386" s="23">
        <v>7.4158058913035174E-2</v>
      </c>
      <c r="BM386" s="23">
        <v>7.5718189192107169E-2</v>
      </c>
      <c r="BN386" s="23">
        <v>7.3955559365675619E-2</v>
      </c>
    </row>
    <row r="387" spans="1:66" x14ac:dyDescent="0.25">
      <c r="A387" s="16">
        <v>6642</v>
      </c>
      <c r="B387" s="16" t="s">
        <v>583</v>
      </c>
      <c r="C387" s="17">
        <v>0</v>
      </c>
      <c r="D387" s="17">
        <f t="shared" si="194"/>
        <v>0</v>
      </c>
      <c r="E387" s="17">
        <f t="shared" si="195"/>
        <v>0</v>
      </c>
      <c r="F387" s="17">
        <f t="shared" si="196"/>
        <v>0</v>
      </c>
      <c r="G387" s="17">
        <f t="shared" si="197"/>
        <v>0</v>
      </c>
      <c r="H387" s="17">
        <f t="shared" si="198"/>
        <v>0</v>
      </c>
      <c r="I387" s="17">
        <f t="shared" si="199"/>
        <v>0</v>
      </c>
      <c r="J387" s="17">
        <f t="shared" si="200"/>
        <v>0</v>
      </c>
      <c r="K387" s="17">
        <f t="shared" si="201"/>
        <v>0</v>
      </c>
      <c r="L387" s="17">
        <f t="shared" si="202"/>
        <v>0</v>
      </c>
      <c r="M387" s="17">
        <f t="shared" si="203"/>
        <v>0</v>
      </c>
      <c r="N387" s="17">
        <f t="shared" si="204"/>
        <v>0</v>
      </c>
      <c r="O387" s="17">
        <f t="shared" si="205"/>
        <v>0</v>
      </c>
      <c r="P387" s="17">
        <v>0</v>
      </c>
      <c r="Q387" s="17">
        <f t="shared" si="206"/>
        <v>0</v>
      </c>
      <c r="R387" s="17">
        <f t="shared" si="207"/>
        <v>0</v>
      </c>
      <c r="S387" s="17">
        <f t="shared" si="208"/>
        <v>0</v>
      </c>
      <c r="T387" s="17">
        <f t="shared" si="209"/>
        <v>0</v>
      </c>
      <c r="U387" s="17">
        <f t="shared" si="210"/>
        <v>0</v>
      </c>
      <c r="V387" s="17">
        <f t="shared" si="211"/>
        <v>0</v>
      </c>
      <c r="W387" s="17">
        <f t="shared" si="212"/>
        <v>0</v>
      </c>
      <c r="X387" s="17">
        <f t="shared" si="213"/>
        <v>0</v>
      </c>
      <c r="Y387" s="17">
        <f t="shared" si="214"/>
        <v>0</v>
      </c>
      <c r="Z387" s="17">
        <f t="shared" si="215"/>
        <v>0</v>
      </c>
      <c r="AA387" s="17">
        <f t="shared" si="216"/>
        <v>0</v>
      </c>
      <c r="AB387" s="17">
        <f t="shared" si="217"/>
        <v>0</v>
      </c>
      <c r="AC387" s="17">
        <v>1800</v>
      </c>
      <c r="AD387" s="17">
        <f t="shared" si="218"/>
        <v>160.52681870773603</v>
      </c>
      <c r="AE387" s="17">
        <f t="shared" si="219"/>
        <v>191.97500190201356</v>
      </c>
      <c r="AF387" s="17">
        <f t="shared" si="220"/>
        <v>169.89928352738576</v>
      </c>
      <c r="AG387" s="17">
        <f t="shared" si="221"/>
        <v>128.69216976339089</v>
      </c>
      <c r="AH387" s="17">
        <f t="shared" si="222"/>
        <v>186.63429258966173</v>
      </c>
      <c r="AI387" s="17">
        <f t="shared" si="223"/>
        <v>152.94659571458035</v>
      </c>
      <c r="AJ387" s="17">
        <f t="shared" si="224"/>
        <v>152.26898197907286</v>
      </c>
      <c r="AK387" s="17">
        <f t="shared" si="225"/>
        <v>103.40478983300393</v>
      </c>
      <c r="AL387" s="17">
        <f t="shared" si="226"/>
        <v>153.27693422200346</v>
      </c>
      <c r="AM387" s="17">
        <f t="shared" si="227"/>
        <v>133.48450604346331</v>
      </c>
      <c r="AN387" s="17">
        <f t="shared" si="228"/>
        <v>136.2927405457929</v>
      </c>
      <c r="AO387" s="17">
        <f t="shared" si="229"/>
        <v>133.1200068582161</v>
      </c>
      <c r="AP387" s="17">
        <f t="shared" si="230"/>
        <v>1800</v>
      </c>
      <c r="AQ387" s="18">
        <v>160.84421590094763</v>
      </c>
      <c r="AR387" s="18">
        <v>192.35457914188541</v>
      </c>
      <c r="AS387" s="18">
        <v>170.23521216631576</v>
      </c>
      <c r="AT387" s="18">
        <v>128.94662278127308</v>
      </c>
      <c r="AU387" s="18">
        <v>187.00331006039875</v>
      </c>
      <c r="AV387" s="18">
        <v>153.24900512244048</v>
      </c>
      <c r="AW387" s="18">
        <v>152.57005159399705</v>
      </c>
      <c r="AX387" s="18">
        <v>103.60924408134598</v>
      </c>
      <c r="AY387" s="18">
        <v>153.5799967825013</v>
      </c>
      <c r="AZ387" s="18">
        <v>133.74843457513481</v>
      </c>
      <c r="BA387" s="18">
        <v>136.56222158112763</v>
      </c>
      <c r="BB387" s="18">
        <v>133.38321469399858</v>
      </c>
      <c r="BC387" s="23">
        <v>8.9181565948742242E-2</v>
      </c>
      <c r="BD387" s="23">
        <v>0.10665277883445198</v>
      </c>
      <c r="BE387" s="23">
        <v>9.438849084854764E-2</v>
      </c>
      <c r="BF387" s="23">
        <v>7.149564986855049E-2</v>
      </c>
      <c r="BG387" s="23">
        <v>0.10368571810536763</v>
      </c>
      <c r="BH387" s="23">
        <v>8.4970330952544637E-2</v>
      </c>
      <c r="BI387" s="23">
        <v>8.4593878877262704E-2</v>
      </c>
      <c r="BJ387" s="23">
        <v>5.7447105462779965E-2</v>
      </c>
      <c r="BK387" s="23">
        <v>8.5153852345557474E-2</v>
      </c>
      <c r="BL387" s="23">
        <v>7.4158058913035174E-2</v>
      </c>
      <c r="BM387" s="23">
        <v>7.5718189192107169E-2</v>
      </c>
      <c r="BN387" s="23">
        <v>7.3955559365675619E-2</v>
      </c>
    </row>
    <row r="388" spans="1:66" x14ac:dyDescent="0.25">
      <c r="A388" s="16">
        <v>6682</v>
      </c>
      <c r="B388" s="16" t="s">
        <v>584</v>
      </c>
      <c r="C388" s="17">
        <v>3000</v>
      </c>
      <c r="D388" s="17">
        <f t="shared" ref="D388:D451" si="231">+$C388*BC388</f>
        <v>267.54469784622671</v>
      </c>
      <c r="E388" s="17">
        <f t="shared" ref="E388:E451" si="232">+$C388*BD388</f>
        <v>319.95833650335595</v>
      </c>
      <c r="F388" s="17">
        <f t="shared" ref="F388:F451" si="233">+$C388*BE388</f>
        <v>283.1654725456429</v>
      </c>
      <c r="G388" s="17">
        <f t="shared" ref="G388:G451" si="234">+$C388*BF388</f>
        <v>214.48694960565146</v>
      </c>
      <c r="H388" s="17">
        <f t="shared" ref="H388:H451" si="235">+$C388*BG388</f>
        <v>311.05715431610287</v>
      </c>
      <c r="I388" s="17">
        <f t="shared" ref="I388:I451" si="236">+$C388*BH388</f>
        <v>254.91099285763391</v>
      </c>
      <c r="J388" s="17">
        <f t="shared" ref="J388:J451" si="237">+$C388*BI388</f>
        <v>253.7816366317881</v>
      </c>
      <c r="K388" s="17">
        <f t="shared" ref="K388:K451" si="238">+$C388*BJ388</f>
        <v>172.34131638833989</v>
      </c>
      <c r="L388" s="17">
        <f t="shared" ref="L388:L451" si="239">+$C388*BK388</f>
        <v>255.46155703667242</v>
      </c>
      <c r="M388" s="17">
        <f t="shared" ref="M388:M451" si="240">+$C388*BL388</f>
        <v>222.47417673910553</v>
      </c>
      <c r="N388" s="17">
        <f t="shared" ref="N388:N451" si="241">+$C388*BM388</f>
        <v>227.15456757632151</v>
      </c>
      <c r="O388" s="17">
        <f t="shared" ref="O388:O451" si="242">+$C388*BN388</f>
        <v>221.86667809702686</v>
      </c>
      <c r="P388" s="17">
        <v>0</v>
      </c>
      <c r="Q388" s="17">
        <f t="shared" ref="Q388:Q451" si="243">+$P388*BC388</f>
        <v>0</v>
      </c>
      <c r="R388" s="17">
        <f t="shared" ref="R388:R451" si="244">+$P388*BD388</f>
        <v>0</v>
      </c>
      <c r="S388" s="17">
        <f t="shared" ref="S388:S451" si="245">+$P388*BE388</f>
        <v>0</v>
      </c>
      <c r="T388" s="17">
        <f t="shared" ref="T388:T451" si="246">+$P388*BF388</f>
        <v>0</v>
      </c>
      <c r="U388" s="17">
        <f t="shared" ref="U388:U451" si="247">+$P388*BG388</f>
        <v>0</v>
      </c>
      <c r="V388" s="17">
        <f t="shared" ref="V388:V451" si="248">+$P388*BH388</f>
        <v>0</v>
      </c>
      <c r="W388" s="17">
        <f t="shared" ref="W388:W451" si="249">+$P388*BI388</f>
        <v>0</v>
      </c>
      <c r="X388" s="17">
        <f t="shared" ref="X388:X451" si="250">+$P388*BJ388</f>
        <v>0</v>
      </c>
      <c r="Y388" s="17">
        <f t="shared" ref="Y388:Y451" si="251">+$P388*BK388</f>
        <v>0</v>
      </c>
      <c r="Z388" s="17">
        <f t="shared" ref="Z388:Z451" si="252">+$P388*BL388</f>
        <v>0</v>
      </c>
      <c r="AA388" s="17">
        <f t="shared" ref="AA388:AA451" si="253">+$P388*BM388</f>
        <v>0</v>
      </c>
      <c r="AB388" s="17">
        <f t="shared" ref="AB388:AB451" si="254">+$P388*BN388</f>
        <v>0</v>
      </c>
      <c r="AC388" s="17">
        <v>0</v>
      </c>
      <c r="AD388" s="17">
        <f t="shared" ref="AD388:AD451" si="255">+$AC388*BC388</f>
        <v>0</v>
      </c>
      <c r="AE388" s="17">
        <f t="shared" ref="AE388:AE451" si="256">+$AC388*BD388</f>
        <v>0</v>
      </c>
      <c r="AF388" s="17">
        <f t="shared" ref="AF388:AF451" si="257">+$AC388*BE388</f>
        <v>0</v>
      </c>
      <c r="AG388" s="17">
        <f t="shared" ref="AG388:AG451" si="258">+$AC388*BF388</f>
        <v>0</v>
      </c>
      <c r="AH388" s="17">
        <f t="shared" ref="AH388:AH451" si="259">+$AC388*BG388</f>
        <v>0</v>
      </c>
      <c r="AI388" s="17">
        <f t="shared" ref="AI388:AI451" si="260">+$AC388*BH388</f>
        <v>0</v>
      </c>
      <c r="AJ388" s="17">
        <f t="shared" ref="AJ388:AJ451" si="261">+$AC388*BI388</f>
        <v>0</v>
      </c>
      <c r="AK388" s="17">
        <f t="shared" ref="AK388:AK451" si="262">+$AC388*BJ388</f>
        <v>0</v>
      </c>
      <c r="AL388" s="17">
        <f t="shared" ref="AL388:AL451" si="263">+$AC388*BK388</f>
        <v>0</v>
      </c>
      <c r="AM388" s="17">
        <f t="shared" ref="AM388:AM451" si="264">+$AC388*BL388</f>
        <v>0</v>
      </c>
      <c r="AN388" s="17">
        <f t="shared" ref="AN388:AN451" si="265">+$AC388*BM388</f>
        <v>0</v>
      </c>
      <c r="AO388" s="17">
        <f t="shared" ref="AO388:AO451" si="266">+$AC388*BN388</f>
        <v>0</v>
      </c>
      <c r="AP388" s="17">
        <f t="shared" ref="AP388:AP451" si="267">+AC388+P388+C388</f>
        <v>3000</v>
      </c>
      <c r="AQ388" s="18">
        <v>107.01787913849068</v>
      </c>
      <c r="AR388" s="18">
        <v>127.98333460134238</v>
      </c>
      <c r="AS388" s="18">
        <v>113.26618901825717</v>
      </c>
      <c r="AT388" s="18">
        <v>85.794779842260581</v>
      </c>
      <c r="AU388" s="18">
        <v>124.42286172644116</v>
      </c>
      <c r="AV388" s="18">
        <v>101.96439714305356</v>
      </c>
      <c r="AW388" s="18">
        <v>101.51265465271524</v>
      </c>
      <c r="AX388" s="18">
        <v>68.936526555335959</v>
      </c>
      <c r="AY388" s="18">
        <v>102.18462281466897</v>
      </c>
      <c r="AZ388" s="18">
        <v>88.989670695642204</v>
      </c>
      <c r="BA388" s="18">
        <v>90.861827030528602</v>
      </c>
      <c r="BB388" s="18">
        <v>88.746671238810748</v>
      </c>
      <c r="BC388" s="23">
        <v>8.9181565948742242E-2</v>
      </c>
      <c r="BD388" s="23">
        <v>0.10665277883445198</v>
      </c>
      <c r="BE388" s="23">
        <v>9.438849084854764E-2</v>
      </c>
      <c r="BF388" s="23">
        <v>7.149564986855049E-2</v>
      </c>
      <c r="BG388" s="23">
        <v>0.10368571810536763</v>
      </c>
      <c r="BH388" s="23">
        <v>8.4970330952544637E-2</v>
      </c>
      <c r="BI388" s="23">
        <v>8.4593878877262704E-2</v>
      </c>
      <c r="BJ388" s="23">
        <v>5.7447105462779965E-2</v>
      </c>
      <c r="BK388" s="23">
        <v>8.5153852345557474E-2</v>
      </c>
      <c r="BL388" s="23">
        <v>7.4158058913035174E-2</v>
      </c>
      <c r="BM388" s="23">
        <v>7.5718189192107169E-2</v>
      </c>
      <c r="BN388" s="23">
        <v>7.3955559365675619E-2</v>
      </c>
    </row>
    <row r="389" spans="1:66" x14ac:dyDescent="0.25">
      <c r="A389" s="16">
        <v>4489</v>
      </c>
      <c r="B389" s="16" t="s">
        <v>585</v>
      </c>
      <c r="C389" s="17">
        <v>0</v>
      </c>
      <c r="D389" s="17">
        <f t="shared" si="231"/>
        <v>0</v>
      </c>
      <c r="E389" s="17">
        <f t="shared" si="232"/>
        <v>0</v>
      </c>
      <c r="F389" s="17">
        <f t="shared" si="233"/>
        <v>0</v>
      </c>
      <c r="G389" s="17">
        <f t="shared" si="234"/>
        <v>0</v>
      </c>
      <c r="H389" s="17">
        <f t="shared" si="235"/>
        <v>0</v>
      </c>
      <c r="I389" s="17">
        <f t="shared" si="236"/>
        <v>0</v>
      </c>
      <c r="J389" s="17">
        <f t="shared" si="237"/>
        <v>0</v>
      </c>
      <c r="K389" s="17">
        <f t="shared" si="238"/>
        <v>0</v>
      </c>
      <c r="L389" s="17">
        <f t="shared" si="239"/>
        <v>0</v>
      </c>
      <c r="M389" s="17">
        <f t="shared" si="240"/>
        <v>0</v>
      </c>
      <c r="N389" s="17">
        <f t="shared" si="241"/>
        <v>0</v>
      </c>
      <c r="O389" s="17">
        <f t="shared" si="242"/>
        <v>0</v>
      </c>
      <c r="P389" s="17">
        <v>0</v>
      </c>
      <c r="Q389" s="17">
        <f t="shared" si="243"/>
        <v>0</v>
      </c>
      <c r="R389" s="17">
        <f t="shared" si="244"/>
        <v>0</v>
      </c>
      <c r="S389" s="17">
        <f t="shared" si="245"/>
        <v>0</v>
      </c>
      <c r="T389" s="17">
        <f t="shared" si="246"/>
        <v>0</v>
      </c>
      <c r="U389" s="17">
        <f t="shared" si="247"/>
        <v>0</v>
      </c>
      <c r="V389" s="17">
        <f t="shared" si="248"/>
        <v>0</v>
      </c>
      <c r="W389" s="17">
        <f t="shared" si="249"/>
        <v>0</v>
      </c>
      <c r="X389" s="17">
        <f t="shared" si="250"/>
        <v>0</v>
      </c>
      <c r="Y389" s="17">
        <f t="shared" si="251"/>
        <v>0</v>
      </c>
      <c r="Z389" s="17">
        <f t="shared" si="252"/>
        <v>0</v>
      </c>
      <c r="AA389" s="17">
        <f t="shared" si="253"/>
        <v>0</v>
      </c>
      <c r="AB389" s="17">
        <f t="shared" si="254"/>
        <v>0</v>
      </c>
      <c r="AC389" s="17">
        <v>0</v>
      </c>
      <c r="AD389" s="17">
        <f t="shared" si="255"/>
        <v>0</v>
      </c>
      <c r="AE389" s="17">
        <f t="shared" si="256"/>
        <v>0</v>
      </c>
      <c r="AF389" s="17">
        <f t="shared" si="257"/>
        <v>0</v>
      </c>
      <c r="AG389" s="17">
        <f t="shared" si="258"/>
        <v>0</v>
      </c>
      <c r="AH389" s="17">
        <f t="shared" si="259"/>
        <v>0</v>
      </c>
      <c r="AI389" s="17">
        <f t="shared" si="260"/>
        <v>0</v>
      </c>
      <c r="AJ389" s="17">
        <f t="shared" si="261"/>
        <v>0</v>
      </c>
      <c r="AK389" s="17">
        <f t="shared" si="262"/>
        <v>0</v>
      </c>
      <c r="AL389" s="17">
        <f t="shared" si="263"/>
        <v>0</v>
      </c>
      <c r="AM389" s="17">
        <f t="shared" si="264"/>
        <v>0</v>
      </c>
      <c r="AN389" s="17">
        <f t="shared" si="265"/>
        <v>0</v>
      </c>
      <c r="AO389" s="17">
        <f t="shared" si="266"/>
        <v>0</v>
      </c>
      <c r="AP389" s="17">
        <f t="shared" si="267"/>
        <v>0</v>
      </c>
      <c r="AQ389" s="18">
        <v>105.67935301516601</v>
      </c>
      <c r="AR389" s="18">
        <v>126.38258304381608</v>
      </c>
      <c r="AS389" s="18">
        <v>111.84951215911131</v>
      </c>
      <c r="AT389" s="18">
        <v>84.721701633383518</v>
      </c>
      <c r="AU389" s="18">
        <v>122.86664278339769</v>
      </c>
      <c r="AV389" s="18">
        <v>100.68907744578682</v>
      </c>
      <c r="AW389" s="18">
        <v>100.24298512464641</v>
      </c>
      <c r="AX389" s="18">
        <v>68.074302949445098</v>
      </c>
      <c r="AY389" s="18">
        <v>100.90654864481449</v>
      </c>
      <c r="AZ389" s="18">
        <v>87.876632389416457</v>
      </c>
      <c r="BA389" s="18">
        <v>89.725372728944265</v>
      </c>
      <c r="BB389" s="18">
        <v>87.636672248291319</v>
      </c>
      <c r="BC389" s="23">
        <v>8.9181565948742242E-2</v>
      </c>
      <c r="BD389" s="23">
        <v>0.10665277883445198</v>
      </c>
      <c r="BE389" s="23">
        <v>9.438849084854764E-2</v>
      </c>
      <c r="BF389" s="23">
        <v>7.149564986855049E-2</v>
      </c>
      <c r="BG389" s="23">
        <v>0.10368571810536763</v>
      </c>
      <c r="BH389" s="23">
        <v>8.4970330952544637E-2</v>
      </c>
      <c r="BI389" s="23">
        <v>8.4593878877262704E-2</v>
      </c>
      <c r="BJ389" s="23">
        <v>5.7447105462779965E-2</v>
      </c>
      <c r="BK389" s="23">
        <v>8.5153852345557474E-2</v>
      </c>
      <c r="BL389" s="23">
        <v>7.4158058913035174E-2</v>
      </c>
      <c r="BM389" s="23">
        <v>7.5718189192107169E-2</v>
      </c>
      <c r="BN389" s="23">
        <v>7.3955559365675619E-2</v>
      </c>
    </row>
    <row r="390" spans="1:66" x14ac:dyDescent="0.25">
      <c r="A390" s="16">
        <v>4112</v>
      </c>
      <c r="B390" s="16" t="s">
        <v>586</v>
      </c>
      <c r="C390" s="17">
        <v>0</v>
      </c>
      <c r="D390" s="17">
        <f t="shared" si="231"/>
        <v>0</v>
      </c>
      <c r="E390" s="17">
        <f t="shared" si="232"/>
        <v>0</v>
      </c>
      <c r="F390" s="17">
        <f t="shared" si="233"/>
        <v>0</v>
      </c>
      <c r="G390" s="17">
        <f t="shared" si="234"/>
        <v>0</v>
      </c>
      <c r="H390" s="17">
        <f t="shared" si="235"/>
        <v>0</v>
      </c>
      <c r="I390" s="17">
        <f t="shared" si="236"/>
        <v>0</v>
      </c>
      <c r="J390" s="17">
        <f t="shared" si="237"/>
        <v>0</v>
      </c>
      <c r="K390" s="17">
        <f t="shared" si="238"/>
        <v>0</v>
      </c>
      <c r="L390" s="17">
        <f t="shared" si="239"/>
        <v>0</v>
      </c>
      <c r="M390" s="17">
        <f t="shared" si="240"/>
        <v>0</v>
      </c>
      <c r="N390" s="17">
        <f t="shared" si="241"/>
        <v>0</v>
      </c>
      <c r="O390" s="17">
        <f t="shared" si="242"/>
        <v>0</v>
      </c>
      <c r="P390" s="17">
        <v>0</v>
      </c>
      <c r="Q390" s="17">
        <f t="shared" si="243"/>
        <v>0</v>
      </c>
      <c r="R390" s="17">
        <f t="shared" si="244"/>
        <v>0</v>
      </c>
      <c r="S390" s="17">
        <f t="shared" si="245"/>
        <v>0</v>
      </c>
      <c r="T390" s="17">
        <f t="shared" si="246"/>
        <v>0</v>
      </c>
      <c r="U390" s="17">
        <f t="shared" si="247"/>
        <v>0</v>
      </c>
      <c r="V390" s="17">
        <f t="shared" si="248"/>
        <v>0</v>
      </c>
      <c r="W390" s="17">
        <f t="shared" si="249"/>
        <v>0</v>
      </c>
      <c r="X390" s="17">
        <f t="shared" si="250"/>
        <v>0</v>
      </c>
      <c r="Y390" s="17">
        <f t="shared" si="251"/>
        <v>0</v>
      </c>
      <c r="Z390" s="17">
        <f t="shared" si="252"/>
        <v>0</v>
      </c>
      <c r="AA390" s="17">
        <f t="shared" si="253"/>
        <v>0</v>
      </c>
      <c r="AB390" s="17">
        <f t="shared" si="254"/>
        <v>0</v>
      </c>
      <c r="AC390" s="17">
        <v>0</v>
      </c>
      <c r="AD390" s="17">
        <f t="shared" si="255"/>
        <v>0</v>
      </c>
      <c r="AE390" s="17">
        <f t="shared" si="256"/>
        <v>0</v>
      </c>
      <c r="AF390" s="17">
        <f t="shared" si="257"/>
        <v>0</v>
      </c>
      <c r="AG390" s="17">
        <f t="shared" si="258"/>
        <v>0</v>
      </c>
      <c r="AH390" s="17">
        <f t="shared" si="259"/>
        <v>0</v>
      </c>
      <c r="AI390" s="17">
        <f t="shared" si="260"/>
        <v>0</v>
      </c>
      <c r="AJ390" s="17">
        <f t="shared" si="261"/>
        <v>0</v>
      </c>
      <c r="AK390" s="17">
        <f t="shared" si="262"/>
        <v>0</v>
      </c>
      <c r="AL390" s="17">
        <f t="shared" si="263"/>
        <v>0</v>
      </c>
      <c r="AM390" s="17">
        <f t="shared" si="264"/>
        <v>0</v>
      </c>
      <c r="AN390" s="17">
        <f t="shared" si="265"/>
        <v>0</v>
      </c>
      <c r="AO390" s="17">
        <f t="shared" si="266"/>
        <v>0</v>
      </c>
      <c r="AP390" s="17">
        <f t="shared" si="267"/>
        <v>0</v>
      </c>
      <c r="AQ390" s="18">
        <v>103.61792111826084</v>
      </c>
      <c r="AR390" s="18">
        <v>123.91730406105773</v>
      </c>
      <c r="AS390" s="18">
        <v>109.66772219314714</v>
      </c>
      <c r="AT390" s="18">
        <v>83.069079686671969</v>
      </c>
      <c r="AU390" s="18">
        <v>120.46994740939212</v>
      </c>
      <c r="AV390" s="18">
        <v>98.72498824581875</v>
      </c>
      <c r="AW390" s="18">
        <v>98.287597614398479</v>
      </c>
      <c r="AX390" s="18">
        <v>66.746413106672932</v>
      </c>
      <c r="AY390" s="18">
        <v>98.93821734784693</v>
      </c>
      <c r="AZ390" s="18">
        <v>86.162468857641656</v>
      </c>
      <c r="BA390" s="18">
        <v>87.9751467857687</v>
      </c>
      <c r="BB390" s="18">
        <v>85.927189493553726</v>
      </c>
      <c r="BC390" s="23">
        <v>8.9181565948742242E-2</v>
      </c>
      <c r="BD390" s="23">
        <v>0.10665277883445198</v>
      </c>
      <c r="BE390" s="23">
        <v>9.438849084854764E-2</v>
      </c>
      <c r="BF390" s="23">
        <v>7.149564986855049E-2</v>
      </c>
      <c r="BG390" s="23">
        <v>0.10368571810536763</v>
      </c>
      <c r="BH390" s="23">
        <v>8.4970330952544637E-2</v>
      </c>
      <c r="BI390" s="23">
        <v>8.4593878877262704E-2</v>
      </c>
      <c r="BJ390" s="23">
        <v>5.7447105462779965E-2</v>
      </c>
      <c r="BK390" s="23">
        <v>8.5153852345557474E-2</v>
      </c>
      <c r="BL390" s="23">
        <v>7.4158058913035174E-2</v>
      </c>
      <c r="BM390" s="23">
        <v>7.5718189192107169E-2</v>
      </c>
      <c r="BN390" s="23">
        <v>7.3955559365675619E-2</v>
      </c>
    </row>
    <row r="391" spans="1:66" x14ac:dyDescent="0.25">
      <c r="A391" s="16">
        <v>6672</v>
      </c>
      <c r="B391" s="16" t="s">
        <v>587</v>
      </c>
      <c r="C391" s="17">
        <v>3000</v>
      </c>
      <c r="D391" s="17">
        <f t="shared" si="231"/>
        <v>267.54469784622671</v>
      </c>
      <c r="E391" s="17">
        <f t="shared" si="232"/>
        <v>319.95833650335595</v>
      </c>
      <c r="F391" s="17">
        <f t="shared" si="233"/>
        <v>283.1654725456429</v>
      </c>
      <c r="G391" s="17">
        <f t="shared" si="234"/>
        <v>214.48694960565146</v>
      </c>
      <c r="H391" s="17">
        <f t="shared" si="235"/>
        <v>311.05715431610287</v>
      </c>
      <c r="I391" s="17">
        <f t="shared" si="236"/>
        <v>254.91099285763391</v>
      </c>
      <c r="J391" s="17">
        <f t="shared" si="237"/>
        <v>253.7816366317881</v>
      </c>
      <c r="K391" s="17">
        <f t="shared" si="238"/>
        <v>172.34131638833989</v>
      </c>
      <c r="L391" s="17">
        <f t="shared" si="239"/>
        <v>255.46155703667242</v>
      </c>
      <c r="M391" s="17">
        <f t="shared" si="240"/>
        <v>222.47417673910553</v>
      </c>
      <c r="N391" s="17">
        <f t="shared" si="241"/>
        <v>227.15456757632151</v>
      </c>
      <c r="O391" s="17">
        <f t="shared" si="242"/>
        <v>221.86667809702686</v>
      </c>
      <c r="P391" s="17">
        <v>0</v>
      </c>
      <c r="Q391" s="17">
        <f t="shared" si="243"/>
        <v>0</v>
      </c>
      <c r="R391" s="17">
        <f t="shared" si="244"/>
        <v>0</v>
      </c>
      <c r="S391" s="17">
        <f t="shared" si="245"/>
        <v>0</v>
      </c>
      <c r="T391" s="17">
        <f t="shared" si="246"/>
        <v>0</v>
      </c>
      <c r="U391" s="17">
        <f t="shared" si="247"/>
        <v>0</v>
      </c>
      <c r="V391" s="17">
        <f t="shared" si="248"/>
        <v>0</v>
      </c>
      <c r="W391" s="17">
        <f t="shared" si="249"/>
        <v>0</v>
      </c>
      <c r="X391" s="17">
        <f t="shared" si="250"/>
        <v>0</v>
      </c>
      <c r="Y391" s="17">
        <f t="shared" si="251"/>
        <v>0</v>
      </c>
      <c r="Z391" s="17">
        <f t="shared" si="252"/>
        <v>0</v>
      </c>
      <c r="AA391" s="17">
        <f t="shared" si="253"/>
        <v>0</v>
      </c>
      <c r="AB391" s="17">
        <f t="shared" si="254"/>
        <v>0</v>
      </c>
      <c r="AC391" s="17">
        <v>0</v>
      </c>
      <c r="AD391" s="17">
        <f t="shared" si="255"/>
        <v>0</v>
      </c>
      <c r="AE391" s="17">
        <f t="shared" si="256"/>
        <v>0</v>
      </c>
      <c r="AF391" s="17">
        <f t="shared" si="257"/>
        <v>0</v>
      </c>
      <c r="AG391" s="17">
        <f t="shared" si="258"/>
        <v>0</v>
      </c>
      <c r="AH391" s="17">
        <f t="shared" si="259"/>
        <v>0</v>
      </c>
      <c r="AI391" s="17">
        <f t="shared" si="260"/>
        <v>0</v>
      </c>
      <c r="AJ391" s="17">
        <f t="shared" si="261"/>
        <v>0</v>
      </c>
      <c r="AK391" s="17">
        <f t="shared" si="262"/>
        <v>0</v>
      </c>
      <c r="AL391" s="17">
        <f t="shared" si="263"/>
        <v>0</v>
      </c>
      <c r="AM391" s="17">
        <f t="shared" si="264"/>
        <v>0</v>
      </c>
      <c r="AN391" s="17">
        <f t="shared" si="265"/>
        <v>0</v>
      </c>
      <c r="AO391" s="17">
        <f t="shared" si="266"/>
        <v>0</v>
      </c>
      <c r="AP391" s="17">
        <f t="shared" si="267"/>
        <v>3000</v>
      </c>
      <c r="AQ391" s="18">
        <v>94.74132313311874</v>
      </c>
      <c r="AR391" s="18">
        <v>113.3017263725494</v>
      </c>
      <c r="AS391" s="18">
        <v>100.27285814502781</v>
      </c>
      <c r="AT391" s="18">
        <v>75.952831672655677</v>
      </c>
      <c r="AU391" s="18">
        <v>110.14969314349247</v>
      </c>
      <c r="AV391" s="18">
        <v>90.267551324788187</v>
      </c>
      <c r="AW391" s="18">
        <v>89.867630474229017</v>
      </c>
      <c r="AX391" s="18">
        <v>61.028472911540597</v>
      </c>
      <c r="AY391" s="18">
        <v>90.462513808484232</v>
      </c>
      <c r="AZ391" s="18">
        <v>78.781220621791618</v>
      </c>
      <c r="BA391" s="18">
        <v>80.438612542721515</v>
      </c>
      <c r="BB391" s="18">
        <v>78.56609684765057</v>
      </c>
      <c r="BC391" s="23">
        <v>8.9181565948742242E-2</v>
      </c>
      <c r="BD391" s="23">
        <v>0.10665277883445198</v>
      </c>
      <c r="BE391" s="23">
        <v>9.438849084854764E-2</v>
      </c>
      <c r="BF391" s="23">
        <v>7.149564986855049E-2</v>
      </c>
      <c r="BG391" s="23">
        <v>0.10368571810536763</v>
      </c>
      <c r="BH391" s="23">
        <v>8.4970330952544637E-2</v>
      </c>
      <c r="BI391" s="23">
        <v>8.4593878877262704E-2</v>
      </c>
      <c r="BJ391" s="23">
        <v>5.7447105462779965E-2</v>
      </c>
      <c r="BK391" s="23">
        <v>8.5153852345557474E-2</v>
      </c>
      <c r="BL391" s="23">
        <v>7.4158058913035174E-2</v>
      </c>
      <c r="BM391" s="23">
        <v>7.5718189192107169E-2</v>
      </c>
      <c r="BN391" s="23">
        <v>7.3955559365675619E-2</v>
      </c>
    </row>
    <row r="392" spans="1:66" x14ac:dyDescent="0.25">
      <c r="A392" s="16">
        <v>2689</v>
      </c>
      <c r="B392" s="16" t="s">
        <v>588</v>
      </c>
      <c r="C392" s="17">
        <v>0</v>
      </c>
      <c r="D392" s="17">
        <f t="shared" si="231"/>
        <v>0</v>
      </c>
      <c r="E392" s="17">
        <f t="shared" si="232"/>
        <v>0</v>
      </c>
      <c r="F392" s="17">
        <f t="shared" si="233"/>
        <v>0</v>
      </c>
      <c r="G392" s="17">
        <f t="shared" si="234"/>
        <v>0</v>
      </c>
      <c r="H392" s="17">
        <f t="shared" si="235"/>
        <v>0</v>
      </c>
      <c r="I392" s="17">
        <f t="shared" si="236"/>
        <v>0</v>
      </c>
      <c r="J392" s="17">
        <f t="shared" si="237"/>
        <v>0</v>
      </c>
      <c r="K392" s="17">
        <f t="shared" si="238"/>
        <v>0</v>
      </c>
      <c r="L392" s="17">
        <f t="shared" si="239"/>
        <v>0</v>
      </c>
      <c r="M392" s="17">
        <f t="shared" si="240"/>
        <v>0</v>
      </c>
      <c r="N392" s="17">
        <f t="shared" si="241"/>
        <v>0</v>
      </c>
      <c r="O392" s="17">
        <f t="shared" si="242"/>
        <v>0</v>
      </c>
      <c r="P392" s="17">
        <v>1000</v>
      </c>
      <c r="Q392" s="17">
        <f t="shared" si="243"/>
        <v>89.181565948742247</v>
      </c>
      <c r="R392" s="17">
        <f t="shared" si="244"/>
        <v>106.65277883445198</v>
      </c>
      <c r="S392" s="17">
        <f t="shared" si="245"/>
        <v>94.388490848547647</v>
      </c>
      <c r="T392" s="17">
        <f t="shared" si="246"/>
        <v>71.495649868550487</v>
      </c>
      <c r="U392" s="17">
        <f t="shared" si="247"/>
        <v>103.68571810536763</v>
      </c>
      <c r="V392" s="17">
        <f t="shared" si="248"/>
        <v>84.970330952544643</v>
      </c>
      <c r="W392" s="17">
        <f t="shared" si="249"/>
        <v>84.593878877262711</v>
      </c>
      <c r="X392" s="17">
        <f t="shared" si="250"/>
        <v>57.447105462779966</v>
      </c>
      <c r="Y392" s="17">
        <f t="shared" si="251"/>
        <v>85.153852345557468</v>
      </c>
      <c r="Z392" s="17">
        <f t="shared" si="252"/>
        <v>74.158058913035177</v>
      </c>
      <c r="AA392" s="17">
        <f t="shared" si="253"/>
        <v>75.718189192107175</v>
      </c>
      <c r="AB392" s="17">
        <f t="shared" si="254"/>
        <v>73.955559365675626</v>
      </c>
      <c r="AC392" s="17">
        <v>0</v>
      </c>
      <c r="AD392" s="17">
        <f t="shared" si="255"/>
        <v>0</v>
      </c>
      <c r="AE392" s="17">
        <f t="shared" si="256"/>
        <v>0</v>
      </c>
      <c r="AF392" s="17">
        <f t="shared" si="257"/>
        <v>0</v>
      </c>
      <c r="AG392" s="17">
        <f t="shared" si="258"/>
        <v>0</v>
      </c>
      <c r="AH392" s="17">
        <f t="shared" si="259"/>
        <v>0</v>
      </c>
      <c r="AI392" s="17">
        <f t="shared" si="260"/>
        <v>0</v>
      </c>
      <c r="AJ392" s="17">
        <f t="shared" si="261"/>
        <v>0</v>
      </c>
      <c r="AK392" s="17">
        <f t="shared" si="262"/>
        <v>0</v>
      </c>
      <c r="AL392" s="17">
        <f t="shared" si="263"/>
        <v>0</v>
      </c>
      <c r="AM392" s="17">
        <f t="shared" si="264"/>
        <v>0</v>
      </c>
      <c r="AN392" s="17">
        <f t="shared" si="265"/>
        <v>0</v>
      </c>
      <c r="AO392" s="17">
        <f t="shared" si="266"/>
        <v>0</v>
      </c>
      <c r="AP392" s="17">
        <f t="shared" si="267"/>
        <v>1000</v>
      </c>
      <c r="AQ392" s="18">
        <v>89.663146404865458</v>
      </c>
      <c r="AR392" s="18">
        <v>107.22870384015803</v>
      </c>
      <c r="AS392" s="18">
        <v>94.898188699129804</v>
      </c>
      <c r="AT392" s="18">
        <v>71.881726377840664</v>
      </c>
      <c r="AU392" s="18">
        <v>104.24562098313662</v>
      </c>
      <c r="AV392" s="18">
        <v>85.429170739688388</v>
      </c>
      <c r="AW392" s="18">
        <v>85.050685823199927</v>
      </c>
      <c r="AX392" s="18">
        <v>57.757319832278981</v>
      </c>
      <c r="AY392" s="18">
        <v>85.613683148223487</v>
      </c>
      <c r="AZ392" s="18">
        <v>74.558512431165568</v>
      </c>
      <c r="BA392" s="18">
        <v>76.127067413744555</v>
      </c>
      <c r="BB392" s="18">
        <v>74.354919386250273</v>
      </c>
      <c r="BC392" s="23">
        <v>8.9181565948742242E-2</v>
      </c>
      <c r="BD392" s="23">
        <v>0.10665277883445198</v>
      </c>
      <c r="BE392" s="23">
        <v>9.438849084854764E-2</v>
      </c>
      <c r="BF392" s="23">
        <v>7.149564986855049E-2</v>
      </c>
      <c r="BG392" s="23">
        <v>0.10368571810536763</v>
      </c>
      <c r="BH392" s="23">
        <v>8.4970330952544637E-2</v>
      </c>
      <c r="BI392" s="23">
        <v>8.4593878877262704E-2</v>
      </c>
      <c r="BJ392" s="23">
        <v>5.7447105462779965E-2</v>
      </c>
      <c r="BK392" s="23">
        <v>8.5153852345557474E-2</v>
      </c>
      <c r="BL392" s="23">
        <v>7.4158058913035174E-2</v>
      </c>
      <c r="BM392" s="23">
        <v>7.5718189192107169E-2</v>
      </c>
      <c r="BN392" s="23">
        <v>7.3955559365675619E-2</v>
      </c>
    </row>
    <row r="393" spans="1:66" x14ac:dyDescent="0.25">
      <c r="A393" s="16">
        <v>2795</v>
      </c>
      <c r="B393" s="16" t="s">
        <v>589</v>
      </c>
      <c r="C393" s="17">
        <v>0</v>
      </c>
      <c r="D393" s="17">
        <f t="shared" si="231"/>
        <v>0</v>
      </c>
      <c r="E393" s="17">
        <f t="shared" si="232"/>
        <v>0</v>
      </c>
      <c r="F393" s="17">
        <f t="shared" si="233"/>
        <v>0</v>
      </c>
      <c r="G393" s="17">
        <f t="shared" si="234"/>
        <v>0</v>
      </c>
      <c r="H393" s="17">
        <f t="shared" si="235"/>
        <v>0</v>
      </c>
      <c r="I393" s="17">
        <f t="shared" si="236"/>
        <v>0</v>
      </c>
      <c r="J393" s="17">
        <f t="shared" si="237"/>
        <v>0</v>
      </c>
      <c r="K393" s="17">
        <f t="shared" si="238"/>
        <v>0</v>
      </c>
      <c r="L393" s="17">
        <f t="shared" si="239"/>
        <v>0</v>
      </c>
      <c r="M393" s="17">
        <f t="shared" si="240"/>
        <v>0</v>
      </c>
      <c r="N393" s="17">
        <f t="shared" si="241"/>
        <v>0</v>
      </c>
      <c r="O393" s="17">
        <f t="shared" si="242"/>
        <v>0</v>
      </c>
      <c r="P393" s="17">
        <v>0</v>
      </c>
      <c r="Q393" s="17">
        <f t="shared" si="243"/>
        <v>0</v>
      </c>
      <c r="R393" s="17">
        <f t="shared" si="244"/>
        <v>0</v>
      </c>
      <c r="S393" s="17">
        <f t="shared" si="245"/>
        <v>0</v>
      </c>
      <c r="T393" s="17">
        <f t="shared" si="246"/>
        <v>0</v>
      </c>
      <c r="U393" s="17">
        <f t="shared" si="247"/>
        <v>0</v>
      </c>
      <c r="V393" s="17">
        <f t="shared" si="248"/>
        <v>0</v>
      </c>
      <c r="W393" s="17">
        <f t="shared" si="249"/>
        <v>0</v>
      </c>
      <c r="X393" s="17">
        <f t="shared" si="250"/>
        <v>0</v>
      </c>
      <c r="Y393" s="17">
        <f t="shared" si="251"/>
        <v>0</v>
      </c>
      <c r="Z393" s="17">
        <f t="shared" si="252"/>
        <v>0</v>
      </c>
      <c r="AA393" s="17">
        <f t="shared" si="253"/>
        <v>0</v>
      </c>
      <c r="AB393" s="17">
        <f t="shared" si="254"/>
        <v>0</v>
      </c>
      <c r="AC393" s="17">
        <v>2800</v>
      </c>
      <c r="AD393" s="17">
        <f t="shared" si="255"/>
        <v>249.70838465647827</v>
      </c>
      <c r="AE393" s="17">
        <f t="shared" si="256"/>
        <v>298.62778073646558</v>
      </c>
      <c r="AF393" s="17">
        <f t="shared" si="257"/>
        <v>264.2877743759334</v>
      </c>
      <c r="AG393" s="17">
        <f t="shared" si="258"/>
        <v>200.18781963194138</v>
      </c>
      <c r="AH393" s="17">
        <f t="shared" si="259"/>
        <v>290.32001069502934</v>
      </c>
      <c r="AI393" s="17">
        <f t="shared" si="260"/>
        <v>237.91692666712498</v>
      </c>
      <c r="AJ393" s="17">
        <f t="shared" si="261"/>
        <v>236.86286085633557</v>
      </c>
      <c r="AK393" s="17">
        <f t="shared" si="262"/>
        <v>160.85189529578389</v>
      </c>
      <c r="AL393" s="17">
        <f t="shared" si="263"/>
        <v>238.43078656756092</v>
      </c>
      <c r="AM393" s="17">
        <f t="shared" si="264"/>
        <v>207.64256495649849</v>
      </c>
      <c r="AN393" s="17">
        <f t="shared" si="265"/>
        <v>212.01092973790009</v>
      </c>
      <c r="AO393" s="17">
        <f t="shared" si="266"/>
        <v>207.07556622389174</v>
      </c>
      <c r="AP393" s="17">
        <f t="shared" si="267"/>
        <v>2800</v>
      </c>
      <c r="AQ393" s="18">
        <v>89.181565948742247</v>
      </c>
      <c r="AR393" s="18">
        <v>106.65277883445198</v>
      </c>
      <c r="AS393" s="18">
        <v>94.388490848547647</v>
      </c>
      <c r="AT393" s="18">
        <v>71.495649868550487</v>
      </c>
      <c r="AU393" s="18">
        <v>103.68571810536763</v>
      </c>
      <c r="AV393" s="18">
        <v>84.970330952544643</v>
      </c>
      <c r="AW393" s="18">
        <v>84.593878877262711</v>
      </c>
      <c r="AX393" s="18">
        <v>57.447105462779966</v>
      </c>
      <c r="AY393" s="18">
        <v>85.153852345557468</v>
      </c>
      <c r="AZ393" s="18">
        <v>74.158058913035177</v>
      </c>
      <c r="BA393" s="18">
        <v>75.718189192107175</v>
      </c>
      <c r="BB393" s="18">
        <v>73.955559365675626</v>
      </c>
      <c r="BC393" s="23">
        <v>8.9181565948742242E-2</v>
      </c>
      <c r="BD393" s="23">
        <v>0.10665277883445198</v>
      </c>
      <c r="BE393" s="23">
        <v>9.438849084854764E-2</v>
      </c>
      <c r="BF393" s="23">
        <v>7.149564986855049E-2</v>
      </c>
      <c r="BG393" s="23">
        <v>0.10368571810536763</v>
      </c>
      <c r="BH393" s="23">
        <v>8.4970330952544637E-2</v>
      </c>
      <c r="BI393" s="23">
        <v>8.4593878877262704E-2</v>
      </c>
      <c r="BJ393" s="23">
        <v>5.7447105462779965E-2</v>
      </c>
      <c r="BK393" s="23">
        <v>8.5153852345557474E-2</v>
      </c>
      <c r="BL393" s="23">
        <v>7.4158058913035174E-2</v>
      </c>
      <c r="BM393" s="23">
        <v>7.5718189192107169E-2</v>
      </c>
      <c r="BN393" s="23">
        <v>7.3955559365675619E-2</v>
      </c>
    </row>
    <row r="394" spans="1:66" x14ac:dyDescent="0.25">
      <c r="A394" s="16">
        <v>3521</v>
      </c>
      <c r="B394" s="16" t="s">
        <v>590</v>
      </c>
      <c r="C394" s="17">
        <v>0</v>
      </c>
      <c r="D394" s="17">
        <f t="shared" si="231"/>
        <v>0</v>
      </c>
      <c r="E394" s="17">
        <f t="shared" si="232"/>
        <v>0</v>
      </c>
      <c r="F394" s="17">
        <f t="shared" si="233"/>
        <v>0</v>
      </c>
      <c r="G394" s="17">
        <f t="shared" si="234"/>
        <v>0</v>
      </c>
      <c r="H394" s="17">
        <f t="shared" si="235"/>
        <v>0</v>
      </c>
      <c r="I394" s="17">
        <f t="shared" si="236"/>
        <v>0</v>
      </c>
      <c r="J394" s="17">
        <f t="shared" si="237"/>
        <v>0</v>
      </c>
      <c r="K394" s="17">
        <f t="shared" si="238"/>
        <v>0</v>
      </c>
      <c r="L394" s="17">
        <f t="shared" si="239"/>
        <v>0</v>
      </c>
      <c r="M394" s="17">
        <f t="shared" si="240"/>
        <v>0</v>
      </c>
      <c r="N394" s="17">
        <f t="shared" si="241"/>
        <v>0</v>
      </c>
      <c r="O394" s="17">
        <f t="shared" si="242"/>
        <v>0</v>
      </c>
      <c r="P394" s="17">
        <v>4000</v>
      </c>
      <c r="Q394" s="17">
        <f t="shared" si="243"/>
        <v>356.72626379496899</v>
      </c>
      <c r="R394" s="17">
        <f t="shared" si="244"/>
        <v>426.61111533780792</v>
      </c>
      <c r="S394" s="17">
        <f t="shared" si="245"/>
        <v>377.55396339419059</v>
      </c>
      <c r="T394" s="17">
        <f t="shared" si="246"/>
        <v>285.98259947420195</v>
      </c>
      <c r="U394" s="17">
        <f t="shared" si="247"/>
        <v>414.74287242147051</v>
      </c>
      <c r="V394" s="17">
        <f t="shared" si="248"/>
        <v>339.88132381017857</v>
      </c>
      <c r="W394" s="17">
        <f t="shared" si="249"/>
        <v>338.37551550905084</v>
      </c>
      <c r="X394" s="17">
        <f t="shared" si="250"/>
        <v>229.78842185111986</v>
      </c>
      <c r="Y394" s="17">
        <f t="shared" si="251"/>
        <v>340.61540938222987</v>
      </c>
      <c r="Z394" s="17">
        <f t="shared" si="252"/>
        <v>296.63223565214071</v>
      </c>
      <c r="AA394" s="17">
        <f t="shared" si="253"/>
        <v>302.8727567684287</v>
      </c>
      <c r="AB394" s="17">
        <f t="shared" si="254"/>
        <v>295.8222374627025</v>
      </c>
      <c r="AC394" s="17">
        <v>0</v>
      </c>
      <c r="AD394" s="17">
        <f t="shared" si="255"/>
        <v>0</v>
      </c>
      <c r="AE394" s="17">
        <f t="shared" si="256"/>
        <v>0</v>
      </c>
      <c r="AF394" s="17">
        <f t="shared" si="257"/>
        <v>0</v>
      </c>
      <c r="AG394" s="17">
        <f t="shared" si="258"/>
        <v>0</v>
      </c>
      <c r="AH394" s="17">
        <f t="shared" si="259"/>
        <v>0</v>
      </c>
      <c r="AI394" s="17">
        <f t="shared" si="260"/>
        <v>0</v>
      </c>
      <c r="AJ394" s="17">
        <f t="shared" si="261"/>
        <v>0</v>
      </c>
      <c r="AK394" s="17">
        <f t="shared" si="262"/>
        <v>0</v>
      </c>
      <c r="AL394" s="17">
        <f t="shared" si="263"/>
        <v>0</v>
      </c>
      <c r="AM394" s="17">
        <f t="shared" si="264"/>
        <v>0</v>
      </c>
      <c r="AN394" s="17">
        <f t="shared" si="265"/>
        <v>0</v>
      </c>
      <c r="AO394" s="17">
        <f t="shared" si="266"/>
        <v>0</v>
      </c>
      <c r="AP394" s="17">
        <f t="shared" si="267"/>
        <v>4000</v>
      </c>
      <c r="AQ394" s="18">
        <v>89.181565948742247</v>
      </c>
      <c r="AR394" s="18">
        <v>106.65277883445198</v>
      </c>
      <c r="AS394" s="18">
        <v>94.388490848547647</v>
      </c>
      <c r="AT394" s="18">
        <v>71.495649868550487</v>
      </c>
      <c r="AU394" s="18">
        <v>103.68571810536763</v>
      </c>
      <c r="AV394" s="18">
        <v>84.970330952544643</v>
      </c>
      <c r="AW394" s="18">
        <v>84.593878877262711</v>
      </c>
      <c r="AX394" s="18">
        <v>57.447105462779966</v>
      </c>
      <c r="AY394" s="18">
        <v>85.153852345557468</v>
      </c>
      <c r="AZ394" s="18">
        <v>74.158058913035177</v>
      </c>
      <c r="BA394" s="18">
        <v>75.718189192107175</v>
      </c>
      <c r="BB394" s="18">
        <v>73.955559365675626</v>
      </c>
      <c r="BC394" s="23">
        <v>8.9181565948742242E-2</v>
      </c>
      <c r="BD394" s="23">
        <v>0.10665277883445198</v>
      </c>
      <c r="BE394" s="23">
        <v>9.438849084854764E-2</v>
      </c>
      <c r="BF394" s="23">
        <v>7.149564986855049E-2</v>
      </c>
      <c r="BG394" s="23">
        <v>0.10368571810536763</v>
      </c>
      <c r="BH394" s="23">
        <v>8.4970330952544637E-2</v>
      </c>
      <c r="BI394" s="23">
        <v>8.4593878877262704E-2</v>
      </c>
      <c r="BJ394" s="23">
        <v>5.7447105462779965E-2</v>
      </c>
      <c r="BK394" s="23">
        <v>8.5153852345557474E-2</v>
      </c>
      <c r="BL394" s="23">
        <v>7.4158058913035174E-2</v>
      </c>
      <c r="BM394" s="23">
        <v>7.5718189192107169E-2</v>
      </c>
      <c r="BN394" s="23">
        <v>7.3955559365675619E-2</v>
      </c>
    </row>
    <row r="395" spans="1:66" x14ac:dyDescent="0.25">
      <c r="A395" s="16">
        <v>4193</v>
      </c>
      <c r="B395" s="16" t="s">
        <v>591</v>
      </c>
      <c r="C395" s="17">
        <v>0</v>
      </c>
      <c r="D395" s="17">
        <f t="shared" si="231"/>
        <v>0</v>
      </c>
      <c r="E395" s="17">
        <f t="shared" si="232"/>
        <v>0</v>
      </c>
      <c r="F395" s="17">
        <f t="shared" si="233"/>
        <v>0</v>
      </c>
      <c r="G395" s="17">
        <f t="shared" si="234"/>
        <v>0</v>
      </c>
      <c r="H395" s="17">
        <f t="shared" si="235"/>
        <v>0</v>
      </c>
      <c r="I395" s="17">
        <f t="shared" si="236"/>
        <v>0</v>
      </c>
      <c r="J395" s="17">
        <f t="shared" si="237"/>
        <v>0</v>
      </c>
      <c r="K395" s="17">
        <f t="shared" si="238"/>
        <v>0</v>
      </c>
      <c r="L395" s="17">
        <f t="shared" si="239"/>
        <v>0</v>
      </c>
      <c r="M395" s="17">
        <f t="shared" si="240"/>
        <v>0</v>
      </c>
      <c r="N395" s="17">
        <f t="shared" si="241"/>
        <v>0</v>
      </c>
      <c r="O395" s="17">
        <f t="shared" si="242"/>
        <v>0</v>
      </c>
      <c r="P395" s="17">
        <v>0</v>
      </c>
      <c r="Q395" s="17">
        <f t="shared" si="243"/>
        <v>0</v>
      </c>
      <c r="R395" s="17">
        <f t="shared" si="244"/>
        <v>0</v>
      </c>
      <c r="S395" s="17">
        <f t="shared" si="245"/>
        <v>0</v>
      </c>
      <c r="T395" s="17">
        <f t="shared" si="246"/>
        <v>0</v>
      </c>
      <c r="U395" s="17">
        <f t="shared" si="247"/>
        <v>0</v>
      </c>
      <c r="V395" s="17">
        <f t="shared" si="248"/>
        <v>0</v>
      </c>
      <c r="W395" s="17">
        <f t="shared" si="249"/>
        <v>0</v>
      </c>
      <c r="X395" s="17">
        <f t="shared" si="250"/>
        <v>0</v>
      </c>
      <c r="Y395" s="17">
        <f t="shared" si="251"/>
        <v>0</v>
      </c>
      <c r="Z395" s="17">
        <f t="shared" si="252"/>
        <v>0</v>
      </c>
      <c r="AA395" s="17">
        <f t="shared" si="253"/>
        <v>0</v>
      </c>
      <c r="AB395" s="17">
        <f t="shared" si="254"/>
        <v>0</v>
      </c>
      <c r="AC395" s="17">
        <v>0</v>
      </c>
      <c r="AD395" s="17">
        <f t="shared" si="255"/>
        <v>0</v>
      </c>
      <c r="AE395" s="17">
        <f t="shared" si="256"/>
        <v>0</v>
      </c>
      <c r="AF395" s="17">
        <f t="shared" si="257"/>
        <v>0</v>
      </c>
      <c r="AG395" s="17">
        <f t="shared" si="258"/>
        <v>0</v>
      </c>
      <c r="AH395" s="17">
        <f t="shared" si="259"/>
        <v>0</v>
      </c>
      <c r="AI395" s="17">
        <f t="shared" si="260"/>
        <v>0</v>
      </c>
      <c r="AJ395" s="17">
        <f t="shared" si="261"/>
        <v>0</v>
      </c>
      <c r="AK395" s="17">
        <f t="shared" si="262"/>
        <v>0</v>
      </c>
      <c r="AL395" s="17">
        <f t="shared" si="263"/>
        <v>0</v>
      </c>
      <c r="AM395" s="17">
        <f t="shared" si="264"/>
        <v>0</v>
      </c>
      <c r="AN395" s="17">
        <f t="shared" si="265"/>
        <v>0</v>
      </c>
      <c r="AO395" s="17">
        <f t="shared" si="266"/>
        <v>0</v>
      </c>
      <c r="AP395" s="17">
        <f t="shared" si="267"/>
        <v>0</v>
      </c>
      <c r="AQ395" s="18">
        <v>89.181565948742247</v>
      </c>
      <c r="AR395" s="18">
        <v>106.65277883445198</v>
      </c>
      <c r="AS395" s="18">
        <v>94.388490848547647</v>
      </c>
      <c r="AT395" s="18">
        <v>71.495649868550487</v>
      </c>
      <c r="AU395" s="18">
        <v>103.68571810536763</v>
      </c>
      <c r="AV395" s="18">
        <v>84.970330952544643</v>
      </c>
      <c r="AW395" s="18">
        <v>84.593878877262711</v>
      </c>
      <c r="AX395" s="18">
        <v>57.447105462779966</v>
      </c>
      <c r="AY395" s="18">
        <v>85.153852345557468</v>
      </c>
      <c r="AZ395" s="18">
        <v>74.158058913035177</v>
      </c>
      <c r="BA395" s="18">
        <v>75.718189192107175</v>
      </c>
      <c r="BB395" s="18">
        <v>73.955559365675626</v>
      </c>
      <c r="BC395" s="23">
        <v>8.9181565948742242E-2</v>
      </c>
      <c r="BD395" s="23">
        <v>0.10665277883445198</v>
      </c>
      <c r="BE395" s="23">
        <v>9.438849084854764E-2</v>
      </c>
      <c r="BF395" s="23">
        <v>7.149564986855049E-2</v>
      </c>
      <c r="BG395" s="23">
        <v>0.10368571810536763</v>
      </c>
      <c r="BH395" s="23">
        <v>8.4970330952544637E-2</v>
      </c>
      <c r="BI395" s="23">
        <v>8.4593878877262704E-2</v>
      </c>
      <c r="BJ395" s="23">
        <v>5.7447105462779965E-2</v>
      </c>
      <c r="BK395" s="23">
        <v>8.5153852345557474E-2</v>
      </c>
      <c r="BL395" s="23">
        <v>7.4158058913035174E-2</v>
      </c>
      <c r="BM395" s="23">
        <v>7.5718189192107169E-2</v>
      </c>
      <c r="BN395" s="23">
        <v>7.3955559365675619E-2</v>
      </c>
    </row>
    <row r="396" spans="1:66" x14ac:dyDescent="0.25">
      <c r="A396" s="16">
        <v>4481</v>
      </c>
      <c r="B396" s="16" t="s">
        <v>592</v>
      </c>
      <c r="C396" s="17">
        <v>0</v>
      </c>
      <c r="D396" s="17">
        <f t="shared" si="231"/>
        <v>0</v>
      </c>
      <c r="E396" s="17">
        <f t="shared" si="232"/>
        <v>0</v>
      </c>
      <c r="F396" s="17">
        <f t="shared" si="233"/>
        <v>0</v>
      </c>
      <c r="G396" s="17">
        <f t="shared" si="234"/>
        <v>0</v>
      </c>
      <c r="H396" s="17">
        <f t="shared" si="235"/>
        <v>0</v>
      </c>
      <c r="I396" s="17">
        <f t="shared" si="236"/>
        <v>0</v>
      </c>
      <c r="J396" s="17">
        <f t="shared" si="237"/>
        <v>0</v>
      </c>
      <c r="K396" s="17">
        <f t="shared" si="238"/>
        <v>0</v>
      </c>
      <c r="L396" s="17">
        <f t="shared" si="239"/>
        <v>0</v>
      </c>
      <c r="M396" s="17">
        <f t="shared" si="240"/>
        <v>0</v>
      </c>
      <c r="N396" s="17">
        <f t="shared" si="241"/>
        <v>0</v>
      </c>
      <c r="O396" s="17">
        <f t="shared" si="242"/>
        <v>0</v>
      </c>
      <c r="P396" s="17">
        <v>0</v>
      </c>
      <c r="Q396" s="17">
        <f t="shared" si="243"/>
        <v>0</v>
      </c>
      <c r="R396" s="17">
        <f t="shared" si="244"/>
        <v>0</v>
      </c>
      <c r="S396" s="17">
        <f t="shared" si="245"/>
        <v>0</v>
      </c>
      <c r="T396" s="17">
        <f t="shared" si="246"/>
        <v>0</v>
      </c>
      <c r="U396" s="17">
        <f t="shared" si="247"/>
        <v>0</v>
      </c>
      <c r="V396" s="17">
        <f t="shared" si="248"/>
        <v>0</v>
      </c>
      <c r="W396" s="17">
        <f t="shared" si="249"/>
        <v>0</v>
      </c>
      <c r="X396" s="17">
        <f t="shared" si="250"/>
        <v>0</v>
      </c>
      <c r="Y396" s="17">
        <f t="shared" si="251"/>
        <v>0</v>
      </c>
      <c r="Z396" s="17">
        <f t="shared" si="252"/>
        <v>0</v>
      </c>
      <c r="AA396" s="17">
        <f t="shared" si="253"/>
        <v>0</v>
      </c>
      <c r="AB396" s="17">
        <f t="shared" si="254"/>
        <v>0</v>
      </c>
      <c r="AC396" s="17">
        <v>0</v>
      </c>
      <c r="AD396" s="17">
        <f t="shared" si="255"/>
        <v>0</v>
      </c>
      <c r="AE396" s="17">
        <f t="shared" si="256"/>
        <v>0</v>
      </c>
      <c r="AF396" s="17">
        <f t="shared" si="257"/>
        <v>0</v>
      </c>
      <c r="AG396" s="17">
        <f t="shared" si="258"/>
        <v>0</v>
      </c>
      <c r="AH396" s="17">
        <f t="shared" si="259"/>
        <v>0</v>
      </c>
      <c r="AI396" s="17">
        <f t="shared" si="260"/>
        <v>0</v>
      </c>
      <c r="AJ396" s="17">
        <f t="shared" si="261"/>
        <v>0</v>
      </c>
      <c r="AK396" s="17">
        <f t="shared" si="262"/>
        <v>0</v>
      </c>
      <c r="AL396" s="17">
        <f t="shared" si="263"/>
        <v>0</v>
      </c>
      <c r="AM396" s="17">
        <f t="shared" si="264"/>
        <v>0</v>
      </c>
      <c r="AN396" s="17">
        <f t="shared" si="265"/>
        <v>0</v>
      </c>
      <c r="AO396" s="17">
        <f t="shared" si="266"/>
        <v>0</v>
      </c>
      <c r="AP396" s="17">
        <f t="shared" si="267"/>
        <v>0</v>
      </c>
      <c r="AQ396" s="18">
        <v>89.181565948742247</v>
      </c>
      <c r="AR396" s="18">
        <v>106.65277883445198</v>
      </c>
      <c r="AS396" s="18">
        <v>94.388490848547647</v>
      </c>
      <c r="AT396" s="18">
        <v>71.495649868550487</v>
      </c>
      <c r="AU396" s="18">
        <v>103.68571810536763</v>
      </c>
      <c r="AV396" s="18">
        <v>84.970330952544643</v>
      </c>
      <c r="AW396" s="18">
        <v>84.593878877262711</v>
      </c>
      <c r="AX396" s="18">
        <v>57.447105462779966</v>
      </c>
      <c r="AY396" s="18">
        <v>85.153852345557468</v>
      </c>
      <c r="AZ396" s="18">
        <v>74.158058913035177</v>
      </c>
      <c r="BA396" s="18">
        <v>75.718189192107175</v>
      </c>
      <c r="BB396" s="18">
        <v>73.955559365675626</v>
      </c>
      <c r="BC396" s="23">
        <v>8.9181565948742242E-2</v>
      </c>
      <c r="BD396" s="23">
        <v>0.10665277883445198</v>
      </c>
      <c r="BE396" s="23">
        <v>9.438849084854764E-2</v>
      </c>
      <c r="BF396" s="23">
        <v>7.149564986855049E-2</v>
      </c>
      <c r="BG396" s="23">
        <v>0.10368571810536763</v>
      </c>
      <c r="BH396" s="23">
        <v>8.4970330952544637E-2</v>
      </c>
      <c r="BI396" s="23">
        <v>8.4593878877262704E-2</v>
      </c>
      <c r="BJ396" s="23">
        <v>5.7447105462779965E-2</v>
      </c>
      <c r="BK396" s="23">
        <v>8.5153852345557474E-2</v>
      </c>
      <c r="BL396" s="23">
        <v>7.4158058913035174E-2</v>
      </c>
      <c r="BM396" s="23">
        <v>7.5718189192107169E-2</v>
      </c>
      <c r="BN396" s="23">
        <v>7.3955559365675619E-2</v>
      </c>
    </row>
    <row r="397" spans="1:66" x14ac:dyDescent="0.25">
      <c r="A397" s="16">
        <v>4595</v>
      </c>
      <c r="B397" s="16" t="s">
        <v>593</v>
      </c>
      <c r="C397" s="17">
        <v>0</v>
      </c>
      <c r="D397" s="17">
        <f t="shared" si="231"/>
        <v>0</v>
      </c>
      <c r="E397" s="17">
        <f t="shared" si="232"/>
        <v>0</v>
      </c>
      <c r="F397" s="17">
        <f t="shared" si="233"/>
        <v>0</v>
      </c>
      <c r="G397" s="17">
        <f t="shared" si="234"/>
        <v>0</v>
      </c>
      <c r="H397" s="17">
        <f t="shared" si="235"/>
        <v>0</v>
      </c>
      <c r="I397" s="17">
        <f t="shared" si="236"/>
        <v>0</v>
      </c>
      <c r="J397" s="17">
        <f t="shared" si="237"/>
        <v>0</v>
      </c>
      <c r="K397" s="17">
        <f t="shared" si="238"/>
        <v>0</v>
      </c>
      <c r="L397" s="17">
        <f t="shared" si="239"/>
        <v>0</v>
      </c>
      <c r="M397" s="17">
        <f t="shared" si="240"/>
        <v>0</v>
      </c>
      <c r="N397" s="17">
        <f t="shared" si="241"/>
        <v>0</v>
      </c>
      <c r="O397" s="17">
        <f t="shared" si="242"/>
        <v>0</v>
      </c>
      <c r="P397" s="17">
        <v>0</v>
      </c>
      <c r="Q397" s="17">
        <f t="shared" si="243"/>
        <v>0</v>
      </c>
      <c r="R397" s="17">
        <f t="shared" si="244"/>
        <v>0</v>
      </c>
      <c r="S397" s="17">
        <f t="shared" si="245"/>
        <v>0</v>
      </c>
      <c r="T397" s="17">
        <f t="shared" si="246"/>
        <v>0</v>
      </c>
      <c r="U397" s="17">
        <f t="shared" si="247"/>
        <v>0</v>
      </c>
      <c r="V397" s="17">
        <f t="shared" si="248"/>
        <v>0</v>
      </c>
      <c r="W397" s="17">
        <f t="shared" si="249"/>
        <v>0</v>
      </c>
      <c r="X397" s="17">
        <f t="shared" si="250"/>
        <v>0</v>
      </c>
      <c r="Y397" s="17">
        <f t="shared" si="251"/>
        <v>0</v>
      </c>
      <c r="Z397" s="17">
        <f t="shared" si="252"/>
        <v>0</v>
      </c>
      <c r="AA397" s="17">
        <f t="shared" si="253"/>
        <v>0</v>
      </c>
      <c r="AB397" s="17">
        <f t="shared" si="254"/>
        <v>0</v>
      </c>
      <c r="AC397" s="17">
        <v>0</v>
      </c>
      <c r="AD397" s="17">
        <f t="shared" si="255"/>
        <v>0</v>
      </c>
      <c r="AE397" s="17">
        <f t="shared" si="256"/>
        <v>0</v>
      </c>
      <c r="AF397" s="17">
        <f t="shared" si="257"/>
        <v>0</v>
      </c>
      <c r="AG397" s="17">
        <f t="shared" si="258"/>
        <v>0</v>
      </c>
      <c r="AH397" s="17">
        <f t="shared" si="259"/>
        <v>0</v>
      </c>
      <c r="AI397" s="17">
        <f t="shared" si="260"/>
        <v>0</v>
      </c>
      <c r="AJ397" s="17">
        <f t="shared" si="261"/>
        <v>0</v>
      </c>
      <c r="AK397" s="17">
        <f t="shared" si="262"/>
        <v>0</v>
      </c>
      <c r="AL397" s="17">
        <f t="shared" si="263"/>
        <v>0</v>
      </c>
      <c r="AM397" s="17">
        <f t="shared" si="264"/>
        <v>0</v>
      </c>
      <c r="AN397" s="17">
        <f t="shared" si="265"/>
        <v>0</v>
      </c>
      <c r="AO397" s="17">
        <f t="shared" si="266"/>
        <v>0</v>
      </c>
      <c r="AP397" s="17">
        <f t="shared" si="267"/>
        <v>0</v>
      </c>
      <c r="AQ397" s="18">
        <v>89.181565948742247</v>
      </c>
      <c r="AR397" s="18">
        <v>106.65277883445198</v>
      </c>
      <c r="AS397" s="18">
        <v>94.388490848547647</v>
      </c>
      <c r="AT397" s="18">
        <v>71.495649868550487</v>
      </c>
      <c r="AU397" s="18">
        <v>103.68571810536763</v>
      </c>
      <c r="AV397" s="18">
        <v>84.970330952544643</v>
      </c>
      <c r="AW397" s="18">
        <v>84.593878877262711</v>
      </c>
      <c r="AX397" s="18">
        <v>57.447105462779966</v>
      </c>
      <c r="AY397" s="18">
        <v>85.153852345557468</v>
      </c>
      <c r="AZ397" s="18">
        <v>74.158058913035177</v>
      </c>
      <c r="BA397" s="18">
        <v>75.718189192107175</v>
      </c>
      <c r="BB397" s="18">
        <v>73.955559365675626</v>
      </c>
      <c r="BC397" s="23">
        <v>8.9181565948742242E-2</v>
      </c>
      <c r="BD397" s="23">
        <v>0.10665277883445198</v>
      </c>
      <c r="BE397" s="23">
        <v>9.438849084854764E-2</v>
      </c>
      <c r="BF397" s="23">
        <v>7.149564986855049E-2</v>
      </c>
      <c r="BG397" s="23">
        <v>0.10368571810536763</v>
      </c>
      <c r="BH397" s="23">
        <v>8.4970330952544637E-2</v>
      </c>
      <c r="BI397" s="23">
        <v>8.4593878877262704E-2</v>
      </c>
      <c r="BJ397" s="23">
        <v>5.7447105462779965E-2</v>
      </c>
      <c r="BK397" s="23">
        <v>8.5153852345557474E-2</v>
      </c>
      <c r="BL397" s="23">
        <v>7.4158058913035174E-2</v>
      </c>
      <c r="BM397" s="23">
        <v>7.5718189192107169E-2</v>
      </c>
      <c r="BN397" s="23">
        <v>7.3955559365675619E-2</v>
      </c>
    </row>
    <row r="398" spans="1:66" x14ac:dyDescent="0.25">
      <c r="A398" s="16">
        <v>4824</v>
      </c>
      <c r="B398" s="16" t="s">
        <v>594</v>
      </c>
      <c r="C398" s="17">
        <v>0</v>
      </c>
      <c r="D398" s="17">
        <f t="shared" si="231"/>
        <v>0</v>
      </c>
      <c r="E398" s="17">
        <f t="shared" si="232"/>
        <v>0</v>
      </c>
      <c r="F398" s="17">
        <f t="shared" si="233"/>
        <v>0</v>
      </c>
      <c r="G398" s="17">
        <f t="shared" si="234"/>
        <v>0</v>
      </c>
      <c r="H398" s="17">
        <f t="shared" si="235"/>
        <v>0</v>
      </c>
      <c r="I398" s="17">
        <f t="shared" si="236"/>
        <v>0</v>
      </c>
      <c r="J398" s="17">
        <f t="shared" si="237"/>
        <v>0</v>
      </c>
      <c r="K398" s="17">
        <f t="shared" si="238"/>
        <v>0</v>
      </c>
      <c r="L398" s="17">
        <f t="shared" si="239"/>
        <v>0</v>
      </c>
      <c r="M398" s="17">
        <f t="shared" si="240"/>
        <v>0</v>
      </c>
      <c r="N398" s="17">
        <f t="shared" si="241"/>
        <v>0</v>
      </c>
      <c r="O398" s="17">
        <f t="shared" si="242"/>
        <v>0</v>
      </c>
      <c r="P398" s="17">
        <v>0</v>
      </c>
      <c r="Q398" s="17">
        <f t="shared" si="243"/>
        <v>0</v>
      </c>
      <c r="R398" s="17">
        <f t="shared" si="244"/>
        <v>0</v>
      </c>
      <c r="S398" s="17">
        <f t="shared" si="245"/>
        <v>0</v>
      </c>
      <c r="T398" s="17">
        <f t="shared" si="246"/>
        <v>0</v>
      </c>
      <c r="U398" s="17">
        <f t="shared" si="247"/>
        <v>0</v>
      </c>
      <c r="V398" s="17">
        <f t="shared" si="248"/>
        <v>0</v>
      </c>
      <c r="W398" s="17">
        <f t="shared" si="249"/>
        <v>0</v>
      </c>
      <c r="X398" s="17">
        <f t="shared" si="250"/>
        <v>0</v>
      </c>
      <c r="Y398" s="17">
        <f t="shared" si="251"/>
        <v>0</v>
      </c>
      <c r="Z398" s="17">
        <f t="shared" si="252"/>
        <v>0</v>
      </c>
      <c r="AA398" s="17">
        <f t="shared" si="253"/>
        <v>0</v>
      </c>
      <c r="AB398" s="17">
        <f t="shared" si="254"/>
        <v>0</v>
      </c>
      <c r="AC398" s="17">
        <v>0</v>
      </c>
      <c r="AD398" s="17">
        <f t="shared" si="255"/>
        <v>0</v>
      </c>
      <c r="AE398" s="17">
        <f t="shared" si="256"/>
        <v>0</v>
      </c>
      <c r="AF398" s="17">
        <f t="shared" si="257"/>
        <v>0</v>
      </c>
      <c r="AG398" s="17">
        <f t="shared" si="258"/>
        <v>0</v>
      </c>
      <c r="AH398" s="17">
        <f t="shared" si="259"/>
        <v>0</v>
      </c>
      <c r="AI398" s="17">
        <f t="shared" si="260"/>
        <v>0</v>
      </c>
      <c r="AJ398" s="17">
        <f t="shared" si="261"/>
        <v>0</v>
      </c>
      <c r="AK398" s="17">
        <f t="shared" si="262"/>
        <v>0</v>
      </c>
      <c r="AL398" s="17">
        <f t="shared" si="263"/>
        <v>0</v>
      </c>
      <c r="AM398" s="17">
        <f t="shared" si="264"/>
        <v>0</v>
      </c>
      <c r="AN398" s="17">
        <f t="shared" si="265"/>
        <v>0</v>
      </c>
      <c r="AO398" s="17">
        <f t="shared" si="266"/>
        <v>0</v>
      </c>
      <c r="AP398" s="17">
        <f t="shared" si="267"/>
        <v>0</v>
      </c>
      <c r="AQ398" s="18">
        <v>89.181565948742247</v>
      </c>
      <c r="AR398" s="18">
        <v>106.65277883445198</v>
      </c>
      <c r="AS398" s="18">
        <v>94.388490848547647</v>
      </c>
      <c r="AT398" s="18">
        <v>71.495649868550487</v>
      </c>
      <c r="AU398" s="18">
        <v>103.68571810536763</v>
      </c>
      <c r="AV398" s="18">
        <v>84.970330952544643</v>
      </c>
      <c r="AW398" s="18">
        <v>84.593878877262711</v>
      </c>
      <c r="AX398" s="18">
        <v>57.447105462779966</v>
      </c>
      <c r="AY398" s="18">
        <v>85.153852345557468</v>
      </c>
      <c r="AZ398" s="18">
        <v>74.158058913035177</v>
      </c>
      <c r="BA398" s="18">
        <v>75.718189192107175</v>
      </c>
      <c r="BB398" s="18">
        <v>73.955559365675626</v>
      </c>
      <c r="BC398" s="23">
        <v>8.9181565948742242E-2</v>
      </c>
      <c r="BD398" s="23">
        <v>0.10665277883445198</v>
      </c>
      <c r="BE398" s="23">
        <v>9.438849084854764E-2</v>
      </c>
      <c r="BF398" s="23">
        <v>7.149564986855049E-2</v>
      </c>
      <c r="BG398" s="23">
        <v>0.10368571810536763</v>
      </c>
      <c r="BH398" s="23">
        <v>8.4970330952544637E-2</v>
      </c>
      <c r="BI398" s="23">
        <v>8.4593878877262704E-2</v>
      </c>
      <c r="BJ398" s="23">
        <v>5.7447105462779965E-2</v>
      </c>
      <c r="BK398" s="23">
        <v>8.5153852345557474E-2</v>
      </c>
      <c r="BL398" s="23">
        <v>7.4158058913035174E-2</v>
      </c>
      <c r="BM398" s="23">
        <v>7.5718189192107169E-2</v>
      </c>
      <c r="BN398" s="23">
        <v>7.3955559365675619E-2</v>
      </c>
    </row>
    <row r="399" spans="1:66" x14ac:dyDescent="0.25">
      <c r="A399" s="16">
        <v>5324</v>
      </c>
      <c r="B399" s="16" t="s">
        <v>595</v>
      </c>
      <c r="C399" s="17">
        <v>1000</v>
      </c>
      <c r="D399" s="17">
        <f t="shared" si="231"/>
        <v>89.181565948742247</v>
      </c>
      <c r="E399" s="17">
        <f t="shared" si="232"/>
        <v>106.65277883445198</v>
      </c>
      <c r="F399" s="17">
        <f t="shared" si="233"/>
        <v>94.388490848547647</v>
      </c>
      <c r="G399" s="17">
        <f t="shared" si="234"/>
        <v>71.495649868550487</v>
      </c>
      <c r="H399" s="17">
        <f t="shared" si="235"/>
        <v>103.68571810536763</v>
      </c>
      <c r="I399" s="17">
        <f t="shared" si="236"/>
        <v>84.970330952544643</v>
      </c>
      <c r="J399" s="17">
        <f t="shared" si="237"/>
        <v>84.593878877262711</v>
      </c>
      <c r="K399" s="17">
        <f t="shared" si="238"/>
        <v>57.447105462779966</v>
      </c>
      <c r="L399" s="17">
        <f t="shared" si="239"/>
        <v>85.153852345557468</v>
      </c>
      <c r="M399" s="17">
        <f t="shared" si="240"/>
        <v>74.158058913035177</v>
      </c>
      <c r="N399" s="17">
        <f t="shared" si="241"/>
        <v>75.718189192107175</v>
      </c>
      <c r="O399" s="17">
        <f t="shared" si="242"/>
        <v>73.955559365675626</v>
      </c>
      <c r="P399" s="17">
        <v>0</v>
      </c>
      <c r="Q399" s="17">
        <f t="shared" si="243"/>
        <v>0</v>
      </c>
      <c r="R399" s="17">
        <f t="shared" si="244"/>
        <v>0</v>
      </c>
      <c r="S399" s="17">
        <f t="shared" si="245"/>
        <v>0</v>
      </c>
      <c r="T399" s="17">
        <f t="shared" si="246"/>
        <v>0</v>
      </c>
      <c r="U399" s="17">
        <f t="shared" si="247"/>
        <v>0</v>
      </c>
      <c r="V399" s="17">
        <f t="shared" si="248"/>
        <v>0</v>
      </c>
      <c r="W399" s="17">
        <f t="shared" si="249"/>
        <v>0</v>
      </c>
      <c r="X399" s="17">
        <f t="shared" si="250"/>
        <v>0</v>
      </c>
      <c r="Y399" s="17">
        <f t="shared" si="251"/>
        <v>0</v>
      </c>
      <c r="Z399" s="17">
        <f t="shared" si="252"/>
        <v>0</v>
      </c>
      <c r="AA399" s="17">
        <f t="shared" si="253"/>
        <v>0</v>
      </c>
      <c r="AB399" s="17">
        <f t="shared" si="254"/>
        <v>0</v>
      </c>
      <c r="AC399" s="17">
        <v>0</v>
      </c>
      <c r="AD399" s="17">
        <f t="shared" si="255"/>
        <v>0</v>
      </c>
      <c r="AE399" s="17">
        <f t="shared" si="256"/>
        <v>0</v>
      </c>
      <c r="AF399" s="17">
        <f t="shared" si="257"/>
        <v>0</v>
      </c>
      <c r="AG399" s="17">
        <f t="shared" si="258"/>
        <v>0</v>
      </c>
      <c r="AH399" s="17">
        <f t="shared" si="259"/>
        <v>0</v>
      </c>
      <c r="AI399" s="17">
        <f t="shared" si="260"/>
        <v>0</v>
      </c>
      <c r="AJ399" s="17">
        <f t="shared" si="261"/>
        <v>0</v>
      </c>
      <c r="AK399" s="17">
        <f t="shared" si="262"/>
        <v>0</v>
      </c>
      <c r="AL399" s="17">
        <f t="shared" si="263"/>
        <v>0</v>
      </c>
      <c r="AM399" s="17">
        <f t="shared" si="264"/>
        <v>0</v>
      </c>
      <c r="AN399" s="17">
        <f t="shared" si="265"/>
        <v>0</v>
      </c>
      <c r="AO399" s="17">
        <f t="shared" si="266"/>
        <v>0</v>
      </c>
      <c r="AP399" s="17">
        <f t="shared" si="267"/>
        <v>1000</v>
      </c>
      <c r="AQ399" s="18">
        <v>89.181565948742247</v>
      </c>
      <c r="AR399" s="18">
        <v>106.65277883445198</v>
      </c>
      <c r="AS399" s="18">
        <v>94.388490848547647</v>
      </c>
      <c r="AT399" s="18">
        <v>71.495649868550487</v>
      </c>
      <c r="AU399" s="18">
        <v>103.68571810536763</v>
      </c>
      <c r="AV399" s="18">
        <v>84.970330952544643</v>
      </c>
      <c r="AW399" s="18">
        <v>84.593878877262711</v>
      </c>
      <c r="AX399" s="18">
        <v>57.447105462779966</v>
      </c>
      <c r="AY399" s="18">
        <v>85.153852345557468</v>
      </c>
      <c r="AZ399" s="18">
        <v>74.158058913035177</v>
      </c>
      <c r="BA399" s="18">
        <v>75.718189192107175</v>
      </c>
      <c r="BB399" s="18">
        <v>73.955559365675626</v>
      </c>
      <c r="BC399" s="23">
        <v>8.9181565948742242E-2</v>
      </c>
      <c r="BD399" s="23">
        <v>0.10665277883445198</v>
      </c>
      <c r="BE399" s="23">
        <v>9.438849084854764E-2</v>
      </c>
      <c r="BF399" s="23">
        <v>7.149564986855049E-2</v>
      </c>
      <c r="BG399" s="23">
        <v>0.10368571810536763</v>
      </c>
      <c r="BH399" s="23">
        <v>8.4970330952544637E-2</v>
      </c>
      <c r="BI399" s="23">
        <v>8.4593878877262704E-2</v>
      </c>
      <c r="BJ399" s="23">
        <v>5.7447105462779965E-2</v>
      </c>
      <c r="BK399" s="23">
        <v>8.5153852345557474E-2</v>
      </c>
      <c r="BL399" s="23">
        <v>7.4158058913035174E-2</v>
      </c>
      <c r="BM399" s="23">
        <v>7.5718189192107169E-2</v>
      </c>
      <c r="BN399" s="23">
        <v>7.3955559365675619E-2</v>
      </c>
    </row>
    <row r="400" spans="1:66" x14ac:dyDescent="0.25">
      <c r="A400" s="16">
        <v>5439</v>
      </c>
      <c r="B400" s="16" t="s">
        <v>596</v>
      </c>
      <c r="C400" s="17">
        <v>0</v>
      </c>
      <c r="D400" s="17">
        <f t="shared" si="231"/>
        <v>0</v>
      </c>
      <c r="E400" s="17">
        <f t="shared" si="232"/>
        <v>0</v>
      </c>
      <c r="F400" s="17">
        <f t="shared" si="233"/>
        <v>0</v>
      </c>
      <c r="G400" s="17">
        <f t="shared" si="234"/>
        <v>0</v>
      </c>
      <c r="H400" s="17">
        <f t="shared" si="235"/>
        <v>0</v>
      </c>
      <c r="I400" s="17">
        <f t="shared" si="236"/>
        <v>0</v>
      </c>
      <c r="J400" s="17">
        <f t="shared" si="237"/>
        <v>0</v>
      </c>
      <c r="K400" s="17">
        <f t="shared" si="238"/>
        <v>0</v>
      </c>
      <c r="L400" s="17">
        <f t="shared" si="239"/>
        <v>0</v>
      </c>
      <c r="M400" s="17">
        <f t="shared" si="240"/>
        <v>0</v>
      </c>
      <c r="N400" s="17">
        <f t="shared" si="241"/>
        <v>0</v>
      </c>
      <c r="O400" s="17">
        <f t="shared" si="242"/>
        <v>0</v>
      </c>
      <c r="P400" s="17">
        <v>0</v>
      </c>
      <c r="Q400" s="17">
        <f t="shared" si="243"/>
        <v>0</v>
      </c>
      <c r="R400" s="17">
        <f t="shared" si="244"/>
        <v>0</v>
      </c>
      <c r="S400" s="17">
        <f t="shared" si="245"/>
        <v>0</v>
      </c>
      <c r="T400" s="17">
        <f t="shared" si="246"/>
        <v>0</v>
      </c>
      <c r="U400" s="17">
        <f t="shared" si="247"/>
        <v>0</v>
      </c>
      <c r="V400" s="17">
        <f t="shared" si="248"/>
        <v>0</v>
      </c>
      <c r="W400" s="17">
        <f t="shared" si="249"/>
        <v>0</v>
      </c>
      <c r="X400" s="17">
        <f t="shared" si="250"/>
        <v>0</v>
      </c>
      <c r="Y400" s="17">
        <f t="shared" si="251"/>
        <v>0</v>
      </c>
      <c r="Z400" s="17">
        <f t="shared" si="252"/>
        <v>0</v>
      </c>
      <c r="AA400" s="17">
        <f t="shared" si="253"/>
        <v>0</v>
      </c>
      <c r="AB400" s="17">
        <f t="shared" si="254"/>
        <v>0</v>
      </c>
      <c r="AC400" s="17">
        <v>0</v>
      </c>
      <c r="AD400" s="17">
        <f t="shared" si="255"/>
        <v>0</v>
      </c>
      <c r="AE400" s="17">
        <f t="shared" si="256"/>
        <v>0</v>
      </c>
      <c r="AF400" s="17">
        <f t="shared" si="257"/>
        <v>0</v>
      </c>
      <c r="AG400" s="17">
        <f t="shared" si="258"/>
        <v>0</v>
      </c>
      <c r="AH400" s="17">
        <f t="shared" si="259"/>
        <v>0</v>
      </c>
      <c r="AI400" s="17">
        <f t="shared" si="260"/>
        <v>0</v>
      </c>
      <c r="AJ400" s="17">
        <f t="shared" si="261"/>
        <v>0</v>
      </c>
      <c r="AK400" s="17">
        <f t="shared" si="262"/>
        <v>0</v>
      </c>
      <c r="AL400" s="17">
        <f t="shared" si="263"/>
        <v>0</v>
      </c>
      <c r="AM400" s="17">
        <f t="shared" si="264"/>
        <v>0</v>
      </c>
      <c r="AN400" s="17">
        <f t="shared" si="265"/>
        <v>0</v>
      </c>
      <c r="AO400" s="17">
        <f t="shared" si="266"/>
        <v>0</v>
      </c>
      <c r="AP400" s="17">
        <f t="shared" si="267"/>
        <v>0</v>
      </c>
      <c r="AQ400" s="18">
        <v>89.181565948742247</v>
      </c>
      <c r="AR400" s="18">
        <v>106.65277883445198</v>
      </c>
      <c r="AS400" s="18">
        <v>94.388490848547647</v>
      </c>
      <c r="AT400" s="18">
        <v>71.495649868550487</v>
      </c>
      <c r="AU400" s="18">
        <v>103.68571810536763</v>
      </c>
      <c r="AV400" s="18">
        <v>84.970330952544643</v>
      </c>
      <c r="AW400" s="18">
        <v>84.593878877262711</v>
      </c>
      <c r="AX400" s="18">
        <v>57.447105462779966</v>
      </c>
      <c r="AY400" s="18">
        <v>85.153852345557468</v>
      </c>
      <c r="AZ400" s="18">
        <v>74.158058913035177</v>
      </c>
      <c r="BA400" s="18">
        <v>75.718189192107175</v>
      </c>
      <c r="BB400" s="18">
        <v>73.955559365675626</v>
      </c>
      <c r="BC400" s="23">
        <v>8.9181565948742242E-2</v>
      </c>
      <c r="BD400" s="23">
        <v>0.10665277883445198</v>
      </c>
      <c r="BE400" s="23">
        <v>9.438849084854764E-2</v>
      </c>
      <c r="BF400" s="23">
        <v>7.149564986855049E-2</v>
      </c>
      <c r="BG400" s="23">
        <v>0.10368571810536763</v>
      </c>
      <c r="BH400" s="23">
        <v>8.4970330952544637E-2</v>
      </c>
      <c r="BI400" s="23">
        <v>8.4593878877262704E-2</v>
      </c>
      <c r="BJ400" s="23">
        <v>5.7447105462779965E-2</v>
      </c>
      <c r="BK400" s="23">
        <v>8.5153852345557474E-2</v>
      </c>
      <c r="BL400" s="23">
        <v>7.4158058913035174E-2</v>
      </c>
      <c r="BM400" s="23">
        <v>7.5718189192107169E-2</v>
      </c>
      <c r="BN400" s="23">
        <v>7.3955559365675619E-2</v>
      </c>
    </row>
    <row r="401" spans="1:66" x14ac:dyDescent="0.25">
      <c r="A401" s="16">
        <v>6514</v>
      </c>
      <c r="B401" s="16" t="s">
        <v>597</v>
      </c>
      <c r="C401" s="17">
        <v>0</v>
      </c>
      <c r="D401" s="17">
        <f t="shared" si="231"/>
        <v>0</v>
      </c>
      <c r="E401" s="17">
        <f t="shared" si="232"/>
        <v>0</v>
      </c>
      <c r="F401" s="17">
        <f t="shared" si="233"/>
        <v>0</v>
      </c>
      <c r="G401" s="17">
        <f t="shared" si="234"/>
        <v>0</v>
      </c>
      <c r="H401" s="17">
        <f t="shared" si="235"/>
        <v>0</v>
      </c>
      <c r="I401" s="17">
        <f t="shared" si="236"/>
        <v>0</v>
      </c>
      <c r="J401" s="17">
        <f t="shared" si="237"/>
        <v>0</v>
      </c>
      <c r="K401" s="17">
        <f t="shared" si="238"/>
        <v>0</v>
      </c>
      <c r="L401" s="17">
        <f t="shared" si="239"/>
        <v>0</v>
      </c>
      <c r="M401" s="17">
        <f t="shared" si="240"/>
        <v>0</v>
      </c>
      <c r="N401" s="17">
        <f t="shared" si="241"/>
        <v>0</v>
      </c>
      <c r="O401" s="17">
        <f t="shared" si="242"/>
        <v>0</v>
      </c>
      <c r="P401" s="17">
        <v>0</v>
      </c>
      <c r="Q401" s="17">
        <f t="shared" si="243"/>
        <v>0</v>
      </c>
      <c r="R401" s="17">
        <f t="shared" si="244"/>
        <v>0</v>
      </c>
      <c r="S401" s="17">
        <f t="shared" si="245"/>
        <v>0</v>
      </c>
      <c r="T401" s="17">
        <f t="shared" si="246"/>
        <v>0</v>
      </c>
      <c r="U401" s="17">
        <f t="shared" si="247"/>
        <v>0</v>
      </c>
      <c r="V401" s="17">
        <f t="shared" si="248"/>
        <v>0</v>
      </c>
      <c r="W401" s="17">
        <f t="shared" si="249"/>
        <v>0</v>
      </c>
      <c r="X401" s="17">
        <f t="shared" si="250"/>
        <v>0</v>
      </c>
      <c r="Y401" s="17">
        <f t="shared" si="251"/>
        <v>0</v>
      </c>
      <c r="Z401" s="17">
        <f t="shared" si="252"/>
        <v>0</v>
      </c>
      <c r="AA401" s="17">
        <f t="shared" si="253"/>
        <v>0</v>
      </c>
      <c r="AB401" s="17">
        <f t="shared" si="254"/>
        <v>0</v>
      </c>
      <c r="AC401" s="17">
        <v>0</v>
      </c>
      <c r="AD401" s="17">
        <f t="shared" si="255"/>
        <v>0</v>
      </c>
      <c r="AE401" s="17">
        <f t="shared" si="256"/>
        <v>0</v>
      </c>
      <c r="AF401" s="17">
        <f t="shared" si="257"/>
        <v>0</v>
      </c>
      <c r="AG401" s="17">
        <f t="shared" si="258"/>
        <v>0</v>
      </c>
      <c r="AH401" s="17">
        <f t="shared" si="259"/>
        <v>0</v>
      </c>
      <c r="AI401" s="17">
        <f t="shared" si="260"/>
        <v>0</v>
      </c>
      <c r="AJ401" s="17">
        <f t="shared" si="261"/>
        <v>0</v>
      </c>
      <c r="AK401" s="17">
        <f t="shared" si="262"/>
        <v>0</v>
      </c>
      <c r="AL401" s="17">
        <f t="shared" si="263"/>
        <v>0</v>
      </c>
      <c r="AM401" s="17">
        <f t="shared" si="264"/>
        <v>0</v>
      </c>
      <c r="AN401" s="17">
        <f t="shared" si="265"/>
        <v>0</v>
      </c>
      <c r="AO401" s="17">
        <f t="shared" si="266"/>
        <v>0</v>
      </c>
      <c r="AP401" s="17">
        <f t="shared" si="267"/>
        <v>0</v>
      </c>
      <c r="AQ401" s="18">
        <v>89.181565948742247</v>
      </c>
      <c r="AR401" s="18">
        <v>106.65277883445198</v>
      </c>
      <c r="AS401" s="18">
        <v>94.388490848547647</v>
      </c>
      <c r="AT401" s="18">
        <v>71.495649868550487</v>
      </c>
      <c r="AU401" s="18">
        <v>103.68571810536763</v>
      </c>
      <c r="AV401" s="18">
        <v>84.970330952544643</v>
      </c>
      <c r="AW401" s="18">
        <v>84.593878877262711</v>
      </c>
      <c r="AX401" s="18">
        <v>57.447105462779966</v>
      </c>
      <c r="AY401" s="18">
        <v>85.153852345557468</v>
      </c>
      <c r="AZ401" s="18">
        <v>74.158058913035177</v>
      </c>
      <c r="BA401" s="18">
        <v>75.718189192107175</v>
      </c>
      <c r="BB401" s="18">
        <v>73.955559365675626</v>
      </c>
      <c r="BC401" s="23">
        <v>8.9181565948742242E-2</v>
      </c>
      <c r="BD401" s="23">
        <v>0.10665277883445198</v>
      </c>
      <c r="BE401" s="23">
        <v>9.438849084854764E-2</v>
      </c>
      <c r="BF401" s="23">
        <v>7.149564986855049E-2</v>
      </c>
      <c r="BG401" s="23">
        <v>0.10368571810536763</v>
      </c>
      <c r="BH401" s="23">
        <v>8.4970330952544637E-2</v>
      </c>
      <c r="BI401" s="23">
        <v>8.4593878877262704E-2</v>
      </c>
      <c r="BJ401" s="23">
        <v>5.7447105462779965E-2</v>
      </c>
      <c r="BK401" s="23">
        <v>8.5153852345557474E-2</v>
      </c>
      <c r="BL401" s="23">
        <v>7.4158058913035174E-2</v>
      </c>
      <c r="BM401" s="23">
        <v>7.5718189192107169E-2</v>
      </c>
      <c r="BN401" s="23">
        <v>7.3955559365675619E-2</v>
      </c>
    </row>
    <row r="402" spans="1:66" x14ac:dyDescent="0.25">
      <c r="A402" s="16">
        <v>6556</v>
      </c>
      <c r="B402" s="16" t="s">
        <v>598</v>
      </c>
      <c r="C402" s="17">
        <v>0</v>
      </c>
      <c r="D402" s="17">
        <f t="shared" si="231"/>
        <v>0</v>
      </c>
      <c r="E402" s="17">
        <f t="shared" si="232"/>
        <v>0</v>
      </c>
      <c r="F402" s="17">
        <f t="shared" si="233"/>
        <v>0</v>
      </c>
      <c r="G402" s="17">
        <f t="shared" si="234"/>
        <v>0</v>
      </c>
      <c r="H402" s="17">
        <f t="shared" si="235"/>
        <v>0</v>
      </c>
      <c r="I402" s="17">
        <f t="shared" si="236"/>
        <v>0</v>
      </c>
      <c r="J402" s="17">
        <f t="shared" si="237"/>
        <v>0</v>
      </c>
      <c r="K402" s="17">
        <f t="shared" si="238"/>
        <v>0</v>
      </c>
      <c r="L402" s="17">
        <f t="shared" si="239"/>
        <v>0</v>
      </c>
      <c r="M402" s="17">
        <f t="shared" si="240"/>
        <v>0</v>
      </c>
      <c r="N402" s="17">
        <f t="shared" si="241"/>
        <v>0</v>
      </c>
      <c r="O402" s="17">
        <f t="shared" si="242"/>
        <v>0</v>
      </c>
      <c r="P402" s="17">
        <v>0</v>
      </c>
      <c r="Q402" s="17">
        <f t="shared" si="243"/>
        <v>0</v>
      </c>
      <c r="R402" s="17">
        <f t="shared" si="244"/>
        <v>0</v>
      </c>
      <c r="S402" s="17">
        <f t="shared" si="245"/>
        <v>0</v>
      </c>
      <c r="T402" s="17">
        <f t="shared" si="246"/>
        <v>0</v>
      </c>
      <c r="U402" s="17">
        <f t="shared" si="247"/>
        <v>0</v>
      </c>
      <c r="V402" s="17">
        <f t="shared" si="248"/>
        <v>0</v>
      </c>
      <c r="W402" s="17">
        <f t="shared" si="249"/>
        <v>0</v>
      </c>
      <c r="X402" s="17">
        <f t="shared" si="250"/>
        <v>0</v>
      </c>
      <c r="Y402" s="17">
        <f t="shared" si="251"/>
        <v>0</v>
      </c>
      <c r="Z402" s="17">
        <f t="shared" si="252"/>
        <v>0</v>
      </c>
      <c r="AA402" s="17">
        <f t="shared" si="253"/>
        <v>0</v>
      </c>
      <c r="AB402" s="17">
        <f t="shared" si="254"/>
        <v>0</v>
      </c>
      <c r="AC402" s="17">
        <v>0</v>
      </c>
      <c r="AD402" s="17">
        <f t="shared" si="255"/>
        <v>0</v>
      </c>
      <c r="AE402" s="17">
        <f t="shared" si="256"/>
        <v>0</v>
      </c>
      <c r="AF402" s="17">
        <f t="shared" si="257"/>
        <v>0</v>
      </c>
      <c r="AG402" s="17">
        <f t="shared" si="258"/>
        <v>0</v>
      </c>
      <c r="AH402" s="17">
        <f t="shared" si="259"/>
        <v>0</v>
      </c>
      <c r="AI402" s="17">
        <f t="shared" si="260"/>
        <v>0</v>
      </c>
      <c r="AJ402" s="17">
        <f t="shared" si="261"/>
        <v>0</v>
      </c>
      <c r="AK402" s="17">
        <f t="shared" si="262"/>
        <v>0</v>
      </c>
      <c r="AL402" s="17">
        <f t="shared" si="263"/>
        <v>0</v>
      </c>
      <c r="AM402" s="17">
        <f t="shared" si="264"/>
        <v>0</v>
      </c>
      <c r="AN402" s="17">
        <f t="shared" si="265"/>
        <v>0</v>
      </c>
      <c r="AO402" s="17">
        <f t="shared" si="266"/>
        <v>0</v>
      </c>
      <c r="AP402" s="17">
        <f t="shared" si="267"/>
        <v>0</v>
      </c>
      <c r="AQ402" s="18">
        <v>89.181565948742247</v>
      </c>
      <c r="AR402" s="18">
        <v>106.65277883445198</v>
      </c>
      <c r="AS402" s="18">
        <v>94.388490848547647</v>
      </c>
      <c r="AT402" s="18">
        <v>71.495649868550487</v>
      </c>
      <c r="AU402" s="18">
        <v>103.68571810536763</v>
      </c>
      <c r="AV402" s="18">
        <v>84.970330952544643</v>
      </c>
      <c r="AW402" s="18">
        <v>84.593878877262711</v>
      </c>
      <c r="AX402" s="18">
        <v>57.447105462779966</v>
      </c>
      <c r="AY402" s="18">
        <v>85.153852345557468</v>
      </c>
      <c r="AZ402" s="18">
        <v>74.158058913035177</v>
      </c>
      <c r="BA402" s="18">
        <v>75.718189192107175</v>
      </c>
      <c r="BB402" s="18">
        <v>73.955559365675626</v>
      </c>
      <c r="BC402" s="23">
        <v>8.9181565948742242E-2</v>
      </c>
      <c r="BD402" s="23">
        <v>0.10665277883445198</v>
      </c>
      <c r="BE402" s="23">
        <v>9.438849084854764E-2</v>
      </c>
      <c r="BF402" s="23">
        <v>7.149564986855049E-2</v>
      </c>
      <c r="BG402" s="23">
        <v>0.10368571810536763</v>
      </c>
      <c r="BH402" s="23">
        <v>8.4970330952544637E-2</v>
      </c>
      <c r="BI402" s="23">
        <v>8.4593878877262704E-2</v>
      </c>
      <c r="BJ402" s="23">
        <v>5.7447105462779965E-2</v>
      </c>
      <c r="BK402" s="23">
        <v>8.5153852345557474E-2</v>
      </c>
      <c r="BL402" s="23">
        <v>7.4158058913035174E-2</v>
      </c>
      <c r="BM402" s="23">
        <v>7.5718189192107169E-2</v>
      </c>
      <c r="BN402" s="23">
        <v>7.3955559365675619E-2</v>
      </c>
    </row>
    <row r="403" spans="1:66" x14ac:dyDescent="0.25">
      <c r="A403" s="16">
        <v>6661</v>
      </c>
      <c r="B403" s="16" t="s">
        <v>599</v>
      </c>
      <c r="C403" s="17">
        <v>0</v>
      </c>
      <c r="D403" s="17">
        <f t="shared" si="231"/>
        <v>0</v>
      </c>
      <c r="E403" s="17">
        <f t="shared" si="232"/>
        <v>0</v>
      </c>
      <c r="F403" s="17">
        <f t="shared" si="233"/>
        <v>0</v>
      </c>
      <c r="G403" s="17">
        <f t="shared" si="234"/>
        <v>0</v>
      </c>
      <c r="H403" s="17">
        <f t="shared" si="235"/>
        <v>0</v>
      </c>
      <c r="I403" s="17">
        <f t="shared" si="236"/>
        <v>0</v>
      </c>
      <c r="J403" s="17">
        <f t="shared" si="237"/>
        <v>0</v>
      </c>
      <c r="K403" s="17">
        <f t="shared" si="238"/>
        <v>0</v>
      </c>
      <c r="L403" s="17">
        <f t="shared" si="239"/>
        <v>0</v>
      </c>
      <c r="M403" s="17">
        <f t="shared" si="240"/>
        <v>0</v>
      </c>
      <c r="N403" s="17">
        <f t="shared" si="241"/>
        <v>0</v>
      </c>
      <c r="O403" s="17">
        <f t="shared" si="242"/>
        <v>0</v>
      </c>
      <c r="P403" s="17">
        <v>0</v>
      </c>
      <c r="Q403" s="17">
        <f t="shared" si="243"/>
        <v>0</v>
      </c>
      <c r="R403" s="17">
        <f t="shared" si="244"/>
        <v>0</v>
      </c>
      <c r="S403" s="17">
        <f t="shared" si="245"/>
        <v>0</v>
      </c>
      <c r="T403" s="17">
        <f t="shared" si="246"/>
        <v>0</v>
      </c>
      <c r="U403" s="17">
        <f t="shared" si="247"/>
        <v>0</v>
      </c>
      <c r="V403" s="17">
        <f t="shared" si="248"/>
        <v>0</v>
      </c>
      <c r="W403" s="17">
        <f t="shared" si="249"/>
        <v>0</v>
      </c>
      <c r="X403" s="17">
        <f t="shared" si="250"/>
        <v>0</v>
      </c>
      <c r="Y403" s="17">
        <f t="shared" si="251"/>
        <v>0</v>
      </c>
      <c r="Z403" s="17">
        <f t="shared" si="252"/>
        <v>0</v>
      </c>
      <c r="AA403" s="17">
        <f t="shared" si="253"/>
        <v>0</v>
      </c>
      <c r="AB403" s="17">
        <f t="shared" si="254"/>
        <v>0</v>
      </c>
      <c r="AC403" s="17">
        <v>1000</v>
      </c>
      <c r="AD403" s="17">
        <f t="shared" si="255"/>
        <v>89.181565948742247</v>
      </c>
      <c r="AE403" s="17">
        <f t="shared" si="256"/>
        <v>106.65277883445198</v>
      </c>
      <c r="AF403" s="17">
        <f t="shared" si="257"/>
        <v>94.388490848547647</v>
      </c>
      <c r="AG403" s="17">
        <f t="shared" si="258"/>
        <v>71.495649868550487</v>
      </c>
      <c r="AH403" s="17">
        <f t="shared" si="259"/>
        <v>103.68571810536763</v>
      </c>
      <c r="AI403" s="17">
        <f t="shared" si="260"/>
        <v>84.970330952544643</v>
      </c>
      <c r="AJ403" s="17">
        <f t="shared" si="261"/>
        <v>84.593878877262711</v>
      </c>
      <c r="AK403" s="17">
        <f t="shared" si="262"/>
        <v>57.447105462779966</v>
      </c>
      <c r="AL403" s="17">
        <f t="shared" si="263"/>
        <v>85.153852345557468</v>
      </c>
      <c r="AM403" s="17">
        <f t="shared" si="264"/>
        <v>74.158058913035177</v>
      </c>
      <c r="AN403" s="17">
        <f t="shared" si="265"/>
        <v>75.718189192107175</v>
      </c>
      <c r="AO403" s="17">
        <f t="shared" si="266"/>
        <v>73.955559365675626</v>
      </c>
      <c r="AP403" s="17">
        <f t="shared" si="267"/>
        <v>1000</v>
      </c>
      <c r="AQ403" s="18">
        <v>89.181565948742247</v>
      </c>
      <c r="AR403" s="18">
        <v>106.65277883445198</v>
      </c>
      <c r="AS403" s="18">
        <v>94.388490848547647</v>
      </c>
      <c r="AT403" s="18">
        <v>71.495649868550487</v>
      </c>
      <c r="AU403" s="18">
        <v>103.68571810536763</v>
      </c>
      <c r="AV403" s="18">
        <v>84.970330952544643</v>
      </c>
      <c r="AW403" s="18">
        <v>84.593878877262711</v>
      </c>
      <c r="AX403" s="18">
        <v>57.447105462779966</v>
      </c>
      <c r="AY403" s="18">
        <v>85.153852345557468</v>
      </c>
      <c r="AZ403" s="18">
        <v>74.158058913035177</v>
      </c>
      <c r="BA403" s="18">
        <v>75.718189192107175</v>
      </c>
      <c r="BB403" s="18">
        <v>73.955559365675626</v>
      </c>
      <c r="BC403" s="23">
        <v>8.9181565948742242E-2</v>
      </c>
      <c r="BD403" s="23">
        <v>0.10665277883445198</v>
      </c>
      <c r="BE403" s="23">
        <v>9.438849084854764E-2</v>
      </c>
      <c r="BF403" s="23">
        <v>7.149564986855049E-2</v>
      </c>
      <c r="BG403" s="23">
        <v>0.10368571810536763</v>
      </c>
      <c r="BH403" s="23">
        <v>8.4970330952544637E-2</v>
      </c>
      <c r="BI403" s="23">
        <v>8.4593878877262704E-2</v>
      </c>
      <c r="BJ403" s="23">
        <v>5.7447105462779965E-2</v>
      </c>
      <c r="BK403" s="23">
        <v>8.5153852345557474E-2</v>
      </c>
      <c r="BL403" s="23">
        <v>7.4158058913035174E-2</v>
      </c>
      <c r="BM403" s="23">
        <v>7.5718189192107169E-2</v>
      </c>
      <c r="BN403" s="23">
        <v>7.3955559365675619E-2</v>
      </c>
    </row>
    <row r="404" spans="1:66" x14ac:dyDescent="0.25">
      <c r="A404" s="16">
        <v>6688</v>
      </c>
      <c r="B404" s="16" t="s">
        <v>600</v>
      </c>
      <c r="C404" s="17">
        <v>0</v>
      </c>
      <c r="D404" s="17">
        <f t="shared" si="231"/>
        <v>0</v>
      </c>
      <c r="E404" s="17">
        <f t="shared" si="232"/>
        <v>0</v>
      </c>
      <c r="F404" s="17">
        <f t="shared" si="233"/>
        <v>0</v>
      </c>
      <c r="G404" s="17">
        <f t="shared" si="234"/>
        <v>0</v>
      </c>
      <c r="H404" s="17">
        <f t="shared" si="235"/>
        <v>0</v>
      </c>
      <c r="I404" s="17">
        <f t="shared" si="236"/>
        <v>0</v>
      </c>
      <c r="J404" s="17">
        <f t="shared" si="237"/>
        <v>0</v>
      </c>
      <c r="K404" s="17">
        <f t="shared" si="238"/>
        <v>0</v>
      </c>
      <c r="L404" s="17">
        <f t="shared" si="239"/>
        <v>0</v>
      </c>
      <c r="M404" s="17">
        <f t="shared" si="240"/>
        <v>0</v>
      </c>
      <c r="N404" s="17">
        <f t="shared" si="241"/>
        <v>0</v>
      </c>
      <c r="O404" s="17">
        <f t="shared" si="242"/>
        <v>0</v>
      </c>
      <c r="P404" s="17">
        <v>0</v>
      </c>
      <c r="Q404" s="17">
        <f t="shared" si="243"/>
        <v>0</v>
      </c>
      <c r="R404" s="17">
        <f t="shared" si="244"/>
        <v>0</v>
      </c>
      <c r="S404" s="17">
        <f t="shared" si="245"/>
        <v>0</v>
      </c>
      <c r="T404" s="17">
        <f t="shared" si="246"/>
        <v>0</v>
      </c>
      <c r="U404" s="17">
        <f t="shared" si="247"/>
        <v>0</v>
      </c>
      <c r="V404" s="17">
        <f t="shared" si="248"/>
        <v>0</v>
      </c>
      <c r="W404" s="17">
        <f t="shared" si="249"/>
        <v>0</v>
      </c>
      <c r="X404" s="17">
        <f t="shared" si="250"/>
        <v>0</v>
      </c>
      <c r="Y404" s="17">
        <f t="shared" si="251"/>
        <v>0</v>
      </c>
      <c r="Z404" s="17">
        <f t="shared" si="252"/>
        <v>0</v>
      </c>
      <c r="AA404" s="17">
        <f t="shared" si="253"/>
        <v>0</v>
      </c>
      <c r="AB404" s="17">
        <f t="shared" si="254"/>
        <v>0</v>
      </c>
      <c r="AC404" s="17">
        <v>0</v>
      </c>
      <c r="AD404" s="17">
        <f t="shared" si="255"/>
        <v>0</v>
      </c>
      <c r="AE404" s="17">
        <f t="shared" si="256"/>
        <v>0</v>
      </c>
      <c r="AF404" s="17">
        <f t="shared" si="257"/>
        <v>0</v>
      </c>
      <c r="AG404" s="17">
        <f t="shared" si="258"/>
        <v>0</v>
      </c>
      <c r="AH404" s="17">
        <f t="shared" si="259"/>
        <v>0</v>
      </c>
      <c r="AI404" s="17">
        <f t="shared" si="260"/>
        <v>0</v>
      </c>
      <c r="AJ404" s="17">
        <f t="shared" si="261"/>
        <v>0</v>
      </c>
      <c r="AK404" s="17">
        <f t="shared" si="262"/>
        <v>0</v>
      </c>
      <c r="AL404" s="17">
        <f t="shared" si="263"/>
        <v>0</v>
      </c>
      <c r="AM404" s="17">
        <f t="shared" si="264"/>
        <v>0</v>
      </c>
      <c r="AN404" s="17">
        <f t="shared" si="265"/>
        <v>0</v>
      </c>
      <c r="AO404" s="17">
        <f t="shared" si="266"/>
        <v>0</v>
      </c>
      <c r="AP404" s="17">
        <f t="shared" si="267"/>
        <v>0</v>
      </c>
      <c r="AQ404" s="18">
        <v>90.94736095452734</v>
      </c>
      <c r="AR404" s="18">
        <v>108.76450385537413</v>
      </c>
      <c r="AS404" s="18">
        <v>96.257382967348875</v>
      </c>
      <c r="AT404" s="18">
        <v>72.911263735947784</v>
      </c>
      <c r="AU404" s="18">
        <v>105.7386953238539</v>
      </c>
      <c r="AV404" s="18">
        <v>86.652743505405013</v>
      </c>
      <c r="AW404" s="18">
        <v>86.268837679032501</v>
      </c>
      <c r="AX404" s="18">
        <v>58.584558150943003</v>
      </c>
      <c r="AY404" s="18">
        <v>86.839898621999509</v>
      </c>
      <c r="AZ404" s="18">
        <v>75.626388479513267</v>
      </c>
      <c r="BA404" s="18">
        <v>77.217409338110883</v>
      </c>
      <c r="BB404" s="18">
        <v>75.419879441115995</v>
      </c>
      <c r="BC404" s="23">
        <v>8.9181565948742242E-2</v>
      </c>
      <c r="BD404" s="23">
        <v>0.10665277883445198</v>
      </c>
      <c r="BE404" s="23">
        <v>9.438849084854764E-2</v>
      </c>
      <c r="BF404" s="23">
        <v>7.149564986855049E-2</v>
      </c>
      <c r="BG404" s="23">
        <v>0.10368571810536763</v>
      </c>
      <c r="BH404" s="23">
        <v>8.4970330952544637E-2</v>
      </c>
      <c r="BI404" s="23">
        <v>8.4593878877262704E-2</v>
      </c>
      <c r="BJ404" s="23">
        <v>5.7447105462779965E-2</v>
      </c>
      <c r="BK404" s="23">
        <v>8.5153852345557474E-2</v>
      </c>
      <c r="BL404" s="23">
        <v>7.4158058913035174E-2</v>
      </c>
      <c r="BM404" s="23">
        <v>7.5718189192107169E-2</v>
      </c>
      <c r="BN404" s="23">
        <v>7.3955559365675619E-2</v>
      </c>
    </row>
    <row r="405" spans="1:66" x14ac:dyDescent="0.25">
      <c r="A405" s="16">
        <v>34031</v>
      </c>
      <c r="B405" s="16" t="s">
        <v>601</v>
      </c>
      <c r="C405" s="17">
        <v>0</v>
      </c>
      <c r="D405" s="17">
        <f t="shared" si="231"/>
        <v>0</v>
      </c>
      <c r="E405" s="17">
        <f t="shared" si="232"/>
        <v>0</v>
      </c>
      <c r="F405" s="17">
        <f t="shared" si="233"/>
        <v>0</v>
      </c>
      <c r="G405" s="17">
        <f t="shared" si="234"/>
        <v>0</v>
      </c>
      <c r="H405" s="17">
        <f t="shared" si="235"/>
        <v>0</v>
      </c>
      <c r="I405" s="17">
        <f t="shared" si="236"/>
        <v>0</v>
      </c>
      <c r="J405" s="17">
        <f t="shared" si="237"/>
        <v>0</v>
      </c>
      <c r="K405" s="17">
        <f t="shared" si="238"/>
        <v>0</v>
      </c>
      <c r="L405" s="17">
        <f t="shared" si="239"/>
        <v>0</v>
      </c>
      <c r="M405" s="17">
        <f t="shared" si="240"/>
        <v>0</v>
      </c>
      <c r="N405" s="17">
        <f t="shared" si="241"/>
        <v>0</v>
      </c>
      <c r="O405" s="17">
        <f t="shared" si="242"/>
        <v>0</v>
      </c>
      <c r="P405" s="17">
        <v>0</v>
      </c>
      <c r="Q405" s="17">
        <f t="shared" si="243"/>
        <v>0</v>
      </c>
      <c r="R405" s="17">
        <f t="shared" si="244"/>
        <v>0</v>
      </c>
      <c r="S405" s="17">
        <f t="shared" si="245"/>
        <v>0</v>
      </c>
      <c r="T405" s="17">
        <f t="shared" si="246"/>
        <v>0</v>
      </c>
      <c r="U405" s="17">
        <f t="shared" si="247"/>
        <v>0</v>
      </c>
      <c r="V405" s="17">
        <f t="shared" si="248"/>
        <v>0</v>
      </c>
      <c r="W405" s="17">
        <f t="shared" si="249"/>
        <v>0</v>
      </c>
      <c r="X405" s="17">
        <f t="shared" si="250"/>
        <v>0</v>
      </c>
      <c r="Y405" s="17">
        <f t="shared" si="251"/>
        <v>0</v>
      </c>
      <c r="Z405" s="17">
        <f t="shared" si="252"/>
        <v>0</v>
      </c>
      <c r="AA405" s="17">
        <f t="shared" si="253"/>
        <v>0</v>
      </c>
      <c r="AB405" s="17">
        <f t="shared" si="254"/>
        <v>0</v>
      </c>
      <c r="AC405" s="17">
        <v>0</v>
      </c>
      <c r="AD405" s="17">
        <f t="shared" si="255"/>
        <v>0</v>
      </c>
      <c r="AE405" s="17">
        <f t="shared" si="256"/>
        <v>0</v>
      </c>
      <c r="AF405" s="17">
        <f t="shared" si="257"/>
        <v>0</v>
      </c>
      <c r="AG405" s="17">
        <f t="shared" si="258"/>
        <v>0</v>
      </c>
      <c r="AH405" s="17">
        <f t="shared" si="259"/>
        <v>0</v>
      </c>
      <c r="AI405" s="17">
        <f t="shared" si="260"/>
        <v>0</v>
      </c>
      <c r="AJ405" s="17">
        <f t="shared" si="261"/>
        <v>0</v>
      </c>
      <c r="AK405" s="17">
        <f t="shared" si="262"/>
        <v>0</v>
      </c>
      <c r="AL405" s="17">
        <f t="shared" si="263"/>
        <v>0</v>
      </c>
      <c r="AM405" s="17">
        <f t="shared" si="264"/>
        <v>0</v>
      </c>
      <c r="AN405" s="17">
        <f t="shared" si="265"/>
        <v>0</v>
      </c>
      <c r="AO405" s="17">
        <f t="shared" si="266"/>
        <v>0</v>
      </c>
      <c r="AP405" s="17">
        <f t="shared" si="267"/>
        <v>0</v>
      </c>
      <c r="AQ405" s="18">
        <v>89.181565948742247</v>
      </c>
      <c r="AR405" s="18">
        <v>106.65277883445198</v>
      </c>
      <c r="AS405" s="18">
        <v>94.388490848547647</v>
      </c>
      <c r="AT405" s="18">
        <v>71.495649868550487</v>
      </c>
      <c r="AU405" s="18">
        <v>103.68571810536763</v>
      </c>
      <c r="AV405" s="18">
        <v>84.970330952544643</v>
      </c>
      <c r="AW405" s="18">
        <v>84.593878877262711</v>
      </c>
      <c r="AX405" s="18">
        <v>57.447105462779966</v>
      </c>
      <c r="AY405" s="18">
        <v>85.153852345557468</v>
      </c>
      <c r="AZ405" s="18">
        <v>74.158058913035177</v>
      </c>
      <c r="BA405" s="18">
        <v>75.718189192107175</v>
      </c>
      <c r="BB405" s="18">
        <v>73.955559365675626</v>
      </c>
      <c r="BC405" s="23">
        <v>8.9181565948742242E-2</v>
      </c>
      <c r="BD405" s="23">
        <v>0.10665277883445198</v>
      </c>
      <c r="BE405" s="23">
        <v>9.438849084854764E-2</v>
      </c>
      <c r="BF405" s="23">
        <v>7.149564986855049E-2</v>
      </c>
      <c r="BG405" s="23">
        <v>0.10368571810536763</v>
      </c>
      <c r="BH405" s="23">
        <v>8.4970330952544637E-2</v>
      </c>
      <c r="BI405" s="23">
        <v>8.4593878877262704E-2</v>
      </c>
      <c r="BJ405" s="23">
        <v>5.7447105462779965E-2</v>
      </c>
      <c r="BK405" s="23">
        <v>8.5153852345557474E-2</v>
      </c>
      <c r="BL405" s="23">
        <v>7.4158058913035174E-2</v>
      </c>
      <c r="BM405" s="23">
        <v>7.5718189192107169E-2</v>
      </c>
      <c r="BN405" s="23">
        <v>7.3955559365675619E-2</v>
      </c>
    </row>
    <row r="406" spans="1:66" x14ac:dyDescent="0.25">
      <c r="A406" s="16">
        <v>831</v>
      </c>
      <c r="B406" s="16" t="s">
        <v>602</v>
      </c>
      <c r="C406" s="17">
        <v>1000</v>
      </c>
      <c r="D406" s="17">
        <f t="shared" si="231"/>
        <v>89.181565948742247</v>
      </c>
      <c r="E406" s="17">
        <f t="shared" si="232"/>
        <v>106.65277883445198</v>
      </c>
      <c r="F406" s="17">
        <f t="shared" si="233"/>
        <v>94.388490848547647</v>
      </c>
      <c r="G406" s="17">
        <f t="shared" si="234"/>
        <v>71.495649868550487</v>
      </c>
      <c r="H406" s="17">
        <f t="shared" si="235"/>
        <v>103.68571810536763</v>
      </c>
      <c r="I406" s="17">
        <f t="shared" si="236"/>
        <v>84.970330952544643</v>
      </c>
      <c r="J406" s="17">
        <f t="shared" si="237"/>
        <v>84.593878877262711</v>
      </c>
      <c r="K406" s="17">
        <f t="shared" si="238"/>
        <v>57.447105462779966</v>
      </c>
      <c r="L406" s="17">
        <f t="shared" si="239"/>
        <v>85.153852345557468</v>
      </c>
      <c r="M406" s="17">
        <f t="shared" si="240"/>
        <v>74.158058913035177</v>
      </c>
      <c r="N406" s="17">
        <f t="shared" si="241"/>
        <v>75.718189192107175</v>
      </c>
      <c r="O406" s="17">
        <f t="shared" si="242"/>
        <v>73.955559365675626</v>
      </c>
      <c r="P406" s="17">
        <v>1000</v>
      </c>
      <c r="Q406" s="17">
        <f t="shared" si="243"/>
        <v>89.181565948742247</v>
      </c>
      <c r="R406" s="17">
        <f t="shared" si="244"/>
        <v>106.65277883445198</v>
      </c>
      <c r="S406" s="17">
        <f t="shared" si="245"/>
        <v>94.388490848547647</v>
      </c>
      <c r="T406" s="17">
        <f t="shared" si="246"/>
        <v>71.495649868550487</v>
      </c>
      <c r="U406" s="17">
        <f t="shared" si="247"/>
        <v>103.68571810536763</v>
      </c>
      <c r="V406" s="17">
        <f t="shared" si="248"/>
        <v>84.970330952544643</v>
      </c>
      <c r="W406" s="17">
        <f t="shared" si="249"/>
        <v>84.593878877262711</v>
      </c>
      <c r="X406" s="17">
        <f t="shared" si="250"/>
        <v>57.447105462779966</v>
      </c>
      <c r="Y406" s="17">
        <f t="shared" si="251"/>
        <v>85.153852345557468</v>
      </c>
      <c r="Z406" s="17">
        <f t="shared" si="252"/>
        <v>74.158058913035177</v>
      </c>
      <c r="AA406" s="17">
        <f t="shared" si="253"/>
        <v>75.718189192107175</v>
      </c>
      <c r="AB406" s="17">
        <f t="shared" si="254"/>
        <v>73.955559365675626</v>
      </c>
      <c r="AC406" s="17">
        <v>0</v>
      </c>
      <c r="AD406" s="17">
        <f t="shared" si="255"/>
        <v>0</v>
      </c>
      <c r="AE406" s="17">
        <f t="shared" si="256"/>
        <v>0</v>
      </c>
      <c r="AF406" s="17">
        <f t="shared" si="257"/>
        <v>0</v>
      </c>
      <c r="AG406" s="17">
        <f t="shared" si="258"/>
        <v>0</v>
      </c>
      <c r="AH406" s="17">
        <f t="shared" si="259"/>
        <v>0</v>
      </c>
      <c r="AI406" s="17">
        <f t="shared" si="260"/>
        <v>0</v>
      </c>
      <c r="AJ406" s="17">
        <f t="shared" si="261"/>
        <v>0</v>
      </c>
      <c r="AK406" s="17">
        <f t="shared" si="262"/>
        <v>0</v>
      </c>
      <c r="AL406" s="17">
        <f t="shared" si="263"/>
        <v>0</v>
      </c>
      <c r="AM406" s="17">
        <f t="shared" si="264"/>
        <v>0</v>
      </c>
      <c r="AN406" s="17">
        <f t="shared" si="265"/>
        <v>0</v>
      </c>
      <c r="AO406" s="17">
        <f t="shared" si="266"/>
        <v>0</v>
      </c>
      <c r="AP406" s="17">
        <f t="shared" si="267"/>
        <v>2000</v>
      </c>
      <c r="AQ406" s="18">
        <v>89.181565948742247</v>
      </c>
      <c r="AR406" s="18">
        <v>106.65277883445198</v>
      </c>
      <c r="AS406" s="18">
        <v>94.388490848547647</v>
      </c>
      <c r="AT406" s="18">
        <v>71.495649868550487</v>
      </c>
      <c r="AU406" s="18">
        <v>103.68571810536763</v>
      </c>
      <c r="AV406" s="18">
        <v>84.970330952544643</v>
      </c>
      <c r="AW406" s="18">
        <v>84.593878877262711</v>
      </c>
      <c r="AX406" s="18">
        <v>57.447105462779966</v>
      </c>
      <c r="AY406" s="18">
        <v>85.153852345557468</v>
      </c>
      <c r="AZ406" s="18">
        <v>74.158058913035177</v>
      </c>
      <c r="BA406" s="18">
        <v>75.718189192107175</v>
      </c>
      <c r="BB406" s="18">
        <v>73.955559365675626</v>
      </c>
      <c r="BC406" s="23">
        <v>8.9181565948742242E-2</v>
      </c>
      <c r="BD406" s="23">
        <v>0.10665277883445198</v>
      </c>
      <c r="BE406" s="23">
        <v>9.438849084854764E-2</v>
      </c>
      <c r="BF406" s="23">
        <v>7.149564986855049E-2</v>
      </c>
      <c r="BG406" s="23">
        <v>0.10368571810536763</v>
      </c>
      <c r="BH406" s="23">
        <v>8.4970330952544637E-2</v>
      </c>
      <c r="BI406" s="23">
        <v>8.4593878877262704E-2</v>
      </c>
      <c r="BJ406" s="23">
        <v>5.7447105462779965E-2</v>
      </c>
      <c r="BK406" s="23">
        <v>8.5153852345557474E-2</v>
      </c>
      <c r="BL406" s="23">
        <v>7.4158058913035174E-2</v>
      </c>
      <c r="BM406" s="23">
        <v>7.5718189192107169E-2</v>
      </c>
      <c r="BN406" s="23">
        <v>7.3955559365675619E-2</v>
      </c>
    </row>
    <row r="407" spans="1:66" x14ac:dyDescent="0.25">
      <c r="A407" s="16">
        <v>5087</v>
      </c>
      <c r="B407" s="16" t="s">
        <v>603</v>
      </c>
      <c r="C407" s="17">
        <v>983.73000000000013</v>
      </c>
      <c r="D407" s="17">
        <f t="shared" si="231"/>
        <v>87.730581870756211</v>
      </c>
      <c r="E407" s="17">
        <f t="shared" si="232"/>
        <v>104.91753812281546</v>
      </c>
      <c r="F407" s="17">
        <f t="shared" si="233"/>
        <v>92.852790102441787</v>
      </c>
      <c r="G407" s="17">
        <f t="shared" si="234"/>
        <v>70.332415645189187</v>
      </c>
      <c r="H407" s="17">
        <f t="shared" si="235"/>
        <v>101.99875147179331</v>
      </c>
      <c r="I407" s="17">
        <f t="shared" si="236"/>
        <v>83.587863667946749</v>
      </c>
      <c r="J407" s="17">
        <f t="shared" si="237"/>
        <v>83.217536467929648</v>
      </c>
      <c r="K407" s="17">
        <f t="shared" si="238"/>
        <v>56.512441056900542</v>
      </c>
      <c r="L407" s="17">
        <f t="shared" si="239"/>
        <v>83.768399167895268</v>
      </c>
      <c r="M407" s="17">
        <f t="shared" si="240"/>
        <v>72.951507294520098</v>
      </c>
      <c r="N407" s="17">
        <f t="shared" si="241"/>
        <v>74.4862542539516</v>
      </c>
      <c r="O407" s="17">
        <f t="shared" si="242"/>
        <v>72.752302414796091</v>
      </c>
      <c r="P407" s="17">
        <v>0</v>
      </c>
      <c r="Q407" s="17">
        <f t="shared" si="243"/>
        <v>0</v>
      </c>
      <c r="R407" s="17">
        <f t="shared" si="244"/>
        <v>0</v>
      </c>
      <c r="S407" s="17">
        <f t="shared" si="245"/>
        <v>0</v>
      </c>
      <c r="T407" s="17">
        <f t="shared" si="246"/>
        <v>0</v>
      </c>
      <c r="U407" s="17">
        <f t="shared" si="247"/>
        <v>0</v>
      </c>
      <c r="V407" s="17">
        <f t="shared" si="248"/>
        <v>0</v>
      </c>
      <c r="W407" s="17">
        <f t="shared" si="249"/>
        <v>0</v>
      </c>
      <c r="X407" s="17">
        <f t="shared" si="250"/>
        <v>0</v>
      </c>
      <c r="Y407" s="17">
        <f t="shared" si="251"/>
        <v>0</v>
      </c>
      <c r="Z407" s="17">
        <f t="shared" si="252"/>
        <v>0</v>
      </c>
      <c r="AA407" s="17">
        <f t="shared" si="253"/>
        <v>0</v>
      </c>
      <c r="AB407" s="17">
        <f t="shared" si="254"/>
        <v>0</v>
      </c>
      <c r="AC407" s="17">
        <v>0</v>
      </c>
      <c r="AD407" s="17">
        <f t="shared" si="255"/>
        <v>0</v>
      </c>
      <c r="AE407" s="17">
        <f t="shared" si="256"/>
        <v>0</v>
      </c>
      <c r="AF407" s="17">
        <f t="shared" si="257"/>
        <v>0</v>
      </c>
      <c r="AG407" s="17">
        <f t="shared" si="258"/>
        <v>0</v>
      </c>
      <c r="AH407" s="17">
        <f t="shared" si="259"/>
        <v>0</v>
      </c>
      <c r="AI407" s="17">
        <f t="shared" si="260"/>
        <v>0</v>
      </c>
      <c r="AJ407" s="17">
        <f t="shared" si="261"/>
        <v>0</v>
      </c>
      <c r="AK407" s="17">
        <f t="shared" si="262"/>
        <v>0</v>
      </c>
      <c r="AL407" s="17">
        <f t="shared" si="263"/>
        <v>0</v>
      </c>
      <c r="AM407" s="17">
        <f t="shared" si="264"/>
        <v>0</v>
      </c>
      <c r="AN407" s="17">
        <f t="shared" si="265"/>
        <v>0</v>
      </c>
      <c r="AO407" s="17">
        <f t="shared" si="266"/>
        <v>0</v>
      </c>
      <c r="AP407" s="17">
        <f t="shared" si="267"/>
        <v>983.73000000000013</v>
      </c>
      <c r="AQ407" s="18">
        <v>137.76393745184717</v>
      </c>
      <c r="AR407" s="18">
        <v>164.75273332675039</v>
      </c>
      <c r="AS407" s="18">
        <v>145.80737634622076</v>
      </c>
      <c r="AT407" s="18">
        <v>110.44347709964232</v>
      </c>
      <c r="AU407" s="18">
        <v>160.16934252901149</v>
      </c>
      <c r="AV407" s="18">
        <v>131.25859850159094</v>
      </c>
      <c r="AW407" s="18">
        <v>130.67707114668258</v>
      </c>
      <c r="AX407" s="18">
        <v>88.741875740473063</v>
      </c>
      <c r="AY407" s="18">
        <v>131.54209464161866</v>
      </c>
      <c r="AZ407" s="18">
        <v>114.5562547703824</v>
      </c>
      <c r="BA407" s="18">
        <v>116.96627850002109</v>
      </c>
      <c r="BB407" s="18">
        <v>114.24344197460233</v>
      </c>
      <c r="BC407" s="23">
        <v>8.9181565948742242E-2</v>
      </c>
      <c r="BD407" s="23">
        <v>0.10665277883445198</v>
      </c>
      <c r="BE407" s="23">
        <v>9.438849084854764E-2</v>
      </c>
      <c r="BF407" s="23">
        <v>7.149564986855049E-2</v>
      </c>
      <c r="BG407" s="23">
        <v>0.10368571810536763</v>
      </c>
      <c r="BH407" s="23">
        <v>8.4970330952544637E-2</v>
      </c>
      <c r="BI407" s="23">
        <v>8.4593878877262704E-2</v>
      </c>
      <c r="BJ407" s="23">
        <v>5.7447105462779965E-2</v>
      </c>
      <c r="BK407" s="23">
        <v>8.5153852345557474E-2</v>
      </c>
      <c r="BL407" s="23">
        <v>7.4158058913035174E-2</v>
      </c>
      <c r="BM407" s="23">
        <v>7.5718189192107169E-2</v>
      </c>
      <c r="BN407" s="23">
        <v>7.3955559365675619E-2</v>
      </c>
    </row>
    <row r="408" spans="1:66" x14ac:dyDescent="0.25">
      <c r="A408" s="16">
        <v>1250</v>
      </c>
      <c r="B408" s="16" t="s">
        <v>604</v>
      </c>
      <c r="C408" s="17">
        <v>0</v>
      </c>
      <c r="D408" s="17">
        <f t="shared" si="231"/>
        <v>0</v>
      </c>
      <c r="E408" s="17">
        <f t="shared" si="232"/>
        <v>0</v>
      </c>
      <c r="F408" s="17">
        <f t="shared" si="233"/>
        <v>0</v>
      </c>
      <c r="G408" s="17">
        <f t="shared" si="234"/>
        <v>0</v>
      </c>
      <c r="H408" s="17">
        <f t="shared" si="235"/>
        <v>0</v>
      </c>
      <c r="I408" s="17">
        <f t="shared" si="236"/>
        <v>0</v>
      </c>
      <c r="J408" s="17">
        <f t="shared" si="237"/>
        <v>0</v>
      </c>
      <c r="K408" s="17">
        <f t="shared" si="238"/>
        <v>0</v>
      </c>
      <c r="L408" s="17">
        <f t="shared" si="239"/>
        <v>0</v>
      </c>
      <c r="M408" s="17">
        <f t="shared" si="240"/>
        <v>0</v>
      </c>
      <c r="N408" s="17">
        <f t="shared" si="241"/>
        <v>0</v>
      </c>
      <c r="O408" s="17">
        <f t="shared" si="242"/>
        <v>0</v>
      </c>
      <c r="P408" s="17">
        <v>0</v>
      </c>
      <c r="Q408" s="17">
        <f t="shared" si="243"/>
        <v>0</v>
      </c>
      <c r="R408" s="17">
        <f t="shared" si="244"/>
        <v>0</v>
      </c>
      <c r="S408" s="17">
        <f t="shared" si="245"/>
        <v>0</v>
      </c>
      <c r="T408" s="17">
        <f t="shared" si="246"/>
        <v>0</v>
      </c>
      <c r="U408" s="17">
        <f t="shared" si="247"/>
        <v>0</v>
      </c>
      <c r="V408" s="17">
        <f t="shared" si="248"/>
        <v>0</v>
      </c>
      <c r="W408" s="17">
        <f t="shared" si="249"/>
        <v>0</v>
      </c>
      <c r="X408" s="17">
        <f t="shared" si="250"/>
        <v>0</v>
      </c>
      <c r="Y408" s="17">
        <f t="shared" si="251"/>
        <v>0</v>
      </c>
      <c r="Z408" s="17">
        <f t="shared" si="252"/>
        <v>0</v>
      </c>
      <c r="AA408" s="17">
        <f t="shared" si="253"/>
        <v>0</v>
      </c>
      <c r="AB408" s="17">
        <f t="shared" si="254"/>
        <v>0</v>
      </c>
      <c r="AC408" s="17">
        <v>0</v>
      </c>
      <c r="AD408" s="17">
        <f t="shared" si="255"/>
        <v>0</v>
      </c>
      <c r="AE408" s="17">
        <f t="shared" si="256"/>
        <v>0</v>
      </c>
      <c r="AF408" s="17">
        <f t="shared" si="257"/>
        <v>0</v>
      </c>
      <c r="AG408" s="17">
        <f t="shared" si="258"/>
        <v>0</v>
      </c>
      <c r="AH408" s="17">
        <f t="shared" si="259"/>
        <v>0</v>
      </c>
      <c r="AI408" s="17">
        <f t="shared" si="260"/>
        <v>0</v>
      </c>
      <c r="AJ408" s="17">
        <f t="shared" si="261"/>
        <v>0</v>
      </c>
      <c r="AK408" s="17">
        <f t="shared" si="262"/>
        <v>0</v>
      </c>
      <c r="AL408" s="17">
        <f t="shared" si="263"/>
        <v>0</v>
      </c>
      <c r="AM408" s="17">
        <f t="shared" si="264"/>
        <v>0</v>
      </c>
      <c r="AN408" s="17">
        <f t="shared" si="265"/>
        <v>0</v>
      </c>
      <c r="AO408" s="17">
        <f t="shared" si="266"/>
        <v>0</v>
      </c>
      <c r="AP408" s="17">
        <f t="shared" si="267"/>
        <v>0</v>
      </c>
      <c r="AQ408" s="18">
        <v>87.730581870756211</v>
      </c>
      <c r="AR408" s="18">
        <v>104.91753812281546</v>
      </c>
      <c r="AS408" s="18">
        <v>92.852790102441787</v>
      </c>
      <c r="AT408" s="18">
        <v>70.332415645189187</v>
      </c>
      <c r="AU408" s="18">
        <v>101.99875147179331</v>
      </c>
      <c r="AV408" s="18">
        <v>83.587863667946749</v>
      </c>
      <c r="AW408" s="18">
        <v>83.217536467929648</v>
      </c>
      <c r="AX408" s="18">
        <v>56.512441056900542</v>
      </c>
      <c r="AY408" s="18">
        <v>83.768399167895268</v>
      </c>
      <c r="AZ408" s="18">
        <v>72.951507294520098</v>
      </c>
      <c r="BA408" s="18">
        <v>74.4862542539516</v>
      </c>
      <c r="BB408" s="18">
        <v>72.752302414796091</v>
      </c>
      <c r="BC408" s="23">
        <v>8.9181565948742242E-2</v>
      </c>
      <c r="BD408" s="23">
        <v>0.10665277883445198</v>
      </c>
      <c r="BE408" s="23">
        <v>9.438849084854764E-2</v>
      </c>
      <c r="BF408" s="23">
        <v>7.149564986855049E-2</v>
      </c>
      <c r="BG408" s="23">
        <v>0.10368571810536763</v>
      </c>
      <c r="BH408" s="23">
        <v>8.4970330952544637E-2</v>
      </c>
      <c r="BI408" s="23">
        <v>8.4593878877262704E-2</v>
      </c>
      <c r="BJ408" s="23">
        <v>5.7447105462779965E-2</v>
      </c>
      <c r="BK408" s="23">
        <v>8.5153852345557474E-2</v>
      </c>
      <c r="BL408" s="23">
        <v>7.4158058913035174E-2</v>
      </c>
      <c r="BM408" s="23">
        <v>7.5718189192107169E-2</v>
      </c>
      <c r="BN408" s="23">
        <v>7.3955559365675619E-2</v>
      </c>
    </row>
    <row r="409" spans="1:66" x14ac:dyDescent="0.25">
      <c r="A409" s="16">
        <v>3073</v>
      </c>
      <c r="B409" s="16" t="s">
        <v>605</v>
      </c>
      <c r="C409" s="17">
        <v>12000</v>
      </c>
      <c r="D409" s="17">
        <f t="shared" si="231"/>
        <v>1070.1787913849068</v>
      </c>
      <c r="E409" s="17">
        <f t="shared" si="232"/>
        <v>1279.8333460134238</v>
      </c>
      <c r="F409" s="17">
        <f t="shared" si="233"/>
        <v>1132.6618901825716</v>
      </c>
      <c r="G409" s="17">
        <f t="shared" si="234"/>
        <v>857.94779842260584</v>
      </c>
      <c r="H409" s="17">
        <f t="shared" si="235"/>
        <v>1244.2286172644115</v>
      </c>
      <c r="I409" s="17">
        <f t="shared" si="236"/>
        <v>1019.6439714305357</v>
      </c>
      <c r="J409" s="17">
        <f t="shared" si="237"/>
        <v>1015.1265465271524</v>
      </c>
      <c r="K409" s="17">
        <f t="shared" si="238"/>
        <v>689.36526555335956</v>
      </c>
      <c r="L409" s="17">
        <f t="shared" si="239"/>
        <v>1021.8462281466897</v>
      </c>
      <c r="M409" s="17">
        <f t="shared" si="240"/>
        <v>889.89670695642212</v>
      </c>
      <c r="N409" s="17">
        <f t="shared" si="241"/>
        <v>908.61827030528605</v>
      </c>
      <c r="O409" s="17">
        <f t="shared" si="242"/>
        <v>887.46671238810745</v>
      </c>
      <c r="P409" s="17">
        <v>0</v>
      </c>
      <c r="Q409" s="17">
        <f t="shared" si="243"/>
        <v>0</v>
      </c>
      <c r="R409" s="17">
        <f t="shared" si="244"/>
        <v>0</v>
      </c>
      <c r="S409" s="17">
        <f t="shared" si="245"/>
        <v>0</v>
      </c>
      <c r="T409" s="17">
        <f t="shared" si="246"/>
        <v>0</v>
      </c>
      <c r="U409" s="17">
        <f t="shared" si="247"/>
        <v>0</v>
      </c>
      <c r="V409" s="17">
        <f t="shared" si="248"/>
        <v>0</v>
      </c>
      <c r="W409" s="17">
        <f t="shared" si="249"/>
        <v>0</v>
      </c>
      <c r="X409" s="17">
        <f t="shared" si="250"/>
        <v>0</v>
      </c>
      <c r="Y409" s="17">
        <f t="shared" si="251"/>
        <v>0</v>
      </c>
      <c r="Z409" s="17">
        <f t="shared" si="252"/>
        <v>0</v>
      </c>
      <c r="AA409" s="17">
        <f t="shared" si="253"/>
        <v>0</v>
      </c>
      <c r="AB409" s="17">
        <f t="shared" si="254"/>
        <v>0</v>
      </c>
      <c r="AC409" s="17">
        <v>0</v>
      </c>
      <c r="AD409" s="17">
        <f t="shared" si="255"/>
        <v>0</v>
      </c>
      <c r="AE409" s="17">
        <f t="shared" si="256"/>
        <v>0</v>
      </c>
      <c r="AF409" s="17">
        <f t="shared" si="257"/>
        <v>0</v>
      </c>
      <c r="AG409" s="17">
        <f t="shared" si="258"/>
        <v>0</v>
      </c>
      <c r="AH409" s="17">
        <f t="shared" si="259"/>
        <v>0</v>
      </c>
      <c r="AI409" s="17">
        <f t="shared" si="260"/>
        <v>0</v>
      </c>
      <c r="AJ409" s="17">
        <f t="shared" si="261"/>
        <v>0</v>
      </c>
      <c r="AK409" s="17">
        <f t="shared" si="262"/>
        <v>0</v>
      </c>
      <c r="AL409" s="17">
        <f t="shared" si="263"/>
        <v>0</v>
      </c>
      <c r="AM409" s="17">
        <f t="shared" si="264"/>
        <v>0</v>
      </c>
      <c r="AN409" s="17">
        <f t="shared" si="265"/>
        <v>0</v>
      </c>
      <c r="AO409" s="17">
        <f t="shared" si="266"/>
        <v>0</v>
      </c>
      <c r="AP409" s="17">
        <f t="shared" si="267"/>
        <v>12000</v>
      </c>
      <c r="AQ409" s="18">
        <v>87.513335576105064</v>
      </c>
      <c r="AR409" s="18">
        <v>104.65773195357473</v>
      </c>
      <c r="AS409" s="18">
        <v>92.622859738734704</v>
      </c>
      <c r="AT409" s="18">
        <v>70.158252242109384</v>
      </c>
      <c r="AU409" s="18">
        <v>101.74617306248862</v>
      </c>
      <c r="AV409" s="18">
        <v>83.380875941746339</v>
      </c>
      <c r="AW409" s="18">
        <v>83.011465778984629</v>
      </c>
      <c r="AX409" s="18">
        <v>56.372499907993202</v>
      </c>
      <c r="AY409" s="18">
        <v>83.560964383581478</v>
      </c>
      <c r="AZ409" s="18">
        <v>72.770858263007938</v>
      </c>
      <c r="BA409" s="18">
        <v>74.301804745079608</v>
      </c>
      <c r="BB409" s="18">
        <v>72.57214667218129</v>
      </c>
      <c r="BC409" s="23">
        <v>8.9181565948742242E-2</v>
      </c>
      <c r="BD409" s="23">
        <v>0.10665277883445198</v>
      </c>
      <c r="BE409" s="23">
        <v>9.438849084854764E-2</v>
      </c>
      <c r="BF409" s="23">
        <v>7.149564986855049E-2</v>
      </c>
      <c r="BG409" s="23">
        <v>0.10368571810536763</v>
      </c>
      <c r="BH409" s="23">
        <v>8.4970330952544637E-2</v>
      </c>
      <c r="BI409" s="23">
        <v>8.4593878877262704E-2</v>
      </c>
      <c r="BJ409" s="23">
        <v>5.7447105462779965E-2</v>
      </c>
      <c r="BK409" s="23">
        <v>8.5153852345557474E-2</v>
      </c>
      <c r="BL409" s="23">
        <v>7.4158058913035174E-2</v>
      </c>
      <c r="BM409" s="23">
        <v>7.5718189192107169E-2</v>
      </c>
      <c r="BN409" s="23">
        <v>7.3955559365675619E-2</v>
      </c>
    </row>
    <row r="410" spans="1:66" x14ac:dyDescent="0.25">
      <c r="A410" s="16">
        <v>6523</v>
      </c>
      <c r="B410" s="16" t="s">
        <v>606</v>
      </c>
      <c r="C410" s="17">
        <v>0</v>
      </c>
      <c r="D410" s="17">
        <f t="shared" si="231"/>
        <v>0</v>
      </c>
      <c r="E410" s="17">
        <f t="shared" si="232"/>
        <v>0</v>
      </c>
      <c r="F410" s="17">
        <f t="shared" si="233"/>
        <v>0</v>
      </c>
      <c r="G410" s="17">
        <f t="shared" si="234"/>
        <v>0</v>
      </c>
      <c r="H410" s="17">
        <f t="shared" si="235"/>
        <v>0</v>
      </c>
      <c r="I410" s="17">
        <f t="shared" si="236"/>
        <v>0</v>
      </c>
      <c r="J410" s="17">
        <f t="shared" si="237"/>
        <v>0</v>
      </c>
      <c r="K410" s="17">
        <f t="shared" si="238"/>
        <v>0</v>
      </c>
      <c r="L410" s="17">
        <f t="shared" si="239"/>
        <v>0</v>
      </c>
      <c r="M410" s="17">
        <f t="shared" si="240"/>
        <v>0</v>
      </c>
      <c r="N410" s="17">
        <f t="shared" si="241"/>
        <v>0</v>
      </c>
      <c r="O410" s="17">
        <f t="shared" si="242"/>
        <v>0</v>
      </c>
      <c r="P410" s="17">
        <v>0</v>
      </c>
      <c r="Q410" s="17">
        <f t="shared" si="243"/>
        <v>0</v>
      </c>
      <c r="R410" s="17">
        <f t="shared" si="244"/>
        <v>0</v>
      </c>
      <c r="S410" s="17">
        <f t="shared" si="245"/>
        <v>0</v>
      </c>
      <c r="T410" s="17">
        <f t="shared" si="246"/>
        <v>0</v>
      </c>
      <c r="U410" s="17">
        <f t="shared" si="247"/>
        <v>0</v>
      </c>
      <c r="V410" s="17">
        <f t="shared" si="248"/>
        <v>0</v>
      </c>
      <c r="W410" s="17">
        <f t="shared" si="249"/>
        <v>0</v>
      </c>
      <c r="X410" s="17">
        <f t="shared" si="250"/>
        <v>0</v>
      </c>
      <c r="Y410" s="17">
        <f t="shared" si="251"/>
        <v>0</v>
      </c>
      <c r="Z410" s="17">
        <f t="shared" si="252"/>
        <v>0</v>
      </c>
      <c r="AA410" s="17">
        <f t="shared" si="253"/>
        <v>0</v>
      </c>
      <c r="AB410" s="17">
        <f t="shared" si="254"/>
        <v>0</v>
      </c>
      <c r="AC410" s="17">
        <v>0</v>
      </c>
      <c r="AD410" s="17">
        <f t="shared" si="255"/>
        <v>0</v>
      </c>
      <c r="AE410" s="17">
        <f t="shared" si="256"/>
        <v>0</v>
      </c>
      <c r="AF410" s="17">
        <f t="shared" si="257"/>
        <v>0</v>
      </c>
      <c r="AG410" s="17">
        <f t="shared" si="258"/>
        <v>0</v>
      </c>
      <c r="AH410" s="17">
        <f t="shared" si="259"/>
        <v>0</v>
      </c>
      <c r="AI410" s="17">
        <f t="shared" si="260"/>
        <v>0</v>
      </c>
      <c r="AJ410" s="17">
        <f t="shared" si="261"/>
        <v>0</v>
      </c>
      <c r="AK410" s="17">
        <f t="shared" si="262"/>
        <v>0</v>
      </c>
      <c r="AL410" s="17">
        <f t="shared" si="263"/>
        <v>0</v>
      </c>
      <c r="AM410" s="17">
        <f t="shared" si="264"/>
        <v>0</v>
      </c>
      <c r="AN410" s="17">
        <f t="shared" si="265"/>
        <v>0</v>
      </c>
      <c r="AO410" s="17">
        <f t="shared" si="266"/>
        <v>0</v>
      </c>
      <c r="AP410" s="17">
        <f t="shared" si="267"/>
        <v>0</v>
      </c>
      <c r="AQ410" s="18">
        <v>85.44485833548994</v>
      </c>
      <c r="AR410" s="18">
        <v>102.18402740128845</v>
      </c>
      <c r="AS410" s="18">
        <v>90.433613081993499</v>
      </c>
      <c r="AT410" s="18">
        <v>68.499982139058233</v>
      </c>
      <c r="AU410" s="18">
        <v>99.341286516752731</v>
      </c>
      <c r="AV410" s="18">
        <v>81.410074085633013</v>
      </c>
      <c r="AW410" s="18">
        <v>81.049395352305396</v>
      </c>
      <c r="AX410" s="18">
        <v>55.040071743889484</v>
      </c>
      <c r="AY410" s="18">
        <v>81.585905932278621</v>
      </c>
      <c r="AZ410" s="18">
        <v>71.050836244579003</v>
      </c>
      <c r="BA410" s="18">
        <v>72.545597064957875</v>
      </c>
      <c r="BB410" s="18">
        <v>70.856821428253809</v>
      </c>
      <c r="BC410" s="23">
        <v>8.9181565948742242E-2</v>
      </c>
      <c r="BD410" s="23">
        <v>0.10665277883445198</v>
      </c>
      <c r="BE410" s="23">
        <v>9.438849084854764E-2</v>
      </c>
      <c r="BF410" s="23">
        <v>7.149564986855049E-2</v>
      </c>
      <c r="BG410" s="23">
        <v>0.10368571810536763</v>
      </c>
      <c r="BH410" s="23">
        <v>8.4970330952544637E-2</v>
      </c>
      <c r="BI410" s="23">
        <v>8.4593878877262704E-2</v>
      </c>
      <c r="BJ410" s="23">
        <v>5.7447105462779965E-2</v>
      </c>
      <c r="BK410" s="23">
        <v>8.5153852345557474E-2</v>
      </c>
      <c r="BL410" s="23">
        <v>7.4158058913035174E-2</v>
      </c>
      <c r="BM410" s="23">
        <v>7.5718189192107169E-2</v>
      </c>
      <c r="BN410" s="23">
        <v>7.3955559365675619E-2</v>
      </c>
    </row>
    <row r="411" spans="1:66" x14ac:dyDescent="0.25">
      <c r="A411" s="16">
        <v>35308</v>
      </c>
      <c r="B411" s="16" t="s">
        <v>607</v>
      </c>
      <c r="C411" s="17">
        <v>0</v>
      </c>
      <c r="D411" s="17">
        <f t="shared" si="231"/>
        <v>0</v>
      </c>
      <c r="E411" s="17">
        <f t="shared" si="232"/>
        <v>0</v>
      </c>
      <c r="F411" s="17">
        <f t="shared" si="233"/>
        <v>0</v>
      </c>
      <c r="G411" s="17">
        <f t="shared" si="234"/>
        <v>0</v>
      </c>
      <c r="H411" s="17">
        <f t="shared" si="235"/>
        <v>0</v>
      </c>
      <c r="I411" s="17">
        <f t="shared" si="236"/>
        <v>0</v>
      </c>
      <c r="J411" s="17">
        <f t="shared" si="237"/>
        <v>0</v>
      </c>
      <c r="K411" s="17">
        <f t="shared" si="238"/>
        <v>0</v>
      </c>
      <c r="L411" s="17">
        <f t="shared" si="239"/>
        <v>0</v>
      </c>
      <c r="M411" s="17">
        <f t="shared" si="240"/>
        <v>0</v>
      </c>
      <c r="N411" s="17">
        <f t="shared" si="241"/>
        <v>0</v>
      </c>
      <c r="O411" s="17">
        <f t="shared" si="242"/>
        <v>0</v>
      </c>
      <c r="P411" s="17">
        <v>0</v>
      </c>
      <c r="Q411" s="17">
        <f t="shared" si="243"/>
        <v>0</v>
      </c>
      <c r="R411" s="17">
        <f t="shared" si="244"/>
        <v>0</v>
      </c>
      <c r="S411" s="17">
        <f t="shared" si="245"/>
        <v>0</v>
      </c>
      <c r="T411" s="17">
        <f t="shared" si="246"/>
        <v>0</v>
      </c>
      <c r="U411" s="17">
        <f t="shared" si="247"/>
        <v>0</v>
      </c>
      <c r="V411" s="17">
        <f t="shared" si="248"/>
        <v>0</v>
      </c>
      <c r="W411" s="17">
        <f t="shared" si="249"/>
        <v>0</v>
      </c>
      <c r="X411" s="17">
        <f t="shared" si="250"/>
        <v>0</v>
      </c>
      <c r="Y411" s="17">
        <f t="shared" si="251"/>
        <v>0</v>
      </c>
      <c r="Z411" s="17">
        <f t="shared" si="252"/>
        <v>0</v>
      </c>
      <c r="AA411" s="17">
        <f t="shared" si="253"/>
        <v>0</v>
      </c>
      <c r="AB411" s="17">
        <f t="shared" si="254"/>
        <v>0</v>
      </c>
      <c r="AC411" s="17">
        <v>0</v>
      </c>
      <c r="AD411" s="17">
        <f t="shared" si="255"/>
        <v>0</v>
      </c>
      <c r="AE411" s="17">
        <f t="shared" si="256"/>
        <v>0</v>
      </c>
      <c r="AF411" s="17">
        <f t="shared" si="257"/>
        <v>0</v>
      </c>
      <c r="AG411" s="17">
        <f t="shared" si="258"/>
        <v>0</v>
      </c>
      <c r="AH411" s="17">
        <f t="shared" si="259"/>
        <v>0</v>
      </c>
      <c r="AI411" s="17">
        <f t="shared" si="260"/>
        <v>0</v>
      </c>
      <c r="AJ411" s="17">
        <f t="shared" si="261"/>
        <v>0</v>
      </c>
      <c r="AK411" s="17">
        <f t="shared" si="262"/>
        <v>0</v>
      </c>
      <c r="AL411" s="17">
        <f t="shared" si="263"/>
        <v>0</v>
      </c>
      <c r="AM411" s="17">
        <f t="shared" si="264"/>
        <v>0</v>
      </c>
      <c r="AN411" s="17">
        <f t="shared" si="265"/>
        <v>0</v>
      </c>
      <c r="AO411" s="17">
        <f t="shared" si="266"/>
        <v>0</v>
      </c>
      <c r="AP411" s="17">
        <f t="shared" si="267"/>
        <v>0</v>
      </c>
      <c r="AQ411" s="18">
        <v>85.23349802419142</v>
      </c>
      <c r="AR411" s="18">
        <v>101.9312603154508</v>
      </c>
      <c r="AS411" s="18">
        <v>90.209912358682445</v>
      </c>
      <c r="AT411" s="18">
        <v>68.330537448869762</v>
      </c>
      <c r="AU411" s="18">
        <v>99.095551364843004</v>
      </c>
      <c r="AV411" s="18">
        <v>81.208694401275494</v>
      </c>
      <c r="AW411" s="18">
        <v>80.848907859366292</v>
      </c>
      <c r="AX411" s="18">
        <v>54.903922103942698</v>
      </c>
      <c r="AY411" s="18">
        <v>81.384091302219645</v>
      </c>
      <c r="AZ411" s="18">
        <v>70.875081644955102</v>
      </c>
      <c r="BA411" s="18">
        <v>72.366144956572583</v>
      </c>
      <c r="BB411" s="18">
        <v>70.681546752557153</v>
      </c>
      <c r="BC411" s="23">
        <v>8.9181565948742242E-2</v>
      </c>
      <c r="BD411" s="23">
        <v>0.10665277883445198</v>
      </c>
      <c r="BE411" s="23">
        <v>9.438849084854764E-2</v>
      </c>
      <c r="BF411" s="23">
        <v>7.149564986855049E-2</v>
      </c>
      <c r="BG411" s="23">
        <v>0.10368571810536763</v>
      </c>
      <c r="BH411" s="23">
        <v>8.4970330952544637E-2</v>
      </c>
      <c r="BI411" s="23">
        <v>8.4593878877262704E-2</v>
      </c>
      <c r="BJ411" s="23">
        <v>5.7447105462779965E-2</v>
      </c>
      <c r="BK411" s="23">
        <v>8.5153852345557474E-2</v>
      </c>
      <c r="BL411" s="23">
        <v>7.4158058913035174E-2</v>
      </c>
      <c r="BM411" s="23">
        <v>7.5718189192107169E-2</v>
      </c>
      <c r="BN411" s="23">
        <v>7.3955559365675619E-2</v>
      </c>
    </row>
    <row r="412" spans="1:66" x14ac:dyDescent="0.25">
      <c r="A412" s="16">
        <v>27011</v>
      </c>
      <c r="B412" s="16" t="s">
        <v>608</v>
      </c>
      <c r="C412" s="17">
        <v>0</v>
      </c>
      <c r="D412" s="17">
        <f t="shared" si="231"/>
        <v>0</v>
      </c>
      <c r="E412" s="17">
        <f t="shared" si="232"/>
        <v>0</v>
      </c>
      <c r="F412" s="17">
        <f t="shared" si="233"/>
        <v>0</v>
      </c>
      <c r="G412" s="17">
        <f t="shared" si="234"/>
        <v>0</v>
      </c>
      <c r="H412" s="17">
        <f t="shared" si="235"/>
        <v>0</v>
      </c>
      <c r="I412" s="17">
        <f t="shared" si="236"/>
        <v>0</v>
      </c>
      <c r="J412" s="17">
        <f t="shared" si="237"/>
        <v>0</v>
      </c>
      <c r="K412" s="17">
        <f t="shared" si="238"/>
        <v>0</v>
      </c>
      <c r="L412" s="17">
        <f t="shared" si="239"/>
        <v>0</v>
      </c>
      <c r="M412" s="17">
        <f t="shared" si="240"/>
        <v>0</v>
      </c>
      <c r="N412" s="17">
        <f t="shared" si="241"/>
        <v>0</v>
      </c>
      <c r="O412" s="17">
        <f t="shared" si="242"/>
        <v>0</v>
      </c>
      <c r="P412" s="17">
        <v>0</v>
      </c>
      <c r="Q412" s="17">
        <f t="shared" si="243"/>
        <v>0</v>
      </c>
      <c r="R412" s="17">
        <f t="shared" si="244"/>
        <v>0</v>
      </c>
      <c r="S412" s="17">
        <f t="shared" si="245"/>
        <v>0</v>
      </c>
      <c r="T412" s="17">
        <f t="shared" si="246"/>
        <v>0</v>
      </c>
      <c r="U412" s="17">
        <f t="shared" si="247"/>
        <v>0</v>
      </c>
      <c r="V412" s="17">
        <f t="shared" si="248"/>
        <v>0</v>
      </c>
      <c r="W412" s="17">
        <f t="shared" si="249"/>
        <v>0</v>
      </c>
      <c r="X412" s="17">
        <f t="shared" si="250"/>
        <v>0</v>
      </c>
      <c r="Y412" s="17">
        <f t="shared" si="251"/>
        <v>0</v>
      </c>
      <c r="Z412" s="17">
        <f t="shared" si="252"/>
        <v>0</v>
      </c>
      <c r="AA412" s="17">
        <f t="shared" si="253"/>
        <v>0</v>
      </c>
      <c r="AB412" s="17">
        <f t="shared" si="254"/>
        <v>0</v>
      </c>
      <c r="AC412" s="17">
        <v>0</v>
      </c>
      <c r="AD412" s="17">
        <f t="shared" si="255"/>
        <v>0</v>
      </c>
      <c r="AE412" s="17">
        <f t="shared" si="256"/>
        <v>0</v>
      </c>
      <c r="AF412" s="17">
        <f t="shared" si="257"/>
        <v>0</v>
      </c>
      <c r="AG412" s="17">
        <f t="shared" si="258"/>
        <v>0</v>
      </c>
      <c r="AH412" s="17">
        <f t="shared" si="259"/>
        <v>0</v>
      </c>
      <c r="AI412" s="17">
        <f t="shared" si="260"/>
        <v>0</v>
      </c>
      <c r="AJ412" s="17">
        <f t="shared" si="261"/>
        <v>0</v>
      </c>
      <c r="AK412" s="17">
        <f t="shared" si="262"/>
        <v>0</v>
      </c>
      <c r="AL412" s="17">
        <f t="shared" si="263"/>
        <v>0</v>
      </c>
      <c r="AM412" s="17">
        <f t="shared" si="264"/>
        <v>0</v>
      </c>
      <c r="AN412" s="17">
        <f t="shared" si="265"/>
        <v>0</v>
      </c>
      <c r="AO412" s="17">
        <f t="shared" si="266"/>
        <v>0</v>
      </c>
      <c r="AP412" s="17">
        <f t="shared" si="267"/>
        <v>0</v>
      </c>
      <c r="AQ412" s="18">
        <v>89.524379888249214</v>
      </c>
      <c r="AR412" s="18">
        <v>107.06275211629162</v>
      </c>
      <c r="AS412" s="18">
        <v>94.75132020736946</v>
      </c>
      <c r="AT412" s="18">
        <v>71.770479146645201</v>
      </c>
      <c r="AU412" s="18">
        <v>104.08428600576467</v>
      </c>
      <c r="AV412" s="18">
        <v>85.29695690472623</v>
      </c>
      <c r="AW412" s="18">
        <v>84.919057747666912</v>
      </c>
      <c r="AX412" s="18">
        <v>57.667932136178898</v>
      </c>
      <c r="AY412" s="18">
        <v>85.481183753973795</v>
      </c>
      <c r="AZ412" s="18">
        <v>74.443122491496879</v>
      </c>
      <c r="BA412" s="18">
        <v>76.009249911361636</v>
      </c>
      <c r="BB412" s="18">
        <v>74.239844535877282</v>
      </c>
      <c r="BC412" s="23">
        <v>8.9181565948742242E-2</v>
      </c>
      <c r="BD412" s="23">
        <v>0.10665277883445198</v>
      </c>
      <c r="BE412" s="23">
        <v>9.438849084854764E-2</v>
      </c>
      <c r="BF412" s="23">
        <v>7.149564986855049E-2</v>
      </c>
      <c r="BG412" s="23">
        <v>0.10368571810536763</v>
      </c>
      <c r="BH412" s="23">
        <v>8.4970330952544637E-2</v>
      </c>
      <c r="BI412" s="23">
        <v>8.4593878877262704E-2</v>
      </c>
      <c r="BJ412" s="23">
        <v>5.7447105462779965E-2</v>
      </c>
      <c r="BK412" s="23">
        <v>8.5153852345557474E-2</v>
      </c>
      <c r="BL412" s="23">
        <v>7.4158058913035174E-2</v>
      </c>
      <c r="BM412" s="23">
        <v>7.5718189192107169E-2</v>
      </c>
      <c r="BN412" s="23">
        <v>7.3955559365675619E-2</v>
      </c>
    </row>
    <row r="413" spans="1:66" x14ac:dyDescent="0.25">
      <c r="A413" s="16">
        <v>2668</v>
      </c>
      <c r="B413" s="16" t="s">
        <v>609</v>
      </c>
      <c r="C413" s="17">
        <v>2000</v>
      </c>
      <c r="D413" s="17">
        <f t="shared" si="231"/>
        <v>178.36313189748449</v>
      </c>
      <c r="E413" s="17">
        <f t="shared" si="232"/>
        <v>213.30555766890396</v>
      </c>
      <c r="F413" s="17">
        <f t="shared" si="233"/>
        <v>188.77698169709529</v>
      </c>
      <c r="G413" s="17">
        <f t="shared" si="234"/>
        <v>142.99129973710097</v>
      </c>
      <c r="H413" s="17">
        <f t="shared" si="235"/>
        <v>207.37143621073525</v>
      </c>
      <c r="I413" s="17">
        <f t="shared" si="236"/>
        <v>169.94066190508929</v>
      </c>
      <c r="J413" s="17">
        <f t="shared" si="237"/>
        <v>169.18775775452542</v>
      </c>
      <c r="K413" s="17">
        <f t="shared" si="238"/>
        <v>114.89421092555993</v>
      </c>
      <c r="L413" s="17">
        <f t="shared" si="239"/>
        <v>170.30770469111494</v>
      </c>
      <c r="M413" s="17">
        <f t="shared" si="240"/>
        <v>148.31611782607035</v>
      </c>
      <c r="N413" s="17">
        <f t="shared" si="241"/>
        <v>151.43637838421435</v>
      </c>
      <c r="O413" s="17">
        <f t="shared" si="242"/>
        <v>147.91111873135125</v>
      </c>
      <c r="P413" s="17">
        <v>0</v>
      </c>
      <c r="Q413" s="17">
        <f t="shared" si="243"/>
        <v>0</v>
      </c>
      <c r="R413" s="17">
        <f t="shared" si="244"/>
        <v>0</v>
      </c>
      <c r="S413" s="17">
        <f t="shared" si="245"/>
        <v>0</v>
      </c>
      <c r="T413" s="17">
        <f t="shared" si="246"/>
        <v>0</v>
      </c>
      <c r="U413" s="17">
        <f t="shared" si="247"/>
        <v>0</v>
      </c>
      <c r="V413" s="17">
        <f t="shared" si="248"/>
        <v>0</v>
      </c>
      <c r="W413" s="17">
        <f t="shared" si="249"/>
        <v>0</v>
      </c>
      <c r="X413" s="17">
        <f t="shared" si="250"/>
        <v>0</v>
      </c>
      <c r="Y413" s="17">
        <f t="shared" si="251"/>
        <v>0</v>
      </c>
      <c r="Z413" s="17">
        <f t="shared" si="252"/>
        <v>0</v>
      </c>
      <c r="AA413" s="17">
        <f t="shared" si="253"/>
        <v>0</v>
      </c>
      <c r="AB413" s="17">
        <f t="shared" si="254"/>
        <v>0</v>
      </c>
      <c r="AC413" s="17">
        <v>0</v>
      </c>
      <c r="AD413" s="17">
        <f t="shared" si="255"/>
        <v>0</v>
      </c>
      <c r="AE413" s="17">
        <f t="shared" si="256"/>
        <v>0</v>
      </c>
      <c r="AF413" s="17">
        <f t="shared" si="257"/>
        <v>0</v>
      </c>
      <c r="AG413" s="17">
        <f t="shared" si="258"/>
        <v>0</v>
      </c>
      <c r="AH413" s="17">
        <f t="shared" si="259"/>
        <v>0</v>
      </c>
      <c r="AI413" s="17">
        <f t="shared" si="260"/>
        <v>0</v>
      </c>
      <c r="AJ413" s="17">
        <f t="shared" si="261"/>
        <v>0</v>
      </c>
      <c r="AK413" s="17">
        <f t="shared" si="262"/>
        <v>0</v>
      </c>
      <c r="AL413" s="17">
        <f t="shared" si="263"/>
        <v>0</v>
      </c>
      <c r="AM413" s="17">
        <f t="shared" si="264"/>
        <v>0</v>
      </c>
      <c r="AN413" s="17">
        <f t="shared" si="265"/>
        <v>0</v>
      </c>
      <c r="AO413" s="17">
        <f t="shared" si="266"/>
        <v>0</v>
      </c>
      <c r="AP413" s="17">
        <f t="shared" si="267"/>
        <v>2000</v>
      </c>
      <c r="AQ413" s="18">
        <v>92.36088877481491</v>
      </c>
      <c r="AR413" s="18">
        <v>110.45495039990021</v>
      </c>
      <c r="AS413" s="18">
        <v>97.753440547298368</v>
      </c>
      <c r="AT413" s="18">
        <v>74.044469786364317</v>
      </c>
      <c r="AU413" s="18">
        <v>107.382113955824</v>
      </c>
      <c r="AV413" s="18">
        <v>87.999523251002856</v>
      </c>
      <c r="AW413" s="18">
        <v>87.609650659237133</v>
      </c>
      <c r="AX413" s="18">
        <v>59.495094772528077</v>
      </c>
      <c r="AY413" s="18">
        <v>88.1895871816766</v>
      </c>
      <c r="AZ413" s="18">
        <v>76.80179371328488</v>
      </c>
      <c r="BA413" s="18">
        <v>78.417542636805791</v>
      </c>
      <c r="BB413" s="18">
        <v>76.592075057061962</v>
      </c>
      <c r="BC413" s="23">
        <v>8.9181565948742242E-2</v>
      </c>
      <c r="BD413" s="23">
        <v>0.10665277883445198</v>
      </c>
      <c r="BE413" s="23">
        <v>9.438849084854764E-2</v>
      </c>
      <c r="BF413" s="23">
        <v>7.149564986855049E-2</v>
      </c>
      <c r="BG413" s="23">
        <v>0.10368571810536763</v>
      </c>
      <c r="BH413" s="23">
        <v>8.4970330952544637E-2</v>
      </c>
      <c r="BI413" s="23">
        <v>8.4593878877262704E-2</v>
      </c>
      <c r="BJ413" s="23">
        <v>5.7447105462779965E-2</v>
      </c>
      <c r="BK413" s="23">
        <v>8.5153852345557474E-2</v>
      </c>
      <c r="BL413" s="23">
        <v>7.4158058913035174E-2</v>
      </c>
      <c r="BM413" s="23">
        <v>7.5718189192107169E-2</v>
      </c>
      <c r="BN413" s="23">
        <v>7.3955559365675619E-2</v>
      </c>
    </row>
    <row r="414" spans="1:66" x14ac:dyDescent="0.25">
      <c r="A414" s="16">
        <v>606</v>
      </c>
      <c r="B414" s="16" t="s">
        <v>610</v>
      </c>
      <c r="C414" s="17">
        <v>386.36400000000003</v>
      </c>
      <c r="D414" s="17">
        <f t="shared" si="231"/>
        <v>34.456546546219847</v>
      </c>
      <c r="E414" s="17">
        <f t="shared" si="232"/>
        <v>41.20679424159421</v>
      </c>
      <c r="F414" s="17">
        <f t="shared" si="233"/>
        <v>36.468314878208261</v>
      </c>
      <c r="G414" s="17">
        <f t="shared" si="234"/>
        <v>27.623345265812645</v>
      </c>
      <c r="H414" s="17">
        <f t="shared" si="235"/>
        <v>40.060428790062261</v>
      </c>
      <c r="I414" s="17">
        <f t="shared" si="236"/>
        <v>32.829476948148958</v>
      </c>
      <c r="J414" s="17">
        <f t="shared" si="237"/>
        <v>32.684029418534728</v>
      </c>
      <c r="K414" s="17">
        <f t="shared" si="238"/>
        <v>22.19549345502152</v>
      </c>
      <c r="L414" s="17">
        <f t="shared" si="239"/>
        <v>32.900383007638972</v>
      </c>
      <c r="M414" s="17">
        <f t="shared" si="240"/>
        <v>28.652004273875924</v>
      </c>
      <c r="N414" s="17">
        <f t="shared" si="241"/>
        <v>29.254782449019295</v>
      </c>
      <c r="O414" s="17">
        <f t="shared" si="242"/>
        <v>28.573765738759896</v>
      </c>
      <c r="P414" s="17">
        <v>0</v>
      </c>
      <c r="Q414" s="17">
        <f t="shared" si="243"/>
        <v>0</v>
      </c>
      <c r="R414" s="17">
        <f t="shared" si="244"/>
        <v>0</v>
      </c>
      <c r="S414" s="17">
        <f t="shared" si="245"/>
        <v>0</v>
      </c>
      <c r="T414" s="17">
        <f t="shared" si="246"/>
        <v>0</v>
      </c>
      <c r="U414" s="17">
        <f t="shared" si="247"/>
        <v>0</v>
      </c>
      <c r="V414" s="17">
        <f t="shared" si="248"/>
        <v>0</v>
      </c>
      <c r="W414" s="17">
        <f t="shared" si="249"/>
        <v>0</v>
      </c>
      <c r="X414" s="17">
        <f t="shared" si="250"/>
        <v>0</v>
      </c>
      <c r="Y414" s="17">
        <f t="shared" si="251"/>
        <v>0</v>
      </c>
      <c r="Z414" s="17">
        <f t="shared" si="252"/>
        <v>0</v>
      </c>
      <c r="AA414" s="17">
        <f t="shared" si="253"/>
        <v>0</v>
      </c>
      <c r="AB414" s="17">
        <f t="shared" si="254"/>
        <v>0</v>
      </c>
      <c r="AC414" s="17">
        <v>0</v>
      </c>
      <c r="AD414" s="17">
        <f t="shared" si="255"/>
        <v>0</v>
      </c>
      <c r="AE414" s="17">
        <f t="shared" si="256"/>
        <v>0</v>
      </c>
      <c r="AF414" s="17">
        <f t="shared" si="257"/>
        <v>0</v>
      </c>
      <c r="AG414" s="17">
        <f t="shared" si="258"/>
        <v>0</v>
      </c>
      <c r="AH414" s="17">
        <f t="shared" si="259"/>
        <v>0</v>
      </c>
      <c r="AI414" s="17">
        <f t="shared" si="260"/>
        <v>0</v>
      </c>
      <c r="AJ414" s="17">
        <f t="shared" si="261"/>
        <v>0</v>
      </c>
      <c r="AK414" s="17">
        <f t="shared" si="262"/>
        <v>0</v>
      </c>
      <c r="AL414" s="17">
        <f t="shared" si="263"/>
        <v>0</v>
      </c>
      <c r="AM414" s="17">
        <f t="shared" si="264"/>
        <v>0</v>
      </c>
      <c r="AN414" s="17">
        <f t="shared" si="265"/>
        <v>0</v>
      </c>
      <c r="AO414" s="17">
        <f t="shared" si="266"/>
        <v>0</v>
      </c>
      <c r="AP414" s="17">
        <f t="shared" si="267"/>
        <v>386.36400000000003</v>
      </c>
      <c r="AQ414" s="18">
        <v>79.19938409053357</v>
      </c>
      <c r="AR414" s="18">
        <v>94.715026646732937</v>
      </c>
      <c r="AS414" s="18">
        <v>83.823492679378845</v>
      </c>
      <c r="AT414" s="18">
        <v>63.493070283113759</v>
      </c>
      <c r="AU414" s="18">
        <v>92.08007199211572</v>
      </c>
      <c r="AV414" s="18">
        <v>75.459516838695365</v>
      </c>
      <c r="AW414" s="18">
        <v>75.125201420651806</v>
      </c>
      <c r="AX414" s="18">
        <v>51.016993501225542</v>
      </c>
      <c r="AY414" s="18">
        <v>75.622496498666877</v>
      </c>
      <c r="AZ414" s="18">
        <v>65.857473220840234</v>
      </c>
      <c r="BA414" s="18">
        <v>67.24297655764542</v>
      </c>
      <c r="BB414" s="18">
        <v>65.677639650316181</v>
      </c>
      <c r="BC414" s="23">
        <v>8.9181565948742242E-2</v>
      </c>
      <c r="BD414" s="23">
        <v>0.10665277883445198</v>
      </c>
      <c r="BE414" s="23">
        <v>9.438849084854764E-2</v>
      </c>
      <c r="BF414" s="23">
        <v>7.149564986855049E-2</v>
      </c>
      <c r="BG414" s="23">
        <v>0.10368571810536763</v>
      </c>
      <c r="BH414" s="23">
        <v>8.4970330952544637E-2</v>
      </c>
      <c r="BI414" s="23">
        <v>8.4593878877262704E-2</v>
      </c>
      <c r="BJ414" s="23">
        <v>5.7447105462779965E-2</v>
      </c>
      <c r="BK414" s="23">
        <v>8.5153852345557474E-2</v>
      </c>
      <c r="BL414" s="23">
        <v>7.4158058913035174E-2</v>
      </c>
      <c r="BM414" s="23">
        <v>7.5718189192107169E-2</v>
      </c>
      <c r="BN414" s="23">
        <v>7.3955559365675619E-2</v>
      </c>
    </row>
    <row r="415" spans="1:66" x14ac:dyDescent="0.25">
      <c r="A415" s="16">
        <v>3445</v>
      </c>
      <c r="B415" s="16" t="s">
        <v>611</v>
      </c>
      <c r="C415" s="17">
        <v>859.74900000000002</v>
      </c>
      <c r="D415" s="17">
        <f t="shared" si="231"/>
        <v>76.673762142865201</v>
      </c>
      <c r="E415" s="17">
        <f t="shared" si="232"/>
        <v>91.694619950141259</v>
      </c>
      <c r="F415" s="17">
        <f t="shared" si="233"/>
        <v>81.150410618547994</v>
      </c>
      <c r="G415" s="17">
        <f t="shared" si="234"/>
        <v>61.468313478836414</v>
      </c>
      <c r="H415" s="17">
        <f t="shared" si="235"/>
        <v>89.14369245537172</v>
      </c>
      <c r="I415" s="17">
        <f t="shared" si="236"/>
        <v>73.053157066119297</v>
      </c>
      <c r="J415" s="17">
        <f t="shared" si="237"/>
        <v>72.729502770847731</v>
      </c>
      <c r="K415" s="17">
        <f t="shared" si="238"/>
        <v>49.390091474519615</v>
      </c>
      <c r="L415" s="17">
        <f t="shared" si="239"/>
        <v>73.21093940024069</v>
      </c>
      <c r="M415" s="17">
        <f t="shared" si="240"/>
        <v>63.757316992423078</v>
      </c>
      <c r="N415" s="17">
        <f t="shared" si="241"/>
        <v>65.098637439724953</v>
      </c>
      <c r="O415" s="17">
        <f t="shared" si="242"/>
        <v>63.58321820908025</v>
      </c>
      <c r="P415" s="17">
        <v>0</v>
      </c>
      <c r="Q415" s="17">
        <f t="shared" si="243"/>
        <v>0</v>
      </c>
      <c r="R415" s="17">
        <f t="shared" si="244"/>
        <v>0</v>
      </c>
      <c r="S415" s="17">
        <f t="shared" si="245"/>
        <v>0</v>
      </c>
      <c r="T415" s="17">
        <f t="shared" si="246"/>
        <v>0</v>
      </c>
      <c r="U415" s="17">
        <f t="shared" si="247"/>
        <v>0</v>
      </c>
      <c r="V415" s="17">
        <f t="shared" si="248"/>
        <v>0</v>
      </c>
      <c r="W415" s="17">
        <f t="shared" si="249"/>
        <v>0</v>
      </c>
      <c r="X415" s="17">
        <f t="shared" si="250"/>
        <v>0</v>
      </c>
      <c r="Y415" s="17">
        <f t="shared" si="251"/>
        <v>0</v>
      </c>
      <c r="Z415" s="17">
        <f t="shared" si="252"/>
        <v>0</v>
      </c>
      <c r="AA415" s="17">
        <f t="shared" si="253"/>
        <v>0</v>
      </c>
      <c r="AB415" s="17">
        <f t="shared" si="254"/>
        <v>0</v>
      </c>
      <c r="AC415" s="17">
        <v>0</v>
      </c>
      <c r="AD415" s="17">
        <f t="shared" si="255"/>
        <v>0</v>
      </c>
      <c r="AE415" s="17">
        <f t="shared" si="256"/>
        <v>0</v>
      </c>
      <c r="AF415" s="17">
        <f t="shared" si="257"/>
        <v>0</v>
      </c>
      <c r="AG415" s="17">
        <f t="shared" si="258"/>
        <v>0</v>
      </c>
      <c r="AH415" s="17">
        <f t="shared" si="259"/>
        <v>0</v>
      </c>
      <c r="AI415" s="17">
        <f t="shared" si="260"/>
        <v>0</v>
      </c>
      <c r="AJ415" s="17">
        <f t="shared" si="261"/>
        <v>0</v>
      </c>
      <c r="AK415" s="17">
        <f t="shared" si="262"/>
        <v>0</v>
      </c>
      <c r="AL415" s="17">
        <f t="shared" si="263"/>
        <v>0</v>
      </c>
      <c r="AM415" s="17">
        <f t="shared" si="264"/>
        <v>0</v>
      </c>
      <c r="AN415" s="17">
        <f t="shared" si="265"/>
        <v>0</v>
      </c>
      <c r="AO415" s="17">
        <f t="shared" si="266"/>
        <v>0</v>
      </c>
      <c r="AP415" s="17">
        <f t="shared" si="267"/>
        <v>859.74900000000002</v>
      </c>
      <c r="AQ415" s="18">
        <v>79.047329520590978</v>
      </c>
      <c r="AR415" s="18">
        <v>94.533183658820207</v>
      </c>
      <c r="AS415" s="18">
        <v>83.662560302482078</v>
      </c>
      <c r="AT415" s="18">
        <v>63.371170200087889</v>
      </c>
      <c r="AU415" s="18">
        <v>91.903287842746082</v>
      </c>
      <c r="AV415" s="18">
        <v>75.31464242442128</v>
      </c>
      <c r="AW415" s="18">
        <v>74.980968857166076</v>
      </c>
      <c r="AX415" s="18">
        <v>50.919046186411506</v>
      </c>
      <c r="AY415" s="18">
        <v>75.477309180417706</v>
      </c>
      <c r="AZ415" s="18">
        <v>65.731033730393506</v>
      </c>
      <c r="BA415" s="18">
        <v>67.113877045072883</v>
      </c>
      <c r="BB415" s="18">
        <v>65.551545421597709</v>
      </c>
      <c r="BC415" s="23">
        <v>8.9181565948742242E-2</v>
      </c>
      <c r="BD415" s="23">
        <v>0.10665277883445198</v>
      </c>
      <c r="BE415" s="23">
        <v>9.438849084854764E-2</v>
      </c>
      <c r="BF415" s="23">
        <v>7.149564986855049E-2</v>
      </c>
      <c r="BG415" s="23">
        <v>0.10368571810536763</v>
      </c>
      <c r="BH415" s="23">
        <v>8.4970330952544637E-2</v>
      </c>
      <c r="BI415" s="23">
        <v>8.4593878877262704E-2</v>
      </c>
      <c r="BJ415" s="23">
        <v>5.7447105462779965E-2</v>
      </c>
      <c r="BK415" s="23">
        <v>8.5153852345557474E-2</v>
      </c>
      <c r="BL415" s="23">
        <v>7.4158058913035174E-2</v>
      </c>
      <c r="BM415" s="23">
        <v>7.5718189192107169E-2</v>
      </c>
      <c r="BN415" s="23">
        <v>7.3955559365675619E-2</v>
      </c>
    </row>
    <row r="416" spans="1:66" x14ac:dyDescent="0.25">
      <c r="A416" s="16">
        <v>5216</v>
      </c>
      <c r="B416" s="16" t="s">
        <v>612</v>
      </c>
      <c r="C416" s="17">
        <v>845.46000000000015</v>
      </c>
      <c r="D416" s="17">
        <f t="shared" si="231"/>
        <v>75.399446747023632</v>
      </c>
      <c r="E416" s="17">
        <f t="shared" si="232"/>
        <v>90.170658393375788</v>
      </c>
      <c r="F416" s="17">
        <f t="shared" si="233"/>
        <v>79.801693472813099</v>
      </c>
      <c r="G416" s="17">
        <f t="shared" si="234"/>
        <v>60.446712137864708</v>
      </c>
      <c r="H416" s="17">
        <f t="shared" si="235"/>
        <v>87.662127229364131</v>
      </c>
      <c r="I416" s="17">
        <f t="shared" si="236"/>
        <v>71.839016007138397</v>
      </c>
      <c r="J416" s="17">
        <f t="shared" si="237"/>
        <v>71.520740835570535</v>
      </c>
      <c r="K416" s="17">
        <f t="shared" si="238"/>
        <v>48.569229784561955</v>
      </c>
      <c r="L416" s="17">
        <f t="shared" si="239"/>
        <v>71.99417600407503</v>
      </c>
      <c r="M416" s="17">
        <f t="shared" si="240"/>
        <v>62.697672488614728</v>
      </c>
      <c r="N416" s="17">
        <f t="shared" si="241"/>
        <v>64.016700234358936</v>
      </c>
      <c r="O416" s="17">
        <f t="shared" si="242"/>
        <v>62.526467221304117</v>
      </c>
      <c r="P416" s="17">
        <v>0</v>
      </c>
      <c r="Q416" s="17">
        <f t="shared" si="243"/>
        <v>0</v>
      </c>
      <c r="R416" s="17">
        <f t="shared" si="244"/>
        <v>0</v>
      </c>
      <c r="S416" s="17">
        <f t="shared" si="245"/>
        <v>0</v>
      </c>
      <c r="T416" s="17">
        <f t="shared" si="246"/>
        <v>0</v>
      </c>
      <c r="U416" s="17">
        <f t="shared" si="247"/>
        <v>0</v>
      </c>
      <c r="V416" s="17">
        <f t="shared" si="248"/>
        <v>0</v>
      </c>
      <c r="W416" s="17">
        <f t="shared" si="249"/>
        <v>0</v>
      </c>
      <c r="X416" s="17">
        <f t="shared" si="250"/>
        <v>0</v>
      </c>
      <c r="Y416" s="17">
        <f t="shared" si="251"/>
        <v>0</v>
      </c>
      <c r="Z416" s="17">
        <f t="shared" si="252"/>
        <v>0</v>
      </c>
      <c r="AA416" s="17">
        <f t="shared" si="253"/>
        <v>0</v>
      </c>
      <c r="AB416" s="17">
        <f t="shared" si="254"/>
        <v>0</v>
      </c>
      <c r="AC416" s="17">
        <v>0</v>
      </c>
      <c r="AD416" s="17">
        <f t="shared" si="255"/>
        <v>0</v>
      </c>
      <c r="AE416" s="17">
        <f t="shared" si="256"/>
        <v>0</v>
      </c>
      <c r="AF416" s="17">
        <f t="shared" si="257"/>
        <v>0</v>
      </c>
      <c r="AG416" s="17">
        <f t="shared" si="258"/>
        <v>0</v>
      </c>
      <c r="AH416" s="17">
        <f t="shared" si="259"/>
        <v>0</v>
      </c>
      <c r="AI416" s="17">
        <f t="shared" si="260"/>
        <v>0</v>
      </c>
      <c r="AJ416" s="17">
        <f t="shared" si="261"/>
        <v>0</v>
      </c>
      <c r="AK416" s="17">
        <f t="shared" si="262"/>
        <v>0</v>
      </c>
      <c r="AL416" s="17">
        <f t="shared" si="263"/>
        <v>0</v>
      </c>
      <c r="AM416" s="17">
        <f t="shared" si="264"/>
        <v>0</v>
      </c>
      <c r="AN416" s="17">
        <f t="shared" si="265"/>
        <v>0</v>
      </c>
      <c r="AO416" s="17">
        <f t="shared" si="266"/>
        <v>0</v>
      </c>
      <c r="AP416" s="17">
        <f t="shared" si="267"/>
        <v>845.46000000000015</v>
      </c>
      <c r="AQ416" s="18">
        <v>76.673762142865201</v>
      </c>
      <c r="AR416" s="18">
        <v>91.694619950141259</v>
      </c>
      <c r="AS416" s="18">
        <v>81.150410618547994</v>
      </c>
      <c r="AT416" s="18">
        <v>61.468313478836414</v>
      </c>
      <c r="AU416" s="18">
        <v>89.14369245537172</v>
      </c>
      <c r="AV416" s="18">
        <v>73.053157066119297</v>
      </c>
      <c r="AW416" s="18">
        <v>72.729502770847731</v>
      </c>
      <c r="AX416" s="18">
        <v>49.390091474519615</v>
      </c>
      <c r="AY416" s="18">
        <v>73.21093940024069</v>
      </c>
      <c r="AZ416" s="18">
        <v>63.757316992423078</v>
      </c>
      <c r="BA416" s="18">
        <v>65.098637439724953</v>
      </c>
      <c r="BB416" s="18">
        <v>63.58321820908025</v>
      </c>
      <c r="BC416" s="23">
        <v>8.9181565948742242E-2</v>
      </c>
      <c r="BD416" s="23">
        <v>0.10665277883445198</v>
      </c>
      <c r="BE416" s="23">
        <v>9.438849084854764E-2</v>
      </c>
      <c r="BF416" s="23">
        <v>7.149564986855049E-2</v>
      </c>
      <c r="BG416" s="23">
        <v>0.10368571810536763</v>
      </c>
      <c r="BH416" s="23">
        <v>8.4970330952544637E-2</v>
      </c>
      <c r="BI416" s="23">
        <v>8.4593878877262704E-2</v>
      </c>
      <c r="BJ416" s="23">
        <v>5.7447105462779965E-2</v>
      </c>
      <c r="BK416" s="23">
        <v>8.5153852345557474E-2</v>
      </c>
      <c r="BL416" s="23">
        <v>7.4158058913035174E-2</v>
      </c>
      <c r="BM416" s="23">
        <v>7.5718189192107169E-2</v>
      </c>
      <c r="BN416" s="23">
        <v>7.3955559365675619E-2</v>
      </c>
    </row>
    <row r="417" spans="1:66" x14ac:dyDescent="0.25">
      <c r="A417" s="16">
        <v>6652</v>
      </c>
      <c r="B417" s="16" t="s">
        <v>613</v>
      </c>
      <c r="C417" s="17">
        <v>1700</v>
      </c>
      <c r="D417" s="17">
        <f t="shared" si="231"/>
        <v>151.60866211286182</v>
      </c>
      <c r="E417" s="17">
        <f t="shared" si="232"/>
        <v>181.30972401856837</v>
      </c>
      <c r="F417" s="17">
        <f t="shared" si="233"/>
        <v>160.46043444253098</v>
      </c>
      <c r="G417" s="17">
        <f t="shared" si="234"/>
        <v>121.54260477653584</v>
      </c>
      <c r="H417" s="17">
        <f t="shared" si="235"/>
        <v>176.26572077912496</v>
      </c>
      <c r="I417" s="17">
        <f t="shared" si="236"/>
        <v>144.44956261932589</v>
      </c>
      <c r="J417" s="17">
        <f t="shared" si="237"/>
        <v>143.80959409134661</v>
      </c>
      <c r="K417" s="17">
        <f t="shared" si="238"/>
        <v>97.660079286725946</v>
      </c>
      <c r="L417" s="17">
        <f t="shared" si="239"/>
        <v>144.7615489874477</v>
      </c>
      <c r="M417" s="17">
        <f t="shared" si="240"/>
        <v>126.06870015215979</v>
      </c>
      <c r="N417" s="17">
        <f t="shared" si="241"/>
        <v>128.7209216265822</v>
      </c>
      <c r="O417" s="17">
        <f t="shared" si="242"/>
        <v>125.72445092164855</v>
      </c>
      <c r="P417" s="17">
        <v>0</v>
      </c>
      <c r="Q417" s="17">
        <f t="shared" si="243"/>
        <v>0</v>
      </c>
      <c r="R417" s="17">
        <f t="shared" si="244"/>
        <v>0</v>
      </c>
      <c r="S417" s="17">
        <f t="shared" si="245"/>
        <v>0</v>
      </c>
      <c r="T417" s="17">
        <f t="shared" si="246"/>
        <v>0</v>
      </c>
      <c r="U417" s="17">
        <f t="shared" si="247"/>
        <v>0</v>
      </c>
      <c r="V417" s="17">
        <f t="shared" si="248"/>
        <v>0</v>
      </c>
      <c r="W417" s="17">
        <f t="shared" si="249"/>
        <v>0</v>
      </c>
      <c r="X417" s="17">
        <f t="shared" si="250"/>
        <v>0</v>
      </c>
      <c r="Y417" s="17">
        <f t="shared" si="251"/>
        <v>0</v>
      </c>
      <c r="Z417" s="17">
        <f t="shared" si="252"/>
        <v>0</v>
      </c>
      <c r="AA417" s="17">
        <f t="shared" si="253"/>
        <v>0</v>
      </c>
      <c r="AB417" s="17">
        <f t="shared" si="254"/>
        <v>0</v>
      </c>
      <c r="AC417" s="17">
        <v>0</v>
      </c>
      <c r="AD417" s="17">
        <f t="shared" si="255"/>
        <v>0</v>
      </c>
      <c r="AE417" s="17">
        <f t="shared" si="256"/>
        <v>0</v>
      </c>
      <c r="AF417" s="17">
        <f t="shared" si="257"/>
        <v>0</v>
      </c>
      <c r="AG417" s="17">
        <f t="shared" si="258"/>
        <v>0</v>
      </c>
      <c r="AH417" s="17">
        <f t="shared" si="259"/>
        <v>0</v>
      </c>
      <c r="AI417" s="17">
        <f t="shared" si="260"/>
        <v>0</v>
      </c>
      <c r="AJ417" s="17">
        <f t="shared" si="261"/>
        <v>0</v>
      </c>
      <c r="AK417" s="17">
        <f t="shared" si="262"/>
        <v>0</v>
      </c>
      <c r="AL417" s="17">
        <f t="shared" si="263"/>
        <v>0</v>
      </c>
      <c r="AM417" s="17">
        <f t="shared" si="264"/>
        <v>0</v>
      </c>
      <c r="AN417" s="17">
        <f t="shared" si="265"/>
        <v>0</v>
      </c>
      <c r="AO417" s="17">
        <f t="shared" si="266"/>
        <v>0</v>
      </c>
      <c r="AP417" s="17">
        <f t="shared" si="267"/>
        <v>1700</v>
      </c>
      <c r="AQ417" s="18">
        <v>75.399446747023632</v>
      </c>
      <c r="AR417" s="18">
        <v>90.170658393375788</v>
      </c>
      <c r="AS417" s="18">
        <v>79.801693472813099</v>
      </c>
      <c r="AT417" s="18">
        <v>60.446712137864708</v>
      </c>
      <c r="AU417" s="18">
        <v>87.662127229364131</v>
      </c>
      <c r="AV417" s="18">
        <v>71.839016007138397</v>
      </c>
      <c r="AW417" s="18">
        <v>71.520740835570535</v>
      </c>
      <c r="AX417" s="18">
        <v>48.569229784561955</v>
      </c>
      <c r="AY417" s="18">
        <v>71.99417600407503</v>
      </c>
      <c r="AZ417" s="18">
        <v>62.697672488614728</v>
      </c>
      <c r="BA417" s="18">
        <v>64.016700234358936</v>
      </c>
      <c r="BB417" s="18">
        <v>62.526467221304117</v>
      </c>
      <c r="BC417" s="23">
        <v>8.9181565948742242E-2</v>
      </c>
      <c r="BD417" s="23">
        <v>0.10665277883445198</v>
      </c>
      <c r="BE417" s="23">
        <v>9.438849084854764E-2</v>
      </c>
      <c r="BF417" s="23">
        <v>7.149564986855049E-2</v>
      </c>
      <c r="BG417" s="23">
        <v>0.10368571810536763</v>
      </c>
      <c r="BH417" s="23">
        <v>8.4970330952544637E-2</v>
      </c>
      <c r="BI417" s="23">
        <v>8.4593878877262704E-2</v>
      </c>
      <c r="BJ417" s="23">
        <v>5.7447105462779965E-2</v>
      </c>
      <c r="BK417" s="23">
        <v>8.5153852345557474E-2</v>
      </c>
      <c r="BL417" s="23">
        <v>7.4158058913035174E-2</v>
      </c>
      <c r="BM417" s="23">
        <v>7.5718189192107169E-2</v>
      </c>
      <c r="BN417" s="23">
        <v>7.3955559365675619E-2</v>
      </c>
    </row>
    <row r="418" spans="1:66" x14ac:dyDescent="0.25">
      <c r="A418" s="16">
        <v>2930</v>
      </c>
      <c r="B418" s="16" t="s">
        <v>614</v>
      </c>
      <c r="C418" s="17">
        <v>840.19100000000014</v>
      </c>
      <c r="D418" s="17">
        <f t="shared" si="231"/>
        <v>74.929549076039706</v>
      </c>
      <c r="E418" s="17">
        <f t="shared" si="232"/>
        <v>89.608704901697067</v>
      </c>
      <c r="F418" s="17">
        <f t="shared" si="233"/>
        <v>79.304360514532107</v>
      </c>
      <c r="G418" s="17">
        <f t="shared" si="234"/>
        <v>60.070001558707318</v>
      </c>
      <c r="H418" s="17">
        <f t="shared" si="235"/>
        <v>87.115807180666948</v>
      </c>
      <c r="I418" s="17">
        <f t="shared" si="236"/>
        <v>71.391307333349445</v>
      </c>
      <c r="J418" s="17">
        <f t="shared" si="237"/>
        <v>71.075015687766239</v>
      </c>
      <c r="K418" s="17">
        <f t="shared" si="238"/>
        <v>48.266540985878571</v>
      </c>
      <c r="L418" s="17">
        <f t="shared" si="239"/>
        <v>71.545500356066285</v>
      </c>
      <c r="M418" s="17">
        <f t="shared" si="240"/>
        <v>62.306933676201943</v>
      </c>
      <c r="N418" s="17">
        <f t="shared" si="241"/>
        <v>63.617741095505728</v>
      </c>
      <c r="O418" s="17">
        <f t="shared" si="242"/>
        <v>62.136795379006372</v>
      </c>
      <c r="P418" s="17">
        <v>0</v>
      </c>
      <c r="Q418" s="17">
        <f t="shared" si="243"/>
        <v>0</v>
      </c>
      <c r="R418" s="17">
        <f t="shared" si="244"/>
        <v>0</v>
      </c>
      <c r="S418" s="17">
        <f t="shared" si="245"/>
        <v>0</v>
      </c>
      <c r="T418" s="17">
        <f t="shared" si="246"/>
        <v>0</v>
      </c>
      <c r="U418" s="17">
        <f t="shared" si="247"/>
        <v>0</v>
      </c>
      <c r="V418" s="17">
        <f t="shared" si="248"/>
        <v>0</v>
      </c>
      <c r="W418" s="17">
        <f t="shared" si="249"/>
        <v>0</v>
      </c>
      <c r="X418" s="17">
        <f t="shared" si="250"/>
        <v>0</v>
      </c>
      <c r="Y418" s="17">
        <f t="shared" si="251"/>
        <v>0</v>
      </c>
      <c r="Z418" s="17">
        <f t="shared" si="252"/>
        <v>0</v>
      </c>
      <c r="AA418" s="17">
        <f t="shared" si="253"/>
        <v>0</v>
      </c>
      <c r="AB418" s="17">
        <f t="shared" si="254"/>
        <v>0</v>
      </c>
      <c r="AC418" s="17">
        <v>0</v>
      </c>
      <c r="AD418" s="17">
        <f t="shared" si="255"/>
        <v>0</v>
      </c>
      <c r="AE418" s="17">
        <f t="shared" si="256"/>
        <v>0</v>
      </c>
      <c r="AF418" s="17">
        <f t="shared" si="257"/>
        <v>0</v>
      </c>
      <c r="AG418" s="17">
        <f t="shared" si="258"/>
        <v>0</v>
      </c>
      <c r="AH418" s="17">
        <f t="shared" si="259"/>
        <v>0</v>
      </c>
      <c r="AI418" s="17">
        <f t="shared" si="260"/>
        <v>0</v>
      </c>
      <c r="AJ418" s="17">
        <f t="shared" si="261"/>
        <v>0</v>
      </c>
      <c r="AK418" s="17">
        <f t="shared" si="262"/>
        <v>0</v>
      </c>
      <c r="AL418" s="17">
        <f t="shared" si="263"/>
        <v>0</v>
      </c>
      <c r="AM418" s="17">
        <f t="shared" si="264"/>
        <v>0</v>
      </c>
      <c r="AN418" s="17">
        <f t="shared" si="265"/>
        <v>0</v>
      </c>
      <c r="AO418" s="17">
        <f t="shared" si="266"/>
        <v>0</v>
      </c>
      <c r="AP418" s="17">
        <f t="shared" si="267"/>
        <v>840.19100000000014</v>
      </c>
      <c r="AQ418" s="18">
        <v>81.973109154671349</v>
      </c>
      <c r="AR418" s="18">
        <v>98.032141374042055</v>
      </c>
      <c r="AS418" s="18">
        <v>86.759163521750381</v>
      </c>
      <c r="AT418" s="18">
        <v>65.71672798532542</v>
      </c>
      <c r="AU418" s="18">
        <v>95.304905196628866</v>
      </c>
      <c r="AV418" s="18">
        <v>78.102264071981395</v>
      </c>
      <c r="AW418" s="18">
        <v>77.756240241492435</v>
      </c>
      <c r="AX418" s="18">
        <v>52.803713375328918</v>
      </c>
      <c r="AY418" s="18">
        <v>78.270951614318406</v>
      </c>
      <c r="AZ418" s="18">
        <v>68.163937169153456</v>
      </c>
      <c r="BA418" s="18">
        <v>69.597963677898335</v>
      </c>
      <c r="BB418" s="18">
        <v>67.977805457707419</v>
      </c>
      <c r="BC418" s="23">
        <v>8.9181565948742242E-2</v>
      </c>
      <c r="BD418" s="23">
        <v>0.10665277883445198</v>
      </c>
      <c r="BE418" s="23">
        <v>9.438849084854764E-2</v>
      </c>
      <c r="BF418" s="23">
        <v>7.149564986855049E-2</v>
      </c>
      <c r="BG418" s="23">
        <v>0.10368571810536763</v>
      </c>
      <c r="BH418" s="23">
        <v>8.4970330952544637E-2</v>
      </c>
      <c r="BI418" s="23">
        <v>8.4593878877262704E-2</v>
      </c>
      <c r="BJ418" s="23">
        <v>5.7447105462779965E-2</v>
      </c>
      <c r="BK418" s="23">
        <v>8.5153852345557474E-2</v>
      </c>
      <c r="BL418" s="23">
        <v>7.4158058913035174E-2</v>
      </c>
      <c r="BM418" s="23">
        <v>7.5718189192107169E-2</v>
      </c>
      <c r="BN418" s="23">
        <v>7.3955559365675619E-2</v>
      </c>
    </row>
    <row r="419" spans="1:66" x14ac:dyDescent="0.25">
      <c r="A419" s="16">
        <v>3374</v>
      </c>
      <c r="B419" s="16" t="s">
        <v>615</v>
      </c>
      <c r="C419" s="17">
        <v>815.38600000000008</v>
      </c>
      <c r="D419" s="17">
        <f t="shared" si="231"/>
        <v>72.717400332681152</v>
      </c>
      <c r="E419" s="17">
        <f t="shared" si="232"/>
        <v>86.963182722708467</v>
      </c>
      <c r="F419" s="17">
        <f t="shared" si="233"/>
        <v>76.963053999033875</v>
      </c>
      <c r="G419" s="17">
        <f t="shared" si="234"/>
        <v>58.296551963717917</v>
      </c>
      <c r="H419" s="17">
        <f t="shared" si="235"/>
        <v>84.543882943063295</v>
      </c>
      <c r="I419" s="17">
        <f t="shared" si="236"/>
        <v>69.283618274071571</v>
      </c>
      <c r="J419" s="17">
        <f t="shared" si="237"/>
        <v>68.976664522215728</v>
      </c>
      <c r="K419" s="17">
        <f t="shared" si="238"/>
        <v>46.841565534874313</v>
      </c>
      <c r="L419" s="17">
        <f t="shared" si="239"/>
        <v>69.433259048634739</v>
      </c>
      <c r="M419" s="17">
        <f t="shared" si="240"/>
        <v>60.467443024864103</v>
      </c>
      <c r="N419" s="17">
        <f t="shared" si="241"/>
        <v>61.739551412595503</v>
      </c>
      <c r="O419" s="17">
        <f t="shared" si="242"/>
        <v>60.302327728940789</v>
      </c>
      <c r="P419" s="17">
        <v>0</v>
      </c>
      <c r="Q419" s="17">
        <f t="shared" si="243"/>
        <v>0</v>
      </c>
      <c r="R419" s="17">
        <f t="shared" si="244"/>
        <v>0</v>
      </c>
      <c r="S419" s="17">
        <f t="shared" si="245"/>
        <v>0</v>
      </c>
      <c r="T419" s="17">
        <f t="shared" si="246"/>
        <v>0</v>
      </c>
      <c r="U419" s="17">
        <f t="shared" si="247"/>
        <v>0</v>
      </c>
      <c r="V419" s="17">
        <f t="shared" si="248"/>
        <v>0</v>
      </c>
      <c r="W419" s="17">
        <f t="shared" si="249"/>
        <v>0</v>
      </c>
      <c r="X419" s="17">
        <f t="shared" si="250"/>
        <v>0</v>
      </c>
      <c r="Y419" s="17">
        <f t="shared" si="251"/>
        <v>0</v>
      </c>
      <c r="Z419" s="17">
        <f t="shared" si="252"/>
        <v>0</v>
      </c>
      <c r="AA419" s="17">
        <f t="shared" si="253"/>
        <v>0</v>
      </c>
      <c r="AB419" s="17">
        <f t="shared" si="254"/>
        <v>0</v>
      </c>
      <c r="AC419" s="17">
        <v>0</v>
      </c>
      <c r="AD419" s="17">
        <f t="shared" si="255"/>
        <v>0</v>
      </c>
      <c r="AE419" s="17">
        <f t="shared" si="256"/>
        <v>0</v>
      </c>
      <c r="AF419" s="17">
        <f t="shared" si="257"/>
        <v>0</v>
      </c>
      <c r="AG419" s="17">
        <f t="shared" si="258"/>
        <v>0</v>
      </c>
      <c r="AH419" s="17">
        <f t="shared" si="259"/>
        <v>0</v>
      </c>
      <c r="AI419" s="17">
        <f t="shared" si="260"/>
        <v>0</v>
      </c>
      <c r="AJ419" s="17">
        <f t="shared" si="261"/>
        <v>0</v>
      </c>
      <c r="AK419" s="17">
        <f t="shared" si="262"/>
        <v>0</v>
      </c>
      <c r="AL419" s="17">
        <f t="shared" si="263"/>
        <v>0</v>
      </c>
      <c r="AM419" s="17">
        <f t="shared" si="264"/>
        <v>0</v>
      </c>
      <c r="AN419" s="17">
        <f t="shared" si="265"/>
        <v>0</v>
      </c>
      <c r="AO419" s="17">
        <f t="shared" si="266"/>
        <v>0</v>
      </c>
      <c r="AP419" s="17">
        <f t="shared" si="267"/>
        <v>815.38600000000008</v>
      </c>
      <c r="AQ419" s="18">
        <v>92.543354258746035</v>
      </c>
      <c r="AR419" s="18">
        <v>110.6731619853955</v>
      </c>
      <c r="AS419" s="18">
        <v>97.946559399574511</v>
      </c>
      <c r="AT419" s="18">
        <v>74.190749885995373</v>
      </c>
      <c r="AU419" s="18">
        <v>107.59425493506758</v>
      </c>
      <c r="AV419" s="18">
        <v>88.173372548131766</v>
      </c>
      <c r="AW419" s="18">
        <v>87.782729735420006</v>
      </c>
      <c r="AX419" s="18">
        <v>59.612631550304926</v>
      </c>
      <c r="AY419" s="18">
        <v>88.363811963575614</v>
      </c>
      <c r="AZ419" s="18">
        <v>76.953521101820954</v>
      </c>
      <c r="BA419" s="18">
        <v>78.572462051892856</v>
      </c>
      <c r="BB419" s="18">
        <v>76.743388131524142</v>
      </c>
      <c r="BC419" s="23">
        <v>8.9181565948742242E-2</v>
      </c>
      <c r="BD419" s="23">
        <v>0.10665277883445198</v>
      </c>
      <c r="BE419" s="23">
        <v>9.438849084854764E-2</v>
      </c>
      <c r="BF419" s="23">
        <v>7.149564986855049E-2</v>
      </c>
      <c r="BG419" s="23">
        <v>0.10368571810536763</v>
      </c>
      <c r="BH419" s="23">
        <v>8.4970330952544637E-2</v>
      </c>
      <c r="BI419" s="23">
        <v>8.4593878877262704E-2</v>
      </c>
      <c r="BJ419" s="23">
        <v>5.7447105462779965E-2</v>
      </c>
      <c r="BK419" s="23">
        <v>8.5153852345557474E-2</v>
      </c>
      <c r="BL419" s="23">
        <v>7.4158058913035174E-2</v>
      </c>
      <c r="BM419" s="23">
        <v>7.5718189192107169E-2</v>
      </c>
      <c r="BN419" s="23">
        <v>7.3955559365675619E-2</v>
      </c>
    </row>
    <row r="420" spans="1:66" x14ac:dyDescent="0.25">
      <c r="A420" s="16">
        <v>5004</v>
      </c>
      <c r="B420" s="16" t="s">
        <v>616</v>
      </c>
      <c r="C420" s="17">
        <v>1000</v>
      </c>
      <c r="D420" s="17">
        <f t="shared" si="231"/>
        <v>89.181565948742247</v>
      </c>
      <c r="E420" s="17">
        <f t="shared" si="232"/>
        <v>106.65277883445198</v>
      </c>
      <c r="F420" s="17">
        <f t="shared" si="233"/>
        <v>94.388490848547647</v>
      </c>
      <c r="G420" s="17">
        <f t="shared" si="234"/>
        <v>71.495649868550487</v>
      </c>
      <c r="H420" s="17">
        <f t="shared" si="235"/>
        <v>103.68571810536763</v>
      </c>
      <c r="I420" s="17">
        <f t="shared" si="236"/>
        <v>84.970330952544643</v>
      </c>
      <c r="J420" s="17">
        <f t="shared" si="237"/>
        <v>84.593878877262711</v>
      </c>
      <c r="K420" s="17">
        <f t="shared" si="238"/>
        <v>57.447105462779966</v>
      </c>
      <c r="L420" s="17">
        <f t="shared" si="239"/>
        <v>85.153852345557468</v>
      </c>
      <c r="M420" s="17">
        <f t="shared" si="240"/>
        <v>74.158058913035177</v>
      </c>
      <c r="N420" s="17">
        <f t="shared" si="241"/>
        <v>75.718189192107175</v>
      </c>
      <c r="O420" s="17">
        <f t="shared" si="242"/>
        <v>73.955559365675626</v>
      </c>
      <c r="P420" s="17">
        <v>0</v>
      </c>
      <c r="Q420" s="17">
        <f t="shared" si="243"/>
        <v>0</v>
      </c>
      <c r="R420" s="17">
        <f t="shared" si="244"/>
        <v>0</v>
      </c>
      <c r="S420" s="17">
        <f t="shared" si="245"/>
        <v>0</v>
      </c>
      <c r="T420" s="17">
        <f t="shared" si="246"/>
        <v>0</v>
      </c>
      <c r="U420" s="17">
        <f t="shared" si="247"/>
        <v>0</v>
      </c>
      <c r="V420" s="17">
        <f t="shared" si="248"/>
        <v>0</v>
      </c>
      <c r="W420" s="17">
        <f t="shared" si="249"/>
        <v>0</v>
      </c>
      <c r="X420" s="17">
        <f t="shared" si="250"/>
        <v>0</v>
      </c>
      <c r="Y420" s="17">
        <f t="shared" si="251"/>
        <v>0</v>
      </c>
      <c r="Z420" s="17">
        <f t="shared" si="252"/>
        <v>0</v>
      </c>
      <c r="AA420" s="17">
        <f t="shared" si="253"/>
        <v>0</v>
      </c>
      <c r="AB420" s="17">
        <f t="shared" si="254"/>
        <v>0</v>
      </c>
      <c r="AC420" s="17">
        <v>2500</v>
      </c>
      <c r="AD420" s="17">
        <f t="shared" si="255"/>
        <v>222.9539148718556</v>
      </c>
      <c r="AE420" s="17">
        <f t="shared" si="256"/>
        <v>266.63194708612997</v>
      </c>
      <c r="AF420" s="17">
        <f t="shared" si="257"/>
        <v>235.97122712136911</v>
      </c>
      <c r="AG420" s="17">
        <f t="shared" si="258"/>
        <v>178.73912467137623</v>
      </c>
      <c r="AH420" s="17">
        <f t="shared" si="259"/>
        <v>259.21429526341905</v>
      </c>
      <c r="AI420" s="17">
        <f t="shared" si="260"/>
        <v>212.42582738136159</v>
      </c>
      <c r="AJ420" s="17">
        <f t="shared" si="261"/>
        <v>211.48469719315676</v>
      </c>
      <c r="AK420" s="17">
        <f t="shared" si="262"/>
        <v>143.6177636569499</v>
      </c>
      <c r="AL420" s="17">
        <f t="shared" si="263"/>
        <v>212.88463086389368</v>
      </c>
      <c r="AM420" s="17">
        <f t="shared" si="264"/>
        <v>185.39514728258794</v>
      </c>
      <c r="AN420" s="17">
        <f t="shared" si="265"/>
        <v>189.29547298026793</v>
      </c>
      <c r="AO420" s="17">
        <f t="shared" si="266"/>
        <v>184.88889841418904</v>
      </c>
      <c r="AP420" s="17">
        <f t="shared" si="267"/>
        <v>3500</v>
      </c>
      <c r="AQ420" s="18">
        <v>72.717400332681152</v>
      </c>
      <c r="AR420" s="18">
        <v>86.963182722708467</v>
      </c>
      <c r="AS420" s="18">
        <v>76.963053999033875</v>
      </c>
      <c r="AT420" s="18">
        <v>58.296551963717917</v>
      </c>
      <c r="AU420" s="18">
        <v>84.543882943063295</v>
      </c>
      <c r="AV420" s="18">
        <v>69.283618274071571</v>
      </c>
      <c r="AW420" s="18">
        <v>68.976664522215728</v>
      </c>
      <c r="AX420" s="18">
        <v>46.841565534874313</v>
      </c>
      <c r="AY420" s="18">
        <v>69.433259048634739</v>
      </c>
      <c r="AZ420" s="18">
        <v>60.467443024864103</v>
      </c>
      <c r="BA420" s="18">
        <v>61.739551412595503</v>
      </c>
      <c r="BB420" s="18">
        <v>60.302327728940789</v>
      </c>
      <c r="BC420" s="23">
        <v>8.9181565948742242E-2</v>
      </c>
      <c r="BD420" s="23">
        <v>0.10665277883445198</v>
      </c>
      <c r="BE420" s="23">
        <v>9.438849084854764E-2</v>
      </c>
      <c r="BF420" s="23">
        <v>7.149564986855049E-2</v>
      </c>
      <c r="BG420" s="23">
        <v>0.10368571810536763</v>
      </c>
      <c r="BH420" s="23">
        <v>8.4970330952544637E-2</v>
      </c>
      <c r="BI420" s="23">
        <v>8.4593878877262704E-2</v>
      </c>
      <c r="BJ420" s="23">
        <v>5.7447105462779965E-2</v>
      </c>
      <c r="BK420" s="23">
        <v>8.5153852345557474E-2</v>
      </c>
      <c r="BL420" s="23">
        <v>7.4158058913035174E-2</v>
      </c>
      <c r="BM420" s="23">
        <v>7.5718189192107169E-2</v>
      </c>
      <c r="BN420" s="23">
        <v>7.3955559365675619E-2</v>
      </c>
    </row>
    <row r="421" spans="1:66" x14ac:dyDescent="0.25">
      <c r="A421" s="16">
        <v>6594</v>
      </c>
      <c r="B421" s="16" t="s">
        <v>617</v>
      </c>
      <c r="C421" s="17">
        <v>0</v>
      </c>
      <c r="D421" s="17">
        <f t="shared" si="231"/>
        <v>0</v>
      </c>
      <c r="E421" s="17">
        <f t="shared" si="232"/>
        <v>0</v>
      </c>
      <c r="F421" s="17">
        <f t="shared" si="233"/>
        <v>0</v>
      </c>
      <c r="G421" s="17">
        <f t="shared" si="234"/>
        <v>0</v>
      </c>
      <c r="H421" s="17">
        <f t="shared" si="235"/>
        <v>0</v>
      </c>
      <c r="I421" s="17">
        <f t="shared" si="236"/>
        <v>0</v>
      </c>
      <c r="J421" s="17">
        <f t="shared" si="237"/>
        <v>0</v>
      </c>
      <c r="K421" s="17">
        <f t="shared" si="238"/>
        <v>0</v>
      </c>
      <c r="L421" s="17">
        <f t="shared" si="239"/>
        <v>0</v>
      </c>
      <c r="M421" s="17">
        <f t="shared" si="240"/>
        <v>0</v>
      </c>
      <c r="N421" s="17">
        <f t="shared" si="241"/>
        <v>0</v>
      </c>
      <c r="O421" s="17">
        <f t="shared" si="242"/>
        <v>0</v>
      </c>
      <c r="P421" s="17">
        <v>0</v>
      </c>
      <c r="Q421" s="17">
        <f t="shared" si="243"/>
        <v>0</v>
      </c>
      <c r="R421" s="17">
        <f t="shared" si="244"/>
        <v>0</v>
      </c>
      <c r="S421" s="17">
        <f t="shared" si="245"/>
        <v>0</v>
      </c>
      <c r="T421" s="17">
        <f t="shared" si="246"/>
        <v>0</v>
      </c>
      <c r="U421" s="17">
        <f t="shared" si="247"/>
        <v>0</v>
      </c>
      <c r="V421" s="17">
        <f t="shared" si="248"/>
        <v>0</v>
      </c>
      <c r="W421" s="17">
        <f t="shared" si="249"/>
        <v>0</v>
      </c>
      <c r="X421" s="17">
        <f t="shared" si="250"/>
        <v>0</v>
      </c>
      <c r="Y421" s="17">
        <f t="shared" si="251"/>
        <v>0</v>
      </c>
      <c r="Z421" s="17">
        <f t="shared" si="252"/>
        <v>0</v>
      </c>
      <c r="AA421" s="17">
        <f t="shared" si="253"/>
        <v>0</v>
      </c>
      <c r="AB421" s="17">
        <f t="shared" si="254"/>
        <v>0</v>
      </c>
      <c r="AC421" s="17">
        <v>0</v>
      </c>
      <c r="AD421" s="17">
        <f t="shared" si="255"/>
        <v>0</v>
      </c>
      <c r="AE421" s="17">
        <f t="shared" si="256"/>
        <v>0</v>
      </c>
      <c r="AF421" s="17">
        <f t="shared" si="257"/>
        <v>0</v>
      </c>
      <c r="AG421" s="17">
        <f t="shared" si="258"/>
        <v>0</v>
      </c>
      <c r="AH421" s="17">
        <f t="shared" si="259"/>
        <v>0</v>
      </c>
      <c r="AI421" s="17">
        <f t="shared" si="260"/>
        <v>0</v>
      </c>
      <c r="AJ421" s="17">
        <f t="shared" si="261"/>
        <v>0</v>
      </c>
      <c r="AK421" s="17">
        <f t="shared" si="262"/>
        <v>0</v>
      </c>
      <c r="AL421" s="17">
        <f t="shared" si="263"/>
        <v>0</v>
      </c>
      <c r="AM421" s="17">
        <f t="shared" si="264"/>
        <v>0</v>
      </c>
      <c r="AN421" s="17">
        <f t="shared" si="265"/>
        <v>0</v>
      </c>
      <c r="AO421" s="17">
        <f t="shared" si="266"/>
        <v>0</v>
      </c>
      <c r="AP421" s="17">
        <f t="shared" si="267"/>
        <v>0</v>
      </c>
      <c r="AQ421" s="18">
        <v>88.204046804378081</v>
      </c>
      <c r="AR421" s="18">
        <v>105.48375772564755</v>
      </c>
      <c r="AS421" s="18">
        <v>93.353898600356715</v>
      </c>
      <c r="AT421" s="18">
        <v>70.711986050341309</v>
      </c>
      <c r="AU421" s="18">
        <v>102.54921894921469</v>
      </c>
      <c r="AV421" s="18">
        <v>84.038971154973794</v>
      </c>
      <c r="AW421" s="18">
        <v>83.666645370889029</v>
      </c>
      <c r="AX421" s="18">
        <v>56.817427739802433</v>
      </c>
      <c r="AY421" s="18">
        <v>84.220480969997823</v>
      </c>
      <c r="AZ421" s="18">
        <v>73.34521242928939</v>
      </c>
      <c r="BA421" s="18">
        <v>74.888242120372482</v>
      </c>
      <c r="BB421" s="18">
        <v>73.144932479468451</v>
      </c>
      <c r="BC421" s="23">
        <v>8.9181565948742242E-2</v>
      </c>
      <c r="BD421" s="23">
        <v>0.10665277883445198</v>
      </c>
      <c r="BE421" s="23">
        <v>9.438849084854764E-2</v>
      </c>
      <c r="BF421" s="23">
        <v>7.149564986855049E-2</v>
      </c>
      <c r="BG421" s="23">
        <v>0.10368571810536763</v>
      </c>
      <c r="BH421" s="23">
        <v>8.4970330952544637E-2</v>
      </c>
      <c r="BI421" s="23">
        <v>8.4593878877262704E-2</v>
      </c>
      <c r="BJ421" s="23">
        <v>5.7447105462779965E-2</v>
      </c>
      <c r="BK421" s="23">
        <v>8.5153852345557474E-2</v>
      </c>
      <c r="BL421" s="23">
        <v>7.4158058913035174E-2</v>
      </c>
      <c r="BM421" s="23">
        <v>7.5718189192107169E-2</v>
      </c>
      <c r="BN421" s="23">
        <v>7.3955559365675619E-2</v>
      </c>
    </row>
    <row r="422" spans="1:66" x14ac:dyDescent="0.25">
      <c r="A422" s="16">
        <v>34207</v>
      </c>
      <c r="B422" s="16" t="s">
        <v>618</v>
      </c>
      <c r="C422" s="17">
        <v>0</v>
      </c>
      <c r="D422" s="17">
        <f t="shared" si="231"/>
        <v>0</v>
      </c>
      <c r="E422" s="17">
        <f t="shared" si="232"/>
        <v>0</v>
      </c>
      <c r="F422" s="17">
        <f t="shared" si="233"/>
        <v>0</v>
      </c>
      <c r="G422" s="17">
        <f t="shared" si="234"/>
        <v>0</v>
      </c>
      <c r="H422" s="17">
        <f t="shared" si="235"/>
        <v>0</v>
      </c>
      <c r="I422" s="17">
        <f t="shared" si="236"/>
        <v>0</v>
      </c>
      <c r="J422" s="17">
        <f t="shared" si="237"/>
        <v>0</v>
      </c>
      <c r="K422" s="17">
        <f t="shared" si="238"/>
        <v>0</v>
      </c>
      <c r="L422" s="17">
        <f t="shared" si="239"/>
        <v>0</v>
      </c>
      <c r="M422" s="17">
        <f t="shared" si="240"/>
        <v>0</v>
      </c>
      <c r="N422" s="17">
        <f t="shared" si="241"/>
        <v>0</v>
      </c>
      <c r="O422" s="17">
        <f t="shared" si="242"/>
        <v>0</v>
      </c>
      <c r="P422" s="17">
        <v>0</v>
      </c>
      <c r="Q422" s="17">
        <f t="shared" si="243"/>
        <v>0</v>
      </c>
      <c r="R422" s="17">
        <f t="shared" si="244"/>
        <v>0</v>
      </c>
      <c r="S422" s="17">
        <f t="shared" si="245"/>
        <v>0</v>
      </c>
      <c r="T422" s="17">
        <f t="shared" si="246"/>
        <v>0</v>
      </c>
      <c r="U422" s="17">
        <f t="shared" si="247"/>
        <v>0</v>
      </c>
      <c r="V422" s="17">
        <f t="shared" si="248"/>
        <v>0</v>
      </c>
      <c r="W422" s="17">
        <f t="shared" si="249"/>
        <v>0</v>
      </c>
      <c r="X422" s="17">
        <f t="shared" si="250"/>
        <v>0</v>
      </c>
      <c r="Y422" s="17">
        <f t="shared" si="251"/>
        <v>0</v>
      </c>
      <c r="Z422" s="17">
        <f t="shared" si="252"/>
        <v>0</v>
      </c>
      <c r="AA422" s="17">
        <f t="shared" si="253"/>
        <v>0</v>
      </c>
      <c r="AB422" s="17">
        <f t="shared" si="254"/>
        <v>0</v>
      </c>
      <c r="AC422" s="17">
        <v>1500</v>
      </c>
      <c r="AD422" s="17">
        <f t="shared" si="255"/>
        <v>133.77234892311336</v>
      </c>
      <c r="AE422" s="17">
        <f t="shared" si="256"/>
        <v>159.97916825167798</v>
      </c>
      <c r="AF422" s="17">
        <f t="shared" si="257"/>
        <v>141.58273627282145</v>
      </c>
      <c r="AG422" s="17">
        <f t="shared" si="258"/>
        <v>107.24347480282573</v>
      </c>
      <c r="AH422" s="17">
        <f t="shared" si="259"/>
        <v>155.52857715805143</v>
      </c>
      <c r="AI422" s="17">
        <f t="shared" si="260"/>
        <v>127.45549642881696</v>
      </c>
      <c r="AJ422" s="17">
        <f t="shared" si="261"/>
        <v>126.89081831589405</v>
      </c>
      <c r="AK422" s="17">
        <f t="shared" si="262"/>
        <v>86.170658194169945</v>
      </c>
      <c r="AL422" s="17">
        <f t="shared" si="263"/>
        <v>127.73077851833621</v>
      </c>
      <c r="AM422" s="17">
        <f t="shared" si="264"/>
        <v>111.23708836955277</v>
      </c>
      <c r="AN422" s="17">
        <f t="shared" si="265"/>
        <v>113.57728378816076</v>
      </c>
      <c r="AO422" s="17">
        <f t="shared" si="266"/>
        <v>110.93333904851343</v>
      </c>
      <c r="AP422" s="17">
        <f t="shared" si="267"/>
        <v>1500</v>
      </c>
      <c r="AQ422" s="18">
        <v>71.345252758993794</v>
      </c>
      <c r="AR422" s="18">
        <v>85.32222306756158</v>
      </c>
      <c r="AS422" s="18">
        <v>75.510792678838115</v>
      </c>
      <c r="AT422" s="18">
        <v>57.196519894840392</v>
      </c>
      <c r="AU422" s="18">
        <v>82.948574484294099</v>
      </c>
      <c r="AV422" s="18">
        <v>67.976264762035711</v>
      </c>
      <c r="AW422" s="18">
        <v>67.675103101810166</v>
      </c>
      <c r="AX422" s="18">
        <v>45.957684370223973</v>
      </c>
      <c r="AY422" s="18">
        <v>68.12308187644598</v>
      </c>
      <c r="AZ422" s="18">
        <v>59.326447130428136</v>
      </c>
      <c r="BA422" s="18">
        <v>60.574551353685735</v>
      </c>
      <c r="BB422" s="18">
        <v>59.164447492540496</v>
      </c>
      <c r="BC422" s="23">
        <v>8.9181565948742242E-2</v>
      </c>
      <c r="BD422" s="23">
        <v>0.10665277883445198</v>
      </c>
      <c r="BE422" s="23">
        <v>9.438849084854764E-2</v>
      </c>
      <c r="BF422" s="23">
        <v>7.149564986855049E-2</v>
      </c>
      <c r="BG422" s="23">
        <v>0.10368571810536763</v>
      </c>
      <c r="BH422" s="23">
        <v>8.4970330952544637E-2</v>
      </c>
      <c r="BI422" s="23">
        <v>8.4593878877262704E-2</v>
      </c>
      <c r="BJ422" s="23">
        <v>5.7447105462779965E-2</v>
      </c>
      <c r="BK422" s="23">
        <v>8.5153852345557474E-2</v>
      </c>
      <c r="BL422" s="23">
        <v>7.4158058913035174E-2</v>
      </c>
      <c r="BM422" s="23">
        <v>7.5718189192107169E-2</v>
      </c>
      <c r="BN422" s="23">
        <v>7.3955559365675619E-2</v>
      </c>
    </row>
    <row r="423" spans="1:66" x14ac:dyDescent="0.25">
      <c r="A423" s="16">
        <v>1298</v>
      </c>
      <c r="B423" s="16" t="s">
        <v>619</v>
      </c>
      <c r="C423" s="17">
        <v>777.48</v>
      </c>
      <c r="D423" s="17">
        <f t="shared" si="231"/>
        <v>69.336883893828116</v>
      </c>
      <c r="E423" s="17">
        <f t="shared" si="232"/>
        <v>82.920402488209731</v>
      </c>
      <c r="F423" s="17">
        <f t="shared" si="233"/>
        <v>73.385163864928828</v>
      </c>
      <c r="G423" s="17">
        <f t="shared" si="234"/>
        <v>55.58643785980064</v>
      </c>
      <c r="H423" s="17">
        <f t="shared" si="235"/>
        <v>80.613572112561229</v>
      </c>
      <c r="I423" s="17">
        <f t="shared" si="236"/>
        <v>66.062732908984401</v>
      </c>
      <c r="J423" s="17">
        <f t="shared" si="237"/>
        <v>65.77004894949421</v>
      </c>
      <c r="K423" s="17">
        <f t="shared" si="238"/>
        <v>44.663975555202171</v>
      </c>
      <c r="L423" s="17">
        <f t="shared" si="239"/>
        <v>66.205417121624023</v>
      </c>
      <c r="M423" s="17">
        <f t="shared" si="240"/>
        <v>57.656407643706586</v>
      </c>
      <c r="N423" s="17">
        <f t="shared" si="241"/>
        <v>58.869377733079482</v>
      </c>
      <c r="O423" s="17">
        <f t="shared" si="242"/>
        <v>57.498968295625481</v>
      </c>
      <c r="P423" s="17">
        <v>2000</v>
      </c>
      <c r="Q423" s="17">
        <f t="shared" si="243"/>
        <v>178.36313189748449</v>
      </c>
      <c r="R423" s="17">
        <f t="shared" si="244"/>
        <v>213.30555766890396</v>
      </c>
      <c r="S423" s="17">
        <f t="shared" si="245"/>
        <v>188.77698169709529</v>
      </c>
      <c r="T423" s="17">
        <f t="shared" si="246"/>
        <v>142.99129973710097</v>
      </c>
      <c r="U423" s="17">
        <f t="shared" si="247"/>
        <v>207.37143621073525</v>
      </c>
      <c r="V423" s="17">
        <f t="shared" si="248"/>
        <v>169.94066190508929</v>
      </c>
      <c r="W423" s="17">
        <f t="shared" si="249"/>
        <v>169.18775775452542</v>
      </c>
      <c r="X423" s="17">
        <f t="shared" si="250"/>
        <v>114.89421092555993</v>
      </c>
      <c r="Y423" s="17">
        <f t="shared" si="251"/>
        <v>170.30770469111494</v>
      </c>
      <c r="Z423" s="17">
        <f t="shared" si="252"/>
        <v>148.31611782607035</v>
      </c>
      <c r="AA423" s="17">
        <f t="shared" si="253"/>
        <v>151.43637838421435</v>
      </c>
      <c r="AB423" s="17">
        <f t="shared" si="254"/>
        <v>147.91111873135125</v>
      </c>
      <c r="AC423" s="17">
        <v>0</v>
      </c>
      <c r="AD423" s="17">
        <f t="shared" si="255"/>
        <v>0</v>
      </c>
      <c r="AE423" s="17">
        <f t="shared" si="256"/>
        <v>0</v>
      </c>
      <c r="AF423" s="17">
        <f t="shared" si="257"/>
        <v>0</v>
      </c>
      <c r="AG423" s="17">
        <f t="shared" si="258"/>
        <v>0</v>
      </c>
      <c r="AH423" s="17">
        <f t="shared" si="259"/>
        <v>0</v>
      </c>
      <c r="AI423" s="17">
        <f t="shared" si="260"/>
        <v>0</v>
      </c>
      <c r="AJ423" s="17">
        <f t="shared" si="261"/>
        <v>0</v>
      </c>
      <c r="AK423" s="17">
        <f t="shared" si="262"/>
        <v>0</v>
      </c>
      <c r="AL423" s="17">
        <f t="shared" si="263"/>
        <v>0</v>
      </c>
      <c r="AM423" s="17">
        <f t="shared" si="264"/>
        <v>0</v>
      </c>
      <c r="AN423" s="17">
        <f t="shared" si="265"/>
        <v>0</v>
      </c>
      <c r="AO423" s="17">
        <f t="shared" si="266"/>
        <v>0</v>
      </c>
      <c r="AP423" s="17">
        <f t="shared" si="267"/>
        <v>2777.48</v>
      </c>
      <c r="AQ423" s="18">
        <v>71.345252758993794</v>
      </c>
      <c r="AR423" s="18">
        <v>85.32222306756158</v>
      </c>
      <c r="AS423" s="18">
        <v>75.510792678838115</v>
      </c>
      <c r="AT423" s="18">
        <v>57.196519894840392</v>
      </c>
      <c r="AU423" s="18">
        <v>82.948574484294099</v>
      </c>
      <c r="AV423" s="18">
        <v>67.976264762035711</v>
      </c>
      <c r="AW423" s="18">
        <v>67.675103101810166</v>
      </c>
      <c r="AX423" s="18">
        <v>45.957684370223973</v>
      </c>
      <c r="AY423" s="18">
        <v>68.12308187644598</v>
      </c>
      <c r="AZ423" s="18">
        <v>59.326447130428136</v>
      </c>
      <c r="BA423" s="18">
        <v>60.574551353685735</v>
      </c>
      <c r="BB423" s="18">
        <v>59.164447492540496</v>
      </c>
      <c r="BC423" s="23">
        <v>8.9181565948742242E-2</v>
      </c>
      <c r="BD423" s="23">
        <v>0.10665277883445198</v>
      </c>
      <c r="BE423" s="23">
        <v>9.438849084854764E-2</v>
      </c>
      <c r="BF423" s="23">
        <v>7.149564986855049E-2</v>
      </c>
      <c r="BG423" s="23">
        <v>0.10368571810536763</v>
      </c>
      <c r="BH423" s="23">
        <v>8.4970330952544637E-2</v>
      </c>
      <c r="BI423" s="23">
        <v>8.4593878877262704E-2</v>
      </c>
      <c r="BJ423" s="23">
        <v>5.7447105462779965E-2</v>
      </c>
      <c r="BK423" s="23">
        <v>8.5153852345557474E-2</v>
      </c>
      <c r="BL423" s="23">
        <v>7.4158058913035174E-2</v>
      </c>
      <c r="BM423" s="23">
        <v>7.5718189192107169E-2</v>
      </c>
      <c r="BN423" s="23">
        <v>7.3955559365675619E-2</v>
      </c>
    </row>
    <row r="424" spans="1:66" x14ac:dyDescent="0.25">
      <c r="A424" s="16">
        <v>6637</v>
      </c>
      <c r="B424" s="16" t="s">
        <v>620</v>
      </c>
      <c r="C424" s="17">
        <v>0</v>
      </c>
      <c r="D424" s="17">
        <f t="shared" si="231"/>
        <v>0</v>
      </c>
      <c r="E424" s="17">
        <f t="shared" si="232"/>
        <v>0</v>
      </c>
      <c r="F424" s="17">
        <f t="shared" si="233"/>
        <v>0</v>
      </c>
      <c r="G424" s="17">
        <f t="shared" si="234"/>
        <v>0</v>
      </c>
      <c r="H424" s="17">
        <f t="shared" si="235"/>
        <v>0</v>
      </c>
      <c r="I424" s="17">
        <f t="shared" si="236"/>
        <v>0</v>
      </c>
      <c r="J424" s="17">
        <f t="shared" si="237"/>
        <v>0</v>
      </c>
      <c r="K424" s="17">
        <f t="shared" si="238"/>
        <v>0</v>
      </c>
      <c r="L424" s="17">
        <f t="shared" si="239"/>
        <v>0</v>
      </c>
      <c r="M424" s="17">
        <f t="shared" si="240"/>
        <v>0</v>
      </c>
      <c r="N424" s="17">
        <f t="shared" si="241"/>
        <v>0</v>
      </c>
      <c r="O424" s="17">
        <f t="shared" si="242"/>
        <v>0</v>
      </c>
      <c r="P424" s="17">
        <v>0</v>
      </c>
      <c r="Q424" s="17">
        <f t="shared" si="243"/>
        <v>0</v>
      </c>
      <c r="R424" s="17">
        <f t="shared" si="244"/>
        <v>0</v>
      </c>
      <c r="S424" s="17">
        <f t="shared" si="245"/>
        <v>0</v>
      </c>
      <c r="T424" s="17">
        <f t="shared" si="246"/>
        <v>0</v>
      </c>
      <c r="U424" s="17">
        <f t="shared" si="247"/>
        <v>0</v>
      </c>
      <c r="V424" s="17">
        <f t="shared" si="248"/>
        <v>0</v>
      </c>
      <c r="W424" s="17">
        <f t="shared" si="249"/>
        <v>0</v>
      </c>
      <c r="X424" s="17">
        <f t="shared" si="250"/>
        <v>0</v>
      </c>
      <c r="Y424" s="17">
        <f t="shared" si="251"/>
        <v>0</v>
      </c>
      <c r="Z424" s="17">
        <f t="shared" si="252"/>
        <v>0</v>
      </c>
      <c r="AA424" s="17">
        <f t="shared" si="253"/>
        <v>0</v>
      </c>
      <c r="AB424" s="17">
        <f t="shared" si="254"/>
        <v>0</v>
      </c>
      <c r="AC424" s="17">
        <v>0</v>
      </c>
      <c r="AD424" s="17">
        <f t="shared" si="255"/>
        <v>0</v>
      </c>
      <c r="AE424" s="17">
        <f t="shared" si="256"/>
        <v>0</v>
      </c>
      <c r="AF424" s="17">
        <f t="shared" si="257"/>
        <v>0</v>
      </c>
      <c r="AG424" s="17">
        <f t="shared" si="258"/>
        <v>0</v>
      </c>
      <c r="AH424" s="17">
        <f t="shared" si="259"/>
        <v>0</v>
      </c>
      <c r="AI424" s="17">
        <f t="shared" si="260"/>
        <v>0</v>
      </c>
      <c r="AJ424" s="17">
        <f t="shared" si="261"/>
        <v>0</v>
      </c>
      <c r="AK424" s="17">
        <f t="shared" si="262"/>
        <v>0</v>
      </c>
      <c r="AL424" s="17">
        <f t="shared" si="263"/>
        <v>0</v>
      </c>
      <c r="AM424" s="17">
        <f t="shared" si="264"/>
        <v>0</v>
      </c>
      <c r="AN424" s="17">
        <f t="shared" si="265"/>
        <v>0</v>
      </c>
      <c r="AO424" s="17">
        <f t="shared" si="266"/>
        <v>0</v>
      </c>
      <c r="AP424" s="17">
        <f t="shared" si="267"/>
        <v>0</v>
      </c>
      <c r="AQ424" s="18">
        <v>239.89796649428695</v>
      </c>
      <c r="AR424" s="18">
        <v>286.89544180078173</v>
      </c>
      <c r="AS424" s="18">
        <v>253.90456844013897</v>
      </c>
      <c r="AT424" s="18">
        <v>192.32294066815155</v>
      </c>
      <c r="AU424" s="18">
        <v>278.9140632748485</v>
      </c>
      <c r="AV424" s="18">
        <v>228.56976541069037</v>
      </c>
      <c r="AW424" s="18">
        <v>227.55711121044234</v>
      </c>
      <c r="AX424" s="18">
        <v>154.53242645935083</v>
      </c>
      <c r="AY424" s="18">
        <v>229.06343704028794</v>
      </c>
      <c r="AZ424" s="18">
        <v>199.48480768577011</v>
      </c>
      <c r="BA424" s="18">
        <v>203.68155033582238</v>
      </c>
      <c r="BB424" s="18">
        <v>198.94008491587064</v>
      </c>
      <c r="BC424" s="23">
        <v>8.9181565948742242E-2</v>
      </c>
      <c r="BD424" s="23">
        <v>0.10665277883445198</v>
      </c>
      <c r="BE424" s="23">
        <v>9.438849084854764E-2</v>
      </c>
      <c r="BF424" s="23">
        <v>7.149564986855049E-2</v>
      </c>
      <c r="BG424" s="23">
        <v>0.10368571810536763</v>
      </c>
      <c r="BH424" s="23">
        <v>8.4970330952544637E-2</v>
      </c>
      <c r="BI424" s="23">
        <v>8.4593878877262704E-2</v>
      </c>
      <c r="BJ424" s="23">
        <v>5.7447105462779965E-2</v>
      </c>
      <c r="BK424" s="23">
        <v>8.5153852345557474E-2</v>
      </c>
      <c r="BL424" s="23">
        <v>7.4158058913035174E-2</v>
      </c>
      <c r="BM424" s="23">
        <v>7.5718189192107169E-2</v>
      </c>
      <c r="BN424" s="23">
        <v>7.3955559365675619E-2</v>
      </c>
    </row>
    <row r="425" spans="1:66" x14ac:dyDescent="0.25">
      <c r="A425" s="16">
        <v>948</v>
      </c>
      <c r="B425" s="16" t="s">
        <v>621</v>
      </c>
      <c r="C425" s="17">
        <v>0</v>
      </c>
      <c r="D425" s="17">
        <f t="shared" si="231"/>
        <v>0</v>
      </c>
      <c r="E425" s="17">
        <f t="shared" si="232"/>
        <v>0</v>
      </c>
      <c r="F425" s="17">
        <f t="shared" si="233"/>
        <v>0</v>
      </c>
      <c r="G425" s="17">
        <f t="shared" si="234"/>
        <v>0</v>
      </c>
      <c r="H425" s="17">
        <f t="shared" si="235"/>
        <v>0</v>
      </c>
      <c r="I425" s="17">
        <f t="shared" si="236"/>
        <v>0</v>
      </c>
      <c r="J425" s="17">
        <f t="shared" si="237"/>
        <v>0</v>
      </c>
      <c r="K425" s="17">
        <f t="shared" si="238"/>
        <v>0</v>
      </c>
      <c r="L425" s="17">
        <f t="shared" si="239"/>
        <v>0</v>
      </c>
      <c r="M425" s="17">
        <f t="shared" si="240"/>
        <v>0</v>
      </c>
      <c r="N425" s="17">
        <f t="shared" si="241"/>
        <v>0</v>
      </c>
      <c r="O425" s="17">
        <f t="shared" si="242"/>
        <v>0</v>
      </c>
      <c r="P425" s="17">
        <v>0</v>
      </c>
      <c r="Q425" s="17">
        <f t="shared" si="243"/>
        <v>0</v>
      </c>
      <c r="R425" s="17">
        <f t="shared" si="244"/>
        <v>0</v>
      </c>
      <c r="S425" s="17">
        <f t="shared" si="245"/>
        <v>0</v>
      </c>
      <c r="T425" s="17">
        <f t="shared" si="246"/>
        <v>0</v>
      </c>
      <c r="U425" s="17">
        <f t="shared" si="247"/>
        <v>0</v>
      </c>
      <c r="V425" s="17">
        <f t="shared" si="248"/>
        <v>0</v>
      </c>
      <c r="W425" s="17">
        <f t="shared" si="249"/>
        <v>0</v>
      </c>
      <c r="X425" s="17">
        <f t="shared" si="250"/>
        <v>0</v>
      </c>
      <c r="Y425" s="17">
        <f t="shared" si="251"/>
        <v>0</v>
      </c>
      <c r="Z425" s="17">
        <f t="shared" si="252"/>
        <v>0</v>
      </c>
      <c r="AA425" s="17">
        <f t="shared" si="253"/>
        <v>0</v>
      </c>
      <c r="AB425" s="17">
        <f t="shared" si="254"/>
        <v>0</v>
      </c>
      <c r="AC425" s="17">
        <v>0</v>
      </c>
      <c r="AD425" s="17">
        <f t="shared" si="255"/>
        <v>0</v>
      </c>
      <c r="AE425" s="17">
        <f t="shared" si="256"/>
        <v>0</v>
      </c>
      <c r="AF425" s="17">
        <f t="shared" si="257"/>
        <v>0</v>
      </c>
      <c r="AG425" s="17">
        <f t="shared" si="258"/>
        <v>0</v>
      </c>
      <c r="AH425" s="17">
        <f t="shared" si="259"/>
        <v>0</v>
      </c>
      <c r="AI425" s="17">
        <f t="shared" si="260"/>
        <v>0</v>
      </c>
      <c r="AJ425" s="17">
        <f t="shared" si="261"/>
        <v>0</v>
      </c>
      <c r="AK425" s="17">
        <f t="shared" si="262"/>
        <v>0</v>
      </c>
      <c r="AL425" s="17">
        <f t="shared" si="263"/>
        <v>0</v>
      </c>
      <c r="AM425" s="17">
        <f t="shared" si="264"/>
        <v>0</v>
      </c>
      <c r="AN425" s="17">
        <f t="shared" si="265"/>
        <v>0</v>
      </c>
      <c r="AO425" s="17">
        <f t="shared" si="266"/>
        <v>0</v>
      </c>
      <c r="AP425" s="17">
        <f t="shared" si="267"/>
        <v>0</v>
      </c>
      <c r="AQ425" s="18">
        <v>68.640019137504666</v>
      </c>
      <c r="AR425" s="18">
        <v>82.087017674397345</v>
      </c>
      <c r="AS425" s="18">
        <v>72.647612197438278</v>
      </c>
      <c r="AT425" s="18">
        <v>55.027770851727794</v>
      </c>
      <c r="AU425" s="18">
        <v>79.803371911285893</v>
      </c>
      <c r="AV425" s="18">
        <v>65.398774742921233</v>
      </c>
      <c r="AW425" s="18">
        <v>65.109032379947294</v>
      </c>
      <c r="AX425" s="18">
        <v>44.215083873116015</v>
      </c>
      <c r="AY425" s="18">
        <v>65.540024919395847</v>
      </c>
      <c r="AZ425" s="18">
        <v>57.076936571360143</v>
      </c>
      <c r="BA425" s="18">
        <v>58.277715802732367</v>
      </c>
      <c r="BB425" s="18">
        <v>56.9210795547421</v>
      </c>
      <c r="BC425" s="23">
        <v>8.9181565948742242E-2</v>
      </c>
      <c r="BD425" s="23">
        <v>0.10665277883445198</v>
      </c>
      <c r="BE425" s="23">
        <v>9.438849084854764E-2</v>
      </c>
      <c r="BF425" s="23">
        <v>7.149564986855049E-2</v>
      </c>
      <c r="BG425" s="23">
        <v>0.10368571810536763</v>
      </c>
      <c r="BH425" s="23">
        <v>8.4970330952544637E-2</v>
      </c>
      <c r="BI425" s="23">
        <v>8.4593878877262704E-2</v>
      </c>
      <c r="BJ425" s="23">
        <v>5.7447105462779965E-2</v>
      </c>
      <c r="BK425" s="23">
        <v>8.5153852345557474E-2</v>
      </c>
      <c r="BL425" s="23">
        <v>7.4158058913035174E-2</v>
      </c>
      <c r="BM425" s="23">
        <v>7.5718189192107169E-2</v>
      </c>
      <c r="BN425" s="23">
        <v>7.3955559365675619E-2</v>
      </c>
    </row>
    <row r="426" spans="1:66" x14ac:dyDescent="0.25">
      <c r="A426" s="16">
        <v>6586</v>
      </c>
      <c r="B426" s="16" t="s">
        <v>622</v>
      </c>
      <c r="C426" s="17">
        <v>0</v>
      </c>
      <c r="D426" s="17">
        <f t="shared" si="231"/>
        <v>0</v>
      </c>
      <c r="E426" s="17">
        <f t="shared" si="232"/>
        <v>0</v>
      </c>
      <c r="F426" s="17">
        <f t="shared" si="233"/>
        <v>0</v>
      </c>
      <c r="G426" s="17">
        <f t="shared" si="234"/>
        <v>0</v>
      </c>
      <c r="H426" s="17">
        <f t="shared" si="235"/>
        <v>0</v>
      </c>
      <c r="I426" s="17">
        <f t="shared" si="236"/>
        <v>0</v>
      </c>
      <c r="J426" s="17">
        <f t="shared" si="237"/>
        <v>0</v>
      </c>
      <c r="K426" s="17">
        <f t="shared" si="238"/>
        <v>0</v>
      </c>
      <c r="L426" s="17">
        <f t="shared" si="239"/>
        <v>0</v>
      </c>
      <c r="M426" s="17">
        <f t="shared" si="240"/>
        <v>0</v>
      </c>
      <c r="N426" s="17">
        <f t="shared" si="241"/>
        <v>0</v>
      </c>
      <c r="O426" s="17">
        <f t="shared" si="242"/>
        <v>0</v>
      </c>
      <c r="P426" s="17">
        <v>0</v>
      </c>
      <c r="Q426" s="17">
        <f t="shared" si="243"/>
        <v>0</v>
      </c>
      <c r="R426" s="17">
        <f t="shared" si="244"/>
        <v>0</v>
      </c>
      <c r="S426" s="17">
        <f t="shared" si="245"/>
        <v>0</v>
      </c>
      <c r="T426" s="17">
        <f t="shared" si="246"/>
        <v>0</v>
      </c>
      <c r="U426" s="17">
        <f t="shared" si="247"/>
        <v>0</v>
      </c>
      <c r="V426" s="17">
        <f t="shared" si="248"/>
        <v>0</v>
      </c>
      <c r="W426" s="17">
        <f t="shared" si="249"/>
        <v>0</v>
      </c>
      <c r="X426" s="17">
        <f t="shared" si="250"/>
        <v>0</v>
      </c>
      <c r="Y426" s="17">
        <f t="shared" si="251"/>
        <v>0</v>
      </c>
      <c r="Z426" s="17">
        <f t="shared" si="252"/>
        <v>0</v>
      </c>
      <c r="AA426" s="17">
        <f t="shared" si="253"/>
        <v>0</v>
      </c>
      <c r="AB426" s="17">
        <f t="shared" si="254"/>
        <v>0</v>
      </c>
      <c r="AC426" s="17">
        <v>1500</v>
      </c>
      <c r="AD426" s="17">
        <f t="shared" si="255"/>
        <v>133.77234892311336</v>
      </c>
      <c r="AE426" s="17">
        <f t="shared" si="256"/>
        <v>159.97916825167798</v>
      </c>
      <c r="AF426" s="17">
        <f t="shared" si="257"/>
        <v>141.58273627282145</v>
      </c>
      <c r="AG426" s="17">
        <f t="shared" si="258"/>
        <v>107.24347480282573</v>
      </c>
      <c r="AH426" s="17">
        <f t="shared" si="259"/>
        <v>155.52857715805143</v>
      </c>
      <c r="AI426" s="17">
        <f t="shared" si="260"/>
        <v>127.45549642881696</v>
      </c>
      <c r="AJ426" s="17">
        <f t="shared" si="261"/>
        <v>126.89081831589405</v>
      </c>
      <c r="AK426" s="17">
        <f t="shared" si="262"/>
        <v>86.170658194169945</v>
      </c>
      <c r="AL426" s="17">
        <f t="shared" si="263"/>
        <v>127.73077851833621</v>
      </c>
      <c r="AM426" s="17">
        <f t="shared" si="264"/>
        <v>111.23708836955277</v>
      </c>
      <c r="AN426" s="17">
        <f t="shared" si="265"/>
        <v>113.57728378816076</v>
      </c>
      <c r="AO426" s="17">
        <f t="shared" si="266"/>
        <v>110.93333904851343</v>
      </c>
      <c r="AP426" s="17">
        <f t="shared" si="267"/>
        <v>1500</v>
      </c>
      <c r="AQ426" s="18">
        <v>73.041486143338872</v>
      </c>
      <c r="AR426" s="18">
        <v>87.35075892099286</v>
      </c>
      <c r="AS426" s="18">
        <v>77.30606177477749</v>
      </c>
      <c r="AT426" s="18">
        <v>58.556367155340219</v>
      </c>
      <c r="AU426" s="18">
        <v>84.920676842658196</v>
      </c>
      <c r="AV426" s="18">
        <v>69.592400456753111</v>
      </c>
      <c r="AW426" s="18">
        <v>69.284078678055693</v>
      </c>
      <c r="AX426" s="18">
        <v>47.050328316126048</v>
      </c>
      <c r="AY426" s="18">
        <v>69.742708148058483</v>
      </c>
      <c r="AZ426" s="18">
        <v>60.736933410954066</v>
      </c>
      <c r="BA426" s="18">
        <v>62.014711312119609</v>
      </c>
      <c r="BB426" s="18">
        <v>60.571082231675646</v>
      </c>
      <c r="BC426" s="23">
        <v>8.9181565948742242E-2</v>
      </c>
      <c r="BD426" s="23">
        <v>0.10665277883445198</v>
      </c>
      <c r="BE426" s="23">
        <v>9.438849084854764E-2</v>
      </c>
      <c r="BF426" s="23">
        <v>7.149564986855049E-2</v>
      </c>
      <c r="BG426" s="23">
        <v>0.10368571810536763</v>
      </c>
      <c r="BH426" s="23">
        <v>8.4970330952544637E-2</v>
      </c>
      <c r="BI426" s="23">
        <v>8.4593878877262704E-2</v>
      </c>
      <c r="BJ426" s="23">
        <v>5.7447105462779965E-2</v>
      </c>
      <c r="BK426" s="23">
        <v>8.5153852345557474E-2</v>
      </c>
      <c r="BL426" s="23">
        <v>7.4158058913035174E-2</v>
      </c>
      <c r="BM426" s="23">
        <v>7.5718189192107169E-2</v>
      </c>
      <c r="BN426" s="23">
        <v>7.3955559365675619E-2</v>
      </c>
    </row>
    <row r="427" spans="1:66" x14ac:dyDescent="0.25">
      <c r="A427" s="16">
        <v>6552</v>
      </c>
      <c r="B427" s="16" t="s">
        <v>623</v>
      </c>
      <c r="C427" s="17">
        <v>0</v>
      </c>
      <c r="D427" s="17">
        <f t="shared" si="231"/>
        <v>0</v>
      </c>
      <c r="E427" s="17">
        <f t="shared" si="232"/>
        <v>0</v>
      </c>
      <c r="F427" s="17">
        <f t="shared" si="233"/>
        <v>0</v>
      </c>
      <c r="G427" s="17">
        <f t="shared" si="234"/>
        <v>0</v>
      </c>
      <c r="H427" s="17">
        <f t="shared" si="235"/>
        <v>0</v>
      </c>
      <c r="I427" s="17">
        <f t="shared" si="236"/>
        <v>0</v>
      </c>
      <c r="J427" s="17">
        <f t="shared" si="237"/>
        <v>0</v>
      </c>
      <c r="K427" s="17">
        <f t="shared" si="238"/>
        <v>0</v>
      </c>
      <c r="L427" s="17">
        <f t="shared" si="239"/>
        <v>0</v>
      </c>
      <c r="M427" s="17">
        <f t="shared" si="240"/>
        <v>0</v>
      </c>
      <c r="N427" s="17">
        <f t="shared" si="241"/>
        <v>0</v>
      </c>
      <c r="O427" s="17">
        <f t="shared" si="242"/>
        <v>0</v>
      </c>
      <c r="P427" s="17">
        <v>0</v>
      </c>
      <c r="Q427" s="17">
        <f t="shared" si="243"/>
        <v>0</v>
      </c>
      <c r="R427" s="17">
        <f t="shared" si="244"/>
        <v>0</v>
      </c>
      <c r="S427" s="17">
        <f t="shared" si="245"/>
        <v>0</v>
      </c>
      <c r="T427" s="17">
        <f t="shared" si="246"/>
        <v>0</v>
      </c>
      <c r="U427" s="17">
        <f t="shared" si="247"/>
        <v>0</v>
      </c>
      <c r="V427" s="17">
        <f t="shared" si="248"/>
        <v>0</v>
      </c>
      <c r="W427" s="17">
        <f t="shared" si="249"/>
        <v>0</v>
      </c>
      <c r="X427" s="17">
        <f t="shared" si="250"/>
        <v>0</v>
      </c>
      <c r="Y427" s="17">
        <f t="shared" si="251"/>
        <v>0</v>
      </c>
      <c r="Z427" s="17">
        <f t="shared" si="252"/>
        <v>0</v>
      </c>
      <c r="AA427" s="17">
        <f t="shared" si="253"/>
        <v>0</v>
      </c>
      <c r="AB427" s="17">
        <f t="shared" si="254"/>
        <v>0</v>
      </c>
      <c r="AC427" s="17">
        <v>0</v>
      </c>
      <c r="AD427" s="17">
        <f t="shared" si="255"/>
        <v>0</v>
      </c>
      <c r="AE427" s="17">
        <f t="shared" si="256"/>
        <v>0</v>
      </c>
      <c r="AF427" s="17">
        <f t="shared" si="257"/>
        <v>0</v>
      </c>
      <c r="AG427" s="17">
        <f t="shared" si="258"/>
        <v>0</v>
      </c>
      <c r="AH427" s="17">
        <f t="shared" si="259"/>
        <v>0</v>
      </c>
      <c r="AI427" s="17">
        <f t="shared" si="260"/>
        <v>0</v>
      </c>
      <c r="AJ427" s="17">
        <f t="shared" si="261"/>
        <v>0</v>
      </c>
      <c r="AK427" s="17">
        <f t="shared" si="262"/>
        <v>0</v>
      </c>
      <c r="AL427" s="17">
        <f t="shared" si="263"/>
        <v>0</v>
      </c>
      <c r="AM427" s="17">
        <f t="shared" si="264"/>
        <v>0</v>
      </c>
      <c r="AN427" s="17">
        <f t="shared" si="265"/>
        <v>0</v>
      </c>
      <c r="AO427" s="17">
        <f t="shared" si="266"/>
        <v>0</v>
      </c>
      <c r="AP427" s="17">
        <f t="shared" si="267"/>
        <v>0</v>
      </c>
      <c r="AQ427" s="18">
        <v>62.427096164119568</v>
      </c>
      <c r="AR427" s="18">
        <v>74.656945184116395</v>
      </c>
      <c r="AS427" s="18">
        <v>66.071943593983349</v>
      </c>
      <c r="AT427" s="18">
        <v>50.046954907985345</v>
      </c>
      <c r="AU427" s="18">
        <v>72.580002673757335</v>
      </c>
      <c r="AV427" s="18">
        <v>59.479231666781246</v>
      </c>
      <c r="AW427" s="18">
        <v>59.215715214083893</v>
      </c>
      <c r="AX427" s="18">
        <v>40.212973823945973</v>
      </c>
      <c r="AY427" s="18">
        <v>59.607696641890229</v>
      </c>
      <c r="AZ427" s="18">
        <v>51.910641239124622</v>
      </c>
      <c r="BA427" s="18">
        <v>53.002732434475021</v>
      </c>
      <c r="BB427" s="18">
        <v>51.768891555972935</v>
      </c>
      <c r="BC427" s="23">
        <v>8.9181565948742242E-2</v>
      </c>
      <c r="BD427" s="23">
        <v>0.10665277883445198</v>
      </c>
      <c r="BE427" s="23">
        <v>9.438849084854764E-2</v>
      </c>
      <c r="BF427" s="23">
        <v>7.149564986855049E-2</v>
      </c>
      <c r="BG427" s="23">
        <v>0.10368571810536763</v>
      </c>
      <c r="BH427" s="23">
        <v>8.4970330952544637E-2</v>
      </c>
      <c r="BI427" s="23">
        <v>8.4593878877262704E-2</v>
      </c>
      <c r="BJ427" s="23">
        <v>5.7447105462779965E-2</v>
      </c>
      <c r="BK427" s="23">
        <v>8.5153852345557474E-2</v>
      </c>
      <c r="BL427" s="23">
        <v>7.4158058913035174E-2</v>
      </c>
      <c r="BM427" s="23">
        <v>7.5718189192107169E-2</v>
      </c>
      <c r="BN427" s="23">
        <v>7.3955559365675619E-2</v>
      </c>
    </row>
    <row r="428" spans="1:66" x14ac:dyDescent="0.25">
      <c r="A428" s="16">
        <v>2562</v>
      </c>
      <c r="B428" s="16" t="s">
        <v>624</v>
      </c>
      <c r="C428" s="17">
        <v>630.80599999999993</v>
      </c>
      <c r="D428" s="17">
        <f t="shared" si="231"/>
        <v>56.256266889862289</v>
      </c>
      <c r="E428" s="17">
        <f t="shared" si="232"/>
        <v>67.277212805445316</v>
      </c>
      <c r="F428" s="17">
        <f t="shared" si="233"/>
        <v>59.540826358208939</v>
      </c>
      <c r="G428" s="17">
        <f t="shared" si="234"/>
        <v>45.099884910980855</v>
      </c>
      <c r="H428" s="17">
        <f t="shared" si="235"/>
        <v>65.405573095174518</v>
      </c>
      <c r="I428" s="17">
        <f t="shared" si="236"/>
        <v>53.599794586850869</v>
      </c>
      <c r="J428" s="17">
        <f t="shared" si="237"/>
        <v>53.36232635905057</v>
      </c>
      <c r="K428" s="17">
        <f t="shared" si="238"/>
        <v>36.237978808554374</v>
      </c>
      <c r="L428" s="17">
        <f t="shared" si="239"/>
        <v>53.71556098269172</v>
      </c>
      <c r="M428" s="17">
        <f t="shared" si="240"/>
        <v>46.77934851069606</v>
      </c>
      <c r="N428" s="17">
        <f t="shared" si="241"/>
        <v>47.763488051516347</v>
      </c>
      <c r="O428" s="17">
        <f t="shared" si="242"/>
        <v>46.651610581224368</v>
      </c>
      <c r="P428" s="17">
        <v>0</v>
      </c>
      <c r="Q428" s="17">
        <f t="shared" si="243"/>
        <v>0</v>
      </c>
      <c r="R428" s="17">
        <f t="shared" si="244"/>
        <v>0</v>
      </c>
      <c r="S428" s="17">
        <f t="shared" si="245"/>
        <v>0</v>
      </c>
      <c r="T428" s="17">
        <f t="shared" si="246"/>
        <v>0</v>
      </c>
      <c r="U428" s="17">
        <f t="shared" si="247"/>
        <v>0</v>
      </c>
      <c r="V428" s="17">
        <f t="shared" si="248"/>
        <v>0</v>
      </c>
      <c r="W428" s="17">
        <f t="shared" si="249"/>
        <v>0</v>
      </c>
      <c r="X428" s="17">
        <f t="shared" si="250"/>
        <v>0</v>
      </c>
      <c r="Y428" s="17">
        <f t="shared" si="251"/>
        <v>0</v>
      </c>
      <c r="Z428" s="17">
        <f t="shared" si="252"/>
        <v>0</v>
      </c>
      <c r="AA428" s="17">
        <f t="shared" si="253"/>
        <v>0</v>
      </c>
      <c r="AB428" s="17">
        <f t="shared" si="254"/>
        <v>0</v>
      </c>
      <c r="AC428" s="17">
        <v>0</v>
      </c>
      <c r="AD428" s="17">
        <f t="shared" si="255"/>
        <v>0</v>
      </c>
      <c r="AE428" s="17">
        <f t="shared" si="256"/>
        <v>0</v>
      </c>
      <c r="AF428" s="17">
        <f t="shared" si="257"/>
        <v>0</v>
      </c>
      <c r="AG428" s="17">
        <f t="shared" si="258"/>
        <v>0</v>
      </c>
      <c r="AH428" s="17">
        <f t="shared" si="259"/>
        <v>0</v>
      </c>
      <c r="AI428" s="17">
        <f t="shared" si="260"/>
        <v>0</v>
      </c>
      <c r="AJ428" s="17">
        <f t="shared" si="261"/>
        <v>0</v>
      </c>
      <c r="AK428" s="17">
        <f t="shared" si="262"/>
        <v>0</v>
      </c>
      <c r="AL428" s="17">
        <f t="shared" si="263"/>
        <v>0</v>
      </c>
      <c r="AM428" s="17">
        <f t="shared" si="264"/>
        <v>0</v>
      </c>
      <c r="AN428" s="17">
        <f t="shared" si="265"/>
        <v>0</v>
      </c>
      <c r="AO428" s="17">
        <f t="shared" si="266"/>
        <v>0</v>
      </c>
      <c r="AP428" s="17">
        <f t="shared" si="267"/>
        <v>630.80599999999993</v>
      </c>
      <c r="AQ428" s="18">
        <v>62.308038773577998</v>
      </c>
      <c r="AR428" s="18">
        <v>74.514563724372394</v>
      </c>
      <c r="AS428" s="18">
        <v>65.945934958700533</v>
      </c>
      <c r="AT428" s="18">
        <v>49.951508215410826</v>
      </c>
      <c r="AU428" s="18">
        <v>72.441582240086674</v>
      </c>
      <c r="AV428" s="18">
        <v>59.365796274959592</v>
      </c>
      <c r="AW428" s="18">
        <v>59.102782385782746</v>
      </c>
      <c r="AX428" s="18">
        <v>40.136281938153161</v>
      </c>
      <c r="AY428" s="18">
        <v>59.494016249008908</v>
      </c>
      <c r="AZ428" s="18">
        <v>51.811640230475717</v>
      </c>
      <c r="BA428" s="18">
        <v>52.90164865190355</v>
      </c>
      <c r="BB428" s="18">
        <v>51.670160884219754</v>
      </c>
      <c r="BC428" s="23">
        <v>8.9181565948742242E-2</v>
      </c>
      <c r="BD428" s="23">
        <v>0.10665277883445198</v>
      </c>
      <c r="BE428" s="23">
        <v>9.438849084854764E-2</v>
      </c>
      <c r="BF428" s="23">
        <v>7.149564986855049E-2</v>
      </c>
      <c r="BG428" s="23">
        <v>0.10368571810536763</v>
      </c>
      <c r="BH428" s="23">
        <v>8.4970330952544637E-2</v>
      </c>
      <c r="BI428" s="23">
        <v>8.4593878877262704E-2</v>
      </c>
      <c r="BJ428" s="23">
        <v>5.7447105462779965E-2</v>
      </c>
      <c r="BK428" s="23">
        <v>8.5153852345557474E-2</v>
      </c>
      <c r="BL428" s="23">
        <v>7.4158058913035174E-2</v>
      </c>
      <c r="BM428" s="23">
        <v>7.5718189192107169E-2</v>
      </c>
      <c r="BN428" s="23">
        <v>7.3955559365675619E-2</v>
      </c>
    </row>
    <row r="429" spans="1:66" x14ac:dyDescent="0.25">
      <c r="A429" s="16">
        <v>1882</v>
      </c>
      <c r="B429" s="16" t="s">
        <v>268</v>
      </c>
      <c r="C429" s="17">
        <v>0</v>
      </c>
      <c r="D429" s="17">
        <f t="shared" si="231"/>
        <v>0</v>
      </c>
      <c r="E429" s="17">
        <f t="shared" si="232"/>
        <v>0</v>
      </c>
      <c r="F429" s="17">
        <f t="shared" si="233"/>
        <v>0</v>
      </c>
      <c r="G429" s="17">
        <f t="shared" si="234"/>
        <v>0</v>
      </c>
      <c r="H429" s="17">
        <f t="shared" si="235"/>
        <v>0</v>
      </c>
      <c r="I429" s="17">
        <f t="shared" si="236"/>
        <v>0</v>
      </c>
      <c r="J429" s="17">
        <f t="shared" si="237"/>
        <v>0</v>
      </c>
      <c r="K429" s="17">
        <f t="shared" si="238"/>
        <v>0</v>
      </c>
      <c r="L429" s="17">
        <f t="shared" si="239"/>
        <v>0</v>
      </c>
      <c r="M429" s="17">
        <f t="shared" si="240"/>
        <v>0</v>
      </c>
      <c r="N429" s="17">
        <f t="shared" si="241"/>
        <v>0</v>
      </c>
      <c r="O429" s="17">
        <f t="shared" si="242"/>
        <v>0</v>
      </c>
      <c r="P429" s="17">
        <v>10000</v>
      </c>
      <c r="Q429" s="17">
        <f t="shared" si="243"/>
        <v>891.81565948742241</v>
      </c>
      <c r="R429" s="17">
        <f t="shared" si="244"/>
        <v>1066.5277883445199</v>
      </c>
      <c r="S429" s="17">
        <f t="shared" si="245"/>
        <v>943.88490848547644</v>
      </c>
      <c r="T429" s="17">
        <f t="shared" si="246"/>
        <v>714.95649868550493</v>
      </c>
      <c r="U429" s="17">
        <f t="shared" si="247"/>
        <v>1036.8571810536762</v>
      </c>
      <c r="V429" s="17">
        <f t="shared" si="248"/>
        <v>849.70330952544634</v>
      </c>
      <c r="W429" s="17">
        <f t="shared" si="249"/>
        <v>845.93878877262705</v>
      </c>
      <c r="X429" s="17">
        <f t="shared" si="250"/>
        <v>574.47105462779962</v>
      </c>
      <c r="Y429" s="17">
        <f t="shared" si="251"/>
        <v>851.5385234555747</v>
      </c>
      <c r="Z429" s="17">
        <f t="shared" si="252"/>
        <v>741.58058913035177</v>
      </c>
      <c r="AA429" s="17">
        <f t="shared" si="253"/>
        <v>757.18189192107172</v>
      </c>
      <c r="AB429" s="17">
        <f t="shared" si="254"/>
        <v>739.55559365675617</v>
      </c>
      <c r="AC429" s="17">
        <v>0</v>
      </c>
      <c r="AD429" s="17">
        <f t="shared" si="255"/>
        <v>0</v>
      </c>
      <c r="AE429" s="17">
        <f t="shared" si="256"/>
        <v>0</v>
      </c>
      <c r="AF429" s="17">
        <f t="shared" si="257"/>
        <v>0</v>
      </c>
      <c r="AG429" s="17">
        <f t="shared" si="258"/>
        <v>0</v>
      </c>
      <c r="AH429" s="17">
        <f t="shared" si="259"/>
        <v>0</v>
      </c>
      <c r="AI429" s="17">
        <f t="shared" si="260"/>
        <v>0</v>
      </c>
      <c r="AJ429" s="17">
        <f t="shared" si="261"/>
        <v>0</v>
      </c>
      <c r="AK429" s="17">
        <f t="shared" si="262"/>
        <v>0</v>
      </c>
      <c r="AL429" s="17">
        <f t="shared" si="263"/>
        <v>0</v>
      </c>
      <c r="AM429" s="17">
        <f t="shared" si="264"/>
        <v>0</v>
      </c>
      <c r="AN429" s="17">
        <f t="shared" si="265"/>
        <v>0</v>
      </c>
      <c r="AO429" s="17">
        <f t="shared" si="266"/>
        <v>0</v>
      </c>
      <c r="AP429" s="17">
        <f t="shared" si="267"/>
        <v>10000</v>
      </c>
      <c r="AQ429" s="18">
        <v>56.256266889862289</v>
      </c>
      <c r="AR429" s="18">
        <v>67.277212805445316</v>
      </c>
      <c r="AS429" s="18">
        <v>59.540826358208939</v>
      </c>
      <c r="AT429" s="18">
        <v>45.099884910980855</v>
      </c>
      <c r="AU429" s="18">
        <v>65.405573095174518</v>
      </c>
      <c r="AV429" s="18">
        <v>53.599794586850869</v>
      </c>
      <c r="AW429" s="18">
        <v>53.36232635905057</v>
      </c>
      <c r="AX429" s="18">
        <v>36.237978808554374</v>
      </c>
      <c r="AY429" s="18">
        <v>53.71556098269172</v>
      </c>
      <c r="AZ429" s="18">
        <v>46.77934851069606</v>
      </c>
      <c r="BA429" s="18">
        <v>47.763488051516347</v>
      </c>
      <c r="BB429" s="18">
        <v>46.651610581224368</v>
      </c>
      <c r="BC429" s="23">
        <v>8.9181565948742242E-2</v>
      </c>
      <c r="BD429" s="23">
        <v>0.10665277883445198</v>
      </c>
      <c r="BE429" s="23">
        <v>9.438849084854764E-2</v>
      </c>
      <c r="BF429" s="23">
        <v>7.149564986855049E-2</v>
      </c>
      <c r="BG429" s="23">
        <v>0.10368571810536763</v>
      </c>
      <c r="BH429" s="23">
        <v>8.4970330952544637E-2</v>
      </c>
      <c r="BI429" s="23">
        <v>8.4593878877262704E-2</v>
      </c>
      <c r="BJ429" s="23">
        <v>5.7447105462779965E-2</v>
      </c>
      <c r="BK429" s="23">
        <v>8.5153852345557474E-2</v>
      </c>
      <c r="BL429" s="23">
        <v>7.4158058913035174E-2</v>
      </c>
      <c r="BM429" s="23">
        <v>7.5718189192107169E-2</v>
      </c>
      <c r="BN429" s="23">
        <v>7.3955559365675619E-2</v>
      </c>
    </row>
    <row r="430" spans="1:66" x14ac:dyDescent="0.25">
      <c r="A430" s="16">
        <v>4977</v>
      </c>
      <c r="B430" s="16" t="s">
        <v>625</v>
      </c>
      <c r="C430" s="17">
        <v>0</v>
      </c>
      <c r="D430" s="17">
        <f t="shared" si="231"/>
        <v>0</v>
      </c>
      <c r="E430" s="17">
        <f t="shared" si="232"/>
        <v>0</v>
      </c>
      <c r="F430" s="17">
        <f t="shared" si="233"/>
        <v>0</v>
      </c>
      <c r="G430" s="17">
        <f t="shared" si="234"/>
        <v>0</v>
      </c>
      <c r="H430" s="17">
        <f t="shared" si="235"/>
        <v>0</v>
      </c>
      <c r="I430" s="17">
        <f t="shared" si="236"/>
        <v>0</v>
      </c>
      <c r="J430" s="17">
        <f t="shared" si="237"/>
        <v>0</v>
      </c>
      <c r="K430" s="17">
        <f t="shared" si="238"/>
        <v>0</v>
      </c>
      <c r="L430" s="17">
        <f t="shared" si="239"/>
        <v>0</v>
      </c>
      <c r="M430" s="17">
        <f t="shared" si="240"/>
        <v>0</v>
      </c>
      <c r="N430" s="17">
        <f t="shared" si="241"/>
        <v>0</v>
      </c>
      <c r="O430" s="17">
        <f t="shared" si="242"/>
        <v>0</v>
      </c>
      <c r="P430" s="17">
        <v>0</v>
      </c>
      <c r="Q430" s="17">
        <f t="shared" si="243"/>
        <v>0</v>
      </c>
      <c r="R430" s="17">
        <f t="shared" si="244"/>
        <v>0</v>
      </c>
      <c r="S430" s="17">
        <f t="shared" si="245"/>
        <v>0</v>
      </c>
      <c r="T430" s="17">
        <f t="shared" si="246"/>
        <v>0</v>
      </c>
      <c r="U430" s="17">
        <f t="shared" si="247"/>
        <v>0</v>
      </c>
      <c r="V430" s="17">
        <f t="shared" si="248"/>
        <v>0</v>
      </c>
      <c r="W430" s="17">
        <f t="shared" si="249"/>
        <v>0</v>
      </c>
      <c r="X430" s="17">
        <f t="shared" si="250"/>
        <v>0</v>
      </c>
      <c r="Y430" s="17">
        <f t="shared" si="251"/>
        <v>0</v>
      </c>
      <c r="Z430" s="17">
        <f t="shared" si="252"/>
        <v>0</v>
      </c>
      <c r="AA430" s="17">
        <f t="shared" si="253"/>
        <v>0</v>
      </c>
      <c r="AB430" s="17">
        <f t="shared" si="254"/>
        <v>0</v>
      </c>
      <c r="AC430" s="17">
        <v>400</v>
      </c>
      <c r="AD430" s="17">
        <f t="shared" si="255"/>
        <v>35.672626379496897</v>
      </c>
      <c r="AE430" s="17">
        <f t="shared" si="256"/>
        <v>42.66111153378079</v>
      </c>
      <c r="AF430" s="17">
        <f t="shared" si="257"/>
        <v>37.755396339419057</v>
      </c>
      <c r="AG430" s="17">
        <f t="shared" si="258"/>
        <v>28.598259947420196</v>
      </c>
      <c r="AH430" s="17">
        <f t="shared" si="259"/>
        <v>41.474287242147049</v>
      </c>
      <c r="AI430" s="17">
        <f t="shared" si="260"/>
        <v>33.988132381017856</v>
      </c>
      <c r="AJ430" s="17">
        <f t="shared" si="261"/>
        <v>33.837551550905083</v>
      </c>
      <c r="AK430" s="17">
        <f t="shared" si="262"/>
        <v>22.978842185111986</v>
      </c>
      <c r="AL430" s="17">
        <f t="shared" si="263"/>
        <v>34.06154093822299</v>
      </c>
      <c r="AM430" s="17">
        <f t="shared" si="264"/>
        <v>29.663223565214068</v>
      </c>
      <c r="AN430" s="17">
        <f t="shared" si="265"/>
        <v>30.287275676842867</v>
      </c>
      <c r="AO430" s="17">
        <f t="shared" si="266"/>
        <v>29.582223746270248</v>
      </c>
      <c r="AP430" s="17">
        <f t="shared" si="267"/>
        <v>400</v>
      </c>
      <c r="AQ430" s="18">
        <v>53.508939569245342</v>
      </c>
      <c r="AR430" s="18">
        <v>63.991667300671189</v>
      </c>
      <c r="AS430" s="18">
        <v>56.633094509128583</v>
      </c>
      <c r="AT430" s="18">
        <v>42.897389921130291</v>
      </c>
      <c r="AU430" s="18">
        <v>62.211430863220578</v>
      </c>
      <c r="AV430" s="18">
        <v>50.98219857152678</v>
      </c>
      <c r="AW430" s="18">
        <v>50.756327326357621</v>
      </c>
      <c r="AX430" s="18">
        <v>34.46826327766798</v>
      </c>
      <c r="AY430" s="18">
        <v>51.092311407334485</v>
      </c>
      <c r="AZ430" s="18">
        <v>44.494835347821102</v>
      </c>
      <c r="BA430" s="18">
        <v>45.430913515264301</v>
      </c>
      <c r="BB430" s="18">
        <v>44.373335619405374</v>
      </c>
      <c r="BC430" s="23">
        <v>8.9181565948742242E-2</v>
      </c>
      <c r="BD430" s="23">
        <v>0.10665277883445198</v>
      </c>
      <c r="BE430" s="23">
        <v>9.438849084854764E-2</v>
      </c>
      <c r="BF430" s="23">
        <v>7.149564986855049E-2</v>
      </c>
      <c r="BG430" s="23">
        <v>0.10368571810536763</v>
      </c>
      <c r="BH430" s="23">
        <v>8.4970330952544637E-2</v>
      </c>
      <c r="BI430" s="23">
        <v>8.4593878877262704E-2</v>
      </c>
      <c r="BJ430" s="23">
        <v>5.7447105462779965E-2</v>
      </c>
      <c r="BK430" s="23">
        <v>8.5153852345557474E-2</v>
      </c>
      <c r="BL430" s="23">
        <v>7.4158058913035174E-2</v>
      </c>
      <c r="BM430" s="23">
        <v>7.5718189192107169E-2</v>
      </c>
      <c r="BN430" s="23">
        <v>7.3955559365675619E-2</v>
      </c>
    </row>
    <row r="431" spans="1:66" x14ac:dyDescent="0.25">
      <c r="A431" s="16">
        <v>5019</v>
      </c>
      <c r="B431" s="16" t="s">
        <v>626</v>
      </c>
      <c r="C431" s="17">
        <v>500</v>
      </c>
      <c r="D431" s="17">
        <f t="shared" si="231"/>
        <v>44.590782974371123</v>
      </c>
      <c r="E431" s="17">
        <f t="shared" si="232"/>
        <v>53.32638941722599</v>
      </c>
      <c r="F431" s="17">
        <f t="shared" si="233"/>
        <v>47.194245424273824</v>
      </c>
      <c r="G431" s="17">
        <f t="shared" si="234"/>
        <v>35.747824934275243</v>
      </c>
      <c r="H431" s="17">
        <f t="shared" si="235"/>
        <v>51.842859052683814</v>
      </c>
      <c r="I431" s="17">
        <f t="shared" si="236"/>
        <v>42.485165476272321</v>
      </c>
      <c r="J431" s="17">
        <f t="shared" si="237"/>
        <v>42.296939438631355</v>
      </c>
      <c r="K431" s="17">
        <f t="shared" si="238"/>
        <v>28.723552731389983</v>
      </c>
      <c r="L431" s="17">
        <f t="shared" si="239"/>
        <v>42.576926172778734</v>
      </c>
      <c r="M431" s="17">
        <f t="shared" si="240"/>
        <v>37.079029456517588</v>
      </c>
      <c r="N431" s="17">
        <f t="shared" si="241"/>
        <v>37.859094596053588</v>
      </c>
      <c r="O431" s="17">
        <f t="shared" si="242"/>
        <v>36.977779682837813</v>
      </c>
      <c r="P431" s="17">
        <v>0</v>
      </c>
      <c r="Q431" s="17">
        <f t="shared" si="243"/>
        <v>0</v>
      </c>
      <c r="R431" s="17">
        <f t="shared" si="244"/>
        <v>0</v>
      </c>
      <c r="S431" s="17">
        <f t="shared" si="245"/>
        <v>0</v>
      </c>
      <c r="T431" s="17">
        <f t="shared" si="246"/>
        <v>0</v>
      </c>
      <c r="U431" s="17">
        <f t="shared" si="247"/>
        <v>0</v>
      </c>
      <c r="V431" s="17">
        <f t="shared" si="248"/>
        <v>0</v>
      </c>
      <c r="W431" s="17">
        <f t="shared" si="249"/>
        <v>0</v>
      </c>
      <c r="X431" s="17">
        <f t="shared" si="250"/>
        <v>0</v>
      </c>
      <c r="Y431" s="17">
        <f t="shared" si="251"/>
        <v>0</v>
      </c>
      <c r="Z431" s="17">
        <f t="shared" si="252"/>
        <v>0</v>
      </c>
      <c r="AA431" s="17">
        <f t="shared" si="253"/>
        <v>0</v>
      </c>
      <c r="AB431" s="17">
        <f t="shared" si="254"/>
        <v>0</v>
      </c>
      <c r="AC431" s="17">
        <v>0</v>
      </c>
      <c r="AD431" s="17">
        <f t="shared" si="255"/>
        <v>0</v>
      </c>
      <c r="AE431" s="17">
        <f t="shared" si="256"/>
        <v>0</v>
      </c>
      <c r="AF431" s="17">
        <f t="shared" si="257"/>
        <v>0</v>
      </c>
      <c r="AG431" s="17">
        <f t="shared" si="258"/>
        <v>0</v>
      </c>
      <c r="AH431" s="17">
        <f t="shared" si="259"/>
        <v>0</v>
      </c>
      <c r="AI431" s="17">
        <f t="shared" si="260"/>
        <v>0</v>
      </c>
      <c r="AJ431" s="17">
        <f t="shared" si="261"/>
        <v>0</v>
      </c>
      <c r="AK431" s="17">
        <f t="shared" si="262"/>
        <v>0</v>
      </c>
      <c r="AL431" s="17">
        <f t="shared" si="263"/>
        <v>0</v>
      </c>
      <c r="AM431" s="17">
        <f t="shared" si="264"/>
        <v>0</v>
      </c>
      <c r="AN431" s="17">
        <f t="shared" si="265"/>
        <v>0</v>
      </c>
      <c r="AO431" s="17">
        <f t="shared" si="266"/>
        <v>0</v>
      </c>
      <c r="AP431" s="17">
        <f t="shared" si="267"/>
        <v>500</v>
      </c>
      <c r="AQ431" s="18">
        <v>53.508939569245342</v>
      </c>
      <c r="AR431" s="18">
        <v>63.991667300671189</v>
      </c>
      <c r="AS431" s="18">
        <v>56.633094509128583</v>
      </c>
      <c r="AT431" s="18">
        <v>42.897389921130291</v>
      </c>
      <c r="AU431" s="18">
        <v>62.211430863220578</v>
      </c>
      <c r="AV431" s="18">
        <v>50.98219857152678</v>
      </c>
      <c r="AW431" s="18">
        <v>50.756327326357621</v>
      </c>
      <c r="AX431" s="18">
        <v>34.46826327766798</v>
      </c>
      <c r="AY431" s="18">
        <v>51.092311407334485</v>
      </c>
      <c r="AZ431" s="18">
        <v>44.494835347821102</v>
      </c>
      <c r="BA431" s="18">
        <v>45.430913515264301</v>
      </c>
      <c r="BB431" s="18">
        <v>44.373335619405374</v>
      </c>
      <c r="BC431" s="23">
        <v>8.9181565948742242E-2</v>
      </c>
      <c r="BD431" s="23">
        <v>0.10665277883445198</v>
      </c>
      <c r="BE431" s="23">
        <v>9.438849084854764E-2</v>
      </c>
      <c r="BF431" s="23">
        <v>7.149564986855049E-2</v>
      </c>
      <c r="BG431" s="23">
        <v>0.10368571810536763</v>
      </c>
      <c r="BH431" s="23">
        <v>8.4970330952544637E-2</v>
      </c>
      <c r="BI431" s="23">
        <v>8.4593878877262704E-2</v>
      </c>
      <c r="BJ431" s="23">
        <v>5.7447105462779965E-2</v>
      </c>
      <c r="BK431" s="23">
        <v>8.5153852345557474E-2</v>
      </c>
      <c r="BL431" s="23">
        <v>7.4158058913035174E-2</v>
      </c>
      <c r="BM431" s="23">
        <v>7.5718189192107169E-2</v>
      </c>
      <c r="BN431" s="23">
        <v>7.3955559365675619E-2</v>
      </c>
    </row>
    <row r="432" spans="1:66" x14ac:dyDescent="0.25">
      <c r="A432" s="16">
        <v>6631</v>
      </c>
      <c r="B432" s="16" t="s">
        <v>627</v>
      </c>
      <c r="C432" s="17">
        <v>0</v>
      </c>
      <c r="D432" s="17">
        <f t="shared" si="231"/>
        <v>0</v>
      </c>
      <c r="E432" s="17">
        <f t="shared" si="232"/>
        <v>0</v>
      </c>
      <c r="F432" s="17">
        <f t="shared" si="233"/>
        <v>0</v>
      </c>
      <c r="G432" s="17">
        <f t="shared" si="234"/>
        <v>0</v>
      </c>
      <c r="H432" s="17">
        <f t="shared" si="235"/>
        <v>0</v>
      </c>
      <c r="I432" s="17">
        <f t="shared" si="236"/>
        <v>0</v>
      </c>
      <c r="J432" s="17">
        <f t="shared" si="237"/>
        <v>0</v>
      </c>
      <c r="K432" s="17">
        <f t="shared" si="238"/>
        <v>0</v>
      </c>
      <c r="L432" s="17">
        <f t="shared" si="239"/>
        <v>0</v>
      </c>
      <c r="M432" s="17">
        <f t="shared" si="240"/>
        <v>0</v>
      </c>
      <c r="N432" s="17">
        <f t="shared" si="241"/>
        <v>0</v>
      </c>
      <c r="O432" s="17">
        <f t="shared" si="242"/>
        <v>0</v>
      </c>
      <c r="P432" s="17">
        <v>0</v>
      </c>
      <c r="Q432" s="17">
        <f t="shared" si="243"/>
        <v>0</v>
      </c>
      <c r="R432" s="17">
        <f t="shared" si="244"/>
        <v>0</v>
      </c>
      <c r="S432" s="17">
        <f t="shared" si="245"/>
        <v>0</v>
      </c>
      <c r="T432" s="17">
        <f t="shared" si="246"/>
        <v>0</v>
      </c>
      <c r="U432" s="17">
        <f t="shared" si="247"/>
        <v>0</v>
      </c>
      <c r="V432" s="17">
        <f t="shared" si="248"/>
        <v>0</v>
      </c>
      <c r="W432" s="17">
        <f t="shared" si="249"/>
        <v>0</v>
      </c>
      <c r="X432" s="17">
        <f t="shared" si="250"/>
        <v>0</v>
      </c>
      <c r="Y432" s="17">
        <f t="shared" si="251"/>
        <v>0</v>
      </c>
      <c r="Z432" s="17">
        <f t="shared" si="252"/>
        <v>0</v>
      </c>
      <c r="AA432" s="17">
        <f t="shared" si="253"/>
        <v>0</v>
      </c>
      <c r="AB432" s="17">
        <f t="shared" si="254"/>
        <v>0</v>
      </c>
      <c r="AC432" s="17">
        <v>0</v>
      </c>
      <c r="AD432" s="17">
        <f t="shared" si="255"/>
        <v>0</v>
      </c>
      <c r="AE432" s="17">
        <f t="shared" si="256"/>
        <v>0</v>
      </c>
      <c r="AF432" s="17">
        <f t="shared" si="257"/>
        <v>0</v>
      </c>
      <c r="AG432" s="17">
        <f t="shared" si="258"/>
        <v>0</v>
      </c>
      <c r="AH432" s="17">
        <f t="shared" si="259"/>
        <v>0</v>
      </c>
      <c r="AI432" s="17">
        <f t="shared" si="260"/>
        <v>0</v>
      </c>
      <c r="AJ432" s="17">
        <f t="shared" si="261"/>
        <v>0</v>
      </c>
      <c r="AK432" s="17">
        <f t="shared" si="262"/>
        <v>0</v>
      </c>
      <c r="AL432" s="17">
        <f t="shared" si="263"/>
        <v>0</v>
      </c>
      <c r="AM432" s="17">
        <f t="shared" si="264"/>
        <v>0</v>
      </c>
      <c r="AN432" s="17">
        <f t="shared" si="265"/>
        <v>0</v>
      </c>
      <c r="AO432" s="17">
        <f t="shared" si="266"/>
        <v>0</v>
      </c>
      <c r="AP432" s="17">
        <f t="shared" si="267"/>
        <v>0</v>
      </c>
      <c r="AQ432" s="18">
        <v>53.508939569245342</v>
      </c>
      <c r="AR432" s="18">
        <v>63.991667300671189</v>
      </c>
      <c r="AS432" s="18">
        <v>56.633094509128583</v>
      </c>
      <c r="AT432" s="18">
        <v>42.897389921130291</v>
      </c>
      <c r="AU432" s="18">
        <v>62.211430863220578</v>
      </c>
      <c r="AV432" s="18">
        <v>50.98219857152678</v>
      </c>
      <c r="AW432" s="18">
        <v>50.756327326357621</v>
      </c>
      <c r="AX432" s="18">
        <v>34.46826327766798</v>
      </c>
      <c r="AY432" s="18">
        <v>51.092311407334485</v>
      </c>
      <c r="AZ432" s="18">
        <v>44.494835347821102</v>
      </c>
      <c r="BA432" s="18">
        <v>45.430913515264301</v>
      </c>
      <c r="BB432" s="18">
        <v>44.373335619405374</v>
      </c>
      <c r="BC432" s="23">
        <v>8.9181565948742242E-2</v>
      </c>
      <c r="BD432" s="23">
        <v>0.10665277883445198</v>
      </c>
      <c r="BE432" s="23">
        <v>9.438849084854764E-2</v>
      </c>
      <c r="BF432" s="23">
        <v>7.149564986855049E-2</v>
      </c>
      <c r="BG432" s="23">
        <v>0.10368571810536763</v>
      </c>
      <c r="BH432" s="23">
        <v>8.4970330952544637E-2</v>
      </c>
      <c r="BI432" s="23">
        <v>8.4593878877262704E-2</v>
      </c>
      <c r="BJ432" s="23">
        <v>5.7447105462779965E-2</v>
      </c>
      <c r="BK432" s="23">
        <v>8.5153852345557474E-2</v>
      </c>
      <c r="BL432" s="23">
        <v>7.4158058913035174E-2</v>
      </c>
      <c r="BM432" s="23">
        <v>7.5718189192107169E-2</v>
      </c>
      <c r="BN432" s="23">
        <v>7.3955559365675619E-2</v>
      </c>
    </row>
    <row r="433" spans="1:66" x14ac:dyDescent="0.25">
      <c r="A433" s="16">
        <v>3932</v>
      </c>
      <c r="B433" s="16" t="s">
        <v>628</v>
      </c>
      <c r="C433" s="17">
        <v>0</v>
      </c>
      <c r="D433" s="17">
        <f t="shared" si="231"/>
        <v>0</v>
      </c>
      <c r="E433" s="17">
        <f t="shared" si="232"/>
        <v>0</v>
      </c>
      <c r="F433" s="17">
        <f t="shared" si="233"/>
        <v>0</v>
      </c>
      <c r="G433" s="17">
        <f t="shared" si="234"/>
        <v>0</v>
      </c>
      <c r="H433" s="17">
        <f t="shared" si="235"/>
        <v>0</v>
      </c>
      <c r="I433" s="17">
        <f t="shared" si="236"/>
        <v>0</v>
      </c>
      <c r="J433" s="17">
        <f t="shared" si="237"/>
        <v>0</v>
      </c>
      <c r="K433" s="17">
        <f t="shared" si="238"/>
        <v>0</v>
      </c>
      <c r="L433" s="17">
        <f t="shared" si="239"/>
        <v>0</v>
      </c>
      <c r="M433" s="17">
        <f t="shared" si="240"/>
        <v>0</v>
      </c>
      <c r="N433" s="17">
        <f t="shared" si="241"/>
        <v>0</v>
      </c>
      <c r="O433" s="17">
        <f t="shared" si="242"/>
        <v>0</v>
      </c>
      <c r="P433" s="17">
        <v>0</v>
      </c>
      <c r="Q433" s="17">
        <f t="shared" si="243"/>
        <v>0</v>
      </c>
      <c r="R433" s="17">
        <f t="shared" si="244"/>
        <v>0</v>
      </c>
      <c r="S433" s="17">
        <f t="shared" si="245"/>
        <v>0</v>
      </c>
      <c r="T433" s="17">
        <f t="shared" si="246"/>
        <v>0</v>
      </c>
      <c r="U433" s="17">
        <f t="shared" si="247"/>
        <v>0</v>
      </c>
      <c r="V433" s="17">
        <f t="shared" si="248"/>
        <v>0</v>
      </c>
      <c r="W433" s="17">
        <f t="shared" si="249"/>
        <v>0</v>
      </c>
      <c r="X433" s="17">
        <f t="shared" si="250"/>
        <v>0</v>
      </c>
      <c r="Y433" s="17">
        <f t="shared" si="251"/>
        <v>0</v>
      </c>
      <c r="Z433" s="17">
        <f t="shared" si="252"/>
        <v>0</v>
      </c>
      <c r="AA433" s="17">
        <f t="shared" si="253"/>
        <v>0</v>
      </c>
      <c r="AB433" s="17">
        <f t="shared" si="254"/>
        <v>0</v>
      </c>
      <c r="AC433" s="17">
        <v>0</v>
      </c>
      <c r="AD433" s="17">
        <f t="shared" si="255"/>
        <v>0</v>
      </c>
      <c r="AE433" s="17">
        <f t="shared" si="256"/>
        <v>0</v>
      </c>
      <c r="AF433" s="17">
        <f t="shared" si="257"/>
        <v>0</v>
      </c>
      <c r="AG433" s="17">
        <f t="shared" si="258"/>
        <v>0</v>
      </c>
      <c r="AH433" s="17">
        <f t="shared" si="259"/>
        <v>0</v>
      </c>
      <c r="AI433" s="17">
        <f t="shared" si="260"/>
        <v>0</v>
      </c>
      <c r="AJ433" s="17">
        <f t="shared" si="261"/>
        <v>0</v>
      </c>
      <c r="AK433" s="17">
        <f t="shared" si="262"/>
        <v>0</v>
      </c>
      <c r="AL433" s="17">
        <f t="shared" si="263"/>
        <v>0</v>
      </c>
      <c r="AM433" s="17">
        <f t="shared" si="264"/>
        <v>0</v>
      </c>
      <c r="AN433" s="17">
        <f t="shared" si="265"/>
        <v>0</v>
      </c>
      <c r="AO433" s="17">
        <f t="shared" si="266"/>
        <v>0</v>
      </c>
      <c r="AP433" s="17">
        <f t="shared" si="267"/>
        <v>0</v>
      </c>
      <c r="AQ433" s="18">
        <v>52.897332389968874</v>
      </c>
      <c r="AR433" s="18">
        <v>63.260242543424525</v>
      </c>
      <c r="AS433" s="18">
        <v>55.985778238889246</v>
      </c>
      <c r="AT433" s="18">
        <v>42.407072754331779</v>
      </c>
      <c r="AU433" s="18">
        <v>61.50035420845397</v>
      </c>
      <c r="AV433" s="18">
        <v>50.399472041854239</v>
      </c>
      <c r="AW433" s="18">
        <v>50.176182505017358</v>
      </c>
      <c r="AX433" s="18">
        <v>34.07429102840424</v>
      </c>
      <c r="AY433" s="18">
        <v>50.508326287948655</v>
      </c>
      <c r="AZ433" s="18">
        <v>43.986259379795513</v>
      </c>
      <c r="BA433" s="18">
        <v>44.911638173784837</v>
      </c>
      <c r="BB433" s="18">
        <v>43.866148393275573</v>
      </c>
      <c r="BC433" s="23">
        <v>8.9181565948742242E-2</v>
      </c>
      <c r="BD433" s="23">
        <v>0.10665277883445198</v>
      </c>
      <c r="BE433" s="23">
        <v>9.438849084854764E-2</v>
      </c>
      <c r="BF433" s="23">
        <v>7.149564986855049E-2</v>
      </c>
      <c r="BG433" s="23">
        <v>0.10368571810536763</v>
      </c>
      <c r="BH433" s="23">
        <v>8.4970330952544637E-2</v>
      </c>
      <c r="BI433" s="23">
        <v>8.4593878877262704E-2</v>
      </c>
      <c r="BJ433" s="23">
        <v>5.7447105462779965E-2</v>
      </c>
      <c r="BK433" s="23">
        <v>8.5153852345557474E-2</v>
      </c>
      <c r="BL433" s="23">
        <v>7.4158058913035174E-2</v>
      </c>
      <c r="BM433" s="23">
        <v>7.5718189192107169E-2</v>
      </c>
      <c r="BN433" s="23">
        <v>7.3955559365675619E-2</v>
      </c>
    </row>
    <row r="434" spans="1:66" x14ac:dyDescent="0.25">
      <c r="A434" s="16">
        <v>5170</v>
      </c>
      <c r="B434" s="16" t="s">
        <v>629</v>
      </c>
      <c r="C434" s="17">
        <v>1500</v>
      </c>
      <c r="D434" s="17">
        <f t="shared" si="231"/>
        <v>133.77234892311336</v>
      </c>
      <c r="E434" s="17">
        <f t="shared" si="232"/>
        <v>159.97916825167798</v>
      </c>
      <c r="F434" s="17">
        <f t="shared" si="233"/>
        <v>141.58273627282145</v>
      </c>
      <c r="G434" s="17">
        <f t="shared" si="234"/>
        <v>107.24347480282573</v>
      </c>
      <c r="H434" s="17">
        <f t="shared" si="235"/>
        <v>155.52857715805143</v>
      </c>
      <c r="I434" s="17">
        <f t="shared" si="236"/>
        <v>127.45549642881696</v>
      </c>
      <c r="J434" s="17">
        <f t="shared" si="237"/>
        <v>126.89081831589405</v>
      </c>
      <c r="K434" s="17">
        <f t="shared" si="238"/>
        <v>86.170658194169945</v>
      </c>
      <c r="L434" s="17">
        <f t="shared" si="239"/>
        <v>127.73077851833621</v>
      </c>
      <c r="M434" s="17">
        <f t="shared" si="240"/>
        <v>111.23708836955277</v>
      </c>
      <c r="N434" s="17">
        <f t="shared" si="241"/>
        <v>113.57728378816076</v>
      </c>
      <c r="O434" s="17">
        <f t="shared" si="242"/>
        <v>110.93333904851343</v>
      </c>
      <c r="P434" s="17">
        <v>0</v>
      </c>
      <c r="Q434" s="17">
        <f t="shared" si="243"/>
        <v>0</v>
      </c>
      <c r="R434" s="17">
        <f t="shared" si="244"/>
        <v>0</v>
      </c>
      <c r="S434" s="17">
        <f t="shared" si="245"/>
        <v>0</v>
      </c>
      <c r="T434" s="17">
        <f t="shared" si="246"/>
        <v>0</v>
      </c>
      <c r="U434" s="17">
        <f t="shared" si="247"/>
        <v>0</v>
      </c>
      <c r="V434" s="17">
        <f t="shared" si="248"/>
        <v>0</v>
      </c>
      <c r="W434" s="17">
        <f t="shared" si="249"/>
        <v>0</v>
      </c>
      <c r="X434" s="17">
        <f t="shared" si="250"/>
        <v>0</v>
      </c>
      <c r="Y434" s="17">
        <f t="shared" si="251"/>
        <v>0</v>
      </c>
      <c r="Z434" s="17">
        <f t="shared" si="252"/>
        <v>0</v>
      </c>
      <c r="AA434" s="17">
        <f t="shared" si="253"/>
        <v>0</v>
      </c>
      <c r="AB434" s="17">
        <f t="shared" si="254"/>
        <v>0</v>
      </c>
      <c r="AC434" s="17">
        <v>0</v>
      </c>
      <c r="AD434" s="17">
        <f t="shared" si="255"/>
        <v>0</v>
      </c>
      <c r="AE434" s="17">
        <f t="shared" si="256"/>
        <v>0</v>
      </c>
      <c r="AF434" s="17">
        <f t="shared" si="257"/>
        <v>0</v>
      </c>
      <c r="AG434" s="17">
        <f t="shared" si="258"/>
        <v>0</v>
      </c>
      <c r="AH434" s="17">
        <f t="shared" si="259"/>
        <v>0</v>
      </c>
      <c r="AI434" s="17">
        <f t="shared" si="260"/>
        <v>0</v>
      </c>
      <c r="AJ434" s="17">
        <f t="shared" si="261"/>
        <v>0</v>
      </c>
      <c r="AK434" s="17">
        <f t="shared" si="262"/>
        <v>0</v>
      </c>
      <c r="AL434" s="17">
        <f t="shared" si="263"/>
        <v>0</v>
      </c>
      <c r="AM434" s="17">
        <f t="shared" si="264"/>
        <v>0</v>
      </c>
      <c r="AN434" s="17">
        <f t="shared" si="265"/>
        <v>0</v>
      </c>
      <c r="AO434" s="17">
        <f t="shared" si="266"/>
        <v>0</v>
      </c>
      <c r="AP434" s="17">
        <f t="shared" si="267"/>
        <v>1500</v>
      </c>
      <c r="AQ434" s="18">
        <v>72.839757441162817</v>
      </c>
      <c r="AR434" s="18">
        <v>87.109510335269334</v>
      </c>
      <c r="AS434" s="18">
        <v>77.092555008478072</v>
      </c>
      <c r="AT434" s="18">
        <v>58.39464399533756</v>
      </c>
      <c r="AU434" s="18">
        <v>84.686139748303859</v>
      </c>
      <c r="AV434" s="18">
        <v>69.400197568138452</v>
      </c>
      <c r="AW434" s="18">
        <v>69.092727324035337</v>
      </c>
      <c r="AX434" s="18">
        <v>46.920382963569239</v>
      </c>
      <c r="AY434" s="18">
        <v>69.550090134052837</v>
      </c>
      <c r="AZ434" s="18">
        <v>60.569187881692784</v>
      </c>
      <c r="BA434" s="18">
        <v>61.843436768167066</v>
      </c>
      <c r="BB434" s="18">
        <v>60.403794756390489</v>
      </c>
      <c r="BC434" s="23">
        <v>8.9181565948742242E-2</v>
      </c>
      <c r="BD434" s="23">
        <v>0.10665277883445198</v>
      </c>
      <c r="BE434" s="23">
        <v>9.438849084854764E-2</v>
      </c>
      <c r="BF434" s="23">
        <v>7.149564986855049E-2</v>
      </c>
      <c r="BG434" s="23">
        <v>0.10368571810536763</v>
      </c>
      <c r="BH434" s="23">
        <v>8.4970330952544637E-2</v>
      </c>
      <c r="BI434" s="23">
        <v>8.4593878877262704E-2</v>
      </c>
      <c r="BJ434" s="23">
        <v>5.7447105462779965E-2</v>
      </c>
      <c r="BK434" s="23">
        <v>8.5153852345557474E-2</v>
      </c>
      <c r="BL434" s="23">
        <v>7.4158058913035174E-2</v>
      </c>
      <c r="BM434" s="23">
        <v>7.5718189192107169E-2</v>
      </c>
      <c r="BN434" s="23">
        <v>7.3955559365675619E-2</v>
      </c>
    </row>
    <row r="435" spans="1:66" x14ac:dyDescent="0.25">
      <c r="A435" s="16">
        <v>4351</v>
      </c>
      <c r="B435" s="16" t="s">
        <v>630</v>
      </c>
      <c r="C435" s="17">
        <v>525.69000000000005</v>
      </c>
      <c r="D435" s="17">
        <f t="shared" si="231"/>
        <v>46.881857403594317</v>
      </c>
      <c r="E435" s="17">
        <f t="shared" si="232"/>
        <v>56.066299305483071</v>
      </c>
      <c r="F435" s="17">
        <f t="shared" si="233"/>
        <v>49.619085754173014</v>
      </c>
      <c r="G435" s="17">
        <f t="shared" si="234"/>
        <v>37.584548179398311</v>
      </c>
      <c r="H435" s="17">
        <f t="shared" si="235"/>
        <v>54.506545150810716</v>
      </c>
      <c r="I435" s="17">
        <f t="shared" si="236"/>
        <v>44.668053278443196</v>
      </c>
      <c r="J435" s="17">
        <f t="shared" si="237"/>
        <v>44.470156186988234</v>
      </c>
      <c r="K435" s="17">
        <f t="shared" si="238"/>
        <v>30.199368870728804</v>
      </c>
      <c r="L435" s="17">
        <f t="shared" si="239"/>
        <v>44.76452863953611</v>
      </c>
      <c r="M435" s="17">
        <f t="shared" si="240"/>
        <v>38.984149989993462</v>
      </c>
      <c r="N435" s="17">
        <f t="shared" si="241"/>
        <v>39.804294876398821</v>
      </c>
      <c r="O435" s="17">
        <f t="shared" si="242"/>
        <v>38.877698002942019</v>
      </c>
      <c r="P435" s="17">
        <v>0</v>
      </c>
      <c r="Q435" s="17">
        <f t="shared" si="243"/>
        <v>0</v>
      </c>
      <c r="R435" s="17">
        <f t="shared" si="244"/>
        <v>0</v>
      </c>
      <c r="S435" s="17">
        <f t="shared" si="245"/>
        <v>0</v>
      </c>
      <c r="T435" s="17">
        <f t="shared" si="246"/>
        <v>0</v>
      </c>
      <c r="U435" s="17">
        <f t="shared" si="247"/>
        <v>0</v>
      </c>
      <c r="V435" s="17">
        <f t="shared" si="248"/>
        <v>0</v>
      </c>
      <c r="W435" s="17">
        <f t="shared" si="249"/>
        <v>0</v>
      </c>
      <c r="X435" s="17">
        <f t="shared" si="250"/>
        <v>0</v>
      </c>
      <c r="Y435" s="17">
        <f t="shared" si="251"/>
        <v>0</v>
      </c>
      <c r="Z435" s="17">
        <f t="shared" si="252"/>
        <v>0</v>
      </c>
      <c r="AA435" s="17">
        <f t="shared" si="253"/>
        <v>0</v>
      </c>
      <c r="AB435" s="17">
        <f t="shared" si="254"/>
        <v>0</v>
      </c>
      <c r="AC435" s="17">
        <v>0</v>
      </c>
      <c r="AD435" s="17">
        <f t="shared" si="255"/>
        <v>0</v>
      </c>
      <c r="AE435" s="17">
        <f t="shared" si="256"/>
        <v>0</v>
      </c>
      <c r="AF435" s="17">
        <f t="shared" si="257"/>
        <v>0</v>
      </c>
      <c r="AG435" s="17">
        <f t="shared" si="258"/>
        <v>0</v>
      </c>
      <c r="AH435" s="17">
        <f t="shared" si="259"/>
        <v>0</v>
      </c>
      <c r="AI435" s="17">
        <f t="shared" si="260"/>
        <v>0</v>
      </c>
      <c r="AJ435" s="17">
        <f t="shared" si="261"/>
        <v>0</v>
      </c>
      <c r="AK435" s="17">
        <f t="shared" si="262"/>
        <v>0</v>
      </c>
      <c r="AL435" s="17">
        <f t="shared" si="263"/>
        <v>0</v>
      </c>
      <c r="AM435" s="17">
        <f t="shared" si="264"/>
        <v>0</v>
      </c>
      <c r="AN435" s="17">
        <f t="shared" si="265"/>
        <v>0</v>
      </c>
      <c r="AO435" s="17">
        <f t="shared" si="266"/>
        <v>0</v>
      </c>
      <c r="AP435" s="17">
        <f t="shared" si="267"/>
        <v>525.69000000000005</v>
      </c>
      <c r="AQ435" s="18">
        <v>53.904370632662072</v>
      </c>
      <c r="AR435" s="18">
        <v>64.464565722023153</v>
      </c>
      <c r="AS435" s="18">
        <v>57.051613077551053</v>
      </c>
      <c r="AT435" s="18">
        <v>43.214401632647451</v>
      </c>
      <c r="AU435" s="18">
        <v>62.671173337299784</v>
      </c>
      <c r="AV435" s="18">
        <v>51.358957018970372</v>
      </c>
      <c r="AW435" s="18">
        <v>51.131416585299412</v>
      </c>
      <c r="AX435" s="18">
        <v>34.722983743289952</v>
      </c>
      <c r="AY435" s="18">
        <v>51.469883588634694</v>
      </c>
      <c r="AZ435" s="18">
        <v>44.82365218104151</v>
      </c>
      <c r="BA435" s="18">
        <v>45.766647966142109</v>
      </c>
      <c r="BB435" s="18">
        <v>44.701254569632781</v>
      </c>
      <c r="BC435" s="23">
        <v>8.9181565948742242E-2</v>
      </c>
      <c r="BD435" s="23">
        <v>0.10665277883445198</v>
      </c>
      <c r="BE435" s="23">
        <v>9.438849084854764E-2</v>
      </c>
      <c r="BF435" s="23">
        <v>7.149564986855049E-2</v>
      </c>
      <c r="BG435" s="23">
        <v>0.10368571810536763</v>
      </c>
      <c r="BH435" s="23">
        <v>8.4970330952544637E-2</v>
      </c>
      <c r="BI435" s="23">
        <v>8.4593878877262704E-2</v>
      </c>
      <c r="BJ435" s="23">
        <v>5.7447105462779965E-2</v>
      </c>
      <c r="BK435" s="23">
        <v>8.5153852345557474E-2</v>
      </c>
      <c r="BL435" s="23">
        <v>7.4158058913035174E-2</v>
      </c>
      <c r="BM435" s="23">
        <v>7.5718189192107169E-2</v>
      </c>
      <c r="BN435" s="23">
        <v>7.3955559365675619E-2</v>
      </c>
    </row>
    <row r="436" spans="1:66" x14ac:dyDescent="0.25">
      <c r="A436" s="16">
        <v>3885</v>
      </c>
      <c r="B436" s="16" t="s">
        <v>631</v>
      </c>
      <c r="C436" s="17">
        <v>500</v>
      </c>
      <c r="D436" s="17">
        <f t="shared" si="231"/>
        <v>44.590782974371123</v>
      </c>
      <c r="E436" s="17">
        <f t="shared" si="232"/>
        <v>53.32638941722599</v>
      </c>
      <c r="F436" s="17">
        <f t="shared" si="233"/>
        <v>47.194245424273824</v>
      </c>
      <c r="G436" s="17">
        <f t="shared" si="234"/>
        <v>35.747824934275243</v>
      </c>
      <c r="H436" s="17">
        <f t="shared" si="235"/>
        <v>51.842859052683814</v>
      </c>
      <c r="I436" s="17">
        <f t="shared" si="236"/>
        <v>42.485165476272321</v>
      </c>
      <c r="J436" s="17">
        <f t="shared" si="237"/>
        <v>42.296939438631355</v>
      </c>
      <c r="K436" s="17">
        <f t="shared" si="238"/>
        <v>28.723552731389983</v>
      </c>
      <c r="L436" s="17">
        <f t="shared" si="239"/>
        <v>42.576926172778734</v>
      </c>
      <c r="M436" s="17">
        <f t="shared" si="240"/>
        <v>37.079029456517588</v>
      </c>
      <c r="N436" s="17">
        <f t="shared" si="241"/>
        <v>37.859094596053588</v>
      </c>
      <c r="O436" s="17">
        <f t="shared" si="242"/>
        <v>36.977779682837813</v>
      </c>
      <c r="P436" s="17">
        <v>0</v>
      </c>
      <c r="Q436" s="17">
        <f t="shared" si="243"/>
        <v>0</v>
      </c>
      <c r="R436" s="17">
        <f t="shared" si="244"/>
        <v>0</v>
      </c>
      <c r="S436" s="17">
        <f t="shared" si="245"/>
        <v>0</v>
      </c>
      <c r="T436" s="17">
        <f t="shared" si="246"/>
        <v>0</v>
      </c>
      <c r="U436" s="17">
        <f t="shared" si="247"/>
        <v>0</v>
      </c>
      <c r="V436" s="17">
        <f t="shared" si="248"/>
        <v>0</v>
      </c>
      <c r="W436" s="17">
        <f t="shared" si="249"/>
        <v>0</v>
      </c>
      <c r="X436" s="17">
        <f t="shared" si="250"/>
        <v>0</v>
      </c>
      <c r="Y436" s="17">
        <f t="shared" si="251"/>
        <v>0</v>
      </c>
      <c r="Z436" s="17">
        <f t="shared" si="252"/>
        <v>0</v>
      </c>
      <c r="AA436" s="17">
        <f t="shared" si="253"/>
        <v>0</v>
      </c>
      <c r="AB436" s="17">
        <f t="shared" si="254"/>
        <v>0</v>
      </c>
      <c r="AC436" s="17">
        <v>0</v>
      </c>
      <c r="AD436" s="17">
        <f t="shared" si="255"/>
        <v>0</v>
      </c>
      <c r="AE436" s="17">
        <f t="shared" si="256"/>
        <v>0</v>
      </c>
      <c r="AF436" s="17">
        <f t="shared" si="257"/>
        <v>0</v>
      </c>
      <c r="AG436" s="17">
        <f t="shared" si="258"/>
        <v>0</v>
      </c>
      <c r="AH436" s="17">
        <f t="shared" si="259"/>
        <v>0</v>
      </c>
      <c r="AI436" s="17">
        <f t="shared" si="260"/>
        <v>0</v>
      </c>
      <c r="AJ436" s="17">
        <f t="shared" si="261"/>
        <v>0</v>
      </c>
      <c r="AK436" s="17">
        <f t="shared" si="262"/>
        <v>0</v>
      </c>
      <c r="AL436" s="17">
        <f t="shared" si="263"/>
        <v>0</v>
      </c>
      <c r="AM436" s="17">
        <f t="shared" si="264"/>
        <v>0</v>
      </c>
      <c r="AN436" s="17">
        <f t="shared" si="265"/>
        <v>0</v>
      </c>
      <c r="AO436" s="17">
        <f t="shared" si="266"/>
        <v>0</v>
      </c>
      <c r="AP436" s="17">
        <f t="shared" si="267"/>
        <v>500</v>
      </c>
      <c r="AQ436" s="18">
        <v>46.881857403594317</v>
      </c>
      <c r="AR436" s="18">
        <v>56.066299305483071</v>
      </c>
      <c r="AS436" s="18">
        <v>49.619085754173014</v>
      </c>
      <c r="AT436" s="18">
        <v>37.584548179398311</v>
      </c>
      <c r="AU436" s="18">
        <v>54.506545150810716</v>
      </c>
      <c r="AV436" s="18">
        <v>44.668053278443196</v>
      </c>
      <c r="AW436" s="18">
        <v>44.470156186988234</v>
      </c>
      <c r="AX436" s="18">
        <v>30.199368870728804</v>
      </c>
      <c r="AY436" s="18">
        <v>44.76452863953611</v>
      </c>
      <c r="AZ436" s="18">
        <v>38.984149989993462</v>
      </c>
      <c r="BA436" s="18">
        <v>39.804294876398821</v>
      </c>
      <c r="BB436" s="18">
        <v>38.877698002942019</v>
      </c>
      <c r="BC436" s="23">
        <v>8.9181565948742242E-2</v>
      </c>
      <c r="BD436" s="23">
        <v>0.10665277883445198</v>
      </c>
      <c r="BE436" s="23">
        <v>9.438849084854764E-2</v>
      </c>
      <c r="BF436" s="23">
        <v>7.149564986855049E-2</v>
      </c>
      <c r="BG436" s="23">
        <v>0.10368571810536763</v>
      </c>
      <c r="BH436" s="23">
        <v>8.4970330952544637E-2</v>
      </c>
      <c r="BI436" s="23">
        <v>8.4593878877262704E-2</v>
      </c>
      <c r="BJ436" s="23">
        <v>5.7447105462779965E-2</v>
      </c>
      <c r="BK436" s="23">
        <v>8.5153852345557474E-2</v>
      </c>
      <c r="BL436" s="23">
        <v>7.4158058913035174E-2</v>
      </c>
      <c r="BM436" s="23">
        <v>7.5718189192107169E-2</v>
      </c>
      <c r="BN436" s="23">
        <v>7.3955559365675619E-2</v>
      </c>
    </row>
    <row r="437" spans="1:66" x14ac:dyDescent="0.25">
      <c r="A437" s="16">
        <v>4203</v>
      </c>
      <c r="B437" s="16" t="s">
        <v>632</v>
      </c>
      <c r="C437" s="17">
        <v>500</v>
      </c>
      <c r="D437" s="17">
        <f t="shared" si="231"/>
        <v>44.590782974371123</v>
      </c>
      <c r="E437" s="17">
        <f t="shared" si="232"/>
        <v>53.32638941722599</v>
      </c>
      <c r="F437" s="17">
        <f t="shared" si="233"/>
        <v>47.194245424273824</v>
      </c>
      <c r="G437" s="17">
        <f t="shared" si="234"/>
        <v>35.747824934275243</v>
      </c>
      <c r="H437" s="17">
        <f t="shared" si="235"/>
        <v>51.842859052683814</v>
      </c>
      <c r="I437" s="17">
        <f t="shared" si="236"/>
        <v>42.485165476272321</v>
      </c>
      <c r="J437" s="17">
        <f t="shared" si="237"/>
        <v>42.296939438631355</v>
      </c>
      <c r="K437" s="17">
        <f t="shared" si="238"/>
        <v>28.723552731389983</v>
      </c>
      <c r="L437" s="17">
        <f t="shared" si="239"/>
        <v>42.576926172778734</v>
      </c>
      <c r="M437" s="17">
        <f t="shared" si="240"/>
        <v>37.079029456517588</v>
      </c>
      <c r="N437" s="17">
        <f t="shared" si="241"/>
        <v>37.859094596053588</v>
      </c>
      <c r="O437" s="17">
        <f t="shared" si="242"/>
        <v>36.977779682837813</v>
      </c>
      <c r="P437" s="17">
        <v>0</v>
      </c>
      <c r="Q437" s="17">
        <f t="shared" si="243"/>
        <v>0</v>
      </c>
      <c r="R437" s="17">
        <f t="shared" si="244"/>
        <v>0</v>
      </c>
      <c r="S437" s="17">
        <f t="shared" si="245"/>
        <v>0</v>
      </c>
      <c r="T437" s="17">
        <f t="shared" si="246"/>
        <v>0</v>
      </c>
      <c r="U437" s="17">
        <f t="shared" si="247"/>
        <v>0</v>
      </c>
      <c r="V437" s="17">
        <f t="shared" si="248"/>
        <v>0</v>
      </c>
      <c r="W437" s="17">
        <f t="shared" si="249"/>
        <v>0</v>
      </c>
      <c r="X437" s="17">
        <f t="shared" si="250"/>
        <v>0</v>
      </c>
      <c r="Y437" s="17">
        <f t="shared" si="251"/>
        <v>0</v>
      </c>
      <c r="Z437" s="17">
        <f t="shared" si="252"/>
        <v>0</v>
      </c>
      <c r="AA437" s="17">
        <f t="shared" si="253"/>
        <v>0</v>
      </c>
      <c r="AB437" s="17">
        <f t="shared" si="254"/>
        <v>0</v>
      </c>
      <c r="AC437" s="17">
        <v>0</v>
      </c>
      <c r="AD437" s="17">
        <f t="shared" si="255"/>
        <v>0</v>
      </c>
      <c r="AE437" s="17">
        <f t="shared" si="256"/>
        <v>0</v>
      </c>
      <c r="AF437" s="17">
        <f t="shared" si="257"/>
        <v>0</v>
      </c>
      <c r="AG437" s="17">
        <f t="shared" si="258"/>
        <v>0</v>
      </c>
      <c r="AH437" s="17">
        <f t="shared" si="259"/>
        <v>0</v>
      </c>
      <c r="AI437" s="17">
        <f t="shared" si="260"/>
        <v>0</v>
      </c>
      <c r="AJ437" s="17">
        <f t="shared" si="261"/>
        <v>0</v>
      </c>
      <c r="AK437" s="17">
        <f t="shared" si="262"/>
        <v>0</v>
      </c>
      <c r="AL437" s="17">
        <f t="shared" si="263"/>
        <v>0</v>
      </c>
      <c r="AM437" s="17">
        <f t="shared" si="264"/>
        <v>0</v>
      </c>
      <c r="AN437" s="17">
        <f t="shared" si="265"/>
        <v>0</v>
      </c>
      <c r="AO437" s="17">
        <f t="shared" si="266"/>
        <v>0</v>
      </c>
      <c r="AP437" s="17">
        <f t="shared" si="267"/>
        <v>500</v>
      </c>
      <c r="AQ437" s="18">
        <v>45.523889698892809</v>
      </c>
      <c r="AR437" s="18">
        <v>54.442297442170862</v>
      </c>
      <c r="AS437" s="18">
        <v>48.181832204022172</v>
      </c>
      <c r="AT437" s="18">
        <v>36.495883918849884</v>
      </c>
      <c r="AU437" s="18">
        <v>52.92772272122027</v>
      </c>
      <c r="AV437" s="18">
        <v>43.37421004902879</v>
      </c>
      <c r="AW437" s="18">
        <v>43.18204519332415</v>
      </c>
      <c r="AX437" s="18">
        <v>29.324621795847047</v>
      </c>
      <c r="AY437" s="18">
        <v>43.4678909298703</v>
      </c>
      <c r="AZ437" s="18">
        <v>37.85494522692467</v>
      </c>
      <c r="BA437" s="18">
        <v>38.651334009570597</v>
      </c>
      <c r="BB437" s="18">
        <v>37.751576700480868</v>
      </c>
      <c r="BC437" s="23">
        <v>8.9181565948742242E-2</v>
      </c>
      <c r="BD437" s="23">
        <v>0.10665277883445198</v>
      </c>
      <c r="BE437" s="23">
        <v>9.438849084854764E-2</v>
      </c>
      <c r="BF437" s="23">
        <v>7.149564986855049E-2</v>
      </c>
      <c r="BG437" s="23">
        <v>0.10368571810536763</v>
      </c>
      <c r="BH437" s="23">
        <v>8.4970330952544637E-2</v>
      </c>
      <c r="BI437" s="23">
        <v>8.4593878877262704E-2</v>
      </c>
      <c r="BJ437" s="23">
        <v>5.7447105462779965E-2</v>
      </c>
      <c r="BK437" s="23">
        <v>8.5153852345557474E-2</v>
      </c>
      <c r="BL437" s="23">
        <v>7.4158058913035174E-2</v>
      </c>
      <c r="BM437" s="23">
        <v>7.5718189192107169E-2</v>
      </c>
      <c r="BN437" s="23">
        <v>7.3955559365675619E-2</v>
      </c>
    </row>
    <row r="438" spans="1:66" x14ac:dyDescent="0.25">
      <c r="A438" s="16">
        <v>2293</v>
      </c>
      <c r="B438" s="16" t="s">
        <v>633</v>
      </c>
      <c r="C438" s="17">
        <v>0</v>
      </c>
      <c r="D438" s="17">
        <f t="shared" si="231"/>
        <v>0</v>
      </c>
      <c r="E438" s="17">
        <f t="shared" si="232"/>
        <v>0</v>
      </c>
      <c r="F438" s="17">
        <f t="shared" si="233"/>
        <v>0</v>
      </c>
      <c r="G438" s="17">
        <f t="shared" si="234"/>
        <v>0</v>
      </c>
      <c r="H438" s="17">
        <f t="shared" si="235"/>
        <v>0</v>
      </c>
      <c r="I438" s="17">
        <f t="shared" si="236"/>
        <v>0</v>
      </c>
      <c r="J438" s="17">
        <f t="shared" si="237"/>
        <v>0</v>
      </c>
      <c r="K438" s="17">
        <f t="shared" si="238"/>
        <v>0</v>
      </c>
      <c r="L438" s="17">
        <f t="shared" si="239"/>
        <v>0</v>
      </c>
      <c r="M438" s="17">
        <f t="shared" si="240"/>
        <v>0</v>
      </c>
      <c r="N438" s="17">
        <f t="shared" si="241"/>
        <v>0</v>
      </c>
      <c r="O438" s="17">
        <f t="shared" si="242"/>
        <v>0</v>
      </c>
      <c r="P438" s="17">
        <v>0</v>
      </c>
      <c r="Q438" s="17">
        <f t="shared" si="243"/>
        <v>0</v>
      </c>
      <c r="R438" s="17">
        <f t="shared" si="244"/>
        <v>0</v>
      </c>
      <c r="S438" s="17">
        <f t="shared" si="245"/>
        <v>0</v>
      </c>
      <c r="T438" s="17">
        <f t="shared" si="246"/>
        <v>0</v>
      </c>
      <c r="U438" s="17">
        <f t="shared" si="247"/>
        <v>0</v>
      </c>
      <c r="V438" s="17">
        <f t="shared" si="248"/>
        <v>0</v>
      </c>
      <c r="W438" s="17">
        <f t="shared" si="249"/>
        <v>0</v>
      </c>
      <c r="X438" s="17">
        <f t="shared" si="250"/>
        <v>0</v>
      </c>
      <c r="Y438" s="17">
        <f t="shared" si="251"/>
        <v>0</v>
      </c>
      <c r="Z438" s="17">
        <f t="shared" si="252"/>
        <v>0</v>
      </c>
      <c r="AA438" s="17">
        <f t="shared" si="253"/>
        <v>0</v>
      </c>
      <c r="AB438" s="17">
        <f t="shared" si="254"/>
        <v>0</v>
      </c>
      <c r="AC438" s="17">
        <v>0</v>
      </c>
      <c r="AD438" s="17">
        <f t="shared" si="255"/>
        <v>0</v>
      </c>
      <c r="AE438" s="17">
        <f t="shared" si="256"/>
        <v>0</v>
      </c>
      <c r="AF438" s="17">
        <f t="shared" si="257"/>
        <v>0</v>
      </c>
      <c r="AG438" s="17">
        <f t="shared" si="258"/>
        <v>0</v>
      </c>
      <c r="AH438" s="17">
        <f t="shared" si="259"/>
        <v>0</v>
      </c>
      <c r="AI438" s="17">
        <f t="shared" si="260"/>
        <v>0</v>
      </c>
      <c r="AJ438" s="17">
        <f t="shared" si="261"/>
        <v>0</v>
      </c>
      <c r="AK438" s="17">
        <f t="shared" si="262"/>
        <v>0</v>
      </c>
      <c r="AL438" s="17">
        <f t="shared" si="263"/>
        <v>0</v>
      </c>
      <c r="AM438" s="17">
        <f t="shared" si="264"/>
        <v>0</v>
      </c>
      <c r="AN438" s="17">
        <f t="shared" si="265"/>
        <v>0</v>
      </c>
      <c r="AO438" s="17">
        <f t="shared" si="266"/>
        <v>0</v>
      </c>
      <c r="AP438" s="17">
        <f t="shared" si="267"/>
        <v>0</v>
      </c>
      <c r="AQ438" s="18">
        <v>45.208989589527803</v>
      </c>
      <c r="AR438" s="18">
        <v>54.065706480106414</v>
      </c>
      <c r="AS438" s="18">
        <v>47.848546442835953</v>
      </c>
      <c r="AT438" s="18">
        <v>36.243432779164038</v>
      </c>
      <c r="AU438" s="18">
        <v>52.561608450590221</v>
      </c>
      <c r="AV438" s="18">
        <v>43.074179810435361</v>
      </c>
      <c r="AW438" s="18">
        <v>42.883344207008541</v>
      </c>
      <c r="AX438" s="18">
        <v>29.121776066457976</v>
      </c>
      <c r="AY438" s="18">
        <v>43.16721267723814</v>
      </c>
      <c r="AZ438" s="18">
        <v>37.593093120902751</v>
      </c>
      <c r="BA438" s="18">
        <v>38.38397308353327</v>
      </c>
      <c r="BB438" s="18">
        <v>37.490439620360675</v>
      </c>
      <c r="BC438" s="23">
        <v>8.9181565948742242E-2</v>
      </c>
      <c r="BD438" s="23">
        <v>0.10665277883445198</v>
      </c>
      <c r="BE438" s="23">
        <v>9.438849084854764E-2</v>
      </c>
      <c r="BF438" s="23">
        <v>7.149564986855049E-2</v>
      </c>
      <c r="BG438" s="23">
        <v>0.10368571810536763</v>
      </c>
      <c r="BH438" s="23">
        <v>8.4970330952544637E-2</v>
      </c>
      <c r="BI438" s="23">
        <v>8.4593878877262704E-2</v>
      </c>
      <c r="BJ438" s="23">
        <v>5.7447105462779965E-2</v>
      </c>
      <c r="BK438" s="23">
        <v>8.5153852345557474E-2</v>
      </c>
      <c r="BL438" s="23">
        <v>7.4158058913035174E-2</v>
      </c>
      <c r="BM438" s="23">
        <v>7.5718189192107169E-2</v>
      </c>
      <c r="BN438" s="23">
        <v>7.3955559365675619E-2</v>
      </c>
    </row>
    <row r="439" spans="1:66" x14ac:dyDescent="0.25">
      <c r="A439" s="16">
        <v>5336</v>
      </c>
      <c r="B439" s="16" t="s">
        <v>634</v>
      </c>
      <c r="C439" s="17">
        <v>0</v>
      </c>
      <c r="D439" s="17">
        <f t="shared" si="231"/>
        <v>0</v>
      </c>
      <c r="E439" s="17">
        <f t="shared" si="232"/>
        <v>0</v>
      </c>
      <c r="F439" s="17">
        <f t="shared" si="233"/>
        <v>0</v>
      </c>
      <c r="G439" s="17">
        <f t="shared" si="234"/>
        <v>0</v>
      </c>
      <c r="H439" s="17">
        <f t="shared" si="235"/>
        <v>0</v>
      </c>
      <c r="I439" s="17">
        <f t="shared" si="236"/>
        <v>0</v>
      </c>
      <c r="J439" s="17">
        <f t="shared" si="237"/>
        <v>0</v>
      </c>
      <c r="K439" s="17">
        <f t="shared" si="238"/>
        <v>0</v>
      </c>
      <c r="L439" s="17">
        <f t="shared" si="239"/>
        <v>0</v>
      </c>
      <c r="M439" s="17">
        <f t="shared" si="240"/>
        <v>0</v>
      </c>
      <c r="N439" s="17">
        <f t="shared" si="241"/>
        <v>0</v>
      </c>
      <c r="O439" s="17">
        <f t="shared" si="242"/>
        <v>0</v>
      </c>
      <c r="P439" s="17">
        <v>0</v>
      </c>
      <c r="Q439" s="17">
        <f t="shared" si="243"/>
        <v>0</v>
      </c>
      <c r="R439" s="17">
        <f t="shared" si="244"/>
        <v>0</v>
      </c>
      <c r="S439" s="17">
        <f t="shared" si="245"/>
        <v>0</v>
      </c>
      <c r="T439" s="17">
        <f t="shared" si="246"/>
        <v>0</v>
      </c>
      <c r="U439" s="17">
        <f t="shared" si="247"/>
        <v>0</v>
      </c>
      <c r="V439" s="17">
        <f t="shared" si="248"/>
        <v>0</v>
      </c>
      <c r="W439" s="17">
        <f t="shared" si="249"/>
        <v>0</v>
      </c>
      <c r="X439" s="17">
        <f t="shared" si="250"/>
        <v>0</v>
      </c>
      <c r="Y439" s="17">
        <f t="shared" si="251"/>
        <v>0</v>
      </c>
      <c r="Z439" s="17">
        <f t="shared" si="252"/>
        <v>0</v>
      </c>
      <c r="AA439" s="17">
        <f t="shared" si="253"/>
        <v>0</v>
      </c>
      <c r="AB439" s="17">
        <f t="shared" si="254"/>
        <v>0</v>
      </c>
      <c r="AC439" s="17">
        <v>0</v>
      </c>
      <c r="AD439" s="17">
        <f t="shared" si="255"/>
        <v>0</v>
      </c>
      <c r="AE439" s="17">
        <f t="shared" si="256"/>
        <v>0</v>
      </c>
      <c r="AF439" s="17">
        <f t="shared" si="257"/>
        <v>0</v>
      </c>
      <c r="AG439" s="17">
        <f t="shared" si="258"/>
        <v>0</v>
      </c>
      <c r="AH439" s="17">
        <f t="shared" si="259"/>
        <v>0</v>
      </c>
      <c r="AI439" s="17">
        <f t="shared" si="260"/>
        <v>0</v>
      </c>
      <c r="AJ439" s="17">
        <f t="shared" si="261"/>
        <v>0</v>
      </c>
      <c r="AK439" s="17">
        <f t="shared" si="262"/>
        <v>0</v>
      </c>
      <c r="AL439" s="17">
        <f t="shared" si="263"/>
        <v>0</v>
      </c>
      <c r="AM439" s="17">
        <f t="shared" si="264"/>
        <v>0</v>
      </c>
      <c r="AN439" s="17">
        <f t="shared" si="265"/>
        <v>0</v>
      </c>
      <c r="AO439" s="17">
        <f t="shared" si="266"/>
        <v>0</v>
      </c>
      <c r="AP439" s="17">
        <f t="shared" si="267"/>
        <v>0</v>
      </c>
      <c r="AQ439" s="18">
        <v>44.590782974371123</v>
      </c>
      <c r="AR439" s="18">
        <v>53.32638941722599</v>
      </c>
      <c r="AS439" s="18">
        <v>47.194245424273824</v>
      </c>
      <c r="AT439" s="18">
        <v>35.747824934275243</v>
      </c>
      <c r="AU439" s="18">
        <v>51.842859052683814</v>
      </c>
      <c r="AV439" s="18">
        <v>42.485165476272321</v>
      </c>
      <c r="AW439" s="18">
        <v>42.296939438631355</v>
      </c>
      <c r="AX439" s="18">
        <v>28.723552731389983</v>
      </c>
      <c r="AY439" s="18">
        <v>42.576926172778734</v>
      </c>
      <c r="AZ439" s="18">
        <v>37.079029456517588</v>
      </c>
      <c r="BA439" s="18">
        <v>37.859094596053588</v>
      </c>
      <c r="BB439" s="18">
        <v>36.977779682837813</v>
      </c>
      <c r="BC439" s="23">
        <v>8.9181565948742242E-2</v>
      </c>
      <c r="BD439" s="23">
        <v>0.10665277883445198</v>
      </c>
      <c r="BE439" s="23">
        <v>9.438849084854764E-2</v>
      </c>
      <c r="BF439" s="23">
        <v>7.149564986855049E-2</v>
      </c>
      <c r="BG439" s="23">
        <v>0.10368571810536763</v>
      </c>
      <c r="BH439" s="23">
        <v>8.4970330952544637E-2</v>
      </c>
      <c r="BI439" s="23">
        <v>8.4593878877262704E-2</v>
      </c>
      <c r="BJ439" s="23">
        <v>5.7447105462779965E-2</v>
      </c>
      <c r="BK439" s="23">
        <v>8.5153852345557474E-2</v>
      </c>
      <c r="BL439" s="23">
        <v>7.4158058913035174E-2</v>
      </c>
      <c r="BM439" s="23">
        <v>7.5718189192107169E-2</v>
      </c>
      <c r="BN439" s="23">
        <v>7.3955559365675619E-2</v>
      </c>
    </row>
    <row r="440" spans="1:66" x14ac:dyDescent="0.25">
      <c r="A440" s="16">
        <v>5378</v>
      </c>
      <c r="B440" s="16" t="s">
        <v>635</v>
      </c>
      <c r="C440" s="17">
        <v>0</v>
      </c>
      <c r="D440" s="17">
        <f t="shared" si="231"/>
        <v>0</v>
      </c>
      <c r="E440" s="17">
        <f t="shared" si="232"/>
        <v>0</v>
      </c>
      <c r="F440" s="17">
        <f t="shared" si="233"/>
        <v>0</v>
      </c>
      <c r="G440" s="17">
        <f t="shared" si="234"/>
        <v>0</v>
      </c>
      <c r="H440" s="17">
        <f t="shared" si="235"/>
        <v>0</v>
      </c>
      <c r="I440" s="17">
        <f t="shared" si="236"/>
        <v>0</v>
      </c>
      <c r="J440" s="17">
        <f t="shared" si="237"/>
        <v>0</v>
      </c>
      <c r="K440" s="17">
        <f t="shared" si="238"/>
        <v>0</v>
      </c>
      <c r="L440" s="17">
        <f t="shared" si="239"/>
        <v>0</v>
      </c>
      <c r="M440" s="17">
        <f t="shared" si="240"/>
        <v>0</v>
      </c>
      <c r="N440" s="17">
        <f t="shared" si="241"/>
        <v>0</v>
      </c>
      <c r="O440" s="17">
        <f t="shared" si="242"/>
        <v>0</v>
      </c>
      <c r="P440" s="17">
        <v>0</v>
      </c>
      <c r="Q440" s="17">
        <f t="shared" si="243"/>
        <v>0</v>
      </c>
      <c r="R440" s="17">
        <f t="shared" si="244"/>
        <v>0</v>
      </c>
      <c r="S440" s="17">
        <f t="shared" si="245"/>
        <v>0</v>
      </c>
      <c r="T440" s="17">
        <f t="shared" si="246"/>
        <v>0</v>
      </c>
      <c r="U440" s="17">
        <f t="shared" si="247"/>
        <v>0</v>
      </c>
      <c r="V440" s="17">
        <f t="shared" si="248"/>
        <v>0</v>
      </c>
      <c r="W440" s="17">
        <f t="shared" si="249"/>
        <v>0</v>
      </c>
      <c r="X440" s="17">
        <f t="shared" si="250"/>
        <v>0</v>
      </c>
      <c r="Y440" s="17">
        <f t="shared" si="251"/>
        <v>0</v>
      </c>
      <c r="Z440" s="17">
        <f t="shared" si="252"/>
        <v>0</v>
      </c>
      <c r="AA440" s="17">
        <f t="shared" si="253"/>
        <v>0</v>
      </c>
      <c r="AB440" s="17">
        <f t="shared" si="254"/>
        <v>0</v>
      </c>
      <c r="AC440" s="17">
        <v>500</v>
      </c>
      <c r="AD440" s="17">
        <f t="shared" si="255"/>
        <v>44.590782974371123</v>
      </c>
      <c r="AE440" s="17">
        <f t="shared" si="256"/>
        <v>53.32638941722599</v>
      </c>
      <c r="AF440" s="17">
        <f t="shared" si="257"/>
        <v>47.194245424273824</v>
      </c>
      <c r="AG440" s="17">
        <f t="shared" si="258"/>
        <v>35.747824934275243</v>
      </c>
      <c r="AH440" s="17">
        <f t="shared" si="259"/>
        <v>51.842859052683814</v>
      </c>
      <c r="AI440" s="17">
        <f t="shared" si="260"/>
        <v>42.485165476272321</v>
      </c>
      <c r="AJ440" s="17">
        <f t="shared" si="261"/>
        <v>42.296939438631355</v>
      </c>
      <c r="AK440" s="17">
        <f t="shared" si="262"/>
        <v>28.723552731389983</v>
      </c>
      <c r="AL440" s="17">
        <f t="shared" si="263"/>
        <v>42.576926172778734</v>
      </c>
      <c r="AM440" s="17">
        <f t="shared" si="264"/>
        <v>37.079029456517588</v>
      </c>
      <c r="AN440" s="17">
        <f t="shared" si="265"/>
        <v>37.859094596053588</v>
      </c>
      <c r="AO440" s="17">
        <f t="shared" si="266"/>
        <v>36.977779682837813</v>
      </c>
      <c r="AP440" s="17">
        <f t="shared" si="267"/>
        <v>500</v>
      </c>
      <c r="AQ440" s="18">
        <v>44.590782974371123</v>
      </c>
      <c r="AR440" s="18">
        <v>53.32638941722599</v>
      </c>
      <c r="AS440" s="18">
        <v>47.194245424273824</v>
      </c>
      <c r="AT440" s="18">
        <v>35.747824934275243</v>
      </c>
      <c r="AU440" s="18">
        <v>51.842859052683814</v>
      </c>
      <c r="AV440" s="18">
        <v>42.485165476272321</v>
      </c>
      <c r="AW440" s="18">
        <v>42.296939438631355</v>
      </c>
      <c r="AX440" s="18">
        <v>28.723552731389983</v>
      </c>
      <c r="AY440" s="18">
        <v>42.576926172778734</v>
      </c>
      <c r="AZ440" s="18">
        <v>37.079029456517588</v>
      </c>
      <c r="BA440" s="18">
        <v>37.859094596053588</v>
      </c>
      <c r="BB440" s="18">
        <v>36.977779682837813</v>
      </c>
      <c r="BC440" s="23">
        <v>8.9181565948742242E-2</v>
      </c>
      <c r="BD440" s="23">
        <v>0.10665277883445198</v>
      </c>
      <c r="BE440" s="23">
        <v>9.438849084854764E-2</v>
      </c>
      <c r="BF440" s="23">
        <v>7.149564986855049E-2</v>
      </c>
      <c r="BG440" s="23">
        <v>0.10368571810536763</v>
      </c>
      <c r="BH440" s="23">
        <v>8.4970330952544637E-2</v>
      </c>
      <c r="BI440" s="23">
        <v>8.4593878877262704E-2</v>
      </c>
      <c r="BJ440" s="23">
        <v>5.7447105462779965E-2</v>
      </c>
      <c r="BK440" s="23">
        <v>8.5153852345557474E-2</v>
      </c>
      <c r="BL440" s="23">
        <v>7.4158058913035174E-2</v>
      </c>
      <c r="BM440" s="23">
        <v>7.5718189192107169E-2</v>
      </c>
      <c r="BN440" s="23">
        <v>7.3955559365675619E-2</v>
      </c>
    </row>
    <row r="441" spans="1:66" x14ac:dyDescent="0.25">
      <c r="A441" s="16">
        <v>33607</v>
      </c>
      <c r="B441" s="16" t="s">
        <v>636</v>
      </c>
      <c r="C441" s="17">
        <v>0</v>
      </c>
      <c r="D441" s="17">
        <f t="shared" si="231"/>
        <v>0</v>
      </c>
      <c r="E441" s="17">
        <f t="shared" si="232"/>
        <v>0</v>
      </c>
      <c r="F441" s="17">
        <f t="shared" si="233"/>
        <v>0</v>
      </c>
      <c r="G441" s="17">
        <f t="shared" si="234"/>
        <v>0</v>
      </c>
      <c r="H441" s="17">
        <f t="shared" si="235"/>
        <v>0</v>
      </c>
      <c r="I441" s="17">
        <f t="shared" si="236"/>
        <v>0</v>
      </c>
      <c r="J441" s="17">
        <f t="shared" si="237"/>
        <v>0</v>
      </c>
      <c r="K441" s="17">
        <f t="shared" si="238"/>
        <v>0</v>
      </c>
      <c r="L441" s="17">
        <f t="shared" si="239"/>
        <v>0</v>
      </c>
      <c r="M441" s="17">
        <f t="shared" si="240"/>
        <v>0</v>
      </c>
      <c r="N441" s="17">
        <f t="shared" si="241"/>
        <v>0</v>
      </c>
      <c r="O441" s="17">
        <f t="shared" si="242"/>
        <v>0</v>
      </c>
      <c r="P441" s="17">
        <v>5000</v>
      </c>
      <c r="Q441" s="17">
        <f t="shared" si="243"/>
        <v>445.9078297437112</v>
      </c>
      <c r="R441" s="17">
        <f t="shared" si="244"/>
        <v>533.26389417225994</v>
      </c>
      <c r="S441" s="17">
        <f t="shared" si="245"/>
        <v>471.94245424273822</v>
      </c>
      <c r="T441" s="17">
        <f t="shared" si="246"/>
        <v>357.47824934275246</v>
      </c>
      <c r="U441" s="17">
        <f t="shared" si="247"/>
        <v>518.42859052683809</v>
      </c>
      <c r="V441" s="17">
        <f t="shared" si="248"/>
        <v>424.85165476272317</v>
      </c>
      <c r="W441" s="17">
        <f t="shared" si="249"/>
        <v>422.96939438631352</v>
      </c>
      <c r="X441" s="17">
        <f t="shared" si="250"/>
        <v>287.23552731389981</v>
      </c>
      <c r="Y441" s="17">
        <f t="shared" si="251"/>
        <v>425.76926172778735</v>
      </c>
      <c r="Z441" s="17">
        <f t="shared" si="252"/>
        <v>370.79029456517588</v>
      </c>
      <c r="AA441" s="17">
        <f t="shared" si="253"/>
        <v>378.59094596053586</v>
      </c>
      <c r="AB441" s="17">
        <f t="shared" si="254"/>
        <v>369.77779682837809</v>
      </c>
      <c r="AC441" s="17">
        <v>0</v>
      </c>
      <c r="AD441" s="17">
        <f t="shared" si="255"/>
        <v>0</v>
      </c>
      <c r="AE441" s="17">
        <f t="shared" si="256"/>
        <v>0</v>
      </c>
      <c r="AF441" s="17">
        <f t="shared" si="257"/>
        <v>0</v>
      </c>
      <c r="AG441" s="17">
        <f t="shared" si="258"/>
        <v>0</v>
      </c>
      <c r="AH441" s="17">
        <f t="shared" si="259"/>
        <v>0</v>
      </c>
      <c r="AI441" s="17">
        <f t="shared" si="260"/>
        <v>0</v>
      </c>
      <c r="AJ441" s="17">
        <f t="shared" si="261"/>
        <v>0</v>
      </c>
      <c r="AK441" s="17">
        <f t="shared" si="262"/>
        <v>0</v>
      </c>
      <c r="AL441" s="17">
        <f t="shared" si="263"/>
        <v>0</v>
      </c>
      <c r="AM441" s="17">
        <f t="shared" si="264"/>
        <v>0</v>
      </c>
      <c r="AN441" s="17">
        <f t="shared" si="265"/>
        <v>0</v>
      </c>
      <c r="AO441" s="17">
        <f t="shared" si="266"/>
        <v>0</v>
      </c>
      <c r="AP441" s="17">
        <f t="shared" si="267"/>
        <v>5000</v>
      </c>
      <c r="AQ441" s="18">
        <v>44.590782974371123</v>
      </c>
      <c r="AR441" s="18">
        <v>53.32638941722599</v>
      </c>
      <c r="AS441" s="18">
        <v>47.194245424273824</v>
      </c>
      <c r="AT441" s="18">
        <v>35.747824934275243</v>
      </c>
      <c r="AU441" s="18">
        <v>51.842859052683814</v>
      </c>
      <c r="AV441" s="18">
        <v>42.485165476272321</v>
      </c>
      <c r="AW441" s="18">
        <v>42.296939438631355</v>
      </c>
      <c r="AX441" s="18">
        <v>28.723552731389983</v>
      </c>
      <c r="AY441" s="18">
        <v>42.576926172778734</v>
      </c>
      <c r="AZ441" s="18">
        <v>37.079029456517588</v>
      </c>
      <c r="BA441" s="18">
        <v>37.859094596053588</v>
      </c>
      <c r="BB441" s="18">
        <v>36.977779682837813</v>
      </c>
      <c r="BC441" s="23">
        <v>8.9181565948742242E-2</v>
      </c>
      <c r="BD441" s="23">
        <v>0.10665277883445198</v>
      </c>
      <c r="BE441" s="23">
        <v>9.438849084854764E-2</v>
      </c>
      <c r="BF441" s="23">
        <v>7.149564986855049E-2</v>
      </c>
      <c r="BG441" s="23">
        <v>0.10368571810536763</v>
      </c>
      <c r="BH441" s="23">
        <v>8.4970330952544637E-2</v>
      </c>
      <c r="BI441" s="23">
        <v>8.4593878877262704E-2</v>
      </c>
      <c r="BJ441" s="23">
        <v>5.7447105462779965E-2</v>
      </c>
      <c r="BK441" s="23">
        <v>8.5153852345557474E-2</v>
      </c>
      <c r="BL441" s="23">
        <v>7.4158058913035174E-2</v>
      </c>
      <c r="BM441" s="23">
        <v>7.5718189192107169E-2</v>
      </c>
      <c r="BN441" s="23">
        <v>7.3955559365675619E-2</v>
      </c>
    </row>
    <row r="442" spans="1:66" x14ac:dyDescent="0.25">
      <c r="A442" s="16">
        <v>34003</v>
      </c>
      <c r="B442" s="16" t="s">
        <v>637</v>
      </c>
      <c r="C442" s="17">
        <v>0</v>
      </c>
      <c r="D442" s="17">
        <f t="shared" si="231"/>
        <v>0</v>
      </c>
      <c r="E442" s="17">
        <f t="shared" si="232"/>
        <v>0</v>
      </c>
      <c r="F442" s="17">
        <f t="shared" si="233"/>
        <v>0</v>
      </c>
      <c r="G442" s="17">
        <f t="shared" si="234"/>
        <v>0</v>
      </c>
      <c r="H442" s="17">
        <f t="shared" si="235"/>
        <v>0</v>
      </c>
      <c r="I442" s="17">
        <f t="shared" si="236"/>
        <v>0</v>
      </c>
      <c r="J442" s="17">
        <f t="shared" si="237"/>
        <v>0</v>
      </c>
      <c r="K442" s="17">
        <f t="shared" si="238"/>
        <v>0</v>
      </c>
      <c r="L442" s="17">
        <f t="shared" si="239"/>
        <v>0</v>
      </c>
      <c r="M442" s="17">
        <f t="shared" si="240"/>
        <v>0</v>
      </c>
      <c r="N442" s="17">
        <f t="shared" si="241"/>
        <v>0</v>
      </c>
      <c r="O442" s="17">
        <f t="shared" si="242"/>
        <v>0</v>
      </c>
      <c r="P442" s="17">
        <v>0</v>
      </c>
      <c r="Q442" s="17">
        <f t="shared" si="243"/>
        <v>0</v>
      </c>
      <c r="R442" s="17">
        <f t="shared" si="244"/>
        <v>0</v>
      </c>
      <c r="S442" s="17">
        <f t="shared" si="245"/>
        <v>0</v>
      </c>
      <c r="T442" s="17">
        <f t="shared" si="246"/>
        <v>0</v>
      </c>
      <c r="U442" s="17">
        <f t="shared" si="247"/>
        <v>0</v>
      </c>
      <c r="V442" s="17">
        <f t="shared" si="248"/>
        <v>0</v>
      </c>
      <c r="W442" s="17">
        <f t="shared" si="249"/>
        <v>0</v>
      </c>
      <c r="X442" s="17">
        <f t="shared" si="250"/>
        <v>0</v>
      </c>
      <c r="Y442" s="17">
        <f t="shared" si="251"/>
        <v>0</v>
      </c>
      <c r="Z442" s="17">
        <f t="shared" si="252"/>
        <v>0</v>
      </c>
      <c r="AA442" s="17">
        <f t="shared" si="253"/>
        <v>0</v>
      </c>
      <c r="AB442" s="17">
        <f t="shared" si="254"/>
        <v>0</v>
      </c>
      <c r="AC442" s="17">
        <v>0</v>
      </c>
      <c r="AD442" s="17">
        <f t="shared" si="255"/>
        <v>0</v>
      </c>
      <c r="AE442" s="17">
        <f t="shared" si="256"/>
        <v>0</v>
      </c>
      <c r="AF442" s="17">
        <f t="shared" si="257"/>
        <v>0</v>
      </c>
      <c r="AG442" s="17">
        <f t="shared" si="258"/>
        <v>0</v>
      </c>
      <c r="AH442" s="17">
        <f t="shared" si="259"/>
        <v>0</v>
      </c>
      <c r="AI442" s="17">
        <f t="shared" si="260"/>
        <v>0</v>
      </c>
      <c r="AJ442" s="17">
        <f t="shared" si="261"/>
        <v>0</v>
      </c>
      <c r="AK442" s="17">
        <f t="shared" si="262"/>
        <v>0</v>
      </c>
      <c r="AL442" s="17">
        <f t="shared" si="263"/>
        <v>0</v>
      </c>
      <c r="AM442" s="17">
        <f t="shared" si="264"/>
        <v>0</v>
      </c>
      <c r="AN442" s="17">
        <f t="shared" si="265"/>
        <v>0</v>
      </c>
      <c r="AO442" s="17">
        <f t="shared" si="266"/>
        <v>0</v>
      </c>
      <c r="AP442" s="17">
        <f t="shared" si="267"/>
        <v>0</v>
      </c>
      <c r="AQ442" s="18">
        <v>44.590782974371123</v>
      </c>
      <c r="AR442" s="18">
        <v>53.32638941722599</v>
      </c>
      <c r="AS442" s="18">
        <v>47.194245424273824</v>
      </c>
      <c r="AT442" s="18">
        <v>35.747824934275243</v>
      </c>
      <c r="AU442" s="18">
        <v>51.842859052683814</v>
      </c>
      <c r="AV442" s="18">
        <v>42.485165476272321</v>
      </c>
      <c r="AW442" s="18">
        <v>42.296939438631355</v>
      </c>
      <c r="AX442" s="18">
        <v>28.723552731389983</v>
      </c>
      <c r="AY442" s="18">
        <v>42.576926172778734</v>
      </c>
      <c r="AZ442" s="18">
        <v>37.079029456517588</v>
      </c>
      <c r="BA442" s="18">
        <v>37.859094596053588</v>
      </c>
      <c r="BB442" s="18">
        <v>36.977779682837813</v>
      </c>
      <c r="BC442" s="23">
        <v>8.9181565948742242E-2</v>
      </c>
      <c r="BD442" s="23">
        <v>0.10665277883445198</v>
      </c>
      <c r="BE442" s="23">
        <v>9.438849084854764E-2</v>
      </c>
      <c r="BF442" s="23">
        <v>7.149564986855049E-2</v>
      </c>
      <c r="BG442" s="23">
        <v>0.10368571810536763</v>
      </c>
      <c r="BH442" s="23">
        <v>8.4970330952544637E-2</v>
      </c>
      <c r="BI442" s="23">
        <v>8.4593878877262704E-2</v>
      </c>
      <c r="BJ442" s="23">
        <v>5.7447105462779965E-2</v>
      </c>
      <c r="BK442" s="23">
        <v>8.5153852345557474E-2</v>
      </c>
      <c r="BL442" s="23">
        <v>7.4158058913035174E-2</v>
      </c>
      <c r="BM442" s="23">
        <v>7.5718189192107169E-2</v>
      </c>
      <c r="BN442" s="23">
        <v>7.3955559365675619E-2</v>
      </c>
    </row>
    <row r="443" spans="1:66" x14ac:dyDescent="0.25">
      <c r="A443" s="16">
        <v>5276</v>
      </c>
      <c r="B443" s="16" t="s">
        <v>638</v>
      </c>
      <c r="C443" s="17">
        <v>498.30000000000007</v>
      </c>
      <c r="D443" s="17">
        <f t="shared" si="231"/>
        <v>44.439174312258267</v>
      </c>
      <c r="E443" s="17">
        <f t="shared" si="232"/>
        <v>53.145079693207428</v>
      </c>
      <c r="F443" s="17">
        <f t="shared" si="233"/>
        <v>47.033784989831297</v>
      </c>
      <c r="G443" s="17">
        <f t="shared" si="234"/>
        <v>35.626282329498714</v>
      </c>
      <c r="H443" s="17">
        <f t="shared" si="235"/>
        <v>51.666593331904693</v>
      </c>
      <c r="I443" s="17">
        <f t="shared" si="236"/>
        <v>42.340715913653</v>
      </c>
      <c r="J443" s="17">
        <f t="shared" si="237"/>
        <v>42.153129844540011</v>
      </c>
      <c r="K443" s="17">
        <f t="shared" si="238"/>
        <v>28.625892652103261</v>
      </c>
      <c r="L443" s="17">
        <f t="shared" si="239"/>
        <v>42.432164623791294</v>
      </c>
      <c r="M443" s="17">
        <f t="shared" si="240"/>
        <v>36.952960756365435</v>
      </c>
      <c r="N443" s="17">
        <f t="shared" si="241"/>
        <v>37.730373674427007</v>
      </c>
      <c r="O443" s="17">
        <f t="shared" si="242"/>
        <v>36.852055231916168</v>
      </c>
      <c r="P443" s="17">
        <v>0</v>
      </c>
      <c r="Q443" s="17">
        <f t="shared" si="243"/>
        <v>0</v>
      </c>
      <c r="R443" s="17">
        <f t="shared" si="244"/>
        <v>0</v>
      </c>
      <c r="S443" s="17">
        <f t="shared" si="245"/>
        <v>0</v>
      </c>
      <c r="T443" s="17">
        <f t="shared" si="246"/>
        <v>0</v>
      </c>
      <c r="U443" s="17">
        <f t="shared" si="247"/>
        <v>0</v>
      </c>
      <c r="V443" s="17">
        <f t="shared" si="248"/>
        <v>0</v>
      </c>
      <c r="W443" s="17">
        <f t="shared" si="249"/>
        <v>0</v>
      </c>
      <c r="X443" s="17">
        <f t="shared" si="250"/>
        <v>0</v>
      </c>
      <c r="Y443" s="17">
        <f t="shared" si="251"/>
        <v>0</v>
      </c>
      <c r="Z443" s="17">
        <f t="shared" si="252"/>
        <v>0</v>
      </c>
      <c r="AA443" s="17">
        <f t="shared" si="253"/>
        <v>0</v>
      </c>
      <c r="AB443" s="17">
        <f t="shared" si="254"/>
        <v>0</v>
      </c>
      <c r="AC443" s="17">
        <v>0</v>
      </c>
      <c r="AD443" s="17">
        <f t="shared" si="255"/>
        <v>0</v>
      </c>
      <c r="AE443" s="17">
        <f t="shared" si="256"/>
        <v>0</v>
      </c>
      <c r="AF443" s="17">
        <f t="shared" si="257"/>
        <v>0</v>
      </c>
      <c r="AG443" s="17">
        <f t="shared" si="258"/>
        <v>0</v>
      </c>
      <c r="AH443" s="17">
        <f t="shared" si="259"/>
        <v>0</v>
      </c>
      <c r="AI443" s="17">
        <f t="shared" si="260"/>
        <v>0</v>
      </c>
      <c r="AJ443" s="17">
        <f t="shared" si="261"/>
        <v>0</v>
      </c>
      <c r="AK443" s="17">
        <f t="shared" si="262"/>
        <v>0</v>
      </c>
      <c r="AL443" s="17">
        <f t="shared" si="263"/>
        <v>0</v>
      </c>
      <c r="AM443" s="17">
        <f t="shared" si="264"/>
        <v>0</v>
      </c>
      <c r="AN443" s="17">
        <f t="shared" si="265"/>
        <v>0</v>
      </c>
      <c r="AO443" s="17">
        <f t="shared" si="266"/>
        <v>0</v>
      </c>
      <c r="AP443" s="17">
        <f t="shared" si="267"/>
        <v>498.30000000000007</v>
      </c>
      <c r="AQ443" s="18">
        <v>44.590782974371123</v>
      </c>
      <c r="AR443" s="18">
        <v>53.32638941722599</v>
      </c>
      <c r="AS443" s="18">
        <v>47.194245424273824</v>
      </c>
      <c r="AT443" s="18">
        <v>35.747824934275243</v>
      </c>
      <c r="AU443" s="18">
        <v>51.842859052683814</v>
      </c>
      <c r="AV443" s="18">
        <v>42.485165476272321</v>
      </c>
      <c r="AW443" s="18">
        <v>42.296939438631355</v>
      </c>
      <c r="AX443" s="18">
        <v>28.723552731389983</v>
      </c>
      <c r="AY443" s="18">
        <v>42.576926172778734</v>
      </c>
      <c r="AZ443" s="18">
        <v>37.079029456517588</v>
      </c>
      <c r="BA443" s="18">
        <v>37.859094596053588</v>
      </c>
      <c r="BB443" s="18">
        <v>36.977779682837813</v>
      </c>
      <c r="BC443" s="23">
        <v>8.9181565948742242E-2</v>
      </c>
      <c r="BD443" s="23">
        <v>0.10665277883445198</v>
      </c>
      <c r="BE443" s="23">
        <v>9.438849084854764E-2</v>
      </c>
      <c r="BF443" s="23">
        <v>7.149564986855049E-2</v>
      </c>
      <c r="BG443" s="23">
        <v>0.10368571810536763</v>
      </c>
      <c r="BH443" s="23">
        <v>8.4970330952544637E-2</v>
      </c>
      <c r="BI443" s="23">
        <v>8.4593878877262704E-2</v>
      </c>
      <c r="BJ443" s="23">
        <v>5.7447105462779965E-2</v>
      </c>
      <c r="BK443" s="23">
        <v>8.5153852345557474E-2</v>
      </c>
      <c r="BL443" s="23">
        <v>7.4158058913035174E-2</v>
      </c>
      <c r="BM443" s="23">
        <v>7.5718189192107169E-2</v>
      </c>
      <c r="BN443" s="23">
        <v>7.3955559365675619E-2</v>
      </c>
    </row>
    <row r="444" spans="1:66" x14ac:dyDescent="0.25">
      <c r="A444" s="16">
        <v>6527</v>
      </c>
      <c r="B444" s="16" t="s">
        <v>639</v>
      </c>
      <c r="C444" s="17">
        <v>0</v>
      </c>
      <c r="D444" s="17">
        <f t="shared" si="231"/>
        <v>0</v>
      </c>
      <c r="E444" s="17">
        <f t="shared" si="232"/>
        <v>0</v>
      </c>
      <c r="F444" s="17">
        <f t="shared" si="233"/>
        <v>0</v>
      </c>
      <c r="G444" s="17">
        <f t="shared" si="234"/>
        <v>0</v>
      </c>
      <c r="H444" s="17">
        <f t="shared" si="235"/>
        <v>0</v>
      </c>
      <c r="I444" s="17">
        <f t="shared" si="236"/>
        <v>0</v>
      </c>
      <c r="J444" s="17">
        <f t="shared" si="237"/>
        <v>0</v>
      </c>
      <c r="K444" s="17">
        <f t="shared" si="238"/>
        <v>0</v>
      </c>
      <c r="L444" s="17">
        <f t="shared" si="239"/>
        <v>0</v>
      </c>
      <c r="M444" s="17">
        <f t="shared" si="240"/>
        <v>0</v>
      </c>
      <c r="N444" s="17">
        <f t="shared" si="241"/>
        <v>0</v>
      </c>
      <c r="O444" s="17">
        <f t="shared" si="242"/>
        <v>0</v>
      </c>
      <c r="P444" s="17">
        <v>0</v>
      </c>
      <c r="Q444" s="17">
        <f t="shared" si="243"/>
        <v>0</v>
      </c>
      <c r="R444" s="17">
        <f t="shared" si="244"/>
        <v>0</v>
      </c>
      <c r="S444" s="17">
        <f t="shared" si="245"/>
        <v>0</v>
      </c>
      <c r="T444" s="17">
        <f t="shared" si="246"/>
        <v>0</v>
      </c>
      <c r="U444" s="17">
        <f t="shared" si="247"/>
        <v>0</v>
      </c>
      <c r="V444" s="17">
        <f t="shared" si="248"/>
        <v>0</v>
      </c>
      <c r="W444" s="17">
        <f t="shared" si="249"/>
        <v>0</v>
      </c>
      <c r="X444" s="17">
        <f t="shared" si="250"/>
        <v>0</v>
      </c>
      <c r="Y444" s="17">
        <f t="shared" si="251"/>
        <v>0</v>
      </c>
      <c r="Z444" s="17">
        <f t="shared" si="252"/>
        <v>0</v>
      </c>
      <c r="AA444" s="17">
        <f t="shared" si="253"/>
        <v>0</v>
      </c>
      <c r="AB444" s="17">
        <f t="shared" si="254"/>
        <v>0</v>
      </c>
      <c r="AC444" s="17">
        <v>0</v>
      </c>
      <c r="AD444" s="17">
        <f t="shared" si="255"/>
        <v>0</v>
      </c>
      <c r="AE444" s="17">
        <f t="shared" si="256"/>
        <v>0</v>
      </c>
      <c r="AF444" s="17">
        <f t="shared" si="257"/>
        <v>0</v>
      </c>
      <c r="AG444" s="17">
        <f t="shared" si="258"/>
        <v>0</v>
      </c>
      <c r="AH444" s="17">
        <f t="shared" si="259"/>
        <v>0</v>
      </c>
      <c r="AI444" s="17">
        <f t="shared" si="260"/>
        <v>0</v>
      </c>
      <c r="AJ444" s="17">
        <f t="shared" si="261"/>
        <v>0</v>
      </c>
      <c r="AK444" s="17">
        <f t="shared" si="262"/>
        <v>0</v>
      </c>
      <c r="AL444" s="17">
        <f t="shared" si="263"/>
        <v>0</v>
      </c>
      <c r="AM444" s="17">
        <f t="shared" si="264"/>
        <v>0</v>
      </c>
      <c r="AN444" s="17">
        <f t="shared" si="265"/>
        <v>0</v>
      </c>
      <c r="AO444" s="17">
        <f t="shared" si="266"/>
        <v>0</v>
      </c>
      <c r="AP444" s="17">
        <f t="shared" si="267"/>
        <v>0</v>
      </c>
      <c r="AQ444" s="18">
        <v>44.439174312258267</v>
      </c>
      <c r="AR444" s="18">
        <v>53.145079693207428</v>
      </c>
      <c r="AS444" s="18">
        <v>47.033784989831297</v>
      </c>
      <c r="AT444" s="18">
        <v>35.626282329498714</v>
      </c>
      <c r="AU444" s="18">
        <v>51.666593331904693</v>
      </c>
      <c r="AV444" s="18">
        <v>42.340715913653</v>
      </c>
      <c r="AW444" s="18">
        <v>42.153129844540011</v>
      </c>
      <c r="AX444" s="18">
        <v>28.625892652103261</v>
      </c>
      <c r="AY444" s="18">
        <v>42.432164623791294</v>
      </c>
      <c r="AZ444" s="18">
        <v>36.952960756365435</v>
      </c>
      <c r="BA444" s="18">
        <v>37.730373674427007</v>
      </c>
      <c r="BB444" s="18">
        <v>36.852055231916168</v>
      </c>
      <c r="BC444" s="23">
        <v>8.9181565948742242E-2</v>
      </c>
      <c r="BD444" s="23">
        <v>0.10665277883445198</v>
      </c>
      <c r="BE444" s="23">
        <v>9.438849084854764E-2</v>
      </c>
      <c r="BF444" s="23">
        <v>7.149564986855049E-2</v>
      </c>
      <c r="BG444" s="23">
        <v>0.10368571810536763</v>
      </c>
      <c r="BH444" s="23">
        <v>8.4970330952544637E-2</v>
      </c>
      <c r="BI444" s="23">
        <v>8.4593878877262704E-2</v>
      </c>
      <c r="BJ444" s="23">
        <v>5.7447105462779965E-2</v>
      </c>
      <c r="BK444" s="23">
        <v>8.5153852345557474E-2</v>
      </c>
      <c r="BL444" s="23">
        <v>7.4158058913035174E-2</v>
      </c>
      <c r="BM444" s="23">
        <v>7.5718189192107169E-2</v>
      </c>
      <c r="BN444" s="23">
        <v>7.3955559365675619E-2</v>
      </c>
    </row>
    <row r="445" spans="1:66" x14ac:dyDescent="0.25">
      <c r="A445" s="16">
        <v>2019</v>
      </c>
      <c r="B445" s="16" t="s">
        <v>640</v>
      </c>
      <c r="C445" s="17">
        <v>15000</v>
      </c>
      <c r="D445" s="17">
        <f t="shared" si="231"/>
        <v>1337.7234892311337</v>
      </c>
      <c r="E445" s="17">
        <f t="shared" si="232"/>
        <v>1599.7916825167797</v>
      </c>
      <c r="F445" s="17">
        <f t="shared" si="233"/>
        <v>1415.8273627282147</v>
      </c>
      <c r="G445" s="17">
        <f t="shared" si="234"/>
        <v>1072.4347480282574</v>
      </c>
      <c r="H445" s="17">
        <f t="shared" si="235"/>
        <v>1555.2857715805144</v>
      </c>
      <c r="I445" s="17">
        <f t="shared" si="236"/>
        <v>1274.5549642881695</v>
      </c>
      <c r="J445" s="17">
        <f t="shared" si="237"/>
        <v>1268.9081831589406</v>
      </c>
      <c r="K445" s="17">
        <f t="shared" si="238"/>
        <v>861.70658194169948</v>
      </c>
      <c r="L445" s="17">
        <f t="shared" si="239"/>
        <v>1277.3077851833621</v>
      </c>
      <c r="M445" s="17">
        <f t="shared" si="240"/>
        <v>1112.3708836955277</v>
      </c>
      <c r="N445" s="17">
        <f t="shared" si="241"/>
        <v>1135.7728378816075</v>
      </c>
      <c r="O445" s="17">
        <f t="shared" si="242"/>
        <v>1109.3333904851343</v>
      </c>
      <c r="P445" s="17">
        <v>0</v>
      </c>
      <c r="Q445" s="17">
        <f t="shared" si="243"/>
        <v>0</v>
      </c>
      <c r="R445" s="17">
        <f t="shared" si="244"/>
        <v>0</v>
      </c>
      <c r="S445" s="17">
        <f t="shared" si="245"/>
        <v>0</v>
      </c>
      <c r="T445" s="17">
        <f t="shared" si="246"/>
        <v>0</v>
      </c>
      <c r="U445" s="17">
        <f t="shared" si="247"/>
        <v>0</v>
      </c>
      <c r="V445" s="17">
        <f t="shared" si="248"/>
        <v>0</v>
      </c>
      <c r="W445" s="17">
        <f t="shared" si="249"/>
        <v>0</v>
      </c>
      <c r="X445" s="17">
        <f t="shared" si="250"/>
        <v>0</v>
      </c>
      <c r="Y445" s="17">
        <f t="shared" si="251"/>
        <v>0</v>
      </c>
      <c r="Z445" s="17">
        <f t="shared" si="252"/>
        <v>0</v>
      </c>
      <c r="AA445" s="17">
        <f t="shared" si="253"/>
        <v>0</v>
      </c>
      <c r="AB445" s="17">
        <f t="shared" si="254"/>
        <v>0</v>
      </c>
      <c r="AC445" s="17">
        <v>0</v>
      </c>
      <c r="AD445" s="17">
        <f t="shared" si="255"/>
        <v>0</v>
      </c>
      <c r="AE445" s="17">
        <f t="shared" si="256"/>
        <v>0</v>
      </c>
      <c r="AF445" s="17">
        <f t="shared" si="257"/>
        <v>0</v>
      </c>
      <c r="AG445" s="17">
        <f t="shared" si="258"/>
        <v>0</v>
      </c>
      <c r="AH445" s="17">
        <f t="shared" si="259"/>
        <v>0</v>
      </c>
      <c r="AI445" s="17">
        <f t="shared" si="260"/>
        <v>0</v>
      </c>
      <c r="AJ445" s="17">
        <f t="shared" si="261"/>
        <v>0</v>
      </c>
      <c r="AK445" s="17">
        <f t="shared" si="262"/>
        <v>0</v>
      </c>
      <c r="AL445" s="17">
        <f t="shared" si="263"/>
        <v>0</v>
      </c>
      <c r="AM445" s="17">
        <f t="shared" si="264"/>
        <v>0</v>
      </c>
      <c r="AN445" s="17">
        <f t="shared" si="265"/>
        <v>0</v>
      </c>
      <c r="AO445" s="17">
        <f t="shared" si="266"/>
        <v>0</v>
      </c>
      <c r="AP445" s="17">
        <f t="shared" si="267"/>
        <v>15000</v>
      </c>
      <c r="AQ445" s="18">
        <v>43.156029941387757</v>
      </c>
      <c r="AR445" s="18">
        <v>51.610559511337328</v>
      </c>
      <c r="AS445" s="18">
        <v>45.675723383502387</v>
      </c>
      <c r="AT445" s="18">
        <v>34.59760291919001</v>
      </c>
      <c r="AU445" s="18">
        <v>50.17476321980466</v>
      </c>
      <c r="AV445" s="18">
        <v>41.118162791907785</v>
      </c>
      <c r="AW445" s="18">
        <v>40.93599311525395</v>
      </c>
      <c r="AX445" s="18">
        <v>27.799343698704782</v>
      </c>
      <c r="AY445" s="18">
        <v>41.206970996243413</v>
      </c>
      <c r="AZ445" s="18">
        <v>35.88597460472468</v>
      </c>
      <c r="BA445" s="18">
        <v>36.640940368330966</v>
      </c>
      <c r="BB445" s="18">
        <v>35.787982643762824</v>
      </c>
      <c r="BC445" s="23">
        <v>8.9181565948742242E-2</v>
      </c>
      <c r="BD445" s="23">
        <v>0.10665277883445198</v>
      </c>
      <c r="BE445" s="23">
        <v>9.438849084854764E-2</v>
      </c>
      <c r="BF445" s="23">
        <v>7.149564986855049E-2</v>
      </c>
      <c r="BG445" s="23">
        <v>0.10368571810536763</v>
      </c>
      <c r="BH445" s="23">
        <v>8.4970330952544637E-2</v>
      </c>
      <c r="BI445" s="23">
        <v>8.4593878877262704E-2</v>
      </c>
      <c r="BJ445" s="23">
        <v>5.7447105462779965E-2</v>
      </c>
      <c r="BK445" s="23">
        <v>8.5153852345557474E-2</v>
      </c>
      <c r="BL445" s="23">
        <v>7.4158058913035174E-2</v>
      </c>
      <c r="BM445" s="23">
        <v>7.5718189192107169E-2</v>
      </c>
      <c r="BN445" s="23">
        <v>7.3955559365675619E-2</v>
      </c>
    </row>
    <row r="446" spans="1:66" x14ac:dyDescent="0.25">
      <c r="A446" s="16">
        <v>3221</v>
      </c>
      <c r="B446" s="16" t="s">
        <v>641</v>
      </c>
      <c r="C446" s="17">
        <v>0</v>
      </c>
      <c r="D446" s="17">
        <f t="shared" si="231"/>
        <v>0</v>
      </c>
      <c r="E446" s="17">
        <f t="shared" si="232"/>
        <v>0</v>
      </c>
      <c r="F446" s="17">
        <f t="shared" si="233"/>
        <v>0</v>
      </c>
      <c r="G446" s="17">
        <f t="shared" si="234"/>
        <v>0</v>
      </c>
      <c r="H446" s="17">
        <f t="shared" si="235"/>
        <v>0</v>
      </c>
      <c r="I446" s="17">
        <f t="shared" si="236"/>
        <v>0</v>
      </c>
      <c r="J446" s="17">
        <f t="shared" si="237"/>
        <v>0</v>
      </c>
      <c r="K446" s="17">
        <f t="shared" si="238"/>
        <v>0</v>
      </c>
      <c r="L446" s="17">
        <f t="shared" si="239"/>
        <v>0</v>
      </c>
      <c r="M446" s="17">
        <f t="shared" si="240"/>
        <v>0</v>
      </c>
      <c r="N446" s="17">
        <f t="shared" si="241"/>
        <v>0</v>
      </c>
      <c r="O446" s="17">
        <f t="shared" si="242"/>
        <v>0</v>
      </c>
      <c r="P446" s="17">
        <v>0</v>
      </c>
      <c r="Q446" s="17">
        <f t="shared" si="243"/>
        <v>0</v>
      </c>
      <c r="R446" s="17">
        <f t="shared" si="244"/>
        <v>0</v>
      </c>
      <c r="S446" s="17">
        <f t="shared" si="245"/>
        <v>0</v>
      </c>
      <c r="T446" s="17">
        <f t="shared" si="246"/>
        <v>0</v>
      </c>
      <c r="U446" s="17">
        <f t="shared" si="247"/>
        <v>0</v>
      </c>
      <c r="V446" s="17">
        <f t="shared" si="248"/>
        <v>0</v>
      </c>
      <c r="W446" s="17">
        <f t="shared" si="249"/>
        <v>0</v>
      </c>
      <c r="X446" s="17">
        <f t="shared" si="250"/>
        <v>0</v>
      </c>
      <c r="Y446" s="17">
        <f t="shared" si="251"/>
        <v>0</v>
      </c>
      <c r="Z446" s="17">
        <f t="shared" si="252"/>
        <v>0</v>
      </c>
      <c r="AA446" s="17">
        <f t="shared" si="253"/>
        <v>0</v>
      </c>
      <c r="AB446" s="17">
        <f t="shared" si="254"/>
        <v>0</v>
      </c>
      <c r="AC446" s="17">
        <v>0</v>
      </c>
      <c r="AD446" s="17">
        <f t="shared" si="255"/>
        <v>0</v>
      </c>
      <c r="AE446" s="17">
        <f t="shared" si="256"/>
        <v>0</v>
      </c>
      <c r="AF446" s="17">
        <f t="shared" si="257"/>
        <v>0</v>
      </c>
      <c r="AG446" s="17">
        <f t="shared" si="258"/>
        <v>0</v>
      </c>
      <c r="AH446" s="17">
        <f t="shared" si="259"/>
        <v>0</v>
      </c>
      <c r="AI446" s="17">
        <f t="shared" si="260"/>
        <v>0</v>
      </c>
      <c r="AJ446" s="17">
        <f t="shared" si="261"/>
        <v>0</v>
      </c>
      <c r="AK446" s="17">
        <f t="shared" si="262"/>
        <v>0</v>
      </c>
      <c r="AL446" s="17">
        <f t="shared" si="263"/>
        <v>0</v>
      </c>
      <c r="AM446" s="17">
        <f t="shared" si="264"/>
        <v>0</v>
      </c>
      <c r="AN446" s="17">
        <f t="shared" si="265"/>
        <v>0</v>
      </c>
      <c r="AO446" s="17">
        <f t="shared" si="266"/>
        <v>0</v>
      </c>
      <c r="AP446" s="17">
        <f t="shared" si="267"/>
        <v>0</v>
      </c>
      <c r="AQ446" s="18">
        <v>42.65375936196444</v>
      </c>
      <c r="AR446" s="18">
        <v>51.009891060941698</v>
      </c>
      <c r="AS446" s="18">
        <v>45.14412740304337</v>
      </c>
      <c r="AT446" s="18">
        <v>34.194939419130328</v>
      </c>
      <c r="AU446" s="18">
        <v>49.590805255435235</v>
      </c>
      <c r="AV446" s="18">
        <v>40.639609887983049</v>
      </c>
      <c r="AW446" s="18">
        <v>40.459560389417206</v>
      </c>
      <c r="AX446" s="18">
        <v>27.475801600738404</v>
      </c>
      <c r="AY446" s="18">
        <v>40.727384499833228</v>
      </c>
      <c r="AZ446" s="18">
        <v>35.468316416926463</v>
      </c>
      <c r="BA446" s="18">
        <v>36.214495526801016</v>
      </c>
      <c r="BB446" s="18">
        <v>35.371464933415339</v>
      </c>
      <c r="BC446" s="23">
        <v>8.9181565948742242E-2</v>
      </c>
      <c r="BD446" s="23">
        <v>0.10665277883445198</v>
      </c>
      <c r="BE446" s="23">
        <v>9.438849084854764E-2</v>
      </c>
      <c r="BF446" s="23">
        <v>7.149564986855049E-2</v>
      </c>
      <c r="BG446" s="23">
        <v>0.10368571810536763</v>
      </c>
      <c r="BH446" s="23">
        <v>8.4970330952544637E-2</v>
      </c>
      <c r="BI446" s="23">
        <v>8.4593878877262704E-2</v>
      </c>
      <c r="BJ446" s="23">
        <v>5.7447105462779965E-2</v>
      </c>
      <c r="BK446" s="23">
        <v>8.5153852345557474E-2</v>
      </c>
      <c r="BL446" s="23">
        <v>7.4158058913035174E-2</v>
      </c>
      <c r="BM446" s="23">
        <v>7.5718189192107169E-2</v>
      </c>
      <c r="BN446" s="23">
        <v>7.3955559365675619E-2</v>
      </c>
    </row>
    <row r="447" spans="1:66" x14ac:dyDescent="0.25">
      <c r="A447" s="16">
        <v>2021</v>
      </c>
      <c r="B447" s="16" t="s">
        <v>642</v>
      </c>
      <c r="C447" s="17">
        <v>447.15000000000003</v>
      </c>
      <c r="D447" s="17">
        <f t="shared" si="231"/>
        <v>39.877537213980098</v>
      </c>
      <c r="E447" s="17">
        <f t="shared" si="232"/>
        <v>47.689790055825206</v>
      </c>
      <c r="F447" s="17">
        <f t="shared" si="233"/>
        <v>42.205813682928081</v>
      </c>
      <c r="G447" s="17">
        <f t="shared" si="234"/>
        <v>31.969279838722354</v>
      </c>
      <c r="H447" s="17">
        <f t="shared" si="235"/>
        <v>46.363068850815139</v>
      </c>
      <c r="I447" s="17">
        <f t="shared" si="236"/>
        <v>37.994483485430337</v>
      </c>
      <c r="J447" s="17">
        <f t="shared" si="237"/>
        <v>37.826152939968019</v>
      </c>
      <c r="K447" s="17">
        <f t="shared" si="238"/>
        <v>25.687473207682064</v>
      </c>
      <c r="L447" s="17">
        <f t="shared" si="239"/>
        <v>38.07654507631603</v>
      </c>
      <c r="M447" s="17">
        <f t="shared" si="240"/>
        <v>33.159776042963678</v>
      </c>
      <c r="N447" s="17">
        <f t="shared" si="241"/>
        <v>33.857388297250722</v>
      </c>
      <c r="O447" s="17">
        <f t="shared" si="242"/>
        <v>33.069228370361856</v>
      </c>
      <c r="P447" s="17">
        <v>0</v>
      </c>
      <c r="Q447" s="17">
        <f t="shared" si="243"/>
        <v>0</v>
      </c>
      <c r="R447" s="17">
        <f t="shared" si="244"/>
        <v>0</v>
      </c>
      <c r="S447" s="17">
        <f t="shared" si="245"/>
        <v>0</v>
      </c>
      <c r="T447" s="17">
        <f t="shared" si="246"/>
        <v>0</v>
      </c>
      <c r="U447" s="17">
        <f t="shared" si="247"/>
        <v>0</v>
      </c>
      <c r="V447" s="17">
        <f t="shared" si="248"/>
        <v>0</v>
      </c>
      <c r="W447" s="17">
        <f t="shared" si="249"/>
        <v>0</v>
      </c>
      <c r="X447" s="17">
        <f t="shared" si="250"/>
        <v>0</v>
      </c>
      <c r="Y447" s="17">
        <f t="shared" si="251"/>
        <v>0</v>
      </c>
      <c r="Z447" s="17">
        <f t="shared" si="252"/>
        <v>0</v>
      </c>
      <c r="AA447" s="17">
        <f t="shared" si="253"/>
        <v>0</v>
      </c>
      <c r="AB447" s="17">
        <f t="shared" si="254"/>
        <v>0</v>
      </c>
      <c r="AC447" s="17">
        <v>0</v>
      </c>
      <c r="AD447" s="17">
        <f t="shared" si="255"/>
        <v>0</v>
      </c>
      <c r="AE447" s="17">
        <f t="shared" si="256"/>
        <v>0</v>
      </c>
      <c r="AF447" s="17">
        <f t="shared" si="257"/>
        <v>0</v>
      </c>
      <c r="AG447" s="17">
        <f t="shared" si="258"/>
        <v>0</v>
      </c>
      <c r="AH447" s="17">
        <f t="shared" si="259"/>
        <v>0</v>
      </c>
      <c r="AI447" s="17">
        <f t="shared" si="260"/>
        <v>0</v>
      </c>
      <c r="AJ447" s="17">
        <f t="shared" si="261"/>
        <v>0</v>
      </c>
      <c r="AK447" s="17">
        <f t="shared" si="262"/>
        <v>0</v>
      </c>
      <c r="AL447" s="17">
        <f t="shared" si="263"/>
        <v>0</v>
      </c>
      <c r="AM447" s="17">
        <f t="shared" si="264"/>
        <v>0</v>
      </c>
      <c r="AN447" s="17">
        <f t="shared" si="265"/>
        <v>0</v>
      </c>
      <c r="AO447" s="17">
        <f t="shared" si="266"/>
        <v>0</v>
      </c>
      <c r="AP447" s="17">
        <f t="shared" si="267"/>
        <v>447.15000000000003</v>
      </c>
      <c r="AQ447" s="18">
        <v>42.599804514565449</v>
      </c>
      <c r="AR447" s="18">
        <v>50.945366129746851</v>
      </c>
      <c r="AS447" s="18">
        <v>45.087022366079992</v>
      </c>
      <c r="AT447" s="18">
        <v>34.151684550959857</v>
      </c>
      <c r="AU447" s="18">
        <v>49.528075395981482</v>
      </c>
      <c r="AV447" s="18">
        <v>40.588202837756761</v>
      </c>
      <c r="AW447" s="18">
        <v>40.408381092696466</v>
      </c>
      <c r="AX447" s="18">
        <v>27.44104610193342</v>
      </c>
      <c r="AY447" s="18">
        <v>40.675866419164166</v>
      </c>
      <c r="AZ447" s="18">
        <v>35.423450791284075</v>
      </c>
      <c r="BA447" s="18">
        <v>36.168686022339791</v>
      </c>
      <c r="BB447" s="18">
        <v>35.326721819999101</v>
      </c>
      <c r="BC447" s="23">
        <v>8.9181565948742242E-2</v>
      </c>
      <c r="BD447" s="23">
        <v>0.10665277883445198</v>
      </c>
      <c r="BE447" s="23">
        <v>9.438849084854764E-2</v>
      </c>
      <c r="BF447" s="23">
        <v>7.149564986855049E-2</v>
      </c>
      <c r="BG447" s="23">
        <v>0.10368571810536763</v>
      </c>
      <c r="BH447" s="23">
        <v>8.4970330952544637E-2</v>
      </c>
      <c r="BI447" s="23">
        <v>8.4593878877262704E-2</v>
      </c>
      <c r="BJ447" s="23">
        <v>5.7447105462779965E-2</v>
      </c>
      <c r="BK447" s="23">
        <v>8.5153852345557474E-2</v>
      </c>
      <c r="BL447" s="23">
        <v>7.4158058913035174E-2</v>
      </c>
      <c r="BM447" s="23">
        <v>7.5718189192107169E-2</v>
      </c>
      <c r="BN447" s="23">
        <v>7.3955559365675619E-2</v>
      </c>
    </row>
    <row r="448" spans="1:66" x14ac:dyDescent="0.25">
      <c r="A448" s="16">
        <v>27057</v>
      </c>
      <c r="B448" s="16" t="s">
        <v>643</v>
      </c>
      <c r="C448" s="17">
        <v>443.5200000000001</v>
      </c>
      <c r="D448" s="17">
        <f t="shared" si="231"/>
        <v>39.553808129586166</v>
      </c>
      <c r="E448" s="17">
        <f t="shared" si="232"/>
        <v>47.302640468656151</v>
      </c>
      <c r="F448" s="17">
        <f t="shared" si="233"/>
        <v>41.863183461147855</v>
      </c>
      <c r="G448" s="17">
        <f t="shared" si="234"/>
        <v>31.709750629699521</v>
      </c>
      <c r="H448" s="17">
        <f t="shared" si="235"/>
        <v>45.986689694092661</v>
      </c>
      <c r="I448" s="17">
        <f t="shared" si="236"/>
        <v>37.686041184072607</v>
      </c>
      <c r="J448" s="17">
        <f t="shared" si="237"/>
        <v>37.519077159643565</v>
      </c>
      <c r="K448" s="17">
        <f t="shared" si="238"/>
        <v>25.478940214852177</v>
      </c>
      <c r="L448" s="17">
        <f t="shared" si="239"/>
        <v>37.767436592301657</v>
      </c>
      <c r="M448" s="17">
        <f t="shared" si="240"/>
        <v>32.890582289109368</v>
      </c>
      <c r="N448" s="17">
        <f t="shared" si="241"/>
        <v>33.582531270483379</v>
      </c>
      <c r="O448" s="17">
        <f t="shared" si="242"/>
        <v>32.80076968986446</v>
      </c>
      <c r="P448" s="17">
        <v>0</v>
      </c>
      <c r="Q448" s="17">
        <f t="shared" si="243"/>
        <v>0</v>
      </c>
      <c r="R448" s="17">
        <f t="shared" si="244"/>
        <v>0</v>
      </c>
      <c r="S448" s="17">
        <f t="shared" si="245"/>
        <v>0</v>
      </c>
      <c r="T448" s="17">
        <f t="shared" si="246"/>
        <v>0</v>
      </c>
      <c r="U448" s="17">
        <f t="shared" si="247"/>
        <v>0</v>
      </c>
      <c r="V448" s="17">
        <f t="shared" si="248"/>
        <v>0</v>
      </c>
      <c r="W448" s="17">
        <f t="shared" si="249"/>
        <v>0</v>
      </c>
      <c r="X448" s="17">
        <f t="shared" si="250"/>
        <v>0</v>
      </c>
      <c r="Y448" s="17">
        <f t="shared" si="251"/>
        <v>0</v>
      </c>
      <c r="Z448" s="17">
        <f t="shared" si="252"/>
        <v>0</v>
      </c>
      <c r="AA448" s="17">
        <f t="shared" si="253"/>
        <v>0</v>
      </c>
      <c r="AB448" s="17">
        <f t="shared" si="254"/>
        <v>0</v>
      </c>
      <c r="AC448" s="17">
        <v>0</v>
      </c>
      <c r="AD448" s="17">
        <f t="shared" si="255"/>
        <v>0</v>
      </c>
      <c r="AE448" s="17">
        <f t="shared" si="256"/>
        <v>0</v>
      </c>
      <c r="AF448" s="17">
        <f t="shared" si="257"/>
        <v>0</v>
      </c>
      <c r="AG448" s="17">
        <f t="shared" si="258"/>
        <v>0</v>
      </c>
      <c r="AH448" s="17">
        <f t="shared" si="259"/>
        <v>0</v>
      </c>
      <c r="AI448" s="17">
        <f t="shared" si="260"/>
        <v>0</v>
      </c>
      <c r="AJ448" s="17">
        <f t="shared" si="261"/>
        <v>0</v>
      </c>
      <c r="AK448" s="17">
        <f t="shared" si="262"/>
        <v>0</v>
      </c>
      <c r="AL448" s="17">
        <f t="shared" si="263"/>
        <v>0</v>
      </c>
      <c r="AM448" s="17">
        <f t="shared" si="264"/>
        <v>0</v>
      </c>
      <c r="AN448" s="17">
        <f t="shared" si="265"/>
        <v>0</v>
      </c>
      <c r="AO448" s="17">
        <f t="shared" si="266"/>
        <v>0</v>
      </c>
      <c r="AP448" s="17">
        <f t="shared" si="267"/>
        <v>443.5200000000001</v>
      </c>
      <c r="AQ448" s="18">
        <v>39.877537213980098</v>
      </c>
      <c r="AR448" s="18">
        <v>47.689790055825206</v>
      </c>
      <c r="AS448" s="18">
        <v>42.205813682928081</v>
      </c>
      <c r="AT448" s="18">
        <v>31.969279838722354</v>
      </c>
      <c r="AU448" s="18">
        <v>46.363068850815139</v>
      </c>
      <c r="AV448" s="18">
        <v>37.994483485430337</v>
      </c>
      <c r="AW448" s="18">
        <v>37.826152939968019</v>
      </c>
      <c r="AX448" s="18">
        <v>25.687473207682064</v>
      </c>
      <c r="AY448" s="18">
        <v>38.07654507631603</v>
      </c>
      <c r="AZ448" s="18">
        <v>33.159776042963678</v>
      </c>
      <c r="BA448" s="18">
        <v>33.857388297250722</v>
      </c>
      <c r="BB448" s="18">
        <v>33.069228370361856</v>
      </c>
      <c r="BC448" s="23">
        <v>8.9181565948742242E-2</v>
      </c>
      <c r="BD448" s="23">
        <v>0.10665277883445198</v>
      </c>
      <c r="BE448" s="23">
        <v>9.438849084854764E-2</v>
      </c>
      <c r="BF448" s="23">
        <v>7.149564986855049E-2</v>
      </c>
      <c r="BG448" s="23">
        <v>0.10368571810536763</v>
      </c>
      <c r="BH448" s="23">
        <v>8.4970330952544637E-2</v>
      </c>
      <c r="BI448" s="23">
        <v>8.4593878877262704E-2</v>
      </c>
      <c r="BJ448" s="23">
        <v>5.7447105462779965E-2</v>
      </c>
      <c r="BK448" s="23">
        <v>8.5153852345557474E-2</v>
      </c>
      <c r="BL448" s="23">
        <v>7.4158058913035174E-2</v>
      </c>
      <c r="BM448" s="23">
        <v>7.5718189192107169E-2</v>
      </c>
      <c r="BN448" s="23">
        <v>7.3955559365675619E-2</v>
      </c>
    </row>
    <row r="449" spans="1:66" x14ac:dyDescent="0.25">
      <c r="A449" s="16">
        <v>6565</v>
      </c>
      <c r="B449" s="16" t="s">
        <v>644</v>
      </c>
      <c r="C449" s="17">
        <v>0</v>
      </c>
      <c r="D449" s="17">
        <f t="shared" si="231"/>
        <v>0</v>
      </c>
      <c r="E449" s="17">
        <f t="shared" si="232"/>
        <v>0</v>
      </c>
      <c r="F449" s="17">
        <f t="shared" si="233"/>
        <v>0</v>
      </c>
      <c r="G449" s="17">
        <f t="shared" si="234"/>
        <v>0</v>
      </c>
      <c r="H449" s="17">
        <f t="shared" si="235"/>
        <v>0</v>
      </c>
      <c r="I449" s="17">
        <f t="shared" si="236"/>
        <v>0</v>
      </c>
      <c r="J449" s="17">
        <f t="shared" si="237"/>
        <v>0</v>
      </c>
      <c r="K449" s="17">
        <f t="shared" si="238"/>
        <v>0</v>
      </c>
      <c r="L449" s="17">
        <f t="shared" si="239"/>
        <v>0</v>
      </c>
      <c r="M449" s="17">
        <f t="shared" si="240"/>
        <v>0</v>
      </c>
      <c r="N449" s="17">
        <f t="shared" si="241"/>
        <v>0</v>
      </c>
      <c r="O449" s="17">
        <f t="shared" si="242"/>
        <v>0</v>
      </c>
      <c r="P449" s="17">
        <v>0</v>
      </c>
      <c r="Q449" s="17">
        <f t="shared" si="243"/>
        <v>0</v>
      </c>
      <c r="R449" s="17">
        <f t="shared" si="244"/>
        <v>0</v>
      </c>
      <c r="S449" s="17">
        <f t="shared" si="245"/>
        <v>0</v>
      </c>
      <c r="T449" s="17">
        <f t="shared" si="246"/>
        <v>0</v>
      </c>
      <c r="U449" s="17">
        <f t="shared" si="247"/>
        <v>0</v>
      </c>
      <c r="V449" s="17">
        <f t="shared" si="248"/>
        <v>0</v>
      </c>
      <c r="W449" s="17">
        <f t="shared" si="249"/>
        <v>0</v>
      </c>
      <c r="X449" s="17">
        <f t="shared" si="250"/>
        <v>0</v>
      </c>
      <c r="Y449" s="17">
        <f t="shared" si="251"/>
        <v>0</v>
      </c>
      <c r="Z449" s="17">
        <f t="shared" si="252"/>
        <v>0</v>
      </c>
      <c r="AA449" s="17">
        <f t="shared" si="253"/>
        <v>0</v>
      </c>
      <c r="AB449" s="17">
        <f t="shared" si="254"/>
        <v>0</v>
      </c>
      <c r="AC449" s="17">
        <v>0</v>
      </c>
      <c r="AD449" s="17">
        <f t="shared" si="255"/>
        <v>0</v>
      </c>
      <c r="AE449" s="17">
        <f t="shared" si="256"/>
        <v>0</v>
      </c>
      <c r="AF449" s="17">
        <f t="shared" si="257"/>
        <v>0</v>
      </c>
      <c r="AG449" s="17">
        <f t="shared" si="258"/>
        <v>0</v>
      </c>
      <c r="AH449" s="17">
        <f t="shared" si="259"/>
        <v>0</v>
      </c>
      <c r="AI449" s="17">
        <f t="shared" si="260"/>
        <v>0</v>
      </c>
      <c r="AJ449" s="17">
        <f t="shared" si="261"/>
        <v>0</v>
      </c>
      <c r="AK449" s="17">
        <f t="shared" si="262"/>
        <v>0</v>
      </c>
      <c r="AL449" s="17">
        <f t="shared" si="263"/>
        <v>0</v>
      </c>
      <c r="AM449" s="17">
        <f t="shared" si="264"/>
        <v>0</v>
      </c>
      <c r="AN449" s="17">
        <f t="shared" si="265"/>
        <v>0</v>
      </c>
      <c r="AO449" s="17">
        <f t="shared" si="266"/>
        <v>0</v>
      </c>
      <c r="AP449" s="17">
        <f t="shared" si="267"/>
        <v>0</v>
      </c>
      <c r="AQ449" s="18">
        <v>39.553808129586166</v>
      </c>
      <c r="AR449" s="18">
        <v>47.302640468656151</v>
      </c>
      <c r="AS449" s="18">
        <v>41.863183461147855</v>
      </c>
      <c r="AT449" s="18">
        <v>31.709750629699521</v>
      </c>
      <c r="AU449" s="18">
        <v>45.986689694092661</v>
      </c>
      <c r="AV449" s="18">
        <v>37.686041184072607</v>
      </c>
      <c r="AW449" s="18">
        <v>37.519077159643565</v>
      </c>
      <c r="AX449" s="18">
        <v>25.478940214852177</v>
      </c>
      <c r="AY449" s="18">
        <v>37.767436592301657</v>
      </c>
      <c r="AZ449" s="18">
        <v>32.890582289109368</v>
      </c>
      <c r="BA449" s="18">
        <v>33.582531270483379</v>
      </c>
      <c r="BB449" s="18">
        <v>32.80076968986446</v>
      </c>
      <c r="BC449" s="23">
        <v>8.9181565948742242E-2</v>
      </c>
      <c r="BD449" s="23">
        <v>0.10665277883445198</v>
      </c>
      <c r="BE449" s="23">
        <v>9.438849084854764E-2</v>
      </c>
      <c r="BF449" s="23">
        <v>7.149564986855049E-2</v>
      </c>
      <c r="BG449" s="23">
        <v>0.10368571810536763</v>
      </c>
      <c r="BH449" s="23">
        <v>8.4970330952544637E-2</v>
      </c>
      <c r="BI449" s="23">
        <v>8.4593878877262704E-2</v>
      </c>
      <c r="BJ449" s="23">
        <v>5.7447105462779965E-2</v>
      </c>
      <c r="BK449" s="23">
        <v>8.5153852345557474E-2</v>
      </c>
      <c r="BL449" s="23">
        <v>7.4158058913035174E-2</v>
      </c>
      <c r="BM449" s="23">
        <v>7.5718189192107169E-2</v>
      </c>
      <c r="BN449" s="23">
        <v>7.3955559365675619E-2</v>
      </c>
    </row>
    <row r="450" spans="1:66" x14ac:dyDescent="0.25">
      <c r="A450" s="16">
        <v>5287</v>
      </c>
      <c r="B450" s="16" t="s">
        <v>645</v>
      </c>
      <c r="C450" s="17">
        <v>1000</v>
      </c>
      <c r="D450" s="17">
        <f t="shared" si="231"/>
        <v>89.181565948742247</v>
      </c>
      <c r="E450" s="17">
        <f t="shared" si="232"/>
        <v>106.65277883445198</v>
      </c>
      <c r="F450" s="17">
        <f t="shared" si="233"/>
        <v>94.388490848547647</v>
      </c>
      <c r="G450" s="17">
        <f t="shared" si="234"/>
        <v>71.495649868550487</v>
      </c>
      <c r="H450" s="17">
        <f t="shared" si="235"/>
        <v>103.68571810536763</v>
      </c>
      <c r="I450" s="17">
        <f t="shared" si="236"/>
        <v>84.970330952544643</v>
      </c>
      <c r="J450" s="17">
        <f t="shared" si="237"/>
        <v>84.593878877262711</v>
      </c>
      <c r="K450" s="17">
        <f t="shared" si="238"/>
        <v>57.447105462779966</v>
      </c>
      <c r="L450" s="17">
        <f t="shared" si="239"/>
        <v>85.153852345557468</v>
      </c>
      <c r="M450" s="17">
        <f t="shared" si="240"/>
        <v>74.158058913035177</v>
      </c>
      <c r="N450" s="17">
        <f t="shared" si="241"/>
        <v>75.718189192107175</v>
      </c>
      <c r="O450" s="17">
        <f t="shared" si="242"/>
        <v>73.955559365675626</v>
      </c>
      <c r="P450" s="17">
        <v>0</v>
      </c>
      <c r="Q450" s="17">
        <f t="shared" si="243"/>
        <v>0</v>
      </c>
      <c r="R450" s="17">
        <f t="shared" si="244"/>
        <v>0</v>
      </c>
      <c r="S450" s="17">
        <f t="shared" si="245"/>
        <v>0</v>
      </c>
      <c r="T450" s="17">
        <f t="shared" si="246"/>
        <v>0</v>
      </c>
      <c r="U450" s="17">
        <f t="shared" si="247"/>
        <v>0</v>
      </c>
      <c r="V450" s="17">
        <f t="shared" si="248"/>
        <v>0</v>
      </c>
      <c r="W450" s="17">
        <f t="shared" si="249"/>
        <v>0</v>
      </c>
      <c r="X450" s="17">
        <f t="shared" si="250"/>
        <v>0</v>
      </c>
      <c r="Y450" s="17">
        <f t="shared" si="251"/>
        <v>0</v>
      </c>
      <c r="Z450" s="17">
        <f t="shared" si="252"/>
        <v>0</v>
      </c>
      <c r="AA450" s="17">
        <f t="shared" si="253"/>
        <v>0</v>
      </c>
      <c r="AB450" s="17">
        <f t="shared" si="254"/>
        <v>0</v>
      </c>
      <c r="AC450" s="17">
        <v>0</v>
      </c>
      <c r="AD450" s="17">
        <f t="shared" si="255"/>
        <v>0</v>
      </c>
      <c r="AE450" s="17">
        <f t="shared" si="256"/>
        <v>0</v>
      </c>
      <c r="AF450" s="17">
        <f t="shared" si="257"/>
        <v>0</v>
      </c>
      <c r="AG450" s="17">
        <f t="shared" si="258"/>
        <v>0</v>
      </c>
      <c r="AH450" s="17">
        <f t="shared" si="259"/>
        <v>0</v>
      </c>
      <c r="AI450" s="17">
        <f t="shared" si="260"/>
        <v>0</v>
      </c>
      <c r="AJ450" s="17">
        <f t="shared" si="261"/>
        <v>0</v>
      </c>
      <c r="AK450" s="17">
        <f t="shared" si="262"/>
        <v>0</v>
      </c>
      <c r="AL450" s="17">
        <f t="shared" si="263"/>
        <v>0</v>
      </c>
      <c r="AM450" s="17">
        <f t="shared" si="264"/>
        <v>0</v>
      </c>
      <c r="AN450" s="17">
        <f t="shared" si="265"/>
        <v>0</v>
      </c>
      <c r="AO450" s="17">
        <f t="shared" si="266"/>
        <v>0</v>
      </c>
      <c r="AP450" s="17">
        <f t="shared" si="267"/>
        <v>1000</v>
      </c>
      <c r="AQ450" s="18">
        <v>50.489697654050673</v>
      </c>
      <c r="AR450" s="18">
        <v>60.380937473230816</v>
      </c>
      <c r="AS450" s="18">
        <v>53.437572151451</v>
      </c>
      <c r="AT450" s="18">
        <v>40.476904694830516</v>
      </c>
      <c r="AU450" s="18">
        <v>58.70115087676335</v>
      </c>
      <c r="AV450" s="18">
        <v>48.105528017128385</v>
      </c>
      <c r="AW450" s="18">
        <v>47.89240155696789</v>
      </c>
      <c r="AX450" s="18">
        <v>32.523391522225559</v>
      </c>
      <c r="AY450" s="18">
        <v>48.209427736175634</v>
      </c>
      <c r="AZ450" s="18">
        <v>41.984214263320297</v>
      </c>
      <c r="BA450" s="18">
        <v>42.867474220165512</v>
      </c>
      <c r="BB450" s="18">
        <v>41.869570157080425</v>
      </c>
      <c r="BC450" s="23">
        <v>8.9181565948742242E-2</v>
      </c>
      <c r="BD450" s="23">
        <v>0.10665277883445198</v>
      </c>
      <c r="BE450" s="23">
        <v>9.438849084854764E-2</v>
      </c>
      <c r="BF450" s="23">
        <v>7.149564986855049E-2</v>
      </c>
      <c r="BG450" s="23">
        <v>0.10368571810536763</v>
      </c>
      <c r="BH450" s="23">
        <v>8.4970330952544637E-2</v>
      </c>
      <c r="BI450" s="23">
        <v>8.4593878877262704E-2</v>
      </c>
      <c r="BJ450" s="23">
        <v>5.7447105462779965E-2</v>
      </c>
      <c r="BK450" s="23">
        <v>8.5153852345557474E-2</v>
      </c>
      <c r="BL450" s="23">
        <v>7.4158058913035174E-2</v>
      </c>
      <c r="BM450" s="23">
        <v>7.5718189192107169E-2</v>
      </c>
      <c r="BN450" s="23">
        <v>7.3955559365675619E-2</v>
      </c>
    </row>
    <row r="451" spans="1:66" x14ac:dyDescent="0.25">
      <c r="A451" s="16">
        <v>3931</v>
      </c>
      <c r="B451" s="16" t="s">
        <v>646</v>
      </c>
      <c r="C451" s="17">
        <v>500</v>
      </c>
      <c r="D451" s="17">
        <f t="shared" si="231"/>
        <v>44.590782974371123</v>
      </c>
      <c r="E451" s="17">
        <f t="shared" si="232"/>
        <v>53.32638941722599</v>
      </c>
      <c r="F451" s="17">
        <f t="shared" si="233"/>
        <v>47.194245424273824</v>
      </c>
      <c r="G451" s="17">
        <f t="shared" si="234"/>
        <v>35.747824934275243</v>
      </c>
      <c r="H451" s="17">
        <f t="shared" si="235"/>
        <v>51.842859052683814</v>
      </c>
      <c r="I451" s="17">
        <f t="shared" si="236"/>
        <v>42.485165476272321</v>
      </c>
      <c r="J451" s="17">
        <f t="shared" si="237"/>
        <v>42.296939438631355</v>
      </c>
      <c r="K451" s="17">
        <f t="shared" si="238"/>
        <v>28.723552731389983</v>
      </c>
      <c r="L451" s="17">
        <f t="shared" si="239"/>
        <v>42.576926172778734</v>
      </c>
      <c r="M451" s="17">
        <f t="shared" si="240"/>
        <v>37.079029456517588</v>
      </c>
      <c r="N451" s="17">
        <f t="shared" si="241"/>
        <v>37.859094596053588</v>
      </c>
      <c r="O451" s="17">
        <f t="shared" si="242"/>
        <v>36.977779682837813</v>
      </c>
      <c r="P451" s="17">
        <v>0</v>
      </c>
      <c r="Q451" s="17">
        <f t="shared" si="243"/>
        <v>0</v>
      </c>
      <c r="R451" s="17">
        <f t="shared" si="244"/>
        <v>0</v>
      </c>
      <c r="S451" s="17">
        <f t="shared" si="245"/>
        <v>0</v>
      </c>
      <c r="T451" s="17">
        <f t="shared" si="246"/>
        <v>0</v>
      </c>
      <c r="U451" s="17">
        <f t="shared" si="247"/>
        <v>0</v>
      </c>
      <c r="V451" s="17">
        <f t="shared" si="248"/>
        <v>0</v>
      </c>
      <c r="W451" s="17">
        <f t="shared" si="249"/>
        <v>0</v>
      </c>
      <c r="X451" s="17">
        <f t="shared" si="250"/>
        <v>0</v>
      </c>
      <c r="Y451" s="17">
        <f t="shared" si="251"/>
        <v>0</v>
      </c>
      <c r="Z451" s="17">
        <f t="shared" si="252"/>
        <v>0</v>
      </c>
      <c r="AA451" s="17">
        <f t="shared" si="253"/>
        <v>0</v>
      </c>
      <c r="AB451" s="17">
        <f t="shared" si="254"/>
        <v>0</v>
      </c>
      <c r="AC451" s="17">
        <v>0</v>
      </c>
      <c r="AD451" s="17">
        <f t="shared" si="255"/>
        <v>0</v>
      </c>
      <c r="AE451" s="17">
        <f t="shared" si="256"/>
        <v>0</v>
      </c>
      <c r="AF451" s="17">
        <f t="shared" si="257"/>
        <v>0</v>
      </c>
      <c r="AG451" s="17">
        <f t="shared" si="258"/>
        <v>0</v>
      </c>
      <c r="AH451" s="17">
        <f t="shared" si="259"/>
        <v>0</v>
      </c>
      <c r="AI451" s="17">
        <f t="shared" si="260"/>
        <v>0</v>
      </c>
      <c r="AJ451" s="17">
        <f t="shared" si="261"/>
        <v>0</v>
      </c>
      <c r="AK451" s="17">
        <f t="shared" si="262"/>
        <v>0</v>
      </c>
      <c r="AL451" s="17">
        <f t="shared" si="263"/>
        <v>0</v>
      </c>
      <c r="AM451" s="17">
        <f t="shared" si="264"/>
        <v>0</v>
      </c>
      <c r="AN451" s="17">
        <f t="shared" si="265"/>
        <v>0</v>
      </c>
      <c r="AO451" s="17">
        <f t="shared" si="266"/>
        <v>0</v>
      </c>
      <c r="AP451" s="17">
        <f t="shared" si="267"/>
        <v>500</v>
      </c>
      <c r="AQ451" s="18">
        <v>38.307941653282228</v>
      </c>
      <c r="AR451" s="18">
        <v>45.812701148338853</v>
      </c>
      <c r="AS451" s="18">
        <v>40.544576243993639</v>
      </c>
      <c r="AT451" s="18">
        <v>30.710956401035865</v>
      </c>
      <c r="AU451" s="18">
        <v>44.538200212160667</v>
      </c>
      <c r="AV451" s="18">
        <v>36.499005660665553</v>
      </c>
      <c r="AW451" s="18">
        <v>36.337300671728194</v>
      </c>
      <c r="AX451" s="18">
        <v>24.676404151537135</v>
      </c>
      <c r="AY451" s="18">
        <v>36.577837275034213</v>
      </c>
      <c r="AZ451" s="18">
        <v>31.854594206094259</v>
      </c>
      <c r="BA451" s="18">
        <v>32.524748167469632</v>
      </c>
      <c r="BB451" s="18">
        <v>31.767610525525964</v>
      </c>
      <c r="BC451" s="23">
        <v>8.9181565948742242E-2</v>
      </c>
      <c r="BD451" s="23">
        <v>0.10665277883445198</v>
      </c>
      <c r="BE451" s="23">
        <v>9.438849084854764E-2</v>
      </c>
      <c r="BF451" s="23">
        <v>7.149564986855049E-2</v>
      </c>
      <c r="BG451" s="23">
        <v>0.10368571810536763</v>
      </c>
      <c r="BH451" s="23">
        <v>8.4970330952544637E-2</v>
      </c>
      <c r="BI451" s="23">
        <v>8.4593878877262704E-2</v>
      </c>
      <c r="BJ451" s="23">
        <v>5.7447105462779965E-2</v>
      </c>
      <c r="BK451" s="23">
        <v>8.5153852345557474E-2</v>
      </c>
      <c r="BL451" s="23">
        <v>7.4158058913035174E-2</v>
      </c>
      <c r="BM451" s="23">
        <v>7.5718189192107169E-2</v>
      </c>
      <c r="BN451" s="23">
        <v>7.3955559365675619E-2</v>
      </c>
    </row>
    <row r="452" spans="1:66" x14ac:dyDescent="0.25">
      <c r="A452" s="16">
        <v>4043</v>
      </c>
      <c r="B452" s="16" t="s">
        <v>647</v>
      </c>
      <c r="C452" s="17">
        <v>100</v>
      </c>
      <c r="D452" s="17">
        <f t="shared" ref="D452:D515" si="268">+$C452*BC452</f>
        <v>8.9181565948742243</v>
      </c>
      <c r="E452" s="17">
        <f t="shared" ref="E452:E515" si="269">+$C452*BD452</f>
        <v>10.665277883445198</v>
      </c>
      <c r="F452" s="17">
        <f t="shared" ref="F452:F515" si="270">+$C452*BE452</f>
        <v>9.4388490848547644</v>
      </c>
      <c r="G452" s="17">
        <f t="shared" ref="G452:G515" si="271">+$C452*BF452</f>
        <v>7.149564986855049</v>
      </c>
      <c r="H452" s="17">
        <f t="shared" ref="H452:H515" si="272">+$C452*BG452</f>
        <v>10.368571810536762</v>
      </c>
      <c r="I452" s="17">
        <f t="shared" ref="I452:I515" si="273">+$C452*BH452</f>
        <v>8.4970330952544639</v>
      </c>
      <c r="J452" s="17">
        <f t="shared" ref="J452:J515" si="274">+$C452*BI452</f>
        <v>8.4593878877262707</v>
      </c>
      <c r="K452" s="17">
        <f t="shared" ref="K452:K515" si="275">+$C452*BJ452</f>
        <v>5.7447105462779966</v>
      </c>
      <c r="L452" s="17">
        <f t="shared" ref="L452:L515" si="276">+$C452*BK452</f>
        <v>8.5153852345557475</v>
      </c>
      <c r="M452" s="17">
        <f t="shared" ref="M452:M515" si="277">+$C452*BL452</f>
        <v>7.415805891303517</v>
      </c>
      <c r="N452" s="17">
        <f t="shared" ref="N452:N515" si="278">+$C452*BM452</f>
        <v>7.5718189192107168</v>
      </c>
      <c r="O452" s="17">
        <f t="shared" ref="O452:O515" si="279">+$C452*BN452</f>
        <v>7.395555936567562</v>
      </c>
      <c r="P452" s="17">
        <v>0</v>
      </c>
      <c r="Q452" s="17">
        <f t="shared" ref="Q452:Q515" si="280">+$P452*BC452</f>
        <v>0</v>
      </c>
      <c r="R452" s="17">
        <f t="shared" ref="R452:R515" si="281">+$P452*BD452</f>
        <v>0</v>
      </c>
      <c r="S452" s="17">
        <f t="shared" ref="S452:S515" si="282">+$P452*BE452</f>
        <v>0</v>
      </c>
      <c r="T452" s="17">
        <f t="shared" ref="T452:T515" si="283">+$P452*BF452</f>
        <v>0</v>
      </c>
      <c r="U452" s="17">
        <f t="shared" ref="U452:U515" si="284">+$P452*BG452</f>
        <v>0</v>
      </c>
      <c r="V452" s="17">
        <f t="shared" ref="V452:V515" si="285">+$P452*BH452</f>
        <v>0</v>
      </c>
      <c r="W452" s="17">
        <f t="shared" ref="W452:W515" si="286">+$P452*BI452</f>
        <v>0</v>
      </c>
      <c r="X452" s="17">
        <f t="shared" ref="X452:X515" si="287">+$P452*BJ452</f>
        <v>0</v>
      </c>
      <c r="Y452" s="17">
        <f t="shared" ref="Y452:Y515" si="288">+$P452*BK452</f>
        <v>0</v>
      </c>
      <c r="Z452" s="17">
        <f t="shared" ref="Z452:Z515" si="289">+$P452*BL452</f>
        <v>0</v>
      </c>
      <c r="AA452" s="17">
        <f t="shared" ref="AA452:AA515" si="290">+$P452*BM452</f>
        <v>0</v>
      </c>
      <c r="AB452" s="17">
        <f t="shared" ref="AB452:AB515" si="291">+$P452*BN452</f>
        <v>0</v>
      </c>
      <c r="AC452" s="17">
        <v>0</v>
      </c>
      <c r="AD452" s="17">
        <f t="shared" ref="AD452:AD515" si="292">+$AC452*BC452</f>
        <v>0</v>
      </c>
      <c r="AE452" s="17">
        <f t="shared" ref="AE452:AE515" si="293">+$AC452*BD452</f>
        <v>0</v>
      </c>
      <c r="AF452" s="17">
        <f t="shared" ref="AF452:AF515" si="294">+$AC452*BE452</f>
        <v>0</v>
      </c>
      <c r="AG452" s="17">
        <f t="shared" ref="AG452:AG515" si="295">+$AC452*BF452</f>
        <v>0</v>
      </c>
      <c r="AH452" s="17">
        <f t="shared" ref="AH452:AH515" si="296">+$AC452*BG452</f>
        <v>0</v>
      </c>
      <c r="AI452" s="17">
        <f t="shared" ref="AI452:AI515" si="297">+$AC452*BH452</f>
        <v>0</v>
      </c>
      <c r="AJ452" s="17">
        <f t="shared" ref="AJ452:AJ515" si="298">+$AC452*BI452</f>
        <v>0</v>
      </c>
      <c r="AK452" s="17">
        <f t="shared" ref="AK452:AK515" si="299">+$AC452*BJ452</f>
        <v>0</v>
      </c>
      <c r="AL452" s="17">
        <f t="shared" ref="AL452:AL515" si="300">+$AC452*BK452</f>
        <v>0</v>
      </c>
      <c r="AM452" s="17">
        <f t="shared" ref="AM452:AM515" si="301">+$AC452*BL452</f>
        <v>0</v>
      </c>
      <c r="AN452" s="17">
        <f t="shared" ref="AN452:AN515" si="302">+$AC452*BM452</f>
        <v>0</v>
      </c>
      <c r="AO452" s="17">
        <f t="shared" ref="AO452:AO515" si="303">+$AC452*BN452</f>
        <v>0</v>
      </c>
      <c r="AP452" s="17">
        <f t="shared" ref="AP452:AP515" si="304">+AC452+P452+C452</f>
        <v>100</v>
      </c>
      <c r="AQ452" s="18">
        <v>65.561739025651917</v>
      </c>
      <c r="AR452" s="18">
        <v>78.405683707368553</v>
      </c>
      <c r="AS452" s="18">
        <v>69.389604658818953</v>
      </c>
      <c r="AT452" s="18">
        <v>52.559955505215029</v>
      </c>
      <c r="AU452" s="18">
        <v>76.224451979442918</v>
      </c>
      <c r="AV452" s="18">
        <v>62.465853829432248</v>
      </c>
      <c r="AW452" s="18">
        <v>62.189105462740812</v>
      </c>
      <c r="AX452" s="18">
        <v>42.232182133857236</v>
      </c>
      <c r="AY452" s="18">
        <v>62.600769397984244</v>
      </c>
      <c r="AZ452" s="18">
        <v>54.517222851858904</v>
      </c>
      <c r="BA452" s="18">
        <v>55.664151066388399</v>
      </c>
      <c r="BB452" s="18">
        <v>54.368355512117077</v>
      </c>
      <c r="BC452" s="23">
        <v>8.9181565948742242E-2</v>
      </c>
      <c r="BD452" s="23">
        <v>0.10665277883445198</v>
      </c>
      <c r="BE452" s="23">
        <v>9.438849084854764E-2</v>
      </c>
      <c r="BF452" s="23">
        <v>7.149564986855049E-2</v>
      </c>
      <c r="BG452" s="23">
        <v>0.10368571810536763</v>
      </c>
      <c r="BH452" s="23">
        <v>8.4970330952544637E-2</v>
      </c>
      <c r="BI452" s="23">
        <v>8.4593878877262704E-2</v>
      </c>
      <c r="BJ452" s="23">
        <v>5.7447105462779965E-2</v>
      </c>
      <c r="BK452" s="23">
        <v>8.5153852345557474E-2</v>
      </c>
      <c r="BL452" s="23">
        <v>7.4158058913035174E-2</v>
      </c>
      <c r="BM452" s="23">
        <v>7.5718189192107169E-2</v>
      </c>
      <c r="BN452" s="23">
        <v>7.3955559365675619E-2</v>
      </c>
    </row>
    <row r="453" spans="1:66" x14ac:dyDescent="0.25">
      <c r="A453" s="16">
        <v>6444</v>
      </c>
      <c r="B453" s="16" t="s">
        <v>648</v>
      </c>
      <c r="C453" s="17">
        <v>0</v>
      </c>
      <c r="D453" s="17">
        <f t="shared" si="268"/>
        <v>0</v>
      </c>
      <c r="E453" s="17">
        <f t="shared" si="269"/>
        <v>0</v>
      </c>
      <c r="F453" s="17">
        <f t="shared" si="270"/>
        <v>0</v>
      </c>
      <c r="G453" s="17">
        <f t="shared" si="271"/>
        <v>0</v>
      </c>
      <c r="H453" s="17">
        <f t="shared" si="272"/>
        <v>0</v>
      </c>
      <c r="I453" s="17">
        <f t="shared" si="273"/>
        <v>0</v>
      </c>
      <c r="J453" s="17">
        <f t="shared" si="274"/>
        <v>0</v>
      </c>
      <c r="K453" s="17">
        <f t="shared" si="275"/>
        <v>0</v>
      </c>
      <c r="L453" s="17">
        <f t="shared" si="276"/>
        <v>0</v>
      </c>
      <c r="M453" s="17">
        <f t="shared" si="277"/>
        <v>0</v>
      </c>
      <c r="N453" s="17">
        <f t="shared" si="278"/>
        <v>0</v>
      </c>
      <c r="O453" s="17">
        <f t="shared" si="279"/>
        <v>0</v>
      </c>
      <c r="P453" s="17">
        <v>0</v>
      </c>
      <c r="Q453" s="17">
        <f t="shared" si="280"/>
        <v>0</v>
      </c>
      <c r="R453" s="17">
        <f t="shared" si="281"/>
        <v>0</v>
      </c>
      <c r="S453" s="17">
        <f t="shared" si="282"/>
        <v>0</v>
      </c>
      <c r="T453" s="17">
        <f t="shared" si="283"/>
        <v>0</v>
      </c>
      <c r="U453" s="17">
        <f t="shared" si="284"/>
        <v>0</v>
      </c>
      <c r="V453" s="17">
        <f t="shared" si="285"/>
        <v>0</v>
      </c>
      <c r="W453" s="17">
        <f t="shared" si="286"/>
        <v>0</v>
      </c>
      <c r="X453" s="17">
        <f t="shared" si="287"/>
        <v>0</v>
      </c>
      <c r="Y453" s="17">
        <f t="shared" si="288"/>
        <v>0</v>
      </c>
      <c r="Z453" s="17">
        <f t="shared" si="289"/>
        <v>0</v>
      </c>
      <c r="AA453" s="17">
        <f t="shared" si="290"/>
        <v>0</v>
      </c>
      <c r="AB453" s="17">
        <f t="shared" si="291"/>
        <v>0</v>
      </c>
      <c r="AC453" s="17">
        <v>0</v>
      </c>
      <c r="AD453" s="17">
        <f t="shared" si="292"/>
        <v>0</v>
      </c>
      <c r="AE453" s="17">
        <f t="shared" si="293"/>
        <v>0</v>
      </c>
      <c r="AF453" s="17">
        <f t="shared" si="294"/>
        <v>0</v>
      </c>
      <c r="AG453" s="17">
        <f t="shared" si="295"/>
        <v>0</v>
      </c>
      <c r="AH453" s="17">
        <f t="shared" si="296"/>
        <v>0</v>
      </c>
      <c r="AI453" s="17">
        <f t="shared" si="297"/>
        <v>0</v>
      </c>
      <c r="AJ453" s="17">
        <f t="shared" si="298"/>
        <v>0</v>
      </c>
      <c r="AK453" s="17">
        <f t="shared" si="299"/>
        <v>0</v>
      </c>
      <c r="AL453" s="17">
        <f t="shared" si="300"/>
        <v>0</v>
      </c>
      <c r="AM453" s="17">
        <f t="shared" si="301"/>
        <v>0</v>
      </c>
      <c r="AN453" s="17">
        <f t="shared" si="302"/>
        <v>0</v>
      </c>
      <c r="AO453" s="17">
        <f t="shared" si="303"/>
        <v>0</v>
      </c>
      <c r="AP453" s="17">
        <f t="shared" si="304"/>
        <v>0</v>
      </c>
      <c r="AQ453" s="18">
        <v>36.50058803776502</v>
      </c>
      <c r="AR453" s="18">
        <v>43.651275932479848</v>
      </c>
      <c r="AS453" s="18">
        <v>38.631699088456969</v>
      </c>
      <c r="AT453" s="18">
        <v>29.262025560799817</v>
      </c>
      <c r="AU453" s="18">
        <v>42.436905449037283</v>
      </c>
      <c r="AV453" s="18">
        <v>34.77699693358128</v>
      </c>
      <c r="AW453" s="18">
        <v>34.622921122401586</v>
      </c>
      <c r="AX453" s="18">
        <v>23.512181112228436</v>
      </c>
      <c r="AY453" s="18">
        <v>34.852109303399146</v>
      </c>
      <c r="AZ453" s="18">
        <v>30.351706984162689</v>
      </c>
      <c r="BA453" s="18">
        <v>30.990243345302389</v>
      </c>
      <c r="BB453" s="18">
        <v>30.268827159421178</v>
      </c>
      <c r="BC453" s="23">
        <v>8.9181565948742242E-2</v>
      </c>
      <c r="BD453" s="23">
        <v>0.10665277883445198</v>
      </c>
      <c r="BE453" s="23">
        <v>9.438849084854764E-2</v>
      </c>
      <c r="BF453" s="23">
        <v>7.149564986855049E-2</v>
      </c>
      <c r="BG453" s="23">
        <v>0.10368571810536763</v>
      </c>
      <c r="BH453" s="23">
        <v>8.4970330952544637E-2</v>
      </c>
      <c r="BI453" s="23">
        <v>8.4593878877262704E-2</v>
      </c>
      <c r="BJ453" s="23">
        <v>5.7447105462779965E-2</v>
      </c>
      <c r="BK453" s="23">
        <v>8.5153852345557474E-2</v>
      </c>
      <c r="BL453" s="23">
        <v>7.4158058913035174E-2</v>
      </c>
      <c r="BM453" s="23">
        <v>7.5718189192107169E-2</v>
      </c>
      <c r="BN453" s="23">
        <v>7.3955559365675619E-2</v>
      </c>
    </row>
    <row r="454" spans="1:66" x14ac:dyDescent="0.25">
      <c r="A454" s="16">
        <v>5228</v>
      </c>
      <c r="B454" s="16" t="s">
        <v>649</v>
      </c>
      <c r="C454" s="17">
        <v>0</v>
      </c>
      <c r="D454" s="17">
        <f t="shared" si="268"/>
        <v>0</v>
      </c>
      <c r="E454" s="17">
        <f t="shared" si="269"/>
        <v>0</v>
      </c>
      <c r="F454" s="17">
        <f t="shared" si="270"/>
        <v>0</v>
      </c>
      <c r="G454" s="17">
        <f t="shared" si="271"/>
        <v>0</v>
      </c>
      <c r="H454" s="17">
        <f t="shared" si="272"/>
        <v>0</v>
      </c>
      <c r="I454" s="17">
        <f t="shared" si="273"/>
        <v>0</v>
      </c>
      <c r="J454" s="17">
        <f t="shared" si="274"/>
        <v>0</v>
      </c>
      <c r="K454" s="17">
        <f t="shared" si="275"/>
        <v>0</v>
      </c>
      <c r="L454" s="17">
        <f t="shared" si="276"/>
        <v>0</v>
      </c>
      <c r="M454" s="17">
        <f t="shared" si="277"/>
        <v>0</v>
      </c>
      <c r="N454" s="17">
        <f t="shared" si="278"/>
        <v>0</v>
      </c>
      <c r="O454" s="17">
        <f t="shared" si="279"/>
        <v>0</v>
      </c>
      <c r="P454" s="17">
        <v>0</v>
      </c>
      <c r="Q454" s="17">
        <f t="shared" si="280"/>
        <v>0</v>
      </c>
      <c r="R454" s="17">
        <f t="shared" si="281"/>
        <v>0</v>
      </c>
      <c r="S454" s="17">
        <f t="shared" si="282"/>
        <v>0</v>
      </c>
      <c r="T454" s="17">
        <f t="shared" si="283"/>
        <v>0</v>
      </c>
      <c r="U454" s="17">
        <f t="shared" si="284"/>
        <v>0</v>
      </c>
      <c r="V454" s="17">
        <f t="shared" si="285"/>
        <v>0</v>
      </c>
      <c r="W454" s="17">
        <f t="shared" si="286"/>
        <v>0</v>
      </c>
      <c r="X454" s="17">
        <f t="shared" si="287"/>
        <v>0</v>
      </c>
      <c r="Y454" s="17">
        <f t="shared" si="288"/>
        <v>0</v>
      </c>
      <c r="Z454" s="17">
        <f t="shared" si="289"/>
        <v>0</v>
      </c>
      <c r="AA454" s="17">
        <f t="shared" si="290"/>
        <v>0</v>
      </c>
      <c r="AB454" s="17">
        <f t="shared" si="291"/>
        <v>0</v>
      </c>
      <c r="AC454" s="17">
        <v>0</v>
      </c>
      <c r="AD454" s="17">
        <f t="shared" si="292"/>
        <v>0</v>
      </c>
      <c r="AE454" s="17">
        <f t="shared" si="293"/>
        <v>0</v>
      </c>
      <c r="AF454" s="17">
        <f t="shared" si="294"/>
        <v>0</v>
      </c>
      <c r="AG454" s="17">
        <f t="shared" si="295"/>
        <v>0</v>
      </c>
      <c r="AH454" s="17">
        <f t="shared" si="296"/>
        <v>0</v>
      </c>
      <c r="AI454" s="17">
        <f t="shared" si="297"/>
        <v>0</v>
      </c>
      <c r="AJ454" s="17">
        <f t="shared" si="298"/>
        <v>0</v>
      </c>
      <c r="AK454" s="17">
        <f t="shared" si="299"/>
        <v>0</v>
      </c>
      <c r="AL454" s="17">
        <f t="shared" si="300"/>
        <v>0</v>
      </c>
      <c r="AM454" s="17">
        <f t="shared" si="301"/>
        <v>0</v>
      </c>
      <c r="AN454" s="17">
        <f t="shared" si="302"/>
        <v>0</v>
      </c>
      <c r="AO454" s="17">
        <f t="shared" si="303"/>
        <v>0</v>
      </c>
      <c r="AP454" s="17">
        <f t="shared" si="304"/>
        <v>0</v>
      </c>
      <c r="AQ454" s="18">
        <v>57.158605974131667</v>
      </c>
      <c r="AR454" s="18">
        <v>68.356325621692307</v>
      </c>
      <c r="AS454" s="18">
        <v>60.495849108614543</v>
      </c>
      <c r="AT454" s="18">
        <v>45.823277896350852</v>
      </c>
      <c r="AU454" s="18">
        <v>66.454665190964633</v>
      </c>
      <c r="AV454" s="18">
        <v>54.459524395428716</v>
      </c>
      <c r="AW454" s="18">
        <v>54.218247225530718</v>
      </c>
      <c r="AX454" s="18">
        <v>36.819228621626785</v>
      </c>
      <c r="AY454" s="18">
        <v>54.577147660724073</v>
      </c>
      <c r="AZ454" s="18">
        <v>47.529679750778158</v>
      </c>
      <c r="BA454" s="18">
        <v>48.529604689762095</v>
      </c>
      <c r="BB454" s="18">
        <v>47.399892930886281</v>
      </c>
      <c r="BC454" s="23">
        <v>8.9181565948742242E-2</v>
      </c>
      <c r="BD454" s="23">
        <v>0.10665277883445198</v>
      </c>
      <c r="BE454" s="23">
        <v>9.438849084854764E-2</v>
      </c>
      <c r="BF454" s="23">
        <v>7.149564986855049E-2</v>
      </c>
      <c r="BG454" s="23">
        <v>0.10368571810536763</v>
      </c>
      <c r="BH454" s="23">
        <v>8.4970330952544637E-2</v>
      </c>
      <c r="BI454" s="23">
        <v>8.4593878877262704E-2</v>
      </c>
      <c r="BJ454" s="23">
        <v>5.7447105462779965E-2</v>
      </c>
      <c r="BK454" s="23">
        <v>8.5153852345557474E-2</v>
      </c>
      <c r="BL454" s="23">
        <v>7.4158058913035174E-2</v>
      </c>
      <c r="BM454" s="23">
        <v>7.5718189192107169E-2</v>
      </c>
      <c r="BN454" s="23">
        <v>7.3955559365675619E-2</v>
      </c>
    </row>
    <row r="455" spans="1:66" x14ac:dyDescent="0.25">
      <c r="A455" s="16">
        <v>35316</v>
      </c>
      <c r="B455" s="16" t="s">
        <v>650</v>
      </c>
      <c r="C455" s="17">
        <v>0</v>
      </c>
      <c r="D455" s="17">
        <f t="shared" si="268"/>
        <v>0</v>
      </c>
      <c r="E455" s="17">
        <f t="shared" si="269"/>
        <v>0</v>
      </c>
      <c r="F455" s="17">
        <f t="shared" si="270"/>
        <v>0</v>
      </c>
      <c r="G455" s="17">
        <f t="shared" si="271"/>
        <v>0</v>
      </c>
      <c r="H455" s="17">
        <f t="shared" si="272"/>
        <v>0</v>
      </c>
      <c r="I455" s="17">
        <f t="shared" si="273"/>
        <v>0</v>
      </c>
      <c r="J455" s="17">
        <f t="shared" si="274"/>
        <v>0</v>
      </c>
      <c r="K455" s="17">
        <f t="shared" si="275"/>
        <v>0</v>
      </c>
      <c r="L455" s="17">
        <f t="shared" si="276"/>
        <v>0</v>
      </c>
      <c r="M455" s="17">
        <f t="shared" si="277"/>
        <v>0</v>
      </c>
      <c r="N455" s="17">
        <f t="shared" si="278"/>
        <v>0</v>
      </c>
      <c r="O455" s="17">
        <f t="shared" si="279"/>
        <v>0</v>
      </c>
      <c r="P455" s="17">
        <v>0</v>
      </c>
      <c r="Q455" s="17">
        <f t="shared" si="280"/>
        <v>0</v>
      </c>
      <c r="R455" s="17">
        <f t="shared" si="281"/>
        <v>0</v>
      </c>
      <c r="S455" s="17">
        <f t="shared" si="282"/>
        <v>0</v>
      </c>
      <c r="T455" s="17">
        <f t="shared" si="283"/>
        <v>0</v>
      </c>
      <c r="U455" s="17">
        <f t="shared" si="284"/>
        <v>0</v>
      </c>
      <c r="V455" s="17">
        <f t="shared" si="285"/>
        <v>0</v>
      </c>
      <c r="W455" s="17">
        <f t="shared" si="286"/>
        <v>0</v>
      </c>
      <c r="X455" s="17">
        <f t="shared" si="287"/>
        <v>0</v>
      </c>
      <c r="Y455" s="17">
        <f t="shared" si="288"/>
        <v>0</v>
      </c>
      <c r="Z455" s="17">
        <f t="shared" si="289"/>
        <v>0</v>
      </c>
      <c r="AA455" s="17">
        <f t="shared" si="290"/>
        <v>0</v>
      </c>
      <c r="AB455" s="17">
        <f t="shared" si="291"/>
        <v>0</v>
      </c>
      <c r="AC455" s="17">
        <v>0</v>
      </c>
      <c r="AD455" s="17">
        <f t="shared" si="292"/>
        <v>0</v>
      </c>
      <c r="AE455" s="17">
        <f t="shared" si="293"/>
        <v>0</v>
      </c>
      <c r="AF455" s="17">
        <f t="shared" si="294"/>
        <v>0</v>
      </c>
      <c r="AG455" s="17">
        <f t="shared" si="295"/>
        <v>0</v>
      </c>
      <c r="AH455" s="17">
        <f t="shared" si="296"/>
        <v>0</v>
      </c>
      <c r="AI455" s="17">
        <f t="shared" si="297"/>
        <v>0</v>
      </c>
      <c r="AJ455" s="17">
        <f t="shared" si="298"/>
        <v>0</v>
      </c>
      <c r="AK455" s="17">
        <f t="shared" si="299"/>
        <v>0</v>
      </c>
      <c r="AL455" s="17">
        <f t="shared" si="300"/>
        <v>0</v>
      </c>
      <c r="AM455" s="17">
        <f t="shared" si="301"/>
        <v>0</v>
      </c>
      <c r="AN455" s="17">
        <f t="shared" si="302"/>
        <v>0</v>
      </c>
      <c r="AO455" s="17">
        <f t="shared" si="303"/>
        <v>0</v>
      </c>
      <c r="AP455" s="17">
        <f t="shared" si="304"/>
        <v>0</v>
      </c>
      <c r="AQ455" s="18">
        <v>34.136741450727662</v>
      </c>
      <c r="AR455" s="18">
        <v>40.824337376693869</v>
      </c>
      <c r="AS455" s="18">
        <v>36.129837750025374</v>
      </c>
      <c r="AT455" s="18">
        <v>27.366961865384024</v>
      </c>
      <c r="AU455" s="18">
        <v>39.688611804936414</v>
      </c>
      <c r="AV455" s="18">
        <v>32.524773341353139</v>
      </c>
      <c r="AW455" s="18">
        <v>32.38067576888087</v>
      </c>
      <c r="AX455" s="18">
        <v>21.989488134831994</v>
      </c>
      <c r="AY455" s="18">
        <v>32.595021293127807</v>
      </c>
      <c r="AZ455" s="18">
        <v>28.386073474613784</v>
      </c>
      <c r="BA455" s="18">
        <v>28.983257022576403</v>
      </c>
      <c r="BB455" s="18">
        <v>28.308561102874588</v>
      </c>
      <c r="BC455" s="23">
        <v>8.9181565948742242E-2</v>
      </c>
      <c r="BD455" s="23">
        <v>0.10665277883445198</v>
      </c>
      <c r="BE455" s="23">
        <v>9.438849084854764E-2</v>
      </c>
      <c r="BF455" s="23">
        <v>7.149564986855049E-2</v>
      </c>
      <c r="BG455" s="23">
        <v>0.10368571810536763</v>
      </c>
      <c r="BH455" s="23">
        <v>8.4970330952544637E-2</v>
      </c>
      <c r="BI455" s="23">
        <v>8.4593878877262704E-2</v>
      </c>
      <c r="BJ455" s="23">
        <v>5.7447105462779965E-2</v>
      </c>
      <c r="BK455" s="23">
        <v>8.5153852345557474E-2</v>
      </c>
      <c r="BL455" s="23">
        <v>7.4158058913035174E-2</v>
      </c>
      <c r="BM455" s="23">
        <v>7.5718189192107169E-2</v>
      </c>
      <c r="BN455" s="23">
        <v>7.3955559365675619E-2</v>
      </c>
    </row>
    <row r="456" spans="1:66" x14ac:dyDescent="0.25">
      <c r="A456" s="16">
        <v>5185</v>
      </c>
      <c r="B456" s="16" t="s">
        <v>651</v>
      </c>
      <c r="C456" s="17">
        <v>0</v>
      </c>
      <c r="D456" s="17">
        <f t="shared" si="268"/>
        <v>0</v>
      </c>
      <c r="E456" s="17">
        <f t="shared" si="269"/>
        <v>0</v>
      </c>
      <c r="F456" s="17">
        <f t="shared" si="270"/>
        <v>0</v>
      </c>
      <c r="G456" s="17">
        <f t="shared" si="271"/>
        <v>0</v>
      </c>
      <c r="H456" s="17">
        <f t="shared" si="272"/>
        <v>0</v>
      </c>
      <c r="I456" s="17">
        <f t="shared" si="273"/>
        <v>0</v>
      </c>
      <c r="J456" s="17">
        <f t="shared" si="274"/>
        <v>0</v>
      </c>
      <c r="K456" s="17">
        <f t="shared" si="275"/>
        <v>0</v>
      </c>
      <c r="L456" s="17">
        <f t="shared" si="276"/>
        <v>0</v>
      </c>
      <c r="M456" s="17">
        <f t="shared" si="277"/>
        <v>0</v>
      </c>
      <c r="N456" s="17">
        <f t="shared" si="278"/>
        <v>0</v>
      </c>
      <c r="O456" s="17">
        <f t="shared" si="279"/>
        <v>0</v>
      </c>
      <c r="P456" s="17">
        <v>0</v>
      </c>
      <c r="Q456" s="17">
        <f t="shared" si="280"/>
        <v>0</v>
      </c>
      <c r="R456" s="17">
        <f t="shared" si="281"/>
        <v>0</v>
      </c>
      <c r="S456" s="17">
        <f t="shared" si="282"/>
        <v>0</v>
      </c>
      <c r="T456" s="17">
        <f t="shared" si="283"/>
        <v>0</v>
      </c>
      <c r="U456" s="17">
        <f t="shared" si="284"/>
        <v>0</v>
      </c>
      <c r="V456" s="17">
        <f t="shared" si="285"/>
        <v>0</v>
      </c>
      <c r="W456" s="17">
        <f t="shared" si="286"/>
        <v>0</v>
      </c>
      <c r="X456" s="17">
        <f t="shared" si="287"/>
        <v>0</v>
      </c>
      <c r="Y456" s="17">
        <f t="shared" si="288"/>
        <v>0</v>
      </c>
      <c r="Z456" s="17">
        <f t="shared" si="289"/>
        <v>0</v>
      </c>
      <c r="AA456" s="17">
        <f t="shared" si="290"/>
        <v>0</v>
      </c>
      <c r="AB456" s="17">
        <f t="shared" si="291"/>
        <v>0</v>
      </c>
      <c r="AC456" s="17">
        <v>0</v>
      </c>
      <c r="AD456" s="17">
        <f t="shared" si="292"/>
        <v>0</v>
      </c>
      <c r="AE456" s="17">
        <f t="shared" si="293"/>
        <v>0</v>
      </c>
      <c r="AF456" s="17">
        <f t="shared" si="294"/>
        <v>0</v>
      </c>
      <c r="AG456" s="17">
        <f t="shared" si="295"/>
        <v>0</v>
      </c>
      <c r="AH456" s="17">
        <f t="shared" si="296"/>
        <v>0</v>
      </c>
      <c r="AI456" s="17">
        <f t="shared" si="297"/>
        <v>0</v>
      </c>
      <c r="AJ456" s="17">
        <f t="shared" si="298"/>
        <v>0</v>
      </c>
      <c r="AK456" s="17">
        <f t="shared" si="299"/>
        <v>0</v>
      </c>
      <c r="AL456" s="17">
        <f t="shared" si="300"/>
        <v>0</v>
      </c>
      <c r="AM456" s="17">
        <f t="shared" si="301"/>
        <v>0</v>
      </c>
      <c r="AN456" s="17">
        <f t="shared" si="302"/>
        <v>0</v>
      </c>
      <c r="AO456" s="17">
        <f t="shared" si="303"/>
        <v>0</v>
      </c>
      <c r="AP456" s="17">
        <f t="shared" si="304"/>
        <v>0</v>
      </c>
      <c r="AQ456" s="18">
        <v>32.015557904636822</v>
      </c>
      <c r="AR456" s="18">
        <v>38.28760103211642</v>
      </c>
      <c r="AS456" s="18">
        <v>33.884807495192661</v>
      </c>
      <c r="AT456" s="18">
        <v>25.666437833260545</v>
      </c>
      <c r="AU456" s="18">
        <v>37.222446999800241</v>
      </c>
      <c r="AV456" s="18">
        <v>30.503754019646856</v>
      </c>
      <c r="AW456" s="18">
        <v>30.368610359785169</v>
      </c>
      <c r="AX456" s="18">
        <v>20.623108731399768</v>
      </c>
      <c r="AY456" s="18">
        <v>30.569636915088715</v>
      </c>
      <c r="AZ456" s="18">
        <v>26.622224043367236</v>
      </c>
      <c r="BA456" s="18">
        <v>27.182299892642128</v>
      </c>
      <c r="BB456" s="18">
        <v>26.549528123361988</v>
      </c>
      <c r="BC456" s="23">
        <v>8.9181565948742242E-2</v>
      </c>
      <c r="BD456" s="23">
        <v>0.10665277883445198</v>
      </c>
      <c r="BE456" s="23">
        <v>9.438849084854764E-2</v>
      </c>
      <c r="BF456" s="23">
        <v>7.149564986855049E-2</v>
      </c>
      <c r="BG456" s="23">
        <v>0.10368571810536763</v>
      </c>
      <c r="BH456" s="23">
        <v>8.4970330952544637E-2</v>
      </c>
      <c r="BI456" s="23">
        <v>8.4593878877262704E-2</v>
      </c>
      <c r="BJ456" s="23">
        <v>5.7447105462779965E-2</v>
      </c>
      <c r="BK456" s="23">
        <v>8.5153852345557474E-2</v>
      </c>
      <c r="BL456" s="23">
        <v>7.4158058913035174E-2</v>
      </c>
      <c r="BM456" s="23">
        <v>7.5718189192107169E-2</v>
      </c>
      <c r="BN456" s="23">
        <v>7.3955559365675619E-2</v>
      </c>
    </row>
    <row r="457" spans="1:66" x14ac:dyDescent="0.25">
      <c r="A457" s="16">
        <v>1263</v>
      </c>
      <c r="B457" s="16" t="s">
        <v>652</v>
      </c>
      <c r="C457" s="17">
        <v>500</v>
      </c>
      <c r="D457" s="17">
        <f t="shared" si="268"/>
        <v>44.590782974371123</v>
      </c>
      <c r="E457" s="17">
        <f t="shared" si="269"/>
        <v>53.32638941722599</v>
      </c>
      <c r="F457" s="17">
        <f t="shared" si="270"/>
        <v>47.194245424273824</v>
      </c>
      <c r="G457" s="17">
        <f t="shared" si="271"/>
        <v>35.747824934275243</v>
      </c>
      <c r="H457" s="17">
        <f t="shared" si="272"/>
        <v>51.842859052683814</v>
      </c>
      <c r="I457" s="17">
        <f t="shared" si="273"/>
        <v>42.485165476272321</v>
      </c>
      <c r="J457" s="17">
        <f t="shared" si="274"/>
        <v>42.296939438631355</v>
      </c>
      <c r="K457" s="17">
        <f t="shared" si="275"/>
        <v>28.723552731389983</v>
      </c>
      <c r="L457" s="17">
        <f t="shared" si="276"/>
        <v>42.576926172778734</v>
      </c>
      <c r="M457" s="17">
        <f t="shared" si="277"/>
        <v>37.079029456517588</v>
      </c>
      <c r="N457" s="17">
        <f t="shared" si="278"/>
        <v>37.859094596053588</v>
      </c>
      <c r="O457" s="17">
        <f t="shared" si="279"/>
        <v>36.977779682837813</v>
      </c>
      <c r="P457" s="17">
        <v>0</v>
      </c>
      <c r="Q457" s="17">
        <f t="shared" si="280"/>
        <v>0</v>
      </c>
      <c r="R457" s="17">
        <f t="shared" si="281"/>
        <v>0</v>
      </c>
      <c r="S457" s="17">
        <f t="shared" si="282"/>
        <v>0</v>
      </c>
      <c r="T457" s="17">
        <f t="shared" si="283"/>
        <v>0</v>
      </c>
      <c r="U457" s="17">
        <f t="shared" si="284"/>
        <v>0</v>
      </c>
      <c r="V457" s="17">
        <f t="shared" si="285"/>
        <v>0</v>
      </c>
      <c r="W457" s="17">
        <f t="shared" si="286"/>
        <v>0</v>
      </c>
      <c r="X457" s="17">
        <f t="shared" si="287"/>
        <v>0</v>
      </c>
      <c r="Y457" s="17">
        <f t="shared" si="288"/>
        <v>0</v>
      </c>
      <c r="Z457" s="17">
        <f t="shared" si="289"/>
        <v>0</v>
      </c>
      <c r="AA457" s="17">
        <f t="shared" si="290"/>
        <v>0</v>
      </c>
      <c r="AB457" s="17">
        <f t="shared" si="291"/>
        <v>0</v>
      </c>
      <c r="AC457" s="17">
        <v>0</v>
      </c>
      <c r="AD457" s="17">
        <f t="shared" si="292"/>
        <v>0</v>
      </c>
      <c r="AE457" s="17">
        <f t="shared" si="293"/>
        <v>0</v>
      </c>
      <c r="AF457" s="17">
        <f t="shared" si="294"/>
        <v>0</v>
      </c>
      <c r="AG457" s="17">
        <f t="shared" si="295"/>
        <v>0</v>
      </c>
      <c r="AH457" s="17">
        <f t="shared" si="296"/>
        <v>0</v>
      </c>
      <c r="AI457" s="17">
        <f t="shared" si="297"/>
        <v>0</v>
      </c>
      <c r="AJ457" s="17">
        <f t="shared" si="298"/>
        <v>0</v>
      </c>
      <c r="AK457" s="17">
        <f t="shared" si="299"/>
        <v>0</v>
      </c>
      <c r="AL457" s="17">
        <f t="shared" si="300"/>
        <v>0</v>
      </c>
      <c r="AM457" s="17">
        <f t="shared" si="301"/>
        <v>0</v>
      </c>
      <c r="AN457" s="17">
        <f t="shared" si="302"/>
        <v>0</v>
      </c>
      <c r="AO457" s="17">
        <f t="shared" si="303"/>
        <v>0</v>
      </c>
      <c r="AP457" s="17">
        <f t="shared" si="304"/>
        <v>500</v>
      </c>
      <c r="AQ457" s="18">
        <v>31.44096107522908</v>
      </c>
      <c r="AR457" s="18">
        <v>37.600437178086047</v>
      </c>
      <c r="AS457" s="18">
        <v>33.276662448655472</v>
      </c>
      <c r="AT457" s="18">
        <v>25.205791361157477</v>
      </c>
      <c r="AU457" s="18">
        <v>36.554399918047359</v>
      </c>
      <c r="AV457" s="18">
        <v>29.956290177319612</v>
      </c>
      <c r="AW457" s="18">
        <v>29.823571998178966</v>
      </c>
      <c r="AX457" s="18">
        <v>20.252977030903079</v>
      </c>
      <c r="AY457" s="18">
        <v>30.020990644426288</v>
      </c>
      <c r="AZ457" s="18">
        <v>26.144423669790552</v>
      </c>
      <c r="BA457" s="18">
        <v>26.694447599677382</v>
      </c>
      <c r="BB457" s="18">
        <v>26.073032454368942</v>
      </c>
      <c r="BC457" s="23">
        <v>8.9181565948742242E-2</v>
      </c>
      <c r="BD457" s="23">
        <v>0.10665277883445198</v>
      </c>
      <c r="BE457" s="23">
        <v>9.438849084854764E-2</v>
      </c>
      <c r="BF457" s="23">
        <v>7.149564986855049E-2</v>
      </c>
      <c r="BG457" s="23">
        <v>0.10368571810536763</v>
      </c>
      <c r="BH457" s="23">
        <v>8.4970330952544637E-2</v>
      </c>
      <c r="BI457" s="23">
        <v>8.4593878877262704E-2</v>
      </c>
      <c r="BJ457" s="23">
        <v>5.7447105462779965E-2</v>
      </c>
      <c r="BK457" s="23">
        <v>8.5153852345557474E-2</v>
      </c>
      <c r="BL457" s="23">
        <v>7.4158058913035174E-2</v>
      </c>
      <c r="BM457" s="23">
        <v>7.5718189192107169E-2</v>
      </c>
      <c r="BN457" s="23">
        <v>7.3955559365675619E-2</v>
      </c>
    </row>
    <row r="458" spans="1:66" x14ac:dyDescent="0.25">
      <c r="A458" s="16">
        <v>27052</v>
      </c>
      <c r="B458" s="16" t="s">
        <v>653</v>
      </c>
      <c r="C458" s="17">
        <v>324.58800000000002</v>
      </c>
      <c r="D458" s="17">
        <f t="shared" si="268"/>
        <v>28.947266128170348</v>
      </c>
      <c r="E458" s="17">
        <f t="shared" si="269"/>
        <v>34.618212176317101</v>
      </c>
      <c r="F458" s="17">
        <f t="shared" si="270"/>
        <v>30.637371467548384</v>
      </c>
      <c r="G458" s="17">
        <f t="shared" si="271"/>
        <v>23.206629999533067</v>
      </c>
      <c r="H458" s="17">
        <f t="shared" si="272"/>
        <v>33.655139868385071</v>
      </c>
      <c r="I458" s="17">
        <f t="shared" si="273"/>
        <v>27.580349783224559</v>
      </c>
      <c r="J458" s="17">
        <f t="shared" si="274"/>
        <v>27.458157957012947</v>
      </c>
      <c r="K458" s="17">
        <f t="shared" si="275"/>
        <v>18.646641067952824</v>
      </c>
      <c r="L458" s="17">
        <f t="shared" si="276"/>
        <v>27.63991862513981</v>
      </c>
      <c r="M458" s="17">
        <f t="shared" si="277"/>
        <v>24.070816026464264</v>
      </c>
      <c r="N458" s="17">
        <f t="shared" si="278"/>
        <v>24.577215593487683</v>
      </c>
      <c r="O458" s="17">
        <f t="shared" si="279"/>
        <v>24.005087103385918</v>
      </c>
      <c r="P458" s="17">
        <v>0</v>
      </c>
      <c r="Q458" s="17">
        <f t="shared" si="280"/>
        <v>0</v>
      </c>
      <c r="R458" s="17">
        <f t="shared" si="281"/>
        <v>0</v>
      </c>
      <c r="S458" s="17">
        <f t="shared" si="282"/>
        <v>0</v>
      </c>
      <c r="T458" s="17">
        <f t="shared" si="283"/>
        <v>0</v>
      </c>
      <c r="U458" s="17">
        <f t="shared" si="284"/>
        <v>0</v>
      </c>
      <c r="V458" s="17">
        <f t="shared" si="285"/>
        <v>0</v>
      </c>
      <c r="W458" s="17">
        <f t="shared" si="286"/>
        <v>0</v>
      </c>
      <c r="X458" s="17">
        <f t="shared" si="287"/>
        <v>0</v>
      </c>
      <c r="Y458" s="17">
        <f t="shared" si="288"/>
        <v>0</v>
      </c>
      <c r="Z458" s="17">
        <f t="shared" si="289"/>
        <v>0</v>
      </c>
      <c r="AA458" s="17">
        <f t="shared" si="290"/>
        <v>0</v>
      </c>
      <c r="AB458" s="17">
        <f t="shared" si="291"/>
        <v>0</v>
      </c>
      <c r="AC458" s="17">
        <v>0</v>
      </c>
      <c r="AD458" s="17">
        <f t="shared" si="292"/>
        <v>0</v>
      </c>
      <c r="AE458" s="17">
        <f t="shared" si="293"/>
        <v>0</v>
      </c>
      <c r="AF458" s="17">
        <f t="shared" si="294"/>
        <v>0</v>
      </c>
      <c r="AG458" s="17">
        <f t="shared" si="295"/>
        <v>0</v>
      </c>
      <c r="AH458" s="17">
        <f t="shared" si="296"/>
        <v>0</v>
      </c>
      <c r="AI458" s="17">
        <f t="shared" si="297"/>
        <v>0</v>
      </c>
      <c r="AJ458" s="17">
        <f t="shared" si="298"/>
        <v>0</v>
      </c>
      <c r="AK458" s="17">
        <f t="shared" si="299"/>
        <v>0</v>
      </c>
      <c r="AL458" s="17">
        <f t="shared" si="300"/>
        <v>0</v>
      </c>
      <c r="AM458" s="17">
        <f t="shared" si="301"/>
        <v>0</v>
      </c>
      <c r="AN458" s="17">
        <f t="shared" si="302"/>
        <v>0</v>
      </c>
      <c r="AO458" s="17">
        <f t="shared" si="303"/>
        <v>0</v>
      </c>
      <c r="AP458" s="17">
        <f t="shared" si="304"/>
        <v>324.58800000000002</v>
      </c>
      <c r="AQ458" s="18">
        <v>30.286059796192866</v>
      </c>
      <c r="AR458" s="18">
        <v>36.219283692179893</v>
      </c>
      <c r="AS458" s="18">
        <v>32.054331492166781</v>
      </c>
      <c r="AT458" s="18">
        <v>24.279922695359748</v>
      </c>
      <c r="AU458" s="18">
        <v>35.211669868582845</v>
      </c>
      <c r="AV458" s="18">
        <v>28.855924391484162</v>
      </c>
      <c r="AW458" s="18">
        <v>28.728081266718416</v>
      </c>
      <c r="AX458" s="18">
        <v>19.509037015160079</v>
      </c>
      <c r="AY458" s="18">
        <v>28.918248256551319</v>
      </c>
      <c r="AZ458" s="18">
        <v>25.184076806866745</v>
      </c>
      <c r="BA458" s="18">
        <v>25.713897049639595</v>
      </c>
      <c r="BB458" s="18">
        <v>25.115307960583444</v>
      </c>
      <c r="BC458" s="23">
        <v>8.9181565948742242E-2</v>
      </c>
      <c r="BD458" s="23">
        <v>0.10665277883445198</v>
      </c>
      <c r="BE458" s="23">
        <v>9.438849084854764E-2</v>
      </c>
      <c r="BF458" s="23">
        <v>7.149564986855049E-2</v>
      </c>
      <c r="BG458" s="23">
        <v>0.10368571810536763</v>
      </c>
      <c r="BH458" s="23">
        <v>8.4970330952544637E-2</v>
      </c>
      <c r="BI458" s="23">
        <v>8.4593878877262704E-2</v>
      </c>
      <c r="BJ458" s="23">
        <v>5.7447105462779965E-2</v>
      </c>
      <c r="BK458" s="23">
        <v>8.5153852345557474E-2</v>
      </c>
      <c r="BL458" s="23">
        <v>7.4158058913035174E-2</v>
      </c>
      <c r="BM458" s="23">
        <v>7.5718189192107169E-2</v>
      </c>
      <c r="BN458" s="23">
        <v>7.3955559365675619E-2</v>
      </c>
    </row>
    <row r="459" spans="1:66" x14ac:dyDescent="0.25">
      <c r="A459" s="16">
        <v>1311</v>
      </c>
      <c r="B459" s="16" t="s">
        <v>654</v>
      </c>
      <c r="C459" s="17">
        <v>250</v>
      </c>
      <c r="D459" s="17">
        <f t="shared" si="268"/>
        <v>22.295391487185562</v>
      </c>
      <c r="E459" s="17">
        <f t="shared" si="269"/>
        <v>26.663194708612995</v>
      </c>
      <c r="F459" s="17">
        <f t="shared" si="270"/>
        <v>23.597122712136912</v>
      </c>
      <c r="G459" s="17">
        <f t="shared" si="271"/>
        <v>17.873912467137622</v>
      </c>
      <c r="H459" s="17">
        <f t="shared" si="272"/>
        <v>25.921429526341907</v>
      </c>
      <c r="I459" s="17">
        <f t="shared" si="273"/>
        <v>21.242582738136161</v>
      </c>
      <c r="J459" s="17">
        <f t="shared" si="274"/>
        <v>21.148469719315678</v>
      </c>
      <c r="K459" s="17">
        <f t="shared" si="275"/>
        <v>14.361776365694991</v>
      </c>
      <c r="L459" s="17">
        <f t="shared" si="276"/>
        <v>21.288463086389367</v>
      </c>
      <c r="M459" s="17">
        <f t="shared" si="277"/>
        <v>18.539514728258794</v>
      </c>
      <c r="N459" s="17">
        <f t="shared" si="278"/>
        <v>18.929547298026794</v>
      </c>
      <c r="O459" s="17">
        <f t="shared" si="279"/>
        <v>18.488889841418906</v>
      </c>
      <c r="P459" s="17">
        <v>0</v>
      </c>
      <c r="Q459" s="17">
        <f t="shared" si="280"/>
        <v>0</v>
      </c>
      <c r="R459" s="17">
        <f t="shared" si="281"/>
        <v>0</v>
      </c>
      <c r="S459" s="17">
        <f t="shared" si="282"/>
        <v>0</v>
      </c>
      <c r="T459" s="17">
        <f t="shared" si="283"/>
        <v>0</v>
      </c>
      <c r="U459" s="17">
        <f t="shared" si="284"/>
        <v>0</v>
      </c>
      <c r="V459" s="17">
        <f t="shared" si="285"/>
        <v>0</v>
      </c>
      <c r="W459" s="17">
        <f t="shared" si="286"/>
        <v>0</v>
      </c>
      <c r="X459" s="17">
        <f t="shared" si="287"/>
        <v>0</v>
      </c>
      <c r="Y459" s="17">
        <f t="shared" si="288"/>
        <v>0</v>
      </c>
      <c r="Z459" s="17">
        <f t="shared" si="289"/>
        <v>0</v>
      </c>
      <c r="AA459" s="17">
        <f t="shared" si="290"/>
        <v>0</v>
      </c>
      <c r="AB459" s="17">
        <f t="shared" si="291"/>
        <v>0</v>
      </c>
      <c r="AC459" s="17">
        <v>0</v>
      </c>
      <c r="AD459" s="17">
        <f t="shared" si="292"/>
        <v>0</v>
      </c>
      <c r="AE459" s="17">
        <f t="shared" si="293"/>
        <v>0</v>
      </c>
      <c r="AF459" s="17">
        <f t="shared" si="294"/>
        <v>0</v>
      </c>
      <c r="AG459" s="17">
        <f t="shared" si="295"/>
        <v>0</v>
      </c>
      <c r="AH459" s="17">
        <f t="shared" si="296"/>
        <v>0</v>
      </c>
      <c r="AI459" s="17">
        <f t="shared" si="297"/>
        <v>0</v>
      </c>
      <c r="AJ459" s="17">
        <f t="shared" si="298"/>
        <v>0</v>
      </c>
      <c r="AK459" s="17">
        <f t="shared" si="299"/>
        <v>0</v>
      </c>
      <c r="AL459" s="17">
        <f t="shared" si="300"/>
        <v>0</v>
      </c>
      <c r="AM459" s="17">
        <f t="shared" si="301"/>
        <v>0</v>
      </c>
      <c r="AN459" s="17">
        <f t="shared" si="302"/>
        <v>0</v>
      </c>
      <c r="AO459" s="17">
        <f t="shared" si="303"/>
        <v>0</v>
      </c>
      <c r="AP459" s="17">
        <f t="shared" si="304"/>
        <v>250</v>
      </c>
      <c r="AQ459" s="18">
        <v>44.760941402201325</v>
      </c>
      <c r="AR459" s="18">
        <v>53.529882919242127</v>
      </c>
      <c r="AS459" s="18">
        <v>47.374338664812853</v>
      </c>
      <c r="AT459" s="18">
        <v>35.884238634224438</v>
      </c>
      <c r="AU459" s="18">
        <v>52.040691402828855</v>
      </c>
      <c r="AV459" s="18">
        <v>42.647288867729777</v>
      </c>
      <c r="AW459" s="18">
        <v>42.458344559529174</v>
      </c>
      <c r="AX459" s="18">
        <v>28.833161808612967</v>
      </c>
      <c r="AY459" s="18">
        <v>42.739399723054063</v>
      </c>
      <c r="AZ459" s="18">
        <v>37.220523032923658</v>
      </c>
      <c r="BA459" s="18">
        <v>38.003564901032128</v>
      </c>
      <c r="BB459" s="18">
        <v>37.118886890107518</v>
      </c>
      <c r="BC459" s="23">
        <v>8.9181565948742242E-2</v>
      </c>
      <c r="BD459" s="23">
        <v>0.10665277883445198</v>
      </c>
      <c r="BE459" s="23">
        <v>9.438849084854764E-2</v>
      </c>
      <c r="BF459" s="23">
        <v>7.149564986855049E-2</v>
      </c>
      <c r="BG459" s="23">
        <v>0.10368571810536763</v>
      </c>
      <c r="BH459" s="23">
        <v>8.4970330952544637E-2</v>
      </c>
      <c r="BI459" s="23">
        <v>8.4593878877262704E-2</v>
      </c>
      <c r="BJ459" s="23">
        <v>5.7447105462779965E-2</v>
      </c>
      <c r="BK459" s="23">
        <v>8.5153852345557474E-2</v>
      </c>
      <c r="BL459" s="23">
        <v>7.4158058913035174E-2</v>
      </c>
      <c r="BM459" s="23">
        <v>7.5718189192107169E-2</v>
      </c>
      <c r="BN459" s="23">
        <v>7.3955559365675619E-2</v>
      </c>
    </row>
    <row r="460" spans="1:66" x14ac:dyDescent="0.25">
      <c r="A460" s="16">
        <v>1927</v>
      </c>
      <c r="B460" s="16" t="s">
        <v>655</v>
      </c>
      <c r="C460" s="17">
        <v>0</v>
      </c>
      <c r="D460" s="17">
        <f t="shared" si="268"/>
        <v>0</v>
      </c>
      <c r="E460" s="17">
        <f t="shared" si="269"/>
        <v>0</v>
      </c>
      <c r="F460" s="17">
        <f t="shared" si="270"/>
        <v>0</v>
      </c>
      <c r="G460" s="17">
        <f t="shared" si="271"/>
        <v>0</v>
      </c>
      <c r="H460" s="17">
        <f t="shared" si="272"/>
        <v>0</v>
      </c>
      <c r="I460" s="17">
        <f t="shared" si="273"/>
        <v>0</v>
      </c>
      <c r="J460" s="17">
        <f t="shared" si="274"/>
        <v>0</v>
      </c>
      <c r="K460" s="17">
        <f t="shared" si="275"/>
        <v>0</v>
      </c>
      <c r="L460" s="17">
        <f t="shared" si="276"/>
        <v>0</v>
      </c>
      <c r="M460" s="17">
        <f t="shared" si="277"/>
        <v>0</v>
      </c>
      <c r="N460" s="17">
        <f t="shared" si="278"/>
        <v>0</v>
      </c>
      <c r="O460" s="17">
        <f t="shared" si="279"/>
        <v>0</v>
      </c>
      <c r="P460" s="17">
        <v>0</v>
      </c>
      <c r="Q460" s="17">
        <f t="shared" si="280"/>
        <v>0</v>
      </c>
      <c r="R460" s="17">
        <f t="shared" si="281"/>
        <v>0</v>
      </c>
      <c r="S460" s="17">
        <f t="shared" si="282"/>
        <v>0</v>
      </c>
      <c r="T460" s="17">
        <f t="shared" si="283"/>
        <v>0</v>
      </c>
      <c r="U460" s="17">
        <f t="shared" si="284"/>
        <v>0</v>
      </c>
      <c r="V460" s="17">
        <f t="shared" si="285"/>
        <v>0</v>
      </c>
      <c r="W460" s="17">
        <f t="shared" si="286"/>
        <v>0</v>
      </c>
      <c r="X460" s="17">
        <f t="shared" si="287"/>
        <v>0</v>
      </c>
      <c r="Y460" s="17">
        <f t="shared" si="288"/>
        <v>0</v>
      </c>
      <c r="Z460" s="17">
        <f t="shared" si="289"/>
        <v>0</v>
      </c>
      <c r="AA460" s="17">
        <f t="shared" si="290"/>
        <v>0</v>
      </c>
      <c r="AB460" s="17">
        <f t="shared" si="291"/>
        <v>0</v>
      </c>
      <c r="AC460" s="17">
        <v>0</v>
      </c>
      <c r="AD460" s="17">
        <f t="shared" si="292"/>
        <v>0</v>
      </c>
      <c r="AE460" s="17">
        <f t="shared" si="293"/>
        <v>0</v>
      </c>
      <c r="AF460" s="17">
        <f t="shared" si="294"/>
        <v>0</v>
      </c>
      <c r="AG460" s="17">
        <f t="shared" si="295"/>
        <v>0</v>
      </c>
      <c r="AH460" s="17">
        <f t="shared" si="296"/>
        <v>0</v>
      </c>
      <c r="AI460" s="17">
        <f t="shared" si="297"/>
        <v>0</v>
      </c>
      <c r="AJ460" s="17">
        <f t="shared" si="298"/>
        <v>0</v>
      </c>
      <c r="AK460" s="17">
        <f t="shared" si="299"/>
        <v>0</v>
      </c>
      <c r="AL460" s="17">
        <f t="shared" si="300"/>
        <v>0</v>
      </c>
      <c r="AM460" s="17">
        <f t="shared" si="301"/>
        <v>0</v>
      </c>
      <c r="AN460" s="17">
        <f t="shared" si="302"/>
        <v>0</v>
      </c>
      <c r="AO460" s="17">
        <f t="shared" si="303"/>
        <v>0</v>
      </c>
      <c r="AP460" s="17">
        <f t="shared" si="304"/>
        <v>0</v>
      </c>
      <c r="AQ460" s="18">
        <v>28.57823280827445</v>
      </c>
      <c r="AR460" s="18">
        <v>34.176882977500135</v>
      </c>
      <c r="AS460" s="18">
        <v>30.24679189241709</v>
      </c>
      <c r="AT460" s="18">
        <v>22.910781000377003</v>
      </c>
      <c r="AU460" s="18">
        <v>33.226088366865056</v>
      </c>
      <c r="AV460" s="18">
        <v>27.228742553742929</v>
      </c>
      <c r="AW460" s="18">
        <v>27.108108486218832</v>
      </c>
      <c r="AX460" s="18">
        <v>18.408924945547838</v>
      </c>
      <c r="AY460" s="18">
        <v>27.287551984133891</v>
      </c>
      <c r="AZ460" s="18">
        <v>23.76394997868212</v>
      </c>
      <c r="BA460" s="18">
        <v>24.263893726610743</v>
      </c>
      <c r="BB460" s="18">
        <v>23.699058998730752</v>
      </c>
      <c r="BC460" s="23">
        <v>8.9181565948742242E-2</v>
      </c>
      <c r="BD460" s="23">
        <v>0.10665277883445198</v>
      </c>
      <c r="BE460" s="23">
        <v>9.438849084854764E-2</v>
      </c>
      <c r="BF460" s="23">
        <v>7.149564986855049E-2</v>
      </c>
      <c r="BG460" s="23">
        <v>0.10368571810536763</v>
      </c>
      <c r="BH460" s="23">
        <v>8.4970330952544637E-2</v>
      </c>
      <c r="BI460" s="23">
        <v>8.4593878877262704E-2</v>
      </c>
      <c r="BJ460" s="23">
        <v>5.7447105462779965E-2</v>
      </c>
      <c r="BK460" s="23">
        <v>8.5153852345557474E-2</v>
      </c>
      <c r="BL460" s="23">
        <v>7.4158058913035174E-2</v>
      </c>
      <c r="BM460" s="23">
        <v>7.5718189192107169E-2</v>
      </c>
      <c r="BN460" s="23">
        <v>7.3955559365675619E-2</v>
      </c>
    </row>
    <row r="461" spans="1:66" x14ac:dyDescent="0.25">
      <c r="A461" s="16">
        <v>6511</v>
      </c>
      <c r="B461" s="16" t="s">
        <v>656</v>
      </c>
      <c r="C461" s="17">
        <v>300</v>
      </c>
      <c r="D461" s="17">
        <f t="shared" si="268"/>
        <v>26.754469784622671</v>
      </c>
      <c r="E461" s="17">
        <f t="shared" si="269"/>
        <v>31.995833650335594</v>
      </c>
      <c r="F461" s="17">
        <f t="shared" si="270"/>
        <v>28.316547254564291</v>
      </c>
      <c r="G461" s="17">
        <f t="shared" si="271"/>
        <v>21.448694960565145</v>
      </c>
      <c r="H461" s="17">
        <f t="shared" si="272"/>
        <v>31.105715431610289</v>
      </c>
      <c r="I461" s="17">
        <f t="shared" si="273"/>
        <v>25.49109928576339</v>
      </c>
      <c r="J461" s="17">
        <f t="shared" si="274"/>
        <v>25.37816366317881</v>
      </c>
      <c r="K461" s="17">
        <f t="shared" si="275"/>
        <v>17.23413163883399</v>
      </c>
      <c r="L461" s="17">
        <f t="shared" si="276"/>
        <v>25.546155703667242</v>
      </c>
      <c r="M461" s="17">
        <f t="shared" si="277"/>
        <v>22.247417673910551</v>
      </c>
      <c r="N461" s="17">
        <f t="shared" si="278"/>
        <v>22.71545675763215</v>
      </c>
      <c r="O461" s="17">
        <f t="shared" si="279"/>
        <v>22.186667809702687</v>
      </c>
      <c r="P461" s="17">
        <v>0</v>
      </c>
      <c r="Q461" s="17">
        <f t="shared" si="280"/>
        <v>0</v>
      </c>
      <c r="R461" s="17">
        <f t="shared" si="281"/>
        <v>0</v>
      </c>
      <c r="S461" s="17">
        <f t="shared" si="282"/>
        <v>0</v>
      </c>
      <c r="T461" s="17">
        <f t="shared" si="283"/>
        <v>0</v>
      </c>
      <c r="U461" s="17">
        <f t="shared" si="284"/>
        <v>0</v>
      </c>
      <c r="V461" s="17">
        <f t="shared" si="285"/>
        <v>0</v>
      </c>
      <c r="W461" s="17">
        <f t="shared" si="286"/>
        <v>0</v>
      </c>
      <c r="X461" s="17">
        <f t="shared" si="287"/>
        <v>0</v>
      </c>
      <c r="Y461" s="17">
        <f t="shared" si="288"/>
        <v>0</v>
      </c>
      <c r="Z461" s="17">
        <f t="shared" si="289"/>
        <v>0</v>
      </c>
      <c r="AA461" s="17">
        <f t="shared" si="290"/>
        <v>0</v>
      </c>
      <c r="AB461" s="17">
        <f t="shared" si="291"/>
        <v>0</v>
      </c>
      <c r="AC461" s="17">
        <v>0</v>
      </c>
      <c r="AD461" s="17">
        <f t="shared" si="292"/>
        <v>0</v>
      </c>
      <c r="AE461" s="17">
        <f t="shared" si="293"/>
        <v>0</v>
      </c>
      <c r="AF461" s="17">
        <f t="shared" si="294"/>
        <v>0</v>
      </c>
      <c r="AG461" s="17">
        <f t="shared" si="295"/>
        <v>0</v>
      </c>
      <c r="AH461" s="17">
        <f t="shared" si="296"/>
        <v>0</v>
      </c>
      <c r="AI461" s="17">
        <f t="shared" si="297"/>
        <v>0</v>
      </c>
      <c r="AJ461" s="17">
        <f t="shared" si="298"/>
        <v>0</v>
      </c>
      <c r="AK461" s="17">
        <f t="shared" si="299"/>
        <v>0</v>
      </c>
      <c r="AL461" s="17">
        <f t="shared" si="300"/>
        <v>0</v>
      </c>
      <c r="AM461" s="17">
        <f t="shared" si="301"/>
        <v>0</v>
      </c>
      <c r="AN461" s="17">
        <f t="shared" si="302"/>
        <v>0</v>
      </c>
      <c r="AO461" s="17">
        <f t="shared" si="303"/>
        <v>0</v>
      </c>
      <c r="AP461" s="17">
        <f t="shared" si="304"/>
        <v>300</v>
      </c>
      <c r="AQ461" s="18">
        <v>65.996320796520124</v>
      </c>
      <c r="AR461" s="18">
        <v>78.925402698628815</v>
      </c>
      <c r="AS461" s="18">
        <v>69.849559774723915</v>
      </c>
      <c r="AT461" s="18">
        <v>52.908353807024469</v>
      </c>
      <c r="AU461" s="18">
        <v>76.729712483770356</v>
      </c>
      <c r="AV461" s="18">
        <v>62.879914252163985</v>
      </c>
      <c r="AW461" s="18">
        <v>62.601331434509696</v>
      </c>
      <c r="AX461" s="18">
        <v>42.51212187877735</v>
      </c>
      <c r="AY461" s="18">
        <v>63.015724120464128</v>
      </c>
      <c r="AZ461" s="18">
        <v>54.878595072942112</v>
      </c>
      <c r="BA461" s="18">
        <v>56.033125802321528</v>
      </c>
      <c r="BB461" s="18">
        <v>54.728740952906001</v>
      </c>
      <c r="BC461" s="23">
        <v>8.9181565948742242E-2</v>
      </c>
      <c r="BD461" s="23">
        <v>0.10665277883445198</v>
      </c>
      <c r="BE461" s="23">
        <v>9.438849084854764E-2</v>
      </c>
      <c r="BF461" s="23">
        <v>7.149564986855049E-2</v>
      </c>
      <c r="BG461" s="23">
        <v>0.10368571810536763</v>
      </c>
      <c r="BH461" s="23">
        <v>8.4970330952544637E-2</v>
      </c>
      <c r="BI461" s="23">
        <v>8.4593878877262704E-2</v>
      </c>
      <c r="BJ461" s="23">
        <v>5.7447105462779965E-2</v>
      </c>
      <c r="BK461" s="23">
        <v>8.5153852345557474E-2</v>
      </c>
      <c r="BL461" s="23">
        <v>7.4158058913035174E-2</v>
      </c>
      <c r="BM461" s="23">
        <v>7.5718189192107169E-2</v>
      </c>
      <c r="BN461" s="23">
        <v>7.3955559365675619E-2</v>
      </c>
    </row>
    <row r="462" spans="1:66" x14ac:dyDescent="0.25">
      <c r="A462" s="16">
        <v>6536</v>
      </c>
      <c r="B462" s="16" t="s">
        <v>657</v>
      </c>
      <c r="C462" s="17">
        <v>0</v>
      </c>
      <c r="D462" s="17">
        <f t="shared" si="268"/>
        <v>0</v>
      </c>
      <c r="E462" s="17">
        <f t="shared" si="269"/>
        <v>0</v>
      </c>
      <c r="F462" s="17">
        <f t="shared" si="270"/>
        <v>0</v>
      </c>
      <c r="G462" s="17">
        <f t="shared" si="271"/>
        <v>0</v>
      </c>
      <c r="H462" s="17">
        <f t="shared" si="272"/>
        <v>0</v>
      </c>
      <c r="I462" s="17">
        <f t="shared" si="273"/>
        <v>0</v>
      </c>
      <c r="J462" s="17">
        <f t="shared" si="274"/>
        <v>0</v>
      </c>
      <c r="K462" s="17">
        <f t="shared" si="275"/>
        <v>0</v>
      </c>
      <c r="L462" s="17">
        <f t="shared" si="276"/>
        <v>0</v>
      </c>
      <c r="M462" s="17">
        <f t="shared" si="277"/>
        <v>0</v>
      </c>
      <c r="N462" s="17">
        <f t="shared" si="278"/>
        <v>0</v>
      </c>
      <c r="O462" s="17">
        <f t="shared" si="279"/>
        <v>0</v>
      </c>
      <c r="P462" s="17">
        <v>0</v>
      </c>
      <c r="Q462" s="17">
        <f t="shared" si="280"/>
        <v>0</v>
      </c>
      <c r="R462" s="17">
        <f t="shared" si="281"/>
        <v>0</v>
      </c>
      <c r="S462" s="17">
        <f t="shared" si="282"/>
        <v>0</v>
      </c>
      <c r="T462" s="17">
        <f t="shared" si="283"/>
        <v>0</v>
      </c>
      <c r="U462" s="17">
        <f t="shared" si="284"/>
        <v>0</v>
      </c>
      <c r="V462" s="17">
        <f t="shared" si="285"/>
        <v>0</v>
      </c>
      <c r="W462" s="17">
        <f t="shared" si="286"/>
        <v>0</v>
      </c>
      <c r="X462" s="17">
        <f t="shared" si="287"/>
        <v>0</v>
      </c>
      <c r="Y462" s="17">
        <f t="shared" si="288"/>
        <v>0</v>
      </c>
      <c r="Z462" s="17">
        <f t="shared" si="289"/>
        <v>0</v>
      </c>
      <c r="AA462" s="17">
        <f t="shared" si="290"/>
        <v>0</v>
      </c>
      <c r="AB462" s="17">
        <f t="shared" si="291"/>
        <v>0</v>
      </c>
      <c r="AC462" s="17">
        <v>0</v>
      </c>
      <c r="AD462" s="17">
        <f t="shared" si="292"/>
        <v>0</v>
      </c>
      <c r="AE462" s="17">
        <f t="shared" si="293"/>
        <v>0</v>
      </c>
      <c r="AF462" s="17">
        <f t="shared" si="294"/>
        <v>0</v>
      </c>
      <c r="AG462" s="17">
        <f t="shared" si="295"/>
        <v>0</v>
      </c>
      <c r="AH462" s="17">
        <f t="shared" si="296"/>
        <v>0</v>
      </c>
      <c r="AI462" s="17">
        <f t="shared" si="297"/>
        <v>0</v>
      </c>
      <c r="AJ462" s="17">
        <f t="shared" si="298"/>
        <v>0</v>
      </c>
      <c r="AK462" s="17">
        <f t="shared" si="299"/>
        <v>0</v>
      </c>
      <c r="AL462" s="17">
        <f t="shared" si="300"/>
        <v>0</v>
      </c>
      <c r="AM462" s="17">
        <f t="shared" si="301"/>
        <v>0</v>
      </c>
      <c r="AN462" s="17">
        <f t="shared" si="302"/>
        <v>0</v>
      </c>
      <c r="AO462" s="17">
        <f t="shared" si="303"/>
        <v>0</v>
      </c>
      <c r="AP462" s="17">
        <f t="shared" si="304"/>
        <v>0</v>
      </c>
      <c r="AQ462" s="18">
        <v>26.754469784622671</v>
      </c>
      <c r="AR462" s="18">
        <v>31.995833650335594</v>
      </c>
      <c r="AS462" s="18">
        <v>28.316547254564291</v>
      </c>
      <c r="AT462" s="18">
        <v>21.448694960565145</v>
      </c>
      <c r="AU462" s="18">
        <v>31.105715431610289</v>
      </c>
      <c r="AV462" s="18">
        <v>25.49109928576339</v>
      </c>
      <c r="AW462" s="18">
        <v>25.37816366317881</v>
      </c>
      <c r="AX462" s="18">
        <v>17.23413163883399</v>
      </c>
      <c r="AY462" s="18">
        <v>25.546155703667242</v>
      </c>
      <c r="AZ462" s="18">
        <v>22.247417673910551</v>
      </c>
      <c r="BA462" s="18">
        <v>22.71545675763215</v>
      </c>
      <c r="BB462" s="18">
        <v>22.186667809702687</v>
      </c>
      <c r="BC462" s="23">
        <v>8.9181565948742242E-2</v>
      </c>
      <c r="BD462" s="23">
        <v>0.10665277883445198</v>
      </c>
      <c r="BE462" s="23">
        <v>9.438849084854764E-2</v>
      </c>
      <c r="BF462" s="23">
        <v>7.149564986855049E-2</v>
      </c>
      <c r="BG462" s="23">
        <v>0.10368571810536763</v>
      </c>
      <c r="BH462" s="23">
        <v>8.4970330952544637E-2</v>
      </c>
      <c r="BI462" s="23">
        <v>8.4593878877262704E-2</v>
      </c>
      <c r="BJ462" s="23">
        <v>5.7447105462779965E-2</v>
      </c>
      <c r="BK462" s="23">
        <v>8.5153852345557474E-2</v>
      </c>
      <c r="BL462" s="23">
        <v>7.4158058913035174E-2</v>
      </c>
      <c r="BM462" s="23">
        <v>7.5718189192107169E-2</v>
      </c>
      <c r="BN462" s="23">
        <v>7.3955559365675619E-2</v>
      </c>
    </row>
    <row r="463" spans="1:66" x14ac:dyDescent="0.25">
      <c r="A463" s="16">
        <v>23901</v>
      </c>
      <c r="B463" s="16" t="s">
        <v>658</v>
      </c>
      <c r="C463" s="17">
        <v>0</v>
      </c>
      <c r="D463" s="17">
        <f t="shared" si="268"/>
        <v>0</v>
      </c>
      <c r="E463" s="17">
        <f t="shared" si="269"/>
        <v>0</v>
      </c>
      <c r="F463" s="17">
        <f t="shared" si="270"/>
        <v>0</v>
      </c>
      <c r="G463" s="17">
        <f t="shared" si="271"/>
        <v>0</v>
      </c>
      <c r="H463" s="17">
        <f t="shared" si="272"/>
        <v>0</v>
      </c>
      <c r="I463" s="17">
        <f t="shared" si="273"/>
        <v>0</v>
      </c>
      <c r="J463" s="17">
        <f t="shared" si="274"/>
        <v>0</v>
      </c>
      <c r="K463" s="17">
        <f t="shared" si="275"/>
        <v>0</v>
      </c>
      <c r="L463" s="17">
        <f t="shared" si="276"/>
        <v>0</v>
      </c>
      <c r="M463" s="17">
        <f t="shared" si="277"/>
        <v>0</v>
      </c>
      <c r="N463" s="17">
        <f t="shared" si="278"/>
        <v>0</v>
      </c>
      <c r="O463" s="17">
        <f t="shared" si="279"/>
        <v>0</v>
      </c>
      <c r="P463" s="17">
        <v>0</v>
      </c>
      <c r="Q463" s="17">
        <f t="shared" si="280"/>
        <v>0</v>
      </c>
      <c r="R463" s="17">
        <f t="shared" si="281"/>
        <v>0</v>
      </c>
      <c r="S463" s="17">
        <f t="shared" si="282"/>
        <v>0</v>
      </c>
      <c r="T463" s="17">
        <f t="shared" si="283"/>
        <v>0</v>
      </c>
      <c r="U463" s="17">
        <f t="shared" si="284"/>
        <v>0</v>
      </c>
      <c r="V463" s="17">
        <f t="shared" si="285"/>
        <v>0</v>
      </c>
      <c r="W463" s="17">
        <f t="shared" si="286"/>
        <v>0</v>
      </c>
      <c r="X463" s="17">
        <f t="shared" si="287"/>
        <v>0</v>
      </c>
      <c r="Y463" s="17">
        <f t="shared" si="288"/>
        <v>0</v>
      </c>
      <c r="Z463" s="17">
        <f t="shared" si="289"/>
        <v>0</v>
      </c>
      <c r="AA463" s="17">
        <f t="shared" si="290"/>
        <v>0</v>
      </c>
      <c r="AB463" s="17">
        <f t="shared" si="291"/>
        <v>0</v>
      </c>
      <c r="AC463" s="17">
        <v>0</v>
      </c>
      <c r="AD463" s="17">
        <f t="shared" si="292"/>
        <v>0</v>
      </c>
      <c r="AE463" s="17">
        <f t="shared" si="293"/>
        <v>0</v>
      </c>
      <c r="AF463" s="17">
        <f t="shared" si="294"/>
        <v>0</v>
      </c>
      <c r="AG463" s="17">
        <f t="shared" si="295"/>
        <v>0</v>
      </c>
      <c r="AH463" s="17">
        <f t="shared" si="296"/>
        <v>0</v>
      </c>
      <c r="AI463" s="17">
        <f t="shared" si="297"/>
        <v>0</v>
      </c>
      <c r="AJ463" s="17">
        <f t="shared" si="298"/>
        <v>0</v>
      </c>
      <c r="AK463" s="17">
        <f t="shared" si="299"/>
        <v>0</v>
      </c>
      <c r="AL463" s="17">
        <f t="shared" si="300"/>
        <v>0</v>
      </c>
      <c r="AM463" s="17">
        <f t="shared" si="301"/>
        <v>0</v>
      </c>
      <c r="AN463" s="17">
        <f t="shared" si="302"/>
        <v>0</v>
      </c>
      <c r="AO463" s="17">
        <f t="shared" si="303"/>
        <v>0</v>
      </c>
      <c r="AP463" s="17">
        <f t="shared" si="304"/>
        <v>0</v>
      </c>
      <c r="AQ463" s="18">
        <v>26.754469784622671</v>
      </c>
      <c r="AR463" s="18">
        <v>31.995833650335594</v>
      </c>
      <c r="AS463" s="18">
        <v>28.316547254564291</v>
      </c>
      <c r="AT463" s="18">
        <v>21.448694960565145</v>
      </c>
      <c r="AU463" s="18">
        <v>31.105715431610289</v>
      </c>
      <c r="AV463" s="18">
        <v>25.49109928576339</v>
      </c>
      <c r="AW463" s="18">
        <v>25.37816366317881</v>
      </c>
      <c r="AX463" s="18">
        <v>17.23413163883399</v>
      </c>
      <c r="AY463" s="18">
        <v>25.546155703667242</v>
      </c>
      <c r="AZ463" s="18">
        <v>22.247417673910551</v>
      </c>
      <c r="BA463" s="18">
        <v>22.71545675763215</v>
      </c>
      <c r="BB463" s="18">
        <v>22.186667809702687</v>
      </c>
      <c r="BC463" s="23">
        <v>8.9181565948742242E-2</v>
      </c>
      <c r="BD463" s="23">
        <v>0.10665277883445198</v>
      </c>
      <c r="BE463" s="23">
        <v>9.438849084854764E-2</v>
      </c>
      <c r="BF463" s="23">
        <v>7.149564986855049E-2</v>
      </c>
      <c r="BG463" s="23">
        <v>0.10368571810536763</v>
      </c>
      <c r="BH463" s="23">
        <v>8.4970330952544637E-2</v>
      </c>
      <c r="BI463" s="23">
        <v>8.4593878877262704E-2</v>
      </c>
      <c r="BJ463" s="23">
        <v>5.7447105462779965E-2</v>
      </c>
      <c r="BK463" s="23">
        <v>8.5153852345557474E-2</v>
      </c>
      <c r="BL463" s="23">
        <v>7.4158058913035174E-2</v>
      </c>
      <c r="BM463" s="23">
        <v>7.5718189192107169E-2</v>
      </c>
      <c r="BN463" s="23">
        <v>7.3955559365675619E-2</v>
      </c>
    </row>
    <row r="464" spans="1:66" x14ac:dyDescent="0.25">
      <c r="A464" s="16">
        <v>6677</v>
      </c>
      <c r="B464" s="16" t="s">
        <v>659</v>
      </c>
      <c r="C464" s="17">
        <v>0</v>
      </c>
      <c r="D464" s="17">
        <f t="shared" si="268"/>
        <v>0</v>
      </c>
      <c r="E464" s="17">
        <f t="shared" si="269"/>
        <v>0</v>
      </c>
      <c r="F464" s="17">
        <f t="shared" si="270"/>
        <v>0</v>
      </c>
      <c r="G464" s="17">
        <f t="shared" si="271"/>
        <v>0</v>
      </c>
      <c r="H464" s="17">
        <f t="shared" si="272"/>
        <v>0</v>
      </c>
      <c r="I464" s="17">
        <f t="shared" si="273"/>
        <v>0</v>
      </c>
      <c r="J464" s="17">
        <f t="shared" si="274"/>
        <v>0</v>
      </c>
      <c r="K464" s="17">
        <f t="shared" si="275"/>
        <v>0</v>
      </c>
      <c r="L464" s="17">
        <f t="shared" si="276"/>
        <v>0</v>
      </c>
      <c r="M464" s="17">
        <f t="shared" si="277"/>
        <v>0</v>
      </c>
      <c r="N464" s="17">
        <f t="shared" si="278"/>
        <v>0</v>
      </c>
      <c r="O464" s="17">
        <f t="shared" si="279"/>
        <v>0</v>
      </c>
      <c r="P464" s="17">
        <v>0</v>
      </c>
      <c r="Q464" s="17">
        <f t="shared" si="280"/>
        <v>0</v>
      </c>
      <c r="R464" s="17">
        <f t="shared" si="281"/>
        <v>0</v>
      </c>
      <c r="S464" s="17">
        <f t="shared" si="282"/>
        <v>0</v>
      </c>
      <c r="T464" s="17">
        <f t="shared" si="283"/>
        <v>0</v>
      </c>
      <c r="U464" s="17">
        <f t="shared" si="284"/>
        <v>0</v>
      </c>
      <c r="V464" s="17">
        <f t="shared" si="285"/>
        <v>0</v>
      </c>
      <c r="W464" s="17">
        <f t="shared" si="286"/>
        <v>0</v>
      </c>
      <c r="X464" s="17">
        <f t="shared" si="287"/>
        <v>0</v>
      </c>
      <c r="Y464" s="17">
        <f t="shared" si="288"/>
        <v>0</v>
      </c>
      <c r="Z464" s="17">
        <f t="shared" si="289"/>
        <v>0</v>
      </c>
      <c r="AA464" s="17">
        <f t="shared" si="290"/>
        <v>0</v>
      </c>
      <c r="AB464" s="17">
        <f t="shared" si="291"/>
        <v>0</v>
      </c>
      <c r="AC464" s="17">
        <v>0</v>
      </c>
      <c r="AD464" s="17">
        <f t="shared" si="292"/>
        <v>0</v>
      </c>
      <c r="AE464" s="17">
        <f t="shared" si="293"/>
        <v>0</v>
      </c>
      <c r="AF464" s="17">
        <f t="shared" si="294"/>
        <v>0</v>
      </c>
      <c r="AG464" s="17">
        <f t="shared" si="295"/>
        <v>0</v>
      </c>
      <c r="AH464" s="17">
        <f t="shared" si="296"/>
        <v>0</v>
      </c>
      <c r="AI464" s="17">
        <f t="shared" si="297"/>
        <v>0</v>
      </c>
      <c r="AJ464" s="17">
        <f t="shared" si="298"/>
        <v>0</v>
      </c>
      <c r="AK464" s="17">
        <f t="shared" si="299"/>
        <v>0</v>
      </c>
      <c r="AL464" s="17">
        <f t="shared" si="300"/>
        <v>0</v>
      </c>
      <c r="AM464" s="17">
        <f t="shared" si="301"/>
        <v>0</v>
      </c>
      <c r="AN464" s="17">
        <f t="shared" si="302"/>
        <v>0</v>
      </c>
      <c r="AO464" s="17">
        <f t="shared" si="303"/>
        <v>0</v>
      </c>
      <c r="AP464" s="17">
        <f t="shared" si="304"/>
        <v>0</v>
      </c>
      <c r="AQ464" s="18">
        <v>26.754469784622671</v>
      </c>
      <c r="AR464" s="18">
        <v>31.995833650335594</v>
      </c>
      <c r="AS464" s="18">
        <v>28.316547254564291</v>
      </c>
      <c r="AT464" s="18">
        <v>21.448694960565145</v>
      </c>
      <c r="AU464" s="18">
        <v>31.105715431610289</v>
      </c>
      <c r="AV464" s="18">
        <v>25.49109928576339</v>
      </c>
      <c r="AW464" s="18">
        <v>25.37816366317881</v>
      </c>
      <c r="AX464" s="18">
        <v>17.23413163883399</v>
      </c>
      <c r="AY464" s="18">
        <v>25.546155703667242</v>
      </c>
      <c r="AZ464" s="18">
        <v>22.247417673910551</v>
      </c>
      <c r="BA464" s="18">
        <v>22.71545675763215</v>
      </c>
      <c r="BB464" s="18">
        <v>22.186667809702687</v>
      </c>
      <c r="BC464" s="23">
        <v>8.9181565948742242E-2</v>
      </c>
      <c r="BD464" s="23">
        <v>0.10665277883445198</v>
      </c>
      <c r="BE464" s="23">
        <v>9.438849084854764E-2</v>
      </c>
      <c r="BF464" s="23">
        <v>7.149564986855049E-2</v>
      </c>
      <c r="BG464" s="23">
        <v>0.10368571810536763</v>
      </c>
      <c r="BH464" s="23">
        <v>8.4970330952544637E-2</v>
      </c>
      <c r="BI464" s="23">
        <v>8.4593878877262704E-2</v>
      </c>
      <c r="BJ464" s="23">
        <v>5.7447105462779965E-2</v>
      </c>
      <c r="BK464" s="23">
        <v>8.5153852345557474E-2</v>
      </c>
      <c r="BL464" s="23">
        <v>7.4158058913035174E-2</v>
      </c>
      <c r="BM464" s="23">
        <v>7.5718189192107169E-2</v>
      </c>
      <c r="BN464" s="23">
        <v>7.3955559365675619E-2</v>
      </c>
    </row>
    <row r="465" spans="1:66" x14ac:dyDescent="0.25">
      <c r="A465" s="16">
        <v>2798</v>
      </c>
      <c r="B465" s="16" t="s">
        <v>660</v>
      </c>
      <c r="C465" s="17">
        <v>0</v>
      </c>
      <c r="D465" s="17">
        <f t="shared" si="268"/>
        <v>0</v>
      </c>
      <c r="E465" s="17">
        <f t="shared" si="269"/>
        <v>0</v>
      </c>
      <c r="F465" s="17">
        <f t="shared" si="270"/>
        <v>0</v>
      </c>
      <c r="G465" s="17">
        <f t="shared" si="271"/>
        <v>0</v>
      </c>
      <c r="H465" s="17">
        <f t="shared" si="272"/>
        <v>0</v>
      </c>
      <c r="I465" s="17">
        <f t="shared" si="273"/>
        <v>0</v>
      </c>
      <c r="J465" s="17">
        <f t="shared" si="274"/>
        <v>0</v>
      </c>
      <c r="K465" s="17">
        <f t="shared" si="275"/>
        <v>0</v>
      </c>
      <c r="L465" s="17">
        <f t="shared" si="276"/>
        <v>0</v>
      </c>
      <c r="M465" s="17">
        <f t="shared" si="277"/>
        <v>0</v>
      </c>
      <c r="N465" s="17">
        <f t="shared" si="278"/>
        <v>0</v>
      </c>
      <c r="O465" s="17">
        <f t="shared" si="279"/>
        <v>0</v>
      </c>
      <c r="P465" s="17">
        <v>0</v>
      </c>
      <c r="Q465" s="17">
        <f t="shared" si="280"/>
        <v>0</v>
      </c>
      <c r="R465" s="17">
        <f t="shared" si="281"/>
        <v>0</v>
      </c>
      <c r="S465" s="17">
        <f t="shared" si="282"/>
        <v>0</v>
      </c>
      <c r="T465" s="17">
        <f t="shared" si="283"/>
        <v>0</v>
      </c>
      <c r="U465" s="17">
        <f t="shared" si="284"/>
        <v>0</v>
      </c>
      <c r="V465" s="17">
        <f t="shared" si="285"/>
        <v>0</v>
      </c>
      <c r="W465" s="17">
        <f t="shared" si="286"/>
        <v>0</v>
      </c>
      <c r="X465" s="17">
        <f t="shared" si="287"/>
        <v>0</v>
      </c>
      <c r="Y465" s="17">
        <f t="shared" si="288"/>
        <v>0</v>
      </c>
      <c r="Z465" s="17">
        <f t="shared" si="289"/>
        <v>0</v>
      </c>
      <c r="AA465" s="17">
        <f t="shared" si="290"/>
        <v>0</v>
      </c>
      <c r="AB465" s="17">
        <f t="shared" si="291"/>
        <v>0</v>
      </c>
      <c r="AC465" s="17">
        <v>0</v>
      </c>
      <c r="AD465" s="17">
        <f t="shared" si="292"/>
        <v>0</v>
      </c>
      <c r="AE465" s="17">
        <f t="shared" si="293"/>
        <v>0</v>
      </c>
      <c r="AF465" s="17">
        <f t="shared" si="294"/>
        <v>0</v>
      </c>
      <c r="AG465" s="17">
        <f t="shared" si="295"/>
        <v>0</v>
      </c>
      <c r="AH465" s="17">
        <f t="shared" si="296"/>
        <v>0</v>
      </c>
      <c r="AI465" s="17">
        <f t="shared" si="297"/>
        <v>0</v>
      </c>
      <c r="AJ465" s="17">
        <f t="shared" si="298"/>
        <v>0</v>
      </c>
      <c r="AK465" s="17">
        <f t="shared" si="299"/>
        <v>0</v>
      </c>
      <c r="AL465" s="17">
        <f t="shared" si="300"/>
        <v>0</v>
      </c>
      <c r="AM465" s="17">
        <f t="shared" si="301"/>
        <v>0</v>
      </c>
      <c r="AN465" s="17">
        <f t="shared" si="302"/>
        <v>0</v>
      </c>
      <c r="AO465" s="17">
        <f t="shared" si="303"/>
        <v>0</v>
      </c>
      <c r="AP465" s="17">
        <f t="shared" si="304"/>
        <v>0</v>
      </c>
      <c r="AQ465" s="18">
        <v>26.687048520765426</v>
      </c>
      <c r="AR465" s="18">
        <v>31.915204149536752</v>
      </c>
      <c r="AS465" s="18">
        <v>28.245189555482792</v>
      </c>
      <c r="AT465" s="18">
        <v>21.394644249264523</v>
      </c>
      <c r="AU465" s="18">
        <v>31.027329028722633</v>
      </c>
      <c r="AV465" s="18">
        <v>25.42686171556327</v>
      </c>
      <c r="AW465" s="18">
        <v>25.314210690747604</v>
      </c>
      <c r="AX465" s="18">
        <v>17.190701627104129</v>
      </c>
      <c r="AY465" s="18">
        <v>25.481779391294005</v>
      </c>
      <c r="AZ465" s="18">
        <v>22.191354181372301</v>
      </c>
      <c r="BA465" s="18">
        <v>22.65821380660292</v>
      </c>
      <c r="BB465" s="18">
        <v>22.130757406822237</v>
      </c>
      <c r="BC465" s="23">
        <v>8.9181565948742242E-2</v>
      </c>
      <c r="BD465" s="23">
        <v>0.10665277883445198</v>
      </c>
      <c r="BE465" s="23">
        <v>9.438849084854764E-2</v>
      </c>
      <c r="BF465" s="23">
        <v>7.149564986855049E-2</v>
      </c>
      <c r="BG465" s="23">
        <v>0.10368571810536763</v>
      </c>
      <c r="BH465" s="23">
        <v>8.4970330952544637E-2</v>
      </c>
      <c r="BI465" s="23">
        <v>8.4593878877262704E-2</v>
      </c>
      <c r="BJ465" s="23">
        <v>5.7447105462779965E-2</v>
      </c>
      <c r="BK465" s="23">
        <v>8.5153852345557474E-2</v>
      </c>
      <c r="BL465" s="23">
        <v>7.4158058913035174E-2</v>
      </c>
      <c r="BM465" s="23">
        <v>7.5718189192107169E-2</v>
      </c>
      <c r="BN465" s="23">
        <v>7.3955559365675619E-2</v>
      </c>
    </row>
    <row r="466" spans="1:66" x14ac:dyDescent="0.25">
      <c r="A466" s="16">
        <v>823</v>
      </c>
      <c r="B466" s="16" t="s">
        <v>661</v>
      </c>
      <c r="C466" s="17">
        <v>0</v>
      </c>
      <c r="D466" s="17">
        <f t="shared" si="268"/>
        <v>0</v>
      </c>
      <c r="E466" s="17">
        <f t="shared" si="269"/>
        <v>0</v>
      </c>
      <c r="F466" s="17">
        <f t="shared" si="270"/>
        <v>0</v>
      </c>
      <c r="G466" s="17">
        <f t="shared" si="271"/>
        <v>0</v>
      </c>
      <c r="H466" s="17">
        <f t="shared" si="272"/>
        <v>0</v>
      </c>
      <c r="I466" s="17">
        <f t="shared" si="273"/>
        <v>0</v>
      </c>
      <c r="J466" s="17">
        <f t="shared" si="274"/>
        <v>0</v>
      </c>
      <c r="K466" s="17">
        <f t="shared" si="275"/>
        <v>0</v>
      </c>
      <c r="L466" s="17">
        <f t="shared" si="276"/>
        <v>0</v>
      </c>
      <c r="M466" s="17">
        <f t="shared" si="277"/>
        <v>0</v>
      </c>
      <c r="N466" s="17">
        <f t="shared" si="278"/>
        <v>0</v>
      </c>
      <c r="O466" s="17">
        <f t="shared" si="279"/>
        <v>0</v>
      </c>
      <c r="P466" s="17">
        <v>0</v>
      </c>
      <c r="Q466" s="17">
        <f t="shared" si="280"/>
        <v>0</v>
      </c>
      <c r="R466" s="17">
        <f t="shared" si="281"/>
        <v>0</v>
      </c>
      <c r="S466" s="17">
        <f t="shared" si="282"/>
        <v>0</v>
      </c>
      <c r="T466" s="17">
        <f t="shared" si="283"/>
        <v>0</v>
      </c>
      <c r="U466" s="17">
        <f t="shared" si="284"/>
        <v>0</v>
      </c>
      <c r="V466" s="17">
        <f t="shared" si="285"/>
        <v>0</v>
      </c>
      <c r="W466" s="17">
        <f t="shared" si="286"/>
        <v>0</v>
      </c>
      <c r="X466" s="17">
        <f t="shared" si="287"/>
        <v>0</v>
      </c>
      <c r="Y466" s="17">
        <f t="shared" si="288"/>
        <v>0</v>
      </c>
      <c r="Z466" s="17">
        <f t="shared" si="289"/>
        <v>0</v>
      </c>
      <c r="AA466" s="17">
        <f t="shared" si="290"/>
        <v>0</v>
      </c>
      <c r="AB466" s="17">
        <f t="shared" si="291"/>
        <v>0</v>
      </c>
      <c r="AC466" s="17">
        <v>0</v>
      </c>
      <c r="AD466" s="17">
        <f t="shared" si="292"/>
        <v>0</v>
      </c>
      <c r="AE466" s="17">
        <f t="shared" si="293"/>
        <v>0</v>
      </c>
      <c r="AF466" s="17">
        <f t="shared" si="294"/>
        <v>0</v>
      </c>
      <c r="AG466" s="17">
        <f t="shared" si="295"/>
        <v>0</v>
      </c>
      <c r="AH466" s="17">
        <f t="shared" si="296"/>
        <v>0</v>
      </c>
      <c r="AI466" s="17">
        <f t="shared" si="297"/>
        <v>0</v>
      </c>
      <c r="AJ466" s="17">
        <f t="shared" si="298"/>
        <v>0</v>
      </c>
      <c r="AK466" s="17">
        <f t="shared" si="299"/>
        <v>0</v>
      </c>
      <c r="AL466" s="17">
        <f t="shared" si="300"/>
        <v>0</v>
      </c>
      <c r="AM466" s="17">
        <f t="shared" si="301"/>
        <v>0</v>
      </c>
      <c r="AN466" s="17">
        <f t="shared" si="302"/>
        <v>0</v>
      </c>
      <c r="AO466" s="17">
        <f t="shared" si="303"/>
        <v>0</v>
      </c>
      <c r="AP466" s="17">
        <f t="shared" si="304"/>
        <v>0</v>
      </c>
      <c r="AQ466" s="18">
        <v>24.73682603659833</v>
      </c>
      <c r="AR466" s="18">
        <v>29.582921181984958</v>
      </c>
      <c r="AS466" s="18">
        <v>26.181102037606752</v>
      </c>
      <c r="AT466" s="18">
        <v>19.831177377939063</v>
      </c>
      <c r="AU466" s="18">
        <v>28.759929745194455</v>
      </c>
      <c r="AV466" s="18">
        <v>23.568730518293023</v>
      </c>
      <c r="AW466" s="18">
        <v>23.464311747459622</v>
      </c>
      <c r="AX466" s="18">
        <v>15.934448324844057</v>
      </c>
      <c r="AY466" s="18">
        <v>23.619634948201352</v>
      </c>
      <c r="AZ466" s="18">
        <v>20.569665749062047</v>
      </c>
      <c r="BA466" s="18">
        <v>21.002408445349921</v>
      </c>
      <c r="BB466" s="18">
        <v>20.513497234613641</v>
      </c>
      <c r="BC466" s="23">
        <v>8.9181565948742242E-2</v>
      </c>
      <c r="BD466" s="23">
        <v>0.10665277883445198</v>
      </c>
      <c r="BE466" s="23">
        <v>9.438849084854764E-2</v>
      </c>
      <c r="BF466" s="23">
        <v>7.149564986855049E-2</v>
      </c>
      <c r="BG466" s="23">
        <v>0.10368571810536763</v>
      </c>
      <c r="BH466" s="23">
        <v>8.4970330952544637E-2</v>
      </c>
      <c r="BI466" s="23">
        <v>8.4593878877262704E-2</v>
      </c>
      <c r="BJ466" s="23">
        <v>5.7447105462779965E-2</v>
      </c>
      <c r="BK466" s="23">
        <v>8.5153852345557474E-2</v>
      </c>
      <c r="BL466" s="23">
        <v>7.4158058913035174E-2</v>
      </c>
      <c r="BM466" s="23">
        <v>7.5718189192107169E-2</v>
      </c>
      <c r="BN466" s="23">
        <v>7.3955559365675619E-2</v>
      </c>
    </row>
    <row r="467" spans="1:66" x14ac:dyDescent="0.25">
      <c r="A467" s="16">
        <v>6635</v>
      </c>
      <c r="B467" s="16" t="s">
        <v>662</v>
      </c>
      <c r="C467" s="17">
        <v>0</v>
      </c>
      <c r="D467" s="17">
        <f t="shared" si="268"/>
        <v>0</v>
      </c>
      <c r="E467" s="17">
        <f t="shared" si="269"/>
        <v>0</v>
      </c>
      <c r="F467" s="17">
        <f t="shared" si="270"/>
        <v>0</v>
      </c>
      <c r="G467" s="17">
        <f t="shared" si="271"/>
        <v>0</v>
      </c>
      <c r="H467" s="17">
        <f t="shared" si="272"/>
        <v>0</v>
      </c>
      <c r="I467" s="17">
        <f t="shared" si="273"/>
        <v>0</v>
      </c>
      <c r="J467" s="17">
        <f t="shared" si="274"/>
        <v>0</v>
      </c>
      <c r="K467" s="17">
        <f t="shared" si="275"/>
        <v>0</v>
      </c>
      <c r="L467" s="17">
        <f t="shared" si="276"/>
        <v>0</v>
      </c>
      <c r="M467" s="17">
        <f t="shared" si="277"/>
        <v>0</v>
      </c>
      <c r="N467" s="17">
        <f t="shared" si="278"/>
        <v>0</v>
      </c>
      <c r="O467" s="17">
        <f t="shared" si="279"/>
        <v>0</v>
      </c>
      <c r="P467" s="17">
        <v>0</v>
      </c>
      <c r="Q467" s="17">
        <f t="shared" si="280"/>
        <v>0</v>
      </c>
      <c r="R467" s="17">
        <f t="shared" si="281"/>
        <v>0</v>
      </c>
      <c r="S467" s="17">
        <f t="shared" si="282"/>
        <v>0</v>
      </c>
      <c r="T467" s="17">
        <f t="shared" si="283"/>
        <v>0</v>
      </c>
      <c r="U467" s="17">
        <f t="shared" si="284"/>
        <v>0</v>
      </c>
      <c r="V467" s="17">
        <f t="shared" si="285"/>
        <v>0</v>
      </c>
      <c r="W467" s="17">
        <f t="shared" si="286"/>
        <v>0</v>
      </c>
      <c r="X467" s="17">
        <f t="shared" si="287"/>
        <v>0</v>
      </c>
      <c r="Y467" s="17">
        <f t="shared" si="288"/>
        <v>0</v>
      </c>
      <c r="Z467" s="17">
        <f t="shared" si="289"/>
        <v>0</v>
      </c>
      <c r="AA467" s="17">
        <f t="shared" si="290"/>
        <v>0</v>
      </c>
      <c r="AB467" s="17">
        <f t="shared" si="291"/>
        <v>0</v>
      </c>
      <c r="AC467" s="17">
        <v>0</v>
      </c>
      <c r="AD467" s="17">
        <f t="shared" si="292"/>
        <v>0</v>
      </c>
      <c r="AE467" s="17">
        <f t="shared" si="293"/>
        <v>0</v>
      </c>
      <c r="AF467" s="17">
        <f t="shared" si="294"/>
        <v>0</v>
      </c>
      <c r="AG467" s="17">
        <f t="shared" si="295"/>
        <v>0</v>
      </c>
      <c r="AH467" s="17">
        <f t="shared" si="296"/>
        <v>0</v>
      </c>
      <c r="AI467" s="17">
        <f t="shared" si="297"/>
        <v>0</v>
      </c>
      <c r="AJ467" s="17">
        <f t="shared" si="298"/>
        <v>0</v>
      </c>
      <c r="AK467" s="17">
        <f t="shared" si="299"/>
        <v>0</v>
      </c>
      <c r="AL467" s="17">
        <f t="shared" si="300"/>
        <v>0</v>
      </c>
      <c r="AM467" s="17">
        <f t="shared" si="301"/>
        <v>0</v>
      </c>
      <c r="AN467" s="17">
        <f t="shared" si="302"/>
        <v>0</v>
      </c>
      <c r="AO467" s="17">
        <f t="shared" si="303"/>
        <v>0</v>
      </c>
      <c r="AP467" s="17">
        <f t="shared" si="304"/>
        <v>0</v>
      </c>
      <c r="AQ467" s="18">
        <v>24.14626570688576</v>
      </c>
      <c r="AR467" s="18">
        <v>28.876666480543214</v>
      </c>
      <c r="AS467" s="18">
        <v>25.556061451207668</v>
      </c>
      <c r="AT467" s="18">
        <v>19.35773318450952</v>
      </c>
      <c r="AU467" s="18">
        <v>28.073322919900708</v>
      </c>
      <c r="AV467" s="18">
        <v>23.006056986725273</v>
      </c>
      <c r="AW467" s="18">
        <v>22.904131081534388</v>
      </c>
      <c r="AX467" s="18">
        <v>15.554033592469528</v>
      </c>
      <c r="AY467" s="18">
        <v>23.05574613796907</v>
      </c>
      <c r="AZ467" s="18">
        <v>20.078591082939926</v>
      </c>
      <c r="BA467" s="18">
        <v>20.501002596519786</v>
      </c>
      <c r="BB467" s="18">
        <v>20.023763520494139</v>
      </c>
      <c r="BC467" s="23">
        <v>8.9181565948742242E-2</v>
      </c>
      <c r="BD467" s="23">
        <v>0.10665277883445198</v>
      </c>
      <c r="BE467" s="23">
        <v>9.438849084854764E-2</v>
      </c>
      <c r="BF467" s="23">
        <v>7.149564986855049E-2</v>
      </c>
      <c r="BG467" s="23">
        <v>0.10368571810536763</v>
      </c>
      <c r="BH467" s="23">
        <v>8.4970330952544637E-2</v>
      </c>
      <c r="BI467" s="23">
        <v>8.4593878877262704E-2</v>
      </c>
      <c r="BJ467" s="23">
        <v>5.7447105462779965E-2</v>
      </c>
      <c r="BK467" s="23">
        <v>8.5153852345557474E-2</v>
      </c>
      <c r="BL467" s="23">
        <v>7.4158058913035174E-2</v>
      </c>
      <c r="BM467" s="23">
        <v>7.5718189192107169E-2</v>
      </c>
      <c r="BN467" s="23">
        <v>7.3955559365675619E-2</v>
      </c>
    </row>
    <row r="468" spans="1:66" x14ac:dyDescent="0.25">
      <c r="A468" s="16">
        <v>2282</v>
      </c>
      <c r="B468" s="16" t="s">
        <v>663</v>
      </c>
      <c r="C468" s="17">
        <v>1000</v>
      </c>
      <c r="D468" s="17">
        <f t="shared" si="268"/>
        <v>89.181565948742247</v>
      </c>
      <c r="E468" s="17">
        <f t="shared" si="269"/>
        <v>106.65277883445198</v>
      </c>
      <c r="F468" s="17">
        <f t="shared" si="270"/>
        <v>94.388490848547647</v>
      </c>
      <c r="G468" s="17">
        <f t="shared" si="271"/>
        <v>71.495649868550487</v>
      </c>
      <c r="H468" s="17">
        <f t="shared" si="272"/>
        <v>103.68571810536763</v>
      </c>
      <c r="I468" s="17">
        <f t="shared" si="273"/>
        <v>84.970330952544643</v>
      </c>
      <c r="J468" s="17">
        <f t="shared" si="274"/>
        <v>84.593878877262711</v>
      </c>
      <c r="K468" s="17">
        <f t="shared" si="275"/>
        <v>57.447105462779966</v>
      </c>
      <c r="L468" s="17">
        <f t="shared" si="276"/>
        <v>85.153852345557468</v>
      </c>
      <c r="M468" s="17">
        <f t="shared" si="277"/>
        <v>74.158058913035177</v>
      </c>
      <c r="N468" s="17">
        <f t="shared" si="278"/>
        <v>75.718189192107175</v>
      </c>
      <c r="O468" s="17">
        <f t="shared" si="279"/>
        <v>73.955559365675626</v>
      </c>
      <c r="P468" s="17">
        <v>0</v>
      </c>
      <c r="Q468" s="17">
        <f t="shared" si="280"/>
        <v>0</v>
      </c>
      <c r="R468" s="17">
        <f t="shared" si="281"/>
        <v>0</v>
      </c>
      <c r="S468" s="17">
        <f t="shared" si="282"/>
        <v>0</v>
      </c>
      <c r="T468" s="17">
        <f t="shared" si="283"/>
        <v>0</v>
      </c>
      <c r="U468" s="17">
        <f t="shared" si="284"/>
        <v>0</v>
      </c>
      <c r="V468" s="17">
        <f t="shared" si="285"/>
        <v>0</v>
      </c>
      <c r="W468" s="17">
        <f t="shared" si="286"/>
        <v>0</v>
      </c>
      <c r="X468" s="17">
        <f t="shared" si="287"/>
        <v>0</v>
      </c>
      <c r="Y468" s="17">
        <f t="shared" si="288"/>
        <v>0</v>
      </c>
      <c r="Z468" s="17">
        <f t="shared" si="289"/>
        <v>0</v>
      </c>
      <c r="AA468" s="17">
        <f t="shared" si="290"/>
        <v>0</v>
      </c>
      <c r="AB468" s="17">
        <f t="shared" si="291"/>
        <v>0</v>
      </c>
      <c r="AC468" s="17">
        <v>0</v>
      </c>
      <c r="AD468" s="17">
        <f t="shared" si="292"/>
        <v>0</v>
      </c>
      <c r="AE468" s="17">
        <f t="shared" si="293"/>
        <v>0</v>
      </c>
      <c r="AF468" s="17">
        <f t="shared" si="294"/>
        <v>0</v>
      </c>
      <c r="AG468" s="17">
        <f t="shared" si="295"/>
        <v>0</v>
      </c>
      <c r="AH468" s="17">
        <f t="shared" si="296"/>
        <v>0</v>
      </c>
      <c r="AI468" s="17">
        <f t="shared" si="297"/>
        <v>0</v>
      </c>
      <c r="AJ468" s="17">
        <f t="shared" si="298"/>
        <v>0</v>
      </c>
      <c r="AK468" s="17">
        <f t="shared" si="299"/>
        <v>0</v>
      </c>
      <c r="AL468" s="17">
        <f t="shared" si="300"/>
        <v>0</v>
      </c>
      <c r="AM468" s="17">
        <f t="shared" si="301"/>
        <v>0</v>
      </c>
      <c r="AN468" s="17">
        <f t="shared" si="302"/>
        <v>0</v>
      </c>
      <c r="AO468" s="17">
        <f t="shared" si="303"/>
        <v>0</v>
      </c>
      <c r="AP468" s="17">
        <f t="shared" si="304"/>
        <v>1000</v>
      </c>
      <c r="AQ468" s="18">
        <v>23.928841049102726</v>
      </c>
      <c r="AR468" s="18">
        <v>28.61664700574482</v>
      </c>
      <c r="AS468" s="18">
        <v>25.325942310518911</v>
      </c>
      <c r="AT468" s="18">
        <v>19.183426790129996</v>
      </c>
      <c r="AU468" s="18">
        <v>27.820537139159825</v>
      </c>
      <c r="AV468" s="18">
        <v>22.798899319862969</v>
      </c>
      <c r="AW468" s="18">
        <v>22.697891204831624</v>
      </c>
      <c r="AX468" s="18">
        <v>15.413977549351271</v>
      </c>
      <c r="AY468" s="18">
        <v>22.848141045950602</v>
      </c>
      <c r="AZ468" s="18">
        <v>19.897793735309946</v>
      </c>
      <c r="BA468" s="18">
        <v>20.31640165126943</v>
      </c>
      <c r="BB468" s="18">
        <v>19.843459866760622</v>
      </c>
      <c r="BC468" s="23">
        <v>8.9181565948742242E-2</v>
      </c>
      <c r="BD468" s="23">
        <v>0.10665277883445198</v>
      </c>
      <c r="BE468" s="23">
        <v>9.438849084854764E-2</v>
      </c>
      <c r="BF468" s="23">
        <v>7.149564986855049E-2</v>
      </c>
      <c r="BG468" s="23">
        <v>0.10368571810536763</v>
      </c>
      <c r="BH468" s="23">
        <v>8.4970330952544637E-2</v>
      </c>
      <c r="BI468" s="23">
        <v>8.4593878877262704E-2</v>
      </c>
      <c r="BJ468" s="23">
        <v>5.7447105462779965E-2</v>
      </c>
      <c r="BK468" s="23">
        <v>8.5153852345557474E-2</v>
      </c>
      <c r="BL468" s="23">
        <v>7.4158058913035174E-2</v>
      </c>
      <c r="BM468" s="23">
        <v>7.5718189192107169E-2</v>
      </c>
      <c r="BN468" s="23">
        <v>7.3955559365675619E-2</v>
      </c>
    </row>
    <row r="469" spans="1:66" x14ac:dyDescent="0.25">
      <c r="A469" s="16">
        <v>29334</v>
      </c>
      <c r="B469" s="16" t="s">
        <v>664</v>
      </c>
      <c r="C469" s="17">
        <v>247.23600000000002</v>
      </c>
      <c r="D469" s="17">
        <f t="shared" si="268"/>
        <v>22.048893638903238</v>
      </c>
      <c r="E469" s="17">
        <f t="shared" si="269"/>
        <v>26.368406427914572</v>
      </c>
      <c r="F469" s="17">
        <f t="shared" si="270"/>
        <v>23.336232923431528</v>
      </c>
      <c r="G469" s="17">
        <f t="shared" si="271"/>
        <v>17.676298490900951</v>
      </c>
      <c r="H469" s="17">
        <f t="shared" si="272"/>
        <v>25.634842201498671</v>
      </c>
      <c r="I469" s="17">
        <f t="shared" si="273"/>
        <v>21.007724743383328</v>
      </c>
      <c r="J469" s="17">
        <f t="shared" si="274"/>
        <v>20.914652238098924</v>
      </c>
      <c r="K469" s="17">
        <f t="shared" si="275"/>
        <v>14.202992566195869</v>
      </c>
      <c r="L469" s="17">
        <f t="shared" si="276"/>
        <v>21.05309783850625</v>
      </c>
      <c r="M469" s="17">
        <f t="shared" si="277"/>
        <v>18.334541853423165</v>
      </c>
      <c r="N469" s="17">
        <f t="shared" si="278"/>
        <v>18.720262223099809</v>
      </c>
      <c r="O469" s="17">
        <f t="shared" si="279"/>
        <v>18.284476675332179</v>
      </c>
      <c r="P469" s="17">
        <v>0</v>
      </c>
      <c r="Q469" s="17">
        <f t="shared" si="280"/>
        <v>0</v>
      </c>
      <c r="R469" s="17">
        <f t="shared" si="281"/>
        <v>0</v>
      </c>
      <c r="S469" s="17">
        <f t="shared" si="282"/>
        <v>0</v>
      </c>
      <c r="T469" s="17">
        <f t="shared" si="283"/>
        <v>0</v>
      </c>
      <c r="U469" s="17">
        <f t="shared" si="284"/>
        <v>0</v>
      </c>
      <c r="V469" s="17">
        <f t="shared" si="285"/>
        <v>0</v>
      </c>
      <c r="W469" s="17">
        <f t="shared" si="286"/>
        <v>0</v>
      </c>
      <c r="X469" s="17">
        <f t="shared" si="287"/>
        <v>0</v>
      </c>
      <c r="Y469" s="17">
        <f t="shared" si="288"/>
        <v>0</v>
      </c>
      <c r="Z469" s="17">
        <f t="shared" si="289"/>
        <v>0</v>
      </c>
      <c r="AA469" s="17">
        <f t="shared" si="290"/>
        <v>0</v>
      </c>
      <c r="AB469" s="17">
        <f t="shared" si="291"/>
        <v>0</v>
      </c>
      <c r="AC469" s="17">
        <v>0</v>
      </c>
      <c r="AD469" s="17">
        <f t="shared" si="292"/>
        <v>0</v>
      </c>
      <c r="AE469" s="17">
        <f t="shared" si="293"/>
        <v>0</v>
      </c>
      <c r="AF469" s="17">
        <f t="shared" si="294"/>
        <v>0</v>
      </c>
      <c r="AG469" s="17">
        <f t="shared" si="295"/>
        <v>0</v>
      </c>
      <c r="AH469" s="17">
        <f t="shared" si="296"/>
        <v>0</v>
      </c>
      <c r="AI469" s="17">
        <f t="shared" si="297"/>
        <v>0</v>
      </c>
      <c r="AJ469" s="17">
        <f t="shared" si="298"/>
        <v>0</v>
      </c>
      <c r="AK469" s="17">
        <f t="shared" si="299"/>
        <v>0</v>
      </c>
      <c r="AL469" s="17">
        <f t="shared" si="300"/>
        <v>0</v>
      </c>
      <c r="AM469" s="17">
        <f t="shared" si="301"/>
        <v>0</v>
      </c>
      <c r="AN469" s="17">
        <f t="shared" si="302"/>
        <v>0</v>
      </c>
      <c r="AO469" s="17">
        <f t="shared" si="303"/>
        <v>0</v>
      </c>
      <c r="AP469" s="17">
        <f t="shared" si="304"/>
        <v>247.23600000000002</v>
      </c>
      <c r="AQ469" s="18">
        <v>22.349078789886704</v>
      </c>
      <c r="AR469" s="18">
        <v>26.727399681471336</v>
      </c>
      <c r="AS469" s="18">
        <v>23.653944583627737</v>
      </c>
      <c r="AT469" s="18">
        <v>17.916952848358491</v>
      </c>
      <c r="AU469" s="18">
        <v>25.98384832864134</v>
      </c>
      <c r="AV469" s="18">
        <v>21.293734877369591</v>
      </c>
      <c r="AW469" s="18">
        <v>21.199395234399788</v>
      </c>
      <c r="AX469" s="18">
        <v>14.396359523183586</v>
      </c>
      <c r="AY469" s="18">
        <v>21.339725705501394</v>
      </c>
      <c r="AZ469" s="18">
        <v>18.58415787972444</v>
      </c>
      <c r="BA469" s="18">
        <v>18.97512964792044</v>
      </c>
      <c r="BB469" s="18">
        <v>18.533411088157042</v>
      </c>
      <c r="BC469" s="23">
        <v>8.9181565948742242E-2</v>
      </c>
      <c r="BD469" s="23">
        <v>0.10665277883445198</v>
      </c>
      <c r="BE469" s="23">
        <v>9.438849084854764E-2</v>
      </c>
      <c r="BF469" s="23">
        <v>7.149564986855049E-2</v>
      </c>
      <c r="BG469" s="23">
        <v>0.10368571810536763</v>
      </c>
      <c r="BH469" s="23">
        <v>8.4970330952544637E-2</v>
      </c>
      <c r="BI469" s="23">
        <v>8.4593878877262704E-2</v>
      </c>
      <c r="BJ469" s="23">
        <v>5.7447105462779965E-2</v>
      </c>
      <c r="BK469" s="23">
        <v>8.5153852345557474E-2</v>
      </c>
      <c r="BL469" s="23">
        <v>7.4158058913035174E-2</v>
      </c>
      <c r="BM469" s="23">
        <v>7.5718189192107169E-2</v>
      </c>
      <c r="BN469" s="23">
        <v>7.3955559365675619E-2</v>
      </c>
    </row>
    <row r="470" spans="1:66" x14ac:dyDescent="0.25">
      <c r="A470" s="16">
        <v>4414</v>
      </c>
      <c r="B470" s="16" t="s">
        <v>665</v>
      </c>
      <c r="C470" s="17">
        <v>10000</v>
      </c>
      <c r="D470" s="17">
        <f t="shared" si="268"/>
        <v>891.81565948742241</v>
      </c>
      <c r="E470" s="17">
        <f t="shared" si="269"/>
        <v>1066.5277883445199</v>
      </c>
      <c r="F470" s="17">
        <f t="shared" si="270"/>
        <v>943.88490848547644</v>
      </c>
      <c r="G470" s="17">
        <f t="shared" si="271"/>
        <v>714.95649868550493</v>
      </c>
      <c r="H470" s="17">
        <f t="shared" si="272"/>
        <v>1036.8571810536762</v>
      </c>
      <c r="I470" s="17">
        <f t="shared" si="273"/>
        <v>849.70330952544634</v>
      </c>
      <c r="J470" s="17">
        <f t="shared" si="274"/>
        <v>845.93878877262705</v>
      </c>
      <c r="K470" s="17">
        <f t="shared" si="275"/>
        <v>574.47105462779962</v>
      </c>
      <c r="L470" s="17">
        <f t="shared" si="276"/>
        <v>851.5385234555747</v>
      </c>
      <c r="M470" s="17">
        <f t="shared" si="277"/>
        <v>741.58058913035177</v>
      </c>
      <c r="N470" s="17">
        <f t="shared" si="278"/>
        <v>757.18189192107172</v>
      </c>
      <c r="O470" s="17">
        <f t="shared" si="279"/>
        <v>739.55559365675617</v>
      </c>
      <c r="P470" s="17">
        <v>0</v>
      </c>
      <c r="Q470" s="17">
        <f t="shared" si="280"/>
        <v>0</v>
      </c>
      <c r="R470" s="17">
        <f t="shared" si="281"/>
        <v>0</v>
      </c>
      <c r="S470" s="17">
        <f t="shared" si="282"/>
        <v>0</v>
      </c>
      <c r="T470" s="17">
        <f t="shared" si="283"/>
        <v>0</v>
      </c>
      <c r="U470" s="17">
        <f t="shared" si="284"/>
        <v>0</v>
      </c>
      <c r="V470" s="17">
        <f t="shared" si="285"/>
        <v>0</v>
      </c>
      <c r="W470" s="17">
        <f t="shared" si="286"/>
        <v>0</v>
      </c>
      <c r="X470" s="17">
        <f t="shared" si="287"/>
        <v>0</v>
      </c>
      <c r="Y470" s="17">
        <f t="shared" si="288"/>
        <v>0</v>
      </c>
      <c r="Z470" s="17">
        <f t="shared" si="289"/>
        <v>0</v>
      </c>
      <c r="AA470" s="17">
        <f t="shared" si="290"/>
        <v>0</v>
      </c>
      <c r="AB470" s="17">
        <f t="shared" si="291"/>
        <v>0</v>
      </c>
      <c r="AC470" s="17">
        <v>0</v>
      </c>
      <c r="AD470" s="17">
        <f t="shared" si="292"/>
        <v>0</v>
      </c>
      <c r="AE470" s="17">
        <f t="shared" si="293"/>
        <v>0</v>
      </c>
      <c r="AF470" s="17">
        <f t="shared" si="294"/>
        <v>0</v>
      </c>
      <c r="AG470" s="17">
        <f t="shared" si="295"/>
        <v>0</v>
      </c>
      <c r="AH470" s="17">
        <f t="shared" si="296"/>
        <v>0</v>
      </c>
      <c r="AI470" s="17">
        <f t="shared" si="297"/>
        <v>0</v>
      </c>
      <c r="AJ470" s="17">
        <f t="shared" si="298"/>
        <v>0</v>
      </c>
      <c r="AK470" s="17">
        <f t="shared" si="299"/>
        <v>0</v>
      </c>
      <c r="AL470" s="17">
        <f t="shared" si="300"/>
        <v>0</v>
      </c>
      <c r="AM470" s="17">
        <f t="shared" si="301"/>
        <v>0</v>
      </c>
      <c r="AN470" s="17">
        <f t="shared" si="302"/>
        <v>0</v>
      </c>
      <c r="AO470" s="17">
        <f t="shared" si="303"/>
        <v>0</v>
      </c>
      <c r="AP470" s="17">
        <f t="shared" si="304"/>
        <v>10000</v>
      </c>
      <c r="AQ470" s="18">
        <v>22.048893638903238</v>
      </c>
      <c r="AR470" s="18">
        <v>26.368406427914572</v>
      </c>
      <c r="AS470" s="18">
        <v>23.336232923431528</v>
      </c>
      <c r="AT470" s="18">
        <v>17.676298490900951</v>
      </c>
      <c r="AU470" s="18">
        <v>25.634842201498671</v>
      </c>
      <c r="AV470" s="18">
        <v>21.007724743383328</v>
      </c>
      <c r="AW470" s="18">
        <v>20.914652238098924</v>
      </c>
      <c r="AX470" s="18">
        <v>14.202992566195869</v>
      </c>
      <c r="AY470" s="18">
        <v>21.05309783850625</v>
      </c>
      <c r="AZ470" s="18">
        <v>18.334541853423165</v>
      </c>
      <c r="BA470" s="18">
        <v>18.720262223099809</v>
      </c>
      <c r="BB470" s="18">
        <v>18.284476675332179</v>
      </c>
      <c r="BC470" s="23">
        <v>8.9181565948742242E-2</v>
      </c>
      <c r="BD470" s="23">
        <v>0.10665277883445198</v>
      </c>
      <c r="BE470" s="23">
        <v>9.438849084854764E-2</v>
      </c>
      <c r="BF470" s="23">
        <v>7.149564986855049E-2</v>
      </c>
      <c r="BG470" s="23">
        <v>0.10368571810536763</v>
      </c>
      <c r="BH470" s="23">
        <v>8.4970330952544637E-2</v>
      </c>
      <c r="BI470" s="23">
        <v>8.4593878877262704E-2</v>
      </c>
      <c r="BJ470" s="23">
        <v>5.7447105462779965E-2</v>
      </c>
      <c r="BK470" s="23">
        <v>8.5153852345557474E-2</v>
      </c>
      <c r="BL470" s="23">
        <v>7.4158058913035174E-2</v>
      </c>
      <c r="BM470" s="23">
        <v>7.5718189192107169E-2</v>
      </c>
      <c r="BN470" s="23">
        <v>7.3955559365675619E-2</v>
      </c>
    </row>
    <row r="471" spans="1:66" x14ac:dyDescent="0.25">
      <c r="A471" s="16">
        <v>1916</v>
      </c>
      <c r="B471" s="16" t="s">
        <v>666</v>
      </c>
      <c r="C471" s="17">
        <v>0</v>
      </c>
      <c r="D471" s="17">
        <f t="shared" si="268"/>
        <v>0</v>
      </c>
      <c r="E471" s="17">
        <f t="shared" si="269"/>
        <v>0</v>
      </c>
      <c r="F471" s="17">
        <f t="shared" si="270"/>
        <v>0</v>
      </c>
      <c r="G471" s="17">
        <f t="shared" si="271"/>
        <v>0</v>
      </c>
      <c r="H471" s="17">
        <f t="shared" si="272"/>
        <v>0</v>
      </c>
      <c r="I471" s="17">
        <f t="shared" si="273"/>
        <v>0</v>
      </c>
      <c r="J471" s="17">
        <f t="shared" si="274"/>
        <v>0</v>
      </c>
      <c r="K471" s="17">
        <f t="shared" si="275"/>
        <v>0</v>
      </c>
      <c r="L471" s="17">
        <f t="shared" si="276"/>
        <v>0</v>
      </c>
      <c r="M471" s="17">
        <f t="shared" si="277"/>
        <v>0</v>
      </c>
      <c r="N471" s="17">
        <f t="shared" si="278"/>
        <v>0</v>
      </c>
      <c r="O471" s="17">
        <f t="shared" si="279"/>
        <v>0</v>
      </c>
      <c r="P471" s="17">
        <v>1500</v>
      </c>
      <c r="Q471" s="17">
        <f t="shared" si="280"/>
        <v>133.77234892311336</v>
      </c>
      <c r="R471" s="17">
        <f t="shared" si="281"/>
        <v>159.97916825167798</v>
      </c>
      <c r="S471" s="17">
        <f t="shared" si="282"/>
        <v>141.58273627282145</v>
      </c>
      <c r="T471" s="17">
        <f t="shared" si="283"/>
        <v>107.24347480282573</v>
      </c>
      <c r="U471" s="17">
        <f t="shared" si="284"/>
        <v>155.52857715805143</v>
      </c>
      <c r="V471" s="17">
        <f t="shared" si="285"/>
        <v>127.45549642881696</v>
      </c>
      <c r="W471" s="17">
        <f t="shared" si="286"/>
        <v>126.89081831589405</v>
      </c>
      <c r="X471" s="17">
        <f t="shared" si="287"/>
        <v>86.170658194169945</v>
      </c>
      <c r="Y471" s="17">
        <f t="shared" si="288"/>
        <v>127.73077851833621</v>
      </c>
      <c r="Z471" s="17">
        <f t="shared" si="289"/>
        <v>111.23708836955277</v>
      </c>
      <c r="AA471" s="17">
        <f t="shared" si="290"/>
        <v>113.57728378816076</v>
      </c>
      <c r="AB471" s="17">
        <f t="shared" si="291"/>
        <v>110.93333904851343</v>
      </c>
      <c r="AC471" s="17">
        <v>0</v>
      </c>
      <c r="AD471" s="17">
        <f t="shared" si="292"/>
        <v>0</v>
      </c>
      <c r="AE471" s="17">
        <f t="shared" si="293"/>
        <v>0</v>
      </c>
      <c r="AF471" s="17">
        <f t="shared" si="294"/>
        <v>0</v>
      </c>
      <c r="AG471" s="17">
        <f t="shared" si="295"/>
        <v>0</v>
      </c>
      <c r="AH471" s="17">
        <f t="shared" si="296"/>
        <v>0</v>
      </c>
      <c r="AI471" s="17">
        <f t="shared" si="297"/>
        <v>0</v>
      </c>
      <c r="AJ471" s="17">
        <f t="shared" si="298"/>
        <v>0</v>
      </c>
      <c r="AK471" s="17">
        <f t="shared" si="299"/>
        <v>0</v>
      </c>
      <c r="AL471" s="17">
        <f t="shared" si="300"/>
        <v>0</v>
      </c>
      <c r="AM471" s="17">
        <f t="shared" si="301"/>
        <v>0</v>
      </c>
      <c r="AN471" s="17">
        <f t="shared" si="302"/>
        <v>0</v>
      </c>
      <c r="AO471" s="17">
        <f t="shared" si="303"/>
        <v>0</v>
      </c>
      <c r="AP471" s="17">
        <f t="shared" si="304"/>
        <v>1500</v>
      </c>
      <c r="AQ471" s="18">
        <v>19.597381572538264</v>
      </c>
      <c r="AR471" s="18">
        <v>23.436628190534325</v>
      </c>
      <c r="AS471" s="18">
        <v>20.741587698495803</v>
      </c>
      <c r="AT471" s="18">
        <v>15.710954571664368</v>
      </c>
      <c r="AU471" s="18">
        <v>22.784625496500226</v>
      </c>
      <c r="AV471" s="18">
        <v>18.671975315828831</v>
      </c>
      <c r="AW471" s="18">
        <v>18.58925110164185</v>
      </c>
      <c r="AX471" s="18">
        <v>12.623829084129511</v>
      </c>
      <c r="AY471" s="18">
        <v>18.712303591379222</v>
      </c>
      <c r="AZ471" s="18">
        <v>16.296010971962744</v>
      </c>
      <c r="BA471" s="18">
        <v>16.638844920397979</v>
      </c>
      <c r="BB471" s="18">
        <v>16.251512303929122</v>
      </c>
      <c r="BC471" s="23">
        <v>8.9181565948742242E-2</v>
      </c>
      <c r="BD471" s="23">
        <v>0.10665277883445198</v>
      </c>
      <c r="BE471" s="23">
        <v>9.438849084854764E-2</v>
      </c>
      <c r="BF471" s="23">
        <v>7.149564986855049E-2</v>
      </c>
      <c r="BG471" s="23">
        <v>0.10368571810536763</v>
      </c>
      <c r="BH471" s="23">
        <v>8.4970330952544637E-2</v>
      </c>
      <c r="BI471" s="23">
        <v>8.4593878877262704E-2</v>
      </c>
      <c r="BJ471" s="23">
        <v>5.7447105462779965E-2</v>
      </c>
      <c r="BK471" s="23">
        <v>8.5153852345557474E-2</v>
      </c>
      <c r="BL471" s="23">
        <v>7.4158058913035174E-2</v>
      </c>
      <c r="BM471" s="23">
        <v>7.5718189192107169E-2</v>
      </c>
      <c r="BN471" s="23">
        <v>7.3955559365675619E-2</v>
      </c>
    </row>
    <row r="472" spans="1:66" x14ac:dyDescent="0.25">
      <c r="A472" s="16">
        <v>3668</v>
      </c>
      <c r="B472" s="16" t="s">
        <v>667</v>
      </c>
      <c r="C472" s="17">
        <v>0</v>
      </c>
      <c r="D472" s="17">
        <f t="shared" si="268"/>
        <v>0</v>
      </c>
      <c r="E472" s="17">
        <f t="shared" si="269"/>
        <v>0</v>
      </c>
      <c r="F472" s="17">
        <f t="shared" si="270"/>
        <v>0</v>
      </c>
      <c r="G472" s="17">
        <f t="shared" si="271"/>
        <v>0</v>
      </c>
      <c r="H472" s="17">
        <f t="shared" si="272"/>
        <v>0</v>
      </c>
      <c r="I472" s="17">
        <f t="shared" si="273"/>
        <v>0</v>
      </c>
      <c r="J472" s="17">
        <f t="shared" si="274"/>
        <v>0</v>
      </c>
      <c r="K472" s="17">
        <f t="shared" si="275"/>
        <v>0</v>
      </c>
      <c r="L472" s="17">
        <f t="shared" si="276"/>
        <v>0</v>
      </c>
      <c r="M472" s="17">
        <f t="shared" si="277"/>
        <v>0</v>
      </c>
      <c r="N472" s="17">
        <f t="shared" si="278"/>
        <v>0</v>
      </c>
      <c r="O472" s="17">
        <f t="shared" si="279"/>
        <v>0</v>
      </c>
      <c r="P472" s="17">
        <v>0</v>
      </c>
      <c r="Q472" s="17">
        <f t="shared" si="280"/>
        <v>0</v>
      </c>
      <c r="R472" s="17">
        <f t="shared" si="281"/>
        <v>0</v>
      </c>
      <c r="S472" s="17">
        <f t="shared" si="282"/>
        <v>0</v>
      </c>
      <c r="T472" s="17">
        <f t="shared" si="283"/>
        <v>0</v>
      </c>
      <c r="U472" s="17">
        <f t="shared" si="284"/>
        <v>0</v>
      </c>
      <c r="V472" s="17">
        <f t="shared" si="285"/>
        <v>0</v>
      </c>
      <c r="W472" s="17">
        <f t="shared" si="286"/>
        <v>0</v>
      </c>
      <c r="X472" s="17">
        <f t="shared" si="287"/>
        <v>0</v>
      </c>
      <c r="Y472" s="17">
        <f t="shared" si="288"/>
        <v>0</v>
      </c>
      <c r="Z472" s="17">
        <f t="shared" si="289"/>
        <v>0</v>
      </c>
      <c r="AA472" s="17">
        <f t="shared" si="290"/>
        <v>0</v>
      </c>
      <c r="AB472" s="17">
        <f t="shared" si="291"/>
        <v>0</v>
      </c>
      <c r="AC472" s="17">
        <v>0</v>
      </c>
      <c r="AD472" s="17">
        <f t="shared" si="292"/>
        <v>0</v>
      </c>
      <c r="AE472" s="17">
        <f t="shared" si="293"/>
        <v>0</v>
      </c>
      <c r="AF472" s="17">
        <f t="shared" si="294"/>
        <v>0</v>
      </c>
      <c r="AG472" s="17">
        <f t="shared" si="295"/>
        <v>0</v>
      </c>
      <c r="AH472" s="17">
        <f t="shared" si="296"/>
        <v>0</v>
      </c>
      <c r="AI472" s="17">
        <f t="shared" si="297"/>
        <v>0</v>
      </c>
      <c r="AJ472" s="17">
        <f t="shared" si="298"/>
        <v>0</v>
      </c>
      <c r="AK472" s="17">
        <f t="shared" si="299"/>
        <v>0</v>
      </c>
      <c r="AL472" s="17">
        <f t="shared" si="300"/>
        <v>0</v>
      </c>
      <c r="AM472" s="17">
        <f t="shared" si="301"/>
        <v>0</v>
      </c>
      <c r="AN472" s="17">
        <f t="shared" si="302"/>
        <v>0</v>
      </c>
      <c r="AO472" s="17">
        <f t="shared" si="303"/>
        <v>0</v>
      </c>
      <c r="AP472" s="17">
        <f t="shared" si="304"/>
        <v>0</v>
      </c>
      <c r="AQ472" s="18">
        <v>170.28033903085213</v>
      </c>
      <c r="AR472" s="18">
        <v>203.63929636480108</v>
      </c>
      <c r="AS472" s="18">
        <v>180.22226960601887</v>
      </c>
      <c r="AT472" s="18">
        <v>136.51143450256464</v>
      </c>
      <c r="AU472" s="18">
        <v>197.97408852169147</v>
      </c>
      <c r="AV472" s="18">
        <v>162.2395458998673</v>
      </c>
      <c r="AW472" s="18">
        <v>161.52076073024244</v>
      </c>
      <c r="AX472" s="18">
        <v>109.68760741615179</v>
      </c>
      <c r="AY472" s="18">
        <v>162.58995559148002</v>
      </c>
      <c r="AZ472" s="18">
        <v>141.59495047260523</v>
      </c>
      <c r="BA472" s="18">
        <v>144.57381174316609</v>
      </c>
      <c r="BB472" s="18">
        <v>141.20830451936195</v>
      </c>
      <c r="BC472" s="23">
        <v>8.9181565948742242E-2</v>
      </c>
      <c r="BD472" s="23">
        <v>0.10665277883445198</v>
      </c>
      <c r="BE472" s="23">
        <v>9.438849084854764E-2</v>
      </c>
      <c r="BF472" s="23">
        <v>7.149564986855049E-2</v>
      </c>
      <c r="BG472" s="23">
        <v>0.10368571810536763</v>
      </c>
      <c r="BH472" s="23">
        <v>8.4970330952544637E-2</v>
      </c>
      <c r="BI472" s="23">
        <v>8.4593878877262704E-2</v>
      </c>
      <c r="BJ472" s="23">
        <v>5.7447105462779965E-2</v>
      </c>
      <c r="BK472" s="23">
        <v>8.5153852345557474E-2</v>
      </c>
      <c r="BL472" s="23">
        <v>7.4158058913035174E-2</v>
      </c>
      <c r="BM472" s="23">
        <v>7.5718189192107169E-2</v>
      </c>
      <c r="BN472" s="23">
        <v>7.3955559365675619E-2</v>
      </c>
    </row>
    <row r="473" spans="1:66" x14ac:dyDescent="0.25">
      <c r="A473" s="16">
        <v>4157</v>
      </c>
      <c r="B473" s="16" t="s">
        <v>668</v>
      </c>
      <c r="C473" s="17">
        <v>0</v>
      </c>
      <c r="D473" s="17">
        <f t="shared" si="268"/>
        <v>0</v>
      </c>
      <c r="E473" s="17">
        <f t="shared" si="269"/>
        <v>0</v>
      </c>
      <c r="F473" s="17">
        <f t="shared" si="270"/>
        <v>0</v>
      </c>
      <c r="G473" s="17">
        <f t="shared" si="271"/>
        <v>0</v>
      </c>
      <c r="H473" s="17">
        <f t="shared" si="272"/>
        <v>0</v>
      </c>
      <c r="I473" s="17">
        <f t="shared" si="273"/>
        <v>0</v>
      </c>
      <c r="J473" s="17">
        <f t="shared" si="274"/>
        <v>0</v>
      </c>
      <c r="K473" s="17">
        <f t="shared" si="275"/>
        <v>0</v>
      </c>
      <c r="L473" s="17">
        <f t="shared" si="276"/>
        <v>0</v>
      </c>
      <c r="M473" s="17">
        <f t="shared" si="277"/>
        <v>0</v>
      </c>
      <c r="N473" s="17">
        <f t="shared" si="278"/>
        <v>0</v>
      </c>
      <c r="O473" s="17">
        <f t="shared" si="279"/>
        <v>0</v>
      </c>
      <c r="P473" s="17">
        <v>0</v>
      </c>
      <c r="Q473" s="17">
        <f t="shared" si="280"/>
        <v>0</v>
      </c>
      <c r="R473" s="17">
        <f t="shared" si="281"/>
        <v>0</v>
      </c>
      <c r="S473" s="17">
        <f t="shared" si="282"/>
        <v>0</v>
      </c>
      <c r="T473" s="17">
        <f t="shared" si="283"/>
        <v>0</v>
      </c>
      <c r="U473" s="17">
        <f t="shared" si="284"/>
        <v>0</v>
      </c>
      <c r="V473" s="17">
        <f t="shared" si="285"/>
        <v>0</v>
      </c>
      <c r="W473" s="17">
        <f t="shared" si="286"/>
        <v>0</v>
      </c>
      <c r="X473" s="17">
        <f t="shared" si="287"/>
        <v>0</v>
      </c>
      <c r="Y473" s="17">
        <f t="shared" si="288"/>
        <v>0</v>
      </c>
      <c r="Z473" s="17">
        <f t="shared" si="289"/>
        <v>0</v>
      </c>
      <c r="AA473" s="17">
        <f t="shared" si="290"/>
        <v>0</v>
      </c>
      <c r="AB473" s="17">
        <f t="shared" si="291"/>
        <v>0</v>
      </c>
      <c r="AC473" s="17">
        <v>0</v>
      </c>
      <c r="AD473" s="17">
        <f t="shared" si="292"/>
        <v>0</v>
      </c>
      <c r="AE473" s="17">
        <f t="shared" si="293"/>
        <v>0</v>
      </c>
      <c r="AF473" s="17">
        <f t="shared" si="294"/>
        <v>0</v>
      </c>
      <c r="AG473" s="17">
        <f t="shared" si="295"/>
        <v>0</v>
      </c>
      <c r="AH473" s="17">
        <f t="shared" si="296"/>
        <v>0</v>
      </c>
      <c r="AI473" s="17">
        <f t="shared" si="297"/>
        <v>0</v>
      </c>
      <c r="AJ473" s="17">
        <f t="shared" si="298"/>
        <v>0</v>
      </c>
      <c r="AK473" s="17">
        <f t="shared" si="299"/>
        <v>0</v>
      </c>
      <c r="AL473" s="17">
        <f t="shared" si="300"/>
        <v>0</v>
      </c>
      <c r="AM473" s="17">
        <f t="shared" si="301"/>
        <v>0</v>
      </c>
      <c r="AN473" s="17">
        <f t="shared" si="302"/>
        <v>0</v>
      </c>
      <c r="AO473" s="17">
        <f t="shared" si="303"/>
        <v>0</v>
      </c>
      <c r="AP473" s="17">
        <f t="shared" si="304"/>
        <v>0</v>
      </c>
      <c r="AQ473" s="18">
        <v>21.515052785134067</v>
      </c>
      <c r="AR473" s="18">
        <v>25.729982893811542</v>
      </c>
      <c r="AS473" s="18">
        <v>22.77122341721212</v>
      </c>
      <c r="AT473" s="18">
        <v>17.248325530787806</v>
      </c>
      <c r="AU473" s="18">
        <v>25.01417949291994</v>
      </c>
      <c r="AV473" s="18">
        <v>20.499092342301395</v>
      </c>
      <c r="AW473" s="18">
        <v>20.408273279139628</v>
      </c>
      <c r="AX473" s="18">
        <v>13.859114192895667</v>
      </c>
      <c r="AY473" s="18">
        <v>20.543366878365742</v>
      </c>
      <c r="AZ473" s="18">
        <v>17.890631712769736</v>
      </c>
      <c r="BA473" s="18">
        <v>18.267013142595854</v>
      </c>
      <c r="BB473" s="18">
        <v>17.841778696969243</v>
      </c>
      <c r="BC473" s="23">
        <v>8.9181565948742242E-2</v>
      </c>
      <c r="BD473" s="23">
        <v>0.10665277883445198</v>
      </c>
      <c r="BE473" s="23">
        <v>9.438849084854764E-2</v>
      </c>
      <c r="BF473" s="23">
        <v>7.149564986855049E-2</v>
      </c>
      <c r="BG473" s="23">
        <v>0.10368571810536763</v>
      </c>
      <c r="BH473" s="23">
        <v>8.4970330952544637E-2</v>
      </c>
      <c r="BI473" s="23">
        <v>8.4593878877262704E-2</v>
      </c>
      <c r="BJ473" s="23">
        <v>5.7447105462779965E-2</v>
      </c>
      <c r="BK473" s="23">
        <v>8.5153852345557474E-2</v>
      </c>
      <c r="BL473" s="23">
        <v>7.4158058913035174E-2</v>
      </c>
      <c r="BM473" s="23">
        <v>7.5718189192107169E-2</v>
      </c>
      <c r="BN473" s="23">
        <v>7.3955559365675619E-2</v>
      </c>
    </row>
    <row r="474" spans="1:66" x14ac:dyDescent="0.25">
      <c r="A474" s="16">
        <v>5554</v>
      </c>
      <c r="B474" s="16" t="s">
        <v>669</v>
      </c>
      <c r="C474" s="17">
        <v>0</v>
      </c>
      <c r="D474" s="17">
        <f t="shared" si="268"/>
        <v>0</v>
      </c>
      <c r="E474" s="17">
        <f t="shared" si="269"/>
        <v>0</v>
      </c>
      <c r="F474" s="17">
        <f t="shared" si="270"/>
        <v>0</v>
      </c>
      <c r="G474" s="17">
        <f t="shared" si="271"/>
        <v>0</v>
      </c>
      <c r="H474" s="17">
        <f t="shared" si="272"/>
        <v>0</v>
      </c>
      <c r="I474" s="17">
        <f t="shared" si="273"/>
        <v>0</v>
      </c>
      <c r="J474" s="17">
        <f t="shared" si="274"/>
        <v>0</v>
      </c>
      <c r="K474" s="17">
        <f t="shared" si="275"/>
        <v>0</v>
      </c>
      <c r="L474" s="17">
        <f t="shared" si="276"/>
        <v>0</v>
      </c>
      <c r="M474" s="17">
        <f t="shared" si="277"/>
        <v>0</v>
      </c>
      <c r="N474" s="17">
        <f t="shared" si="278"/>
        <v>0</v>
      </c>
      <c r="O474" s="17">
        <f t="shared" si="279"/>
        <v>0</v>
      </c>
      <c r="P474" s="17">
        <v>0</v>
      </c>
      <c r="Q474" s="17">
        <f t="shared" si="280"/>
        <v>0</v>
      </c>
      <c r="R474" s="17">
        <f t="shared" si="281"/>
        <v>0</v>
      </c>
      <c r="S474" s="17">
        <f t="shared" si="282"/>
        <v>0</v>
      </c>
      <c r="T474" s="17">
        <f t="shared" si="283"/>
        <v>0</v>
      </c>
      <c r="U474" s="17">
        <f t="shared" si="284"/>
        <v>0</v>
      </c>
      <c r="V474" s="17">
        <f t="shared" si="285"/>
        <v>0</v>
      </c>
      <c r="W474" s="17">
        <f t="shared" si="286"/>
        <v>0</v>
      </c>
      <c r="X474" s="17">
        <f t="shared" si="287"/>
        <v>0</v>
      </c>
      <c r="Y474" s="17">
        <f t="shared" si="288"/>
        <v>0</v>
      </c>
      <c r="Z474" s="17">
        <f t="shared" si="289"/>
        <v>0</v>
      </c>
      <c r="AA474" s="17">
        <f t="shared" si="290"/>
        <v>0</v>
      </c>
      <c r="AB474" s="17">
        <f t="shared" si="291"/>
        <v>0</v>
      </c>
      <c r="AC474" s="17">
        <v>0</v>
      </c>
      <c r="AD474" s="17">
        <f t="shared" si="292"/>
        <v>0</v>
      </c>
      <c r="AE474" s="17">
        <f t="shared" si="293"/>
        <v>0</v>
      </c>
      <c r="AF474" s="17">
        <f t="shared" si="294"/>
        <v>0</v>
      </c>
      <c r="AG474" s="17">
        <f t="shared" si="295"/>
        <v>0</v>
      </c>
      <c r="AH474" s="17">
        <f t="shared" si="296"/>
        <v>0</v>
      </c>
      <c r="AI474" s="17">
        <f t="shared" si="297"/>
        <v>0</v>
      </c>
      <c r="AJ474" s="17">
        <f t="shared" si="298"/>
        <v>0</v>
      </c>
      <c r="AK474" s="17">
        <f t="shared" si="299"/>
        <v>0</v>
      </c>
      <c r="AL474" s="17">
        <f t="shared" si="300"/>
        <v>0</v>
      </c>
      <c r="AM474" s="17">
        <f t="shared" si="301"/>
        <v>0</v>
      </c>
      <c r="AN474" s="17">
        <f t="shared" si="302"/>
        <v>0</v>
      </c>
      <c r="AO474" s="17">
        <f t="shared" si="303"/>
        <v>0</v>
      </c>
      <c r="AP474" s="17">
        <f t="shared" si="304"/>
        <v>0</v>
      </c>
      <c r="AQ474" s="18">
        <v>17.836313189748449</v>
      </c>
      <c r="AR474" s="18">
        <v>21.330555766890395</v>
      </c>
      <c r="AS474" s="18">
        <v>18.877698169709529</v>
      </c>
      <c r="AT474" s="18">
        <v>14.299129973710098</v>
      </c>
      <c r="AU474" s="18">
        <v>20.737143621073525</v>
      </c>
      <c r="AV474" s="18">
        <v>16.994066190508928</v>
      </c>
      <c r="AW474" s="18">
        <v>16.918775775452541</v>
      </c>
      <c r="AX474" s="18">
        <v>11.489421092555993</v>
      </c>
      <c r="AY474" s="18">
        <v>17.030770469111495</v>
      </c>
      <c r="AZ474" s="18">
        <v>14.831611782607034</v>
      </c>
      <c r="BA474" s="18">
        <v>15.143637838421434</v>
      </c>
      <c r="BB474" s="18">
        <v>14.791111873135124</v>
      </c>
      <c r="BC474" s="23">
        <v>8.9181565948742242E-2</v>
      </c>
      <c r="BD474" s="23">
        <v>0.10665277883445198</v>
      </c>
      <c r="BE474" s="23">
        <v>9.438849084854764E-2</v>
      </c>
      <c r="BF474" s="23">
        <v>7.149564986855049E-2</v>
      </c>
      <c r="BG474" s="23">
        <v>0.10368571810536763</v>
      </c>
      <c r="BH474" s="23">
        <v>8.4970330952544637E-2</v>
      </c>
      <c r="BI474" s="23">
        <v>8.4593878877262704E-2</v>
      </c>
      <c r="BJ474" s="23">
        <v>5.7447105462779965E-2</v>
      </c>
      <c r="BK474" s="23">
        <v>8.5153852345557474E-2</v>
      </c>
      <c r="BL474" s="23">
        <v>7.4158058913035174E-2</v>
      </c>
      <c r="BM474" s="23">
        <v>7.5718189192107169E-2</v>
      </c>
      <c r="BN474" s="23">
        <v>7.3955559365675619E-2</v>
      </c>
    </row>
    <row r="475" spans="1:66" x14ac:dyDescent="0.25">
      <c r="A475" s="16">
        <v>5556</v>
      </c>
      <c r="B475" s="16" t="s">
        <v>670</v>
      </c>
      <c r="C475" s="17">
        <v>0</v>
      </c>
      <c r="D475" s="17">
        <f t="shared" si="268"/>
        <v>0</v>
      </c>
      <c r="E475" s="17">
        <f t="shared" si="269"/>
        <v>0</v>
      </c>
      <c r="F475" s="17">
        <f t="shared" si="270"/>
        <v>0</v>
      </c>
      <c r="G475" s="17">
        <f t="shared" si="271"/>
        <v>0</v>
      </c>
      <c r="H475" s="17">
        <f t="shared" si="272"/>
        <v>0</v>
      </c>
      <c r="I475" s="17">
        <f t="shared" si="273"/>
        <v>0</v>
      </c>
      <c r="J475" s="17">
        <f t="shared" si="274"/>
        <v>0</v>
      </c>
      <c r="K475" s="17">
        <f t="shared" si="275"/>
        <v>0</v>
      </c>
      <c r="L475" s="17">
        <f t="shared" si="276"/>
        <v>0</v>
      </c>
      <c r="M475" s="17">
        <f t="shared" si="277"/>
        <v>0</v>
      </c>
      <c r="N475" s="17">
        <f t="shared" si="278"/>
        <v>0</v>
      </c>
      <c r="O475" s="17">
        <f t="shared" si="279"/>
        <v>0</v>
      </c>
      <c r="P475" s="17">
        <v>0</v>
      </c>
      <c r="Q475" s="17">
        <f t="shared" si="280"/>
        <v>0</v>
      </c>
      <c r="R475" s="17">
        <f t="shared" si="281"/>
        <v>0</v>
      </c>
      <c r="S475" s="17">
        <f t="shared" si="282"/>
        <v>0</v>
      </c>
      <c r="T475" s="17">
        <f t="shared" si="283"/>
        <v>0</v>
      </c>
      <c r="U475" s="17">
        <f t="shared" si="284"/>
        <v>0</v>
      </c>
      <c r="V475" s="17">
        <f t="shared" si="285"/>
        <v>0</v>
      </c>
      <c r="W475" s="17">
        <f t="shared" si="286"/>
        <v>0</v>
      </c>
      <c r="X475" s="17">
        <f t="shared" si="287"/>
        <v>0</v>
      </c>
      <c r="Y475" s="17">
        <f t="shared" si="288"/>
        <v>0</v>
      </c>
      <c r="Z475" s="17">
        <f t="shared" si="289"/>
        <v>0</v>
      </c>
      <c r="AA475" s="17">
        <f t="shared" si="290"/>
        <v>0</v>
      </c>
      <c r="AB475" s="17">
        <f t="shared" si="291"/>
        <v>0</v>
      </c>
      <c r="AC475" s="17">
        <v>0</v>
      </c>
      <c r="AD475" s="17">
        <f t="shared" si="292"/>
        <v>0</v>
      </c>
      <c r="AE475" s="17">
        <f t="shared" si="293"/>
        <v>0</v>
      </c>
      <c r="AF475" s="17">
        <f t="shared" si="294"/>
        <v>0</v>
      </c>
      <c r="AG475" s="17">
        <f t="shared" si="295"/>
        <v>0</v>
      </c>
      <c r="AH475" s="17">
        <f t="shared" si="296"/>
        <v>0</v>
      </c>
      <c r="AI475" s="17">
        <f t="shared" si="297"/>
        <v>0</v>
      </c>
      <c r="AJ475" s="17">
        <f t="shared" si="298"/>
        <v>0</v>
      </c>
      <c r="AK475" s="17">
        <f t="shared" si="299"/>
        <v>0</v>
      </c>
      <c r="AL475" s="17">
        <f t="shared" si="300"/>
        <v>0</v>
      </c>
      <c r="AM475" s="17">
        <f t="shared" si="301"/>
        <v>0</v>
      </c>
      <c r="AN475" s="17">
        <f t="shared" si="302"/>
        <v>0</v>
      </c>
      <c r="AO475" s="17">
        <f t="shared" si="303"/>
        <v>0</v>
      </c>
      <c r="AP475" s="17">
        <f t="shared" si="304"/>
        <v>0</v>
      </c>
      <c r="AQ475" s="18">
        <v>17.836313189748449</v>
      </c>
      <c r="AR475" s="18">
        <v>21.330555766890395</v>
      </c>
      <c r="AS475" s="18">
        <v>18.877698169709529</v>
      </c>
      <c r="AT475" s="18">
        <v>14.299129973710098</v>
      </c>
      <c r="AU475" s="18">
        <v>20.737143621073525</v>
      </c>
      <c r="AV475" s="18">
        <v>16.994066190508928</v>
      </c>
      <c r="AW475" s="18">
        <v>16.918775775452541</v>
      </c>
      <c r="AX475" s="18">
        <v>11.489421092555993</v>
      </c>
      <c r="AY475" s="18">
        <v>17.030770469111495</v>
      </c>
      <c r="AZ475" s="18">
        <v>14.831611782607034</v>
      </c>
      <c r="BA475" s="18">
        <v>15.143637838421434</v>
      </c>
      <c r="BB475" s="18">
        <v>14.791111873135124</v>
      </c>
      <c r="BC475" s="23">
        <v>8.9181565948742242E-2</v>
      </c>
      <c r="BD475" s="23">
        <v>0.10665277883445198</v>
      </c>
      <c r="BE475" s="23">
        <v>9.438849084854764E-2</v>
      </c>
      <c r="BF475" s="23">
        <v>7.149564986855049E-2</v>
      </c>
      <c r="BG475" s="23">
        <v>0.10368571810536763</v>
      </c>
      <c r="BH475" s="23">
        <v>8.4970330952544637E-2</v>
      </c>
      <c r="BI475" s="23">
        <v>8.4593878877262704E-2</v>
      </c>
      <c r="BJ475" s="23">
        <v>5.7447105462779965E-2</v>
      </c>
      <c r="BK475" s="23">
        <v>8.5153852345557474E-2</v>
      </c>
      <c r="BL475" s="23">
        <v>7.4158058913035174E-2</v>
      </c>
      <c r="BM475" s="23">
        <v>7.5718189192107169E-2</v>
      </c>
      <c r="BN475" s="23">
        <v>7.3955559365675619E-2</v>
      </c>
    </row>
    <row r="476" spans="1:66" x14ac:dyDescent="0.25">
      <c r="A476" s="16">
        <v>5560</v>
      </c>
      <c r="B476" s="16" t="s">
        <v>671</v>
      </c>
      <c r="C476" s="17">
        <v>0</v>
      </c>
      <c r="D476" s="17">
        <f t="shared" si="268"/>
        <v>0</v>
      </c>
      <c r="E476" s="17">
        <f t="shared" si="269"/>
        <v>0</v>
      </c>
      <c r="F476" s="17">
        <f t="shared" si="270"/>
        <v>0</v>
      </c>
      <c r="G476" s="17">
        <f t="shared" si="271"/>
        <v>0</v>
      </c>
      <c r="H476" s="17">
        <f t="shared" si="272"/>
        <v>0</v>
      </c>
      <c r="I476" s="17">
        <f t="shared" si="273"/>
        <v>0</v>
      </c>
      <c r="J476" s="17">
        <f t="shared" si="274"/>
        <v>0</v>
      </c>
      <c r="K476" s="17">
        <f t="shared" si="275"/>
        <v>0</v>
      </c>
      <c r="L476" s="17">
        <f t="shared" si="276"/>
        <v>0</v>
      </c>
      <c r="M476" s="17">
        <f t="shared" si="277"/>
        <v>0</v>
      </c>
      <c r="N476" s="17">
        <f t="shared" si="278"/>
        <v>0</v>
      </c>
      <c r="O476" s="17">
        <f t="shared" si="279"/>
        <v>0</v>
      </c>
      <c r="P476" s="17">
        <v>0</v>
      </c>
      <c r="Q476" s="17">
        <f t="shared" si="280"/>
        <v>0</v>
      </c>
      <c r="R476" s="17">
        <f t="shared" si="281"/>
        <v>0</v>
      </c>
      <c r="S476" s="17">
        <f t="shared" si="282"/>
        <v>0</v>
      </c>
      <c r="T476" s="17">
        <f t="shared" si="283"/>
        <v>0</v>
      </c>
      <c r="U476" s="17">
        <f t="shared" si="284"/>
        <v>0</v>
      </c>
      <c r="V476" s="17">
        <f t="shared" si="285"/>
        <v>0</v>
      </c>
      <c r="W476" s="17">
        <f t="shared" si="286"/>
        <v>0</v>
      </c>
      <c r="X476" s="17">
        <f t="shared" si="287"/>
        <v>0</v>
      </c>
      <c r="Y476" s="17">
        <f t="shared" si="288"/>
        <v>0</v>
      </c>
      <c r="Z476" s="17">
        <f t="shared" si="289"/>
        <v>0</v>
      </c>
      <c r="AA476" s="17">
        <f t="shared" si="290"/>
        <v>0</v>
      </c>
      <c r="AB476" s="17">
        <f t="shared" si="291"/>
        <v>0</v>
      </c>
      <c r="AC476" s="17">
        <v>0</v>
      </c>
      <c r="AD476" s="17">
        <f t="shared" si="292"/>
        <v>0</v>
      </c>
      <c r="AE476" s="17">
        <f t="shared" si="293"/>
        <v>0</v>
      </c>
      <c r="AF476" s="17">
        <f t="shared" si="294"/>
        <v>0</v>
      </c>
      <c r="AG476" s="17">
        <f t="shared" si="295"/>
        <v>0</v>
      </c>
      <c r="AH476" s="17">
        <f t="shared" si="296"/>
        <v>0</v>
      </c>
      <c r="AI476" s="17">
        <f t="shared" si="297"/>
        <v>0</v>
      </c>
      <c r="AJ476" s="17">
        <f t="shared" si="298"/>
        <v>0</v>
      </c>
      <c r="AK476" s="17">
        <f t="shared" si="299"/>
        <v>0</v>
      </c>
      <c r="AL476" s="17">
        <f t="shared" si="300"/>
        <v>0</v>
      </c>
      <c r="AM476" s="17">
        <f t="shared" si="301"/>
        <v>0</v>
      </c>
      <c r="AN476" s="17">
        <f t="shared" si="302"/>
        <v>0</v>
      </c>
      <c r="AO476" s="17">
        <f t="shared" si="303"/>
        <v>0</v>
      </c>
      <c r="AP476" s="17">
        <f t="shared" si="304"/>
        <v>0</v>
      </c>
      <c r="AQ476" s="18">
        <v>17.836313189748449</v>
      </c>
      <c r="AR476" s="18">
        <v>21.330555766890395</v>
      </c>
      <c r="AS476" s="18">
        <v>18.877698169709529</v>
      </c>
      <c r="AT476" s="18">
        <v>14.299129973710098</v>
      </c>
      <c r="AU476" s="18">
        <v>20.737143621073525</v>
      </c>
      <c r="AV476" s="18">
        <v>16.994066190508928</v>
      </c>
      <c r="AW476" s="18">
        <v>16.918775775452541</v>
      </c>
      <c r="AX476" s="18">
        <v>11.489421092555993</v>
      </c>
      <c r="AY476" s="18">
        <v>17.030770469111495</v>
      </c>
      <c r="AZ476" s="18">
        <v>14.831611782607034</v>
      </c>
      <c r="BA476" s="18">
        <v>15.143637838421434</v>
      </c>
      <c r="BB476" s="18">
        <v>14.791111873135124</v>
      </c>
      <c r="BC476" s="23">
        <v>8.9181565948742242E-2</v>
      </c>
      <c r="BD476" s="23">
        <v>0.10665277883445198</v>
      </c>
      <c r="BE476" s="23">
        <v>9.438849084854764E-2</v>
      </c>
      <c r="BF476" s="23">
        <v>7.149564986855049E-2</v>
      </c>
      <c r="BG476" s="23">
        <v>0.10368571810536763</v>
      </c>
      <c r="BH476" s="23">
        <v>8.4970330952544637E-2</v>
      </c>
      <c r="BI476" s="23">
        <v>8.4593878877262704E-2</v>
      </c>
      <c r="BJ476" s="23">
        <v>5.7447105462779965E-2</v>
      </c>
      <c r="BK476" s="23">
        <v>8.5153852345557474E-2</v>
      </c>
      <c r="BL476" s="23">
        <v>7.4158058913035174E-2</v>
      </c>
      <c r="BM476" s="23">
        <v>7.5718189192107169E-2</v>
      </c>
      <c r="BN476" s="23">
        <v>7.3955559365675619E-2</v>
      </c>
    </row>
    <row r="477" spans="1:66" x14ac:dyDescent="0.25">
      <c r="A477" s="16">
        <v>6557</v>
      </c>
      <c r="B477" s="16" t="s">
        <v>672</v>
      </c>
      <c r="C477" s="17">
        <v>0</v>
      </c>
      <c r="D477" s="17">
        <f t="shared" si="268"/>
        <v>0</v>
      </c>
      <c r="E477" s="17">
        <f t="shared" si="269"/>
        <v>0</v>
      </c>
      <c r="F477" s="17">
        <f t="shared" si="270"/>
        <v>0</v>
      </c>
      <c r="G477" s="17">
        <f t="shared" si="271"/>
        <v>0</v>
      </c>
      <c r="H477" s="17">
        <f t="shared" si="272"/>
        <v>0</v>
      </c>
      <c r="I477" s="17">
        <f t="shared" si="273"/>
        <v>0</v>
      </c>
      <c r="J477" s="17">
        <f t="shared" si="274"/>
        <v>0</v>
      </c>
      <c r="K477" s="17">
        <f t="shared" si="275"/>
        <v>0</v>
      </c>
      <c r="L477" s="17">
        <f t="shared" si="276"/>
        <v>0</v>
      </c>
      <c r="M477" s="17">
        <f t="shared" si="277"/>
        <v>0</v>
      </c>
      <c r="N477" s="17">
        <f t="shared" si="278"/>
        <v>0</v>
      </c>
      <c r="O477" s="17">
        <f t="shared" si="279"/>
        <v>0</v>
      </c>
      <c r="P477" s="17">
        <v>0</v>
      </c>
      <c r="Q477" s="17">
        <f t="shared" si="280"/>
        <v>0</v>
      </c>
      <c r="R477" s="17">
        <f t="shared" si="281"/>
        <v>0</v>
      </c>
      <c r="S477" s="17">
        <f t="shared" si="282"/>
        <v>0</v>
      </c>
      <c r="T477" s="17">
        <f t="shared" si="283"/>
        <v>0</v>
      </c>
      <c r="U477" s="17">
        <f t="shared" si="284"/>
        <v>0</v>
      </c>
      <c r="V477" s="17">
        <f t="shared" si="285"/>
        <v>0</v>
      </c>
      <c r="W477" s="17">
        <f t="shared" si="286"/>
        <v>0</v>
      </c>
      <c r="X477" s="17">
        <f t="shared" si="287"/>
        <v>0</v>
      </c>
      <c r="Y477" s="17">
        <f t="shared" si="288"/>
        <v>0</v>
      </c>
      <c r="Z477" s="17">
        <f t="shared" si="289"/>
        <v>0</v>
      </c>
      <c r="AA477" s="17">
        <f t="shared" si="290"/>
        <v>0</v>
      </c>
      <c r="AB477" s="17">
        <f t="shared" si="291"/>
        <v>0</v>
      </c>
      <c r="AC477" s="17">
        <v>0</v>
      </c>
      <c r="AD477" s="17">
        <f t="shared" si="292"/>
        <v>0</v>
      </c>
      <c r="AE477" s="17">
        <f t="shared" si="293"/>
        <v>0</v>
      </c>
      <c r="AF477" s="17">
        <f t="shared" si="294"/>
        <v>0</v>
      </c>
      <c r="AG477" s="17">
        <f t="shared" si="295"/>
        <v>0</v>
      </c>
      <c r="AH477" s="17">
        <f t="shared" si="296"/>
        <v>0</v>
      </c>
      <c r="AI477" s="17">
        <f t="shared" si="297"/>
        <v>0</v>
      </c>
      <c r="AJ477" s="17">
        <f t="shared" si="298"/>
        <v>0</v>
      </c>
      <c r="AK477" s="17">
        <f t="shared" si="299"/>
        <v>0</v>
      </c>
      <c r="AL477" s="17">
        <f t="shared" si="300"/>
        <v>0</v>
      </c>
      <c r="AM477" s="17">
        <f t="shared" si="301"/>
        <v>0</v>
      </c>
      <c r="AN477" s="17">
        <f t="shared" si="302"/>
        <v>0</v>
      </c>
      <c r="AO477" s="17">
        <f t="shared" si="303"/>
        <v>0</v>
      </c>
      <c r="AP477" s="17">
        <f t="shared" si="304"/>
        <v>0</v>
      </c>
      <c r="AQ477" s="18">
        <v>17.836313189748449</v>
      </c>
      <c r="AR477" s="18">
        <v>21.330555766890395</v>
      </c>
      <c r="AS477" s="18">
        <v>18.877698169709529</v>
      </c>
      <c r="AT477" s="18">
        <v>14.299129973710098</v>
      </c>
      <c r="AU477" s="18">
        <v>20.737143621073525</v>
      </c>
      <c r="AV477" s="18">
        <v>16.994066190508928</v>
      </c>
      <c r="AW477" s="18">
        <v>16.918775775452541</v>
      </c>
      <c r="AX477" s="18">
        <v>11.489421092555993</v>
      </c>
      <c r="AY477" s="18">
        <v>17.030770469111495</v>
      </c>
      <c r="AZ477" s="18">
        <v>14.831611782607034</v>
      </c>
      <c r="BA477" s="18">
        <v>15.143637838421434</v>
      </c>
      <c r="BB477" s="18">
        <v>14.791111873135124</v>
      </c>
      <c r="BC477" s="23">
        <v>8.9181565948742242E-2</v>
      </c>
      <c r="BD477" s="23">
        <v>0.10665277883445198</v>
      </c>
      <c r="BE477" s="23">
        <v>9.438849084854764E-2</v>
      </c>
      <c r="BF477" s="23">
        <v>7.149564986855049E-2</v>
      </c>
      <c r="BG477" s="23">
        <v>0.10368571810536763</v>
      </c>
      <c r="BH477" s="23">
        <v>8.4970330952544637E-2</v>
      </c>
      <c r="BI477" s="23">
        <v>8.4593878877262704E-2</v>
      </c>
      <c r="BJ477" s="23">
        <v>5.7447105462779965E-2</v>
      </c>
      <c r="BK477" s="23">
        <v>8.5153852345557474E-2</v>
      </c>
      <c r="BL477" s="23">
        <v>7.4158058913035174E-2</v>
      </c>
      <c r="BM477" s="23">
        <v>7.5718189192107169E-2</v>
      </c>
      <c r="BN477" s="23">
        <v>7.3955559365675619E-2</v>
      </c>
    </row>
    <row r="478" spans="1:66" x14ac:dyDescent="0.25">
      <c r="A478" s="16">
        <v>6588</v>
      </c>
      <c r="B478" s="16" t="s">
        <v>673</v>
      </c>
      <c r="C478" s="17">
        <v>0</v>
      </c>
      <c r="D478" s="17">
        <f t="shared" si="268"/>
        <v>0</v>
      </c>
      <c r="E478" s="17">
        <f t="shared" si="269"/>
        <v>0</v>
      </c>
      <c r="F478" s="17">
        <f t="shared" si="270"/>
        <v>0</v>
      </c>
      <c r="G478" s="17">
        <f t="shared" si="271"/>
        <v>0</v>
      </c>
      <c r="H478" s="17">
        <f t="shared" si="272"/>
        <v>0</v>
      </c>
      <c r="I478" s="17">
        <f t="shared" si="273"/>
        <v>0</v>
      </c>
      <c r="J478" s="17">
        <f t="shared" si="274"/>
        <v>0</v>
      </c>
      <c r="K478" s="17">
        <f t="shared" si="275"/>
        <v>0</v>
      </c>
      <c r="L478" s="17">
        <f t="shared" si="276"/>
        <v>0</v>
      </c>
      <c r="M478" s="17">
        <f t="shared" si="277"/>
        <v>0</v>
      </c>
      <c r="N478" s="17">
        <f t="shared" si="278"/>
        <v>0</v>
      </c>
      <c r="O478" s="17">
        <f t="shared" si="279"/>
        <v>0</v>
      </c>
      <c r="P478" s="17">
        <v>0</v>
      </c>
      <c r="Q478" s="17">
        <f t="shared" si="280"/>
        <v>0</v>
      </c>
      <c r="R478" s="17">
        <f t="shared" si="281"/>
        <v>0</v>
      </c>
      <c r="S478" s="17">
        <f t="shared" si="282"/>
        <v>0</v>
      </c>
      <c r="T478" s="17">
        <f t="shared" si="283"/>
        <v>0</v>
      </c>
      <c r="U478" s="17">
        <f t="shared" si="284"/>
        <v>0</v>
      </c>
      <c r="V478" s="17">
        <f t="shared" si="285"/>
        <v>0</v>
      </c>
      <c r="W478" s="17">
        <f t="shared" si="286"/>
        <v>0</v>
      </c>
      <c r="X478" s="17">
        <f t="shared" si="287"/>
        <v>0</v>
      </c>
      <c r="Y478" s="17">
        <f t="shared" si="288"/>
        <v>0</v>
      </c>
      <c r="Z478" s="17">
        <f t="shared" si="289"/>
        <v>0</v>
      </c>
      <c r="AA478" s="17">
        <f t="shared" si="290"/>
        <v>0</v>
      </c>
      <c r="AB478" s="17">
        <f t="shared" si="291"/>
        <v>0</v>
      </c>
      <c r="AC478" s="17">
        <v>0</v>
      </c>
      <c r="AD478" s="17">
        <f t="shared" si="292"/>
        <v>0</v>
      </c>
      <c r="AE478" s="17">
        <f t="shared" si="293"/>
        <v>0</v>
      </c>
      <c r="AF478" s="17">
        <f t="shared" si="294"/>
        <v>0</v>
      </c>
      <c r="AG478" s="17">
        <f t="shared" si="295"/>
        <v>0</v>
      </c>
      <c r="AH478" s="17">
        <f t="shared" si="296"/>
        <v>0</v>
      </c>
      <c r="AI478" s="17">
        <f t="shared" si="297"/>
        <v>0</v>
      </c>
      <c r="AJ478" s="17">
        <f t="shared" si="298"/>
        <v>0</v>
      </c>
      <c r="AK478" s="17">
        <f t="shared" si="299"/>
        <v>0</v>
      </c>
      <c r="AL478" s="17">
        <f t="shared" si="300"/>
        <v>0</v>
      </c>
      <c r="AM478" s="17">
        <f t="shared" si="301"/>
        <v>0</v>
      </c>
      <c r="AN478" s="17">
        <f t="shared" si="302"/>
        <v>0</v>
      </c>
      <c r="AO478" s="17">
        <f t="shared" si="303"/>
        <v>0</v>
      </c>
      <c r="AP478" s="17">
        <f t="shared" si="304"/>
        <v>0</v>
      </c>
      <c r="AQ478" s="18">
        <v>17.836313189748449</v>
      </c>
      <c r="AR478" s="18">
        <v>21.330555766890395</v>
      </c>
      <c r="AS478" s="18">
        <v>18.877698169709529</v>
      </c>
      <c r="AT478" s="18">
        <v>14.299129973710098</v>
      </c>
      <c r="AU478" s="18">
        <v>20.737143621073525</v>
      </c>
      <c r="AV478" s="18">
        <v>16.994066190508928</v>
      </c>
      <c r="AW478" s="18">
        <v>16.918775775452541</v>
      </c>
      <c r="AX478" s="18">
        <v>11.489421092555993</v>
      </c>
      <c r="AY478" s="18">
        <v>17.030770469111495</v>
      </c>
      <c r="AZ478" s="18">
        <v>14.831611782607034</v>
      </c>
      <c r="BA478" s="18">
        <v>15.143637838421434</v>
      </c>
      <c r="BB478" s="18">
        <v>14.791111873135124</v>
      </c>
      <c r="BC478" s="23">
        <v>8.9181565948742242E-2</v>
      </c>
      <c r="BD478" s="23">
        <v>0.10665277883445198</v>
      </c>
      <c r="BE478" s="23">
        <v>9.438849084854764E-2</v>
      </c>
      <c r="BF478" s="23">
        <v>7.149564986855049E-2</v>
      </c>
      <c r="BG478" s="23">
        <v>0.10368571810536763</v>
      </c>
      <c r="BH478" s="23">
        <v>8.4970330952544637E-2</v>
      </c>
      <c r="BI478" s="23">
        <v>8.4593878877262704E-2</v>
      </c>
      <c r="BJ478" s="23">
        <v>5.7447105462779965E-2</v>
      </c>
      <c r="BK478" s="23">
        <v>8.5153852345557474E-2</v>
      </c>
      <c r="BL478" s="23">
        <v>7.4158058913035174E-2</v>
      </c>
      <c r="BM478" s="23">
        <v>7.5718189192107169E-2</v>
      </c>
      <c r="BN478" s="23">
        <v>7.3955559365675619E-2</v>
      </c>
    </row>
    <row r="479" spans="1:66" x14ac:dyDescent="0.25">
      <c r="A479" s="16">
        <v>6665</v>
      </c>
      <c r="B479" s="16" t="s">
        <v>674</v>
      </c>
      <c r="C479" s="17">
        <v>188.87</v>
      </c>
      <c r="D479" s="17">
        <f t="shared" si="268"/>
        <v>16.843722360738948</v>
      </c>
      <c r="E479" s="17">
        <f t="shared" si="269"/>
        <v>20.143510338462946</v>
      </c>
      <c r="F479" s="17">
        <f t="shared" si="270"/>
        <v>17.827154266565195</v>
      </c>
      <c r="G479" s="17">
        <f t="shared" si="271"/>
        <v>13.503383390673131</v>
      </c>
      <c r="H479" s="17">
        <f t="shared" si="272"/>
        <v>19.583121578560785</v>
      </c>
      <c r="I479" s="17">
        <f t="shared" si="273"/>
        <v>16.048346407007106</v>
      </c>
      <c r="J479" s="17">
        <f t="shared" si="274"/>
        <v>15.977245903548607</v>
      </c>
      <c r="K479" s="17">
        <f t="shared" si="275"/>
        <v>10.850034808755252</v>
      </c>
      <c r="L479" s="17">
        <f t="shared" si="276"/>
        <v>16.083008092505441</v>
      </c>
      <c r="M479" s="17">
        <f t="shared" si="277"/>
        <v>14.006232586904954</v>
      </c>
      <c r="N479" s="17">
        <f t="shared" si="278"/>
        <v>14.300894392713282</v>
      </c>
      <c r="O479" s="17">
        <f t="shared" si="279"/>
        <v>13.967986497395154</v>
      </c>
      <c r="P479" s="17">
        <v>0</v>
      </c>
      <c r="Q479" s="17">
        <f t="shared" si="280"/>
        <v>0</v>
      </c>
      <c r="R479" s="17">
        <f t="shared" si="281"/>
        <v>0</v>
      </c>
      <c r="S479" s="17">
        <f t="shared" si="282"/>
        <v>0</v>
      </c>
      <c r="T479" s="17">
        <f t="shared" si="283"/>
        <v>0</v>
      </c>
      <c r="U479" s="17">
        <f t="shared" si="284"/>
        <v>0</v>
      </c>
      <c r="V479" s="17">
        <f t="shared" si="285"/>
        <v>0</v>
      </c>
      <c r="W479" s="17">
        <f t="shared" si="286"/>
        <v>0</v>
      </c>
      <c r="X479" s="17">
        <f t="shared" si="287"/>
        <v>0</v>
      </c>
      <c r="Y479" s="17">
        <f t="shared" si="288"/>
        <v>0</v>
      </c>
      <c r="Z479" s="17">
        <f t="shared" si="289"/>
        <v>0</v>
      </c>
      <c r="AA479" s="17">
        <f t="shared" si="290"/>
        <v>0</v>
      </c>
      <c r="AB479" s="17">
        <f t="shared" si="291"/>
        <v>0</v>
      </c>
      <c r="AC479" s="17">
        <v>0</v>
      </c>
      <c r="AD479" s="17">
        <f t="shared" si="292"/>
        <v>0</v>
      </c>
      <c r="AE479" s="17">
        <f t="shared" si="293"/>
        <v>0</v>
      </c>
      <c r="AF479" s="17">
        <f t="shared" si="294"/>
        <v>0</v>
      </c>
      <c r="AG479" s="17">
        <f t="shared" si="295"/>
        <v>0</v>
      </c>
      <c r="AH479" s="17">
        <f t="shared" si="296"/>
        <v>0</v>
      </c>
      <c r="AI479" s="17">
        <f t="shared" si="297"/>
        <v>0</v>
      </c>
      <c r="AJ479" s="17">
        <f t="shared" si="298"/>
        <v>0</v>
      </c>
      <c r="AK479" s="17">
        <f t="shared" si="299"/>
        <v>0</v>
      </c>
      <c r="AL479" s="17">
        <f t="shared" si="300"/>
        <v>0</v>
      </c>
      <c r="AM479" s="17">
        <f t="shared" si="301"/>
        <v>0</v>
      </c>
      <c r="AN479" s="17">
        <f t="shared" si="302"/>
        <v>0</v>
      </c>
      <c r="AO479" s="17">
        <f t="shared" si="303"/>
        <v>0</v>
      </c>
      <c r="AP479" s="17">
        <f t="shared" si="304"/>
        <v>188.87</v>
      </c>
      <c r="AQ479" s="18">
        <v>17.251728024954442</v>
      </c>
      <c r="AR479" s="18">
        <v>20.631446801630563</v>
      </c>
      <c r="AS479" s="18">
        <v>18.258981612197296</v>
      </c>
      <c r="AT479" s="18">
        <v>13.83047598882175</v>
      </c>
      <c r="AU479" s="18">
        <v>20.057483738892842</v>
      </c>
      <c r="AV479" s="18">
        <v>16.437085671114996</v>
      </c>
      <c r="AW479" s="18">
        <v>16.364262899412083</v>
      </c>
      <c r="AX479" s="18">
        <v>11.112855316247471</v>
      </c>
      <c r="AY479" s="18">
        <v>16.472586966986366</v>
      </c>
      <c r="AZ479" s="18">
        <v>14.345505706432089</v>
      </c>
      <c r="BA479" s="18">
        <v>14.647305108267171</v>
      </c>
      <c r="BB479" s="18">
        <v>14.30633318149312</v>
      </c>
      <c r="BC479" s="23">
        <v>8.9181565948742242E-2</v>
      </c>
      <c r="BD479" s="23">
        <v>0.10665277883445198</v>
      </c>
      <c r="BE479" s="23">
        <v>9.438849084854764E-2</v>
      </c>
      <c r="BF479" s="23">
        <v>7.149564986855049E-2</v>
      </c>
      <c r="BG479" s="23">
        <v>0.10368571810536763</v>
      </c>
      <c r="BH479" s="23">
        <v>8.4970330952544637E-2</v>
      </c>
      <c r="BI479" s="23">
        <v>8.4593878877262704E-2</v>
      </c>
      <c r="BJ479" s="23">
        <v>5.7447105462779965E-2</v>
      </c>
      <c r="BK479" s="23">
        <v>8.5153852345557474E-2</v>
      </c>
      <c r="BL479" s="23">
        <v>7.4158058913035174E-2</v>
      </c>
      <c r="BM479" s="23">
        <v>7.5718189192107169E-2</v>
      </c>
      <c r="BN479" s="23">
        <v>7.3955559365675619E-2</v>
      </c>
    </row>
    <row r="480" spans="1:66" x14ac:dyDescent="0.25">
      <c r="A480" s="16">
        <v>6595</v>
      </c>
      <c r="B480" s="16" t="s">
        <v>675</v>
      </c>
      <c r="C480" s="17">
        <v>0</v>
      </c>
      <c r="D480" s="17">
        <f t="shared" si="268"/>
        <v>0</v>
      </c>
      <c r="E480" s="17">
        <f t="shared" si="269"/>
        <v>0</v>
      </c>
      <c r="F480" s="17">
        <f t="shared" si="270"/>
        <v>0</v>
      </c>
      <c r="G480" s="17">
        <f t="shared" si="271"/>
        <v>0</v>
      </c>
      <c r="H480" s="17">
        <f t="shared" si="272"/>
        <v>0</v>
      </c>
      <c r="I480" s="17">
        <f t="shared" si="273"/>
        <v>0</v>
      </c>
      <c r="J480" s="17">
        <f t="shared" si="274"/>
        <v>0</v>
      </c>
      <c r="K480" s="17">
        <f t="shared" si="275"/>
        <v>0</v>
      </c>
      <c r="L480" s="17">
        <f t="shared" si="276"/>
        <v>0</v>
      </c>
      <c r="M480" s="17">
        <f t="shared" si="277"/>
        <v>0</v>
      </c>
      <c r="N480" s="17">
        <f t="shared" si="278"/>
        <v>0</v>
      </c>
      <c r="O480" s="17">
        <f t="shared" si="279"/>
        <v>0</v>
      </c>
      <c r="P480" s="17">
        <v>0</v>
      </c>
      <c r="Q480" s="17">
        <f t="shared" si="280"/>
        <v>0</v>
      </c>
      <c r="R480" s="17">
        <f t="shared" si="281"/>
        <v>0</v>
      </c>
      <c r="S480" s="17">
        <f t="shared" si="282"/>
        <v>0</v>
      </c>
      <c r="T480" s="17">
        <f t="shared" si="283"/>
        <v>0</v>
      </c>
      <c r="U480" s="17">
        <f t="shared" si="284"/>
        <v>0</v>
      </c>
      <c r="V480" s="17">
        <f t="shared" si="285"/>
        <v>0</v>
      </c>
      <c r="W480" s="17">
        <f t="shared" si="286"/>
        <v>0</v>
      </c>
      <c r="X480" s="17">
        <f t="shared" si="287"/>
        <v>0</v>
      </c>
      <c r="Y480" s="17">
        <f t="shared" si="288"/>
        <v>0</v>
      </c>
      <c r="Z480" s="17">
        <f t="shared" si="289"/>
        <v>0</v>
      </c>
      <c r="AA480" s="17">
        <f t="shared" si="290"/>
        <v>0</v>
      </c>
      <c r="AB480" s="17">
        <f t="shared" si="291"/>
        <v>0</v>
      </c>
      <c r="AC480" s="17">
        <v>0</v>
      </c>
      <c r="AD480" s="17">
        <f t="shared" si="292"/>
        <v>0</v>
      </c>
      <c r="AE480" s="17">
        <f t="shared" si="293"/>
        <v>0</v>
      </c>
      <c r="AF480" s="17">
        <f t="shared" si="294"/>
        <v>0</v>
      </c>
      <c r="AG480" s="17">
        <f t="shared" si="295"/>
        <v>0</v>
      </c>
      <c r="AH480" s="17">
        <f t="shared" si="296"/>
        <v>0</v>
      </c>
      <c r="AI480" s="17">
        <f t="shared" si="297"/>
        <v>0</v>
      </c>
      <c r="AJ480" s="17">
        <f t="shared" si="298"/>
        <v>0</v>
      </c>
      <c r="AK480" s="17">
        <f t="shared" si="299"/>
        <v>0</v>
      </c>
      <c r="AL480" s="17">
        <f t="shared" si="300"/>
        <v>0</v>
      </c>
      <c r="AM480" s="17">
        <f t="shared" si="301"/>
        <v>0</v>
      </c>
      <c r="AN480" s="17">
        <f t="shared" si="302"/>
        <v>0</v>
      </c>
      <c r="AO480" s="17">
        <f t="shared" si="303"/>
        <v>0</v>
      </c>
      <c r="AP480" s="17">
        <f t="shared" si="304"/>
        <v>0</v>
      </c>
      <c r="AQ480" s="18">
        <v>16.843722360738948</v>
      </c>
      <c r="AR480" s="18">
        <v>20.143510338462946</v>
      </c>
      <c r="AS480" s="18">
        <v>17.827154266565195</v>
      </c>
      <c r="AT480" s="18">
        <v>13.503383390673131</v>
      </c>
      <c r="AU480" s="18">
        <v>19.583121578560785</v>
      </c>
      <c r="AV480" s="18">
        <v>16.048346407007106</v>
      </c>
      <c r="AW480" s="18">
        <v>15.977245903548607</v>
      </c>
      <c r="AX480" s="18">
        <v>10.850034808755252</v>
      </c>
      <c r="AY480" s="18">
        <v>16.083008092505441</v>
      </c>
      <c r="AZ480" s="18">
        <v>14.006232586904954</v>
      </c>
      <c r="BA480" s="18">
        <v>14.300894392713282</v>
      </c>
      <c r="BB480" s="18">
        <v>13.967986497395154</v>
      </c>
      <c r="BC480" s="23">
        <v>8.9181565948742242E-2</v>
      </c>
      <c r="BD480" s="23">
        <v>0.10665277883445198</v>
      </c>
      <c r="BE480" s="23">
        <v>9.438849084854764E-2</v>
      </c>
      <c r="BF480" s="23">
        <v>7.149564986855049E-2</v>
      </c>
      <c r="BG480" s="23">
        <v>0.10368571810536763</v>
      </c>
      <c r="BH480" s="23">
        <v>8.4970330952544637E-2</v>
      </c>
      <c r="BI480" s="23">
        <v>8.4593878877262704E-2</v>
      </c>
      <c r="BJ480" s="23">
        <v>5.7447105462779965E-2</v>
      </c>
      <c r="BK480" s="23">
        <v>8.5153852345557474E-2</v>
      </c>
      <c r="BL480" s="23">
        <v>7.4158058913035174E-2</v>
      </c>
      <c r="BM480" s="23">
        <v>7.5718189192107169E-2</v>
      </c>
      <c r="BN480" s="23">
        <v>7.3955559365675619E-2</v>
      </c>
    </row>
    <row r="481" spans="1:66" x14ac:dyDescent="0.25">
      <c r="A481" s="16">
        <v>3552</v>
      </c>
      <c r="B481" s="16" t="s">
        <v>676</v>
      </c>
      <c r="C481" s="17">
        <v>0</v>
      </c>
      <c r="D481" s="17">
        <f t="shared" si="268"/>
        <v>0</v>
      </c>
      <c r="E481" s="17">
        <f t="shared" si="269"/>
        <v>0</v>
      </c>
      <c r="F481" s="17">
        <f t="shared" si="270"/>
        <v>0</v>
      </c>
      <c r="G481" s="17">
        <f t="shared" si="271"/>
        <v>0</v>
      </c>
      <c r="H481" s="17">
        <f t="shared" si="272"/>
        <v>0</v>
      </c>
      <c r="I481" s="17">
        <f t="shared" si="273"/>
        <v>0</v>
      </c>
      <c r="J481" s="17">
        <f t="shared" si="274"/>
        <v>0</v>
      </c>
      <c r="K481" s="17">
        <f t="shared" si="275"/>
        <v>0</v>
      </c>
      <c r="L481" s="17">
        <f t="shared" si="276"/>
        <v>0</v>
      </c>
      <c r="M481" s="17">
        <f t="shared" si="277"/>
        <v>0</v>
      </c>
      <c r="N481" s="17">
        <f t="shared" si="278"/>
        <v>0</v>
      </c>
      <c r="O481" s="17">
        <f t="shared" si="279"/>
        <v>0</v>
      </c>
      <c r="P481" s="17">
        <v>0</v>
      </c>
      <c r="Q481" s="17">
        <f t="shared" si="280"/>
        <v>0</v>
      </c>
      <c r="R481" s="17">
        <f t="shared" si="281"/>
        <v>0</v>
      </c>
      <c r="S481" s="17">
        <f t="shared" si="282"/>
        <v>0</v>
      </c>
      <c r="T481" s="17">
        <f t="shared" si="283"/>
        <v>0</v>
      </c>
      <c r="U481" s="17">
        <f t="shared" si="284"/>
        <v>0</v>
      </c>
      <c r="V481" s="17">
        <f t="shared" si="285"/>
        <v>0</v>
      </c>
      <c r="W481" s="17">
        <f t="shared" si="286"/>
        <v>0</v>
      </c>
      <c r="X481" s="17">
        <f t="shared" si="287"/>
        <v>0</v>
      </c>
      <c r="Y481" s="17">
        <f t="shared" si="288"/>
        <v>0</v>
      </c>
      <c r="Z481" s="17">
        <f t="shared" si="289"/>
        <v>0</v>
      </c>
      <c r="AA481" s="17">
        <f t="shared" si="290"/>
        <v>0</v>
      </c>
      <c r="AB481" s="17">
        <f t="shared" si="291"/>
        <v>0</v>
      </c>
      <c r="AC481" s="17">
        <v>0</v>
      </c>
      <c r="AD481" s="17">
        <f t="shared" si="292"/>
        <v>0</v>
      </c>
      <c r="AE481" s="17">
        <f t="shared" si="293"/>
        <v>0</v>
      </c>
      <c r="AF481" s="17">
        <f t="shared" si="294"/>
        <v>0</v>
      </c>
      <c r="AG481" s="17">
        <f t="shared" si="295"/>
        <v>0</v>
      </c>
      <c r="AH481" s="17">
        <f t="shared" si="296"/>
        <v>0</v>
      </c>
      <c r="AI481" s="17">
        <f t="shared" si="297"/>
        <v>0</v>
      </c>
      <c r="AJ481" s="17">
        <f t="shared" si="298"/>
        <v>0</v>
      </c>
      <c r="AK481" s="17">
        <f t="shared" si="299"/>
        <v>0</v>
      </c>
      <c r="AL481" s="17">
        <f t="shared" si="300"/>
        <v>0</v>
      </c>
      <c r="AM481" s="17">
        <f t="shared" si="301"/>
        <v>0</v>
      </c>
      <c r="AN481" s="17">
        <f t="shared" si="302"/>
        <v>0</v>
      </c>
      <c r="AO481" s="17">
        <f t="shared" si="303"/>
        <v>0</v>
      </c>
      <c r="AP481" s="17">
        <f t="shared" si="304"/>
        <v>0</v>
      </c>
      <c r="AQ481" s="18">
        <v>16.560124981021946</v>
      </c>
      <c r="AR481" s="18">
        <v>19.804354501769389</v>
      </c>
      <c r="AS481" s="18">
        <v>17.526998865666812</v>
      </c>
      <c r="AT481" s="18">
        <v>13.276027224091139</v>
      </c>
      <c r="AU481" s="18">
        <v>19.253400994985714</v>
      </c>
      <c r="AV481" s="18">
        <v>15.778140754578013</v>
      </c>
      <c r="AW481" s="18">
        <v>15.708237368718912</v>
      </c>
      <c r="AX481" s="18">
        <v>10.667353013383611</v>
      </c>
      <c r="AY481" s="18">
        <v>15.812218842046567</v>
      </c>
      <c r="AZ481" s="18">
        <v>13.770409959561501</v>
      </c>
      <c r="BA481" s="18">
        <v>14.06011055108238</v>
      </c>
      <c r="BB481" s="18">
        <v>13.732807818612306</v>
      </c>
      <c r="BC481" s="23">
        <v>8.9181565948742242E-2</v>
      </c>
      <c r="BD481" s="23">
        <v>0.10665277883445198</v>
      </c>
      <c r="BE481" s="23">
        <v>9.438849084854764E-2</v>
      </c>
      <c r="BF481" s="23">
        <v>7.149564986855049E-2</v>
      </c>
      <c r="BG481" s="23">
        <v>0.10368571810536763</v>
      </c>
      <c r="BH481" s="23">
        <v>8.4970330952544637E-2</v>
      </c>
      <c r="BI481" s="23">
        <v>8.4593878877262704E-2</v>
      </c>
      <c r="BJ481" s="23">
        <v>5.7447105462779965E-2</v>
      </c>
      <c r="BK481" s="23">
        <v>8.5153852345557474E-2</v>
      </c>
      <c r="BL481" s="23">
        <v>7.4158058913035174E-2</v>
      </c>
      <c r="BM481" s="23">
        <v>7.5718189192107169E-2</v>
      </c>
      <c r="BN481" s="23">
        <v>7.3955559365675619E-2</v>
      </c>
    </row>
    <row r="482" spans="1:66" x14ac:dyDescent="0.25">
      <c r="A482" s="16">
        <v>6684</v>
      </c>
      <c r="B482" s="16" t="s">
        <v>677</v>
      </c>
      <c r="C482" s="17">
        <v>176.77</v>
      </c>
      <c r="D482" s="17">
        <f t="shared" si="268"/>
        <v>15.764625412759168</v>
      </c>
      <c r="E482" s="17">
        <f t="shared" si="269"/>
        <v>18.85301171456608</v>
      </c>
      <c r="F482" s="17">
        <f t="shared" si="270"/>
        <v>16.685053527297768</v>
      </c>
      <c r="G482" s="17">
        <f t="shared" si="271"/>
        <v>12.638286027263671</v>
      </c>
      <c r="H482" s="17">
        <f t="shared" si="272"/>
        <v>18.328524389485835</v>
      </c>
      <c r="I482" s="17">
        <f t="shared" si="273"/>
        <v>15.020205402481317</v>
      </c>
      <c r="J482" s="17">
        <f t="shared" si="274"/>
        <v>14.95365996913373</v>
      </c>
      <c r="K482" s="17">
        <f t="shared" si="275"/>
        <v>10.154924832655615</v>
      </c>
      <c r="L482" s="17">
        <f t="shared" si="276"/>
        <v>15.052646479124196</v>
      </c>
      <c r="M482" s="17">
        <f t="shared" si="277"/>
        <v>13.108920074057229</v>
      </c>
      <c r="N482" s="17">
        <f t="shared" si="278"/>
        <v>13.384704303488785</v>
      </c>
      <c r="O482" s="17">
        <f t="shared" si="279"/>
        <v>13.07312422907048</v>
      </c>
      <c r="P482" s="17">
        <v>0</v>
      </c>
      <c r="Q482" s="17">
        <f t="shared" si="280"/>
        <v>0</v>
      </c>
      <c r="R482" s="17">
        <f t="shared" si="281"/>
        <v>0</v>
      </c>
      <c r="S482" s="17">
        <f t="shared" si="282"/>
        <v>0</v>
      </c>
      <c r="T482" s="17">
        <f t="shared" si="283"/>
        <v>0</v>
      </c>
      <c r="U482" s="17">
        <f t="shared" si="284"/>
        <v>0</v>
      </c>
      <c r="V482" s="17">
        <f t="shared" si="285"/>
        <v>0</v>
      </c>
      <c r="W482" s="17">
        <f t="shared" si="286"/>
        <v>0</v>
      </c>
      <c r="X482" s="17">
        <f t="shared" si="287"/>
        <v>0</v>
      </c>
      <c r="Y482" s="17">
        <f t="shared" si="288"/>
        <v>0</v>
      </c>
      <c r="Z482" s="17">
        <f t="shared" si="289"/>
        <v>0</v>
      </c>
      <c r="AA482" s="17">
        <f t="shared" si="290"/>
        <v>0</v>
      </c>
      <c r="AB482" s="17">
        <f t="shared" si="291"/>
        <v>0</v>
      </c>
      <c r="AC482" s="17">
        <v>0</v>
      </c>
      <c r="AD482" s="17">
        <f t="shared" si="292"/>
        <v>0</v>
      </c>
      <c r="AE482" s="17">
        <f t="shared" si="293"/>
        <v>0</v>
      </c>
      <c r="AF482" s="17">
        <f t="shared" si="294"/>
        <v>0</v>
      </c>
      <c r="AG482" s="17">
        <f t="shared" si="295"/>
        <v>0</v>
      </c>
      <c r="AH482" s="17">
        <f t="shared" si="296"/>
        <v>0</v>
      </c>
      <c r="AI482" s="17">
        <f t="shared" si="297"/>
        <v>0</v>
      </c>
      <c r="AJ482" s="17">
        <f t="shared" si="298"/>
        <v>0</v>
      </c>
      <c r="AK482" s="17">
        <f t="shared" si="299"/>
        <v>0</v>
      </c>
      <c r="AL482" s="17">
        <f t="shared" si="300"/>
        <v>0</v>
      </c>
      <c r="AM482" s="17">
        <f t="shared" si="301"/>
        <v>0</v>
      </c>
      <c r="AN482" s="17">
        <f t="shared" si="302"/>
        <v>0</v>
      </c>
      <c r="AO482" s="17">
        <f t="shared" si="303"/>
        <v>0</v>
      </c>
      <c r="AP482" s="17">
        <f t="shared" si="304"/>
        <v>176.77</v>
      </c>
      <c r="AQ482" s="18">
        <v>15.81456708969046</v>
      </c>
      <c r="AR482" s="18">
        <v>18.912737270713368</v>
      </c>
      <c r="AS482" s="18">
        <v>16.737911082172953</v>
      </c>
      <c r="AT482" s="18">
        <v>12.678323591190058</v>
      </c>
      <c r="AU482" s="18">
        <v>18.386588391624841</v>
      </c>
      <c r="AV482" s="18">
        <v>15.06778878781474</v>
      </c>
      <c r="AW482" s="18">
        <v>15.001032541304994</v>
      </c>
      <c r="AX482" s="18">
        <v>10.18709521171477</v>
      </c>
      <c r="AY482" s="18">
        <v>15.100332636437706</v>
      </c>
      <c r="AZ482" s="18">
        <v>13.150448587048526</v>
      </c>
      <c r="BA482" s="18">
        <v>13.427106489436364</v>
      </c>
      <c r="BB482" s="18">
        <v>13.114539342315256</v>
      </c>
      <c r="BC482" s="23">
        <v>8.9181565948742242E-2</v>
      </c>
      <c r="BD482" s="23">
        <v>0.10665277883445198</v>
      </c>
      <c r="BE482" s="23">
        <v>9.438849084854764E-2</v>
      </c>
      <c r="BF482" s="23">
        <v>7.149564986855049E-2</v>
      </c>
      <c r="BG482" s="23">
        <v>0.10368571810536763</v>
      </c>
      <c r="BH482" s="23">
        <v>8.4970330952544637E-2</v>
      </c>
      <c r="BI482" s="23">
        <v>8.4593878877262704E-2</v>
      </c>
      <c r="BJ482" s="23">
        <v>5.7447105462779965E-2</v>
      </c>
      <c r="BK482" s="23">
        <v>8.5153852345557474E-2</v>
      </c>
      <c r="BL482" s="23">
        <v>7.4158058913035174E-2</v>
      </c>
      <c r="BM482" s="23">
        <v>7.5718189192107169E-2</v>
      </c>
      <c r="BN482" s="23">
        <v>7.3955559365675619E-2</v>
      </c>
    </row>
    <row r="483" spans="1:66" x14ac:dyDescent="0.25">
      <c r="A483" s="16">
        <v>4810</v>
      </c>
      <c r="B483" s="16" t="s">
        <v>678</v>
      </c>
      <c r="C483" s="17">
        <v>0</v>
      </c>
      <c r="D483" s="17">
        <f t="shared" si="268"/>
        <v>0</v>
      </c>
      <c r="E483" s="17">
        <f t="shared" si="269"/>
        <v>0</v>
      </c>
      <c r="F483" s="17">
        <f t="shared" si="270"/>
        <v>0</v>
      </c>
      <c r="G483" s="17">
        <f t="shared" si="271"/>
        <v>0</v>
      </c>
      <c r="H483" s="17">
        <f t="shared" si="272"/>
        <v>0</v>
      </c>
      <c r="I483" s="17">
        <f t="shared" si="273"/>
        <v>0</v>
      </c>
      <c r="J483" s="17">
        <f t="shared" si="274"/>
        <v>0</v>
      </c>
      <c r="K483" s="17">
        <f t="shared" si="275"/>
        <v>0</v>
      </c>
      <c r="L483" s="17">
        <f t="shared" si="276"/>
        <v>0</v>
      </c>
      <c r="M483" s="17">
        <f t="shared" si="277"/>
        <v>0</v>
      </c>
      <c r="N483" s="17">
        <f t="shared" si="278"/>
        <v>0</v>
      </c>
      <c r="O483" s="17">
        <f t="shared" si="279"/>
        <v>0</v>
      </c>
      <c r="P483" s="17">
        <v>0</v>
      </c>
      <c r="Q483" s="17">
        <f t="shared" si="280"/>
        <v>0</v>
      </c>
      <c r="R483" s="17">
        <f t="shared" si="281"/>
        <v>0</v>
      </c>
      <c r="S483" s="17">
        <f t="shared" si="282"/>
        <v>0</v>
      </c>
      <c r="T483" s="17">
        <f t="shared" si="283"/>
        <v>0</v>
      </c>
      <c r="U483" s="17">
        <f t="shared" si="284"/>
        <v>0</v>
      </c>
      <c r="V483" s="17">
        <f t="shared" si="285"/>
        <v>0</v>
      </c>
      <c r="W483" s="17">
        <f t="shared" si="286"/>
        <v>0</v>
      </c>
      <c r="X483" s="17">
        <f t="shared" si="287"/>
        <v>0</v>
      </c>
      <c r="Y483" s="17">
        <f t="shared" si="288"/>
        <v>0</v>
      </c>
      <c r="Z483" s="17">
        <f t="shared" si="289"/>
        <v>0</v>
      </c>
      <c r="AA483" s="17">
        <f t="shared" si="290"/>
        <v>0</v>
      </c>
      <c r="AB483" s="17">
        <f t="shared" si="291"/>
        <v>0</v>
      </c>
      <c r="AC483" s="17">
        <v>0</v>
      </c>
      <c r="AD483" s="17">
        <f t="shared" si="292"/>
        <v>0</v>
      </c>
      <c r="AE483" s="17">
        <f t="shared" si="293"/>
        <v>0</v>
      </c>
      <c r="AF483" s="17">
        <f t="shared" si="294"/>
        <v>0</v>
      </c>
      <c r="AG483" s="17">
        <f t="shared" si="295"/>
        <v>0</v>
      </c>
      <c r="AH483" s="17">
        <f t="shared" si="296"/>
        <v>0</v>
      </c>
      <c r="AI483" s="17">
        <f t="shared" si="297"/>
        <v>0</v>
      </c>
      <c r="AJ483" s="17">
        <f t="shared" si="298"/>
        <v>0</v>
      </c>
      <c r="AK483" s="17">
        <f t="shared" si="299"/>
        <v>0</v>
      </c>
      <c r="AL483" s="17">
        <f t="shared" si="300"/>
        <v>0</v>
      </c>
      <c r="AM483" s="17">
        <f t="shared" si="301"/>
        <v>0</v>
      </c>
      <c r="AN483" s="17">
        <f t="shared" si="302"/>
        <v>0</v>
      </c>
      <c r="AO483" s="17">
        <f t="shared" si="303"/>
        <v>0</v>
      </c>
      <c r="AP483" s="17">
        <f t="shared" si="304"/>
        <v>0</v>
      </c>
      <c r="AQ483" s="18">
        <v>15.764625412759168</v>
      </c>
      <c r="AR483" s="18">
        <v>18.85301171456608</v>
      </c>
      <c r="AS483" s="18">
        <v>16.685053527297768</v>
      </c>
      <c r="AT483" s="18">
        <v>12.638286027263671</v>
      </c>
      <c r="AU483" s="18">
        <v>18.328524389485835</v>
      </c>
      <c r="AV483" s="18">
        <v>15.020205402481317</v>
      </c>
      <c r="AW483" s="18">
        <v>14.95365996913373</v>
      </c>
      <c r="AX483" s="18">
        <v>10.154924832655615</v>
      </c>
      <c r="AY483" s="18">
        <v>15.052646479124196</v>
      </c>
      <c r="AZ483" s="18">
        <v>13.108920074057229</v>
      </c>
      <c r="BA483" s="18">
        <v>13.384704303488785</v>
      </c>
      <c r="BB483" s="18">
        <v>13.07312422907048</v>
      </c>
      <c r="BC483" s="23">
        <v>8.9181565948742242E-2</v>
      </c>
      <c r="BD483" s="23">
        <v>0.10665277883445198</v>
      </c>
      <c r="BE483" s="23">
        <v>9.438849084854764E-2</v>
      </c>
      <c r="BF483" s="23">
        <v>7.149564986855049E-2</v>
      </c>
      <c r="BG483" s="23">
        <v>0.10368571810536763</v>
      </c>
      <c r="BH483" s="23">
        <v>8.4970330952544637E-2</v>
      </c>
      <c r="BI483" s="23">
        <v>8.4593878877262704E-2</v>
      </c>
      <c r="BJ483" s="23">
        <v>5.7447105462779965E-2</v>
      </c>
      <c r="BK483" s="23">
        <v>8.5153852345557474E-2</v>
      </c>
      <c r="BL483" s="23">
        <v>7.4158058913035174E-2</v>
      </c>
      <c r="BM483" s="23">
        <v>7.5718189192107169E-2</v>
      </c>
      <c r="BN483" s="23">
        <v>7.3955559365675619E-2</v>
      </c>
    </row>
    <row r="484" spans="1:66" x14ac:dyDescent="0.25">
      <c r="A484" s="16">
        <v>2319</v>
      </c>
      <c r="B484" s="16" t="s">
        <v>679</v>
      </c>
      <c r="C484" s="17">
        <v>0</v>
      </c>
      <c r="D484" s="17">
        <f t="shared" si="268"/>
        <v>0</v>
      </c>
      <c r="E484" s="17">
        <f t="shared" si="269"/>
        <v>0</v>
      </c>
      <c r="F484" s="17">
        <f t="shared" si="270"/>
        <v>0</v>
      </c>
      <c r="G484" s="17">
        <f t="shared" si="271"/>
        <v>0</v>
      </c>
      <c r="H484" s="17">
        <f t="shared" si="272"/>
        <v>0</v>
      </c>
      <c r="I484" s="17">
        <f t="shared" si="273"/>
        <v>0</v>
      </c>
      <c r="J484" s="17">
        <f t="shared" si="274"/>
        <v>0</v>
      </c>
      <c r="K484" s="17">
        <f t="shared" si="275"/>
        <v>0</v>
      </c>
      <c r="L484" s="17">
        <f t="shared" si="276"/>
        <v>0</v>
      </c>
      <c r="M484" s="17">
        <f t="shared" si="277"/>
        <v>0</v>
      </c>
      <c r="N484" s="17">
        <f t="shared" si="278"/>
        <v>0</v>
      </c>
      <c r="O484" s="17">
        <f t="shared" si="279"/>
        <v>0</v>
      </c>
      <c r="P484" s="17">
        <v>0</v>
      </c>
      <c r="Q484" s="17">
        <f t="shared" si="280"/>
        <v>0</v>
      </c>
      <c r="R484" s="17">
        <f t="shared" si="281"/>
        <v>0</v>
      </c>
      <c r="S484" s="17">
        <f t="shared" si="282"/>
        <v>0</v>
      </c>
      <c r="T484" s="17">
        <f t="shared" si="283"/>
        <v>0</v>
      </c>
      <c r="U484" s="17">
        <f t="shared" si="284"/>
        <v>0</v>
      </c>
      <c r="V484" s="17">
        <f t="shared" si="285"/>
        <v>0</v>
      </c>
      <c r="W484" s="17">
        <f t="shared" si="286"/>
        <v>0</v>
      </c>
      <c r="X484" s="17">
        <f t="shared" si="287"/>
        <v>0</v>
      </c>
      <c r="Y484" s="17">
        <f t="shared" si="288"/>
        <v>0</v>
      </c>
      <c r="Z484" s="17">
        <f t="shared" si="289"/>
        <v>0</v>
      </c>
      <c r="AA484" s="17">
        <f t="shared" si="290"/>
        <v>0</v>
      </c>
      <c r="AB484" s="17">
        <f t="shared" si="291"/>
        <v>0</v>
      </c>
      <c r="AC484" s="17">
        <v>0</v>
      </c>
      <c r="AD484" s="17">
        <f t="shared" si="292"/>
        <v>0</v>
      </c>
      <c r="AE484" s="17">
        <f t="shared" si="293"/>
        <v>0</v>
      </c>
      <c r="AF484" s="17">
        <f t="shared" si="294"/>
        <v>0</v>
      </c>
      <c r="AG484" s="17">
        <f t="shared" si="295"/>
        <v>0</v>
      </c>
      <c r="AH484" s="17">
        <f t="shared" si="296"/>
        <v>0</v>
      </c>
      <c r="AI484" s="17">
        <f t="shared" si="297"/>
        <v>0</v>
      </c>
      <c r="AJ484" s="17">
        <f t="shared" si="298"/>
        <v>0</v>
      </c>
      <c r="AK484" s="17">
        <f t="shared" si="299"/>
        <v>0</v>
      </c>
      <c r="AL484" s="17">
        <f t="shared" si="300"/>
        <v>0</v>
      </c>
      <c r="AM484" s="17">
        <f t="shared" si="301"/>
        <v>0</v>
      </c>
      <c r="AN484" s="17">
        <f t="shared" si="302"/>
        <v>0</v>
      </c>
      <c r="AO484" s="17">
        <f t="shared" si="303"/>
        <v>0</v>
      </c>
      <c r="AP484" s="17">
        <f t="shared" si="304"/>
        <v>0</v>
      </c>
      <c r="AQ484" s="18">
        <v>15.526243086978182</v>
      </c>
      <c r="AR484" s="18">
        <v>18.56792883674159</v>
      </c>
      <c r="AS484" s="18">
        <v>16.432753091259602</v>
      </c>
      <c r="AT484" s="18">
        <v>12.447178155165037</v>
      </c>
      <c r="AU484" s="18">
        <v>18.051372464990191</v>
      </c>
      <c r="AV484" s="18">
        <v>14.793079707845166</v>
      </c>
      <c r="AW484" s="18">
        <v>14.727540530894808</v>
      </c>
      <c r="AX484" s="18">
        <v>10.001368719753605</v>
      </c>
      <c r="AY484" s="18">
        <v>14.825030231804522</v>
      </c>
      <c r="AZ484" s="18">
        <v>12.910695582582687</v>
      </c>
      <c r="BA484" s="18">
        <v>13.182309583778284</v>
      </c>
      <c r="BB484" s="18">
        <v>12.875441018886031</v>
      </c>
      <c r="BC484" s="23">
        <v>8.9181565948742242E-2</v>
      </c>
      <c r="BD484" s="23">
        <v>0.10665277883445198</v>
      </c>
      <c r="BE484" s="23">
        <v>9.438849084854764E-2</v>
      </c>
      <c r="BF484" s="23">
        <v>7.149564986855049E-2</v>
      </c>
      <c r="BG484" s="23">
        <v>0.10368571810536763</v>
      </c>
      <c r="BH484" s="23">
        <v>8.4970330952544637E-2</v>
      </c>
      <c r="BI484" s="23">
        <v>8.4593878877262704E-2</v>
      </c>
      <c r="BJ484" s="23">
        <v>5.7447105462779965E-2</v>
      </c>
      <c r="BK484" s="23">
        <v>8.5153852345557474E-2</v>
      </c>
      <c r="BL484" s="23">
        <v>7.4158058913035174E-2</v>
      </c>
      <c r="BM484" s="23">
        <v>7.5718189192107169E-2</v>
      </c>
      <c r="BN484" s="23">
        <v>7.3955559365675619E-2</v>
      </c>
    </row>
    <row r="485" spans="1:66" x14ac:dyDescent="0.25">
      <c r="A485" s="16">
        <v>6640</v>
      </c>
      <c r="B485" s="16" t="s">
        <v>680</v>
      </c>
      <c r="C485" s="17">
        <v>0</v>
      </c>
      <c r="D485" s="17">
        <f t="shared" si="268"/>
        <v>0</v>
      </c>
      <c r="E485" s="17">
        <f t="shared" si="269"/>
        <v>0</v>
      </c>
      <c r="F485" s="17">
        <f t="shared" si="270"/>
        <v>0</v>
      </c>
      <c r="G485" s="17">
        <f t="shared" si="271"/>
        <v>0</v>
      </c>
      <c r="H485" s="17">
        <f t="shared" si="272"/>
        <v>0</v>
      </c>
      <c r="I485" s="17">
        <f t="shared" si="273"/>
        <v>0</v>
      </c>
      <c r="J485" s="17">
        <f t="shared" si="274"/>
        <v>0</v>
      </c>
      <c r="K485" s="17">
        <f t="shared" si="275"/>
        <v>0</v>
      </c>
      <c r="L485" s="17">
        <f t="shared" si="276"/>
        <v>0</v>
      </c>
      <c r="M485" s="17">
        <f t="shared" si="277"/>
        <v>0</v>
      </c>
      <c r="N485" s="17">
        <f t="shared" si="278"/>
        <v>0</v>
      </c>
      <c r="O485" s="17">
        <f t="shared" si="279"/>
        <v>0</v>
      </c>
      <c r="P485" s="17">
        <v>0</v>
      </c>
      <c r="Q485" s="17">
        <f t="shared" si="280"/>
        <v>0</v>
      </c>
      <c r="R485" s="17">
        <f t="shared" si="281"/>
        <v>0</v>
      </c>
      <c r="S485" s="17">
        <f t="shared" si="282"/>
        <v>0</v>
      </c>
      <c r="T485" s="17">
        <f t="shared" si="283"/>
        <v>0</v>
      </c>
      <c r="U485" s="17">
        <f t="shared" si="284"/>
        <v>0</v>
      </c>
      <c r="V485" s="17">
        <f t="shared" si="285"/>
        <v>0</v>
      </c>
      <c r="W485" s="17">
        <f t="shared" si="286"/>
        <v>0</v>
      </c>
      <c r="X485" s="17">
        <f t="shared" si="287"/>
        <v>0</v>
      </c>
      <c r="Y485" s="17">
        <f t="shared" si="288"/>
        <v>0</v>
      </c>
      <c r="Z485" s="17">
        <f t="shared" si="289"/>
        <v>0</v>
      </c>
      <c r="AA485" s="17">
        <f t="shared" si="290"/>
        <v>0</v>
      </c>
      <c r="AB485" s="17">
        <f t="shared" si="291"/>
        <v>0</v>
      </c>
      <c r="AC485" s="17">
        <v>0</v>
      </c>
      <c r="AD485" s="17">
        <f t="shared" si="292"/>
        <v>0</v>
      </c>
      <c r="AE485" s="17">
        <f t="shared" si="293"/>
        <v>0</v>
      </c>
      <c r="AF485" s="17">
        <f t="shared" si="294"/>
        <v>0</v>
      </c>
      <c r="AG485" s="17">
        <f t="shared" si="295"/>
        <v>0</v>
      </c>
      <c r="AH485" s="17">
        <f t="shared" si="296"/>
        <v>0</v>
      </c>
      <c r="AI485" s="17">
        <f t="shared" si="297"/>
        <v>0</v>
      </c>
      <c r="AJ485" s="17">
        <f t="shared" si="298"/>
        <v>0</v>
      </c>
      <c r="AK485" s="17">
        <f t="shared" si="299"/>
        <v>0</v>
      </c>
      <c r="AL485" s="17">
        <f t="shared" si="300"/>
        <v>0</v>
      </c>
      <c r="AM485" s="17">
        <f t="shared" si="301"/>
        <v>0</v>
      </c>
      <c r="AN485" s="17">
        <f t="shared" si="302"/>
        <v>0</v>
      </c>
      <c r="AO485" s="17">
        <f t="shared" si="303"/>
        <v>0</v>
      </c>
      <c r="AP485" s="17">
        <f t="shared" si="304"/>
        <v>0</v>
      </c>
      <c r="AQ485" s="18">
        <v>15.309442700156788</v>
      </c>
      <c r="AR485" s="18">
        <v>18.308655931395037</v>
      </c>
      <c r="AS485" s="18">
        <v>16.20329467000678</v>
      </c>
      <c r="AT485" s="18">
        <v>12.273372230334591</v>
      </c>
      <c r="AU485" s="18">
        <v>17.79931248427604</v>
      </c>
      <c r="AV485" s="18">
        <v>14.58651683329953</v>
      </c>
      <c r="AW485" s="18">
        <v>14.521892811344182</v>
      </c>
      <c r="AX485" s="18">
        <v>9.8617148063735875</v>
      </c>
      <c r="AY485" s="18">
        <v>14.618021216752471</v>
      </c>
      <c r="AZ485" s="18">
        <v>12.730417341365099</v>
      </c>
      <c r="BA485" s="18">
        <v>12.998238665852272</v>
      </c>
      <c r="BB485" s="18">
        <v>12.695655054068073</v>
      </c>
      <c r="BC485" s="23">
        <v>8.9181565948742242E-2</v>
      </c>
      <c r="BD485" s="23">
        <v>0.10665277883445198</v>
      </c>
      <c r="BE485" s="23">
        <v>9.438849084854764E-2</v>
      </c>
      <c r="BF485" s="23">
        <v>7.149564986855049E-2</v>
      </c>
      <c r="BG485" s="23">
        <v>0.10368571810536763</v>
      </c>
      <c r="BH485" s="23">
        <v>8.4970330952544637E-2</v>
      </c>
      <c r="BI485" s="23">
        <v>8.4593878877262704E-2</v>
      </c>
      <c r="BJ485" s="23">
        <v>5.7447105462779965E-2</v>
      </c>
      <c r="BK485" s="23">
        <v>8.5153852345557474E-2</v>
      </c>
      <c r="BL485" s="23">
        <v>7.4158058913035174E-2</v>
      </c>
      <c r="BM485" s="23">
        <v>7.5718189192107169E-2</v>
      </c>
      <c r="BN485" s="23">
        <v>7.3955559365675619E-2</v>
      </c>
    </row>
    <row r="486" spans="1:66" x14ac:dyDescent="0.25">
      <c r="A486" s="16">
        <v>4549</v>
      </c>
      <c r="B486" s="16" t="s">
        <v>681</v>
      </c>
      <c r="C486" s="17">
        <v>0</v>
      </c>
      <c r="D486" s="17">
        <f t="shared" si="268"/>
        <v>0</v>
      </c>
      <c r="E486" s="17">
        <f t="shared" si="269"/>
        <v>0</v>
      </c>
      <c r="F486" s="17">
        <f t="shared" si="270"/>
        <v>0</v>
      </c>
      <c r="G486" s="17">
        <f t="shared" si="271"/>
        <v>0</v>
      </c>
      <c r="H486" s="17">
        <f t="shared" si="272"/>
        <v>0</v>
      </c>
      <c r="I486" s="17">
        <f t="shared" si="273"/>
        <v>0</v>
      </c>
      <c r="J486" s="17">
        <f t="shared" si="274"/>
        <v>0</v>
      </c>
      <c r="K486" s="17">
        <f t="shared" si="275"/>
        <v>0</v>
      </c>
      <c r="L486" s="17">
        <f t="shared" si="276"/>
        <v>0</v>
      </c>
      <c r="M486" s="17">
        <f t="shared" si="277"/>
        <v>0</v>
      </c>
      <c r="N486" s="17">
        <f t="shared" si="278"/>
        <v>0</v>
      </c>
      <c r="O486" s="17">
        <f t="shared" si="279"/>
        <v>0</v>
      </c>
      <c r="P486" s="17">
        <v>0</v>
      </c>
      <c r="Q486" s="17">
        <f t="shared" si="280"/>
        <v>0</v>
      </c>
      <c r="R486" s="17">
        <f t="shared" si="281"/>
        <v>0</v>
      </c>
      <c r="S486" s="17">
        <f t="shared" si="282"/>
        <v>0</v>
      </c>
      <c r="T486" s="17">
        <f t="shared" si="283"/>
        <v>0</v>
      </c>
      <c r="U486" s="17">
        <f t="shared" si="284"/>
        <v>0</v>
      </c>
      <c r="V486" s="17">
        <f t="shared" si="285"/>
        <v>0</v>
      </c>
      <c r="W486" s="17">
        <f t="shared" si="286"/>
        <v>0</v>
      </c>
      <c r="X486" s="17">
        <f t="shared" si="287"/>
        <v>0</v>
      </c>
      <c r="Y486" s="17">
        <f t="shared" si="288"/>
        <v>0</v>
      </c>
      <c r="Z486" s="17">
        <f t="shared" si="289"/>
        <v>0</v>
      </c>
      <c r="AA486" s="17">
        <f t="shared" si="290"/>
        <v>0</v>
      </c>
      <c r="AB486" s="17">
        <f t="shared" si="291"/>
        <v>0</v>
      </c>
      <c r="AC486" s="17">
        <v>0</v>
      </c>
      <c r="AD486" s="17">
        <f t="shared" si="292"/>
        <v>0</v>
      </c>
      <c r="AE486" s="17">
        <f t="shared" si="293"/>
        <v>0</v>
      </c>
      <c r="AF486" s="17">
        <f t="shared" si="294"/>
        <v>0</v>
      </c>
      <c r="AG486" s="17">
        <f t="shared" si="295"/>
        <v>0</v>
      </c>
      <c r="AH486" s="17">
        <f t="shared" si="296"/>
        <v>0</v>
      </c>
      <c r="AI486" s="17">
        <f t="shared" si="297"/>
        <v>0</v>
      </c>
      <c r="AJ486" s="17">
        <f t="shared" si="298"/>
        <v>0</v>
      </c>
      <c r="AK486" s="17">
        <f t="shared" si="299"/>
        <v>0</v>
      </c>
      <c r="AL486" s="17">
        <f t="shared" si="300"/>
        <v>0</v>
      </c>
      <c r="AM486" s="17">
        <f t="shared" si="301"/>
        <v>0</v>
      </c>
      <c r="AN486" s="17">
        <f t="shared" si="302"/>
        <v>0</v>
      </c>
      <c r="AO486" s="17">
        <f t="shared" si="303"/>
        <v>0</v>
      </c>
      <c r="AP486" s="17">
        <f t="shared" si="304"/>
        <v>0</v>
      </c>
      <c r="AQ486" s="18">
        <v>13.89680669552871</v>
      </c>
      <c r="AR486" s="18">
        <v>16.619275914657319</v>
      </c>
      <c r="AS486" s="18">
        <v>14.708180974965787</v>
      </c>
      <c r="AT486" s="18">
        <v>11.14088113641675</v>
      </c>
      <c r="AU486" s="18">
        <v>16.156930709487018</v>
      </c>
      <c r="AV486" s="18">
        <v>13.240586791011223</v>
      </c>
      <c r="AW486" s="18">
        <v>13.181925769928339</v>
      </c>
      <c r="AX486" s="18">
        <v>8.9517526558431513</v>
      </c>
      <c r="AY486" s="18">
        <v>13.269184195598841</v>
      </c>
      <c r="AZ486" s="18">
        <v>11.555753688182621</v>
      </c>
      <c r="BA486" s="18">
        <v>11.798862549049293</v>
      </c>
      <c r="BB486" s="18">
        <v>11.524198993715771</v>
      </c>
      <c r="BC486" s="23">
        <v>8.9181565948742242E-2</v>
      </c>
      <c r="BD486" s="23">
        <v>0.10665277883445198</v>
      </c>
      <c r="BE486" s="23">
        <v>9.438849084854764E-2</v>
      </c>
      <c r="BF486" s="23">
        <v>7.149564986855049E-2</v>
      </c>
      <c r="BG486" s="23">
        <v>0.10368571810536763</v>
      </c>
      <c r="BH486" s="23">
        <v>8.4970330952544637E-2</v>
      </c>
      <c r="BI486" s="23">
        <v>8.4593878877262704E-2</v>
      </c>
      <c r="BJ486" s="23">
        <v>5.7447105462779965E-2</v>
      </c>
      <c r="BK486" s="23">
        <v>8.5153852345557474E-2</v>
      </c>
      <c r="BL486" s="23">
        <v>7.4158058913035174E-2</v>
      </c>
      <c r="BM486" s="23">
        <v>7.5718189192107169E-2</v>
      </c>
      <c r="BN486" s="23">
        <v>7.3955559365675619E-2</v>
      </c>
    </row>
    <row r="487" spans="1:66" x14ac:dyDescent="0.25">
      <c r="A487" s="16">
        <v>3857</v>
      </c>
      <c r="B487" s="16" t="s">
        <v>682</v>
      </c>
      <c r="C487" s="17">
        <v>200</v>
      </c>
      <c r="D487" s="17">
        <f t="shared" si="268"/>
        <v>17.836313189748449</v>
      </c>
      <c r="E487" s="17">
        <f t="shared" si="269"/>
        <v>21.330555766890395</v>
      </c>
      <c r="F487" s="17">
        <f t="shared" si="270"/>
        <v>18.877698169709529</v>
      </c>
      <c r="G487" s="17">
        <f t="shared" si="271"/>
        <v>14.299129973710098</v>
      </c>
      <c r="H487" s="17">
        <f t="shared" si="272"/>
        <v>20.737143621073525</v>
      </c>
      <c r="I487" s="17">
        <f t="shared" si="273"/>
        <v>16.994066190508928</v>
      </c>
      <c r="J487" s="17">
        <f t="shared" si="274"/>
        <v>16.918775775452541</v>
      </c>
      <c r="K487" s="17">
        <f t="shared" si="275"/>
        <v>11.489421092555993</v>
      </c>
      <c r="L487" s="17">
        <f t="shared" si="276"/>
        <v>17.030770469111495</v>
      </c>
      <c r="M487" s="17">
        <f t="shared" si="277"/>
        <v>14.831611782607034</v>
      </c>
      <c r="N487" s="17">
        <f t="shared" si="278"/>
        <v>15.143637838421434</v>
      </c>
      <c r="O487" s="17">
        <f t="shared" si="279"/>
        <v>14.791111873135124</v>
      </c>
      <c r="P487" s="17">
        <v>0</v>
      </c>
      <c r="Q487" s="17">
        <f t="shared" si="280"/>
        <v>0</v>
      </c>
      <c r="R487" s="17">
        <f t="shared" si="281"/>
        <v>0</v>
      </c>
      <c r="S487" s="17">
        <f t="shared" si="282"/>
        <v>0</v>
      </c>
      <c r="T487" s="17">
        <f t="shared" si="283"/>
        <v>0</v>
      </c>
      <c r="U487" s="17">
        <f t="shared" si="284"/>
        <v>0</v>
      </c>
      <c r="V487" s="17">
        <f t="shared" si="285"/>
        <v>0</v>
      </c>
      <c r="W487" s="17">
        <f t="shared" si="286"/>
        <v>0</v>
      </c>
      <c r="X487" s="17">
        <f t="shared" si="287"/>
        <v>0</v>
      </c>
      <c r="Y487" s="17">
        <f t="shared" si="288"/>
        <v>0</v>
      </c>
      <c r="Z487" s="17">
        <f t="shared" si="289"/>
        <v>0</v>
      </c>
      <c r="AA487" s="17">
        <f t="shared" si="290"/>
        <v>0</v>
      </c>
      <c r="AB487" s="17">
        <f t="shared" si="291"/>
        <v>0</v>
      </c>
      <c r="AC487" s="17">
        <v>0</v>
      </c>
      <c r="AD487" s="17">
        <f t="shared" si="292"/>
        <v>0</v>
      </c>
      <c r="AE487" s="17">
        <f t="shared" si="293"/>
        <v>0</v>
      </c>
      <c r="AF487" s="17">
        <f t="shared" si="294"/>
        <v>0</v>
      </c>
      <c r="AG487" s="17">
        <f t="shared" si="295"/>
        <v>0</v>
      </c>
      <c r="AH487" s="17">
        <f t="shared" si="296"/>
        <v>0</v>
      </c>
      <c r="AI487" s="17">
        <f t="shared" si="297"/>
        <v>0</v>
      </c>
      <c r="AJ487" s="17">
        <f t="shared" si="298"/>
        <v>0</v>
      </c>
      <c r="AK487" s="17">
        <f t="shared" si="299"/>
        <v>0</v>
      </c>
      <c r="AL487" s="17">
        <f t="shared" si="300"/>
        <v>0</v>
      </c>
      <c r="AM487" s="17">
        <f t="shared" si="301"/>
        <v>0</v>
      </c>
      <c r="AN487" s="17">
        <f t="shared" si="302"/>
        <v>0</v>
      </c>
      <c r="AO487" s="17">
        <f t="shared" si="303"/>
        <v>0</v>
      </c>
      <c r="AP487" s="17">
        <f t="shared" si="304"/>
        <v>200</v>
      </c>
      <c r="AQ487" s="18">
        <v>13.743771128360668</v>
      </c>
      <c r="AR487" s="18">
        <v>16.436259746177395</v>
      </c>
      <c r="AS487" s="18">
        <v>14.546210324669678</v>
      </c>
      <c r="AT487" s="18">
        <v>11.018194601242318</v>
      </c>
      <c r="AU487" s="18">
        <v>15.979006017218207</v>
      </c>
      <c r="AV487" s="18">
        <v>13.094777703096655</v>
      </c>
      <c r="AW487" s="18">
        <v>13.036762673774957</v>
      </c>
      <c r="AX487" s="18">
        <v>8.8531734228690215</v>
      </c>
      <c r="AY487" s="18">
        <v>13.123060184973863</v>
      </c>
      <c r="AZ487" s="18">
        <v>11.428498459087852</v>
      </c>
      <c r="BA487" s="18">
        <v>11.668930136395637</v>
      </c>
      <c r="BB487" s="18">
        <v>11.397291253844271</v>
      </c>
      <c r="BC487" s="23">
        <v>8.9181565948742242E-2</v>
      </c>
      <c r="BD487" s="23">
        <v>0.10665277883445198</v>
      </c>
      <c r="BE487" s="23">
        <v>9.438849084854764E-2</v>
      </c>
      <c r="BF487" s="23">
        <v>7.149564986855049E-2</v>
      </c>
      <c r="BG487" s="23">
        <v>0.10368571810536763</v>
      </c>
      <c r="BH487" s="23">
        <v>8.4970330952544637E-2</v>
      </c>
      <c r="BI487" s="23">
        <v>8.4593878877262704E-2</v>
      </c>
      <c r="BJ487" s="23">
        <v>5.7447105462779965E-2</v>
      </c>
      <c r="BK487" s="23">
        <v>8.5153852345557474E-2</v>
      </c>
      <c r="BL487" s="23">
        <v>7.4158058913035174E-2</v>
      </c>
      <c r="BM487" s="23">
        <v>7.5718189192107169E-2</v>
      </c>
      <c r="BN487" s="23">
        <v>7.3955559365675619E-2</v>
      </c>
    </row>
    <row r="488" spans="1:66" x14ac:dyDescent="0.25">
      <c r="A488" s="16">
        <v>1523</v>
      </c>
      <c r="B488" s="16" t="s">
        <v>683</v>
      </c>
      <c r="C488" s="17">
        <v>0</v>
      </c>
      <c r="D488" s="17">
        <f t="shared" si="268"/>
        <v>0</v>
      </c>
      <c r="E488" s="17">
        <f t="shared" si="269"/>
        <v>0</v>
      </c>
      <c r="F488" s="17">
        <f t="shared" si="270"/>
        <v>0</v>
      </c>
      <c r="G488" s="17">
        <f t="shared" si="271"/>
        <v>0</v>
      </c>
      <c r="H488" s="17">
        <f t="shared" si="272"/>
        <v>0</v>
      </c>
      <c r="I488" s="17">
        <f t="shared" si="273"/>
        <v>0</v>
      </c>
      <c r="J488" s="17">
        <f t="shared" si="274"/>
        <v>0</v>
      </c>
      <c r="K488" s="17">
        <f t="shared" si="275"/>
        <v>0</v>
      </c>
      <c r="L488" s="17">
        <f t="shared" si="276"/>
        <v>0</v>
      </c>
      <c r="M488" s="17">
        <f t="shared" si="277"/>
        <v>0</v>
      </c>
      <c r="N488" s="17">
        <f t="shared" si="278"/>
        <v>0</v>
      </c>
      <c r="O488" s="17">
        <f t="shared" si="279"/>
        <v>0</v>
      </c>
      <c r="P488" s="17">
        <v>0</v>
      </c>
      <c r="Q488" s="17">
        <f t="shared" si="280"/>
        <v>0</v>
      </c>
      <c r="R488" s="17">
        <f t="shared" si="281"/>
        <v>0</v>
      </c>
      <c r="S488" s="17">
        <f t="shared" si="282"/>
        <v>0</v>
      </c>
      <c r="T488" s="17">
        <f t="shared" si="283"/>
        <v>0</v>
      </c>
      <c r="U488" s="17">
        <f t="shared" si="284"/>
        <v>0</v>
      </c>
      <c r="V488" s="17">
        <f t="shared" si="285"/>
        <v>0</v>
      </c>
      <c r="W488" s="17">
        <f t="shared" si="286"/>
        <v>0</v>
      </c>
      <c r="X488" s="17">
        <f t="shared" si="287"/>
        <v>0</v>
      </c>
      <c r="Y488" s="17">
        <f t="shared" si="288"/>
        <v>0</v>
      </c>
      <c r="Z488" s="17">
        <f t="shared" si="289"/>
        <v>0</v>
      </c>
      <c r="AA488" s="17">
        <f t="shared" si="290"/>
        <v>0</v>
      </c>
      <c r="AB488" s="17">
        <f t="shared" si="291"/>
        <v>0</v>
      </c>
      <c r="AC488" s="17">
        <v>0</v>
      </c>
      <c r="AD488" s="17">
        <f t="shared" si="292"/>
        <v>0</v>
      </c>
      <c r="AE488" s="17">
        <f t="shared" si="293"/>
        <v>0</v>
      </c>
      <c r="AF488" s="17">
        <f t="shared" si="294"/>
        <v>0</v>
      </c>
      <c r="AG488" s="17">
        <f t="shared" si="295"/>
        <v>0</v>
      </c>
      <c r="AH488" s="17">
        <f t="shared" si="296"/>
        <v>0</v>
      </c>
      <c r="AI488" s="17">
        <f t="shared" si="297"/>
        <v>0</v>
      </c>
      <c r="AJ488" s="17">
        <f t="shared" si="298"/>
        <v>0</v>
      </c>
      <c r="AK488" s="17">
        <f t="shared" si="299"/>
        <v>0</v>
      </c>
      <c r="AL488" s="17">
        <f t="shared" si="300"/>
        <v>0</v>
      </c>
      <c r="AM488" s="17">
        <f t="shared" si="301"/>
        <v>0</v>
      </c>
      <c r="AN488" s="17">
        <f t="shared" si="302"/>
        <v>0</v>
      </c>
      <c r="AO488" s="17">
        <f t="shared" si="303"/>
        <v>0</v>
      </c>
      <c r="AP488" s="17">
        <f t="shared" si="304"/>
        <v>0</v>
      </c>
      <c r="AQ488" s="18">
        <v>13.377234892311336</v>
      </c>
      <c r="AR488" s="18">
        <v>15.997916825167797</v>
      </c>
      <c r="AS488" s="18">
        <v>14.158273627282146</v>
      </c>
      <c r="AT488" s="18">
        <v>10.724347480282573</v>
      </c>
      <c r="AU488" s="18">
        <v>15.552857715805144</v>
      </c>
      <c r="AV488" s="18">
        <v>12.745549642881695</v>
      </c>
      <c r="AW488" s="18">
        <v>12.689081831589405</v>
      </c>
      <c r="AX488" s="18">
        <v>8.6170658194169949</v>
      </c>
      <c r="AY488" s="18">
        <v>12.773077851833621</v>
      </c>
      <c r="AZ488" s="18">
        <v>11.123708836955275</v>
      </c>
      <c r="BA488" s="18">
        <v>11.357728378816075</v>
      </c>
      <c r="BB488" s="18">
        <v>11.093333904851344</v>
      </c>
      <c r="BC488" s="23">
        <v>8.9181565948742242E-2</v>
      </c>
      <c r="BD488" s="23">
        <v>0.10665277883445198</v>
      </c>
      <c r="BE488" s="23">
        <v>9.438849084854764E-2</v>
      </c>
      <c r="BF488" s="23">
        <v>7.149564986855049E-2</v>
      </c>
      <c r="BG488" s="23">
        <v>0.10368571810536763</v>
      </c>
      <c r="BH488" s="23">
        <v>8.4970330952544637E-2</v>
      </c>
      <c r="BI488" s="23">
        <v>8.4593878877262704E-2</v>
      </c>
      <c r="BJ488" s="23">
        <v>5.7447105462779965E-2</v>
      </c>
      <c r="BK488" s="23">
        <v>8.5153852345557474E-2</v>
      </c>
      <c r="BL488" s="23">
        <v>7.4158058913035174E-2</v>
      </c>
      <c r="BM488" s="23">
        <v>7.5718189192107169E-2</v>
      </c>
      <c r="BN488" s="23">
        <v>7.3955559365675619E-2</v>
      </c>
    </row>
    <row r="489" spans="1:66" x14ac:dyDescent="0.25">
      <c r="A489" s="16">
        <v>6714</v>
      </c>
      <c r="B489" s="16" t="s">
        <v>684</v>
      </c>
      <c r="C489" s="17">
        <v>0</v>
      </c>
      <c r="D489" s="17">
        <f t="shared" si="268"/>
        <v>0</v>
      </c>
      <c r="E489" s="17">
        <f t="shared" si="269"/>
        <v>0</v>
      </c>
      <c r="F489" s="17">
        <f t="shared" si="270"/>
        <v>0</v>
      </c>
      <c r="G489" s="17">
        <f t="shared" si="271"/>
        <v>0</v>
      </c>
      <c r="H489" s="17">
        <f t="shared" si="272"/>
        <v>0</v>
      </c>
      <c r="I489" s="17">
        <f t="shared" si="273"/>
        <v>0</v>
      </c>
      <c r="J489" s="17">
        <f t="shared" si="274"/>
        <v>0</v>
      </c>
      <c r="K489" s="17">
        <f t="shared" si="275"/>
        <v>0</v>
      </c>
      <c r="L489" s="17">
        <f t="shared" si="276"/>
        <v>0</v>
      </c>
      <c r="M489" s="17">
        <f t="shared" si="277"/>
        <v>0</v>
      </c>
      <c r="N489" s="17">
        <f t="shared" si="278"/>
        <v>0</v>
      </c>
      <c r="O489" s="17">
        <f t="shared" si="279"/>
        <v>0</v>
      </c>
      <c r="P489" s="17">
        <v>0</v>
      </c>
      <c r="Q489" s="17">
        <f t="shared" si="280"/>
        <v>0</v>
      </c>
      <c r="R489" s="17">
        <f t="shared" si="281"/>
        <v>0</v>
      </c>
      <c r="S489" s="17">
        <f t="shared" si="282"/>
        <v>0</v>
      </c>
      <c r="T489" s="17">
        <f t="shared" si="283"/>
        <v>0</v>
      </c>
      <c r="U489" s="17">
        <f t="shared" si="284"/>
        <v>0</v>
      </c>
      <c r="V489" s="17">
        <f t="shared" si="285"/>
        <v>0</v>
      </c>
      <c r="W489" s="17">
        <f t="shared" si="286"/>
        <v>0</v>
      </c>
      <c r="X489" s="17">
        <f t="shared" si="287"/>
        <v>0</v>
      </c>
      <c r="Y489" s="17">
        <f t="shared" si="288"/>
        <v>0</v>
      </c>
      <c r="Z489" s="17">
        <f t="shared" si="289"/>
        <v>0</v>
      </c>
      <c r="AA489" s="17">
        <f t="shared" si="290"/>
        <v>0</v>
      </c>
      <c r="AB489" s="17">
        <f t="shared" si="291"/>
        <v>0</v>
      </c>
      <c r="AC489" s="17">
        <v>0</v>
      </c>
      <c r="AD489" s="17">
        <f t="shared" si="292"/>
        <v>0</v>
      </c>
      <c r="AE489" s="17">
        <f t="shared" si="293"/>
        <v>0</v>
      </c>
      <c r="AF489" s="17">
        <f t="shared" si="294"/>
        <v>0</v>
      </c>
      <c r="AG489" s="17">
        <f t="shared" si="295"/>
        <v>0</v>
      </c>
      <c r="AH489" s="17">
        <f t="shared" si="296"/>
        <v>0</v>
      </c>
      <c r="AI489" s="17">
        <f t="shared" si="297"/>
        <v>0</v>
      </c>
      <c r="AJ489" s="17">
        <f t="shared" si="298"/>
        <v>0</v>
      </c>
      <c r="AK489" s="17">
        <f t="shared" si="299"/>
        <v>0</v>
      </c>
      <c r="AL489" s="17">
        <f t="shared" si="300"/>
        <v>0</v>
      </c>
      <c r="AM489" s="17">
        <f t="shared" si="301"/>
        <v>0</v>
      </c>
      <c r="AN489" s="17">
        <f t="shared" si="302"/>
        <v>0</v>
      </c>
      <c r="AO489" s="17">
        <f t="shared" si="303"/>
        <v>0</v>
      </c>
      <c r="AP489" s="17">
        <f t="shared" si="304"/>
        <v>0</v>
      </c>
      <c r="AQ489" s="18">
        <v>12.814677574306671</v>
      </c>
      <c r="AR489" s="18">
        <v>15.325151096280075</v>
      </c>
      <c r="AS489" s="18">
        <v>13.562871027009509</v>
      </c>
      <c r="AT489" s="18">
        <v>10.273352920911757</v>
      </c>
      <c r="AU489" s="18">
        <v>14.898808205996486</v>
      </c>
      <c r="AV489" s="18">
        <v>12.209556795233045</v>
      </c>
      <c r="AW489" s="18">
        <v>12.155463643631633</v>
      </c>
      <c r="AX489" s="18">
        <v>8.2546894781577791</v>
      </c>
      <c r="AY489" s="18">
        <v>12.235927351237844</v>
      </c>
      <c r="AZ489" s="18">
        <v>10.655919801331851</v>
      </c>
      <c r="BA489" s="18">
        <v>10.880098041392264</v>
      </c>
      <c r="BB489" s="18">
        <v>10.626822236372661</v>
      </c>
      <c r="BC489" s="23">
        <v>8.9181565948742242E-2</v>
      </c>
      <c r="BD489" s="23">
        <v>0.10665277883445198</v>
      </c>
      <c r="BE489" s="23">
        <v>9.438849084854764E-2</v>
      </c>
      <c r="BF489" s="23">
        <v>7.149564986855049E-2</v>
      </c>
      <c r="BG489" s="23">
        <v>0.10368571810536763</v>
      </c>
      <c r="BH489" s="23">
        <v>8.4970330952544637E-2</v>
      </c>
      <c r="BI489" s="23">
        <v>8.4593878877262704E-2</v>
      </c>
      <c r="BJ489" s="23">
        <v>5.7447105462779965E-2</v>
      </c>
      <c r="BK489" s="23">
        <v>8.5153852345557474E-2</v>
      </c>
      <c r="BL489" s="23">
        <v>7.4158058913035174E-2</v>
      </c>
      <c r="BM489" s="23">
        <v>7.5718189192107169E-2</v>
      </c>
      <c r="BN489" s="23">
        <v>7.3955559365675619E-2</v>
      </c>
    </row>
    <row r="490" spans="1:66" x14ac:dyDescent="0.25">
      <c r="A490" s="16">
        <v>4430</v>
      </c>
      <c r="B490" s="16" t="s">
        <v>685</v>
      </c>
      <c r="C490" s="17">
        <v>0</v>
      </c>
      <c r="D490" s="17">
        <f t="shared" si="268"/>
        <v>0</v>
      </c>
      <c r="E490" s="17">
        <f t="shared" si="269"/>
        <v>0</v>
      </c>
      <c r="F490" s="17">
        <f t="shared" si="270"/>
        <v>0</v>
      </c>
      <c r="G490" s="17">
        <f t="shared" si="271"/>
        <v>0</v>
      </c>
      <c r="H490" s="17">
        <f t="shared" si="272"/>
        <v>0</v>
      </c>
      <c r="I490" s="17">
        <f t="shared" si="273"/>
        <v>0</v>
      </c>
      <c r="J490" s="17">
        <f t="shared" si="274"/>
        <v>0</v>
      </c>
      <c r="K490" s="17">
        <f t="shared" si="275"/>
        <v>0</v>
      </c>
      <c r="L490" s="17">
        <f t="shared" si="276"/>
        <v>0</v>
      </c>
      <c r="M490" s="17">
        <f t="shared" si="277"/>
        <v>0</v>
      </c>
      <c r="N490" s="17">
        <f t="shared" si="278"/>
        <v>0</v>
      </c>
      <c r="O490" s="17">
        <f t="shared" si="279"/>
        <v>0</v>
      </c>
      <c r="P490" s="17">
        <v>0</v>
      </c>
      <c r="Q490" s="17">
        <f t="shared" si="280"/>
        <v>0</v>
      </c>
      <c r="R490" s="17">
        <f t="shared" si="281"/>
        <v>0</v>
      </c>
      <c r="S490" s="17">
        <f t="shared" si="282"/>
        <v>0</v>
      </c>
      <c r="T490" s="17">
        <f t="shared" si="283"/>
        <v>0</v>
      </c>
      <c r="U490" s="17">
        <f t="shared" si="284"/>
        <v>0</v>
      </c>
      <c r="V490" s="17">
        <f t="shared" si="285"/>
        <v>0</v>
      </c>
      <c r="W490" s="17">
        <f t="shared" si="286"/>
        <v>0</v>
      </c>
      <c r="X490" s="17">
        <f t="shared" si="287"/>
        <v>0</v>
      </c>
      <c r="Y490" s="17">
        <f t="shared" si="288"/>
        <v>0</v>
      </c>
      <c r="Z490" s="17">
        <f t="shared" si="289"/>
        <v>0</v>
      </c>
      <c r="AA490" s="17">
        <f t="shared" si="290"/>
        <v>0</v>
      </c>
      <c r="AB490" s="17">
        <f t="shared" si="291"/>
        <v>0</v>
      </c>
      <c r="AC490" s="17">
        <v>0</v>
      </c>
      <c r="AD490" s="17">
        <f t="shared" si="292"/>
        <v>0</v>
      </c>
      <c r="AE490" s="17">
        <f t="shared" si="293"/>
        <v>0</v>
      </c>
      <c r="AF490" s="17">
        <f t="shared" si="294"/>
        <v>0</v>
      </c>
      <c r="AG490" s="17">
        <f t="shared" si="295"/>
        <v>0</v>
      </c>
      <c r="AH490" s="17">
        <f t="shared" si="296"/>
        <v>0</v>
      </c>
      <c r="AI490" s="17">
        <f t="shared" si="297"/>
        <v>0</v>
      </c>
      <c r="AJ490" s="17">
        <f t="shared" si="298"/>
        <v>0</v>
      </c>
      <c r="AK490" s="17">
        <f t="shared" si="299"/>
        <v>0</v>
      </c>
      <c r="AL490" s="17">
        <f t="shared" si="300"/>
        <v>0</v>
      </c>
      <c r="AM490" s="17">
        <f t="shared" si="301"/>
        <v>0</v>
      </c>
      <c r="AN490" s="17">
        <f t="shared" si="302"/>
        <v>0</v>
      </c>
      <c r="AO490" s="17">
        <f t="shared" si="303"/>
        <v>0</v>
      </c>
      <c r="AP490" s="17">
        <f t="shared" si="304"/>
        <v>0</v>
      </c>
      <c r="AQ490" s="18">
        <v>12.385981786791065</v>
      </c>
      <c r="AR490" s="18">
        <v>14.812471188422863</v>
      </c>
      <c r="AS490" s="18">
        <v>13.109145551500538</v>
      </c>
      <c r="AT490" s="18">
        <v>9.9296733319936337</v>
      </c>
      <c r="AU490" s="18">
        <v>14.400390959063982</v>
      </c>
      <c r="AV490" s="18">
        <v>11.801104414344161</v>
      </c>
      <c r="AW490" s="18">
        <v>11.748820867868631</v>
      </c>
      <c r="AX490" s="18">
        <v>7.9785412421981947</v>
      </c>
      <c r="AY490" s="18">
        <v>11.82659278301275</v>
      </c>
      <c r="AZ490" s="18">
        <v>10.29944201213689</v>
      </c>
      <c r="BA490" s="18">
        <v>10.516120705945804</v>
      </c>
      <c r="BB490" s="18">
        <v>10.271317862501858</v>
      </c>
      <c r="BC490" s="23">
        <v>8.9181565948742242E-2</v>
      </c>
      <c r="BD490" s="23">
        <v>0.10665277883445198</v>
      </c>
      <c r="BE490" s="23">
        <v>9.438849084854764E-2</v>
      </c>
      <c r="BF490" s="23">
        <v>7.149564986855049E-2</v>
      </c>
      <c r="BG490" s="23">
        <v>0.10368571810536763</v>
      </c>
      <c r="BH490" s="23">
        <v>8.4970330952544637E-2</v>
      </c>
      <c r="BI490" s="23">
        <v>8.4593878877262704E-2</v>
      </c>
      <c r="BJ490" s="23">
        <v>5.7447105462779965E-2</v>
      </c>
      <c r="BK490" s="23">
        <v>8.5153852345557474E-2</v>
      </c>
      <c r="BL490" s="23">
        <v>7.4158058913035174E-2</v>
      </c>
      <c r="BM490" s="23">
        <v>7.5718189192107169E-2</v>
      </c>
      <c r="BN490" s="23">
        <v>7.3955559365675619E-2</v>
      </c>
    </row>
    <row r="491" spans="1:66" x14ac:dyDescent="0.25">
      <c r="A491" s="16">
        <v>3408</v>
      </c>
      <c r="B491" s="16" t="s">
        <v>686</v>
      </c>
      <c r="C491" s="17">
        <v>0</v>
      </c>
      <c r="D491" s="17">
        <f t="shared" si="268"/>
        <v>0</v>
      </c>
      <c r="E491" s="17">
        <f t="shared" si="269"/>
        <v>0</v>
      </c>
      <c r="F491" s="17">
        <f t="shared" si="270"/>
        <v>0</v>
      </c>
      <c r="G491" s="17">
        <f t="shared" si="271"/>
        <v>0</v>
      </c>
      <c r="H491" s="17">
        <f t="shared" si="272"/>
        <v>0</v>
      </c>
      <c r="I491" s="17">
        <f t="shared" si="273"/>
        <v>0</v>
      </c>
      <c r="J491" s="17">
        <f t="shared" si="274"/>
        <v>0</v>
      </c>
      <c r="K491" s="17">
        <f t="shared" si="275"/>
        <v>0</v>
      </c>
      <c r="L491" s="17">
        <f t="shared" si="276"/>
        <v>0</v>
      </c>
      <c r="M491" s="17">
        <f t="shared" si="277"/>
        <v>0</v>
      </c>
      <c r="N491" s="17">
        <f t="shared" si="278"/>
        <v>0</v>
      </c>
      <c r="O491" s="17">
        <f t="shared" si="279"/>
        <v>0</v>
      </c>
      <c r="P491" s="17">
        <v>0</v>
      </c>
      <c r="Q491" s="17">
        <f t="shared" si="280"/>
        <v>0</v>
      </c>
      <c r="R491" s="17">
        <f t="shared" si="281"/>
        <v>0</v>
      </c>
      <c r="S491" s="17">
        <f t="shared" si="282"/>
        <v>0</v>
      </c>
      <c r="T491" s="17">
        <f t="shared" si="283"/>
        <v>0</v>
      </c>
      <c r="U491" s="17">
        <f t="shared" si="284"/>
        <v>0</v>
      </c>
      <c r="V491" s="17">
        <f t="shared" si="285"/>
        <v>0</v>
      </c>
      <c r="W491" s="17">
        <f t="shared" si="286"/>
        <v>0</v>
      </c>
      <c r="X491" s="17">
        <f t="shared" si="287"/>
        <v>0</v>
      </c>
      <c r="Y491" s="17">
        <f t="shared" si="288"/>
        <v>0</v>
      </c>
      <c r="Z491" s="17">
        <f t="shared" si="289"/>
        <v>0</v>
      </c>
      <c r="AA491" s="17">
        <f t="shared" si="290"/>
        <v>0</v>
      </c>
      <c r="AB491" s="17">
        <f t="shared" si="291"/>
        <v>0</v>
      </c>
      <c r="AC491" s="17">
        <v>0</v>
      </c>
      <c r="AD491" s="17">
        <f t="shared" si="292"/>
        <v>0</v>
      </c>
      <c r="AE491" s="17">
        <f t="shared" si="293"/>
        <v>0</v>
      </c>
      <c r="AF491" s="17">
        <f t="shared" si="294"/>
        <v>0</v>
      </c>
      <c r="AG491" s="17">
        <f t="shared" si="295"/>
        <v>0</v>
      </c>
      <c r="AH491" s="17">
        <f t="shared" si="296"/>
        <v>0</v>
      </c>
      <c r="AI491" s="17">
        <f t="shared" si="297"/>
        <v>0</v>
      </c>
      <c r="AJ491" s="17">
        <f t="shared" si="298"/>
        <v>0</v>
      </c>
      <c r="AK491" s="17">
        <f t="shared" si="299"/>
        <v>0</v>
      </c>
      <c r="AL491" s="17">
        <f t="shared" si="300"/>
        <v>0</v>
      </c>
      <c r="AM491" s="17">
        <f t="shared" si="301"/>
        <v>0</v>
      </c>
      <c r="AN491" s="17">
        <f t="shared" si="302"/>
        <v>0</v>
      </c>
      <c r="AO491" s="17">
        <f t="shared" si="303"/>
        <v>0</v>
      </c>
      <c r="AP491" s="17">
        <f t="shared" si="304"/>
        <v>0</v>
      </c>
      <c r="AQ491" s="18">
        <v>11.407035737371723</v>
      </c>
      <c r="AR491" s="18">
        <v>13.641743635157086</v>
      </c>
      <c r="AS491" s="18">
        <v>12.073043087456034</v>
      </c>
      <c r="AT491" s="18">
        <v>9.144865583386558</v>
      </c>
      <c r="AU491" s="18">
        <v>13.262232831421365</v>
      </c>
      <c r="AV491" s="18">
        <v>10.86838509147808</v>
      </c>
      <c r="AW491" s="18">
        <v>10.820233859432919</v>
      </c>
      <c r="AX491" s="18">
        <v>7.3479443655332606</v>
      </c>
      <c r="AY491" s="18">
        <v>10.891858945815567</v>
      </c>
      <c r="AZ491" s="18">
        <v>9.485408999448504</v>
      </c>
      <c r="BA491" s="18">
        <v>9.6849621431840447</v>
      </c>
      <c r="BB491" s="18">
        <v>9.4595076873448374</v>
      </c>
      <c r="BC491" s="23">
        <v>8.9181565948742242E-2</v>
      </c>
      <c r="BD491" s="23">
        <v>0.10665277883445198</v>
      </c>
      <c r="BE491" s="23">
        <v>9.438849084854764E-2</v>
      </c>
      <c r="BF491" s="23">
        <v>7.149564986855049E-2</v>
      </c>
      <c r="BG491" s="23">
        <v>0.10368571810536763</v>
      </c>
      <c r="BH491" s="23">
        <v>8.4970330952544637E-2</v>
      </c>
      <c r="BI491" s="23">
        <v>8.4593878877262704E-2</v>
      </c>
      <c r="BJ491" s="23">
        <v>5.7447105462779965E-2</v>
      </c>
      <c r="BK491" s="23">
        <v>8.5153852345557474E-2</v>
      </c>
      <c r="BL491" s="23">
        <v>7.4158058913035174E-2</v>
      </c>
      <c r="BM491" s="23">
        <v>7.5718189192107169E-2</v>
      </c>
      <c r="BN491" s="23">
        <v>7.3955559365675619E-2</v>
      </c>
    </row>
    <row r="492" spans="1:66" x14ac:dyDescent="0.25">
      <c r="A492" s="16">
        <v>5370</v>
      </c>
      <c r="B492" s="16" t="s">
        <v>687</v>
      </c>
      <c r="C492" s="17">
        <v>125.57600000000001</v>
      </c>
      <c r="D492" s="17">
        <f t="shared" si="268"/>
        <v>11.199064325579256</v>
      </c>
      <c r="E492" s="17">
        <f t="shared" si="269"/>
        <v>13.393029354915143</v>
      </c>
      <c r="F492" s="17">
        <f t="shared" si="270"/>
        <v>11.852929126797219</v>
      </c>
      <c r="G492" s="17">
        <f t="shared" si="271"/>
        <v>8.9781377278930972</v>
      </c>
      <c r="H492" s="17">
        <f t="shared" si="272"/>
        <v>13.020437736799646</v>
      </c>
      <c r="I492" s="17">
        <f t="shared" si="273"/>
        <v>10.670234279696746</v>
      </c>
      <c r="J492" s="17">
        <f t="shared" si="274"/>
        <v>10.622960933891141</v>
      </c>
      <c r="K492" s="17">
        <f t="shared" si="275"/>
        <v>7.2139777155940576</v>
      </c>
      <c r="L492" s="17">
        <f t="shared" si="276"/>
        <v>10.693280162145726</v>
      </c>
      <c r="M492" s="17">
        <f t="shared" si="277"/>
        <v>9.3124724060633053</v>
      </c>
      <c r="N492" s="17">
        <f t="shared" si="278"/>
        <v>9.5083873259880498</v>
      </c>
      <c r="O492" s="17">
        <f t="shared" si="279"/>
        <v>9.2870433229040827</v>
      </c>
      <c r="P492" s="17">
        <v>0</v>
      </c>
      <c r="Q492" s="17">
        <f t="shared" si="280"/>
        <v>0</v>
      </c>
      <c r="R492" s="17">
        <f t="shared" si="281"/>
        <v>0</v>
      </c>
      <c r="S492" s="17">
        <f t="shared" si="282"/>
        <v>0</v>
      </c>
      <c r="T492" s="17">
        <f t="shared" si="283"/>
        <v>0</v>
      </c>
      <c r="U492" s="17">
        <f t="shared" si="284"/>
        <v>0</v>
      </c>
      <c r="V492" s="17">
        <f t="shared" si="285"/>
        <v>0</v>
      </c>
      <c r="W492" s="17">
        <f t="shared" si="286"/>
        <v>0</v>
      </c>
      <c r="X492" s="17">
        <f t="shared" si="287"/>
        <v>0</v>
      </c>
      <c r="Y492" s="17">
        <f t="shared" si="288"/>
        <v>0</v>
      </c>
      <c r="Z492" s="17">
        <f t="shared" si="289"/>
        <v>0</v>
      </c>
      <c r="AA492" s="17">
        <f t="shared" si="290"/>
        <v>0</v>
      </c>
      <c r="AB492" s="17">
        <f t="shared" si="291"/>
        <v>0</v>
      </c>
      <c r="AC492" s="17">
        <v>0</v>
      </c>
      <c r="AD492" s="17">
        <f t="shared" si="292"/>
        <v>0</v>
      </c>
      <c r="AE492" s="17">
        <f t="shared" si="293"/>
        <v>0</v>
      </c>
      <c r="AF492" s="17">
        <f t="shared" si="294"/>
        <v>0</v>
      </c>
      <c r="AG492" s="17">
        <f t="shared" si="295"/>
        <v>0</v>
      </c>
      <c r="AH492" s="17">
        <f t="shared" si="296"/>
        <v>0</v>
      </c>
      <c r="AI492" s="17">
        <f t="shared" si="297"/>
        <v>0</v>
      </c>
      <c r="AJ492" s="17">
        <f t="shared" si="298"/>
        <v>0</v>
      </c>
      <c r="AK492" s="17">
        <f t="shared" si="299"/>
        <v>0</v>
      </c>
      <c r="AL492" s="17">
        <f t="shared" si="300"/>
        <v>0</v>
      </c>
      <c r="AM492" s="17">
        <f t="shared" si="301"/>
        <v>0</v>
      </c>
      <c r="AN492" s="17">
        <f t="shared" si="302"/>
        <v>0</v>
      </c>
      <c r="AO492" s="17">
        <f t="shared" si="303"/>
        <v>0</v>
      </c>
      <c r="AP492" s="17">
        <f t="shared" si="304"/>
        <v>125.57600000000001</v>
      </c>
      <c r="AQ492" s="18">
        <v>58.634204164319563</v>
      </c>
      <c r="AR492" s="18">
        <v>70.121002500287148</v>
      </c>
      <c r="AS492" s="18">
        <v>62.057601078194622</v>
      </c>
      <c r="AT492" s="18">
        <v>47.00624491907589</v>
      </c>
      <c r="AU492" s="18">
        <v>68.170249082736063</v>
      </c>
      <c r="AV492" s="18">
        <v>55.865443491369525</v>
      </c>
      <c r="AW492" s="18">
        <v>55.617937545433911</v>
      </c>
      <c r="AX492" s="18">
        <v>37.769748428613944</v>
      </c>
      <c r="AY492" s="18">
        <v>55.986103301633676</v>
      </c>
      <c r="AZ492" s="18">
        <v>48.756698993553236</v>
      </c>
      <c r="BA492" s="18">
        <v>49.782437848134705</v>
      </c>
      <c r="BB492" s="18">
        <v>48.623561616150752</v>
      </c>
      <c r="BC492" s="23">
        <v>8.9181565948742242E-2</v>
      </c>
      <c r="BD492" s="23">
        <v>0.10665277883445198</v>
      </c>
      <c r="BE492" s="23">
        <v>9.438849084854764E-2</v>
      </c>
      <c r="BF492" s="23">
        <v>7.149564986855049E-2</v>
      </c>
      <c r="BG492" s="23">
        <v>0.10368571810536763</v>
      </c>
      <c r="BH492" s="23">
        <v>8.4970330952544637E-2</v>
      </c>
      <c r="BI492" s="23">
        <v>8.4593878877262704E-2</v>
      </c>
      <c r="BJ492" s="23">
        <v>5.7447105462779965E-2</v>
      </c>
      <c r="BK492" s="23">
        <v>8.5153852345557474E-2</v>
      </c>
      <c r="BL492" s="23">
        <v>7.4158058913035174E-2</v>
      </c>
      <c r="BM492" s="23">
        <v>7.5718189192107169E-2</v>
      </c>
      <c r="BN492" s="23">
        <v>7.3955559365675619E-2</v>
      </c>
    </row>
    <row r="493" spans="1:66" x14ac:dyDescent="0.25">
      <c r="A493" s="16">
        <v>6610</v>
      </c>
      <c r="B493" s="16" t="s">
        <v>688</v>
      </c>
      <c r="C493" s="17">
        <v>0</v>
      </c>
      <c r="D493" s="17">
        <f t="shared" si="268"/>
        <v>0</v>
      </c>
      <c r="E493" s="17">
        <f t="shared" si="269"/>
        <v>0</v>
      </c>
      <c r="F493" s="17">
        <f t="shared" si="270"/>
        <v>0</v>
      </c>
      <c r="G493" s="17">
        <f t="shared" si="271"/>
        <v>0</v>
      </c>
      <c r="H493" s="17">
        <f t="shared" si="272"/>
        <v>0</v>
      </c>
      <c r="I493" s="17">
        <f t="shared" si="273"/>
        <v>0</v>
      </c>
      <c r="J493" s="17">
        <f t="shared" si="274"/>
        <v>0</v>
      </c>
      <c r="K493" s="17">
        <f t="shared" si="275"/>
        <v>0</v>
      </c>
      <c r="L493" s="17">
        <f t="shared" si="276"/>
        <v>0</v>
      </c>
      <c r="M493" s="17">
        <f t="shared" si="277"/>
        <v>0</v>
      </c>
      <c r="N493" s="17">
        <f t="shared" si="278"/>
        <v>0</v>
      </c>
      <c r="O493" s="17">
        <f t="shared" si="279"/>
        <v>0</v>
      </c>
      <c r="P493" s="17">
        <v>0</v>
      </c>
      <c r="Q493" s="17">
        <f t="shared" si="280"/>
        <v>0</v>
      </c>
      <c r="R493" s="17">
        <f t="shared" si="281"/>
        <v>0</v>
      </c>
      <c r="S493" s="17">
        <f t="shared" si="282"/>
        <v>0</v>
      </c>
      <c r="T493" s="17">
        <f t="shared" si="283"/>
        <v>0</v>
      </c>
      <c r="U493" s="17">
        <f t="shared" si="284"/>
        <v>0</v>
      </c>
      <c r="V493" s="17">
        <f t="shared" si="285"/>
        <v>0</v>
      </c>
      <c r="W493" s="17">
        <f t="shared" si="286"/>
        <v>0</v>
      </c>
      <c r="X493" s="17">
        <f t="shared" si="287"/>
        <v>0</v>
      </c>
      <c r="Y493" s="17">
        <f t="shared" si="288"/>
        <v>0</v>
      </c>
      <c r="Z493" s="17">
        <f t="shared" si="289"/>
        <v>0</v>
      </c>
      <c r="AA493" s="17">
        <f t="shared" si="290"/>
        <v>0</v>
      </c>
      <c r="AB493" s="17">
        <f t="shared" si="291"/>
        <v>0</v>
      </c>
      <c r="AC493" s="17">
        <v>0</v>
      </c>
      <c r="AD493" s="17">
        <f t="shared" si="292"/>
        <v>0</v>
      </c>
      <c r="AE493" s="17">
        <f t="shared" si="293"/>
        <v>0</v>
      </c>
      <c r="AF493" s="17">
        <f t="shared" si="294"/>
        <v>0</v>
      </c>
      <c r="AG493" s="17">
        <f t="shared" si="295"/>
        <v>0</v>
      </c>
      <c r="AH493" s="17">
        <f t="shared" si="296"/>
        <v>0</v>
      </c>
      <c r="AI493" s="17">
        <f t="shared" si="297"/>
        <v>0</v>
      </c>
      <c r="AJ493" s="17">
        <f t="shared" si="298"/>
        <v>0</v>
      </c>
      <c r="AK493" s="17">
        <f t="shared" si="299"/>
        <v>0</v>
      </c>
      <c r="AL493" s="17">
        <f t="shared" si="300"/>
        <v>0</v>
      </c>
      <c r="AM493" s="17">
        <f t="shared" si="301"/>
        <v>0</v>
      </c>
      <c r="AN493" s="17">
        <f t="shared" si="302"/>
        <v>0</v>
      </c>
      <c r="AO493" s="17">
        <f t="shared" si="303"/>
        <v>0</v>
      </c>
      <c r="AP493" s="17">
        <f t="shared" si="304"/>
        <v>0</v>
      </c>
      <c r="AQ493" s="18">
        <v>31.937345671299781</v>
      </c>
      <c r="AR493" s="18">
        <v>38.194066545078613</v>
      </c>
      <c r="AS493" s="18">
        <v>33.802028788718488</v>
      </c>
      <c r="AT493" s="18">
        <v>25.603736148325829</v>
      </c>
      <c r="AU493" s="18">
        <v>37.131514625021836</v>
      </c>
      <c r="AV493" s="18">
        <v>30.42923503940148</v>
      </c>
      <c r="AW493" s="18">
        <v>30.294421528009813</v>
      </c>
      <c r="AX493" s="18">
        <v>20.572727619908914</v>
      </c>
      <c r="AY493" s="18">
        <v>30.494956986581663</v>
      </c>
      <c r="AZ493" s="18">
        <v>26.557187425700508</v>
      </c>
      <c r="BA493" s="18">
        <v>27.115895040720655</v>
      </c>
      <c r="BB493" s="18">
        <v>26.484669097798292</v>
      </c>
      <c r="BC493" s="23">
        <v>8.9181565948742242E-2</v>
      </c>
      <c r="BD493" s="23">
        <v>0.10665277883445198</v>
      </c>
      <c r="BE493" s="23">
        <v>9.438849084854764E-2</v>
      </c>
      <c r="BF493" s="23">
        <v>7.149564986855049E-2</v>
      </c>
      <c r="BG493" s="23">
        <v>0.10368571810536763</v>
      </c>
      <c r="BH493" s="23">
        <v>8.4970330952544637E-2</v>
      </c>
      <c r="BI493" s="23">
        <v>8.4593878877262704E-2</v>
      </c>
      <c r="BJ493" s="23">
        <v>5.7447105462779965E-2</v>
      </c>
      <c r="BK493" s="23">
        <v>8.5153852345557474E-2</v>
      </c>
      <c r="BL493" s="23">
        <v>7.4158058913035174E-2</v>
      </c>
      <c r="BM493" s="23">
        <v>7.5718189192107169E-2</v>
      </c>
      <c r="BN493" s="23">
        <v>7.3955559365675619E-2</v>
      </c>
    </row>
    <row r="494" spans="1:66" x14ac:dyDescent="0.25">
      <c r="A494" s="16">
        <v>6648</v>
      </c>
      <c r="B494" s="16" t="s">
        <v>689</v>
      </c>
      <c r="C494" s="17">
        <v>0</v>
      </c>
      <c r="D494" s="17">
        <f t="shared" si="268"/>
        <v>0</v>
      </c>
      <c r="E494" s="17">
        <f t="shared" si="269"/>
        <v>0</v>
      </c>
      <c r="F494" s="17">
        <f t="shared" si="270"/>
        <v>0</v>
      </c>
      <c r="G494" s="17">
        <f t="shared" si="271"/>
        <v>0</v>
      </c>
      <c r="H494" s="17">
        <f t="shared" si="272"/>
        <v>0</v>
      </c>
      <c r="I494" s="17">
        <f t="shared" si="273"/>
        <v>0</v>
      </c>
      <c r="J494" s="17">
        <f t="shared" si="274"/>
        <v>0</v>
      </c>
      <c r="K494" s="17">
        <f t="shared" si="275"/>
        <v>0</v>
      </c>
      <c r="L494" s="17">
        <f t="shared" si="276"/>
        <v>0</v>
      </c>
      <c r="M494" s="17">
        <f t="shared" si="277"/>
        <v>0</v>
      </c>
      <c r="N494" s="17">
        <f t="shared" si="278"/>
        <v>0</v>
      </c>
      <c r="O494" s="17">
        <f t="shared" si="279"/>
        <v>0</v>
      </c>
      <c r="P494" s="17">
        <v>0</v>
      </c>
      <c r="Q494" s="17">
        <f t="shared" si="280"/>
        <v>0</v>
      </c>
      <c r="R494" s="17">
        <f t="shared" si="281"/>
        <v>0</v>
      </c>
      <c r="S494" s="17">
        <f t="shared" si="282"/>
        <v>0</v>
      </c>
      <c r="T494" s="17">
        <f t="shared" si="283"/>
        <v>0</v>
      </c>
      <c r="U494" s="17">
        <f t="shared" si="284"/>
        <v>0</v>
      </c>
      <c r="V494" s="17">
        <f t="shared" si="285"/>
        <v>0</v>
      </c>
      <c r="W494" s="17">
        <f t="shared" si="286"/>
        <v>0</v>
      </c>
      <c r="X494" s="17">
        <f t="shared" si="287"/>
        <v>0</v>
      </c>
      <c r="Y494" s="17">
        <f t="shared" si="288"/>
        <v>0</v>
      </c>
      <c r="Z494" s="17">
        <f t="shared" si="289"/>
        <v>0</v>
      </c>
      <c r="AA494" s="17">
        <f t="shared" si="290"/>
        <v>0</v>
      </c>
      <c r="AB494" s="17">
        <f t="shared" si="291"/>
        <v>0</v>
      </c>
      <c r="AC494" s="17">
        <v>0</v>
      </c>
      <c r="AD494" s="17">
        <f t="shared" si="292"/>
        <v>0</v>
      </c>
      <c r="AE494" s="17">
        <f t="shared" si="293"/>
        <v>0</v>
      </c>
      <c r="AF494" s="17">
        <f t="shared" si="294"/>
        <v>0</v>
      </c>
      <c r="AG494" s="17">
        <f t="shared" si="295"/>
        <v>0</v>
      </c>
      <c r="AH494" s="17">
        <f t="shared" si="296"/>
        <v>0</v>
      </c>
      <c r="AI494" s="17">
        <f t="shared" si="297"/>
        <v>0</v>
      </c>
      <c r="AJ494" s="17">
        <f t="shared" si="298"/>
        <v>0</v>
      </c>
      <c r="AK494" s="17">
        <f t="shared" si="299"/>
        <v>0</v>
      </c>
      <c r="AL494" s="17">
        <f t="shared" si="300"/>
        <v>0</v>
      </c>
      <c r="AM494" s="17">
        <f t="shared" si="301"/>
        <v>0</v>
      </c>
      <c r="AN494" s="17">
        <f t="shared" si="302"/>
        <v>0</v>
      </c>
      <c r="AO494" s="17">
        <f t="shared" si="303"/>
        <v>0</v>
      </c>
      <c r="AP494" s="17">
        <f t="shared" si="304"/>
        <v>0</v>
      </c>
      <c r="AQ494" s="18">
        <v>10.880151045746553</v>
      </c>
      <c r="AR494" s="18">
        <v>13.011639017803143</v>
      </c>
      <c r="AS494" s="18">
        <v>11.515395883522812</v>
      </c>
      <c r="AT494" s="18">
        <v>8.722469283963159</v>
      </c>
      <c r="AU494" s="18">
        <v>12.64965760885485</v>
      </c>
      <c r="AV494" s="18">
        <v>10.366380376210445</v>
      </c>
      <c r="AW494" s="18">
        <v>10.32045322302605</v>
      </c>
      <c r="AX494" s="18">
        <v>7.0085468664591559</v>
      </c>
      <c r="AY494" s="18">
        <v>10.388769986158012</v>
      </c>
      <c r="AZ494" s="18">
        <v>9.0472831873902919</v>
      </c>
      <c r="BA494" s="18">
        <v>9.2376190814370744</v>
      </c>
      <c r="BB494" s="18">
        <v>9.0225782426124255</v>
      </c>
      <c r="BC494" s="23">
        <v>8.9181565948742242E-2</v>
      </c>
      <c r="BD494" s="23">
        <v>0.10665277883445198</v>
      </c>
      <c r="BE494" s="23">
        <v>9.438849084854764E-2</v>
      </c>
      <c r="BF494" s="23">
        <v>7.149564986855049E-2</v>
      </c>
      <c r="BG494" s="23">
        <v>0.10368571810536763</v>
      </c>
      <c r="BH494" s="23">
        <v>8.4970330952544637E-2</v>
      </c>
      <c r="BI494" s="23">
        <v>8.4593878877262704E-2</v>
      </c>
      <c r="BJ494" s="23">
        <v>5.7447105462779965E-2</v>
      </c>
      <c r="BK494" s="23">
        <v>8.5153852345557474E-2</v>
      </c>
      <c r="BL494" s="23">
        <v>7.4158058913035174E-2</v>
      </c>
      <c r="BM494" s="23">
        <v>7.5718189192107169E-2</v>
      </c>
      <c r="BN494" s="23">
        <v>7.3955559365675619E-2</v>
      </c>
    </row>
    <row r="495" spans="1:66" x14ac:dyDescent="0.25">
      <c r="A495" s="16">
        <v>4817</v>
      </c>
      <c r="B495" s="16" t="s">
        <v>690</v>
      </c>
      <c r="C495" s="17">
        <v>0</v>
      </c>
      <c r="D495" s="17">
        <f t="shared" si="268"/>
        <v>0</v>
      </c>
      <c r="E495" s="17">
        <f t="shared" si="269"/>
        <v>0</v>
      </c>
      <c r="F495" s="17">
        <f t="shared" si="270"/>
        <v>0</v>
      </c>
      <c r="G495" s="17">
        <f t="shared" si="271"/>
        <v>0</v>
      </c>
      <c r="H495" s="17">
        <f t="shared" si="272"/>
        <v>0</v>
      </c>
      <c r="I495" s="17">
        <f t="shared" si="273"/>
        <v>0</v>
      </c>
      <c r="J495" s="17">
        <f t="shared" si="274"/>
        <v>0</v>
      </c>
      <c r="K495" s="17">
        <f t="shared" si="275"/>
        <v>0</v>
      </c>
      <c r="L495" s="17">
        <f t="shared" si="276"/>
        <v>0</v>
      </c>
      <c r="M495" s="17">
        <f t="shared" si="277"/>
        <v>0</v>
      </c>
      <c r="N495" s="17">
        <f t="shared" si="278"/>
        <v>0</v>
      </c>
      <c r="O495" s="17">
        <f t="shared" si="279"/>
        <v>0</v>
      </c>
      <c r="P495" s="17">
        <v>0</v>
      </c>
      <c r="Q495" s="17">
        <f t="shared" si="280"/>
        <v>0</v>
      </c>
      <c r="R495" s="17">
        <f t="shared" si="281"/>
        <v>0</v>
      </c>
      <c r="S495" s="17">
        <f t="shared" si="282"/>
        <v>0</v>
      </c>
      <c r="T495" s="17">
        <f t="shared" si="283"/>
        <v>0</v>
      </c>
      <c r="U495" s="17">
        <f t="shared" si="284"/>
        <v>0</v>
      </c>
      <c r="V495" s="17">
        <f t="shared" si="285"/>
        <v>0</v>
      </c>
      <c r="W495" s="17">
        <f t="shared" si="286"/>
        <v>0</v>
      </c>
      <c r="X495" s="17">
        <f t="shared" si="287"/>
        <v>0</v>
      </c>
      <c r="Y495" s="17">
        <f t="shared" si="288"/>
        <v>0</v>
      </c>
      <c r="Z495" s="17">
        <f t="shared" si="289"/>
        <v>0</v>
      </c>
      <c r="AA495" s="17">
        <f t="shared" si="290"/>
        <v>0</v>
      </c>
      <c r="AB495" s="17">
        <f t="shared" si="291"/>
        <v>0</v>
      </c>
      <c r="AC495" s="17">
        <v>0</v>
      </c>
      <c r="AD495" s="17">
        <f t="shared" si="292"/>
        <v>0</v>
      </c>
      <c r="AE495" s="17">
        <f t="shared" si="293"/>
        <v>0</v>
      </c>
      <c r="AF495" s="17">
        <f t="shared" si="294"/>
        <v>0</v>
      </c>
      <c r="AG495" s="17">
        <f t="shared" si="295"/>
        <v>0</v>
      </c>
      <c r="AH495" s="17">
        <f t="shared" si="296"/>
        <v>0</v>
      </c>
      <c r="AI495" s="17">
        <f t="shared" si="297"/>
        <v>0</v>
      </c>
      <c r="AJ495" s="17">
        <f t="shared" si="298"/>
        <v>0</v>
      </c>
      <c r="AK495" s="17">
        <f t="shared" si="299"/>
        <v>0</v>
      </c>
      <c r="AL495" s="17">
        <f t="shared" si="300"/>
        <v>0</v>
      </c>
      <c r="AM495" s="17">
        <f t="shared" si="301"/>
        <v>0</v>
      </c>
      <c r="AN495" s="17">
        <f t="shared" si="302"/>
        <v>0</v>
      </c>
      <c r="AO495" s="17">
        <f t="shared" si="303"/>
        <v>0</v>
      </c>
      <c r="AP495" s="17">
        <f t="shared" si="304"/>
        <v>0</v>
      </c>
      <c r="AQ495" s="18">
        <v>10.154213098923792</v>
      </c>
      <c r="AR495" s="18">
        <v>12.143485398090704</v>
      </c>
      <c r="AS495" s="18">
        <v>10.747073568015635</v>
      </c>
      <c r="AT495" s="18">
        <v>8.1404946940331584</v>
      </c>
      <c r="AU495" s="18">
        <v>11.805655863477158</v>
      </c>
      <c r="AV495" s="18">
        <v>9.6747218822567316</v>
      </c>
      <c r="AW495" s="18">
        <v>9.631859048965131</v>
      </c>
      <c r="AX495" s="18">
        <v>6.540927427992127</v>
      </c>
      <c r="AY495" s="18">
        <v>9.6956176280651736</v>
      </c>
      <c r="AZ495" s="18">
        <v>8.4436365878381849</v>
      </c>
      <c r="BA495" s="18">
        <v>8.6212730214133213</v>
      </c>
      <c r="BB495" s="18">
        <v>8.4205799893758257</v>
      </c>
      <c r="BC495" s="23">
        <v>8.9181565948742242E-2</v>
      </c>
      <c r="BD495" s="23">
        <v>0.10665277883445198</v>
      </c>
      <c r="BE495" s="23">
        <v>9.438849084854764E-2</v>
      </c>
      <c r="BF495" s="23">
        <v>7.149564986855049E-2</v>
      </c>
      <c r="BG495" s="23">
        <v>0.10368571810536763</v>
      </c>
      <c r="BH495" s="23">
        <v>8.4970330952544637E-2</v>
      </c>
      <c r="BI495" s="23">
        <v>8.4593878877262704E-2</v>
      </c>
      <c r="BJ495" s="23">
        <v>5.7447105462779965E-2</v>
      </c>
      <c r="BK495" s="23">
        <v>8.5153852345557474E-2</v>
      </c>
      <c r="BL495" s="23">
        <v>7.4158058913035174E-2</v>
      </c>
      <c r="BM495" s="23">
        <v>7.5718189192107169E-2</v>
      </c>
      <c r="BN495" s="23">
        <v>7.3955559365675619E-2</v>
      </c>
    </row>
    <row r="496" spans="1:66" x14ac:dyDescent="0.25">
      <c r="A496" s="16">
        <v>4530</v>
      </c>
      <c r="B496" s="16" t="s">
        <v>691</v>
      </c>
      <c r="C496" s="17">
        <v>0</v>
      </c>
      <c r="D496" s="17">
        <f t="shared" si="268"/>
        <v>0</v>
      </c>
      <c r="E496" s="17">
        <f t="shared" si="269"/>
        <v>0</v>
      </c>
      <c r="F496" s="17">
        <f t="shared" si="270"/>
        <v>0</v>
      </c>
      <c r="G496" s="17">
        <f t="shared" si="271"/>
        <v>0</v>
      </c>
      <c r="H496" s="17">
        <f t="shared" si="272"/>
        <v>0</v>
      </c>
      <c r="I496" s="17">
        <f t="shared" si="273"/>
        <v>0</v>
      </c>
      <c r="J496" s="17">
        <f t="shared" si="274"/>
        <v>0</v>
      </c>
      <c r="K496" s="17">
        <f t="shared" si="275"/>
        <v>0</v>
      </c>
      <c r="L496" s="17">
        <f t="shared" si="276"/>
        <v>0</v>
      </c>
      <c r="M496" s="17">
        <f t="shared" si="277"/>
        <v>0</v>
      </c>
      <c r="N496" s="17">
        <f t="shared" si="278"/>
        <v>0</v>
      </c>
      <c r="O496" s="17">
        <f t="shared" si="279"/>
        <v>0</v>
      </c>
      <c r="P496" s="17">
        <v>0</v>
      </c>
      <c r="Q496" s="17">
        <f t="shared" si="280"/>
        <v>0</v>
      </c>
      <c r="R496" s="17">
        <f t="shared" si="281"/>
        <v>0</v>
      </c>
      <c r="S496" s="17">
        <f t="shared" si="282"/>
        <v>0</v>
      </c>
      <c r="T496" s="17">
        <f t="shared" si="283"/>
        <v>0</v>
      </c>
      <c r="U496" s="17">
        <f t="shared" si="284"/>
        <v>0</v>
      </c>
      <c r="V496" s="17">
        <f t="shared" si="285"/>
        <v>0</v>
      </c>
      <c r="W496" s="17">
        <f t="shared" si="286"/>
        <v>0</v>
      </c>
      <c r="X496" s="17">
        <f t="shared" si="287"/>
        <v>0</v>
      </c>
      <c r="Y496" s="17">
        <f t="shared" si="288"/>
        <v>0</v>
      </c>
      <c r="Z496" s="17">
        <f t="shared" si="289"/>
        <v>0</v>
      </c>
      <c r="AA496" s="17">
        <f t="shared" si="290"/>
        <v>0</v>
      </c>
      <c r="AB496" s="17">
        <f t="shared" si="291"/>
        <v>0</v>
      </c>
      <c r="AC496" s="17">
        <v>0</v>
      </c>
      <c r="AD496" s="17">
        <f t="shared" si="292"/>
        <v>0</v>
      </c>
      <c r="AE496" s="17">
        <f t="shared" si="293"/>
        <v>0</v>
      </c>
      <c r="AF496" s="17">
        <f t="shared" si="294"/>
        <v>0</v>
      </c>
      <c r="AG496" s="17">
        <f t="shared" si="295"/>
        <v>0</v>
      </c>
      <c r="AH496" s="17">
        <f t="shared" si="296"/>
        <v>0</v>
      </c>
      <c r="AI496" s="17">
        <f t="shared" si="297"/>
        <v>0</v>
      </c>
      <c r="AJ496" s="17">
        <f t="shared" si="298"/>
        <v>0</v>
      </c>
      <c r="AK496" s="17">
        <f t="shared" si="299"/>
        <v>0</v>
      </c>
      <c r="AL496" s="17">
        <f t="shared" si="300"/>
        <v>0</v>
      </c>
      <c r="AM496" s="17">
        <f t="shared" si="301"/>
        <v>0</v>
      </c>
      <c r="AN496" s="17">
        <f t="shared" si="302"/>
        <v>0</v>
      </c>
      <c r="AO496" s="17">
        <f t="shared" si="303"/>
        <v>0</v>
      </c>
      <c r="AP496" s="17">
        <f t="shared" si="304"/>
        <v>0</v>
      </c>
      <c r="AQ496" s="18">
        <v>10.127726173837015</v>
      </c>
      <c r="AR496" s="18">
        <v>12.111809522776872</v>
      </c>
      <c r="AS496" s="18">
        <v>10.719040186233617</v>
      </c>
      <c r="AT496" s="18">
        <v>8.1192604860221991</v>
      </c>
      <c r="AU496" s="18">
        <v>11.774861205199864</v>
      </c>
      <c r="AV496" s="18">
        <v>9.6494856939638272</v>
      </c>
      <c r="AW496" s="18">
        <v>9.6067346669385838</v>
      </c>
      <c r="AX496" s="18">
        <v>6.5238656376696813</v>
      </c>
      <c r="AY496" s="18">
        <v>9.6703269339185436</v>
      </c>
      <c r="AZ496" s="18">
        <v>8.4216116443410129</v>
      </c>
      <c r="BA496" s="18">
        <v>8.598784719223266</v>
      </c>
      <c r="BB496" s="18">
        <v>8.3986151882442197</v>
      </c>
      <c r="BC496" s="23">
        <v>8.9181565948742242E-2</v>
      </c>
      <c r="BD496" s="23">
        <v>0.10665277883445198</v>
      </c>
      <c r="BE496" s="23">
        <v>9.438849084854764E-2</v>
      </c>
      <c r="BF496" s="23">
        <v>7.149564986855049E-2</v>
      </c>
      <c r="BG496" s="23">
        <v>0.10368571810536763</v>
      </c>
      <c r="BH496" s="23">
        <v>8.4970330952544637E-2</v>
      </c>
      <c r="BI496" s="23">
        <v>8.4593878877262704E-2</v>
      </c>
      <c r="BJ496" s="23">
        <v>5.7447105462779965E-2</v>
      </c>
      <c r="BK496" s="23">
        <v>8.5153852345557474E-2</v>
      </c>
      <c r="BL496" s="23">
        <v>7.4158058913035174E-2</v>
      </c>
      <c r="BM496" s="23">
        <v>7.5718189192107169E-2</v>
      </c>
      <c r="BN496" s="23">
        <v>7.3955559365675619E-2</v>
      </c>
    </row>
    <row r="497" spans="1:66" x14ac:dyDescent="0.25">
      <c r="A497" s="16">
        <v>6837</v>
      </c>
      <c r="B497" s="16" t="s">
        <v>692</v>
      </c>
      <c r="C497" s="17">
        <v>0</v>
      </c>
      <c r="D497" s="17">
        <f t="shared" si="268"/>
        <v>0</v>
      </c>
      <c r="E497" s="17">
        <f t="shared" si="269"/>
        <v>0</v>
      </c>
      <c r="F497" s="17">
        <f t="shared" si="270"/>
        <v>0</v>
      </c>
      <c r="G497" s="17">
        <f t="shared" si="271"/>
        <v>0</v>
      </c>
      <c r="H497" s="17">
        <f t="shared" si="272"/>
        <v>0</v>
      </c>
      <c r="I497" s="17">
        <f t="shared" si="273"/>
        <v>0</v>
      </c>
      <c r="J497" s="17">
        <f t="shared" si="274"/>
        <v>0</v>
      </c>
      <c r="K497" s="17">
        <f t="shared" si="275"/>
        <v>0</v>
      </c>
      <c r="L497" s="17">
        <f t="shared" si="276"/>
        <v>0</v>
      </c>
      <c r="M497" s="17">
        <f t="shared" si="277"/>
        <v>0</v>
      </c>
      <c r="N497" s="17">
        <f t="shared" si="278"/>
        <v>0</v>
      </c>
      <c r="O497" s="17">
        <f t="shared" si="279"/>
        <v>0</v>
      </c>
      <c r="P497" s="17">
        <v>0</v>
      </c>
      <c r="Q497" s="17">
        <f t="shared" si="280"/>
        <v>0</v>
      </c>
      <c r="R497" s="17">
        <f t="shared" si="281"/>
        <v>0</v>
      </c>
      <c r="S497" s="17">
        <f t="shared" si="282"/>
        <v>0</v>
      </c>
      <c r="T497" s="17">
        <f t="shared" si="283"/>
        <v>0</v>
      </c>
      <c r="U497" s="17">
        <f t="shared" si="284"/>
        <v>0</v>
      </c>
      <c r="V497" s="17">
        <f t="shared" si="285"/>
        <v>0</v>
      </c>
      <c r="W497" s="17">
        <f t="shared" si="286"/>
        <v>0</v>
      </c>
      <c r="X497" s="17">
        <f t="shared" si="287"/>
        <v>0</v>
      </c>
      <c r="Y497" s="17">
        <f t="shared" si="288"/>
        <v>0</v>
      </c>
      <c r="Z497" s="17">
        <f t="shared" si="289"/>
        <v>0</v>
      </c>
      <c r="AA497" s="17">
        <f t="shared" si="290"/>
        <v>0</v>
      </c>
      <c r="AB497" s="17">
        <f t="shared" si="291"/>
        <v>0</v>
      </c>
      <c r="AC497" s="17">
        <v>0</v>
      </c>
      <c r="AD497" s="17">
        <f t="shared" si="292"/>
        <v>0</v>
      </c>
      <c r="AE497" s="17">
        <f t="shared" si="293"/>
        <v>0</v>
      </c>
      <c r="AF497" s="17">
        <f t="shared" si="294"/>
        <v>0</v>
      </c>
      <c r="AG497" s="17">
        <f t="shared" si="295"/>
        <v>0</v>
      </c>
      <c r="AH497" s="17">
        <f t="shared" si="296"/>
        <v>0</v>
      </c>
      <c r="AI497" s="17">
        <f t="shared" si="297"/>
        <v>0</v>
      </c>
      <c r="AJ497" s="17">
        <f t="shared" si="298"/>
        <v>0</v>
      </c>
      <c r="AK497" s="17">
        <f t="shared" si="299"/>
        <v>0</v>
      </c>
      <c r="AL497" s="17">
        <f t="shared" si="300"/>
        <v>0</v>
      </c>
      <c r="AM497" s="17">
        <f t="shared" si="301"/>
        <v>0</v>
      </c>
      <c r="AN497" s="17">
        <f t="shared" si="302"/>
        <v>0</v>
      </c>
      <c r="AO497" s="17">
        <f t="shared" si="303"/>
        <v>0</v>
      </c>
      <c r="AP497" s="17">
        <f t="shared" si="304"/>
        <v>0</v>
      </c>
      <c r="AQ497" s="18">
        <v>9.7952572959801056</v>
      </c>
      <c r="AR497" s="18">
        <v>11.714207963282036</v>
      </c>
      <c r="AS497" s="18">
        <v>10.367159892350232</v>
      </c>
      <c r="AT497" s="18">
        <v>7.8527247033122443</v>
      </c>
      <c r="AU497" s="18">
        <v>11.388320848103056</v>
      </c>
      <c r="AV497" s="18">
        <v>9.3327163001727413</v>
      </c>
      <c r="AW497" s="18">
        <v>9.2913686864841516</v>
      </c>
      <c r="AX497" s="18">
        <v>6.309702828504439</v>
      </c>
      <c r="AY497" s="18">
        <v>9.3528733723743063</v>
      </c>
      <c r="AZ497" s="18">
        <v>8.1451504007132201</v>
      </c>
      <c r="BA497" s="18">
        <v>8.3165073099150923</v>
      </c>
      <c r="BB497" s="18">
        <v>8.1229088629289841</v>
      </c>
      <c r="BC497" s="23">
        <v>8.9181565948742242E-2</v>
      </c>
      <c r="BD497" s="23">
        <v>0.10665277883445198</v>
      </c>
      <c r="BE497" s="23">
        <v>9.438849084854764E-2</v>
      </c>
      <c r="BF497" s="23">
        <v>7.149564986855049E-2</v>
      </c>
      <c r="BG497" s="23">
        <v>0.10368571810536763</v>
      </c>
      <c r="BH497" s="23">
        <v>8.4970330952544637E-2</v>
      </c>
      <c r="BI497" s="23">
        <v>8.4593878877262704E-2</v>
      </c>
      <c r="BJ497" s="23">
        <v>5.7447105462779965E-2</v>
      </c>
      <c r="BK497" s="23">
        <v>8.5153852345557474E-2</v>
      </c>
      <c r="BL497" s="23">
        <v>7.4158058913035174E-2</v>
      </c>
      <c r="BM497" s="23">
        <v>7.5718189192107169E-2</v>
      </c>
      <c r="BN497" s="23">
        <v>7.3955559365675619E-2</v>
      </c>
    </row>
    <row r="498" spans="1:66" x14ac:dyDescent="0.25">
      <c r="A498" s="16">
        <v>5545</v>
      </c>
      <c r="B498" s="16" t="s">
        <v>693</v>
      </c>
      <c r="C498" s="17">
        <v>0</v>
      </c>
      <c r="D498" s="17">
        <f t="shared" si="268"/>
        <v>0</v>
      </c>
      <c r="E498" s="17">
        <f t="shared" si="269"/>
        <v>0</v>
      </c>
      <c r="F498" s="17">
        <f t="shared" si="270"/>
        <v>0</v>
      </c>
      <c r="G498" s="17">
        <f t="shared" si="271"/>
        <v>0</v>
      </c>
      <c r="H498" s="17">
        <f t="shared" si="272"/>
        <v>0</v>
      </c>
      <c r="I498" s="17">
        <f t="shared" si="273"/>
        <v>0</v>
      </c>
      <c r="J498" s="17">
        <f t="shared" si="274"/>
        <v>0</v>
      </c>
      <c r="K498" s="17">
        <f t="shared" si="275"/>
        <v>0</v>
      </c>
      <c r="L498" s="17">
        <f t="shared" si="276"/>
        <v>0</v>
      </c>
      <c r="M498" s="17">
        <f t="shared" si="277"/>
        <v>0</v>
      </c>
      <c r="N498" s="17">
        <f t="shared" si="278"/>
        <v>0</v>
      </c>
      <c r="O498" s="17">
        <f t="shared" si="279"/>
        <v>0</v>
      </c>
      <c r="P498" s="17">
        <v>0</v>
      </c>
      <c r="Q498" s="17">
        <f t="shared" si="280"/>
        <v>0</v>
      </c>
      <c r="R498" s="17">
        <f t="shared" si="281"/>
        <v>0</v>
      </c>
      <c r="S498" s="17">
        <f t="shared" si="282"/>
        <v>0</v>
      </c>
      <c r="T498" s="17">
        <f t="shared" si="283"/>
        <v>0</v>
      </c>
      <c r="U498" s="17">
        <f t="shared" si="284"/>
        <v>0</v>
      </c>
      <c r="V498" s="17">
        <f t="shared" si="285"/>
        <v>0</v>
      </c>
      <c r="W498" s="17">
        <f t="shared" si="286"/>
        <v>0</v>
      </c>
      <c r="X498" s="17">
        <f t="shared" si="287"/>
        <v>0</v>
      </c>
      <c r="Y498" s="17">
        <f t="shared" si="288"/>
        <v>0</v>
      </c>
      <c r="Z498" s="17">
        <f t="shared" si="289"/>
        <v>0</v>
      </c>
      <c r="AA498" s="17">
        <f t="shared" si="290"/>
        <v>0</v>
      </c>
      <c r="AB498" s="17">
        <f t="shared" si="291"/>
        <v>0</v>
      </c>
      <c r="AC498" s="17">
        <v>0</v>
      </c>
      <c r="AD498" s="17">
        <f t="shared" si="292"/>
        <v>0</v>
      </c>
      <c r="AE498" s="17">
        <f t="shared" si="293"/>
        <v>0</v>
      </c>
      <c r="AF498" s="17">
        <f t="shared" si="294"/>
        <v>0</v>
      </c>
      <c r="AG498" s="17">
        <f t="shared" si="295"/>
        <v>0</v>
      </c>
      <c r="AH498" s="17">
        <f t="shared" si="296"/>
        <v>0</v>
      </c>
      <c r="AI498" s="17">
        <f t="shared" si="297"/>
        <v>0</v>
      </c>
      <c r="AJ498" s="17">
        <f t="shared" si="298"/>
        <v>0</v>
      </c>
      <c r="AK498" s="17">
        <f t="shared" si="299"/>
        <v>0</v>
      </c>
      <c r="AL498" s="17">
        <f t="shared" si="300"/>
        <v>0</v>
      </c>
      <c r="AM498" s="17">
        <f t="shared" si="301"/>
        <v>0</v>
      </c>
      <c r="AN498" s="17">
        <f t="shared" si="302"/>
        <v>0</v>
      </c>
      <c r="AO498" s="17">
        <f t="shared" si="303"/>
        <v>0</v>
      </c>
      <c r="AP498" s="17">
        <f t="shared" si="304"/>
        <v>0</v>
      </c>
      <c r="AQ498" s="18">
        <v>9.2124557625050727</v>
      </c>
      <c r="AR498" s="18">
        <v>11.017232053598889</v>
      </c>
      <c r="AS498" s="18">
        <v>9.7503311046549701</v>
      </c>
      <c r="AT498" s="18">
        <v>7.385500631421265</v>
      </c>
      <c r="AU498" s="18">
        <v>10.710734680284476</v>
      </c>
      <c r="AV498" s="18">
        <v>8.7774351873978613</v>
      </c>
      <c r="AW498" s="18">
        <v>8.7385476880212369</v>
      </c>
      <c r="AX498" s="18">
        <v>5.9342859943051707</v>
      </c>
      <c r="AY498" s="18">
        <v>8.796392947296086</v>
      </c>
      <c r="AZ498" s="18">
        <v>7.6605274857165329</v>
      </c>
      <c r="BA498" s="18">
        <v>7.8216889435446699</v>
      </c>
      <c r="BB498" s="18">
        <v>7.6396092824742912</v>
      </c>
      <c r="BC498" s="23">
        <v>8.9181565948742242E-2</v>
      </c>
      <c r="BD498" s="23">
        <v>0.10665277883445198</v>
      </c>
      <c r="BE498" s="23">
        <v>9.438849084854764E-2</v>
      </c>
      <c r="BF498" s="23">
        <v>7.149564986855049E-2</v>
      </c>
      <c r="BG498" s="23">
        <v>0.10368571810536763</v>
      </c>
      <c r="BH498" s="23">
        <v>8.4970330952544637E-2</v>
      </c>
      <c r="BI498" s="23">
        <v>8.4593878877262704E-2</v>
      </c>
      <c r="BJ498" s="23">
        <v>5.7447105462779965E-2</v>
      </c>
      <c r="BK498" s="23">
        <v>8.5153852345557474E-2</v>
      </c>
      <c r="BL498" s="23">
        <v>7.4158058913035174E-2</v>
      </c>
      <c r="BM498" s="23">
        <v>7.5718189192107169E-2</v>
      </c>
      <c r="BN498" s="23">
        <v>7.3955559365675619E-2</v>
      </c>
    </row>
    <row r="499" spans="1:66" x14ac:dyDescent="0.25">
      <c r="A499" s="16">
        <v>6575</v>
      </c>
      <c r="B499" s="16" t="s">
        <v>694</v>
      </c>
      <c r="C499" s="17">
        <v>0</v>
      </c>
      <c r="D499" s="17">
        <f t="shared" si="268"/>
        <v>0</v>
      </c>
      <c r="E499" s="17">
        <f t="shared" si="269"/>
        <v>0</v>
      </c>
      <c r="F499" s="17">
        <f t="shared" si="270"/>
        <v>0</v>
      </c>
      <c r="G499" s="17">
        <f t="shared" si="271"/>
        <v>0</v>
      </c>
      <c r="H499" s="17">
        <f t="shared" si="272"/>
        <v>0</v>
      </c>
      <c r="I499" s="17">
        <f t="shared" si="273"/>
        <v>0</v>
      </c>
      <c r="J499" s="17">
        <f t="shared" si="274"/>
        <v>0</v>
      </c>
      <c r="K499" s="17">
        <f t="shared" si="275"/>
        <v>0</v>
      </c>
      <c r="L499" s="17">
        <f t="shared" si="276"/>
        <v>0</v>
      </c>
      <c r="M499" s="17">
        <f t="shared" si="277"/>
        <v>0</v>
      </c>
      <c r="N499" s="17">
        <f t="shared" si="278"/>
        <v>0</v>
      </c>
      <c r="O499" s="17">
        <f t="shared" si="279"/>
        <v>0</v>
      </c>
      <c r="P499" s="17">
        <v>0</v>
      </c>
      <c r="Q499" s="17">
        <f t="shared" si="280"/>
        <v>0</v>
      </c>
      <c r="R499" s="17">
        <f t="shared" si="281"/>
        <v>0</v>
      </c>
      <c r="S499" s="17">
        <f t="shared" si="282"/>
        <v>0</v>
      </c>
      <c r="T499" s="17">
        <f t="shared" si="283"/>
        <v>0</v>
      </c>
      <c r="U499" s="17">
        <f t="shared" si="284"/>
        <v>0</v>
      </c>
      <c r="V499" s="17">
        <f t="shared" si="285"/>
        <v>0</v>
      </c>
      <c r="W499" s="17">
        <f t="shared" si="286"/>
        <v>0</v>
      </c>
      <c r="X499" s="17">
        <f t="shared" si="287"/>
        <v>0</v>
      </c>
      <c r="Y499" s="17">
        <f t="shared" si="288"/>
        <v>0</v>
      </c>
      <c r="Z499" s="17">
        <f t="shared" si="289"/>
        <v>0</v>
      </c>
      <c r="AA499" s="17">
        <f t="shared" si="290"/>
        <v>0</v>
      </c>
      <c r="AB499" s="17">
        <f t="shared" si="291"/>
        <v>0</v>
      </c>
      <c r="AC499" s="17">
        <v>0</v>
      </c>
      <c r="AD499" s="17">
        <f t="shared" si="292"/>
        <v>0</v>
      </c>
      <c r="AE499" s="17">
        <f t="shared" si="293"/>
        <v>0</v>
      </c>
      <c r="AF499" s="17">
        <f t="shared" si="294"/>
        <v>0</v>
      </c>
      <c r="AG499" s="17">
        <f t="shared" si="295"/>
        <v>0</v>
      </c>
      <c r="AH499" s="17">
        <f t="shared" si="296"/>
        <v>0</v>
      </c>
      <c r="AI499" s="17">
        <f t="shared" si="297"/>
        <v>0</v>
      </c>
      <c r="AJ499" s="17">
        <f t="shared" si="298"/>
        <v>0</v>
      </c>
      <c r="AK499" s="17">
        <f t="shared" si="299"/>
        <v>0</v>
      </c>
      <c r="AL499" s="17">
        <f t="shared" si="300"/>
        <v>0</v>
      </c>
      <c r="AM499" s="17">
        <f t="shared" si="301"/>
        <v>0</v>
      </c>
      <c r="AN499" s="17">
        <f t="shared" si="302"/>
        <v>0</v>
      </c>
      <c r="AO499" s="17">
        <f t="shared" si="303"/>
        <v>0</v>
      </c>
      <c r="AP499" s="17">
        <f t="shared" si="304"/>
        <v>0</v>
      </c>
      <c r="AQ499" s="18">
        <v>8.9181565948742243</v>
      </c>
      <c r="AR499" s="18">
        <v>10.665277883445198</v>
      </c>
      <c r="AS499" s="18">
        <v>9.4388490848547644</v>
      </c>
      <c r="AT499" s="18">
        <v>7.149564986855049</v>
      </c>
      <c r="AU499" s="18">
        <v>10.368571810536762</v>
      </c>
      <c r="AV499" s="18">
        <v>8.4970330952544639</v>
      </c>
      <c r="AW499" s="18">
        <v>8.4593878877262707</v>
      </c>
      <c r="AX499" s="18">
        <v>5.7447105462779966</v>
      </c>
      <c r="AY499" s="18">
        <v>8.5153852345557475</v>
      </c>
      <c r="AZ499" s="18">
        <v>7.415805891303517</v>
      </c>
      <c r="BA499" s="18">
        <v>7.5718189192107168</v>
      </c>
      <c r="BB499" s="18">
        <v>7.395555936567562</v>
      </c>
      <c r="BC499" s="23">
        <v>8.9181565948742242E-2</v>
      </c>
      <c r="BD499" s="23">
        <v>0.10665277883445198</v>
      </c>
      <c r="BE499" s="23">
        <v>9.438849084854764E-2</v>
      </c>
      <c r="BF499" s="23">
        <v>7.149564986855049E-2</v>
      </c>
      <c r="BG499" s="23">
        <v>0.10368571810536763</v>
      </c>
      <c r="BH499" s="23">
        <v>8.4970330952544637E-2</v>
      </c>
      <c r="BI499" s="23">
        <v>8.4593878877262704E-2</v>
      </c>
      <c r="BJ499" s="23">
        <v>5.7447105462779965E-2</v>
      </c>
      <c r="BK499" s="23">
        <v>8.5153852345557474E-2</v>
      </c>
      <c r="BL499" s="23">
        <v>7.4158058913035174E-2</v>
      </c>
      <c r="BM499" s="23">
        <v>7.5718189192107169E-2</v>
      </c>
      <c r="BN499" s="23">
        <v>7.3955559365675619E-2</v>
      </c>
    </row>
    <row r="500" spans="1:66" x14ac:dyDescent="0.25">
      <c r="A500" s="16">
        <v>6659</v>
      </c>
      <c r="B500" s="16" t="s">
        <v>695</v>
      </c>
      <c r="C500" s="17">
        <v>100</v>
      </c>
      <c r="D500" s="17">
        <f t="shared" si="268"/>
        <v>8.9181565948742243</v>
      </c>
      <c r="E500" s="17">
        <f t="shared" si="269"/>
        <v>10.665277883445198</v>
      </c>
      <c r="F500" s="17">
        <f t="shared" si="270"/>
        <v>9.4388490848547644</v>
      </c>
      <c r="G500" s="17">
        <f t="shared" si="271"/>
        <v>7.149564986855049</v>
      </c>
      <c r="H500" s="17">
        <f t="shared" si="272"/>
        <v>10.368571810536762</v>
      </c>
      <c r="I500" s="17">
        <f t="shared" si="273"/>
        <v>8.4970330952544639</v>
      </c>
      <c r="J500" s="17">
        <f t="shared" si="274"/>
        <v>8.4593878877262707</v>
      </c>
      <c r="K500" s="17">
        <f t="shared" si="275"/>
        <v>5.7447105462779966</v>
      </c>
      <c r="L500" s="17">
        <f t="shared" si="276"/>
        <v>8.5153852345557475</v>
      </c>
      <c r="M500" s="17">
        <f t="shared" si="277"/>
        <v>7.415805891303517</v>
      </c>
      <c r="N500" s="17">
        <f t="shared" si="278"/>
        <v>7.5718189192107168</v>
      </c>
      <c r="O500" s="17">
        <f t="shared" si="279"/>
        <v>7.395555936567562</v>
      </c>
      <c r="P500" s="17">
        <v>0</v>
      </c>
      <c r="Q500" s="17">
        <f t="shared" si="280"/>
        <v>0</v>
      </c>
      <c r="R500" s="17">
        <f t="shared" si="281"/>
        <v>0</v>
      </c>
      <c r="S500" s="17">
        <f t="shared" si="282"/>
        <v>0</v>
      </c>
      <c r="T500" s="17">
        <f t="shared" si="283"/>
        <v>0</v>
      </c>
      <c r="U500" s="17">
        <f t="shared" si="284"/>
        <v>0</v>
      </c>
      <c r="V500" s="17">
        <f t="shared" si="285"/>
        <v>0</v>
      </c>
      <c r="W500" s="17">
        <f t="shared" si="286"/>
        <v>0</v>
      </c>
      <c r="X500" s="17">
        <f t="shared" si="287"/>
        <v>0</v>
      </c>
      <c r="Y500" s="17">
        <f t="shared" si="288"/>
        <v>0</v>
      </c>
      <c r="Z500" s="17">
        <f t="shared" si="289"/>
        <v>0</v>
      </c>
      <c r="AA500" s="17">
        <f t="shared" si="290"/>
        <v>0</v>
      </c>
      <c r="AB500" s="17">
        <f t="shared" si="291"/>
        <v>0</v>
      </c>
      <c r="AC500" s="17">
        <v>0</v>
      </c>
      <c r="AD500" s="17">
        <f t="shared" si="292"/>
        <v>0</v>
      </c>
      <c r="AE500" s="17">
        <f t="shared" si="293"/>
        <v>0</v>
      </c>
      <c r="AF500" s="17">
        <f t="shared" si="294"/>
        <v>0</v>
      </c>
      <c r="AG500" s="17">
        <f t="shared" si="295"/>
        <v>0</v>
      </c>
      <c r="AH500" s="17">
        <f t="shared" si="296"/>
        <v>0</v>
      </c>
      <c r="AI500" s="17">
        <f t="shared" si="297"/>
        <v>0</v>
      </c>
      <c r="AJ500" s="17">
        <f t="shared" si="298"/>
        <v>0</v>
      </c>
      <c r="AK500" s="17">
        <f t="shared" si="299"/>
        <v>0</v>
      </c>
      <c r="AL500" s="17">
        <f t="shared" si="300"/>
        <v>0</v>
      </c>
      <c r="AM500" s="17">
        <f t="shared" si="301"/>
        <v>0</v>
      </c>
      <c r="AN500" s="17">
        <f t="shared" si="302"/>
        <v>0</v>
      </c>
      <c r="AO500" s="17">
        <f t="shared" si="303"/>
        <v>0</v>
      </c>
      <c r="AP500" s="17">
        <f t="shared" si="304"/>
        <v>100</v>
      </c>
      <c r="AQ500" s="18">
        <v>8.9181565948742243</v>
      </c>
      <c r="AR500" s="18">
        <v>10.665277883445198</v>
      </c>
      <c r="AS500" s="18">
        <v>9.4388490848547644</v>
      </c>
      <c r="AT500" s="18">
        <v>7.149564986855049</v>
      </c>
      <c r="AU500" s="18">
        <v>10.368571810536762</v>
      </c>
      <c r="AV500" s="18">
        <v>8.4970330952544639</v>
      </c>
      <c r="AW500" s="18">
        <v>8.4593878877262707</v>
      </c>
      <c r="AX500" s="18">
        <v>5.7447105462779966</v>
      </c>
      <c r="AY500" s="18">
        <v>8.5153852345557475</v>
      </c>
      <c r="AZ500" s="18">
        <v>7.415805891303517</v>
      </c>
      <c r="BA500" s="18">
        <v>7.5718189192107168</v>
      </c>
      <c r="BB500" s="18">
        <v>7.395555936567562</v>
      </c>
      <c r="BC500" s="23">
        <v>8.9181565948742242E-2</v>
      </c>
      <c r="BD500" s="23">
        <v>0.10665277883445198</v>
      </c>
      <c r="BE500" s="23">
        <v>9.438849084854764E-2</v>
      </c>
      <c r="BF500" s="23">
        <v>7.149564986855049E-2</v>
      </c>
      <c r="BG500" s="23">
        <v>0.10368571810536763</v>
      </c>
      <c r="BH500" s="23">
        <v>8.4970330952544637E-2</v>
      </c>
      <c r="BI500" s="23">
        <v>8.4593878877262704E-2</v>
      </c>
      <c r="BJ500" s="23">
        <v>5.7447105462779965E-2</v>
      </c>
      <c r="BK500" s="23">
        <v>8.5153852345557474E-2</v>
      </c>
      <c r="BL500" s="23">
        <v>7.4158058913035174E-2</v>
      </c>
      <c r="BM500" s="23">
        <v>7.5718189192107169E-2</v>
      </c>
      <c r="BN500" s="23">
        <v>7.3955559365675619E-2</v>
      </c>
    </row>
    <row r="501" spans="1:66" x14ac:dyDescent="0.25">
      <c r="A501" s="16">
        <v>2708</v>
      </c>
      <c r="B501" s="16" t="s">
        <v>696</v>
      </c>
      <c r="C501" s="17">
        <v>0</v>
      </c>
      <c r="D501" s="17">
        <f t="shared" si="268"/>
        <v>0</v>
      </c>
      <c r="E501" s="17">
        <f t="shared" si="269"/>
        <v>0</v>
      </c>
      <c r="F501" s="17">
        <f t="shared" si="270"/>
        <v>0</v>
      </c>
      <c r="G501" s="17">
        <f t="shared" si="271"/>
        <v>0</v>
      </c>
      <c r="H501" s="17">
        <f t="shared" si="272"/>
        <v>0</v>
      </c>
      <c r="I501" s="17">
        <f t="shared" si="273"/>
        <v>0</v>
      </c>
      <c r="J501" s="17">
        <f t="shared" si="274"/>
        <v>0</v>
      </c>
      <c r="K501" s="17">
        <f t="shared" si="275"/>
        <v>0</v>
      </c>
      <c r="L501" s="17">
        <f t="shared" si="276"/>
        <v>0</v>
      </c>
      <c r="M501" s="17">
        <f t="shared" si="277"/>
        <v>0</v>
      </c>
      <c r="N501" s="17">
        <f t="shared" si="278"/>
        <v>0</v>
      </c>
      <c r="O501" s="17">
        <f t="shared" si="279"/>
        <v>0</v>
      </c>
      <c r="P501" s="17">
        <v>0</v>
      </c>
      <c r="Q501" s="17">
        <f t="shared" si="280"/>
        <v>0</v>
      </c>
      <c r="R501" s="17">
        <f t="shared" si="281"/>
        <v>0</v>
      </c>
      <c r="S501" s="17">
        <f t="shared" si="282"/>
        <v>0</v>
      </c>
      <c r="T501" s="17">
        <f t="shared" si="283"/>
        <v>0</v>
      </c>
      <c r="U501" s="17">
        <f t="shared" si="284"/>
        <v>0</v>
      </c>
      <c r="V501" s="17">
        <f t="shared" si="285"/>
        <v>0</v>
      </c>
      <c r="W501" s="17">
        <f t="shared" si="286"/>
        <v>0</v>
      </c>
      <c r="X501" s="17">
        <f t="shared" si="287"/>
        <v>0</v>
      </c>
      <c r="Y501" s="17">
        <f t="shared" si="288"/>
        <v>0</v>
      </c>
      <c r="Z501" s="17">
        <f t="shared" si="289"/>
        <v>0</v>
      </c>
      <c r="AA501" s="17">
        <f t="shared" si="290"/>
        <v>0</v>
      </c>
      <c r="AB501" s="17">
        <f t="shared" si="291"/>
        <v>0</v>
      </c>
      <c r="AC501" s="17">
        <v>0</v>
      </c>
      <c r="AD501" s="17">
        <f t="shared" si="292"/>
        <v>0</v>
      </c>
      <c r="AE501" s="17">
        <f t="shared" si="293"/>
        <v>0</v>
      </c>
      <c r="AF501" s="17">
        <f t="shared" si="294"/>
        <v>0</v>
      </c>
      <c r="AG501" s="17">
        <f t="shared" si="295"/>
        <v>0</v>
      </c>
      <c r="AH501" s="17">
        <f t="shared" si="296"/>
        <v>0</v>
      </c>
      <c r="AI501" s="17">
        <f t="shared" si="297"/>
        <v>0</v>
      </c>
      <c r="AJ501" s="17">
        <f t="shared" si="298"/>
        <v>0</v>
      </c>
      <c r="AK501" s="17">
        <f t="shared" si="299"/>
        <v>0</v>
      </c>
      <c r="AL501" s="17">
        <f t="shared" si="300"/>
        <v>0</v>
      </c>
      <c r="AM501" s="17">
        <f t="shared" si="301"/>
        <v>0</v>
      </c>
      <c r="AN501" s="17">
        <f t="shared" si="302"/>
        <v>0</v>
      </c>
      <c r="AO501" s="17">
        <f t="shared" si="303"/>
        <v>0</v>
      </c>
      <c r="AP501" s="17">
        <f t="shared" si="304"/>
        <v>0</v>
      </c>
      <c r="AQ501" s="18">
        <v>7.2480534093521278</v>
      </c>
      <c r="AR501" s="18">
        <v>8.6679912942124151</v>
      </c>
      <c r="AS501" s="18">
        <v>7.6712358167340122</v>
      </c>
      <c r="AT501" s="18">
        <v>5.8106659517667039</v>
      </c>
      <c r="AU501" s="18">
        <v>8.4268493675775424</v>
      </c>
      <c r="AV501" s="18">
        <v>6.9057937075061604</v>
      </c>
      <c r="AW501" s="18">
        <v>6.8751983179917717</v>
      </c>
      <c r="AX501" s="18">
        <v>4.6688986022765162</v>
      </c>
      <c r="AY501" s="18">
        <v>6.9207090416804924</v>
      </c>
      <c r="AZ501" s="18">
        <v>6.0270479220391078</v>
      </c>
      <c r="BA501" s="18">
        <v>6.1538443902101259</v>
      </c>
      <c r="BB501" s="18">
        <v>6.0105901763265539</v>
      </c>
      <c r="BC501" s="23">
        <v>8.9181565948742242E-2</v>
      </c>
      <c r="BD501" s="23">
        <v>0.10665277883445198</v>
      </c>
      <c r="BE501" s="23">
        <v>9.438849084854764E-2</v>
      </c>
      <c r="BF501" s="23">
        <v>7.149564986855049E-2</v>
      </c>
      <c r="BG501" s="23">
        <v>0.10368571810536763</v>
      </c>
      <c r="BH501" s="23">
        <v>8.4970330952544637E-2</v>
      </c>
      <c r="BI501" s="23">
        <v>8.4593878877262704E-2</v>
      </c>
      <c r="BJ501" s="23">
        <v>5.7447105462779965E-2</v>
      </c>
      <c r="BK501" s="23">
        <v>8.5153852345557474E-2</v>
      </c>
      <c r="BL501" s="23">
        <v>7.4158058913035174E-2</v>
      </c>
      <c r="BM501" s="23">
        <v>7.5718189192107169E-2</v>
      </c>
      <c r="BN501" s="23">
        <v>7.3955559365675619E-2</v>
      </c>
    </row>
    <row r="502" spans="1:66" x14ac:dyDescent="0.25">
      <c r="A502" s="16">
        <v>4694</v>
      </c>
      <c r="B502" s="16" t="s">
        <v>697</v>
      </c>
      <c r="C502" s="17">
        <v>0</v>
      </c>
      <c r="D502" s="17">
        <f t="shared" si="268"/>
        <v>0</v>
      </c>
      <c r="E502" s="17">
        <f t="shared" si="269"/>
        <v>0</v>
      </c>
      <c r="F502" s="17">
        <f t="shared" si="270"/>
        <v>0</v>
      </c>
      <c r="G502" s="17">
        <f t="shared" si="271"/>
        <v>0</v>
      </c>
      <c r="H502" s="17">
        <f t="shared" si="272"/>
        <v>0</v>
      </c>
      <c r="I502" s="17">
        <f t="shared" si="273"/>
        <v>0</v>
      </c>
      <c r="J502" s="17">
        <f t="shared" si="274"/>
        <v>0</v>
      </c>
      <c r="K502" s="17">
        <f t="shared" si="275"/>
        <v>0</v>
      </c>
      <c r="L502" s="17">
        <f t="shared" si="276"/>
        <v>0</v>
      </c>
      <c r="M502" s="17">
        <f t="shared" si="277"/>
        <v>0</v>
      </c>
      <c r="N502" s="17">
        <f t="shared" si="278"/>
        <v>0</v>
      </c>
      <c r="O502" s="17">
        <f t="shared" si="279"/>
        <v>0</v>
      </c>
      <c r="P502" s="17">
        <v>1500</v>
      </c>
      <c r="Q502" s="17">
        <f t="shared" si="280"/>
        <v>133.77234892311336</v>
      </c>
      <c r="R502" s="17">
        <f t="shared" si="281"/>
        <v>159.97916825167798</v>
      </c>
      <c r="S502" s="17">
        <f t="shared" si="282"/>
        <v>141.58273627282145</v>
      </c>
      <c r="T502" s="17">
        <f t="shared" si="283"/>
        <v>107.24347480282573</v>
      </c>
      <c r="U502" s="17">
        <f t="shared" si="284"/>
        <v>155.52857715805143</v>
      </c>
      <c r="V502" s="17">
        <f t="shared" si="285"/>
        <v>127.45549642881696</v>
      </c>
      <c r="W502" s="17">
        <f t="shared" si="286"/>
        <v>126.89081831589405</v>
      </c>
      <c r="X502" s="17">
        <f t="shared" si="287"/>
        <v>86.170658194169945</v>
      </c>
      <c r="Y502" s="17">
        <f t="shared" si="288"/>
        <v>127.73077851833621</v>
      </c>
      <c r="Z502" s="17">
        <f t="shared" si="289"/>
        <v>111.23708836955277</v>
      </c>
      <c r="AA502" s="17">
        <f t="shared" si="290"/>
        <v>113.57728378816076</v>
      </c>
      <c r="AB502" s="17">
        <f t="shared" si="291"/>
        <v>110.93333904851343</v>
      </c>
      <c r="AC502" s="17">
        <v>0</v>
      </c>
      <c r="AD502" s="17">
        <f t="shared" si="292"/>
        <v>0</v>
      </c>
      <c r="AE502" s="17">
        <f t="shared" si="293"/>
        <v>0</v>
      </c>
      <c r="AF502" s="17">
        <f t="shared" si="294"/>
        <v>0</v>
      </c>
      <c r="AG502" s="17">
        <f t="shared" si="295"/>
        <v>0</v>
      </c>
      <c r="AH502" s="17">
        <f t="shared" si="296"/>
        <v>0</v>
      </c>
      <c r="AI502" s="17">
        <f t="shared" si="297"/>
        <v>0</v>
      </c>
      <c r="AJ502" s="17">
        <f t="shared" si="298"/>
        <v>0</v>
      </c>
      <c r="AK502" s="17">
        <f t="shared" si="299"/>
        <v>0</v>
      </c>
      <c r="AL502" s="17">
        <f t="shared" si="300"/>
        <v>0</v>
      </c>
      <c r="AM502" s="17">
        <f t="shared" si="301"/>
        <v>0</v>
      </c>
      <c r="AN502" s="17">
        <f t="shared" si="302"/>
        <v>0</v>
      </c>
      <c r="AO502" s="17">
        <f t="shared" si="303"/>
        <v>0</v>
      </c>
      <c r="AP502" s="17">
        <f t="shared" si="304"/>
        <v>1500</v>
      </c>
      <c r="AQ502" s="18">
        <v>29.363208951755283</v>
      </c>
      <c r="AR502" s="18">
        <v>35.115640736800984</v>
      </c>
      <c r="AS502" s="18">
        <v>31.077599388866009</v>
      </c>
      <c r="AT502" s="18">
        <v>23.540085710519985</v>
      </c>
      <c r="AU502" s="18">
        <v>34.1387300576285</v>
      </c>
      <c r="AV502" s="18">
        <v>27.976651406787227</v>
      </c>
      <c r="AW502" s="18">
        <v>27.8527038080965</v>
      </c>
      <c r="AX502" s="18">
        <v>18.914574367831229</v>
      </c>
      <c r="AY502" s="18">
        <v>28.037076192479489</v>
      </c>
      <c r="AZ502" s="18">
        <v>24.416689213234658</v>
      </c>
      <c r="BA502" s="18">
        <v>24.930365227879669</v>
      </c>
      <c r="BB502" s="18">
        <v>24.350015832267431</v>
      </c>
      <c r="BC502" s="23">
        <v>8.9181565948742242E-2</v>
      </c>
      <c r="BD502" s="23">
        <v>0.10665277883445198</v>
      </c>
      <c r="BE502" s="23">
        <v>9.438849084854764E-2</v>
      </c>
      <c r="BF502" s="23">
        <v>7.149564986855049E-2</v>
      </c>
      <c r="BG502" s="23">
        <v>0.10368571810536763</v>
      </c>
      <c r="BH502" s="23">
        <v>8.4970330952544637E-2</v>
      </c>
      <c r="BI502" s="23">
        <v>8.4593878877262704E-2</v>
      </c>
      <c r="BJ502" s="23">
        <v>5.7447105462779965E-2</v>
      </c>
      <c r="BK502" s="23">
        <v>8.5153852345557474E-2</v>
      </c>
      <c r="BL502" s="23">
        <v>7.4158058913035174E-2</v>
      </c>
      <c r="BM502" s="23">
        <v>7.5718189192107169E-2</v>
      </c>
      <c r="BN502" s="23">
        <v>7.3955559365675619E-2</v>
      </c>
    </row>
    <row r="503" spans="1:66" x14ac:dyDescent="0.25">
      <c r="A503" s="16">
        <v>6607</v>
      </c>
      <c r="B503" s="16" t="s">
        <v>698</v>
      </c>
      <c r="C503" s="17">
        <v>0</v>
      </c>
      <c r="D503" s="17">
        <f t="shared" si="268"/>
        <v>0</v>
      </c>
      <c r="E503" s="17">
        <f t="shared" si="269"/>
        <v>0</v>
      </c>
      <c r="F503" s="17">
        <f t="shared" si="270"/>
        <v>0</v>
      </c>
      <c r="G503" s="17">
        <f t="shared" si="271"/>
        <v>0</v>
      </c>
      <c r="H503" s="17">
        <f t="shared" si="272"/>
        <v>0</v>
      </c>
      <c r="I503" s="17">
        <f t="shared" si="273"/>
        <v>0</v>
      </c>
      <c r="J503" s="17">
        <f t="shared" si="274"/>
        <v>0</v>
      </c>
      <c r="K503" s="17">
        <f t="shared" si="275"/>
        <v>0</v>
      </c>
      <c r="L503" s="17">
        <f t="shared" si="276"/>
        <v>0</v>
      </c>
      <c r="M503" s="17">
        <f t="shared" si="277"/>
        <v>0</v>
      </c>
      <c r="N503" s="17">
        <f t="shared" si="278"/>
        <v>0</v>
      </c>
      <c r="O503" s="17">
        <f t="shared" si="279"/>
        <v>0</v>
      </c>
      <c r="P503" s="17">
        <v>0</v>
      </c>
      <c r="Q503" s="17">
        <f t="shared" si="280"/>
        <v>0</v>
      </c>
      <c r="R503" s="17">
        <f t="shared" si="281"/>
        <v>0</v>
      </c>
      <c r="S503" s="17">
        <f t="shared" si="282"/>
        <v>0</v>
      </c>
      <c r="T503" s="17">
        <f t="shared" si="283"/>
        <v>0</v>
      </c>
      <c r="U503" s="17">
        <f t="shared" si="284"/>
        <v>0</v>
      </c>
      <c r="V503" s="17">
        <f t="shared" si="285"/>
        <v>0</v>
      </c>
      <c r="W503" s="17">
        <f t="shared" si="286"/>
        <v>0</v>
      </c>
      <c r="X503" s="17">
        <f t="shared" si="287"/>
        <v>0</v>
      </c>
      <c r="Y503" s="17">
        <f t="shared" si="288"/>
        <v>0</v>
      </c>
      <c r="Z503" s="17">
        <f t="shared" si="289"/>
        <v>0</v>
      </c>
      <c r="AA503" s="17">
        <f t="shared" si="290"/>
        <v>0</v>
      </c>
      <c r="AB503" s="17">
        <f t="shared" si="291"/>
        <v>0</v>
      </c>
      <c r="AC503" s="17">
        <v>0</v>
      </c>
      <c r="AD503" s="17">
        <f t="shared" si="292"/>
        <v>0</v>
      </c>
      <c r="AE503" s="17">
        <f t="shared" si="293"/>
        <v>0</v>
      </c>
      <c r="AF503" s="17">
        <f t="shared" si="294"/>
        <v>0</v>
      </c>
      <c r="AG503" s="17">
        <f t="shared" si="295"/>
        <v>0</v>
      </c>
      <c r="AH503" s="17">
        <f t="shared" si="296"/>
        <v>0</v>
      </c>
      <c r="AI503" s="17">
        <f t="shared" si="297"/>
        <v>0</v>
      </c>
      <c r="AJ503" s="17">
        <f t="shared" si="298"/>
        <v>0</v>
      </c>
      <c r="AK503" s="17">
        <f t="shared" si="299"/>
        <v>0</v>
      </c>
      <c r="AL503" s="17">
        <f t="shared" si="300"/>
        <v>0</v>
      </c>
      <c r="AM503" s="17">
        <f t="shared" si="301"/>
        <v>0</v>
      </c>
      <c r="AN503" s="17">
        <f t="shared" si="302"/>
        <v>0</v>
      </c>
      <c r="AO503" s="17">
        <f t="shared" si="303"/>
        <v>0</v>
      </c>
      <c r="AP503" s="17">
        <f t="shared" si="304"/>
        <v>0</v>
      </c>
      <c r="AQ503" s="18">
        <v>133.97086708891527</v>
      </c>
      <c r="AR503" s="18">
        <v>160.21657733736347</v>
      </c>
      <c r="AS503" s="18">
        <v>141.79284505345035</v>
      </c>
      <c r="AT503" s="18">
        <v>107.40262411943314</v>
      </c>
      <c r="AU503" s="18">
        <v>155.759381566554</v>
      </c>
      <c r="AV503" s="18">
        <v>127.64464038551733</v>
      </c>
      <c r="AW503" s="18">
        <v>127.07912429027485</v>
      </c>
      <c r="AX503" s="18">
        <v>86.298535450930103</v>
      </c>
      <c r="AY503" s="18">
        <v>127.92033099365743</v>
      </c>
      <c r="AZ503" s="18">
        <v>111.40216420869318</v>
      </c>
      <c r="BA503" s="18">
        <v>113.74583247730239</v>
      </c>
      <c r="BB503" s="18">
        <v>111.09796412366143</v>
      </c>
      <c r="BC503" s="23">
        <v>8.9181565948742242E-2</v>
      </c>
      <c r="BD503" s="23">
        <v>0.10665277883445198</v>
      </c>
      <c r="BE503" s="23">
        <v>9.438849084854764E-2</v>
      </c>
      <c r="BF503" s="23">
        <v>7.149564986855049E-2</v>
      </c>
      <c r="BG503" s="23">
        <v>0.10368571810536763</v>
      </c>
      <c r="BH503" s="23">
        <v>8.4970330952544637E-2</v>
      </c>
      <c r="BI503" s="23">
        <v>8.4593878877262704E-2</v>
      </c>
      <c r="BJ503" s="23">
        <v>5.7447105462779965E-2</v>
      </c>
      <c r="BK503" s="23">
        <v>8.5153852345557474E-2</v>
      </c>
      <c r="BL503" s="23">
        <v>7.4158058913035174E-2</v>
      </c>
      <c r="BM503" s="23">
        <v>7.5718189192107169E-2</v>
      </c>
      <c r="BN503" s="23">
        <v>7.3955559365675619E-2</v>
      </c>
    </row>
    <row r="504" spans="1:66" x14ac:dyDescent="0.25">
      <c r="A504" s="16">
        <v>2552</v>
      </c>
      <c r="B504" s="16" t="s">
        <v>699</v>
      </c>
      <c r="C504" s="17">
        <v>0</v>
      </c>
      <c r="D504" s="17">
        <f t="shared" si="268"/>
        <v>0</v>
      </c>
      <c r="E504" s="17">
        <f t="shared" si="269"/>
        <v>0</v>
      </c>
      <c r="F504" s="17">
        <f t="shared" si="270"/>
        <v>0</v>
      </c>
      <c r="G504" s="17">
        <f t="shared" si="271"/>
        <v>0</v>
      </c>
      <c r="H504" s="17">
        <f t="shared" si="272"/>
        <v>0</v>
      </c>
      <c r="I504" s="17">
        <f t="shared" si="273"/>
        <v>0</v>
      </c>
      <c r="J504" s="17">
        <f t="shared" si="274"/>
        <v>0</v>
      </c>
      <c r="K504" s="17">
        <f t="shared" si="275"/>
        <v>0</v>
      </c>
      <c r="L504" s="17">
        <f t="shared" si="276"/>
        <v>0</v>
      </c>
      <c r="M504" s="17">
        <f t="shared" si="277"/>
        <v>0</v>
      </c>
      <c r="N504" s="17">
        <f t="shared" si="278"/>
        <v>0</v>
      </c>
      <c r="O504" s="17">
        <f t="shared" si="279"/>
        <v>0</v>
      </c>
      <c r="P504" s="17">
        <v>0</v>
      </c>
      <c r="Q504" s="17">
        <f t="shared" si="280"/>
        <v>0</v>
      </c>
      <c r="R504" s="17">
        <f t="shared" si="281"/>
        <v>0</v>
      </c>
      <c r="S504" s="17">
        <f t="shared" si="282"/>
        <v>0</v>
      </c>
      <c r="T504" s="17">
        <f t="shared" si="283"/>
        <v>0</v>
      </c>
      <c r="U504" s="17">
        <f t="shared" si="284"/>
        <v>0</v>
      </c>
      <c r="V504" s="17">
        <f t="shared" si="285"/>
        <v>0</v>
      </c>
      <c r="W504" s="17">
        <f t="shared" si="286"/>
        <v>0</v>
      </c>
      <c r="X504" s="17">
        <f t="shared" si="287"/>
        <v>0</v>
      </c>
      <c r="Y504" s="17">
        <f t="shared" si="288"/>
        <v>0</v>
      </c>
      <c r="Z504" s="17">
        <f t="shared" si="289"/>
        <v>0</v>
      </c>
      <c r="AA504" s="17">
        <f t="shared" si="290"/>
        <v>0</v>
      </c>
      <c r="AB504" s="17">
        <f t="shared" si="291"/>
        <v>0</v>
      </c>
      <c r="AC504" s="17">
        <v>0</v>
      </c>
      <c r="AD504" s="17">
        <f t="shared" si="292"/>
        <v>0</v>
      </c>
      <c r="AE504" s="17">
        <f t="shared" si="293"/>
        <v>0</v>
      </c>
      <c r="AF504" s="17">
        <f t="shared" si="294"/>
        <v>0</v>
      </c>
      <c r="AG504" s="17">
        <f t="shared" si="295"/>
        <v>0</v>
      </c>
      <c r="AH504" s="17">
        <f t="shared" si="296"/>
        <v>0</v>
      </c>
      <c r="AI504" s="17">
        <f t="shared" si="297"/>
        <v>0</v>
      </c>
      <c r="AJ504" s="17">
        <f t="shared" si="298"/>
        <v>0</v>
      </c>
      <c r="AK504" s="17">
        <f t="shared" si="299"/>
        <v>0</v>
      </c>
      <c r="AL504" s="17">
        <f t="shared" si="300"/>
        <v>0</v>
      </c>
      <c r="AM504" s="17">
        <f t="shared" si="301"/>
        <v>0</v>
      </c>
      <c r="AN504" s="17">
        <f t="shared" si="302"/>
        <v>0</v>
      </c>
      <c r="AO504" s="17">
        <f t="shared" si="303"/>
        <v>0</v>
      </c>
      <c r="AP504" s="17">
        <f t="shared" si="304"/>
        <v>0</v>
      </c>
      <c r="AQ504" s="18">
        <v>5.7682636855646487</v>
      </c>
      <c r="AR504" s="18">
        <v>6.898301735012355</v>
      </c>
      <c r="AS504" s="18">
        <v>6.1050475880840622</v>
      </c>
      <c r="AT504" s="18">
        <v>4.624338633497846</v>
      </c>
      <c r="AU504" s="18">
        <v>6.7063922470551791</v>
      </c>
      <c r="AV504" s="18">
        <v>5.4958810060105874</v>
      </c>
      <c r="AW504" s="18">
        <v>5.4715320857813525</v>
      </c>
      <c r="AX504" s="18">
        <v>3.7156787813326084</v>
      </c>
      <c r="AY504" s="18">
        <v>5.5077511697106578</v>
      </c>
      <c r="AZ504" s="18">
        <v>4.796543250495116</v>
      </c>
      <c r="BA504" s="18">
        <v>4.8974524769454924</v>
      </c>
      <c r="BB504" s="18">
        <v>4.7834455797718993</v>
      </c>
      <c r="BC504" s="23">
        <v>8.9181565948742242E-2</v>
      </c>
      <c r="BD504" s="23">
        <v>0.10665277883445198</v>
      </c>
      <c r="BE504" s="23">
        <v>9.438849084854764E-2</v>
      </c>
      <c r="BF504" s="23">
        <v>7.149564986855049E-2</v>
      </c>
      <c r="BG504" s="23">
        <v>0.10368571810536763</v>
      </c>
      <c r="BH504" s="23">
        <v>8.4970330952544637E-2</v>
      </c>
      <c r="BI504" s="23">
        <v>8.4593878877262704E-2</v>
      </c>
      <c r="BJ504" s="23">
        <v>5.7447105462779965E-2</v>
      </c>
      <c r="BK504" s="23">
        <v>8.5153852345557474E-2</v>
      </c>
      <c r="BL504" s="23">
        <v>7.4158058913035174E-2</v>
      </c>
      <c r="BM504" s="23">
        <v>7.5718189192107169E-2</v>
      </c>
      <c r="BN504" s="23">
        <v>7.3955559365675619E-2</v>
      </c>
    </row>
    <row r="505" spans="1:66" x14ac:dyDescent="0.25">
      <c r="A505" s="16">
        <v>846</v>
      </c>
      <c r="B505" s="16" t="s">
        <v>700</v>
      </c>
      <c r="C505" s="17">
        <v>0</v>
      </c>
      <c r="D505" s="17">
        <f t="shared" si="268"/>
        <v>0</v>
      </c>
      <c r="E505" s="17">
        <f t="shared" si="269"/>
        <v>0</v>
      </c>
      <c r="F505" s="17">
        <f t="shared" si="270"/>
        <v>0</v>
      </c>
      <c r="G505" s="17">
        <f t="shared" si="271"/>
        <v>0</v>
      </c>
      <c r="H505" s="17">
        <f t="shared" si="272"/>
        <v>0</v>
      </c>
      <c r="I505" s="17">
        <f t="shared" si="273"/>
        <v>0</v>
      </c>
      <c r="J505" s="17">
        <f t="shared" si="274"/>
        <v>0</v>
      </c>
      <c r="K505" s="17">
        <f t="shared" si="275"/>
        <v>0</v>
      </c>
      <c r="L505" s="17">
        <f t="shared" si="276"/>
        <v>0</v>
      </c>
      <c r="M505" s="17">
        <f t="shared" si="277"/>
        <v>0</v>
      </c>
      <c r="N505" s="17">
        <f t="shared" si="278"/>
        <v>0</v>
      </c>
      <c r="O505" s="17">
        <f t="shared" si="279"/>
        <v>0</v>
      </c>
      <c r="P505" s="17">
        <v>0</v>
      </c>
      <c r="Q505" s="17">
        <f t="shared" si="280"/>
        <v>0</v>
      </c>
      <c r="R505" s="17">
        <f t="shared" si="281"/>
        <v>0</v>
      </c>
      <c r="S505" s="17">
        <f t="shared" si="282"/>
        <v>0</v>
      </c>
      <c r="T505" s="17">
        <f t="shared" si="283"/>
        <v>0</v>
      </c>
      <c r="U505" s="17">
        <f t="shared" si="284"/>
        <v>0</v>
      </c>
      <c r="V505" s="17">
        <f t="shared" si="285"/>
        <v>0</v>
      </c>
      <c r="W505" s="17">
        <f t="shared" si="286"/>
        <v>0</v>
      </c>
      <c r="X505" s="17">
        <f t="shared" si="287"/>
        <v>0</v>
      </c>
      <c r="Y505" s="17">
        <f t="shared" si="288"/>
        <v>0</v>
      </c>
      <c r="Z505" s="17">
        <f t="shared" si="289"/>
        <v>0</v>
      </c>
      <c r="AA505" s="17">
        <f t="shared" si="290"/>
        <v>0</v>
      </c>
      <c r="AB505" s="17">
        <f t="shared" si="291"/>
        <v>0</v>
      </c>
      <c r="AC505" s="17">
        <v>0</v>
      </c>
      <c r="AD505" s="17">
        <f t="shared" si="292"/>
        <v>0</v>
      </c>
      <c r="AE505" s="17">
        <f t="shared" si="293"/>
        <v>0</v>
      </c>
      <c r="AF505" s="17">
        <f t="shared" si="294"/>
        <v>0</v>
      </c>
      <c r="AG505" s="17">
        <f t="shared" si="295"/>
        <v>0</v>
      </c>
      <c r="AH505" s="17">
        <f t="shared" si="296"/>
        <v>0</v>
      </c>
      <c r="AI505" s="17">
        <f t="shared" si="297"/>
        <v>0</v>
      </c>
      <c r="AJ505" s="17">
        <f t="shared" si="298"/>
        <v>0</v>
      </c>
      <c r="AK505" s="17">
        <f t="shared" si="299"/>
        <v>0</v>
      </c>
      <c r="AL505" s="17">
        <f t="shared" si="300"/>
        <v>0</v>
      </c>
      <c r="AM505" s="17">
        <f t="shared" si="301"/>
        <v>0</v>
      </c>
      <c r="AN505" s="17">
        <f t="shared" si="302"/>
        <v>0</v>
      </c>
      <c r="AO505" s="17">
        <f t="shared" si="303"/>
        <v>0</v>
      </c>
      <c r="AP505" s="17">
        <f t="shared" si="304"/>
        <v>0</v>
      </c>
      <c r="AQ505" s="18">
        <v>5.5916841849861392</v>
      </c>
      <c r="AR505" s="18">
        <v>6.6871292329201397</v>
      </c>
      <c r="AS505" s="18">
        <v>5.9181583762039374</v>
      </c>
      <c r="AT505" s="18">
        <v>4.4827772467581157</v>
      </c>
      <c r="AU505" s="18">
        <v>6.5010945252065504</v>
      </c>
      <c r="AV505" s="18">
        <v>5.3276397507245488</v>
      </c>
      <c r="AW505" s="18">
        <v>5.3040362056043717</v>
      </c>
      <c r="AX505" s="18">
        <v>3.6019335125163039</v>
      </c>
      <c r="AY505" s="18">
        <v>5.3391465420664534</v>
      </c>
      <c r="AZ505" s="18">
        <v>4.6497102938473054</v>
      </c>
      <c r="BA505" s="18">
        <v>4.7475304623451198</v>
      </c>
      <c r="BB505" s="18">
        <v>4.6370135722278611</v>
      </c>
      <c r="BC505" s="23">
        <v>8.9181565948742242E-2</v>
      </c>
      <c r="BD505" s="23">
        <v>0.10665277883445198</v>
      </c>
      <c r="BE505" s="23">
        <v>9.438849084854764E-2</v>
      </c>
      <c r="BF505" s="23">
        <v>7.149564986855049E-2</v>
      </c>
      <c r="BG505" s="23">
        <v>0.10368571810536763</v>
      </c>
      <c r="BH505" s="23">
        <v>8.4970330952544637E-2</v>
      </c>
      <c r="BI505" s="23">
        <v>8.4593878877262704E-2</v>
      </c>
      <c r="BJ505" s="23">
        <v>5.7447105462779965E-2</v>
      </c>
      <c r="BK505" s="23">
        <v>8.5153852345557474E-2</v>
      </c>
      <c r="BL505" s="23">
        <v>7.4158058913035174E-2</v>
      </c>
      <c r="BM505" s="23">
        <v>7.5718189192107169E-2</v>
      </c>
      <c r="BN505" s="23">
        <v>7.3955559365675619E-2</v>
      </c>
    </row>
    <row r="506" spans="1:66" x14ac:dyDescent="0.25">
      <c r="A506" s="16">
        <v>3978</v>
      </c>
      <c r="B506" s="16" t="s">
        <v>701</v>
      </c>
      <c r="C506" s="17">
        <v>0</v>
      </c>
      <c r="D506" s="17">
        <f t="shared" si="268"/>
        <v>0</v>
      </c>
      <c r="E506" s="17">
        <f t="shared" si="269"/>
        <v>0</v>
      </c>
      <c r="F506" s="17">
        <f t="shared" si="270"/>
        <v>0</v>
      </c>
      <c r="G506" s="17">
        <f t="shared" si="271"/>
        <v>0</v>
      </c>
      <c r="H506" s="17">
        <f t="shared" si="272"/>
        <v>0</v>
      </c>
      <c r="I506" s="17">
        <f t="shared" si="273"/>
        <v>0</v>
      </c>
      <c r="J506" s="17">
        <f t="shared" si="274"/>
        <v>0</v>
      </c>
      <c r="K506" s="17">
        <f t="shared" si="275"/>
        <v>0</v>
      </c>
      <c r="L506" s="17">
        <f t="shared" si="276"/>
        <v>0</v>
      </c>
      <c r="M506" s="17">
        <f t="shared" si="277"/>
        <v>0</v>
      </c>
      <c r="N506" s="17">
        <f t="shared" si="278"/>
        <v>0</v>
      </c>
      <c r="O506" s="17">
        <f t="shared" si="279"/>
        <v>0</v>
      </c>
      <c r="P506" s="17">
        <v>0</v>
      </c>
      <c r="Q506" s="17">
        <f t="shared" si="280"/>
        <v>0</v>
      </c>
      <c r="R506" s="17">
        <f t="shared" si="281"/>
        <v>0</v>
      </c>
      <c r="S506" s="17">
        <f t="shared" si="282"/>
        <v>0</v>
      </c>
      <c r="T506" s="17">
        <f t="shared" si="283"/>
        <v>0</v>
      </c>
      <c r="U506" s="17">
        <f t="shared" si="284"/>
        <v>0</v>
      </c>
      <c r="V506" s="17">
        <f t="shared" si="285"/>
        <v>0</v>
      </c>
      <c r="W506" s="17">
        <f t="shared" si="286"/>
        <v>0</v>
      </c>
      <c r="X506" s="17">
        <f t="shared" si="287"/>
        <v>0</v>
      </c>
      <c r="Y506" s="17">
        <f t="shared" si="288"/>
        <v>0</v>
      </c>
      <c r="Z506" s="17">
        <f t="shared" si="289"/>
        <v>0</v>
      </c>
      <c r="AA506" s="17">
        <f t="shared" si="290"/>
        <v>0</v>
      </c>
      <c r="AB506" s="17">
        <f t="shared" si="291"/>
        <v>0</v>
      </c>
      <c r="AC506" s="17">
        <v>0</v>
      </c>
      <c r="AD506" s="17">
        <f t="shared" si="292"/>
        <v>0</v>
      </c>
      <c r="AE506" s="17">
        <f t="shared" si="293"/>
        <v>0</v>
      </c>
      <c r="AF506" s="17">
        <f t="shared" si="294"/>
        <v>0</v>
      </c>
      <c r="AG506" s="17">
        <f t="shared" si="295"/>
        <v>0</v>
      </c>
      <c r="AH506" s="17">
        <f t="shared" si="296"/>
        <v>0</v>
      </c>
      <c r="AI506" s="17">
        <f t="shared" si="297"/>
        <v>0</v>
      </c>
      <c r="AJ506" s="17">
        <f t="shared" si="298"/>
        <v>0</v>
      </c>
      <c r="AK506" s="17">
        <f t="shared" si="299"/>
        <v>0</v>
      </c>
      <c r="AL506" s="17">
        <f t="shared" si="300"/>
        <v>0</v>
      </c>
      <c r="AM506" s="17">
        <f t="shared" si="301"/>
        <v>0</v>
      </c>
      <c r="AN506" s="17">
        <f t="shared" si="302"/>
        <v>0</v>
      </c>
      <c r="AO506" s="17">
        <f t="shared" si="303"/>
        <v>0</v>
      </c>
      <c r="AP506" s="17">
        <f t="shared" si="304"/>
        <v>0</v>
      </c>
      <c r="AQ506" s="18">
        <v>4.2231930555026889</v>
      </c>
      <c r="AR506" s="18">
        <v>5.0505423417054738</v>
      </c>
      <c r="AS506" s="18">
        <v>4.4697669841329741</v>
      </c>
      <c r="AT506" s="18">
        <v>3.3856764995252089</v>
      </c>
      <c r="AU506" s="18">
        <v>4.9100371808796845</v>
      </c>
      <c r="AV506" s="18">
        <v>4.0237700222577519</v>
      </c>
      <c r="AW506" s="18">
        <v>4.0059431342327754</v>
      </c>
      <c r="AX506" s="18">
        <v>2.7204076791899454</v>
      </c>
      <c r="AY506" s="18">
        <v>4.0324606778238747</v>
      </c>
      <c r="AZ506" s="18">
        <v>3.511754879826781</v>
      </c>
      <c r="BA506" s="18">
        <v>3.5856348491922354</v>
      </c>
      <c r="BB506" s="18">
        <v>3.502165513761569</v>
      </c>
      <c r="BC506" s="23">
        <v>8.9181565948742242E-2</v>
      </c>
      <c r="BD506" s="23">
        <v>0.10665277883445198</v>
      </c>
      <c r="BE506" s="23">
        <v>9.438849084854764E-2</v>
      </c>
      <c r="BF506" s="23">
        <v>7.149564986855049E-2</v>
      </c>
      <c r="BG506" s="23">
        <v>0.10368571810536763</v>
      </c>
      <c r="BH506" s="23">
        <v>8.4970330952544637E-2</v>
      </c>
      <c r="BI506" s="23">
        <v>8.4593878877262704E-2</v>
      </c>
      <c r="BJ506" s="23">
        <v>5.7447105462779965E-2</v>
      </c>
      <c r="BK506" s="23">
        <v>8.5153852345557474E-2</v>
      </c>
      <c r="BL506" s="23">
        <v>7.4158058913035174E-2</v>
      </c>
      <c r="BM506" s="23">
        <v>7.5718189192107169E-2</v>
      </c>
      <c r="BN506" s="23">
        <v>7.3955559365675619E-2</v>
      </c>
    </row>
    <row r="507" spans="1:66" x14ac:dyDescent="0.25">
      <c r="A507" s="16">
        <v>22356</v>
      </c>
      <c r="B507" s="16" t="s">
        <v>702</v>
      </c>
      <c r="C507" s="17">
        <v>0</v>
      </c>
      <c r="D507" s="17">
        <f t="shared" si="268"/>
        <v>0</v>
      </c>
      <c r="E507" s="17">
        <f t="shared" si="269"/>
        <v>0</v>
      </c>
      <c r="F507" s="17">
        <f t="shared" si="270"/>
        <v>0</v>
      </c>
      <c r="G507" s="17">
        <f t="shared" si="271"/>
        <v>0</v>
      </c>
      <c r="H507" s="17">
        <f t="shared" si="272"/>
        <v>0</v>
      </c>
      <c r="I507" s="17">
        <f t="shared" si="273"/>
        <v>0</v>
      </c>
      <c r="J507" s="17">
        <f t="shared" si="274"/>
        <v>0</v>
      </c>
      <c r="K507" s="17">
        <f t="shared" si="275"/>
        <v>0</v>
      </c>
      <c r="L507" s="17">
        <f t="shared" si="276"/>
        <v>0</v>
      </c>
      <c r="M507" s="17">
        <f t="shared" si="277"/>
        <v>0</v>
      </c>
      <c r="N507" s="17">
        <f t="shared" si="278"/>
        <v>0</v>
      </c>
      <c r="O507" s="17">
        <f t="shared" si="279"/>
        <v>0</v>
      </c>
      <c r="P507" s="17">
        <v>0</v>
      </c>
      <c r="Q507" s="17">
        <f t="shared" si="280"/>
        <v>0</v>
      </c>
      <c r="R507" s="17">
        <f t="shared" si="281"/>
        <v>0</v>
      </c>
      <c r="S507" s="17">
        <f t="shared" si="282"/>
        <v>0</v>
      </c>
      <c r="T507" s="17">
        <f t="shared" si="283"/>
        <v>0</v>
      </c>
      <c r="U507" s="17">
        <f t="shared" si="284"/>
        <v>0</v>
      </c>
      <c r="V507" s="17">
        <f t="shared" si="285"/>
        <v>0</v>
      </c>
      <c r="W507" s="17">
        <f t="shared" si="286"/>
        <v>0</v>
      </c>
      <c r="X507" s="17">
        <f t="shared" si="287"/>
        <v>0</v>
      </c>
      <c r="Y507" s="17">
        <f t="shared" si="288"/>
        <v>0</v>
      </c>
      <c r="Z507" s="17">
        <f t="shared" si="289"/>
        <v>0</v>
      </c>
      <c r="AA507" s="17">
        <f t="shared" si="290"/>
        <v>0</v>
      </c>
      <c r="AB507" s="17">
        <f t="shared" si="291"/>
        <v>0</v>
      </c>
      <c r="AC507" s="17">
        <v>0</v>
      </c>
      <c r="AD507" s="17">
        <f t="shared" si="292"/>
        <v>0</v>
      </c>
      <c r="AE507" s="17">
        <f t="shared" si="293"/>
        <v>0</v>
      </c>
      <c r="AF507" s="17">
        <f t="shared" si="294"/>
        <v>0</v>
      </c>
      <c r="AG507" s="17">
        <f t="shared" si="295"/>
        <v>0</v>
      </c>
      <c r="AH507" s="17">
        <f t="shared" si="296"/>
        <v>0</v>
      </c>
      <c r="AI507" s="17">
        <f t="shared" si="297"/>
        <v>0</v>
      </c>
      <c r="AJ507" s="17">
        <f t="shared" si="298"/>
        <v>0</v>
      </c>
      <c r="AK507" s="17">
        <f t="shared" si="299"/>
        <v>0</v>
      </c>
      <c r="AL507" s="17">
        <f t="shared" si="300"/>
        <v>0</v>
      </c>
      <c r="AM507" s="17">
        <f t="shared" si="301"/>
        <v>0</v>
      </c>
      <c r="AN507" s="17">
        <f t="shared" si="302"/>
        <v>0</v>
      </c>
      <c r="AO507" s="17">
        <f t="shared" si="303"/>
        <v>0</v>
      </c>
      <c r="AP507" s="17">
        <f t="shared" si="304"/>
        <v>0</v>
      </c>
      <c r="AQ507" s="18">
        <v>132.76325950440335</v>
      </c>
      <c r="AR507" s="18">
        <v>158.77239205916615</v>
      </c>
      <c r="AS507" s="18">
        <v>140.51473049887014</v>
      </c>
      <c r="AT507" s="18">
        <v>106.43450152456309</v>
      </c>
      <c r="AU507" s="18">
        <v>154.35537325768919</v>
      </c>
      <c r="AV507" s="18">
        <v>126.49405713408891</v>
      </c>
      <c r="AW507" s="18">
        <v>125.93363857639783</v>
      </c>
      <c r="AX507" s="18">
        <v>85.520644195858594</v>
      </c>
      <c r="AY507" s="18">
        <v>126.76726267904623</v>
      </c>
      <c r="AZ507" s="18">
        <v>110.39798993295176</v>
      </c>
      <c r="BA507" s="18">
        <v>112.72053247745205</v>
      </c>
      <c r="BB507" s="18">
        <v>110.09653189429081</v>
      </c>
      <c r="BC507" s="23">
        <v>8.9181565948742242E-2</v>
      </c>
      <c r="BD507" s="23">
        <v>0.10665277883445198</v>
      </c>
      <c r="BE507" s="23">
        <v>9.438849084854764E-2</v>
      </c>
      <c r="BF507" s="23">
        <v>7.149564986855049E-2</v>
      </c>
      <c r="BG507" s="23">
        <v>0.10368571810536763</v>
      </c>
      <c r="BH507" s="23">
        <v>8.4970330952544637E-2</v>
      </c>
      <c r="BI507" s="23">
        <v>8.4593878877262704E-2</v>
      </c>
      <c r="BJ507" s="23">
        <v>5.7447105462779965E-2</v>
      </c>
      <c r="BK507" s="23">
        <v>8.5153852345557474E-2</v>
      </c>
      <c r="BL507" s="23">
        <v>7.4158058913035174E-2</v>
      </c>
      <c r="BM507" s="23">
        <v>7.5718189192107169E-2</v>
      </c>
      <c r="BN507" s="23">
        <v>7.3955559365675619E-2</v>
      </c>
    </row>
    <row r="508" spans="1:66" x14ac:dyDescent="0.25">
      <c r="A508" s="16">
        <v>5437</v>
      </c>
      <c r="B508" s="16" t="s">
        <v>703</v>
      </c>
      <c r="C508" s="17">
        <v>0</v>
      </c>
      <c r="D508" s="17">
        <f t="shared" si="268"/>
        <v>0</v>
      </c>
      <c r="E508" s="17">
        <f t="shared" si="269"/>
        <v>0</v>
      </c>
      <c r="F508" s="17">
        <f t="shared" si="270"/>
        <v>0</v>
      </c>
      <c r="G508" s="17">
        <f t="shared" si="271"/>
        <v>0</v>
      </c>
      <c r="H508" s="17">
        <f t="shared" si="272"/>
        <v>0</v>
      </c>
      <c r="I508" s="17">
        <f t="shared" si="273"/>
        <v>0</v>
      </c>
      <c r="J508" s="17">
        <f t="shared" si="274"/>
        <v>0</v>
      </c>
      <c r="K508" s="17">
        <f t="shared" si="275"/>
        <v>0</v>
      </c>
      <c r="L508" s="17">
        <f t="shared" si="276"/>
        <v>0</v>
      </c>
      <c r="M508" s="17">
        <f t="shared" si="277"/>
        <v>0</v>
      </c>
      <c r="N508" s="17">
        <f t="shared" si="278"/>
        <v>0</v>
      </c>
      <c r="O508" s="17">
        <f t="shared" si="279"/>
        <v>0</v>
      </c>
      <c r="P508" s="17">
        <v>0</v>
      </c>
      <c r="Q508" s="17">
        <f t="shared" si="280"/>
        <v>0</v>
      </c>
      <c r="R508" s="17">
        <f t="shared" si="281"/>
        <v>0</v>
      </c>
      <c r="S508" s="17">
        <f t="shared" si="282"/>
        <v>0</v>
      </c>
      <c r="T508" s="17">
        <f t="shared" si="283"/>
        <v>0</v>
      </c>
      <c r="U508" s="17">
        <f t="shared" si="284"/>
        <v>0</v>
      </c>
      <c r="V508" s="17">
        <f t="shared" si="285"/>
        <v>0</v>
      </c>
      <c r="W508" s="17">
        <f t="shared" si="286"/>
        <v>0</v>
      </c>
      <c r="X508" s="17">
        <f t="shared" si="287"/>
        <v>0</v>
      </c>
      <c r="Y508" s="17">
        <f t="shared" si="288"/>
        <v>0</v>
      </c>
      <c r="Z508" s="17">
        <f t="shared" si="289"/>
        <v>0</v>
      </c>
      <c r="AA508" s="17">
        <f t="shared" si="290"/>
        <v>0</v>
      </c>
      <c r="AB508" s="17">
        <f t="shared" si="291"/>
        <v>0</v>
      </c>
      <c r="AC508" s="17">
        <v>0</v>
      </c>
      <c r="AD508" s="17">
        <f t="shared" si="292"/>
        <v>0</v>
      </c>
      <c r="AE508" s="17">
        <f t="shared" si="293"/>
        <v>0</v>
      </c>
      <c r="AF508" s="17">
        <f t="shared" si="294"/>
        <v>0</v>
      </c>
      <c r="AG508" s="17">
        <f t="shared" si="295"/>
        <v>0</v>
      </c>
      <c r="AH508" s="17">
        <f t="shared" si="296"/>
        <v>0</v>
      </c>
      <c r="AI508" s="17">
        <f t="shared" si="297"/>
        <v>0</v>
      </c>
      <c r="AJ508" s="17">
        <f t="shared" si="298"/>
        <v>0</v>
      </c>
      <c r="AK508" s="17">
        <f t="shared" si="299"/>
        <v>0</v>
      </c>
      <c r="AL508" s="17">
        <f t="shared" si="300"/>
        <v>0</v>
      </c>
      <c r="AM508" s="17">
        <f t="shared" si="301"/>
        <v>0</v>
      </c>
      <c r="AN508" s="17">
        <f t="shared" si="302"/>
        <v>0</v>
      </c>
      <c r="AO508" s="17">
        <f t="shared" si="303"/>
        <v>0</v>
      </c>
      <c r="AP508" s="17">
        <f t="shared" si="304"/>
        <v>0</v>
      </c>
      <c r="AQ508" s="18">
        <v>2.4927139498332949</v>
      </c>
      <c r="AR508" s="18">
        <v>2.9810518212017678</v>
      </c>
      <c r="AS508" s="18">
        <v>2.6382527077077556</v>
      </c>
      <c r="AT508" s="18">
        <v>1.9983749094758549</v>
      </c>
      <c r="AU508" s="18">
        <v>2.8981195067631309</v>
      </c>
      <c r="AV508" s="18">
        <v>2.3750057204545754</v>
      </c>
      <c r="AW508" s="18">
        <v>2.3644835084983704</v>
      </c>
      <c r="AX508" s="18">
        <v>1.6057040447901632</v>
      </c>
      <c r="AY508" s="18">
        <v>2.3801353269106773</v>
      </c>
      <c r="AZ508" s="18">
        <v>2.0727919046782466</v>
      </c>
      <c r="BA508" s="18">
        <v>2.1163991061085876</v>
      </c>
      <c r="BB508" s="18">
        <v>2.0671318398299996</v>
      </c>
      <c r="BC508" s="23">
        <v>8.9181565948742242E-2</v>
      </c>
      <c r="BD508" s="23">
        <v>0.10665277883445198</v>
      </c>
      <c r="BE508" s="23">
        <v>9.438849084854764E-2</v>
      </c>
      <c r="BF508" s="23">
        <v>7.149564986855049E-2</v>
      </c>
      <c r="BG508" s="23">
        <v>0.10368571810536763</v>
      </c>
      <c r="BH508" s="23">
        <v>8.4970330952544637E-2</v>
      </c>
      <c r="BI508" s="23">
        <v>8.4593878877262704E-2</v>
      </c>
      <c r="BJ508" s="23">
        <v>5.7447105462779965E-2</v>
      </c>
      <c r="BK508" s="23">
        <v>8.5153852345557474E-2</v>
      </c>
      <c r="BL508" s="23">
        <v>7.4158058913035174E-2</v>
      </c>
      <c r="BM508" s="23">
        <v>7.5718189192107169E-2</v>
      </c>
      <c r="BN508" s="23">
        <v>7.3955559365675619E-2</v>
      </c>
    </row>
    <row r="509" spans="1:66" x14ac:dyDescent="0.25">
      <c r="A509" s="16">
        <v>6675</v>
      </c>
      <c r="B509" s="16" t="s">
        <v>704</v>
      </c>
      <c r="C509" s="17">
        <v>0</v>
      </c>
      <c r="D509" s="17">
        <f t="shared" si="268"/>
        <v>0</v>
      </c>
      <c r="E509" s="17">
        <f t="shared" si="269"/>
        <v>0</v>
      </c>
      <c r="F509" s="17">
        <f t="shared" si="270"/>
        <v>0</v>
      </c>
      <c r="G509" s="17">
        <f t="shared" si="271"/>
        <v>0</v>
      </c>
      <c r="H509" s="17">
        <f t="shared" si="272"/>
        <v>0</v>
      </c>
      <c r="I509" s="17">
        <f t="shared" si="273"/>
        <v>0</v>
      </c>
      <c r="J509" s="17">
        <f t="shared" si="274"/>
        <v>0</v>
      </c>
      <c r="K509" s="17">
        <f t="shared" si="275"/>
        <v>0</v>
      </c>
      <c r="L509" s="17">
        <f t="shared" si="276"/>
        <v>0</v>
      </c>
      <c r="M509" s="17">
        <f t="shared" si="277"/>
        <v>0</v>
      </c>
      <c r="N509" s="17">
        <f t="shared" si="278"/>
        <v>0</v>
      </c>
      <c r="O509" s="17">
        <f t="shared" si="279"/>
        <v>0</v>
      </c>
      <c r="P509" s="17">
        <v>0</v>
      </c>
      <c r="Q509" s="17">
        <f t="shared" si="280"/>
        <v>0</v>
      </c>
      <c r="R509" s="17">
        <f t="shared" si="281"/>
        <v>0</v>
      </c>
      <c r="S509" s="17">
        <f t="shared" si="282"/>
        <v>0</v>
      </c>
      <c r="T509" s="17">
        <f t="shared" si="283"/>
        <v>0</v>
      </c>
      <c r="U509" s="17">
        <f t="shared" si="284"/>
        <v>0</v>
      </c>
      <c r="V509" s="17">
        <f t="shared" si="285"/>
        <v>0</v>
      </c>
      <c r="W509" s="17">
        <f t="shared" si="286"/>
        <v>0</v>
      </c>
      <c r="X509" s="17">
        <f t="shared" si="287"/>
        <v>0</v>
      </c>
      <c r="Y509" s="17">
        <f t="shared" si="288"/>
        <v>0</v>
      </c>
      <c r="Z509" s="17">
        <f t="shared" si="289"/>
        <v>0</v>
      </c>
      <c r="AA509" s="17">
        <f t="shared" si="290"/>
        <v>0</v>
      </c>
      <c r="AB509" s="17">
        <f t="shared" si="291"/>
        <v>0</v>
      </c>
      <c r="AC509" s="17">
        <v>0</v>
      </c>
      <c r="AD509" s="17">
        <f t="shared" si="292"/>
        <v>0</v>
      </c>
      <c r="AE509" s="17">
        <f t="shared" si="293"/>
        <v>0</v>
      </c>
      <c r="AF509" s="17">
        <f t="shared" si="294"/>
        <v>0</v>
      </c>
      <c r="AG509" s="17">
        <f t="shared" si="295"/>
        <v>0</v>
      </c>
      <c r="AH509" s="17">
        <f t="shared" si="296"/>
        <v>0</v>
      </c>
      <c r="AI509" s="17">
        <f t="shared" si="297"/>
        <v>0</v>
      </c>
      <c r="AJ509" s="17">
        <f t="shared" si="298"/>
        <v>0</v>
      </c>
      <c r="AK509" s="17">
        <f t="shared" si="299"/>
        <v>0</v>
      </c>
      <c r="AL509" s="17">
        <f t="shared" si="300"/>
        <v>0</v>
      </c>
      <c r="AM509" s="17">
        <f t="shared" si="301"/>
        <v>0</v>
      </c>
      <c r="AN509" s="17">
        <f t="shared" si="302"/>
        <v>0</v>
      </c>
      <c r="AO509" s="17">
        <f t="shared" si="303"/>
        <v>0</v>
      </c>
      <c r="AP509" s="17">
        <f t="shared" si="304"/>
        <v>0</v>
      </c>
      <c r="AQ509" s="18">
        <v>2.0757901290229248</v>
      </c>
      <c r="AR509" s="18">
        <v>2.4824500801507048</v>
      </c>
      <c r="AS509" s="18">
        <v>2.1969865129907951</v>
      </c>
      <c r="AT509" s="18">
        <v>1.6641327463403814</v>
      </c>
      <c r="AU509" s="18">
        <v>2.4133887746205374</v>
      </c>
      <c r="AV509" s="18">
        <v>1.9777694232514293</v>
      </c>
      <c r="AW509" s="18">
        <v>1.969007124747167</v>
      </c>
      <c r="AX509" s="18">
        <v>1.3371388267516666</v>
      </c>
      <c r="AY509" s="18">
        <v>1.982041067195196</v>
      </c>
      <c r="AZ509" s="18">
        <v>1.726102979259807</v>
      </c>
      <c r="BA509" s="18">
        <v>1.7624165716354867</v>
      </c>
      <c r="BB509" s="18">
        <v>1.721389599795466</v>
      </c>
      <c r="BC509" s="23">
        <v>8.9181565948742242E-2</v>
      </c>
      <c r="BD509" s="23">
        <v>0.10665277883445198</v>
      </c>
      <c r="BE509" s="23">
        <v>9.438849084854764E-2</v>
      </c>
      <c r="BF509" s="23">
        <v>7.149564986855049E-2</v>
      </c>
      <c r="BG509" s="23">
        <v>0.10368571810536763</v>
      </c>
      <c r="BH509" s="23">
        <v>8.4970330952544637E-2</v>
      </c>
      <c r="BI509" s="23">
        <v>8.4593878877262704E-2</v>
      </c>
      <c r="BJ509" s="23">
        <v>5.7447105462779965E-2</v>
      </c>
      <c r="BK509" s="23">
        <v>8.5153852345557474E-2</v>
      </c>
      <c r="BL509" s="23">
        <v>7.4158058913035174E-2</v>
      </c>
      <c r="BM509" s="23">
        <v>7.5718189192107169E-2</v>
      </c>
      <c r="BN509" s="23">
        <v>7.3955559365675619E-2</v>
      </c>
    </row>
    <row r="510" spans="1:66" x14ac:dyDescent="0.25">
      <c r="A510" s="16">
        <v>675</v>
      </c>
      <c r="B510" s="16" t="s">
        <v>705</v>
      </c>
      <c r="C510" s="17">
        <v>0</v>
      </c>
      <c r="D510" s="17">
        <f t="shared" si="268"/>
        <v>0</v>
      </c>
      <c r="E510" s="17">
        <f t="shared" si="269"/>
        <v>0</v>
      </c>
      <c r="F510" s="17">
        <f t="shared" si="270"/>
        <v>0</v>
      </c>
      <c r="G510" s="17">
        <f t="shared" si="271"/>
        <v>0</v>
      </c>
      <c r="H510" s="17">
        <f t="shared" si="272"/>
        <v>0</v>
      </c>
      <c r="I510" s="17">
        <f t="shared" si="273"/>
        <v>0</v>
      </c>
      <c r="J510" s="17">
        <f t="shared" si="274"/>
        <v>0</v>
      </c>
      <c r="K510" s="17">
        <f t="shared" si="275"/>
        <v>0</v>
      </c>
      <c r="L510" s="17">
        <f t="shared" si="276"/>
        <v>0</v>
      </c>
      <c r="M510" s="17">
        <f t="shared" si="277"/>
        <v>0</v>
      </c>
      <c r="N510" s="17">
        <f t="shared" si="278"/>
        <v>0</v>
      </c>
      <c r="O510" s="17">
        <f t="shared" si="279"/>
        <v>0</v>
      </c>
      <c r="P510" s="17">
        <v>0</v>
      </c>
      <c r="Q510" s="17">
        <f t="shared" si="280"/>
        <v>0</v>
      </c>
      <c r="R510" s="17">
        <f t="shared" si="281"/>
        <v>0</v>
      </c>
      <c r="S510" s="17">
        <f t="shared" si="282"/>
        <v>0</v>
      </c>
      <c r="T510" s="17">
        <f t="shared" si="283"/>
        <v>0</v>
      </c>
      <c r="U510" s="17">
        <f t="shared" si="284"/>
        <v>0</v>
      </c>
      <c r="V510" s="17">
        <f t="shared" si="285"/>
        <v>0</v>
      </c>
      <c r="W510" s="17">
        <f t="shared" si="286"/>
        <v>0</v>
      </c>
      <c r="X510" s="17">
        <f t="shared" si="287"/>
        <v>0</v>
      </c>
      <c r="Y510" s="17">
        <f t="shared" si="288"/>
        <v>0</v>
      </c>
      <c r="Z510" s="17">
        <f t="shared" si="289"/>
        <v>0</v>
      </c>
      <c r="AA510" s="17">
        <f t="shared" si="290"/>
        <v>0</v>
      </c>
      <c r="AB510" s="17">
        <f t="shared" si="291"/>
        <v>0</v>
      </c>
      <c r="AC510" s="17">
        <v>0</v>
      </c>
      <c r="AD510" s="17">
        <f t="shared" si="292"/>
        <v>0</v>
      </c>
      <c r="AE510" s="17">
        <f t="shared" si="293"/>
        <v>0</v>
      </c>
      <c r="AF510" s="17">
        <f t="shared" si="294"/>
        <v>0</v>
      </c>
      <c r="AG510" s="17">
        <f t="shared" si="295"/>
        <v>0</v>
      </c>
      <c r="AH510" s="17">
        <f t="shared" si="296"/>
        <v>0</v>
      </c>
      <c r="AI510" s="17">
        <f t="shared" si="297"/>
        <v>0</v>
      </c>
      <c r="AJ510" s="17">
        <f t="shared" si="298"/>
        <v>0</v>
      </c>
      <c r="AK510" s="17">
        <f t="shared" si="299"/>
        <v>0</v>
      </c>
      <c r="AL510" s="17">
        <f t="shared" si="300"/>
        <v>0</v>
      </c>
      <c r="AM510" s="17">
        <f t="shared" si="301"/>
        <v>0</v>
      </c>
      <c r="AN510" s="17">
        <f t="shared" si="302"/>
        <v>0</v>
      </c>
      <c r="AO510" s="17">
        <f t="shared" si="303"/>
        <v>0</v>
      </c>
      <c r="AP510" s="17">
        <f t="shared" si="304"/>
        <v>0</v>
      </c>
      <c r="AQ510" s="18">
        <v>0.60233229641780517</v>
      </c>
      <c r="AR510" s="18">
        <v>0.72033286824788889</v>
      </c>
      <c r="AS510" s="18">
        <v>0.63749986719109086</v>
      </c>
      <c r="AT510" s="18">
        <v>0.48288161921219008</v>
      </c>
      <c r="AU510" s="18">
        <v>0.70029334008365307</v>
      </c>
      <c r="AV510" s="18">
        <v>0.57388961525348658</v>
      </c>
      <c r="AW510" s="18">
        <v>0.57134705793703244</v>
      </c>
      <c r="AX510" s="18">
        <v>0.38799775029561595</v>
      </c>
      <c r="AY510" s="18">
        <v>0.57512911874189532</v>
      </c>
      <c r="AZ510" s="18">
        <v>0.50086352989863969</v>
      </c>
      <c r="BA510" s="18">
        <v>0.51140064980349187</v>
      </c>
      <c r="BB510" s="18">
        <v>0.49949584795577323</v>
      </c>
      <c r="BC510" s="23">
        <v>8.9181565948742242E-2</v>
      </c>
      <c r="BD510" s="23">
        <v>0.10665277883445198</v>
      </c>
      <c r="BE510" s="23">
        <v>9.438849084854764E-2</v>
      </c>
      <c r="BF510" s="23">
        <v>7.149564986855049E-2</v>
      </c>
      <c r="BG510" s="23">
        <v>0.10368571810536763</v>
      </c>
      <c r="BH510" s="23">
        <v>8.4970330952544637E-2</v>
      </c>
      <c r="BI510" s="23">
        <v>8.4593878877262704E-2</v>
      </c>
      <c r="BJ510" s="23">
        <v>5.7447105462779965E-2</v>
      </c>
      <c r="BK510" s="23">
        <v>8.5153852345557474E-2</v>
      </c>
      <c r="BL510" s="23">
        <v>7.4158058913035174E-2</v>
      </c>
      <c r="BM510" s="23">
        <v>7.5718189192107169E-2</v>
      </c>
      <c r="BN510" s="23">
        <v>7.3955559365675619E-2</v>
      </c>
    </row>
    <row r="511" spans="1:66" x14ac:dyDescent="0.25">
      <c r="A511" s="16">
        <v>766</v>
      </c>
      <c r="B511" s="16" t="s">
        <v>706</v>
      </c>
      <c r="C511" s="17">
        <v>0</v>
      </c>
      <c r="D511" s="17">
        <f t="shared" si="268"/>
        <v>0</v>
      </c>
      <c r="E511" s="17">
        <f t="shared" si="269"/>
        <v>0</v>
      </c>
      <c r="F511" s="17">
        <f t="shared" si="270"/>
        <v>0</v>
      </c>
      <c r="G511" s="17">
        <f t="shared" si="271"/>
        <v>0</v>
      </c>
      <c r="H511" s="17">
        <f t="shared" si="272"/>
        <v>0</v>
      </c>
      <c r="I511" s="17">
        <f t="shared" si="273"/>
        <v>0</v>
      </c>
      <c r="J511" s="17">
        <f t="shared" si="274"/>
        <v>0</v>
      </c>
      <c r="K511" s="17">
        <f t="shared" si="275"/>
        <v>0</v>
      </c>
      <c r="L511" s="17">
        <f t="shared" si="276"/>
        <v>0</v>
      </c>
      <c r="M511" s="17">
        <f t="shared" si="277"/>
        <v>0</v>
      </c>
      <c r="N511" s="17">
        <f t="shared" si="278"/>
        <v>0</v>
      </c>
      <c r="O511" s="17">
        <f t="shared" si="279"/>
        <v>0</v>
      </c>
      <c r="P511" s="17">
        <v>0</v>
      </c>
      <c r="Q511" s="17">
        <f t="shared" si="280"/>
        <v>0</v>
      </c>
      <c r="R511" s="17">
        <f t="shared" si="281"/>
        <v>0</v>
      </c>
      <c r="S511" s="17">
        <f t="shared" si="282"/>
        <v>0</v>
      </c>
      <c r="T511" s="17">
        <f t="shared" si="283"/>
        <v>0</v>
      </c>
      <c r="U511" s="17">
        <f t="shared" si="284"/>
        <v>0</v>
      </c>
      <c r="V511" s="17">
        <f t="shared" si="285"/>
        <v>0</v>
      </c>
      <c r="W511" s="17">
        <f t="shared" si="286"/>
        <v>0</v>
      </c>
      <c r="X511" s="17">
        <f t="shared" si="287"/>
        <v>0</v>
      </c>
      <c r="Y511" s="17">
        <f t="shared" si="288"/>
        <v>0</v>
      </c>
      <c r="Z511" s="17">
        <f t="shared" si="289"/>
        <v>0</v>
      </c>
      <c r="AA511" s="17">
        <f t="shared" si="290"/>
        <v>0</v>
      </c>
      <c r="AB511" s="17">
        <f t="shared" si="291"/>
        <v>0</v>
      </c>
      <c r="AC511" s="17">
        <v>0</v>
      </c>
      <c r="AD511" s="17">
        <f t="shared" si="292"/>
        <v>0</v>
      </c>
      <c r="AE511" s="17">
        <f t="shared" si="293"/>
        <v>0</v>
      </c>
      <c r="AF511" s="17">
        <f t="shared" si="294"/>
        <v>0</v>
      </c>
      <c r="AG511" s="17">
        <f t="shared" si="295"/>
        <v>0</v>
      </c>
      <c r="AH511" s="17">
        <f t="shared" si="296"/>
        <v>0</v>
      </c>
      <c r="AI511" s="17">
        <f t="shared" si="297"/>
        <v>0</v>
      </c>
      <c r="AJ511" s="17">
        <f t="shared" si="298"/>
        <v>0</v>
      </c>
      <c r="AK511" s="17">
        <f t="shared" si="299"/>
        <v>0</v>
      </c>
      <c r="AL511" s="17">
        <f t="shared" si="300"/>
        <v>0</v>
      </c>
      <c r="AM511" s="17">
        <f t="shared" si="301"/>
        <v>0</v>
      </c>
      <c r="AN511" s="17">
        <f t="shared" si="302"/>
        <v>0</v>
      </c>
      <c r="AO511" s="17">
        <f t="shared" si="303"/>
        <v>0</v>
      </c>
      <c r="AP511" s="17">
        <f t="shared" si="304"/>
        <v>0</v>
      </c>
      <c r="AQ511" s="18">
        <v>12.311515179223868</v>
      </c>
      <c r="AR511" s="18">
        <v>14.723416118096097</v>
      </c>
      <c r="AS511" s="18">
        <v>13.030331161642003</v>
      </c>
      <c r="AT511" s="18">
        <v>9.8699744643533958</v>
      </c>
      <c r="AU511" s="18">
        <v>14.313813384446002</v>
      </c>
      <c r="AV511" s="18">
        <v>11.730154187998789</v>
      </c>
      <c r="AW511" s="18">
        <v>11.678184979006117</v>
      </c>
      <c r="AX511" s="18">
        <v>7.9305729091367745</v>
      </c>
      <c r="AY511" s="18">
        <v>11.75548931630421</v>
      </c>
      <c r="AZ511" s="18">
        <v>10.237520032944508</v>
      </c>
      <c r="BA511" s="18">
        <v>10.452896017970396</v>
      </c>
      <c r="BB511" s="18">
        <v>10.20956497043152</v>
      </c>
      <c r="BC511" s="23">
        <v>8.9181565948742242E-2</v>
      </c>
      <c r="BD511" s="23">
        <v>0.10665277883445198</v>
      </c>
      <c r="BE511" s="23">
        <v>9.438849084854764E-2</v>
      </c>
      <c r="BF511" s="23">
        <v>7.149564986855049E-2</v>
      </c>
      <c r="BG511" s="23">
        <v>0.10368571810536763</v>
      </c>
      <c r="BH511" s="23">
        <v>8.4970330952544637E-2</v>
      </c>
      <c r="BI511" s="23">
        <v>8.4593878877262704E-2</v>
      </c>
      <c r="BJ511" s="23">
        <v>5.7447105462779965E-2</v>
      </c>
      <c r="BK511" s="23">
        <v>8.5153852345557474E-2</v>
      </c>
      <c r="BL511" s="23">
        <v>7.4158058913035174E-2</v>
      </c>
      <c r="BM511" s="23">
        <v>7.5718189192107169E-2</v>
      </c>
      <c r="BN511" s="23">
        <v>7.3955559365675619E-2</v>
      </c>
    </row>
    <row r="512" spans="1:66" x14ac:dyDescent="0.25">
      <c r="A512" s="16">
        <v>775</v>
      </c>
      <c r="B512" s="16" t="s">
        <v>707</v>
      </c>
      <c r="C512" s="17">
        <v>500</v>
      </c>
      <c r="D512" s="17">
        <f t="shared" si="268"/>
        <v>44.590782974371123</v>
      </c>
      <c r="E512" s="17">
        <f t="shared" si="269"/>
        <v>53.32638941722599</v>
      </c>
      <c r="F512" s="17">
        <f t="shared" si="270"/>
        <v>47.194245424273824</v>
      </c>
      <c r="G512" s="17">
        <f t="shared" si="271"/>
        <v>35.747824934275243</v>
      </c>
      <c r="H512" s="17">
        <f t="shared" si="272"/>
        <v>51.842859052683814</v>
      </c>
      <c r="I512" s="17">
        <f t="shared" si="273"/>
        <v>42.485165476272321</v>
      </c>
      <c r="J512" s="17">
        <f t="shared" si="274"/>
        <v>42.296939438631355</v>
      </c>
      <c r="K512" s="17">
        <f t="shared" si="275"/>
        <v>28.723552731389983</v>
      </c>
      <c r="L512" s="17">
        <f t="shared" si="276"/>
        <v>42.576926172778734</v>
      </c>
      <c r="M512" s="17">
        <f t="shared" si="277"/>
        <v>37.079029456517588</v>
      </c>
      <c r="N512" s="17">
        <f t="shared" si="278"/>
        <v>37.859094596053588</v>
      </c>
      <c r="O512" s="17">
        <f t="shared" si="279"/>
        <v>36.977779682837813</v>
      </c>
      <c r="P512" s="17">
        <v>0</v>
      </c>
      <c r="Q512" s="17">
        <f t="shared" si="280"/>
        <v>0</v>
      </c>
      <c r="R512" s="17">
        <f t="shared" si="281"/>
        <v>0</v>
      </c>
      <c r="S512" s="17">
        <f t="shared" si="282"/>
        <v>0</v>
      </c>
      <c r="T512" s="17">
        <f t="shared" si="283"/>
        <v>0</v>
      </c>
      <c r="U512" s="17">
        <f t="shared" si="284"/>
        <v>0</v>
      </c>
      <c r="V512" s="17">
        <f t="shared" si="285"/>
        <v>0</v>
      </c>
      <c r="W512" s="17">
        <f t="shared" si="286"/>
        <v>0</v>
      </c>
      <c r="X512" s="17">
        <f t="shared" si="287"/>
        <v>0</v>
      </c>
      <c r="Y512" s="17">
        <f t="shared" si="288"/>
        <v>0</v>
      </c>
      <c r="Z512" s="17">
        <f t="shared" si="289"/>
        <v>0</v>
      </c>
      <c r="AA512" s="17">
        <f t="shared" si="290"/>
        <v>0</v>
      </c>
      <c r="AB512" s="17">
        <f t="shared" si="291"/>
        <v>0</v>
      </c>
      <c r="AC512" s="17">
        <v>0</v>
      </c>
      <c r="AD512" s="17">
        <f t="shared" si="292"/>
        <v>0</v>
      </c>
      <c r="AE512" s="17">
        <f t="shared" si="293"/>
        <v>0</v>
      </c>
      <c r="AF512" s="17">
        <f t="shared" si="294"/>
        <v>0</v>
      </c>
      <c r="AG512" s="17">
        <f t="shared" si="295"/>
        <v>0</v>
      </c>
      <c r="AH512" s="17">
        <f t="shared" si="296"/>
        <v>0</v>
      </c>
      <c r="AI512" s="17">
        <f t="shared" si="297"/>
        <v>0</v>
      </c>
      <c r="AJ512" s="17">
        <f t="shared" si="298"/>
        <v>0</v>
      </c>
      <c r="AK512" s="17">
        <f t="shared" si="299"/>
        <v>0</v>
      </c>
      <c r="AL512" s="17">
        <f t="shared" si="300"/>
        <v>0</v>
      </c>
      <c r="AM512" s="17">
        <f t="shared" si="301"/>
        <v>0</v>
      </c>
      <c r="AN512" s="17">
        <f t="shared" si="302"/>
        <v>0</v>
      </c>
      <c r="AO512" s="17">
        <f t="shared" si="303"/>
        <v>0</v>
      </c>
      <c r="AP512" s="17">
        <f t="shared" si="304"/>
        <v>500</v>
      </c>
      <c r="AQ512" s="18">
        <v>19.149065840513934</v>
      </c>
      <c r="AR512" s="18">
        <v>22.90048467133353</v>
      </c>
      <c r="AS512" s="18">
        <v>20.26709675500015</v>
      </c>
      <c r="AT512" s="18">
        <v>15.351545939775161</v>
      </c>
      <c r="AU512" s="18">
        <v>22.263397391584537</v>
      </c>
      <c r="AV512" s="18">
        <v>18.244829462130383</v>
      </c>
      <c r="AW512" s="18">
        <v>18.163997672525849</v>
      </c>
      <c r="AX512" s="18">
        <v>12.335042484968113</v>
      </c>
      <c r="AY512" s="18">
        <v>18.284235175638102</v>
      </c>
      <c r="AZ512" s="18">
        <v>15.923218409806912</v>
      </c>
      <c r="BA512" s="18">
        <v>16.258209583329251</v>
      </c>
      <c r="BB512" s="18">
        <v>15.879737706997869</v>
      </c>
      <c r="BC512" s="23">
        <v>8.9181565948742242E-2</v>
      </c>
      <c r="BD512" s="23">
        <v>0.10665277883445198</v>
      </c>
      <c r="BE512" s="23">
        <v>9.438849084854764E-2</v>
      </c>
      <c r="BF512" s="23">
        <v>7.149564986855049E-2</v>
      </c>
      <c r="BG512" s="23">
        <v>0.10368571810536763</v>
      </c>
      <c r="BH512" s="23">
        <v>8.4970330952544637E-2</v>
      </c>
      <c r="BI512" s="23">
        <v>8.4593878877262704E-2</v>
      </c>
      <c r="BJ512" s="23">
        <v>5.7447105462779965E-2</v>
      </c>
      <c r="BK512" s="23">
        <v>8.5153852345557474E-2</v>
      </c>
      <c r="BL512" s="23">
        <v>7.4158058913035174E-2</v>
      </c>
      <c r="BM512" s="23">
        <v>7.5718189192107169E-2</v>
      </c>
      <c r="BN512" s="23">
        <v>7.3955559365675619E-2</v>
      </c>
    </row>
    <row r="513" spans="1:66" x14ac:dyDescent="0.25">
      <c r="A513" s="16">
        <v>793</v>
      </c>
      <c r="B513" s="16" t="s">
        <v>708</v>
      </c>
      <c r="C513" s="17">
        <v>0</v>
      </c>
      <c r="D513" s="17">
        <f t="shared" si="268"/>
        <v>0</v>
      </c>
      <c r="E513" s="17">
        <f t="shared" si="269"/>
        <v>0</v>
      </c>
      <c r="F513" s="17">
        <f t="shared" si="270"/>
        <v>0</v>
      </c>
      <c r="G513" s="17">
        <f t="shared" si="271"/>
        <v>0</v>
      </c>
      <c r="H513" s="17">
        <f t="shared" si="272"/>
        <v>0</v>
      </c>
      <c r="I513" s="17">
        <f t="shared" si="273"/>
        <v>0</v>
      </c>
      <c r="J513" s="17">
        <f t="shared" si="274"/>
        <v>0</v>
      </c>
      <c r="K513" s="17">
        <f t="shared" si="275"/>
        <v>0</v>
      </c>
      <c r="L513" s="17">
        <f t="shared" si="276"/>
        <v>0</v>
      </c>
      <c r="M513" s="17">
        <f t="shared" si="277"/>
        <v>0</v>
      </c>
      <c r="N513" s="17">
        <f t="shared" si="278"/>
        <v>0</v>
      </c>
      <c r="O513" s="17">
        <f t="shared" si="279"/>
        <v>0</v>
      </c>
      <c r="P513" s="17">
        <v>0</v>
      </c>
      <c r="Q513" s="17">
        <f t="shared" si="280"/>
        <v>0</v>
      </c>
      <c r="R513" s="17">
        <f t="shared" si="281"/>
        <v>0</v>
      </c>
      <c r="S513" s="17">
        <f t="shared" si="282"/>
        <v>0</v>
      </c>
      <c r="T513" s="17">
        <f t="shared" si="283"/>
        <v>0</v>
      </c>
      <c r="U513" s="17">
        <f t="shared" si="284"/>
        <v>0</v>
      </c>
      <c r="V513" s="17">
        <f t="shared" si="285"/>
        <v>0</v>
      </c>
      <c r="W513" s="17">
        <f t="shared" si="286"/>
        <v>0</v>
      </c>
      <c r="X513" s="17">
        <f t="shared" si="287"/>
        <v>0</v>
      </c>
      <c r="Y513" s="17">
        <f t="shared" si="288"/>
        <v>0</v>
      </c>
      <c r="Z513" s="17">
        <f t="shared" si="289"/>
        <v>0</v>
      </c>
      <c r="AA513" s="17">
        <f t="shared" si="290"/>
        <v>0</v>
      </c>
      <c r="AB513" s="17">
        <f t="shared" si="291"/>
        <v>0</v>
      </c>
      <c r="AC513" s="17">
        <v>0</v>
      </c>
      <c r="AD513" s="17">
        <f t="shared" si="292"/>
        <v>0</v>
      </c>
      <c r="AE513" s="17">
        <f t="shared" si="293"/>
        <v>0</v>
      </c>
      <c r="AF513" s="17">
        <f t="shared" si="294"/>
        <v>0</v>
      </c>
      <c r="AG513" s="17">
        <f t="shared" si="295"/>
        <v>0</v>
      </c>
      <c r="AH513" s="17">
        <f t="shared" si="296"/>
        <v>0</v>
      </c>
      <c r="AI513" s="17">
        <f t="shared" si="297"/>
        <v>0</v>
      </c>
      <c r="AJ513" s="17">
        <f t="shared" si="298"/>
        <v>0</v>
      </c>
      <c r="AK513" s="17">
        <f t="shared" si="299"/>
        <v>0</v>
      </c>
      <c r="AL513" s="17">
        <f t="shared" si="300"/>
        <v>0</v>
      </c>
      <c r="AM513" s="17">
        <f t="shared" si="301"/>
        <v>0</v>
      </c>
      <c r="AN513" s="17">
        <f t="shared" si="302"/>
        <v>0</v>
      </c>
      <c r="AO513" s="17">
        <f t="shared" si="303"/>
        <v>0</v>
      </c>
      <c r="AP513" s="17">
        <f t="shared" si="304"/>
        <v>0</v>
      </c>
      <c r="AQ513" s="18">
        <v>0.48461262936546545</v>
      </c>
      <c r="AR513" s="18">
        <v>0.57955120018641215</v>
      </c>
      <c r="AS513" s="18">
        <v>0.51290705927100799</v>
      </c>
      <c r="AT513" s="18">
        <v>0.38850736138570346</v>
      </c>
      <c r="AU513" s="18">
        <v>0.56342819218456774</v>
      </c>
      <c r="AV513" s="18">
        <v>0.46172877839612764</v>
      </c>
      <c r="AW513" s="18">
        <v>0.45968313781904563</v>
      </c>
      <c r="AX513" s="18">
        <v>0.31216757108474641</v>
      </c>
      <c r="AY513" s="18">
        <v>0.46272603364575943</v>
      </c>
      <c r="AZ513" s="18">
        <v>0.40297489213343324</v>
      </c>
      <c r="BA513" s="18">
        <v>0.41145264006991045</v>
      </c>
      <c r="BB513" s="18">
        <v>0.40187450959308141</v>
      </c>
      <c r="BC513" s="23">
        <v>8.9181565948742242E-2</v>
      </c>
      <c r="BD513" s="23">
        <v>0.10665277883445198</v>
      </c>
      <c r="BE513" s="23">
        <v>9.438849084854764E-2</v>
      </c>
      <c r="BF513" s="23">
        <v>7.149564986855049E-2</v>
      </c>
      <c r="BG513" s="23">
        <v>0.10368571810536763</v>
      </c>
      <c r="BH513" s="23">
        <v>8.4970330952544637E-2</v>
      </c>
      <c r="BI513" s="23">
        <v>8.4593878877262704E-2</v>
      </c>
      <c r="BJ513" s="23">
        <v>5.7447105462779965E-2</v>
      </c>
      <c r="BK513" s="23">
        <v>8.5153852345557474E-2</v>
      </c>
      <c r="BL513" s="23">
        <v>7.4158058913035174E-2</v>
      </c>
      <c r="BM513" s="23">
        <v>7.5718189192107169E-2</v>
      </c>
      <c r="BN513" s="23">
        <v>7.3955559365675619E-2</v>
      </c>
    </row>
    <row r="514" spans="1:66" x14ac:dyDescent="0.25">
      <c r="A514" s="16">
        <v>889</v>
      </c>
      <c r="B514" s="16" t="s">
        <v>709</v>
      </c>
      <c r="C514" s="17">
        <v>0</v>
      </c>
      <c r="D514" s="17">
        <f t="shared" si="268"/>
        <v>0</v>
      </c>
      <c r="E514" s="17">
        <f t="shared" si="269"/>
        <v>0</v>
      </c>
      <c r="F514" s="17">
        <f t="shared" si="270"/>
        <v>0</v>
      </c>
      <c r="G514" s="17">
        <f t="shared" si="271"/>
        <v>0</v>
      </c>
      <c r="H514" s="17">
        <f t="shared" si="272"/>
        <v>0</v>
      </c>
      <c r="I514" s="17">
        <f t="shared" si="273"/>
        <v>0</v>
      </c>
      <c r="J514" s="17">
        <f t="shared" si="274"/>
        <v>0</v>
      </c>
      <c r="K514" s="17">
        <f t="shared" si="275"/>
        <v>0</v>
      </c>
      <c r="L514" s="17">
        <f t="shared" si="276"/>
        <v>0</v>
      </c>
      <c r="M514" s="17">
        <f t="shared" si="277"/>
        <v>0</v>
      </c>
      <c r="N514" s="17">
        <f t="shared" si="278"/>
        <v>0</v>
      </c>
      <c r="O514" s="17">
        <f t="shared" si="279"/>
        <v>0</v>
      </c>
      <c r="P514" s="17">
        <v>500</v>
      </c>
      <c r="Q514" s="17">
        <f t="shared" si="280"/>
        <v>44.590782974371123</v>
      </c>
      <c r="R514" s="17">
        <f t="shared" si="281"/>
        <v>53.32638941722599</v>
      </c>
      <c r="S514" s="17">
        <f t="shared" si="282"/>
        <v>47.194245424273824</v>
      </c>
      <c r="T514" s="17">
        <f t="shared" si="283"/>
        <v>35.747824934275243</v>
      </c>
      <c r="U514" s="17">
        <f t="shared" si="284"/>
        <v>51.842859052683814</v>
      </c>
      <c r="V514" s="17">
        <f t="shared" si="285"/>
        <v>42.485165476272321</v>
      </c>
      <c r="W514" s="17">
        <f t="shared" si="286"/>
        <v>42.296939438631355</v>
      </c>
      <c r="X514" s="17">
        <f t="shared" si="287"/>
        <v>28.723552731389983</v>
      </c>
      <c r="Y514" s="17">
        <f t="shared" si="288"/>
        <v>42.576926172778734</v>
      </c>
      <c r="Z514" s="17">
        <f t="shared" si="289"/>
        <v>37.079029456517588</v>
      </c>
      <c r="AA514" s="17">
        <f t="shared" si="290"/>
        <v>37.859094596053588</v>
      </c>
      <c r="AB514" s="17">
        <f t="shared" si="291"/>
        <v>36.977779682837813</v>
      </c>
      <c r="AC514" s="17">
        <v>0</v>
      </c>
      <c r="AD514" s="17">
        <f t="shared" si="292"/>
        <v>0</v>
      </c>
      <c r="AE514" s="17">
        <f t="shared" si="293"/>
        <v>0</v>
      </c>
      <c r="AF514" s="17">
        <f t="shared" si="294"/>
        <v>0</v>
      </c>
      <c r="AG514" s="17">
        <f t="shared" si="295"/>
        <v>0</v>
      </c>
      <c r="AH514" s="17">
        <f t="shared" si="296"/>
        <v>0</v>
      </c>
      <c r="AI514" s="17">
        <f t="shared" si="297"/>
        <v>0</v>
      </c>
      <c r="AJ514" s="17">
        <f t="shared" si="298"/>
        <v>0</v>
      </c>
      <c r="AK514" s="17">
        <f t="shared" si="299"/>
        <v>0</v>
      </c>
      <c r="AL514" s="17">
        <f t="shared" si="300"/>
        <v>0</v>
      </c>
      <c r="AM514" s="17">
        <f t="shared" si="301"/>
        <v>0</v>
      </c>
      <c r="AN514" s="17">
        <f t="shared" si="302"/>
        <v>0</v>
      </c>
      <c r="AO514" s="17">
        <f t="shared" si="303"/>
        <v>0</v>
      </c>
      <c r="AP514" s="17">
        <f t="shared" si="304"/>
        <v>500</v>
      </c>
      <c r="AQ514" s="18">
        <v>445.9078297437112</v>
      </c>
      <c r="AR514" s="18">
        <v>533.26389417225994</v>
      </c>
      <c r="AS514" s="18">
        <v>471.94245424273822</v>
      </c>
      <c r="AT514" s="18">
        <v>357.47824934275246</v>
      </c>
      <c r="AU514" s="18">
        <v>518.42859052683809</v>
      </c>
      <c r="AV514" s="18">
        <v>424.85165476272317</v>
      </c>
      <c r="AW514" s="18">
        <v>422.96939438631352</v>
      </c>
      <c r="AX514" s="18">
        <v>287.23552731389981</v>
      </c>
      <c r="AY514" s="18">
        <v>425.76926172778735</v>
      </c>
      <c r="AZ514" s="18">
        <v>370.79029456517588</v>
      </c>
      <c r="BA514" s="18">
        <v>378.59094596053586</v>
      </c>
      <c r="BB514" s="18">
        <v>369.77779682837809</v>
      </c>
      <c r="BC514" s="23">
        <v>8.9181565948742242E-2</v>
      </c>
      <c r="BD514" s="23">
        <v>0.10665277883445198</v>
      </c>
      <c r="BE514" s="23">
        <v>9.438849084854764E-2</v>
      </c>
      <c r="BF514" s="23">
        <v>7.149564986855049E-2</v>
      </c>
      <c r="BG514" s="23">
        <v>0.10368571810536763</v>
      </c>
      <c r="BH514" s="23">
        <v>8.4970330952544637E-2</v>
      </c>
      <c r="BI514" s="23">
        <v>8.4593878877262704E-2</v>
      </c>
      <c r="BJ514" s="23">
        <v>5.7447105462779965E-2</v>
      </c>
      <c r="BK514" s="23">
        <v>8.5153852345557474E-2</v>
      </c>
      <c r="BL514" s="23">
        <v>7.4158058913035174E-2</v>
      </c>
      <c r="BM514" s="23">
        <v>7.5718189192107169E-2</v>
      </c>
      <c r="BN514" s="23">
        <v>7.3955559365675619E-2</v>
      </c>
    </row>
    <row r="515" spans="1:66" x14ac:dyDescent="0.25">
      <c r="A515" s="16">
        <v>890</v>
      </c>
      <c r="B515" s="16" t="s">
        <v>710</v>
      </c>
      <c r="C515" s="17">
        <v>0</v>
      </c>
      <c r="D515" s="17">
        <f t="shared" si="268"/>
        <v>0</v>
      </c>
      <c r="E515" s="17">
        <f t="shared" si="269"/>
        <v>0</v>
      </c>
      <c r="F515" s="17">
        <f t="shared" si="270"/>
        <v>0</v>
      </c>
      <c r="G515" s="17">
        <f t="shared" si="271"/>
        <v>0</v>
      </c>
      <c r="H515" s="17">
        <f t="shared" si="272"/>
        <v>0</v>
      </c>
      <c r="I515" s="17">
        <f t="shared" si="273"/>
        <v>0</v>
      </c>
      <c r="J515" s="17">
        <f t="shared" si="274"/>
        <v>0</v>
      </c>
      <c r="K515" s="17">
        <f t="shared" si="275"/>
        <v>0</v>
      </c>
      <c r="L515" s="17">
        <f t="shared" si="276"/>
        <v>0</v>
      </c>
      <c r="M515" s="17">
        <f t="shared" si="277"/>
        <v>0</v>
      </c>
      <c r="N515" s="17">
        <f t="shared" si="278"/>
        <v>0</v>
      </c>
      <c r="O515" s="17">
        <f t="shared" si="279"/>
        <v>0</v>
      </c>
      <c r="P515" s="17">
        <v>0</v>
      </c>
      <c r="Q515" s="17">
        <f t="shared" si="280"/>
        <v>0</v>
      </c>
      <c r="R515" s="17">
        <f t="shared" si="281"/>
        <v>0</v>
      </c>
      <c r="S515" s="17">
        <f t="shared" si="282"/>
        <v>0</v>
      </c>
      <c r="T515" s="17">
        <f t="shared" si="283"/>
        <v>0</v>
      </c>
      <c r="U515" s="17">
        <f t="shared" si="284"/>
        <v>0</v>
      </c>
      <c r="V515" s="17">
        <f t="shared" si="285"/>
        <v>0</v>
      </c>
      <c r="W515" s="17">
        <f t="shared" si="286"/>
        <v>0</v>
      </c>
      <c r="X515" s="17">
        <f t="shared" si="287"/>
        <v>0</v>
      </c>
      <c r="Y515" s="17">
        <f t="shared" si="288"/>
        <v>0</v>
      </c>
      <c r="Z515" s="17">
        <f t="shared" si="289"/>
        <v>0</v>
      </c>
      <c r="AA515" s="17">
        <f t="shared" si="290"/>
        <v>0</v>
      </c>
      <c r="AB515" s="17">
        <f t="shared" si="291"/>
        <v>0</v>
      </c>
      <c r="AC515" s="17">
        <v>0</v>
      </c>
      <c r="AD515" s="17">
        <f t="shared" si="292"/>
        <v>0</v>
      </c>
      <c r="AE515" s="17">
        <f t="shared" si="293"/>
        <v>0</v>
      </c>
      <c r="AF515" s="17">
        <f t="shared" si="294"/>
        <v>0</v>
      </c>
      <c r="AG515" s="17">
        <f t="shared" si="295"/>
        <v>0</v>
      </c>
      <c r="AH515" s="17">
        <f t="shared" si="296"/>
        <v>0</v>
      </c>
      <c r="AI515" s="17">
        <f t="shared" si="297"/>
        <v>0</v>
      </c>
      <c r="AJ515" s="17">
        <f t="shared" si="298"/>
        <v>0</v>
      </c>
      <c r="AK515" s="17">
        <f t="shared" si="299"/>
        <v>0</v>
      </c>
      <c r="AL515" s="17">
        <f t="shared" si="300"/>
        <v>0</v>
      </c>
      <c r="AM515" s="17">
        <f t="shared" si="301"/>
        <v>0</v>
      </c>
      <c r="AN515" s="17">
        <f t="shared" si="302"/>
        <v>0</v>
      </c>
      <c r="AO515" s="17">
        <f t="shared" si="303"/>
        <v>0</v>
      </c>
      <c r="AP515" s="17">
        <f t="shared" si="304"/>
        <v>0</v>
      </c>
      <c r="AQ515" s="18">
        <v>10.643819895982388</v>
      </c>
      <c r="AR515" s="18">
        <v>12.729009153891845</v>
      </c>
      <c r="AS515" s="18">
        <v>11.265266382774161</v>
      </c>
      <c r="AT515" s="18">
        <v>8.5330058118115009</v>
      </c>
      <c r="AU515" s="18">
        <v>12.374890455875628</v>
      </c>
      <c r="AV515" s="18">
        <v>10.141208999186203</v>
      </c>
      <c r="AW515" s="18">
        <v>10.096279444001304</v>
      </c>
      <c r="AX515" s="18">
        <v>6.8563120369827892</v>
      </c>
      <c r="AY515" s="18">
        <v>10.163112277442286</v>
      </c>
      <c r="AZ515" s="18">
        <v>8.8507643312707494</v>
      </c>
      <c r="BA515" s="18">
        <v>9.0369658800779913</v>
      </c>
      <c r="BB515" s="18">
        <v>8.826596010293386</v>
      </c>
      <c r="BC515" s="23">
        <v>8.9181565948742242E-2</v>
      </c>
      <c r="BD515" s="23">
        <v>0.10665277883445198</v>
      </c>
      <c r="BE515" s="23">
        <v>9.438849084854764E-2</v>
      </c>
      <c r="BF515" s="23">
        <v>7.149564986855049E-2</v>
      </c>
      <c r="BG515" s="23">
        <v>0.10368571810536763</v>
      </c>
      <c r="BH515" s="23">
        <v>8.4970330952544637E-2</v>
      </c>
      <c r="BI515" s="23">
        <v>8.4593878877262704E-2</v>
      </c>
      <c r="BJ515" s="23">
        <v>5.7447105462779965E-2</v>
      </c>
      <c r="BK515" s="23">
        <v>8.5153852345557474E-2</v>
      </c>
      <c r="BL515" s="23">
        <v>7.4158058913035174E-2</v>
      </c>
      <c r="BM515" s="23">
        <v>7.5718189192107169E-2</v>
      </c>
      <c r="BN515" s="23">
        <v>7.3955559365675619E-2</v>
      </c>
    </row>
    <row r="516" spans="1:66" x14ac:dyDescent="0.25">
      <c r="A516" s="16">
        <v>1021</v>
      </c>
      <c r="B516" s="16" t="s">
        <v>711</v>
      </c>
      <c r="C516" s="17">
        <v>0</v>
      </c>
      <c r="D516" s="17">
        <f t="shared" ref="D516:D579" si="305">+$C516*BC516</f>
        <v>0</v>
      </c>
      <c r="E516" s="17">
        <f t="shared" ref="E516:E579" si="306">+$C516*BD516</f>
        <v>0</v>
      </c>
      <c r="F516" s="17">
        <f t="shared" ref="F516:F579" si="307">+$C516*BE516</f>
        <v>0</v>
      </c>
      <c r="G516" s="17">
        <f t="shared" ref="G516:G579" si="308">+$C516*BF516</f>
        <v>0</v>
      </c>
      <c r="H516" s="17">
        <f t="shared" ref="H516:H579" si="309">+$C516*BG516</f>
        <v>0</v>
      </c>
      <c r="I516" s="17">
        <f t="shared" ref="I516:I579" si="310">+$C516*BH516</f>
        <v>0</v>
      </c>
      <c r="J516" s="17">
        <f t="shared" ref="J516:J579" si="311">+$C516*BI516</f>
        <v>0</v>
      </c>
      <c r="K516" s="17">
        <f t="shared" ref="K516:K579" si="312">+$C516*BJ516</f>
        <v>0</v>
      </c>
      <c r="L516" s="17">
        <f t="shared" ref="L516:L579" si="313">+$C516*BK516</f>
        <v>0</v>
      </c>
      <c r="M516" s="17">
        <f t="shared" ref="M516:M579" si="314">+$C516*BL516</f>
        <v>0</v>
      </c>
      <c r="N516" s="17">
        <f t="shared" ref="N516:N579" si="315">+$C516*BM516</f>
        <v>0</v>
      </c>
      <c r="O516" s="17">
        <f t="shared" ref="O516:O579" si="316">+$C516*BN516</f>
        <v>0</v>
      </c>
      <c r="P516" s="17">
        <v>0</v>
      </c>
      <c r="Q516" s="17">
        <f t="shared" ref="Q516:Q579" si="317">+$P516*BC516</f>
        <v>0</v>
      </c>
      <c r="R516" s="17">
        <f t="shared" ref="R516:R579" si="318">+$P516*BD516</f>
        <v>0</v>
      </c>
      <c r="S516" s="17">
        <f t="shared" ref="S516:S579" si="319">+$P516*BE516</f>
        <v>0</v>
      </c>
      <c r="T516" s="17">
        <f t="shared" ref="T516:T579" si="320">+$P516*BF516</f>
        <v>0</v>
      </c>
      <c r="U516" s="17">
        <f t="shared" ref="U516:U579" si="321">+$P516*BG516</f>
        <v>0</v>
      </c>
      <c r="V516" s="17">
        <f t="shared" ref="V516:V579" si="322">+$P516*BH516</f>
        <v>0</v>
      </c>
      <c r="W516" s="17">
        <f t="shared" ref="W516:W579" si="323">+$P516*BI516</f>
        <v>0</v>
      </c>
      <c r="X516" s="17">
        <f t="shared" ref="X516:X579" si="324">+$P516*BJ516</f>
        <v>0</v>
      </c>
      <c r="Y516" s="17">
        <f t="shared" ref="Y516:Y579" si="325">+$P516*BK516</f>
        <v>0</v>
      </c>
      <c r="Z516" s="17">
        <f t="shared" ref="Z516:Z579" si="326">+$P516*BL516</f>
        <v>0</v>
      </c>
      <c r="AA516" s="17">
        <f t="shared" ref="AA516:AA579" si="327">+$P516*BM516</f>
        <v>0</v>
      </c>
      <c r="AB516" s="17">
        <f t="shared" ref="AB516:AB579" si="328">+$P516*BN516</f>
        <v>0</v>
      </c>
      <c r="AC516" s="17">
        <v>0</v>
      </c>
      <c r="AD516" s="17">
        <f t="shared" ref="AD516:AD579" si="329">+$AC516*BC516</f>
        <v>0</v>
      </c>
      <c r="AE516" s="17">
        <f t="shared" ref="AE516:AE579" si="330">+$AC516*BD516</f>
        <v>0</v>
      </c>
      <c r="AF516" s="17">
        <f t="shared" ref="AF516:AF579" si="331">+$AC516*BE516</f>
        <v>0</v>
      </c>
      <c r="AG516" s="17">
        <f t="shared" ref="AG516:AG579" si="332">+$AC516*BF516</f>
        <v>0</v>
      </c>
      <c r="AH516" s="17">
        <f t="shared" ref="AH516:AH579" si="333">+$AC516*BG516</f>
        <v>0</v>
      </c>
      <c r="AI516" s="17">
        <f t="shared" ref="AI516:AI579" si="334">+$AC516*BH516</f>
        <v>0</v>
      </c>
      <c r="AJ516" s="17">
        <f t="shared" ref="AJ516:AJ579" si="335">+$AC516*BI516</f>
        <v>0</v>
      </c>
      <c r="AK516" s="17">
        <f t="shared" ref="AK516:AK579" si="336">+$AC516*BJ516</f>
        <v>0</v>
      </c>
      <c r="AL516" s="17">
        <f t="shared" ref="AL516:AL579" si="337">+$AC516*BK516</f>
        <v>0</v>
      </c>
      <c r="AM516" s="17">
        <f t="shared" ref="AM516:AM579" si="338">+$AC516*BL516</f>
        <v>0</v>
      </c>
      <c r="AN516" s="17">
        <f t="shared" ref="AN516:AN579" si="339">+$AC516*BM516</f>
        <v>0</v>
      </c>
      <c r="AO516" s="17">
        <f t="shared" ref="AO516:AO579" si="340">+$AC516*BN516</f>
        <v>0</v>
      </c>
      <c r="AP516" s="17">
        <f t="shared" ref="AP516:AP579" si="341">+AC516+P516+C516</f>
        <v>0</v>
      </c>
      <c r="AQ516" s="18">
        <v>0</v>
      </c>
      <c r="AR516" s="18">
        <v>0</v>
      </c>
      <c r="AS516" s="18">
        <v>0</v>
      </c>
      <c r="AT516" s="18">
        <v>0</v>
      </c>
      <c r="AU516" s="18">
        <v>0</v>
      </c>
      <c r="AV516" s="18">
        <v>0</v>
      </c>
      <c r="AW516" s="18">
        <v>0</v>
      </c>
      <c r="AX516" s="18">
        <v>0</v>
      </c>
      <c r="AY516" s="18">
        <v>0</v>
      </c>
      <c r="AZ516" s="18">
        <v>0</v>
      </c>
      <c r="BA516" s="18">
        <v>0</v>
      </c>
      <c r="BB516" s="18">
        <v>0</v>
      </c>
      <c r="BC516" s="23">
        <v>8.9181565948742242E-2</v>
      </c>
      <c r="BD516" s="23">
        <v>0.10665277883445198</v>
      </c>
      <c r="BE516" s="23">
        <v>9.438849084854764E-2</v>
      </c>
      <c r="BF516" s="23">
        <v>7.149564986855049E-2</v>
      </c>
      <c r="BG516" s="23">
        <v>0.10368571810536763</v>
      </c>
      <c r="BH516" s="23">
        <v>8.4970330952544637E-2</v>
      </c>
      <c r="BI516" s="23">
        <v>8.4593878877262704E-2</v>
      </c>
      <c r="BJ516" s="23">
        <v>5.7447105462779965E-2</v>
      </c>
      <c r="BK516" s="23">
        <v>8.5153852345557474E-2</v>
      </c>
      <c r="BL516" s="23">
        <v>7.4158058913035174E-2</v>
      </c>
      <c r="BM516" s="23">
        <v>7.5718189192107169E-2</v>
      </c>
      <c r="BN516" s="23">
        <v>7.3955559365675619E-2</v>
      </c>
    </row>
    <row r="517" spans="1:66" x14ac:dyDescent="0.25">
      <c r="A517" s="16">
        <v>1057</v>
      </c>
      <c r="B517" s="16" t="s">
        <v>712</v>
      </c>
      <c r="C517" s="17">
        <v>0</v>
      </c>
      <c r="D517" s="17">
        <f t="shared" si="305"/>
        <v>0</v>
      </c>
      <c r="E517" s="17">
        <f t="shared" si="306"/>
        <v>0</v>
      </c>
      <c r="F517" s="17">
        <f t="shared" si="307"/>
        <v>0</v>
      </c>
      <c r="G517" s="17">
        <f t="shared" si="308"/>
        <v>0</v>
      </c>
      <c r="H517" s="17">
        <f t="shared" si="309"/>
        <v>0</v>
      </c>
      <c r="I517" s="17">
        <f t="shared" si="310"/>
        <v>0</v>
      </c>
      <c r="J517" s="17">
        <f t="shared" si="311"/>
        <v>0</v>
      </c>
      <c r="K517" s="17">
        <f t="shared" si="312"/>
        <v>0</v>
      </c>
      <c r="L517" s="17">
        <f t="shared" si="313"/>
        <v>0</v>
      </c>
      <c r="M517" s="17">
        <f t="shared" si="314"/>
        <v>0</v>
      </c>
      <c r="N517" s="17">
        <f t="shared" si="315"/>
        <v>0</v>
      </c>
      <c r="O517" s="17">
        <f t="shared" si="316"/>
        <v>0</v>
      </c>
      <c r="P517" s="17">
        <v>0</v>
      </c>
      <c r="Q517" s="17">
        <f t="shared" si="317"/>
        <v>0</v>
      </c>
      <c r="R517" s="17">
        <f t="shared" si="318"/>
        <v>0</v>
      </c>
      <c r="S517" s="17">
        <f t="shared" si="319"/>
        <v>0</v>
      </c>
      <c r="T517" s="17">
        <f t="shared" si="320"/>
        <v>0</v>
      </c>
      <c r="U517" s="17">
        <f t="shared" si="321"/>
        <v>0</v>
      </c>
      <c r="V517" s="17">
        <f t="shared" si="322"/>
        <v>0</v>
      </c>
      <c r="W517" s="17">
        <f t="shared" si="323"/>
        <v>0</v>
      </c>
      <c r="X517" s="17">
        <f t="shared" si="324"/>
        <v>0</v>
      </c>
      <c r="Y517" s="17">
        <f t="shared" si="325"/>
        <v>0</v>
      </c>
      <c r="Z517" s="17">
        <f t="shared" si="326"/>
        <v>0</v>
      </c>
      <c r="AA517" s="17">
        <f t="shared" si="327"/>
        <v>0</v>
      </c>
      <c r="AB517" s="17">
        <f t="shared" si="328"/>
        <v>0</v>
      </c>
      <c r="AC517" s="17">
        <v>0</v>
      </c>
      <c r="AD517" s="17">
        <f t="shared" si="329"/>
        <v>0</v>
      </c>
      <c r="AE517" s="17">
        <f t="shared" si="330"/>
        <v>0</v>
      </c>
      <c r="AF517" s="17">
        <f t="shared" si="331"/>
        <v>0</v>
      </c>
      <c r="AG517" s="17">
        <f t="shared" si="332"/>
        <v>0</v>
      </c>
      <c r="AH517" s="17">
        <f t="shared" si="333"/>
        <v>0</v>
      </c>
      <c r="AI517" s="17">
        <f t="shared" si="334"/>
        <v>0</v>
      </c>
      <c r="AJ517" s="17">
        <f t="shared" si="335"/>
        <v>0</v>
      </c>
      <c r="AK517" s="17">
        <f t="shared" si="336"/>
        <v>0</v>
      </c>
      <c r="AL517" s="17">
        <f t="shared" si="337"/>
        <v>0</v>
      </c>
      <c r="AM517" s="17">
        <f t="shared" si="338"/>
        <v>0</v>
      </c>
      <c r="AN517" s="17">
        <f t="shared" si="339"/>
        <v>0</v>
      </c>
      <c r="AO517" s="17">
        <f t="shared" si="340"/>
        <v>0</v>
      </c>
      <c r="AP517" s="17">
        <f t="shared" si="341"/>
        <v>0</v>
      </c>
      <c r="AQ517" s="18">
        <v>18.035633989643891</v>
      </c>
      <c r="AR517" s="18">
        <v>21.568924727585401</v>
      </c>
      <c r="AS517" s="18">
        <v>19.088656446756037</v>
      </c>
      <c r="AT517" s="18">
        <v>14.458922751166311</v>
      </c>
      <c r="AU517" s="18">
        <v>20.968881201039025</v>
      </c>
      <c r="AV517" s="18">
        <v>17.183974880187868</v>
      </c>
      <c r="AW517" s="18">
        <v>17.107843094743227</v>
      </c>
      <c r="AX517" s="18">
        <v>11.617815373265309</v>
      </c>
      <c r="AY517" s="18">
        <v>17.221089329103819</v>
      </c>
      <c r="AZ517" s="18">
        <v>14.997355044277672</v>
      </c>
      <c r="BA517" s="18">
        <v>15.312867991265797</v>
      </c>
      <c r="BB517" s="18">
        <v>14.956402548317412</v>
      </c>
      <c r="BC517" s="23">
        <v>8.9181565948742242E-2</v>
      </c>
      <c r="BD517" s="23">
        <v>0.10665277883445198</v>
      </c>
      <c r="BE517" s="23">
        <v>9.438849084854764E-2</v>
      </c>
      <c r="BF517" s="23">
        <v>7.149564986855049E-2</v>
      </c>
      <c r="BG517" s="23">
        <v>0.10368571810536763</v>
      </c>
      <c r="BH517" s="23">
        <v>8.4970330952544637E-2</v>
      </c>
      <c r="BI517" s="23">
        <v>8.4593878877262704E-2</v>
      </c>
      <c r="BJ517" s="23">
        <v>5.7447105462779965E-2</v>
      </c>
      <c r="BK517" s="23">
        <v>8.5153852345557474E-2</v>
      </c>
      <c r="BL517" s="23">
        <v>7.4158058913035174E-2</v>
      </c>
      <c r="BM517" s="23">
        <v>7.5718189192107169E-2</v>
      </c>
      <c r="BN517" s="23">
        <v>7.3955559365675619E-2</v>
      </c>
    </row>
    <row r="518" spans="1:66" x14ac:dyDescent="0.25">
      <c r="A518" s="16">
        <v>1058</v>
      </c>
      <c r="B518" s="16" t="s">
        <v>713</v>
      </c>
      <c r="C518" s="17">
        <v>0</v>
      </c>
      <c r="D518" s="17">
        <f t="shared" si="305"/>
        <v>0</v>
      </c>
      <c r="E518" s="17">
        <f t="shared" si="306"/>
        <v>0</v>
      </c>
      <c r="F518" s="17">
        <f t="shared" si="307"/>
        <v>0</v>
      </c>
      <c r="G518" s="17">
        <f t="shared" si="308"/>
        <v>0</v>
      </c>
      <c r="H518" s="17">
        <f t="shared" si="309"/>
        <v>0</v>
      </c>
      <c r="I518" s="17">
        <f t="shared" si="310"/>
        <v>0</v>
      </c>
      <c r="J518" s="17">
        <f t="shared" si="311"/>
        <v>0</v>
      </c>
      <c r="K518" s="17">
        <f t="shared" si="312"/>
        <v>0</v>
      </c>
      <c r="L518" s="17">
        <f t="shared" si="313"/>
        <v>0</v>
      </c>
      <c r="M518" s="17">
        <f t="shared" si="314"/>
        <v>0</v>
      </c>
      <c r="N518" s="17">
        <f t="shared" si="315"/>
        <v>0</v>
      </c>
      <c r="O518" s="17">
        <f t="shared" si="316"/>
        <v>0</v>
      </c>
      <c r="P518" s="17">
        <v>0</v>
      </c>
      <c r="Q518" s="17">
        <f t="shared" si="317"/>
        <v>0</v>
      </c>
      <c r="R518" s="17">
        <f t="shared" si="318"/>
        <v>0</v>
      </c>
      <c r="S518" s="17">
        <f t="shared" si="319"/>
        <v>0</v>
      </c>
      <c r="T518" s="17">
        <f t="shared" si="320"/>
        <v>0</v>
      </c>
      <c r="U518" s="17">
        <f t="shared" si="321"/>
        <v>0</v>
      </c>
      <c r="V518" s="17">
        <f t="shared" si="322"/>
        <v>0</v>
      </c>
      <c r="W518" s="17">
        <f t="shared" si="323"/>
        <v>0</v>
      </c>
      <c r="X518" s="17">
        <f t="shared" si="324"/>
        <v>0</v>
      </c>
      <c r="Y518" s="17">
        <f t="shared" si="325"/>
        <v>0</v>
      </c>
      <c r="Z518" s="17">
        <f t="shared" si="326"/>
        <v>0</v>
      </c>
      <c r="AA518" s="17">
        <f t="shared" si="327"/>
        <v>0</v>
      </c>
      <c r="AB518" s="17">
        <f t="shared" si="328"/>
        <v>0</v>
      </c>
      <c r="AC518" s="17">
        <v>0</v>
      </c>
      <c r="AD518" s="17">
        <f t="shared" si="329"/>
        <v>0</v>
      </c>
      <c r="AE518" s="17">
        <f t="shared" si="330"/>
        <v>0</v>
      </c>
      <c r="AF518" s="17">
        <f t="shared" si="331"/>
        <v>0</v>
      </c>
      <c r="AG518" s="17">
        <f t="shared" si="332"/>
        <v>0</v>
      </c>
      <c r="AH518" s="17">
        <f t="shared" si="333"/>
        <v>0</v>
      </c>
      <c r="AI518" s="17">
        <f t="shared" si="334"/>
        <v>0</v>
      </c>
      <c r="AJ518" s="17">
        <f t="shared" si="335"/>
        <v>0</v>
      </c>
      <c r="AK518" s="17">
        <f t="shared" si="336"/>
        <v>0</v>
      </c>
      <c r="AL518" s="17">
        <f t="shared" si="337"/>
        <v>0</v>
      </c>
      <c r="AM518" s="17">
        <f t="shared" si="338"/>
        <v>0</v>
      </c>
      <c r="AN518" s="17">
        <f t="shared" si="339"/>
        <v>0</v>
      </c>
      <c r="AO518" s="17">
        <f t="shared" si="340"/>
        <v>0</v>
      </c>
      <c r="AP518" s="17">
        <f t="shared" si="341"/>
        <v>0</v>
      </c>
      <c r="AQ518" s="18">
        <v>0</v>
      </c>
      <c r="AR518" s="18">
        <v>0</v>
      </c>
      <c r="AS518" s="18">
        <v>0</v>
      </c>
      <c r="AT518" s="18">
        <v>0</v>
      </c>
      <c r="AU518" s="18">
        <v>0</v>
      </c>
      <c r="AV518" s="18">
        <v>0</v>
      </c>
      <c r="AW518" s="18">
        <v>0</v>
      </c>
      <c r="AX518" s="18">
        <v>0</v>
      </c>
      <c r="AY518" s="18">
        <v>0</v>
      </c>
      <c r="AZ518" s="18">
        <v>0</v>
      </c>
      <c r="BA518" s="18">
        <v>0</v>
      </c>
      <c r="BB518" s="18">
        <v>0</v>
      </c>
      <c r="BC518" s="23">
        <v>8.9181565948742242E-2</v>
      </c>
      <c r="BD518" s="23">
        <v>0.10665277883445198</v>
      </c>
      <c r="BE518" s="23">
        <v>9.438849084854764E-2</v>
      </c>
      <c r="BF518" s="23">
        <v>7.149564986855049E-2</v>
      </c>
      <c r="BG518" s="23">
        <v>0.10368571810536763</v>
      </c>
      <c r="BH518" s="23">
        <v>8.4970330952544637E-2</v>
      </c>
      <c r="BI518" s="23">
        <v>8.4593878877262704E-2</v>
      </c>
      <c r="BJ518" s="23">
        <v>5.7447105462779965E-2</v>
      </c>
      <c r="BK518" s="23">
        <v>8.5153852345557474E-2</v>
      </c>
      <c r="BL518" s="23">
        <v>7.4158058913035174E-2</v>
      </c>
      <c r="BM518" s="23">
        <v>7.5718189192107169E-2</v>
      </c>
      <c r="BN518" s="23">
        <v>7.3955559365675619E-2</v>
      </c>
    </row>
    <row r="519" spans="1:66" x14ac:dyDescent="0.25">
      <c r="A519" s="16">
        <v>1074</v>
      </c>
      <c r="B519" s="16" t="s">
        <v>714</v>
      </c>
      <c r="C519" s="17">
        <v>0</v>
      </c>
      <c r="D519" s="17">
        <f t="shared" si="305"/>
        <v>0</v>
      </c>
      <c r="E519" s="17">
        <f t="shared" si="306"/>
        <v>0</v>
      </c>
      <c r="F519" s="17">
        <f t="shared" si="307"/>
        <v>0</v>
      </c>
      <c r="G519" s="17">
        <f t="shared" si="308"/>
        <v>0</v>
      </c>
      <c r="H519" s="17">
        <f t="shared" si="309"/>
        <v>0</v>
      </c>
      <c r="I519" s="17">
        <f t="shared" si="310"/>
        <v>0</v>
      </c>
      <c r="J519" s="17">
        <f t="shared" si="311"/>
        <v>0</v>
      </c>
      <c r="K519" s="17">
        <f t="shared" si="312"/>
        <v>0</v>
      </c>
      <c r="L519" s="17">
        <f t="shared" si="313"/>
        <v>0</v>
      </c>
      <c r="M519" s="17">
        <f t="shared" si="314"/>
        <v>0</v>
      </c>
      <c r="N519" s="17">
        <f t="shared" si="315"/>
        <v>0</v>
      </c>
      <c r="O519" s="17">
        <f t="shared" si="316"/>
        <v>0</v>
      </c>
      <c r="P519" s="17">
        <v>500</v>
      </c>
      <c r="Q519" s="17">
        <f t="shared" si="317"/>
        <v>44.590782974371123</v>
      </c>
      <c r="R519" s="17">
        <f t="shared" si="318"/>
        <v>53.32638941722599</v>
      </c>
      <c r="S519" s="17">
        <f t="shared" si="319"/>
        <v>47.194245424273824</v>
      </c>
      <c r="T519" s="17">
        <f t="shared" si="320"/>
        <v>35.747824934275243</v>
      </c>
      <c r="U519" s="17">
        <f t="shared" si="321"/>
        <v>51.842859052683814</v>
      </c>
      <c r="V519" s="17">
        <f t="shared" si="322"/>
        <v>42.485165476272321</v>
      </c>
      <c r="W519" s="17">
        <f t="shared" si="323"/>
        <v>42.296939438631355</v>
      </c>
      <c r="X519" s="17">
        <f t="shared" si="324"/>
        <v>28.723552731389983</v>
      </c>
      <c r="Y519" s="17">
        <f t="shared" si="325"/>
        <v>42.576926172778734</v>
      </c>
      <c r="Z519" s="17">
        <f t="shared" si="326"/>
        <v>37.079029456517588</v>
      </c>
      <c r="AA519" s="17">
        <f t="shared" si="327"/>
        <v>37.859094596053588</v>
      </c>
      <c r="AB519" s="17">
        <f t="shared" si="328"/>
        <v>36.977779682837813</v>
      </c>
      <c r="AC519" s="17">
        <v>0</v>
      </c>
      <c r="AD519" s="17">
        <f t="shared" si="329"/>
        <v>0</v>
      </c>
      <c r="AE519" s="17">
        <f t="shared" si="330"/>
        <v>0</v>
      </c>
      <c r="AF519" s="17">
        <f t="shared" si="331"/>
        <v>0</v>
      </c>
      <c r="AG519" s="17">
        <f t="shared" si="332"/>
        <v>0</v>
      </c>
      <c r="AH519" s="17">
        <f t="shared" si="333"/>
        <v>0</v>
      </c>
      <c r="AI519" s="17">
        <f t="shared" si="334"/>
        <v>0</v>
      </c>
      <c r="AJ519" s="17">
        <f t="shared" si="335"/>
        <v>0</v>
      </c>
      <c r="AK519" s="17">
        <f t="shared" si="336"/>
        <v>0</v>
      </c>
      <c r="AL519" s="17">
        <f t="shared" si="337"/>
        <v>0</v>
      </c>
      <c r="AM519" s="17">
        <f t="shared" si="338"/>
        <v>0</v>
      </c>
      <c r="AN519" s="17">
        <f t="shared" si="339"/>
        <v>0</v>
      </c>
      <c r="AO519" s="17">
        <f t="shared" si="340"/>
        <v>0</v>
      </c>
      <c r="AP519" s="17">
        <f t="shared" si="341"/>
        <v>500</v>
      </c>
      <c r="AQ519" s="18">
        <v>24.137436731856834</v>
      </c>
      <c r="AR519" s="18">
        <v>28.866107855438603</v>
      </c>
      <c r="AS519" s="18">
        <v>25.546716990613664</v>
      </c>
      <c r="AT519" s="18">
        <v>19.350655115172536</v>
      </c>
      <c r="AU519" s="18">
        <v>28.063058033808279</v>
      </c>
      <c r="AV519" s="18">
        <v>22.997644923960973</v>
      </c>
      <c r="AW519" s="18">
        <v>22.89575628752554</v>
      </c>
      <c r="AX519" s="18">
        <v>15.548346329028714</v>
      </c>
      <c r="AY519" s="18">
        <v>23.04731590658686</v>
      </c>
      <c r="AZ519" s="18">
        <v>20.071249435107536</v>
      </c>
      <c r="BA519" s="18">
        <v>20.493506495789767</v>
      </c>
      <c r="BB519" s="18">
        <v>20.016441920116936</v>
      </c>
      <c r="BC519" s="23">
        <v>8.9181565948742242E-2</v>
      </c>
      <c r="BD519" s="23">
        <v>0.10665277883445198</v>
      </c>
      <c r="BE519" s="23">
        <v>9.438849084854764E-2</v>
      </c>
      <c r="BF519" s="23">
        <v>7.149564986855049E-2</v>
      </c>
      <c r="BG519" s="23">
        <v>0.10368571810536763</v>
      </c>
      <c r="BH519" s="23">
        <v>8.4970330952544637E-2</v>
      </c>
      <c r="BI519" s="23">
        <v>8.4593878877262704E-2</v>
      </c>
      <c r="BJ519" s="23">
        <v>5.7447105462779965E-2</v>
      </c>
      <c r="BK519" s="23">
        <v>8.5153852345557474E-2</v>
      </c>
      <c r="BL519" s="23">
        <v>7.4158058913035174E-2</v>
      </c>
      <c r="BM519" s="23">
        <v>7.5718189192107169E-2</v>
      </c>
      <c r="BN519" s="23">
        <v>7.3955559365675619E-2</v>
      </c>
    </row>
    <row r="520" spans="1:66" x14ac:dyDescent="0.25">
      <c r="A520" s="16">
        <v>1078</v>
      </c>
      <c r="B520" s="16" t="s">
        <v>715</v>
      </c>
      <c r="C520" s="17">
        <v>0</v>
      </c>
      <c r="D520" s="17">
        <f t="shared" si="305"/>
        <v>0</v>
      </c>
      <c r="E520" s="17">
        <f t="shared" si="306"/>
        <v>0</v>
      </c>
      <c r="F520" s="17">
        <f t="shared" si="307"/>
        <v>0</v>
      </c>
      <c r="G520" s="17">
        <f t="shared" si="308"/>
        <v>0</v>
      </c>
      <c r="H520" s="17">
        <f t="shared" si="309"/>
        <v>0</v>
      </c>
      <c r="I520" s="17">
        <f t="shared" si="310"/>
        <v>0</v>
      </c>
      <c r="J520" s="17">
        <f t="shared" si="311"/>
        <v>0</v>
      </c>
      <c r="K520" s="17">
        <f t="shared" si="312"/>
        <v>0</v>
      </c>
      <c r="L520" s="17">
        <f t="shared" si="313"/>
        <v>0</v>
      </c>
      <c r="M520" s="17">
        <f t="shared" si="314"/>
        <v>0</v>
      </c>
      <c r="N520" s="17">
        <f t="shared" si="315"/>
        <v>0</v>
      </c>
      <c r="O520" s="17">
        <f t="shared" si="316"/>
        <v>0</v>
      </c>
      <c r="P520" s="17">
        <v>0</v>
      </c>
      <c r="Q520" s="17">
        <f t="shared" si="317"/>
        <v>0</v>
      </c>
      <c r="R520" s="17">
        <f t="shared" si="318"/>
        <v>0</v>
      </c>
      <c r="S520" s="17">
        <f t="shared" si="319"/>
        <v>0</v>
      </c>
      <c r="T520" s="17">
        <f t="shared" si="320"/>
        <v>0</v>
      </c>
      <c r="U520" s="17">
        <f t="shared" si="321"/>
        <v>0</v>
      </c>
      <c r="V520" s="17">
        <f t="shared" si="322"/>
        <v>0</v>
      </c>
      <c r="W520" s="17">
        <f t="shared" si="323"/>
        <v>0</v>
      </c>
      <c r="X520" s="17">
        <f t="shared" si="324"/>
        <v>0</v>
      </c>
      <c r="Y520" s="17">
        <f t="shared" si="325"/>
        <v>0</v>
      </c>
      <c r="Z520" s="17">
        <f t="shared" si="326"/>
        <v>0</v>
      </c>
      <c r="AA520" s="17">
        <f t="shared" si="327"/>
        <v>0</v>
      </c>
      <c r="AB520" s="17">
        <f t="shared" si="328"/>
        <v>0</v>
      </c>
      <c r="AC520" s="17">
        <v>0</v>
      </c>
      <c r="AD520" s="17">
        <f t="shared" si="329"/>
        <v>0</v>
      </c>
      <c r="AE520" s="17">
        <f t="shared" si="330"/>
        <v>0</v>
      </c>
      <c r="AF520" s="17">
        <f t="shared" si="331"/>
        <v>0</v>
      </c>
      <c r="AG520" s="17">
        <f t="shared" si="332"/>
        <v>0</v>
      </c>
      <c r="AH520" s="17">
        <f t="shared" si="333"/>
        <v>0</v>
      </c>
      <c r="AI520" s="17">
        <f t="shared" si="334"/>
        <v>0</v>
      </c>
      <c r="AJ520" s="17">
        <f t="shared" si="335"/>
        <v>0</v>
      </c>
      <c r="AK520" s="17">
        <f t="shared" si="336"/>
        <v>0</v>
      </c>
      <c r="AL520" s="17">
        <f t="shared" si="337"/>
        <v>0</v>
      </c>
      <c r="AM520" s="17">
        <f t="shared" si="338"/>
        <v>0</v>
      </c>
      <c r="AN520" s="17">
        <f t="shared" si="339"/>
        <v>0</v>
      </c>
      <c r="AO520" s="17">
        <f t="shared" si="340"/>
        <v>0</v>
      </c>
      <c r="AP520" s="17">
        <f t="shared" si="341"/>
        <v>0</v>
      </c>
      <c r="AQ520" s="18">
        <v>4.2035731109939665</v>
      </c>
      <c r="AR520" s="18">
        <v>5.0270787303618949</v>
      </c>
      <c r="AS520" s="18">
        <v>4.4490015161462937</v>
      </c>
      <c r="AT520" s="18">
        <v>3.3699474565541276</v>
      </c>
      <c r="AU520" s="18">
        <v>4.8872263228965034</v>
      </c>
      <c r="AV520" s="18">
        <v>4.0050765494481917</v>
      </c>
      <c r="AW520" s="18">
        <v>3.9873324808797781</v>
      </c>
      <c r="AX520" s="18">
        <v>2.7077693159881338</v>
      </c>
      <c r="AY520" s="18">
        <v>4.0137268303078519</v>
      </c>
      <c r="AZ520" s="18">
        <v>3.4954401068659133</v>
      </c>
      <c r="BA520" s="18">
        <v>3.5689768475699717</v>
      </c>
      <c r="BB520" s="18">
        <v>3.4858952907011207</v>
      </c>
      <c r="BC520" s="23">
        <v>8.9181565948742242E-2</v>
      </c>
      <c r="BD520" s="23">
        <v>0.10665277883445198</v>
      </c>
      <c r="BE520" s="23">
        <v>9.438849084854764E-2</v>
      </c>
      <c r="BF520" s="23">
        <v>7.149564986855049E-2</v>
      </c>
      <c r="BG520" s="23">
        <v>0.10368571810536763</v>
      </c>
      <c r="BH520" s="23">
        <v>8.4970330952544637E-2</v>
      </c>
      <c r="BI520" s="23">
        <v>8.4593878877262704E-2</v>
      </c>
      <c r="BJ520" s="23">
        <v>5.7447105462779965E-2</v>
      </c>
      <c r="BK520" s="23">
        <v>8.5153852345557474E-2</v>
      </c>
      <c r="BL520" s="23">
        <v>7.4158058913035174E-2</v>
      </c>
      <c r="BM520" s="23">
        <v>7.5718189192107169E-2</v>
      </c>
      <c r="BN520" s="23">
        <v>7.3955559365675619E-2</v>
      </c>
    </row>
    <row r="521" spans="1:66" x14ac:dyDescent="0.25">
      <c r="A521" s="16">
        <v>1279</v>
      </c>
      <c r="B521" s="16" t="s">
        <v>716</v>
      </c>
      <c r="C521" s="17">
        <v>0</v>
      </c>
      <c r="D521" s="17">
        <f t="shared" si="305"/>
        <v>0</v>
      </c>
      <c r="E521" s="17">
        <f t="shared" si="306"/>
        <v>0</v>
      </c>
      <c r="F521" s="17">
        <f t="shared" si="307"/>
        <v>0</v>
      </c>
      <c r="G521" s="17">
        <f t="shared" si="308"/>
        <v>0</v>
      </c>
      <c r="H521" s="17">
        <f t="shared" si="309"/>
        <v>0</v>
      </c>
      <c r="I521" s="17">
        <f t="shared" si="310"/>
        <v>0</v>
      </c>
      <c r="J521" s="17">
        <f t="shared" si="311"/>
        <v>0</v>
      </c>
      <c r="K521" s="17">
        <f t="shared" si="312"/>
        <v>0</v>
      </c>
      <c r="L521" s="17">
        <f t="shared" si="313"/>
        <v>0</v>
      </c>
      <c r="M521" s="17">
        <f t="shared" si="314"/>
        <v>0</v>
      </c>
      <c r="N521" s="17">
        <f t="shared" si="315"/>
        <v>0</v>
      </c>
      <c r="O521" s="17">
        <f t="shared" si="316"/>
        <v>0</v>
      </c>
      <c r="P521" s="17">
        <v>0</v>
      </c>
      <c r="Q521" s="17">
        <f t="shared" si="317"/>
        <v>0</v>
      </c>
      <c r="R521" s="17">
        <f t="shared" si="318"/>
        <v>0</v>
      </c>
      <c r="S521" s="17">
        <f t="shared" si="319"/>
        <v>0</v>
      </c>
      <c r="T521" s="17">
        <f t="shared" si="320"/>
        <v>0</v>
      </c>
      <c r="U521" s="17">
        <f t="shared" si="321"/>
        <v>0</v>
      </c>
      <c r="V521" s="17">
        <f t="shared" si="322"/>
        <v>0</v>
      </c>
      <c r="W521" s="17">
        <f t="shared" si="323"/>
        <v>0</v>
      </c>
      <c r="X521" s="17">
        <f t="shared" si="324"/>
        <v>0</v>
      </c>
      <c r="Y521" s="17">
        <f t="shared" si="325"/>
        <v>0</v>
      </c>
      <c r="Z521" s="17">
        <f t="shared" si="326"/>
        <v>0</v>
      </c>
      <c r="AA521" s="17">
        <f t="shared" si="327"/>
        <v>0</v>
      </c>
      <c r="AB521" s="17">
        <f t="shared" si="328"/>
        <v>0</v>
      </c>
      <c r="AC521" s="17">
        <v>0</v>
      </c>
      <c r="AD521" s="17">
        <f t="shared" si="329"/>
        <v>0</v>
      </c>
      <c r="AE521" s="17">
        <f t="shared" si="330"/>
        <v>0</v>
      </c>
      <c r="AF521" s="17">
        <f t="shared" si="331"/>
        <v>0</v>
      </c>
      <c r="AG521" s="17">
        <f t="shared" si="332"/>
        <v>0</v>
      </c>
      <c r="AH521" s="17">
        <f t="shared" si="333"/>
        <v>0</v>
      </c>
      <c r="AI521" s="17">
        <f t="shared" si="334"/>
        <v>0</v>
      </c>
      <c r="AJ521" s="17">
        <f t="shared" si="335"/>
        <v>0</v>
      </c>
      <c r="AK521" s="17">
        <f t="shared" si="336"/>
        <v>0</v>
      </c>
      <c r="AL521" s="17">
        <f t="shared" si="337"/>
        <v>0</v>
      </c>
      <c r="AM521" s="17">
        <f t="shared" si="338"/>
        <v>0</v>
      </c>
      <c r="AN521" s="17">
        <f t="shared" si="339"/>
        <v>0</v>
      </c>
      <c r="AO521" s="17">
        <f t="shared" si="340"/>
        <v>0</v>
      </c>
      <c r="AP521" s="17">
        <f t="shared" si="341"/>
        <v>0</v>
      </c>
      <c r="AQ521" s="18">
        <v>0</v>
      </c>
      <c r="AR521" s="18">
        <v>0</v>
      </c>
      <c r="AS521" s="18">
        <v>0</v>
      </c>
      <c r="AT521" s="18">
        <v>0</v>
      </c>
      <c r="AU521" s="18">
        <v>0</v>
      </c>
      <c r="AV521" s="18">
        <v>0</v>
      </c>
      <c r="AW521" s="18">
        <v>0</v>
      </c>
      <c r="AX521" s="18">
        <v>0</v>
      </c>
      <c r="AY521" s="18">
        <v>0</v>
      </c>
      <c r="AZ521" s="18">
        <v>0</v>
      </c>
      <c r="BA521" s="18">
        <v>0</v>
      </c>
      <c r="BB521" s="18">
        <v>0</v>
      </c>
      <c r="BC521" s="23">
        <v>8.9181565948742242E-2</v>
      </c>
      <c r="BD521" s="23">
        <v>0.10665277883445198</v>
      </c>
      <c r="BE521" s="23">
        <v>9.438849084854764E-2</v>
      </c>
      <c r="BF521" s="23">
        <v>7.149564986855049E-2</v>
      </c>
      <c r="BG521" s="23">
        <v>0.10368571810536763</v>
      </c>
      <c r="BH521" s="23">
        <v>8.4970330952544637E-2</v>
      </c>
      <c r="BI521" s="23">
        <v>8.4593878877262704E-2</v>
      </c>
      <c r="BJ521" s="23">
        <v>5.7447105462779965E-2</v>
      </c>
      <c r="BK521" s="23">
        <v>8.5153852345557474E-2</v>
      </c>
      <c r="BL521" s="23">
        <v>7.4158058913035174E-2</v>
      </c>
      <c r="BM521" s="23">
        <v>7.5718189192107169E-2</v>
      </c>
      <c r="BN521" s="23">
        <v>7.3955559365675619E-2</v>
      </c>
    </row>
    <row r="522" spans="1:66" x14ac:dyDescent="0.25">
      <c r="A522" s="16">
        <v>1312</v>
      </c>
      <c r="B522" s="16" t="s">
        <v>717</v>
      </c>
      <c r="C522" s="17">
        <v>0</v>
      </c>
      <c r="D522" s="17">
        <f t="shared" si="305"/>
        <v>0</v>
      </c>
      <c r="E522" s="17">
        <f t="shared" si="306"/>
        <v>0</v>
      </c>
      <c r="F522" s="17">
        <f t="shared" si="307"/>
        <v>0</v>
      </c>
      <c r="G522" s="17">
        <f t="shared" si="308"/>
        <v>0</v>
      </c>
      <c r="H522" s="17">
        <f t="shared" si="309"/>
        <v>0</v>
      </c>
      <c r="I522" s="17">
        <f t="shared" si="310"/>
        <v>0</v>
      </c>
      <c r="J522" s="17">
        <f t="shared" si="311"/>
        <v>0</v>
      </c>
      <c r="K522" s="17">
        <f t="shared" si="312"/>
        <v>0</v>
      </c>
      <c r="L522" s="17">
        <f t="shared" si="313"/>
        <v>0</v>
      </c>
      <c r="M522" s="17">
        <f t="shared" si="314"/>
        <v>0</v>
      </c>
      <c r="N522" s="17">
        <f t="shared" si="315"/>
        <v>0</v>
      </c>
      <c r="O522" s="17">
        <f t="shared" si="316"/>
        <v>0</v>
      </c>
      <c r="P522" s="17">
        <v>0</v>
      </c>
      <c r="Q522" s="17">
        <f t="shared" si="317"/>
        <v>0</v>
      </c>
      <c r="R522" s="17">
        <f t="shared" si="318"/>
        <v>0</v>
      </c>
      <c r="S522" s="17">
        <f t="shared" si="319"/>
        <v>0</v>
      </c>
      <c r="T522" s="17">
        <f t="shared" si="320"/>
        <v>0</v>
      </c>
      <c r="U522" s="17">
        <f t="shared" si="321"/>
        <v>0</v>
      </c>
      <c r="V522" s="17">
        <f t="shared" si="322"/>
        <v>0</v>
      </c>
      <c r="W522" s="17">
        <f t="shared" si="323"/>
        <v>0</v>
      </c>
      <c r="X522" s="17">
        <f t="shared" si="324"/>
        <v>0</v>
      </c>
      <c r="Y522" s="17">
        <f t="shared" si="325"/>
        <v>0</v>
      </c>
      <c r="Z522" s="17">
        <f t="shared" si="326"/>
        <v>0</v>
      </c>
      <c r="AA522" s="17">
        <f t="shared" si="327"/>
        <v>0</v>
      </c>
      <c r="AB522" s="17">
        <f t="shared" si="328"/>
        <v>0</v>
      </c>
      <c r="AC522" s="17">
        <v>0</v>
      </c>
      <c r="AD522" s="17">
        <f t="shared" si="329"/>
        <v>0</v>
      </c>
      <c r="AE522" s="17">
        <f t="shared" si="330"/>
        <v>0</v>
      </c>
      <c r="AF522" s="17">
        <f t="shared" si="331"/>
        <v>0</v>
      </c>
      <c r="AG522" s="17">
        <f t="shared" si="332"/>
        <v>0</v>
      </c>
      <c r="AH522" s="17">
        <f t="shared" si="333"/>
        <v>0</v>
      </c>
      <c r="AI522" s="17">
        <f t="shared" si="334"/>
        <v>0</v>
      </c>
      <c r="AJ522" s="17">
        <f t="shared" si="335"/>
        <v>0</v>
      </c>
      <c r="AK522" s="17">
        <f t="shared" si="336"/>
        <v>0</v>
      </c>
      <c r="AL522" s="17">
        <f t="shared" si="337"/>
        <v>0</v>
      </c>
      <c r="AM522" s="17">
        <f t="shared" si="338"/>
        <v>0</v>
      </c>
      <c r="AN522" s="17">
        <f t="shared" si="339"/>
        <v>0</v>
      </c>
      <c r="AO522" s="17">
        <f t="shared" si="340"/>
        <v>0</v>
      </c>
      <c r="AP522" s="17">
        <f t="shared" si="341"/>
        <v>0</v>
      </c>
      <c r="AQ522" s="18">
        <v>0</v>
      </c>
      <c r="AR522" s="18">
        <v>0</v>
      </c>
      <c r="AS522" s="18">
        <v>0</v>
      </c>
      <c r="AT522" s="18">
        <v>0</v>
      </c>
      <c r="AU522" s="18">
        <v>0</v>
      </c>
      <c r="AV522" s="18">
        <v>0</v>
      </c>
      <c r="AW522" s="18">
        <v>0</v>
      </c>
      <c r="AX522" s="18">
        <v>0</v>
      </c>
      <c r="AY522" s="18">
        <v>0</v>
      </c>
      <c r="AZ522" s="18">
        <v>0</v>
      </c>
      <c r="BA522" s="18">
        <v>0</v>
      </c>
      <c r="BB522" s="18">
        <v>0</v>
      </c>
      <c r="BC522" s="23">
        <v>8.9181565948742242E-2</v>
      </c>
      <c r="BD522" s="23">
        <v>0.10665277883445198</v>
      </c>
      <c r="BE522" s="23">
        <v>9.438849084854764E-2</v>
      </c>
      <c r="BF522" s="23">
        <v>7.149564986855049E-2</v>
      </c>
      <c r="BG522" s="23">
        <v>0.10368571810536763</v>
      </c>
      <c r="BH522" s="23">
        <v>8.4970330952544637E-2</v>
      </c>
      <c r="BI522" s="23">
        <v>8.4593878877262704E-2</v>
      </c>
      <c r="BJ522" s="23">
        <v>5.7447105462779965E-2</v>
      </c>
      <c r="BK522" s="23">
        <v>8.5153852345557474E-2</v>
      </c>
      <c r="BL522" s="23">
        <v>7.4158058913035174E-2</v>
      </c>
      <c r="BM522" s="23">
        <v>7.5718189192107169E-2</v>
      </c>
      <c r="BN522" s="23">
        <v>7.3955559365675619E-2</v>
      </c>
    </row>
    <row r="523" spans="1:66" x14ac:dyDescent="0.25">
      <c r="A523" s="16">
        <v>1317</v>
      </c>
      <c r="B523" s="16" t="s">
        <v>718</v>
      </c>
      <c r="C523" s="17">
        <v>0</v>
      </c>
      <c r="D523" s="17">
        <f t="shared" si="305"/>
        <v>0</v>
      </c>
      <c r="E523" s="17">
        <f t="shared" si="306"/>
        <v>0</v>
      </c>
      <c r="F523" s="17">
        <f t="shared" si="307"/>
        <v>0</v>
      </c>
      <c r="G523" s="17">
        <f t="shared" si="308"/>
        <v>0</v>
      </c>
      <c r="H523" s="17">
        <f t="shared" si="309"/>
        <v>0</v>
      </c>
      <c r="I523" s="17">
        <f t="shared" si="310"/>
        <v>0</v>
      </c>
      <c r="J523" s="17">
        <f t="shared" si="311"/>
        <v>0</v>
      </c>
      <c r="K523" s="17">
        <f t="shared" si="312"/>
        <v>0</v>
      </c>
      <c r="L523" s="17">
        <f t="shared" si="313"/>
        <v>0</v>
      </c>
      <c r="M523" s="17">
        <f t="shared" si="314"/>
        <v>0</v>
      </c>
      <c r="N523" s="17">
        <f t="shared" si="315"/>
        <v>0</v>
      </c>
      <c r="O523" s="17">
        <f t="shared" si="316"/>
        <v>0</v>
      </c>
      <c r="P523" s="17">
        <v>0</v>
      </c>
      <c r="Q523" s="17">
        <f t="shared" si="317"/>
        <v>0</v>
      </c>
      <c r="R523" s="17">
        <f t="shared" si="318"/>
        <v>0</v>
      </c>
      <c r="S523" s="17">
        <f t="shared" si="319"/>
        <v>0</v>
      </c>
      <c r="T523" s="17">
        <f t="shared" si="320"/>
        <v>0</v>
      </c>
      <c r="U523" s="17">
        <f t="shared" si="321"/>
        <v>0</v>
      </c>
      <c r="V523" s="17">
        <f t="shared" si="322"/>
        <v>0</v>
      </c>
      <c r="W523" s="17">
        <f t="shared" si="323"/>
        <v>0</v>
      </c>
      <c r="X523" s="17">
        <f t="shared" si="324"/>
        <v>0</v>
      </c>
      <c r="Y523" s="17">
        <f t="shared" si="325"/>
        <v>0</v>
      </c>
      <c r="Z523" s="17">
        <f t="shared" si="326"/>
        <v>0</v>
      </c>
      <c r="AA523" s="17">
        <f t="shared" si="327"/>
        <v>0</v>
      </c>
      <c r="AB523" s="17">
        <f t="shared" si="328"/>
        <v>0</v>
      </c>
      <c r="AC523" s="17">
        <v>0</v>
      </c>
      <c r="AD523" s="17">
        <f t="shared" si="329"/>
        <v>0</v>
      </c>
      <c r="AE523" s="17">
        <f t="shared" si="330"/>
        <v>0</v>
      </c>
      <c r="AF523" s="17">
        <f t="shared" si="331"/>
        <v>0</v>
      </c>
      <c r="AG523" s="17">
        <f t="shared" si="332"/>
        <v>0</v>
      </c>
      <c r="AH523" s="17">
        <f t="shared" si="333"/>
        <v>0</v>
      </c>
      <c r="AI523" s="17">
        <f t="shared" si="334"/>
        <v>0</v>
      </c>
      <c r="AJ523" s="17">
        <f t="shared" si="335"/>
        <v>0</v>
      </c>
      <c r="AK523" s="17">
        <f t="shared" si="336"/>
        <v>0</v>
      </c>
      <c r="AL523" s="17">
        <f t="shared" si="337"/>
        <v>0</v>
      </c>
      <c r="AM523" s="17">
        <f t="shared" si="338"/>
        <v>0</v>
      </c>
      <c r="AN523" s="17">
        <f t="shared" si="339"/>
        <v>0</v>
      </c>
      <c r="AO523" s="17">
        <f t="shared" si="340"/>
        <v>0</v>
      </c>
      <c r="AP523" s="17">
        <f t="shared" si="341"/>
        <v>0</v>
      </c>
      <c r="AQ523" s="18">
        <v>0</v>
      </c>
      <c r="AR523" s="18">
        <v>0</v>
      </c>
      <c r="AS523" s="18">
        <v>0</v>
      </c>
      <c r="AT523" s="18">
        <v>0</v>
      </c>
      <c r="AU523" s="18">
        <v>0</v>
      </c>
      <c r="AV523" s="18">
        <v>0</v>
      </c>
      <c r="AW523" s="18">
        <v>0</v>
      </c>
      <c r="AX523" s="18">
        <v>0</v>
      </c>
      <c r="AY523" s="18">
        <v>0</v>
      </c>
      <c r="AZ523" s="18">
        <v>0</v>
      </c>
      <c r="BA523" s="18">
        <v>0</v>
      </c>
      <c r="BB523" s="18">
        <v>0</v>
      </c>
      <c r="BC523" s="23">
        <v>8.9181565948742242E-2</v>
      </c>
      <c r="BD523" s="23">
        <v>0.10665277883445198</v>
      </c>
      <c r="BE523" s="23">
        <v>9.438849084854764E-2</v>
      </c>
      <c r="BF523" s="23">
        <v>7.149564986855049E-2</v>
      </c>
      <c r="BG523" s="23">
        <v>0.10368571810536763</v>
      </c>
      <c r="BH523" s="23">
        <v>8.4970330952544637E-2</v>
      </c>
      <c r="BI523" s="23">
        <v>8.4593878877262704E-2</v>
      </c>
      <c r="BJ523" s="23">
        <v>5.7447105462779965E-2</v>
      </c>
      <c r="BK523" s="23">
        <v>8.5153852345557474E-2</v>
      </c>
      <c r="BL523" s="23">
        <v>7.4158058913035174E-2</v>
      </c>
      <c r="BM523" s="23">
        <v>7.5718189192107169E-2</v>
      </c>
      <c r="BN523" s="23">
        <v>7.3955559365675619E-2</v>
      </c>
    </row>
    <row r="524" spans="1:66" x14ac:dyDescent="0.25">
      <c r="A524" s="16">
        <v>1318</v>
      </c>
      <c r="B524" s="16" t="s">
        <v>719</v>
      </c>
      <c r="C524" s="17">
        <v>0</v>
      </c>
      <c r="D524" s="17">
        <f t="shared" si="305"/>
        <v>0</v>
      </c>
      <c r="E524" s="17">
        <f t="shared" si="306"/>
        <v>0</v>
      </c>
      <c r="F524" s="17">
        <f t="shared" si="307"/>
        <v>0</v>
      </c>
      <c r="G524" s="17">
        <f t="shared" si="308"/>
        <v>0</v>
      </c>
      <c r="H524" s="17">
        <f t="shared" si="309"/>
        <v>0</v>
      </c>
      <c r="I524" s="17">
        <f t="shared" si="310"/>
        <v>0</v>
      </c>
      <c r="J524" s="17">
        <f t="shared" si="311"/>
        <v>0</v>
      </c>
      <c r="K524" s="17">
        <f t="shared" si="312"/>
        <v>0</v>
      </c>
      <c r="L524" s="17">
        <f t="shared" si="313"/>
        <v>0</v>
      </c>
      <c r="M524" s="17">
        <f t="shared" si="314"/>
        <v>0</v>
      </c>
      <c r="N524" s="17">
        <f t="shared" si="315"/>
        <v>0</v>
      </c>
      <c r="O524" s="17">
        <f t="shared" si="316"/>
        <v>0</v>
      </c>
      <c r="P524" s="17">
        <v>0</v>
      </c>
      <c r="Q524" s="17">
        <f t="shared" si="317"/>
        <v>0</v>
      </c>
      <c r="R524" s="17">
        <f t="shared" si="318"/>
        <v>0</v>
      </c>
      <c r="S524" s="17">
        <f t="shared" si="319"/>
        <v>0</v>
      </c>
      <c r="T524" s="17">
        <f t="shared" si="320"/>
        <v>0</v>
      </c>
      <c r="U524" s="17">
        <f t="shared" si="321"/>
        <v>0</v>
      </c>
      <c r="V524" s="17">
        <f t="shared" si="322"/>
        <v>0</v>
      </c>
      <c r="W524" s="17">
        <f t="shared" si="323"/>
        <v>0</v>
      </c>
      <c r="X524" s="17">
        <f t="shared" si="324"/>
        <v>0</v>
      </c>
      <c r="Y524" s="17">
        <f t="shared" si="325"/>
        <v>0</v>
      </c>
      <c r="Z524" s="17">
        <f t="shared" si="326"/>
        <v>0</v>
      </c>
      <c r="AA524" s="17">
        <f t="shared" si="327"/>
        <v>0</v>
      </c>
      <c r="AB524" s="17">
        <f t="shared" si="328"/>
        <v>0</v>
      </c>
      <c r="AC524" s="17">
        <v>0</v>
      </c>
      <c r="AD524" s="17">
        <f t="shared" si="329"/>
        <v>0</v>
      </c>
      <c r="AE524" s="17">
        <f t="shared" si="330"/>
        <v>0</v>
      </c>
      <c r="AF524" s="17">
        <f t="shared" si="331"/>
        <v>0</v>
      </c>
      <c r="AG524" s="17">
        <f t="shared" si="332"/>
        <v>0</v>
      </c>
      <c r="AH524" s="17">
        <f t="shared" si="333"/>
        <v>0</v>
      </c>
      <c r="AI524" s="17">
        <f t="shared" si="334"/>
        <v>0</v>
      </c>
      <c r="AJ524" s="17">
        <f t="shared" si="335"/>
        <v>0</v>
      </c>
      <c r="AK524" s="17">
        <f t="shared" si="336"/>
        <v>0</v>
      </c>
      <c r="AL524" s="17">
        <f t="shared" si="337"/>
        <v>0</v>
      </c>
      <c r="AM524" s="17">
        <f t="shared" si="338"/>
        <v>0</v>
      </c>
      <c r="AN524" s="17">
        <f t="shared" si="339"/>
        <v>0</v>
      </c>
      <c r="AO524" s="17">
        <f t="shared" si="340"/>
        <v>0</v>
      </c>
      <c r="AP524" s="17">
        <f t="shared" si="341"/>
        <v>0</v>
      </c>
      <c r="AQ524" s="18">
        <v>15.00925754917332</v>
      </c>
      <c r="AR524" s="18">
        <v>17.949662677838269</v>
      </c>
      <c r="AS524" s="18">
        <v>15.885583009810569</v>
      </c>
      <c r="AT524" s="18">
        <v>12.032717872877049</v>
      </c>
      <c r="AU524" s="18">
        <v>17.450306357133371</v>
      </c>
      <c r="AV524" s="18">
        <v>14.300506699313264</v>
      </c>
      <c r="AW524" s="18">
        <v>14.237149815043313</v>
      </c>
      <c r="AX524" s="18">
        <v>9.668347849385869</v>
      </c>
      <c r="AY524" s="18">
        <v>14.331393349757324</v>
      </c>
      <c r="AZ524" s="18">
        <v>12.48080131506382</v>
      </c>
      <c r="BA524" s="18">
        <v>12.743371241031637</v>
      </c>
      <c r="BB524" s="18">
        <v>12.446720641243207</v>
      </c>
      <c r="BC524" s="23">
        <v>8.9181565948742242E-2</v>
      </c>
      <c r="BD524" s="23">
        <v>0.10665277883445198</v>
      </c>
      <c r="BE524" s="23">
        <v>9.438849084854764E-2</v>
      </c>
      <c r="BF524" s="23">
        <v>7.149564986855049E-2</v>
      </c>
      <c r="BG524" s="23">
        <v>0.10368571810536763</v>
      </c>
      <c r="BH524" s="23">
        <v>8.4970330952544637E-2</v>
      </c>
      <c r="BI524" s="23">
        <v>8.4593878877262704E-2</v>
      </c>
      <c r="BJ524" s="23">
        <v>5.7447105462779965E-2</v>
      </c>
      <c r="BK524" s="23">
        <v>8.5153852345557474E-2</v>
      </c>
      <c r="BL524" s="23">
        <v>7.4158058913035174E-2</v>
      </c>
      <c r="BM524" s="23">
        <v>7.5718189192107169E-2</v>
      </c>
      <c r="BN524" s="23">
        <v>7.3955559365675619E-2</v>
      </c>
    </row>
    <row r="525" spans="1:66" x14ac:dyDescent="0.25">
      <c r="A525" s="16">
        <v>1330</v>
      </c>
      <c r="B525" s="16" t="s">
        <v>720</v>
      </c>
      <c r="C525" s="17">
        <v>0</v>
      </c>
      <c r="D525" s="17">
        <f t="shared" si="305"/>
        <v>0</v>
      </c>
      <c r="E525" s="17">
        <f t="shared" si="306"/>
        <v>0</v>
      </c>
      <c r="F525" s="17">
        <f t="shared" si="307"/>
        <v>0</v>
      </c>
      <c r="G525" s="17">
        <f t="shared" si="308"/>
        <v>0</v>
      </c>
      <c r="H525" s="17">
        <f t="shared" si="309"/>
        <v>0</v>
      </c>
      <c r="I525" s="17">
        <f t="shared" si="310"/>
        <v>0</v>
      </c>
      <c r="J525" s="17">
        <f t="shared" si="311"/>
        <v>0</v>
      </c>
      <c r="K525" s="17">
        <f t="shared" si="312"/>
        <v>0</v>
      </c>
      <c r="L525" s="17">
        <f t="shared" si="313"/>
        <v>0</v>
      </c>
      <c r="M525" s="17">
        <f t="shared" si="314"/>
        <v>0</v>
      </c>
      <c r="N525" s="17">
        <f t="shared" si="315"/>
        <v>0</v>
      </c>
      <c r="O525" s="17">
        <f t="shared" si="316"/>
        <v>0</v>
      </c>
      <c r="P525" s="17">
        <v>4000</v>
      </c>
      <c r="Q525" s="17">
        <f t="shared" si="317"/>
        <v>356.72626379496899</v>
      </c>
      <c r="R525" s="17">
        <f t="shared" si="318"/>
        <v>426.61111533780792</v>
      </c>
      <c r="S525" s="17">
        <f t="shared" si="319"/>
        <v>377.55396339419059</v>
      </c>
      <c r="T525" s="17">
        <f t="shared" si="320"/>
        <v>285.98259947420195</v>
      </c>
      <c r="U525" s="17">
        <f t="shared" si="321"/>
        <v>414.74287242147051</v>
      </c>
      <c r="V525" s="17">
        <f t="shared" si="322"/>
        <v>339.88132381017857</v>
      </c>
      <c r="W525" s="17">
        <f t="shared" si="323"/>
        <v>338.37551550905084</v>
      </c>
      <c r="X525" s="17">
        <f t="shared" si="324"/>
        <v>229.78842185111986</v>
      </c>
      <c r="Y525" s="17">
        <f t="shared" si="325"/>
        <v>340.61540938222987</v>
      </c>
      <c r="Z525" s="17">
        <f t="shared" si="326"/>
        <v>296.63223565214071</v>
      </c>
      <c r="AA525" s="17">
        <f t="shared" si="327"/>
        <v>302.8727567684287</v>
      </c>
      <c r="AB525" s="17">
        <f t="shared" si="328"/>
        <v>295.8222374627025</v>
      </c>
      <c r="AC525" s="17">
        <v>0</v>
      </c>
      <c r="AD525" s="17">
        <f t="shared" si="329"/>
        <v>0</v>
      </c>
      <c r="AE525" s="17">
        <f t="shared" si="330"/>
        <v>0</v>
      </c>
      <c r="AF525" s="17">
        <f t="shared" si="331"/>
        <v>0</v>
      </c>
      <c r="AG525" s="17">
        <f t="shared" si="332"/>
        <v>0</v>
      </c>
      <c r="AH525" s="17">
        <f t="shared" si="333"/>
        <v>0</v>
      </c>
      <c r="AI525" s="17">
        <f t="shared" si="334"/>
        <v>0</v>
      </c>
      <c r="AJ525" s="17">
        <f t="shared" si="335"/>
        <v>0</v>
      </c>
      <c r="AK525" s="17">
        <f t="shared" si="336"/>
        <v>0</v>
      </c>
      <c r="AL525" s="17">
        <f t="shared" si="337"/>
        <v>0</v>
      </c>
      <c r="AM525" s="17">
        <f t="shared" si="338"/>
        <v>0</v>
      </c>
      <c r="AN525" s="17">
        <f t="shared" si="339"/>
        <v>0</v>
      </c>
      <c r="AO525" s="17">
        <f t="shared" si="340"/>
        <v>0</v>
      </c>
      <c r="AP525" s="17">
        <f t="shared" si="341"/>
        <v>4000</v>
      </c>
      <c r="AQ525" s="18">
        <v>0</v>
      </c>
      <c r="AR525" s="18">
        <v>0</v>
      </c>
      <c r="AS525" s="18">
        <v>0</v>
      </c>
      <c r="AT525" s="18">
        <v>0</v>
      </c>
      <c r="AU525" s="18">
        <v>0</v>
      </c>
      <c r="AV525" s="18">
        <v>0</v>
      </c>
      <c r="AW525" s="18">
        <v>0</v>
      </c>
      <c r="AX525" s="18">
        <v>0</v>
      </c>
      <c r="AY525" s="18">
        <v>0</v>
      </c>
      <c r="AZ525" s="18">
        <v>0</v>
      </c>
      <c r="BA525" s="18">
        <v>0</v>
      </c>
      <c r="BB525" s="18">
        <v>0</v>
      </c>
      <c r="BC525" s="23">
        <v>8.9181565948742242E-2</v>
      </c>
      <c r="BD525" s="23">
        <v>0.10665277883445198</v>
      </c>
      <c r="BE525" s="23">
        <v>9.438849084854764E-2</v>
      </c>
      <c r="BF525" s="23">
        <v>7.149564986855049E-2</v>
      </c>
      <c r="BG525" s="23">
        <v>0.10368571810536763</v>
      </c>
      <c r="BH525" s="23">
        <v>8.4970330952544637E-2</v>
      </c>
      <c r="BI525" s="23">
        <v>8.4593878877262704E-2</v>
      </c>
      <c r="BJ525" s="23">
        <v>5.7447105462779965E-2</v>
      </c>
      <c r="BK525" s="23">
        <v>8.5153852345557474E-2</v>
      </c>
      <c r="BL525" s="23">
        <v>7.4158058913035174E-2</v>
      </c>
      <c r="BM525" s="23">
        <v>7.5718189192107169E-2</v>
      </c>
      <c r="BN525" s="23">
        <v>7.3955559365675619E-2</v>
      </c>
    </row>
    <row r="526" spans="1:66" x14ac:dyDescent="0.25">
      <c r="A526" s="16">
        <v>1372</v>
      </c>
      <c r="B526" s="16" t="s">
        <v>721</v>
      </c>
      <c r="C526" s="17">
        <v>0</v>
      </c>
      <c r="D526" s="17">
        <f t="shared" si="305"/>
        <v>0</v>
      </c>
      <c r="E526" s="17">
        <f t="shared" si="306"/>
        <v>0</v>
      </c>
      <c r="F526" s="17">
        <f t="shared" si="307"/>
        <v>0</v>
      </c>
      <c r="G526" s="17">
        <f t="shared" si="308"/>
        <v>0</v>
      </c>
      <c r="H526" s="17">
        <f t="shared" si="309"/>
        <v>0</v>
      </c>
      <c r="I526" s="17">
        <f t="shared" si="310"/>
        <v>0</v>
      </c>
      <c r="J526" s="17">
        <f t="shared" si="311"/>
        <v>0</v>
      </c>
      <c r="K526" s="17">
        <f t="shared" si="312"/>
        <v>0</v>
      </c>
      <c r="L526" s="17">
        <f t="shared" si="313"/>
        <v>0</v>
      </c>
      <c r="M526" s="17">
        <f t="shared" si="314"/>
        <v>0</v>
      </c>
      <c r="N526" s="17">
        <f t="shared" si="315"/>
        <v>0</v>
      </c>
      <c r="O526" s="17">
        <f t="shared" si="316"/>
        <v>0</v>
      </c>
      <c r="P526" s="17">
        <v>0</v>
      </c>
      <c r="Q526" s="17">
        <f t="shared" si="317"/>
        <v>0</v>
      </c>
      <c r="R526" s="17">
        <f t="shared" si="318"/>
        <v>0</v>
      </c>
      <c r="S526" s="17">
        <f t="shared" si="319"/>
        <v>0</v>
      </c>
      <c r="T526" s="17">
        <f t="shared" si="320"/>
        <v>0</v>
      </c>
      <c r="U526" s="17">
        <f t="shared" si="321"/>
        <v>0</v>
      </c>
      <c r="V526" s="17">
        <f t="shared" si="322"/>
        <v>0</v>
      </c>
      <c r="W526" s="17">
        <f t="shared" si="323"/>
        <v>0</v>
      </c>
      <c r="X526" s="17">
        <f t="shared" si="324"/>
        <v>0</v>
      </c>
      <c r="Y526" s="17">
        <f t="shared" si="325"/>
        <v>0</v>
      </c>
      <c r="Z526" s="17">
        <f t="shared" si="326"/>
        <v>0</v>
      </c>
      <c r="AA526" s="17">
        <f t="shared" si="327"/>
        <v>0</v>
      </c>
      <c r="AB526" s="17">
        <f t="shared" si="328"/>
        <v>0</v>
      </c>
      <c r="AC526" s="17">
        <v>0</v>
      </c>
      <c r="AD526" s="17">
        <f t="shared" si="329"/>
        <v>0</v>
      </c>
      <c r="AE526" s="17">
        <f t="shared" si="330"/>
        <v>0</v>
      </c>
      <c r="AF526" s="17">
        <f t="shared" si="331"/>
        <v>0</v>
      </c>
      <c r="AG526" s="17">
        <f t="shared" si="332"/>
        <v>0</v>
      </c>
      <c r="AH526" s="17">
        <f t="shared" si="333"/>
        <v>0</v>
      </c>
      <c r="AI526" s="17">
        <f t="shared" si="334"/>
        <v>0</v>
      </c>
      <c r="AJ526" s="17">
        <f t="shared" si="335"/>
        <v>0</v>
      </c>
      <c r="AK526" s="17">
        <f t="shared" si="336"/>
        <v>0</v>
      </c>
      <c r="AL526" s="17">
        <f t="shared" si="337"/>
        <v>0</v>
      </c>
      <c r="AM526" s="17">
        <f t="shared" si="338"/>
        <v>0</v>
      </c>
      <c r="AN526" s="17">
        <f t="shared" si="339"/>
        <v>0</v>
      </c>
      <c r="AO526" s="17">
        <f t="shared" si="340"/>
        <v>0</v>
      </c>
      <c r="AP526" s="17">
        <f t="shared" si="341"/>
        <v>0</v>
      </c>
      <c r="AQ526" s="18">
        <v>0</v>
      </c>
      <c r="AR526" s="18">
        <v>0</v>
      </c>
      <c r="AS526" s="18">
        <v>0</v>
      </c>
      <c r="AT526" s="18">
        <v>0</v>
      </c>
      <c r="AU526" s="18">
        <v>0</v>
      </c>
      <c r="AV526" s="18">
        <v>0</v>
      </c>
      <c r="AW526" s="18">
        <v>0</v>
      </c>
      <c r="AX526" s="18">
        <v>0</v>
      </c>
      <c r="AY526" s="18">
        <v>0</v>
      </c>
      <c r="AZ526" s="18">
        <v>0</v>
      </c>
      <c r="BA526" s="18">
        <v>0</v>
      </c>
      <c r="BB526" s="18">
        <v>0</v>
      </c>
      <c r="BC526" s="23">
        <v>8.9181565948742242E-2</v>
      </c>
      <c r="BD526" s="23">
        <v>0.10665277883445198</v>
      </c>
      <c r="BE526" s="23">
        <v>9.438849084854764E-2</v>
      </c>
      <c r="BF526" s="23">
        <v>7.149564986855049E-2</v>
      </c>
      <c r="BG526" s="23">
        <v>0.10368571810536763</v>
      </c>
      <c r="BH526" s="23">
        <v>8.4970330952544637E-2</v>
      </c>
      <c r="BI526" s="23">
        <v>8.4593878877262704E-2</v>
      </c>
      <c r="BJ526" s="23">
        <v>5.7447105462779965E-2</v>
      </c>
      <c r="BK526" s="23">
        <v>8.5153852345557474E-2</v>
      </c>
      <c r="BL526" s="23">
        <v>7.4158058913035174E-2</v>
      </c>
      <c r="BM526" s="23">
        <v>7.5718189192107169E-2</v>
      </c>
      <c r="BN526" s="23">
        <v>7.3955559365675619E-2</v>
      </c>
    </row>
    <row r="527" spans="1:66" x14ac:dyDescent="0.25">
      <c r="A527" s="16">
        <v>1639</v>
      </c>
      <c r="B527" s="16" t="s">
        <v>722</v>
      </c>
      <c r="C527" s="17">
        <v>0</v>
      </c>
      <c r="D527" s="17">
        <f t="shared" si="305"/>
        <v>0</v>
      </c>
      <c r="E527" s="17">
        <f t="shared" si="306"/>
        <v>0</v>
      </c>
      <c r="F527" s="17">
        <f t="shared" si="307"/>
        <v>0</v>
      </c>
      <c r="G527" s="17">
        <f t="shared" si="308"/>
        <v>0</v>
      </c>
      <c r="H527" s="17">
        <f t="shared" si="309"/>
        <v>0</v>
      </c>
      <c r="I527" s="17">
        <f t="shared" si="310"/>
        <v>0</v>
      </c>
      <c r="J527" s="17">
        <f t="shared" si="311"/>
        <v>0</v>
      </c>
      <c r="K527" s="17">
        <f t="shared" si="312"/>
        <v>0</v>
      </c>
      <c r="L527" s="17">
        <f t="shared" si="313"/>
        <v>0</v>
      </c>
      <c r="M527" s="17">
        <f t="shared" si="314"/>
        <v>0</v>
      </c>
      <c r="N527" s="17">
        <f t="shared" si="315"/>
        <v>0</v>
      </c>
      <c r="O527" s="17">
        <f t="shared" si="316"/>
        <v>0</v>
      </c>
      <c r="P527" s="17">
        <v>0</v>
      </c>
      <c r="Q527" s="17">
        <f t="shared" si="317"/>
        <v>0</v>
      </c>
      <c r="R527" s="17">
        <f t="shared" si="318"/>
        <v>0</v>
      </c>
      <c r="S527" s="17">
        <f t="shared" si="319"/>
        <v>0</v>
      </c>
      <c r="T527" s="17">
        <f t="shared" si="320"/>
        <v>0</v>
      </c>
      <c r="U527" s="17">
        <f t="shared" si="321"/>
        <v>0</v>
      </c>
      <c r="V527" s="17">
        <f t="shared" si="322"/>
        <v>0</v>
      </c>
      <c r="W527" s="17">
        <f t="shared" si="323"/>
        <v>0</v>
      </c>
      <c r="X527" s="17">
        <f t="shared" si="324"/>
        <v>0</v>
      </c>
      <c r="Y527" s="17">
        <f t="shared" si="325"/>
        <v>0</v>
      </c>
      <c r="Z527" s="17">
        <f t="shared" si="326"/>
        <v>0</v>
      </c>
      <c r="AA527" s="17">
        <f t="shared" si="327"/>
        <v>0</v>
      </c>
      <c r="AB527" s="17">
        <f t="shared" si="328"/>
        <v>0</v>
      </c>
      <c r="AC527" s="17">
        <v>0</v>
      </c>
      <c r="AD527" s="17">
        <f t="shared" si="329"/>
        <v>0</v>
      </c>
      <c r="AE527" s="17">
        <f t="shared" si="330"/>
        <v>0</v>
      </c>
      <c r="AF527" s="17">
        <f t="shared" si="331"/>
        <v>0</v>
      </c>
      <c r="AG527" s="17">
        <f t="shared" si="332"/>
        <v>0</v>
      </c>
      <c r="AH527" s="17">
        <f t="shared" si="333"/>
        <v>0</v>
      </c>
      <c r="AI527" s="17">
        <f t="shared" si="334"/>
        <v>0</v>
      </c>
      <c r="AJ527" s="17">
        <f t="shared" si="335"/>
        <v>0</v>
      </c>
      <c r="AK527" s="17">
        <f t="shared" si="336"/>
        <v>0</v>
      </c>
      <c r="AL527" s="17">
        <f t="shared" si="337"/>
        <v>0</v>
      </c>
      <c r="AM527" s="17">
        <f t="shared" si="338"/>
        <v>0</v>
      </c>
      <c r="AN527" s="17">
        <f t="shared" si="339"/>
        <v>0</v>
      </c>
      <c r="AO527" s="17">
        <f t="shared" si="340"/>
        <v>0</v>
      </c>
      <c r="AP527" s="17">
        <f t="shared" si="341"/>
        <v>0</v>
      </c>
      <c r="AQ527" s="18">
        <v>0</v>
      </c>
      <c r="AR527" s="18">
        <v>0</v>
      </c>
      <c r="AS527" s="18">
        <v>0</v>
      </c>
      <c r="AT527" s="18">
        <v>0</v>
      </c>
      <c r="AU527" s="18">
        <v>0</v>
      </c>
      <c r="AV527" s="18">
        <v>0</v>
      </c>
      <c r="AW527" s="18">
        <v>0</v>
      </c>
      <c r="AX527" s="18">
        <v>0</v>
      </c>
      <c r="AY527" s="18">
        <v>0</v>
      </c>
      <c r="AZ527" s="18">
        <v>0</v>
      </c>
      <c r="BA527" s="18">
        <v>0</v>
      </c>
      <c r="BB527" s="18">
        <v>0</v>
      </c>
      <c r="BC527" s="23">
        <v>8.9181565948742242E-2</v>
      </c>
      <c r="BD527" s="23">
        <v>0.10665277883445198</v>
      </c>
      <c r="BE527" s="23">
        <v>9.438849084854764E-2</v>
      </c>
      <c r="BF527" s="23">
        <v>7.149564986855049E-2</v>
      </c>
      <c r="BG527" s="23">
        <v>0.10368571810536763</v>
      </c>
      <c r="BH527" s="23">
        <v>8.4970330952544637E-2</v>
      </c>
      <c r="BI527" s="23">
        <v>8.4593878877262704E-2</v>
      </c>
      <c r="BJ527" s="23">
        <v>5.7447105462779965E-2</v>
      </c>
      <c r="BK527" s="23">
        <v>8.5153852345557474E-2</v>
      </c>
      <c r="BL527" s="23">
        <v>7.4158058913035174E-2</v>
      </c>
      <c r="BM527" s="23">
        <v>7.5718189192107169E-2</v>
      </c>
      <c r="BN527" s="23">
        <v>7.3955559365675619E-2</v>
      </c>
    </row>
    <row r="528" spans="1:66" x14ac:dyDescent="0.25">
      <c r="A528" s="16">
        <v>1708</v>
      </c>
      <c r="B528" s="16" t="s">
        <v>723</v>
      </c>
      <c r="C528" s="17">
        <v>0</v>
      </c>
      <c r="D528" s="17">
        <f t="shared" si="305"/>
        <v>0</v>
      </c>
      <c r="E528" s="17">
        <f t="shared" si="306"/>
        <v>0</v>
      </c>
      <c r="F528" s="17">
        <f t="shared" si="307"/>
        <v>0</v>
      </c>
      <c r="G528" s="17">
        <f t="shared" si="308"/>
        <v>0</v>
      </c>
      <c r="H528" s="17">
        <f t="shared" si="309"/>
        <v>0</v>
      </c>
      <c r="I528" s="17">
        <f t="shared" si="310"/>
        <v>0</v>
      </c>
      <c r="J528" s="17">
        <f t="shared" si="311"/>
        <v>0</v>
      </c>
      <c r="K528" s="17">
        <f t="shared" si="312"/>
        <v>0</v>
      </c>
      <c r="L528" s="17">
        <f t="shared" si="313"/>
        <v>0</v>
      </c>
      <c r="M528" s="17">
        <f t="shared" si="314"/>
        <v>0</v>
      </c>
      <c r="N528" s="17">
        <f t="shared" si="315"/>
        <v>0</v>
      </c>
      <c r="O528" s="17">
        <f t="shared" si="316"/>
        <v>0</v>
      </c>
      <c r="P528" s="17">
        <v>0</v>
      </c>
      <c r="Q528" s="17">
        <f t="shared" si="317"/>
        <v>0</v>
      </c>
      <c r="R528" s="17">
        <f t="shared" si="318"/>
        <v>0</v>
      </c>
      <c r="S528" s="17">
        <f t="shared" si="319"/>
        <v>0</v>
      </c>
      <c r="T528" s="17">
        <f t="shared" si="320"/>
        <v>0</v>
      </c>
      <c r="U528" s="17">
        <f t="shared" si="321"/>
        <v>0</v>
      </c>
      <c r="V528" s="17">
        <f t="shared" si="322"/>
        <v>0</v>
      </c>
      <c r="W528" s="17">
        <f t="shared" si="323"/>
        <v>0</v>
      </c>
      <c r="X528" s="17">
        <f t="shared" si="324"/>
        <v>0</v>
      </c>
      <c r="Y528" s="17">
        <f t="shared" si="325"/>
        <v>0</v>
      </c>
      <c r="Z528" s="17">
        <f t="shared" si="326"/>
        <v>0</v>
      </c>
      <c r="AA528" s="17">
        <f t="shared" si="327"/>
        <v>0</v>
      </c>
      <c r="AB528" s="17">
        <f t="shared" si="328"/>
        <v>0</v>
      </c>
      <c r="AC528" s="17">
        <v>0</v>
      </c>
      <c r="AD528" s="17">
        <f t="shared" si="329"/>
        <v>0</v>
      </c>
      <c r="AE528" s="17">
        <f t="shared" si="330"/>
        <v>0</v>
      </c>
      <c r="AF528" s="17">
        <f t="shared" si="331"/>
        <v>0</v>
      </c>
      <c r="AG528" s="17">
        <f t="shared" si="332"/>
        <v>0</v>
      </c>
      <c r="AH528" s="17">
        <f t="shared" si="333"/>
        <v>0</v>
      </c>
      <c r="AI528" s="17">
        <f t="shared" si="334"/>
        <v>0</v>
      </c>
      <c r="AJ528" s="17">
        <f t="shared" si="335"/>
        <v>0</v>
      </c>
      <c r="AK528" s="17">
        <f t="shared" si="336"/>
        <v>0</v>
      </c>
      <c r="AL528" s="17">
        <f t="shared" si="337"/>
        <v>0</v>
      </c>
      <c r="AM528" s="17">
        <f t="shared" si="338"/>
        <v>0</v>
      </c>
      <c r="AN528" s="17">
        <f t="shared" si="339"/>
        <v>0</v>
      </c>
      <c r="AO528" s="17">
        <f t="shared" si="340"/>
        <v>0</v>
      </c>
      <c r="AP528" s="17">
        <f t="shared" si="341"/>
        <v>0</v>
      </c>
      <c r="AQ528" s="18">
        <v>5.3366249063727365</v>
      </c>
      <c r="AR528" s="18">
        <v>6.3821022854536071</v>
      </c>
      <c r="AS528" s="18">
        <v>5.6482072923770907</v>
      </c>
      <c r="AT528" s="18">
        <v>4.2782996881340614</v>
      </c>
      <c r="AU528" s="18">
        <v>6.2045533714251988</v>
      </c>
      <c r="AV528" s="18">
        <v>5.084624604200271</v>
      </c>
      <c r="AW528" s="18">
        <v>5.0620977120154009</v>
      </c>
      <c r="AX528" s="18">
        <v>3.4376347908927531</v>
      </c>
      <c r="AY528" s="18">
        <v>5.0956065243581596</v>
      </c>
      <c r="AZ528" s="18">
        <v>4.4376182453560249</v>
      </c>
      <c r="BA528" s="18">
        <v>4.5309764412556932</v>
      </c>
      <c r="BB528" s="18">
        <v>4.4255006724420296</v>
      </c>
      <c r="BC528" s="23">
        <v>8.9181565948742242E-2</v>
      </c>
      <c r="BD528" s="23">
        <v>0.10665277883445198</v>
      </c>
      <c r="BE528" s="23">
        <v>9.438849084854764E-2</v>
      </c>
      <c r="BF528" s="23">
        <v>7.149564986855049E-2</v>
      </c>
      <c r="BG528" s="23">
        <v>0.10368571810536763</v>
      </c>
      <c r="BH528" s="23">
        <v>8.4970330952544637E-2</v>
      </c>
      <c r="BI528" s="23">
        <v>8.4593878877262704E-2</v>
      </c>
      <c r="BJ528" s="23">
        <v>5.7447105462779965E-2</v>
      </c>
      <c r="BK528" s="23">
        <v>8.5153852345557474E-2</v>
      </c>
      <c r="BL528" s="23">
        <v>7.4158058913035174E-2</v>
      </c>
      <c r="BM528" s="23">
        <v>7.5718189192107169E-2</v>
      </c>
      <c r="BN528" s="23">
        <v>7.3955559365675619E-2</v>
      </c>
    </row>
    <row r="529" spans="1:66" x14ac:dyDescent="0.25">
      <c r="A529" s="16">
        <v>1744</v>
      </c>
      <c r="B529" s="16" t="s">
        <v>350</v>
      </c>
      <c r="C529" s="17">
        <v>15000</v>
      </c>
      <c r="D529" s="17">
        <f t="shared" si="305"/>
        <v>1337.7234892311337</v>
      </c>
      <c r="E529" s="17">
        <f t="shared" si="306"/>
        <v>1599.7916825167797</v>
      </c>
      <c r="F529" s="17">
        <f t="shared" si="307"/>
        <v>1415.8273627282147</v>
      </c>
      <c r="G529" s="17">
        <f t="shared" si="308"/>
        <v>1072.4347480282574</v>
      </c>
      <c r="H529" s="17">
        <f t="shared" si="309"/>
        <v>1555.2857715805144</v>
      </c>
      <c r="I529" s="17">
        <f t="shared" si="310"/>
        <v>1274.5549642881695</v>
      </c>
      <c r="J529" s="17">
        <f t="shared" si="311"/>
        <v>1268.9081831589406</v>
      </c>
      <c r="K529" s="17">
        <f t="shared" si="312"/>
        <v>861.70658194169948</v>
      </c>
      <c r="L529" s="17">
        <f t="shared" si="313"/>
        <v>1277.3077851833621</v>
      </c>
      <c r="M529" s="17">
        <f t="shared" si="314"/>
        <v>1112.3708836955277</v>
      </c>
      <c r="N529" s="17">
        <f t="shared" si="315"/>
        <v>1135.7728378816075</v>
      </c>
      <c r="O529" s="17">
        <f t="shared" si="316"/>
        <v>1109.3333904851343</v>
      </c>
      <c r="P529" s="17">
        <v>5000</v>
      </c>
      <c r="Q529" s="17">
        <f t="shared" si="317"/>
        <v>445.9078297437112</v>
      </c>
      <c r="R529" s="17">
        <f t="shared" si="318"/>
        <v>533.26389417225994</v>
      </c>
      <c r="S529" s="17">
        <f t="shared" si="319"/>
        <v>471.94245424273822</v>
      </c>
      <c r="T529" s="17">
        <f t="shared" si="320"/>
        <v>357.47824934275246</v>
      </c>
      <c r="U529" s="17">
        <f t="shared" si="321"/>
        <v>518.42859052683809</v>
      </c>
      <c r="V529" s="17">
        <f t="shared" si="322"/>
        <v>424.85165476272317</v>
      </c>
      <c r="W529" s="17">
        <f t="shared" si="323"/>
        <v>422.96939438631352</v>
      </c>
      <c r="X529" s="17">
        <f t="shared" si="324"/>
        <v>287.23552731389981</v>
      </c>
      <c r="Y529" s="17">
        <f t="shared" si="325"/>
        <v>425.76926172778735</v>
      </c>
      <c r="Z529" s="17">
        <f t="shared" si="326"/>
        <v>370.79029456517588</v>
      </c>
      <c r="AA529" s="17">
        <f t="shared" si="327"/>
        <v>378.59094596053586</v>
      </c>
      <c r="AB529" s="17">
        <f t="shared" si="328"/>
        <v>369.77779682837809</v>
      </c>
      <c r="AC529" s="17">
        <v>0</v>
      </c>
      <c r="AD529" s="17">
        <f t="shared" si="329"/>
        <v>0</v>
      </c>
      <c r="AE529" s="17">
        <f t="shared" si="330"/>
        <v>0</v>
      </c>
      <c r="AF529" s="17">
        <f t="shared" si="331"/>
        <v>0</v>
      </c>
      <c r="AG529" s="17">
        <f t="shared" si="332"/>
        <v>0</v>
      </c>
      <c r="AH529" s="17">
        <f t="shared" si="333"/>
        <v>0</v>
      </c>
      <c r="AI529" s="17">
        <f t="shared" si="334"/>
        <v>0</v>
      </c>
      <c r="AJ529" s="17">
        <f t="shared" si="335"/>
        <v>0</v>
      </c>
      <c r="AK529" s="17">
        <f t="shared" si="336"/>
        <v>0</v>
      </c>
      <c r="AL529" s="17">
        <f t="shared" si="337"/>
        <v>0</v>
      </c>
      <c r="AM529" s="17">
        <f t="shared" si="338"/>
        <v>0</v>
      </c>
      <c r="AN529" s="17">
        <f t="shared" si="339"/>
        <v>0</v>
      </c>
      <c r="AO529" s="17">
        <f t="shared" si="340"/>
        <v>0</v>
      </c>
      <c r="AP529" s="17">
        <f t="shared" si="341"/>
        <v>20000</v>
      </c>
      <c r="AQ529" s="18">
        <v>0</v>
      </c>
      <c r="AR529" s="18">
        <v>0</v>
      </c>
      <c r="AS529" s="18">
        <v>0</v>
      </c>
      <c r="AT529" s="18">
        <v>0</v>
      </c>
      <c r="AU529" s="18">
        <v>0</v>
      </c>
      <c r="AV529" s="18">
        <v>0</v>
      </c>
      <c r="AW529" s="18">
        <v>0</v>
      </c>
      <c r="AX529" s="18">
        <v>0</v>
      </c>
      <c r="AY529" s="18">
        <v>0</v>
      </c>
      <c r="AZ529" s="18">
        <v>0</v>
      </c>
      <c r="BA529" s="18">
        <v>0</v>
      </c>
      <c r="BB529" s="18">
        <v>0</v>
      </c>
      <c r="BC529" s="23">
        <v>8.9181565948742242E-2</v>
      </c>
      <c r="BD529" s="23">
        <v>0.10665277883445198</v>
      </c>
      <c r="BE529" s="23">
        <v>9.438849084854764E-2</v>
      </c>
      <c r="BF529" s="23">
        <v>7.149564986855049E-2</v>
      </c>
      <c r="BG529" s="23">
        <v>0.10368571810536763</v>
      </c>
      <c r="BH529" s="23">
        <v>8.4970330952544637E-2</v>
      </c>
      <c r="BI529" s="23">
        <v>8.4593878877262704E-2</v>
      </c>
      <c r="BJ529" s="23">
        <v>5.7447105462779965E-2</v>
      </c>
      <c r="BK529" s="23">
        <v>8.5153852345557474E-2</v>
      </c>
      <c r="BL529" s="23">
        <v>7.4158058913035174E-2</v>
      </c>
      <c r="BM529" s="23">
        <v>7.5718189192107169E-2</v>
      </c>
      <c r="BN529" s="23">
        <v>7.3955559365675619E-2</v>
      </c>
    </row>
    <row r="530" spans="1:66" x14ac:dyDescent="0.25">
      <c r="A530" s="16">
        <v>1779</v>
      </c>
      <c r="B530" s="16" t="s">
        <v>724</v>
      </c>
      <c r="C530" s="17">
        <v>0</v>
      </c>
      <c r="D530" s="17">
        <f t="shared" si="305"/>
        <v>0</v>
      </c>
      <c r="E530" s="17">
        <f t="shared" si="306"/>
        <v>0</v>
      </c>
      <c r="F530" s="17">
        <f t="shared" si="307"/>
        <v>0</v>
      </c>
      <c r="G530" s="17">
        <f t="shared" si="308"/>
        <v>0</v>
      </c>
      <c r="H530" s="17">
        <f t="shared" si="309"/>
        <v>0</v>
      </c>
      <c r="I530" s="17">
        <f t="shared" si="310"/>
        <v>0</v>
      </c>
      <c r="J530" s="17">
        <f t="shared" si="311"/>
        <v>0</v>
      </c>
      <c r="K530" s="17">
        <f t="shared" si="312"/>
        <v>0</v>
      </c>
      <c r="L530" s="17">
        <f t="shared" si="313"/>
        <v>0</v>
      </c>
      <c r="M530" s="17">
        <f t="shared" si="314"/>
        <v>0</v>
      </c>
      <c r="N530" s="17">
        <f t="shared" si="315"/>
        <v>0</v>
      </c>
      <c r="O530" s="17">
        <f t="shared" si="316"/>
        <v>0</v>
      </c>
      <c r="P530" s="17">
        <v>0</v>
      </c>
      <c r="Q530" s="17">
        <f t="shared" si="317"/>
        <v>0</v>
      </c>
      <c r="R530" s="17">
        <f t="shared" si="318"/>
        <v>0</v>
      </c>
      <c r="S530" s="17">
        <f t="shared" si="319"/>
        <v>0</v>
      </c>
      <c r="T530" s="17">
        <f t="shared" si="320"/>
        <v>0</v>
      </c>
      <c r="U530" s="17">
        <f t="shared" si="321"/>
        <v>0</v>
      </c>
      <c r="V530" s="17">
        <f t="shared" si="322"/>
        <v>0</v>
      </c>
      <c r="W530" s="17">
        <f t="shared" si="323"/>
        <v>0</v>
      </c>
      <c r="X530" s="17">
        <f t="shared" si="324"/>
        <v>0</v>
      </c>
      <c r="Y530" s="17">
        <f t="shared" si="325"/>
        <v>0</v>
      </c>
      <c r="Z530" s="17">
        <f t="shared" si="326"/>
        <v>0</v>
      </c>
      <c r="AA530" s="17">
        <f t="shared" si="327"/>
        <v>0</v>
      </c>
      <c r="AB530" s="17">
        <f t="shared" si="328"/>
        <v>0</v>
      </c>
      <c r="AC530" s="17">
        <v>0</v>
      </c>
      <c r="AD530" s="17">
        <f t="shared" si="329"/>
        <v>0</v>
      </c>
      <c r="AE530" s="17">
        <f t="shared" si="330"/>
        <v>0</v>
      </c>
      <c r="AF530" s="17">
        <f t="shared" si="331"/>
        <v>0</v>
      </c>
      <c r="AG530" s="17">
        <f t="shared" si="332"/>
        <v>0</v>
      </c>
      <c r="AH530" s="17">
        <f t="shared" si="333"/>
        <v>0</v>
      </c>
      <c r="AI530" s="17">
        <f t="shared" si="334"/>
        <v>0</v>
      </c>
      <c r="AJ530" s="17">
        <f t="shared" si="335"/>
        <v>0</v>
      </c>
      <c r="AK530" s="17">
        <f t="shared" si="336"/>
        <v>0</v>
      </c>
      <c r="AL530" s="17">
        <f t="shared" si="337"/>
        <v>0</v>
      </c>
      <c r="AM530" s="17">
        <f t="shared" si="338"/>
        <v>0</v>
      </c>
      <c r="AN530" s="17">
        <f t="shared" si="339"/>
        <v>0</v>
      </c>
      <c r="AO530" s="17">
        <f t="shared" si="340"/>
        <v>0</v>
      </c>
      <c r="AP530" s="17">
        <f t="shared" si="341"/>
        <v>0</v>
      </c>
      <c r="AQ530" s="18">
        <v>0</v>
      </c>
      <c r="AR530" s="18">
        <v>0</v>
      </c>
      <c r="AS530" s="18">
        <v>0</v>
      </c>
      <c r="AT530" s="18">
        <v>0</v>
      </c>
      <c r="AU530" s="18">
        <v>0</v>
      </c>
      <c r="AV530" s="18">
        <v>0</v>
      </c>
      <c r="AW530" s="18">
        <v>0</v>
      </c>
      <c r="AX530" s="18">
        <v>0</v>
      </c>
      <c r="AY530" s="18">
        <v>0</v>
      </c>
      <c r="AZ530" s="18">
        <v>0</v>
      </c>
      <c r="BA530" s="18">
        <v>0</v>
      </c>
      <c r="BB530" s="18">
        <v>0</v>
      </c>
      <c r="BC530" s="23">
        <v>8.9181565948742242E-2</v>
      </c>
      <c r="BD530" s="23">
        <v>0.10665277883445198</v>
      </c>
      <c r="BE530" s="23">
        <v>9.438849084854764E-2</v>
      </c>
      <c r="BF530" s="23">
        <v>7.149564986855049E-2</v>
      </c>
      <c r="BG530" s="23">
        <v>0.10368571810536763</v>
      </c>
      <c r="BH530" s="23">
        <v>8.4970330952544637E-2</v>
      </c>
      <c r="BI530" s="23">
        <v>8.4593878877262704E-2</v>
      </c>
      <c r="BJ530" s="23">
        <v>5.7447105462779965E-2</v>
      </c>
      <c r="BK530" s="23">
        <v>8.5153852345557474E-2</v>
      </c>
      <c r="BL530" s="23">
        <v>7.4158058913035174E-2</v>
      </c>
      <c r="BM530" s="23">
        <v>7.5718189192107169E-2</v>
      </c>
      <c r="BN530" s="23">
        <v>7.3955559365675619E-2</v>
      </c>
    </row>
    <row r="531" spans="1:66" x14ac:dyDescent="0.25">
      <c r="A531" s="16">
        <v>1791</v>
      </c>
      <c r="B531" s="16" t="s">
        <v>725</v>
      </c>
      <c r="C531" s="17">
        <v>0</v>
      </c>
      <c r="D531" s="17">
        <f t="shared" si="305"/>
        <v>0</v>
      </c>
      <c r="E531" s="17">
        <f t="shared" si="306"/>
        <v>0</v>
      </c>
      <c r="F531" s="17">
        <f t="shared" si="307"/>
        <v>0</v>
      </c>
      <c r="G531" s="17">
        <f t="shared" si="308"/>
        <v>0</v>
      </c>
      <c r="H531" s="17">
        <f t="shared" si="309"/>
        <v>0</v>
      </c>
      <c r="I531" s="17">
        <f t="shared" si="310"/>
        <v>0</v>
      </c>
      <c r="J531" s="17">
        <f t="shared" si="311"/>
        <v>0</v>
      </c>
      <c r="K531" s="17">
        <f t="shared" si="312"/>
        <v>0</v>
      </c>
      <c r="L531" s="17">
        <f t="shared" si="313"/>
        <v>0</v>
      </c>
      <c r="M531" s="17">
        <f t="shared" si="314"/>
        <v>0</v>
      </c>
      <c r="N531" s="17">
        <f t="shared" si="315"/>
        <v>0</v>
      </c>
      <c r="O531" s="17">
        <f t="shared" si="316"/>
        <v>0</v>
      </c>
      <c r="P531" s="17">
        <v>0</v>
      </c>
      <c r="Q531" s="17">
        <f t="shared" si="317"/>
        <v>0</v>
      </c>
      <c r="R531" s="17">
        <f t="shared" si="318"/>
        <v>0</v>
      </c>
      <c r="S531" s="17">
        <f t="shared" si="319"/>
        <v>0</v>
      </c>
      <c r="T531" s="17">
        <f t="shared" si="320"/>
        <v>0</v>
      </c>
      <c r="U531" s="17">
        <f t="shared" si="321"/>
        <v>0</v>
      </c>
      <c r="V531" s="17">
        <f t="shared" si="322"/>
        <v>0</v>
      </c>
      <c r="W531" s="17">
        <f t="shared" si="323"/>
        <v>0</v>
      </c>
      <c r="X531" s="17">
        <f t="shared" si="324"/>
        <v>0</v>
      </c>
      <c r="Y531" s="17">
        <f t="shared" si="325"/>
        <v>0</v>
      </c>
      <c r="Z531" s="17">
        <f t="shared" si="326"/>
        <v>0</v>
      </c>
      <c r="AA531" s="17">
        <f t="shared" si="327"/>
        <v>0</v>
      </c>
      <c r="AB531" s="17">
        <f t="shared" si="328"/>
        <v>0</v>
      </c>
      <c r="AC531" s="17">
        <v>0</v>
      </c>
      <c r="AD531" s="17">
        <f t="shared" si="329"/>
        <v>0</v>
      </c>
      <c r="AE531" s="17">
        <f t="shared" si="330"/>
        <v>0</v>
      </c>
      <c r="AF531" s="17">
        <f t="shared" si="331"/>
        <v>0</v>
      </c>
      <c r="AG531" s="17">
        <f t="shared" si="332"/>
        <v>0</v>
      </c>
      <c r="AH531" s="17">
        <f t="shared" si="333"/>
        <v>0</v>
      </c>
      <c r="AI531" s="17">
        <f t="shared" si="334"/>
        <v>0</v>
      </c>
      <c r="AJ531" s="17">
        <f t="shared" si="335"/>
        <v>0</v>
      </c>
      <c r="AK531" s="17">
        <f t="shared" si="336"/>
        <v>0</v>
      </c>
      <c r="AL531" s="17">
        <f t="shared" si="337"/>
        <v>0</v>
      </c>
      <c r="AM531" s="17">
        <f t="shared" si="338"/>
        <v>0</v>
      </c>
      <c r="AN531" s="17">
        <f t="shared" si="339"/>
        <v>0</v>
      </c>
      <c r="AO531" s="17">
        <f t="shared" si="340"/>
        <v>0</v>
      </c>
      <c r="AP531" s="17">
        <f t="shared" si="341"/>
        <v>0</v>
      </c>
      <c r="AQ531" s="18">
        <v>0</v>
      </c>
      <c r="AR531" s="18">
        <v>0</v>
      </c>
      <c r="AS531" s="18">
        <v>0</v>
      </c>
      <c r="AT531" s="18">
        <v>0</v>
      </c>
      <c r="AU531" s="18">
        <v>0</v>
      </c>
      <c r="AV531" s="18">
        <v>0</v>
      </c>
      <c r="AW531" s="18">
        <v>0</v>
      </c>
      <c r="AX531" s="18">
        <v>0</v>
      </c>
      <c r="AY531" s="18">
        <v>0</v>
      </c>
      <c r="AZ531" s="18">
        <v>0</v>
      </c>
      <c r="BA531" s="18">
        <v>0</v>
      </c>
      <c r="BB531" s="18">
        <v>0</v>
      </c>
      <c r="BC531" s="23">
        <v>8.9181565948742242E-2</v>
      </c>
      <c r="BD531" s="23">
        <v>0.10665277883445198</v>
      </c>
      <c r="BE531" s="23">
        <v>9.438849084854764E-2</v>
      </c>
      <c r="BF531" s="23">
        <v>7.149564986855049E-2</v>
      </c>
      <c r="BG531" s="23">
        <v>0.10368571810536763</v>
      </c>
      <c r="BH531" s="23">
        <v>8.4970330952544637E-2</v>
      </c>
      <c r="BI531" s="23">
        <v>8.4593878877262704E-2</v>
      </c>
      <c r="BJ531" s="23">
        <v>5.7447105462779965E-2</v>
      </c>
      <c r="BK531" s="23">
        <v>8.5153852345557474E-2</v>
      </c>
      <c r="BL531" s="23">
        <v>7.4158058913035174E-2</v>
      </c>
      <c r="BM531" s="23">
        <v>7.5718189192107169E-2</v>
      </c>
      <c r="BN531" s="23">
        <v>7.3955559365675619E-2</v>
      </c>
    </row>
    <row r="532" spans="1:66" x14ac:dyDescent="0.25">
      <c r="A532" s="16">
        <v>1797</v>
      </c>
      <c r="B532" s="16" t="s">
        <v>726</v>
      </c>
      <c r="C532" s="17">
        <v>0</v>
      </c>
      <c r="D532" s="17">
        <f t="shared" si="305"/>
        <v>0</v>
      </c>
      <c r="E532" s="17">
        <f t="shared" si="306"/>
        <v>0</v>
      </c>
      <c r="F532" s="17">
        <f t="shared" si="307"/>
        <v>0</v>
      </c>
      <c r="G532" s="17">
        <f t="shared" si="308"/>
        <v>0</v>
      </c>
      <c r="H532" s="17">
        <f t="shared" si="309"/>
        <v>0</v>
      </c>
      <c r="I532" s="17">
        <f t="shared" si="310"/>
        <v>0</v>
      </c>
      <c r="J532" s="17">
        <f t="shared" si="311"/>
        <v>0</v>
      </c>
      <c r="K532" s="17">
        <f t="shared" si="312"/>
        <v>0</v>
      </c>
      <c r="L532" s="17">
        <f t="shared" si="313"/>
        <v>0</v>
      </c>
      <c r="M532" s="17">
        <f t="shared" si="314"/>
        <v>0</v>
      </c>
      <c r="N532" s="17">
        <f t="shared" si="315"/>
        <v>0</v>
      </c>
      <c r="O532" s="17">
        <f t="shared" si="316"/>
        <v>0</v>
      </c>
      <c r="P532" s="17">
        <v>0</v>
      </c>
      <c r="Q532" s="17">
        <f t="shared" si="317"/>
        <v>0</v>
      </c>
      <c r="R532" s="17">
        <f t="shared" si="318"/>
        <v>0</v>
      </c>
      <c r="S532" s="17">
        <f t="shared" si="319"/>
        <v>0</v>
      </c>
      <c r="T532" s="17">
        <f t="shared" si="320"/>
        <v>0</v>
      </c>
      <c r="U532" s="17">
        <f t="shared" si="321"/>
        <v>0</v>
      </c>
      <c r="V532" s="17">
        <f t="shared" si="322"/>
        <v>0</v>
      </c>
      <c r="W532" s="17">
        <f t="shared" si="323"/>
        <v>0</v>
      </c>
      <c r="X532" s="17">
        <f t="shared" si="324"/>
        <v>0</v>
      </c>
      <c r="Y532" s="17">
        <f t="shared" si="325"/>
        <v>0</v>
      </c>
      <c r="Z532" s="17">
        <f t="shared" si="326"/>
        <v>0</v>
      </c>
      <c r="AA532" s="17">
        <f t="shared" si="327"/>
        <v>0</v>
      </c>
      <c r="AB532" s="17">
        <f t="shared" si="328"/>
        <v>0</v>
      </c>
      <c r="AC532" s="17">
        <v>0</v>
      </c>
      <c r="AD532" s="17">
        <f t="shared" si="329"/>
        <v>0</v>
      </c>
      <c r="AE532" s="17">
        <f t="shared" si="330"/>
        <v>0</v>
      </c>
      <c r="AF532" s="17">
        <f t="shared" si="331"/>
        <v>0</v>
      </c>
      <c r="AG532" s="17">
        <f t="shared" si="332"/>
        <v>0</v>
      </c>
      <c r="AH532" s="17">
        <f t="shared" si="333"/>
        <v>0</v>
      </c>
      <c r="AI532" s="17">
        <f t="shared" si="334"/>
        <v>0</v>
      </c>
      <c r="AJ532" s="17">
        <f t="shared" si="335"/>
        <v>0</v>
      </c>
      <c r="AK532" s="17">
        <f t="shared" si="336"/>
        <v>0</v>
      </c>
      <c r="AL532" s="17">
        <f t="shared" si="337"/>
        <v>0</v>
      </c>
      <c r="AM532" s="17">
        <f t="shared" si="338"/>
        <v>0</v>
      </c>
      <c r="AN532" s="17">
        <f t="shared" si="339"/>
        <v>0</v>
      </c>
      <c r="AO532" s="17">
        <f t="shared" si="340"/>
        <v>0</v>
      </c>
      <c r="AP532" s="17">
        <f t="shared" si="341"/>
        <v>0</v>
      </c>
      <c r="AQ532" s="18">
        <v>87.995451121623972</v>
      </c>
      <c r="AR532" s="18">
        <v>105.23429687595377</v>
      </c>
      <c r="AS532" s="18">
        <v>93.133123920261966</v>
      </c>
      <c r="AT532" s="18">
        <v>70.544757725298766</v>
      </c>
      <c r="AU532" s="18">
        <v>102.30669805456624</v>
      </c>
      <c r="AV532" s="18">
        <v>83.8402255508758</v>
      </c>
      <c r="AW532" s="18">
        <v>83.46878028819512</v>
      </c>
      <c r="AX532" s="18">
        <v>56.683058960124995</v>
      </c>
      <c r="AY532" s="18">
        <v>84.021306109361561</v>
      </c>
      <c r="AZ532" s="18">
        <v>73.171756729491804</v>
      </c>
      <c r="BA532" s="18">
        <v>74.711137275852153</v>
      </c>
      <c r="BB532" s="18">
        <v>72.97195042611213</v>
      </c>
      <c r="BC532" s="23">
        <v>8.9181565948742242E-2</v>
      </c>
      <c r="BD532" s="23">
        <v>0.10665277883445198</v>
      </c>
      <c r="BE532" s="23">
        <v>9.438849084854764E-2</v>
      </c>
      <c r="BF532" s="23">
        <v>7.149564986855049E-2</v>
      </c>
      <c r="BG532" s="23">
        <v>0.10368571810536763</v>
      </c>
      <c r="BH532" s="23">
        <v>8.4970330952544637E-2</v>
      </c>
      <c r="BI532" s="23">
        <v>8.4593878877262704E-2</v>
      </c>
      <c r="BJ532" s="23">
        <v>5.7447105462779965E-2</v>
      </c>
      <c r="BK532" s="23">
        <v>8.5153852345557474E-2</v>
      </c>
      <c r="BL532" s="23">
        <v>7.4158058913035174E-2</v>
      </c>
      <c r="BM532" s="23">
        <v>7.5718189192107169E-2</v>
      </c>
      <c r="BN532" s="23">
        <v>7.3955559365675619E-2</v>
      </c>
    </row>
    <row r="533" spans="1:66" x14ac:dyDescent="0.25">
      <c r="A533" s="16">
        <v>1809</v>
      </c>
      <c r="B533" s="16" t="s">
        <v>727</v>
      </c>
      <c r="C533" s="17">
        <v>0</v>
      </c>
      <c r="D533" s="17">
        <f t="shared" si="305"/>
        <v>0</v>
      </c>
      <c r="E533" s="17">
        <f t="shared" si="306"/>
        <v>0</v>
      </c>
      <c r="F533" s="17">
        <f t="shared" si="307"/>
        <v>0</v>
      </c>
      <c r="G533" s="17">
        <f t="shared" si="308"/>
        <v>0</v>
      </c>
      <c r="H533" s="17">
        <f t="shared" si="309"/>
        <v>0</v>
      </c>
      <c r="I533" s="17">
        <f t="shared" si="310"/>
        <v>0</v>
      </c>
      <c r="J533" s="17">
        <f t="shared" si="311"/>
        <v>0</v>
      </c>
      <c r="K533" s="17">
        <f t="shared" si="312"/>
        <v>0</v>
      </c>
      <c r="L533" s="17">
        <f t="shared" si="313"/>
        <v>0</v>
      </c>
      <c r="M533" s="17">
        <f t="shared" si="314"/>
        <v>0</v>
      </c>
      <c r="N533" s="17">
        <f t="shared" si="315"/>
        <v>0</v>
      </c>
      <c r="O533" s="17">
        <f t="shared" si="316"/>
        <v>0</v>
      </c>
      <c r="P533" s="17">
        <v>0</v>
      </c>
      <c r="Q533" s="17">
        <f t="shared" si="317"/>
        <v>0</v>
      </c>
      <c r="R533" s="17">
        <f t="shared" si="318"/>
        <v>0</v>
      </c>
      <c r="S533" s="17">
        <f t="shared" si="319"/>
        <v>0</v>
      </c>
      <c r="T533" s="17">
        <f t="shared" si="320"/>
        <v>0</v>
      </c>
      <c r="U533" s="17">
        <f t="shared" si="321"/>
        <v>0</v>
      </c>
      <c r="V533" s="17">
        <f t="shared" si="322"/>
        <v>0</v>
      </c>
      <c r="W533" s="17">
        <f t="shared" si="323"/>
        <v>0</v>
      </c>
      <c r="X533" s="17">
        <f t="shared" si="324"/>
        <v>0</v>
      </c>
      <c r="Y533" s="17">
        <f t="shared" si="325"/>
        <v>0</v>
      </c>
      <c r="Z533" s="17">
        <f t="shared" si="326"/>
        <v>0</v>
      </c>
      <c r="AA533" s="17">
        <f t="shared" si="327"/>
        <v>0</v>
      </c>
      <c r="AB533" s="17">
        <f t="shared" si="328"/>
        <v>0</v>
      </c>
      <c r="AC533" s="17">
        <v>0</v>
      </c>
      <c r="AD533" s="17">
        <f t="shared" si="329"/>
        <v>0</v>
      </c>
      <c r="AE533" s="17">
        <f t="shared" si="330"/>
        <v>0</v>
      </c>
      <c r="AF533" s="17">
        <f t="shared" si="331"/>
        <v>0</v>
      </c>
      <c r="AG533" s="17">
        <f t="shared" si="332"/>
        <v>0</v>
      </c>
      <c r="AH533" s="17">
        <f t="shared" si="333"/>
        <v>0</v>
      </c>
      <c r="AI533" s="17">
        <f t="shared" si="334"/>
        <v>0</v>
      </c>
      <c r="AJ533" s="17">
        <f t="shared" si="335"/>
        <v>0</v>
      </c>
      <c r="AK533" s="17">
        <f t="shared" si="336"/>
        <v>0</v>
      </c>
      <c r="AL533" s="17">
        <f t="shared" si="337"/>
        <v>0</v>
      </c>
      <c r="AM533" s="17">
        <f t="shared" si="338"/>
        <v>0</v>
      </c>
      <c r="AN533" s="17">
        <f t="shared" si="339"/>
        <v>0</v>
      </c>
      <c r="AO533" s="17">
        <f t="shared" si="340"/>
        <v>0</v>
      </c>
      <c r="AP533" s="17">
        <f t="shared" si="341"/>
        <v>0</v>
      </c>
      <c r="AQ533" s="18">
        <v>0</v>
      </c>
      <c r="AR533" s="18">
        <v>0</v>
      </c>
      <c r="AS533" s="18">
        <v>0</v>
      </c>
      <c r="AT533" s="18">
        <v>0</v>
      </c>
      <c r="AU533" s="18">
        <v>0</v>
      </c>
      <c r="AV533" s="18">
        <v>0</v>
      </c>
      <c r="AW533" s="18">
        <v>0</v>
      </c>
      <c r="AX533" s="18">
        <v>0</v>
      </c>
      <c r="AY533" s="18">
        <v>0</v>
      </c>
      <c r="AZ533" s="18">
        <v>0</v>
      </c>
      <c r="BA533" s="18">
        <v>0</v>
      </c>
      <c r="BB533" s="18">
        <v>0</v>
      </c>
      <c r="BC533" s="23">
        <v>8.9181565948742242E-2</v>
      </c>
      <c r="BD533" s="23">
        <v>0.10665277883445198</v>
      </c>
      <c r="BE533" s="23">
        <v>9.438849084854764E-2</v>
      </c>
      <c r="BF533" s="23">
        <v>7.149564986855049E-2</v>
      </c>
      <c r="BG533" s="23">
        <v>0.10368571810536763</v>
      </c>
      <c r="BH533" s="23">
        <v>8.4970330952544637E-2</v>
      </c>
      <c r="BI533" s="23">
        <v>8.4593878877262704E-2</v>
      </c>
      <c r="BJ533" s="23">
        <v>5.7447105462779965E-2</v>
      </c>
      <c r="BK533" s="23">
        <v>8.5153852345557474E-2</v>
      </c>
      <c r="BL533" s="23">
        <v>7.4158058913035174E-2</v>
      </c>
      <c r="BM533" s="23">
        <v>7.5718189192107169E-2</v>
      </c>
      <c r="BN533" s="23">
        <v>7.3955559365675619E-2</v>
      </c>
    </row>
    <row r="534" spans="1:66" x14ac:dyDescent="0.25">
      <c r="A534" s="16">
        <v>1818</v>
      </c>
      <c r="B534" s="16" t="s">
        <v>728</v>
      </c>
      <c r="C534" s="17">
        <v>0</v>
      </c>
      <c r="D534" s="17">
        <f t="shared" si="305"/>
        <v>0</v>
      </c>
      <c r="E534" s="17">
        <f t="shared" si="306"/>
        <v>0</v>
      </c>
      <c r="F534" s="17">
        <f t="shared" si="307"/>
        <v>0</v>
      </c>
      <c r="G534" s="17">
        <f t="shared" si="308"/>
        <v>0</v>
      </c>
      <c r="H534" s="17">
        <f t="shared" si="309"/>
        <v>0</v>
      </c>
      <c r="I534" s="17">
        <f t="shared" si="310"/>
        <v>0</v>
      </c>
      <c r="J534" s="17">
        <f t="shared" si="311"/>
        <v>0</v>
      </c>
      <c r="K534" s="17">
        <f t="shared" si="312"/>
        <v>0</v>
      </c>
      <c r="L534" s="17">
        <f t="shared" si="313"/>
        <v>0</v>
      </c>
      <c r="M534" s="17">
        <f t="shared" si="314"/>
        <v>0</v>
      </c>
      <c r="N534" s="17">
        <f t="shared" si="315"/>
        <v>0</v>
      </c>
      <c r="O534" s="17">
        <f t="shared" si="316"/>
        <v>0</v>
      </c>
      <c r="P534" s="17">
        <v>0</v>
      </c>
      <c r="Q534" s="17">
        <f t="shared" si="317"/>
        <v>0</v>
      </c>
      <c r="R534" s="17">
        <f t="shared" si="318"/>
        <v>0</v>
      </c>
      <c r="S534" s="17">
        <f t="shared" si="319"/>
        <v>0</v>
      </c>
      <c r="T534" s="17">
        <f t="shared" si="320"/>
        <v>0</v>
      </c>
      <c r="U534" s="17">
        <f t="shared" si="321"/>
        <v>0</v>
      </c>
      <c r="V534" s="17">
        <f t="shared" si="322"/>
        <v>0</v>
      </c>
      <c r="W534" s="17">
        <f t="shared" si="323"/>
        <v>0</v>
      </c>
      <c r="X534" s="17">
        <f t="shared" si="324"/>
        <v>0</v>
      </c>
      <c r="Y534" s="17">
        <f t="shared" si="325"/>
        <v>0</v>
      </c>
      <c r="Z534" s="17">
        <f t="shared" si="326"/>
        <v>0</v>
      </c>
      <c r="AA534" s="17">
        <f t="shared" si="327"/>
        <v>0</v>
      </c>
      <c r="AB534" s="17">
        <f t="shared" si="328"/>
        <v>0</v>
      </c>
      <c r="AC534" s="17">
        <v>0</v>
      </c>
      <c r="AD534" s="17">
        <f t="shared" si="329"/>
        <v>0</v>
      </c>
      <c r="AE534" s="17">
        <f t="shared" si="330"/>
        <v>0</v>
      </c>
      <c r="AF534" s="17">
        <f t="shared" si="331"/>
        <v>0</v>
      </c>
      <c r="AG534" s="17">
        <f t="shared" si="332"/>
        <v>0</v>
      </c>
      <c r="AH534" s="17">
        <f t="shared" si="333"/>
        <v>0</v>
      </c>
      <c r="AI534" s="17">
        <f t="shared" si="334"/>
        <v>0</v>
      </c>
      <c r="AJ534" s="17">
        <f t="shared" si="335"/>
        <v>0</v>
      </c>
      <c r="AK534" s="17">
        <f t="shared" si="336"/>
        <v>0</v>
      </c>
      <c r="AL534" s="17">
        <f t="shared" si="337"/>
        <v>0</v>
      </c>
      <c r="AM534" s="17">
        <f t="shared" si="338"/>
        <v>0</v>
      </c>
      <c r="AN534" s="17">
        <f t="shared" si="339"/>
        <v>0</v>
      </c>
      <c r="AO534" s="17">
        <f t="shared" si="340"/>
        <v>0</v>
      </c>
      <c r="AP534" s="17">
        <f t="shared" si="341"/>
        <v>0</v>
      </c>
      <c r="AQ534" s="18">
        <v>33.20871807546505</v>
      </c>
      <c r="AR534" s="18">
        <v>39.714508560142562</v>
      </c>
      <c r="AS534" s="18">
        <v>35.14763111425539</v>
      </c>
      <c r="AT534" s="18">
        <v>26.622978132851888</v>
      </c>
      <c r="AU534" s="18">
        <v>38.609658222331959</v>
      </c>
      <c r="AV534" s="18">
        <v>31.640572077460959</v>
      </c>
      <c r="AW534" s="18">
        <v>31.500391865284072</v>
      </c>
      <c r="AX534" s="18">
        <v>21.391693555386304</v>
      </c>
      <c r="AY534" s="18">
        <v>31.708910305619934</v>
      </c>
      <c r="AZ534" s="18">
        <v>27.614384713564739</v>
      </c>
      <c r="BA534" s="18">
        <v>28.195333545843337</v>
      </c>
      <c r="BB534" s="18">
        <v>27.538979552115368</v>
      </c>
      <c r="BC534" s="23">
        <v>8.9181565948742242E-2</v>
      </c>
      <c r="BD534" s="23">
        <v>0.10665277883445198</v>
      </c>
      <c r="BE534" s="23">
        <v>9.438849084854764E-2</v>
      </c>
      <c r="BF534" s="23">
        <v>7.149564986855049E-2</v>
      </c>
      <c r="BG534" s="23">
        <v>0.10368571810536763</v>
      </c>
      <c r="BH534" s="23">
        <v>8.4970330952544637E-2</v>
      </c>
      <c r="BI534" s="23">
        <v>8.4593878877262704E-2</v>
      </c>
      <c r="BJ534" s="23">
        <v>5.7447105462779965E-2</v>
      </c>
      <c r="BK534" s="23">
        <v>8.5153852345557474E-2</v>
      </c>
      <c r="BL534" s="23">
        <v>7.4158058913035174E-2</v>
      </c>
      <c r="BM534" s="23">
        <v>7.5718189192107169E-2</v>
      </c>
      <c r="BN534" s="23">
        <v>7.3955559365675619E-2</v>
      </c>
    </row>
    <row r="535" spans="1:66" x14ac:dyDescent="0.25">
      <c r="A535" s="16">
        <v>1823</v>
      </c>
      <c r="B535" s="16" t="s">
        <v>729</v>
      </c>
      <c r="C535" s="17">
        <v>0</v>
      </c>
      <c r="D535" s="17">
        <f t="shared" si="305"/>
        <v>0</v>
      </c>
      <c r="E535" s="17">
        <f t="shared" si="306"/>
        <v>0</v>
      </c>
      <c r="F535" s="17">
        <f t="shared" si="307"/>
        <v>0</v>
      </c>
      <c r="G535" s="17">
        <f t="shared" si="308"/>
        <v>0</v>
      </c>
      <c r="H535" s="17">
        <f t="shared" si="309"/>
        <v>0</v>
      </c>
      <c r="I535" s="17">
        <f t="shared" si="310"/>
        <v>0</v>
      </c>
      <c r="J535" s="17">
        <f t="shared" si="311"/>
        <v>0</v>
      </c>
      <c r="K535" s="17">
        <f t="shared" si="312"/>
        <v>0</v>
      </c>
      <c r="L535" s="17">
        <f t="shared" si="313"/>
        <v>0</v>
      </c>
      <c r="M535" s="17">
        <f t="shared" si="314"/>
        <v>0</v>
      </c>
      <c r="N535" s="17">
        <f t="shared" si="315"/>
        <v>0</v>
      </c>
      <c r="O535" s="17">
        <f t="shared" si="316"/>
        <v>0</v>
      </c>
      <c r="P535" s="17">
        <v>2000</v>
      </c>
      <c r="Q535" s="17">
        <f t="shared" si="317"/>
        <v>178.36313189748449</v>
      </c>
      <c r="R535" s="17">
        <f t="shared" si="318"/>
        <v>213.30555766890396</v>
      </c>
      <c r="S535" s="17">
        <f t="shared" si="319"/>
        <v>188.77698169709529</v>
      </c>
      <c r="T535" s="17">
        <f t="shared" si="320"/>
        <v>142.99129973710097</v>
      </c>
      <c r="U535" s="17">
        <f t="shared" si="321"/>
        <v>207.37143621073525</v>
      </c>
      <c r="V535" s="17">
        <f t="shared" si="322"/>
        <v>169.94066190508929</v>
      </c>
      <c r="W535" s="17">
        <f t="shared" si="323"/>
        <v>169.18775775452542</v>
      </c>
      <c r="X535" s="17">
        <f t="shared" si="324"/>
        <v>114.89421092555993</v>
      </c>
      <c r="Y535" s="17">
        <f t="shared" si="325"/>
        <v>170.30770469111494</v>
      </c>
      <c r="Z535" s="17">
        <f t="shared" si="326"/>
        <v>148.31611782607035</v>
      </c>
      <c r="AA535" s="17">
        <f t="shared" si="327"/>
        <v>151.43637838421435</v>
      </c>
      <c r="AB535" s="17">
        <f t="shared" si="328"/>
        <v>147.91111873135125</v>
      </c>
      <c r="AC535" s="17">
        <v>0</v>
      </c>
      <c r="AD535" s="17">
        <f t="shared" si="329"/>
        <v>0</v>
      </c>
      <c r="AE535" s="17">
        <f t="shared" si="330"/>
        <v>0</v>
      </c>
      <c r="AF535" s="17">
        <f t="shared" si="331"/>
        <v>0</v>
      </c>
      <c r="AG535" s="17">
        <f t="shared" si="332"/>
        <v>0</v>
      </c>
      <c r="AH535" s="17">
        <f t="shared" si="333"/>
        <v>0</v>
      </c>
      <c r="AI535" s="17">
        <f t="shared" si="334"/>
        <v>0</v>
      </c>
      <c r="AJ535" s="17">
        <f t="shared" si="335"/>
        <v>0</v>
      </c>
      <c r="AK535" s="17">
        <f t="shared" si="336"/>
        <v>0</v>
      </c>
      <c r="AL535" s="17">
        <f t="shared" si="337"/>
        <v>0</v>
      </c>
      <c r="AM535" s="17">
        <f t="shared" si="338"/>
        <v>0</v>
      </c>
      <c r="AN535" s="17">
        <f t="shared" si="339"/>
        <v>0</v>
      </c>
      <c r="AO535" s="17">
        <f t="shared" si="340"/>
        <v>0</v>
      </c>
      <c r="AP535" s="17">
        <f t="shared" si="341"/>
        <v>2000</v>
      </c>
      <c r="AQ535" s="18">
        <v>9.9473118659227122</v>
      </c>
      <c r="AR535" s="18">
        <v>11.896050951194777</v>
      </c>
      <c r="AS535" s="18">
        <v>10.528092269247006</v>
      </c>
      <c r="AT535" s="18">
        <v>7.974624786338123</v>
      </c>
      <c r="AU535" s="18">
        <v>11.565104997472707</v>
      </c>
      <c r="AV535" s="18">
        <v>9.4775907144468299</v>
      </c>
      <c r="AW535" s="18">
        <v>9.4356012499698831</v>
      </c>
      <c r="AX535" s="18">
        <v>6.4076501433184783</v>
      </c>
      <c r="AY535" s="18">
        <v>9.4980606906234826</v>
      </c>
      <c r="AZ535" s="18">
        <v>8.2715898911599446</v>
      </c>
      <c r="BA535" s="18">
        <v>8.4456068224876351</v>
      </c>
      <c r="BB535" s="18">
        <v>8.2490030916474595</v>
      </c>
      <c r="BC535" s="23">
        <v>8.9181565948742242E-2</v>
      </c>
      <c r="BD535" s="23">
        <v>0.10665277883445198</v>
      </c>
      <c r="BE535" s="23">
        <v>9.438849084854764E-2</v>
      </c>
      <c r="BF535" s="23">
        <v>7.149564986855049E-2</v>
      </c>
      <c r="BG535" s="23">
        <v>0.10368571810536763</v>
      </c>
      <c r="BH535" s="23">
        <v>8.4970330952544637E-2</v>
      </c>
      <c r="BI535" s="23">
        <v>8.4593878877262704E-2</v>
      </c>
      <c r="BJ535" s="23">
        <v>5.7447105462779965E-2</v>
      </c>
      <c r="BK535" s="23">
        <v>8.5153852345557474E-2</v>
      </c>
      <c r="BL535" s="23">
        <v>7.4158058913035174E-2</v>
      </c>
      <c r="BM535" s="23">
        <v>7.5718189192107169E-2</v>
      </c>
      <c r="BN535" s="23">
        <v>7.3955559365675619E-2</v>
      </c>
    </row>
    <row r="536" spans="1:66" x14ac:dyDescent="0.25">
      <c r="A536" s="16">
        <v>1880</v>
      </c>
      <c r="B536" s="16" t="s">
        <v>730</v>
      </c>
      <c r="C536" s="17">
        <v>300</v>
      </c>
      <c r="D536" s="17">
        <f t="shared" si="305"/>
        <v>26.754469784622671</v>
      </c>
      <c r="E536" s="17">
        <f t="shared" si="306"/>
        <v>31.995833650335594</v>
      </c>
      <c r="F536" s="17">
        <f t="shared" si="307"/>
        <v>28.316547254564291</v>
      </c>
      <c r="G536" s="17">
        <f t="shared" si="308"/>
        <v>21.448694960565145</v>
      </c>
      <c r="H536" s="17">
        <f t="shared" si="309"/>
        <v>31.105715431610289</v>
      </c>
      <c r="I536" s="17">
        <f t="shared" si="310"/>
        <v>25.49109928576339</v>
      </c>
      <c r="J536" s="17">
        <f t="shared" si="311"/>
        <v>25.37816366317881</v>
      </c>
      <c r="K536" s="17">
        <f t="shared" si="312"/>
        <v>17.23413163883399</v>
      </c>
      <c r="L536" s="17">
        <f t="shared" si="313"/>
        <v>25.546155703667242</v>
      </c>
      <c r="M536" s="17">
        <f t="shared" si="314"/>
        <v>22.247417673910551</v>
      </c>
      <c r="N536" s="17">
        <f t="shared" si="315"/>
        <v>22.71545675763215</v>
      </c>
      <c r="O536" s="17">
        <f t="shared" si="316"/>
        <v>22.186667809702687</v>
      </c>
      <c r="P536" s="17">
        <v>0</v>
      </c>
      <c r="Q536" s="17">
        <f t="shared" si="317"/>
        <v>0</v>
      </c>
      <c r="R536" s="17">
        <f t="shared" si="318"/>
        <v>0</v>
      </c>
      <c r="S536" s="17">
        <f t="shared" si="319"/>
        <v>0</v>
      </c>
      <c r="T536" s="17">
        <f t="shared" si="320"/>
        <v>0</v>
      </c>
      <c r="U536" s="17">
        <f t="shared" si="321"/>
        <v>0</v>
      </c>
      <c r="V536" s="17">
        <f t="shared" si="322"/>
        <v>0</v>
      </c>
      <c r="W536" s="17">
        <f t="shared" si="323"/>
        <v>0</v>
      </c>
      <c r="X536" s="17">
        <f t="shared" si="324"/>
        <v>0</v>
      </c>
      <c r="Y536" s="17">
        <f t="shared" si="325"/>
        <v>0</v>
      </c>
      <c r="Z536" s="17">
        <f t="shared" si="326"/>
        <v>0</v>
      </c>
      <c r="AA536" s="17">
        <f t="shared" si="327"/>
        <v>0</v>
      </c>
      <c r="AB536" s="17">
        <f t="shared" si="328"/>
        <v>0</v>
      </c>
      <c r="AC536" s="17">
        <v>0</v>
      </c>
      <c r="AD536" s="17">
        <f t="shared" si="329"/>
        <v>0</v>
      </c>
      <c r="AE536" s="17">
        <f t="shared" si="330"/>
        <v>0</v>
      </c>
      <c r="AF536" s="17">
        <f t="shared" si="331"/>
        <v>0</v>
      </c>
      <c r="AG536" s="17">
        <f t="shared" si="332"/>
        <v>0</v>
      </c>
      <c r="AH536" s="17">
        <f t="shared" si="333"/>
        <v>0</v>
      </c>
      <c r="AI536" s="17">
        <f t="shared" si="334"/>
        <v>0</v>
      </c>
      <c r="AJ536" s="17">
        <f t="shared" si="335"/>
        <v>0</v>
      </c>
      <c r="AK536" s="17">
        <f t="shared" si="336"/>
        <v>0</v>
      </c>
      <c r="AL536" s="17">
        <f t="shared" si="337"/>
        <v>0</v>
      </c>
      <c r="AM536" s="17">
        <f t="shared" si="338"/>
        <v>0</v>
      </c>
      <c r="AN536" s="17">
        <f t="shared" si="339"/>
        <v>0</v>
      </c>
      <c r="AO536" s="17">
        <f t="shared" si="340"/>
        <v>0</v>
      </c>
      <c r="AP536" s="17">
        <f t="shared" si="341"/>
        <v>300</v>
      </c>
      <c r="AQ536" s="18">
        <v>0</v>
      </c>
      <c r="AR536" s="18">
        <v>0</v>
      </c>
      <c r="AS536" s="18">
        <v>0</v>
      </c>
      <c r="AT536" s="18">
        <v>0</v>
      </c>
      <c r="AU536" s="18">
        <v>0</v>
      </c>
      <c r="AV536" s="18">
        <v>0</v>
      </c>
      <c r="AW536" s="18">
        <v>0</v>
      </c>
      <c r="AX536" s="18">
        <v>0</v>
      </c>
      <c r="AY536" s="18">
        <v>0</v>
      </c>
      <c r="AZ536" s="18">
        <v>0</v>
      </c>
      <c r="BA536" s="18">
        <v>0</v>
      </c>
      <c r="BB536" s="18">
        <v>0</v>
      </c>
      <c r="BC536" s="23">
        <v>8.9181565948742242E-2</v>
      </c>
      <c r="BD536" s="23">
        <v>0.10665277883445198</v>
      </c>
      <c r="BE536" s="23">
        <v>9.438849084854764E-2</v>
      </c>
      <c r="BF536" s="23">
        <v>7.149564986855049E-2</v>
      </c>
      <c r="BG536" s="23">
        <v>0.10368571810536763</v>
      </c>
      <c r="BH536" s="23">
        <v>8.4970330952544637E-2</v>
      </c>
      <c r="BI536" s="23">
        <v>8.4593878877262704E-2</v>
      </c>
      <c r="BJ536" s="23">
        <v>5.7447105462779965E-2</v>
      </c>
      <c r="BK536" s="23">
        <v>8.5153852345557474E-2</v>
      </c>
      <c r="BL536" s="23">
        <v>7.4158058913035174E-2</v>
      </c>
      <c r="BM536" s="23">
        <v>7.5718189192107169E-2</v>
      </c>
      <c r="BN536" s="23">
        <v>7.3955559365675619E-2</v>
      </c>
    </row>
    <row r="537" spans="1:66" x14ac:dyDescent="0.25">
      <c r="A537" s="16">
        <v>2030</v>
      </c>
      <c r="B537" s="16" t="s">
        <v>731</v>
      </c>
      <c r="C537" s="17">
        <v>0</v>
      </c>
      <c r="D537" s="17">
        <f t="shared" si="305"/>
        <v>0</v>
      </c>
      <c r="E537" s="17">
        <f t="shared" si="306"/>
        <v>0</v>
      </c>
      <c r="F537" s="17">
        <f t="shared" si="307"/>
        <v>0</v>
      </c>
      <c r="G537" s="17">
        <f t="shared" si="308"/>
        <v>0</v>
      </c>
      <c r="H537" s="17">
        <f t="shared" si="309"/>
        <v>0</v>
      </c>
      <c r="I537" s="17">
        <f t="shared" si="310"/>
        <v>0</v>
      </c>
      <c r="J537" s="17">
        <f t="shared" si="311"/>
        <v>0</v>
      </c>
      <c r="K537" s="17">
        <f t="shared" si="312"/>
        <v>0</v>
      </c>
      <c r="L537" s="17">
        <f t="shared" si="313"/>
        <v>0</v>
      </c>
      <c r="M537" s="17">
        <f t="shared" si="314"/>
        <v>0</v>
      </c>
      <c r="N537" s="17">
        <f t="shared" si="315"/>
        <v>0</v>
      </c>
      <c r="O537" s="17">
        <f t="shared" si="316"/>
        <v>0</v>
      </c>
      <c r="P537" s="17">
        <v>1500</v>
      </c>
      <c r="Q537" s="17">
        <f t="shared" si="317"/>
        <v>133.77234892311336</v>
      </c>
      <c r="R537" s="17">
        <f t="shared" si="318"/>
        <v>159.97916825167798</v>
      </c>
      <c r="S537" s="17">
        <f t="shared" si="319"/>
        <v>141.58273627282145</v>
      </c>
      <c r="T537" s="17">
        <f t="shared" si="320"/>
        <v>107.24347480282573</v>
      </c>
      <c r="U537" s="17">
        <f t="shared" si="321"/>
        <v>155.52857715805143</v>
      </c>
      <c r="V537" s="17">
        <f t="shared" si="322"/>
        <v>127.45549642881696</v>
      </c>
      <c r="W537" s="17">
        <f t="shared" si="323"/>
        <v>126.89081831589405</v>
      </c>
      <c r="X537" s="17">
        <f t="shared" si="324"/>
        <v>86.170658194169945</v>
      </c>
      <c r="Y537" s="17">
        <f t="shared" si="325"/>
        <v>127.73077851833621</v>
      </c>
      <c r="Z537" s="17">
        <f t="shared" si="326"/>
        <v>111.23708836955277</v>
      </c>
      <c r="AA537" s="17">
        <f t="shared" si="327"/>
        <v>113.57728378816076</v>
      </c>
      <c r="AB537" s="17">
        <f t="shared" si="328"/>
        <v>110.93333904851343</v>
      </c>
      <c r="AC537" s="17">
        <v>0</v>
      </c>
      <c r="AD537" s="17">
        <f t="shared" si="329"/>
        <v>0</v>
      </c>
      <c r="AE537" s="17">
        <f t="shared" si="330"/>
        <v>0</v>
      </c>
      <c r="AF537" s="17">
        <f t="shared" si="331"/>
        <v>0</v>
      </c>
      <c r="AG537" s="17">
        <f t="shared" si="332"/>
        <v>0</v>
      </c>
      <c r="AH537" s="17">
        <f t="shared" si="333"/>
        <v>0</v>
      </c>
      <c r="AI537" s="17">
        <f t="shared" si="334"/>
        <v>0</v>
      </c>
      <c r="AJ537" s="17">
        <f t="shared" si="335"/>
        <v>0</v>
      </c>
      <c r="AK537" s="17">
        <f t="shared" si="336"/>
        <v>0</v>
      </c>
      <c r="AL537" s="17">
        <f t="shared" si="337"/>
        <v>0</v>
      </c>
      <c r="AM537" s="17">
        <f t="shared" si="338"/>
        <v>0</v>
      </c>
      <c r="AN537" s="17">
        <f t="shared" si="339"/>
        <v>0</v>
      </c>
      <c r="AO537" s="17">
        <f t="shared" si="340"/>
        <v>0</v>
      </c>
      <c r="AP537" s="17">
        <f t="shared" si="341"/>
        <v>1500</v>
      </c>
      <c r="AQ537" s="18">
        <v>6.4353417988612396</v>
      </c>
      <c r="AR537" s="18">
        <v>7.6960645206940548</v>
      </c>
      <c r="AS537" s="18">
        <v>6.8110734996311972</v>
      </c>
      <c r="AT537" s="18">
        <v>5.1591260945146029</v>
      </c>
      <c r="AU537" s="18">
        <v>7.4819614184833281</v>
      </c>
      <c r="AV537" s="18">
        <v>6.1314590815356205</v>
      </c>
      <c r="AW537" s="18">
        <v>6.1042942997832768</v>
      </c>
      <c r="AX537" s="18">
        <v>4.1453831301942019</v>
      </c>
      <c r="AY537" s="18">
        <v>6.144701985255427</v>
      </c>
      <c r="AZ537" s="18">
        <v>5.3512455311646177</v>
      </c>
      <c r="BA537" s="18">
        <v>5.4638245321024534</v>
      </c>
      <c r="BB537" s="18">
        <v>5.3366331638271527</v>
      </c>
      <c r="BC537" s="23">
        <v>8.9181565948742242E-2</v>
      </c>
      <c r="BD537" s="23">
        <v>0.10665277883445198</v>
      </c>
      <c r="BE537" s="23">
        <v>9.438849084854764E-2</v>
      </c>
      <c r="BF537" s="23">
        <v>7.149564986855049E-2</v>
      </c>
      <c r="BG537" s="23">
        <v>0.10368571810536763</v>
      </c>
      <c r="BH537" s="23">
        <v>8.4970330952544637E-2</v>
      </c>
      <c r="BI537" s="23">
        <v>8.4593878877262704E-2</v>
      </c>
      <c r="BJ537" s="23">
        <v>5.7447105462779965E-2</v>
      </c>
      <c r="BK537" s="23">
        <v>8.5153852345557474E-2</v>
      </c>
      <c r="BL537" s="23">
        <v>7.4158058913035174E-2</v>
      </c>
      <c r="BM537" s="23">
        <v>7.5718189192107169E-2</v>
      </c>
      <c r="BN537" s="23">
        <v>7.3955559365675619E-2</v>
      </c>
    </row>
    <row r="538" spans="1:66" x14ac:dyDescent="0.25">
      <c r="A538" s="16">
        <v>2085</v>
      </c>
      <c r="B538" s="16" t="s">
        <v>732</v>
      </c>
      <c r="C538" s="17">
        <v>0</v>
      </c>
      <c r="D538" s="17">
        <f t="shared" si="305"/>
        <v>0</v>
      </c>
      <c r="E538" s="17">
        <f t="shared" si="306"/>
        <v>0</v>
      </c>
      <c r="F538" s="17">
        <f t="shared" si="307"/>
        <v>0</v>
      </c>
      <c r="G538" s="17">
        <f t="shared" si="308"/>
        <v>0</v>
      </c>
      <c r="H538" s="17">
        <f t="shared" si="309"/>
        <v>0</v>
      </c>
      <c r="I538" s="17">
        <f t="shared" si="310"/>
        <v>0</v>
      </c>
      <c r="J538" s="17">
        <f t="shared" si="311"/>
        <v>0</v>
      </c>
      <c r="K538" s="17">
        <f t="shared" si="312"/>
        <v>0</v>
      </c>
      <c r="L538" s="17">
        <f t="shared" si="313"/>
        <v>0</v>
      </c>
      <c r="M538" s="17">
        <f t="shared" si="314"/>
        <v>0</v>
      </c>
      <c r="N538" s="17">
        <f t="shared" si="315"/>
        <v>0</v>
      </c>
      <c r="O538" s="17">
        <f t="shared" si="316"/>
        <v>0</v>
      </c>
      <c r="P538" s="17">
        <v>0</v>
      </c>
      <c r="Q538" s="17">
        <f t="shared" si="317"/>
        <v>0</v>
      </c>
      <c r="R538" s="17">
        <f t="shared" si="318"/>
        <v>0</v>
      </c>
      <c r="S538" s="17">
        <f t="shared" si="319"/>
        <v>0</v>
      </c>
      <c r="T538" s="17">
        <f t="shared" si="320"/>
        <v>0</v>
      </c>
      <c r="U538" s="17">
        <f t="shared" si="321"/>
        <v>0</v>
      </c>
      <c r="V538" s="17">
        <f t="shared" si="322"/>
        <v>0</v>
      </c>
      <c r="W538" s="17">
        <f t="shared" si="323"/>
        <v>0</v>
      </c>
      <c r="X538" s="17">
        <f t="shared" si="324"/>
        <v>0</v>
      </c>
      <c r="Y538" s="17">
        <f t="shared" si="325"/>
        <v>0</v>
      </c>
      <c r="Z538" s="17">
        <f t="shared" si="326"/>
        <v>0</v>
      </c>
      <c r="AA538" s="17">
        <f t="shared" si="327"/>
        <v>0</v>
      </c>
      <c r="AB538" s="17">
        <f t="shared" si="328"/>
        <v>0</v>
      </c>
      <c r="AC538" s="17">
        <v>0</v>
      </c>
      <c r="AD538" s="17">
        <f t="shared" si="329"/>
        <v>0</v>
      </c>
      <c r="AE538" s="17">
        <f t="shared" si="330"/>
        <v>0</v>
      </c>
      <c r="AF538" s="17">
        <f t="shared" si="331"/>
        <v>0</v>
      </c>
      <c r="AG538" s="17">
        <f t="shared" si="332"/>
        <v>0</v>
      </c>
      <c r="AH538" s="17">
        <f t="shared" si="333"/>
        <v>0</v>
      </c>
      <c r="AI538" s="17">
        <f t="shared" si="334"/>
        <v>0</v>
      </c>
      <c r="AJ538" s="17">
        <f t="shared" si="335"/>
        <v>0</v>
      </c>
      <c r="AK538" s="17">
        <f t="shared" si="336"/>
        <v>0</v>
      </c>
      <c r="AL538" s="17">
        <f t="shared" si="337"/>
        <v>0</v>
      </c>
      <c r="AM538" s="17">
        <f t="shared" si="338"/>
        <v>0</v>
      </c>
      <c r="AN538" s="17">
        <f t="shared" si="339"/>
        <v>0</v>
      </c>
      <c r="AO538" s="17">
        <f t="shared" si="340"/>
        <v>0</v>
      </c>
      <c r="AP538" s="17">
        <f t="shared" si="341"/>
        <v>0</v>
      </c>
      <c r="AQ538" s="18">
        <v>41.996491220922216</v>
      </c>
      <c r="AR538" s="18">
        <v>50.223860080931793</v>
      </c>
      <c r="AS538" s="18">
        <v>44.44848422548958</v>
      </c>
      <c r="AT538" s="18">
        <v>33.668016479599117</v>
      </c>
      <c r="AU538" s="18">
        <v>48.826641512998677</v>
      </c>
      <c r="AV538" s="18">
        <v>40.013378548862804</v>
      </c>
      <c r="AW538" s="18">
        <v>39.836103502091788</v>
      </c>
      <c r="AX538" s="18">
        <v>27.052416433477717</v>
      </c>
      <c r="AY538" s="18">
        <v>40.099800608046479</v>
      </c>
      <c r="AZ538" s="18">
        <v>34.921771522737401</v>
      </c>
      <c r="BA538" s="18">
        <v>35.656452472455193</v>
      </c>
      <c r="BB538" s="18">
        <v>34.82641246089031</v>
      </c>
      <c r="BC538" s="23">
        <v>8.9181565948742242E-2</v>
      </c>
      <c r="BD538" s="23">
        <v>0.10665277883445198</v>
      </c>
      <c r="BE538" s="23">
        <v>9.438849084854764E-2</v>
      </c>
      <c r="BF538" s="23">
        <v>7.149564986855049E-2</v>
      </c>
      <c r="BG538" s="23">
        <v>0.10368571810536763</v>
      </c>
      <c r="BH538" s="23">
        <v>8.4970330952544637E-2</v>
      </c>
      <c r="BI538" s="23">
        <v>8.4593878877262704E-2</v>
      </c>
      <c r="BJ538" s="23">
        <v>5.7447105462779965E-2</v>
      </c>
      <c r="BK538" s="23">
        <v>8.5153852345557474E-2</v>
      </c>
      <c r="BL538" s="23">
        <v>7.4158058913035174E-2</v>
      </c>
      <c r="BM538" s="23">
        <v>7.5718189192107169E-2</v>
      </c>
      <c r="BN538" s="23">
        <v>7.3955559365675619E-2</v>
      </c>
    </row>
    <row r="539" spans="1:66" x14ac:dyDescent="0.25">
      <c r="A539" s="16">
        <v>2101</v>
      </c>
      <c r="B539" s="16" t="s">
        <v>733</v>
      </c>
      <c r="C539" s="17">
        <v>0</v>
      </c>
      <c r="D539" s="17">
        <f t="shared" si="305"/>
        <v>0</v>
      </c>
      <c r="E539" s="17">
        <f t="shared" si="306"/>
        <v>0</v>
      </c>
      <c r="F539" s="17">
        <f t="shared" si="307"/>
        <v>0</v>
      </c>
      <c r="G539" s="17">
        <f t="shared" si="308"/>
        <v>0</v>
      </c>
      <c r="H539" s="17">
        <f t="shared" si="309"/>
        <v>0</v>
      </c>
      <c r="I539" s="17">
        <f t="shared" si="310"/>
        <v>0</v>
      </c>
      <c r="J539" s="17">
        <f t="shared" si="311"/>
        <v>0</v>
      </c>
      <c r="K539" s="17">
        <f t="shared" si="312"/>
        <v>0</v>
      </c>
      <c r="L539" s="17">
        <f t="shared" si="313"/>
        <v>0</v>
      </c>
      <c r="M539" s="17">
        <f t="shared" si="314"/>
        <v>0</v>
      </c>
      <c r="N539" s="17">
        <f t="shared" si="315"/>
        <v>0</v>
      </c>
      <c r="O539" s="17">
        <f t="shared" si="316"/>
        <v>0</v>
      </c>
      <c r="P539" s="17">
        <v>0</v>
      </c>
      <c r="Q539" s="17">
        <f t="shared" si="317"/>
        <v>0</v>
      </c>
      <c r="R539" s="17">
        <f t="shared" si="318"/>
        <v>0</v>
      </c>
      <c r="S539" s="17">
        <f t="shared" si="319"/>
        <v>0</v>
      </c>
      <c r="T539" s="17">
        <f t="shared" si="320"/>
        <v>0</v>
      </c>
      <c r="U539" s="17">
        <f t="shared" si="321"/>
        <v>0</v>
      </c>
      <c r="V539" s="17">
        <f t="shared" si="322"/>
        <v>0</v>
      </c>
      <c r="W539" s="17">
        <f t="shared" si="323"/>
        <v>0</v>
      </c>
      <c r="X539" s="17">
        <f t="shared" si="324"/>
        <v>0</v>
      </c>
      <c r="Y539" s="17">
        <f t="shared" si="325"/>
        <v>0</v>
      </c>
      <c r="Z539" s="17">
        <f t="shared" si="326"/>
        <v>0</v>
      </c>
      <c r="AA539" s="17">
        <f t="shared" si="327"/>
        <v>0</v>
      </c>
      <c r="AB539" s="17">
        <f t="shared" si="328"/>
        <v>0</v>
      </c>
      <c r="AC539" s="17">
        <v>0</v>
      </c>
      <c r="AD539" s="17">
        <f t="shared" si="329"/>
        <v>0</v>
      </c>
      <c r="AE539" s="17">
        <f t="shared" si="330"/>
        <v>0</v>
      </c>
      <c r="AF539" s="17">
        <f t="shared" si="331"/>
        <v>0</v>
      </c>
      <c r="AG539" s="17">
        <f t="shared" si="332"/>
        <v>0</v>
      </c>
      <c r="AH539" s="17">
        <f t="shared" si="333"/>
        <v>0</v>
      </c>
      <c r="AI539" s="17">
        <f t="shared" si="334"/>
        <v>0</v>
      </c>
      <c r="AJ539" s="17">
        <f t="shared" si="335"/>
        <v>0</v>
      </c>
      <c r="AK539" s="17">
        <f t="shared" si="336"/>
        <v>0</v>
      </c>
      <c r="AL539" s="17">
        <f t="shared" si="337"/>
        <v>0</v>
      </c>
      <c r="AM539" s="17">
        <f t="shared" si="338"/>
        <v>0</v>
      </c>
      <c r="AN539" s="17">
        <f t="shared" si="339"/>
        <v>0</v>
      </c>
      <c r="AO539" s="17">
        <f t="shared" si="340"/>
        <v>0</v>
      </c>
      <c r="AP539" s="17">
        <f t="shared" si="341"/>
        <v>0</v>
      </c>
      <c r="AQ539" s="18">
        <v>0</v>
      </c>
      <c r="AR539" s="18">
        <v>0</v>
      </c>
      <c r="AS539" s="18">
        <v>0</v>
      </c>
      <c r="AT539" s="18">
        <v>0</v>
      </c>
      <c r="AU539" s="18">
        <v>0</v>
      </c>
      <c r="AV539" s="18">
        <v>0</v>
      </c>
      <c r="AW539" s="18">
        <v>0</v>
      </c>
      <c r="AX539" s="18">
        <v>0</v>
      </c>
      <c r="AY539" s="18">
        <v>0</v>
      </c>
      <c r="AZ539" s="18">
        <v>0</v>
      </c>
      <c r="BA539" s="18">
        <v>0</v>
      </c>
      <c r="BB539" s="18">
        <v>0</v>
      </c>
      <c r="BC539" s="23">
        <v>8.9181565948742242E-2</v>
      </c>
      <c r="BD539" s="23">
        <v>0.10665277883445198</v>
      </c>
      <c r="BE539" s="23">
        <v>9.438849084854764E-2</v>
      </c>
      <c r="BF539" s="23">
        <v>7.149564986855049E-2</v>
      </c>
      <c r="BG539" s="23">
        <v>0.10368571810536763</v>
      </c>
      <c r="BH539" s="23">
        <v>8.4970330952544637E-2</v>
      </c>
      <c r="BI539" s="23">
        <v>8.4593878877262704E-2</v>
      </c>
      <c r="BJ539" s="23">
        <v>5.7447105462779965E-2</v>
      </c>
      <c r="BK539" s="23">
        <v>8.5153852345557474E-2</v>
      </c>
      <c r="BL539" s="23">
        <v>7.4158058913035174E-2</v>
      </c>
      <c r="BM539" s="23">
        <v>7.5718189192107169E-2</v>
      </c>
      <c r="BN539" s="23">
        <v>7.3955559365675619E-2</v>
      </c>
    </row>
    <row r="540" spans="1:66" x14ac:dyDescent="0.25">
      <c r="A540" s="16">
        <v>2141</v>
      </c>
      <c r="B540" s="16" t="s">
        <v>734</v>
      </c>
      <c r="C540" s="17">
        <v>0</v>
      </c>
      <c r="D540" s="17">
        <f t="shared" si="305"/>
        <v>0</v>
      </c>
      <c r="E540" s="17">
        <f t="shared" si="306"/>
        <v>0</v>
      </c>
      <c r="F540" s="17">
        <f t="shared" si="307"/>
        <v>0</v>
      </c>
      <c r="G540" s="17">
        <f t="shared" si="308"/>
        <v>0</v>
      </c>
      <c r="H540" s="17">
        <f t="shared" si="309"/>
        <v>0</v>
      </c>
      <c r="I540" s="17">
        <f t="shared" si="310"/>
        <v>0</v>
      </c>
      <c r="J540" s="17">
        <f t="shared" si="311"/>
        <v>0</v>
      </c>
      <c r="K540" s="17">
        <f t="shared" si="312"/>
        <v>0</v>
      </c>
      <c r="L540" s="17">
        <f t="shared" si="313"/>
        <v>0</v>
      </c>
      <c r="M540" s="17">
        <f t="shared" si="314"/>
        <v>0</v>
      </c>
      <c r="N540" s="17">
        <f t="shared" si="315"/>
        <v>0</v>
      </c>
      <c r="O540" s="17">
        <f t="shared" si="316"/>
        <v>0</v>
      </c>
      <c r="P540" s="17">
        <v>0</v>
      </c>
      <c r="Q540" s="17">
        <f t="shared" si="317"/>
        <v>0</v>
      </c>
      <c r="R540" s="17">
        <f t="shared" si="318"/>
        <v>0</v>
      </c>
      <c r="S540" s="17">
        <f t="shared" si="319"/>
        <v>0</v>
      </c>
      <c r="T540" s="17">
        <f t="shared" si="320"/>
        <v>0</v>
      </c>
      <c r="U540" s="17">
        <f t="shared" si="321"/>
        <v>0</v>
      </c>
      <c r="V540" s="17">
        <f t="shared" si="322"/>
        <v>0</v>
      </c>
      <c r="W540" s="17">
        <f t="shared" si="323"/>
        <v>0</v>
      </c>
      <c r="X540" s="17">
        <f t="shared" si="324"/>
        <v>0</v>
      </c>
      <c r="Y540" s="17">
        <f t="shared" si="325"/>
        <v>0</v>
      </c>
      <c r="Z540" s="17">
        <f t="shared" si="326"/>
        <v>0</v>
      </c>
      <c r="AA540" s="17">
        <f t="shared" si="327"/>
        <v>0</v>
      </c>
      <c r="AB540" s="17">
        <f t="shared" si="328"/>
        <v>0</v>
      </c>
      <c r="AC540" s="17">
        <v>150000</v>
      </c>
      <c r="AD540" s="17">
        <f t="shared" si="329"/>
        <v>13377.234892311337</v>
      </c>
      <c r="AE540" s="17">
        <f t="shared" si="330"/>
        <v>15997.916825167798</v>
      </c>
      <c r="AF540" s="17">
        <f t="shared" si="331"/>
        <v>14158.273627282146</v>
      </c>
      <c r="AG540" s="17">
        <f t="shared" si="332"/>
        <v>10724.347480282573</v>
      </c>
      <c r="AH540" s="17">
        <f t="shared" si="333"/>
        <v>15552.857715805145</v>
      </c>
      <c r="AI540" s="17">
        <f t="shared" si="334"/>
        <v>12745.549642881695</v>
      </c>
      <c r="AJ540" s="17">
        <f t="shared" si="335"/>
        <v>12689.081831589405</v>
      </c>
      <c r="AK540" s="17">
        <f t="shared" si="336"/>
        <v>8617.0658194169955</v>
      </c>
      <c r="AL540" s="17">
        <f t="shared" si="337"/>
        <v>12773.077851833621</v>
      </c>
      <c r="AM540" s="17">
        <f t="shared" si="338"/>
        <v>11123.708836955277</v>
      </c>
      <c r="AN540" s="17">
        <f t="shared" si="339"/>
        <v>11357.728378816075</v>
      </c>
      <c r="AO540" s="17">
        <f t="shared" si="340"/>
        <v>11093.333904851343</v>
      </c>
      <c r="AP540" s="17">
        <f t="shared" si="341"/>
        <v>150000</v>
      </c>
      <c r="AQ540" s="18">
        <v>21.55250904283254</v>
      </c>
      <c r="AR540" s="18">
        <v>25.774777060922013</v>
      </c>
      <c r="AS540" s="18">
        <v>22.810866583368508</v>
      </c>
      <c r="AT540" s="18">
        <v>17.278353703732598</v>
      </c>
      <c r="AU540" s="18">
        <v>25.057727494524197</v>
      </c>
      <c r="AV540" s="18">
        <v>20.534779881301464</v>
      </c>
      <c r="AW540" s="18">
        <v>20.44380270826808</v>
      </c>
      <c r="AX540" s="18">
        <v>13.883241977190035</v>
      </c>
      <c r="AY540" s="18">
        <v>20.579131496350875</v>
      </c>
      <c r="AZ540" s="18">
        <v>17.921778097513211</v>
      </c>
      <c r="BA540" s="18">
        <v>18.298814782056542</v>
      </c>
      <c r="BB540" s="18">
        <v>17.872840031902829</v>
      </c>
      <c r="BC540" s="23">
        <v>8.9181565948742242E-2</v>
      </c>
      <c r="BD540" s="23">
        <v>0.10665277883445198</v>
      </c>
      <c r="BE540" s="23">
        <v>9.438849084854764E-2</v>
      </c>
      <c r="BF540" s="23">
        <v>7.149564986855049E-2</v>
      </c>
      <c r="BG540" s="23">
        <v>0.10368571810536763</v>
      </c>
      <c r="BH540" s="23">
        <v>8.4970330952544637E-2</v>
      </c>
      <c r="BI540" s="23">
        <v>8.4593878877262704E-2</v>
      </c>
      <c r="BJ540" s="23">
        <v>5.7447105462779965E-2</v>
      </c>
      <c r="BK540" s="23">
        <v>8.5153852345557474E-2</v>
      </c>
      <c r="BL540" s="23">
        <v>7.4158058913035174E-2</v>
      </c>
      <c r="BM540" s="23">
        <v>7.5718189192107169E-2</v>
      </c>
      <c r="BN540" s="23">
        <v>7.3955559365675619E-2</v>
      </c>
    </row>
    <row r="541" spans="1:66" x14ac:dyDescent="0.25">
      <c r="A541" s="16">
        <v>2187</v>
      </c>
      <c r="B541" s="16" t="s">
        <v>735</v>
      </c>
      <c r="C541" s="17">
        <v>0</v>
      </c>
      <c r="D541" s="17">
        <f t="shared" si="305"/>
        <v>0</v>
      </c>
      <c r="E541" s="17">
        <f t="shared" si="306"/>
        <v>0</v>
      </c>
      <c r="F541" s="17">
        <f t="shared" si="307"/>
        <v>0</v>
      </c>
      <c r="G541" s="17">
        <f t="shared" si="308"/>
        <v>0</v>
      </c>
      <c r="H541" s="17">
        <f t="shared" si="309"/>
        <v>0</v>
      </c>
      <c r="I541" s="17">
        <f t="shared" si="310"/>
        <v>0</v>
      </c>
      <c r="J541" s="17">
        <f t="shared" si="311"/>
        <v>0</v>
      </c>
      <c r="K541" s="17">
        <f t="shared" si="312"/>
        <v>0</v>
      </c>
      <c r="L541" s="17">
        <f t="shared" si="313"/>
        <v>0</v>
      </c>
      <c r="M541" s="17">
        <f t="shared" si="314"/>
        <v>0</v>
      </c>
      <c r="N541" s="17">
        <f t="shared" si="315"/>
        <v>0</v>
      </c>
      <c r="O541" s="17">
        <f t="shared" si="316"/>
        <v>0</v>
      </c>
      <c r="P541" s="17">
        <v>0</v>
      </c>
      <c r="Q541" s="17">
        <f t="shared" si="317"/>
        <v>0</v>
      </c>
      <c r="R541" s="17">
        <f t="shared" si="318"/>
        <v>0</v>
      </c>
      <c r="S541" s="17">
        <f t="shared" si="319"/>
        <v>0</v>
      </c>
      <c r="T541" s="17">
        <f t="shared" si="320"/>
        <v>0</v>
      </c>
      <c r="U541" s="17">
        <f t="shared" si="321"/>
        <v>0</v>
      </c>
      <c r="V541" s="17">
        <f t="shared" si="322"/>
        <v>0</v>
      </c>
      <c r="W541" s="17">
        <f t="shared" si="323"/>
        <v>0</v>
      </c>
      <c r="X541" s="17">
        <f t="shared" si="324"/>
        <v>0</v>
      </c>
      <c r="Y541" s="17">
        <f t="shared" si="325"/>
        <v>0</v>
      </c>
      <c r="Z541" s="17">
        <f t="shared" si="326"/>
        <v>0</v>
      </c>
      <c r="AA541" s="17">
        <f t="shared" si="327"/>
        <v>0</v>
      </c>
      <c r="AB541" s="17">
        <f t="shared" si="328"/>
        <v>0</v>
      </c>
      <c r="AC541" s="17">
        <v>0</v>
      </c>
      <c r="AD541" s="17">
        <f t="shared" si="329"/>
        <v>0</v>
      </c>
      <c r="AE541" s="17">
        <f t="shared" si="330"/>
        <v>0</v>
      </c>
      <c r="AF541" s="17">
        <f t="shared" si="331"/>
        <v>0</v>
      </c>
      <c r="AG541" s="17">
        <f t="shared" si="332"/>
        <v>0</v>
      </c>
      <c r="AH541" s="17">
        <f t="shared" si="333"/>
        <v>0</v>
      </c>
      <c r="AI541" s="17">
        <f t="shared" si="334"/>
        <v>0</v>
      </c>
      <c r="AJ541" s="17">
        <f t="shared" si="335"/>
        <v>0</v>
      </c>
      <c r="AK541" s="17">
        <f t="shared" si="336"/>
        <v>0</v>
      </c>
      <c r="AL541" s="17">
        <f t="shared" si="337"/>
        <v>0</v>
      </c>
      <c r="AM541" s="17">
        <f t="shared" si="338"/>
        <v>0</v>
      </c>
      <c r="AN541" s="17">
        <f t="shared" si="339"/>
        <v>0</v>
      </c>
      <c r="AO541" s="17">
        <f t="shared" si="340"/>
        <v>0</v>
      </c>
      <c r="AP541" s="17">
        <f t="shared" si="341"/>
        <v>0</v>
      </c>
      <c r="AQ541" s="18">
        <v>0</v>
      </c>
      <c r="AR541" s="18">
        <v>0</v>
      </c>
      <c r="AS541" s="18">
        <v>0</v>
      </c>
      <c r="AT541" s="18">
        <v>0</v>
      </c>
      <c r="AU541" s="18">
        <v>0</v>
      </c>
      <c r="AV541" s="18">
        <v>0</v>
      </c>
      <c r="AW541" s="18">
        <v>0</v>
      </c>
      <c r="AX541" s="18">
        <v>0</v>
      </c>
      <c r="AY541" s="18">
        <v>0</v>
      </c>
      <c r="AZ541" s="18">
        <v>0</v>
      </c>
      <c r="BA541" s="18">
        <v>0</v>
      </c>
      <c r="BB541" s="18">
        <v>0</v>
      </c>
      <c r="BC541" s="23">
        <v>8.9181565948742242E-2</v>
      </c>
      <c r="BD541" s="23">
        <v>0.10665277883445198</v>
      </c>
      <c r="BE541" s="23">
        <v>9.438849084854764E-2</v>
      </c>
      <c r="BF541" s="23">
        <v>7.149564986855049E-2</v>
      </c>
      <c r="BG541" s="23">
        <v>0.10368571810536763</v>
      </c>
      <c r="BH541" s="23">
        <v>8.4970330952544637E-2</v>
      </c>
      <c r="BI541" s="23">
        <v>8.4593878877262704E-2</v>
      </c>
      <c r="BJ541" s="23">
        <v>5.7447105462779965E-2</v>
      </c>
      <c r="BK541" s="23">
        <v>8.5153852345557474E-2</v>
      </c>
      <c r="BL541" s="23">
        <v>7.4158058913035174E-2</v>
      </c>
      <c r="BM541" s="23">
        <v>7.5718189192107169E-2</v>
      </c>
      <c r="BN541" s="23">
        <v>7.3955559365675619E-2</v>
      </c>
    </row>
    <row r="542" spans="1:66" x14ac:dyDescent="0.25">
      <c r="A542" s="16">
        <v>2248</v>
      </c>
      <c r="B542" s="16" t="s">
        <v>736</v>
      </c>
      <c r="C542" s="17">
        <v>0</v>
      </c>
      <c r="D542" s="17">
        <f t="shared" si="305"/>
        <v>0</v>
      </c>
      <c r="E542" s="17">
        <f t="shared" si="306"/>
        <v>0</v>
      </c>
      <c r="F542" s="17">
        <f t="shared" si="307"/>
        <v>0</v>
      </c>
      <c r="G542" s="17">
        <f t="shared" si="308"/>
        <v>0</v>
      </c>
      <c r="H542" s="17">
        <f t="shared" si="309"/>
        <v>0</v>
      </c>
      <c r="I542" s="17">
        <f t="shared" si="310"/>
        <v>0</v>
      </c>
      <c r="J542" s="17">
        <f t="shared" si="311"/>
        <v>0</v>
      </c>
      <c r="K542" s="17">
        <f t="shared" si="312"/>
        <v>0</v>
      </c>
      <c r="L542" s="17">
        <f t="shared" si="313"/>
        <v>0</v>
      </c>
      <c r="M542" s="17">
        <f t="shared" si="314"/>
        <v>0</v>
      </c>
      <c r="N542" s="17">
        <f t="shared" si="315"/>
        <v>0</v>
      </c>
      <c r="O542" s="17">
        <f t="shared" si="316"/>
        <v>0</v>
      </c>
      <c r="P542" s="17">
        <v>0</v>
      </c>
      <c r="Q542" s="17">
        <f t="shared" si="317"/>
        <v>0</v>
      </c>
      <c r="R542" s="17">
        <f t="shared" si="318"/>
        <v>0</v>
      </c>
      <c r="S542" s="17">
        <f t="shared" si="319"/>
        <v>0</v>
      </c>
      <c r="T542" s="17">
        <f t="shared" si="320"/>
        <v>0</v>
      </c>
      <c r="U542" s="17">
        <f t="shared" si="321"/>
        <v>0</v>
      </c>
      <c r="V542" s="17">
        <f t="shared" si="322"/>
        <v>0</v>
      </c>
      <c r="W542" s="17">
        <f t="shared" si="323"/>
        <v>0</v>
      </c>
      <c r="X542" s="17">
        <f t="shared" si="324"/>
        <v>0</v>
      </c>
      <c r="Y542" s="17">
        <f t="shared" si="325"/>
        <v>0</v>
      </c>
      <c r="Z542" s="17">
        <f t="shared" si="326"/>
        <v>0</v>
      </c>
      <c r="AA542" s="17">
        <f t="shared" si="327"/>
        <v>0</v>
      </c>
      <c r="AB542" s="17">
        <f t="shared" si="328"/>
        <v>0</v>
      </c>
      <c r="AC542" s="17">
        <v>0</v>
      </c>
      <c r="AD542" s="17">
        <f t="shared" si="329"/>
        <v>0</v>
      </c>
      <c r="AE542" s="17">
        <f t="shared" si="330"/>
        <v>0</v>
      </c>
      <c r="AF542" s="17">
        <f t="shared" si="331"/>
        <v>0</v>
      </c>
      <c r="AG542" s="17">
        <f t="shared" si="332"/>
        <v>0</v>
      </c>
      <c r="AH542" s="17">
        <f t="shared" si="333"/>
        <v>0</v>
      </c>
      <c r="AI542" s="17">
        <f t="shared" si="334"/>
        <v>0</v>
      </c>
      <c r="AJ542" s="17">
        <f t="shared" si="335"/>
        <v>0</v>
      </c>
      <c r="AK542" s="17">
        <f t="shared" si="336"/>
        <v>0</v>
      </c>
      <c r="AL542" s="17">
        <f t="shared" si="337"/>
        <v>0</v>
      </c>
      <c r="AM542" s="17">
        <f t="shared" si="338"/>
        <v>0</v>
      </c>
      <c r="AN542" s="17">
        <f t="shared" si="339"/>
        <v>0</v>
      </c>
      <c r="AO542" s="17">
        <f t="shared" si="340"/>
        <v>0</v>
      </c>
      <c r="AP542" s="17">
        <f t="shared" si="341"/>
        <v>0</v>
      </c>
      <c r="AQ542" s="18">
        <v>0</v>
      </c>
      <c r="AR542" s="18">
        <v>0</v>
      </c>
      <c r="AS542" s="18">
        <v>0</v>
      </c>
      <c r="AT542" s="18">
        <v>0</v>
      </c>
      <c r="AU542" s="18">
        <v>0</v>
      </c>
      <c r="AV542" s="18">
        <v>0</v>
      </c>
      <c r="AW542" s="18">
        <v>0</v>
      </c>
      <c r="AX542" s="18">
        <v>0</v>
      </c>
      <c r="AY542" s="18">
        <v>0</v>
      </c>
      <c r="AZ542" s="18">
        <v>0</v>
      </c>
      <c r="BA542" s="18">
        <v>0</v>
      </c>
      <c r="BB542" s="18">
        <v>0</v>
      </c>
      <c r="BC542" s="23">
        <v>8.9181565948742242E-2</v>
      </c>
      <c r="BD542" s="23">
        <v>0.10665277883445198</v>
      </c>
      <c r="BE542" s="23">
        <v>9.438849084854764E-2</v>
      </c>
      <c r="BF542" s="23">
        <v>7.149564986855049E-2</v>
      </c>
      <c r="BG542" s="23">
        <v>0.10368571810536763</v>
      </c>
      <c r="BH542" s="23">
        <v>8.4970330952544637E-2</v>
      </c>
      <c r="BI542" s="23">
        <v>8.4593878877262704E-2</v>
      </c>
      <c r="BJ542" s="23">
        <v>5.7447105462779965E-2</v>
      </c>
      <c r="BK542" s="23">
        <v>8.5153852345557474E-2</v>
      </c>
      <c r="BL542" s="23">
        <v>7.4158058913035174E-2</v>
      </c>
      <c r="BM542" s="23">
        <v>7.5718189192107169E-2</v>
      </c>
      <c r="BN542" s="23">
        <v>7.3955559365675619E-2</v>
      </c>
    </row>
    <row r="543" spans="1:66" x14ac:dyDescent="0.25">
      <c r="A543" s="16">
        <v>2271</v>
      </c>
      <c r="B543" s="16" t="s">
        <v>737</v>
      </c>
      <c r="C543" s="17">
        <v>0</v>
      </c>
      <c r="D543" s="17">
        <f t="shared" si="305"/>
        <v>0</v>
      </c>
      <c r="E543" s="17">
        <f t="shared" si="306"/>
        <v>0</v>
      </c>
      <c r="F543" s="17">
        <f t="shared" si="307"/>
        <v>0</v>
      </c>
      <c r="G543" s="17">
        <f t="shared" si="308"/>
        <v>0</v>
      </c>
      <c r="H543" s="17">
        <f t="shared" si="309"/>
        <v>0</v>
      </c>
      <c r="I543" s="17">
        <f t="shared" si="310"/>
        <v>0</v>
      </c>
      <c r="J543" s="17">
        <f t="shared" si="311"/>
        <v>0</v>
      </c>
      <c r="K543" s="17">
        <f t="shared" si="312"/>
        <v>0</v>
      </c>
      <c r="L543" s="17">
        <f t="shared" si="313"/>
        <v>0</v>
      </c>
      <c r="M543" s="17">
        <f t="shared" si="314"/>
        <v>0</v>
      </c>
      <c r="N543" s="17">
        <f t="shared" si="315"/>
        <v>0</v>
      </c>
      <c r="O543" s="17">
        <f t="shared" si="316"/>
        <v>0</v>
      </c>
      <c r="P543" s="17">
        <v>3000</v>
      </c>
      <c r="Q543" s="17">
        <f t="shared" si="317"/>
        <v>267.54469784622671</v>
      </c>
      <c r="R543" s="17">
        <f t="shared" si="318"/>
        <v>319.95833650335595</v>
      </c>
      <c r="S543" s="17">
        <f t="shared" si="319"/>
        <v>283.1654725456429</v>
      </c>
      <c r="T543" s="17">
        <f t="shared" si="320"/>
        <v>214.48694960565146</v>
      </c>
      <c r="U543" s="17">
        <f t="shared" si="321"/>
        <v>311.05715431610287</v>
      </c>
      <c r="V543" s="17">
        <f t="shared" si="322"/>
        <v>254.91099285763391</v>
      </c>
      <c r="W543" s="17">
        <f t="shared" si="323"/>
        <v>253.7816366317881</v>
      </c>
      <c r="X543" s="17">
        <f t="shared" si="324"/>
        <v>172.34131638833989</v>
      </c>
      <c r="Y543" s="17">
        <f t="shared" si="325"/>
        <v>255.46155703667242</v>
      </c>
      <c r="Z543" s="17">
        <f t="shared" si="326"/>
        <v>222.47417673910553</v>
      </c>
      <c r="AA543" s="17">
        <f t="shared" si="327"/>
        <v>227.15456757632151</v>
      </c>
      <c r="AB543" s="17">
        <f t="shared" si="328"/>
        <v>221.86667809702686</v>
      </c>
      <c r="AC543" s="17">
        <v>0</v>
      </c>
      <c r="AD543" s="17">
        <f t="shared" si="329"/>
        <v>0</v>
      </c>
      <c r="AE543" s="17">
        <f t="shared" si="330"/>
        <v>0</v>
      </c>
      <c r="AF543" s="17">
        <f t="shared" si="331"/>
        <v>0</v>
      </c>
      <c r="AG543" s="17">
        <f t="shared" si="332"/>
        <v>0</v>
      </c>
      <c r="AH543" s="17">
        <f t="shared" si="333"/>
        <v>0</v>
      </c>
      <c r="AI543" s="17">
        <f t="shared" si="334"/>
        <v>0</v>
      </c>
      <c r="AJ543" s="17">
        <f t="shared" si="335"/>
        <v>0</v>
      </c>
      <c r="AK543" s="17">
        <f t="shared" si="336"/>
        <v>0</v>
      </c>
      <c r="AL543" s="17">
        <f t="shared" si="337"/>
        <v>0</v>
      </c>
      <c r="AM543" s="17">
        <f t="shared" si="338"/>
        <v>0</v>
      </c>
      <c r="AN543" s="17">
        <f t="shared" si="339"/>
        <v>0</v>
      </c>
      <c r="AO543" s="17">
        <f t="shared" si="340"/>
        <v>0</v>
      </c>
      <c r="AP543" s="17">
        <f t="shared" si="341"/>
        <v>3000</v>
      </c>
      <c r="AQ543" s="18">
        <v>34.958817125643165</v>
      </c>
      <c r="AR543" s="18">
        <v>41.807462691989841</v>
      </c>
      <c r="AS543" s="18">
        <v>36.999910858667285</v>
      </c>
      <c r="AT543" s="18">
        <v>28.026008765872319</v>
      </c>
      <c r="AU543" s="18">
        <v>40.644386754431693</v>
      </c>
      <c r="AV543" s="18">
        <v>33.308029852073687</v>
      </c>
      <c r="AW543" s="18">
        <v>33.160462144371472</v>
      </c>
      <c r="AX543" s="18">
        <v>22.519035552987898</v>
      </c>
      <c r="AY543" s="18">
        <v>33.37996950404915</v>
      </c>
      <c r="AZ543" s="18">
        <v>29.069662461674138</v>
      </c>
      <c r="BA543" s="18">
        <v>29.681227290549245</v>
      </c>
      <c r="BB543" s="18">
        <v>28.990283449107384</v>
      </c>
      <c r="BC543" s="23">
        <v>8.9181565948742242E-2</v>
      </c>
      <c r="BD543" s="23">
        <v>0.10665277883445198</v>
      </c>
      <c r="BE543" s="23">
        <v>9.438849084854764E-2</v>
      </c>
      <c r="BF543" s="23">
        <v>7.149564986855049E-2</v>
      </c>
      <c r="BG543" s="23">
        <v>0.10368571810536763</v>
      </c>
      <c r="BH543" s="23">
        <v>8.4970330952544637E-2</v>
      </c>
      <c r="BI543" s="23">
        <v>8.4593878877262704E-2</v>
      </c>
      <c r="BJ543" s="23">
        <v>5.7447105462779965E-2</v>
      </c>
      <c r="BK543" s="23">
        <v>8.5153852345557474E-2</v>
      </c>
      <c r="BL543" s="23">
        <v>7.4158058913035174E-2</v>
      </c>
      <c r="BM543" s="23">
        <v>7.5718189192107169E-2</v>
      </c>
      <c r="BN543" s="23">
        <v>7.3955559365675619E-2</v>
      </c>
    </row>
    <row r="544" spans="1:66" x14ac:dyDescent="0.25">
      <c r="A544" s="16">
        <v>2346</v>
      </c>
      <c r="B544" s="16" t="s">
        <v>738</v>
      </c>
      <c r="C544" s="17">
        <v>0</v>
      </c>
      <c r="D544" s="17">
        <f t="shared" si="305"/>
        <v>0</v>
      </c>
      <c r="E544" s="17">
        <f t="shared" si="306"/>
        <v>0</v>
      </c>
      <c r="F544" s="17">
        <f t="shared" si="307"/>
        <v>0</v>
      </c>
      <c r="G544" s="17">
        <f t="shared" si="308"/>
        <v>0</v>
      </c>
      <c r="H544" s="17">
        <f t="shared" si="309"/>
        <v>0</v>
      </c>
      <c r="I544" s="17">
        <f t="shared" si="310"/>
        <v>0</v>
      </c>
      <c r="J544" s="17">
        <f t="shared" si="311"/>
        <v>0</v>
      </c>
      <c r="K544" s="17">
        <f t="shared" si="312"/>
        <v>0</v>
      </c>
      <c r="L544" s="17">
        <f t="shared" si="313"/>
        <v>0</v>
      </c>
      <c r="M544" s="17">
        <f t="shared" si="314"/>
        <v>0</v>
      </c>
      <c r="N544" s="17">
        <f t="shared" si="315"/>
        <v>0</v>
      </c>
      <c r="O544" s="17">
        <f t="shared" si="316"/>
        <v>0</v>
      </c>
      <c r="P544" s="17">
        <v>500</v>
      </c>
      <c r="Q544" s="17">
        <f t="shared" si="317"/>
        <v>44.590782974371123</v>
      </c>
      <c r="R544" s="17">
        <f t="shared" si="318"/>
        <v>53.32638941722599</v>
      </c>
      <c r="S544" s="17">
        <f t="shared" si="319"/>
        <v>47.194245424273824</v>
      </c>
      <c r="T544" s="17">
        <f t="shared" si="320"/>
        <v>35.747824934275243</v>
      </c>
      <c r="U544" s="17">
        <f t="shared" si="321"/>
        <v>51.842859052683814</v>
      </c>
      <c r="V544" s="17">
        <f t="shared" si="322"/>
        <v>42.485165476272321</v>
      </c>
      <c r="W544" s="17">
        <f t="shared" si="323"/>
        <v>42.296939438631355</v>
      </c>
      <c r="X544" s="17">
        <f t="shared" si="324"/>
        <v>28.723552731389983</v>
      </c>
      <c r="Y544" s="17">
        <f t="shared" si="325"/>
        <v>42.576926172778734</v>
      </c>
      <c r="Z544" s="17">
        <f t="shared" si="326"/>
        <v>37.079029456517588</v>
      </c>
      <c r="AA544" s="17">
        <f t="shared" si="327"/>
        <v>37.859094596053588</v>
      </c>
      <c r="AB544" s="17">
        <f t="shared" si="328"/>
        <v>36.977779682837813</v>
      </c>
      <c r="AC544" s="17">
        <v>0</v>
      </c>
      <c r="AD544" s="17">
        <f t="shared" si="329"/>
        <v>0</v>
      </c>
      <c r="AE544" s="17">
        <f t="shared" si="330"/>
        <v>0</v>
      </c>
      <c r="AF544" s="17">
        <f t="shared" si="331"/>
        <v>0</v>
      </c>
      <c r="AG544" s="17">
        <f t="shared" si="332"/>
        <v>0</v>
      </c>
      <c r="AH544" s="17">
        <f t="shared" si="333"/>
        <v>0</v>
      </c>
      <c r="AI544" s="17">
        <f t="shared" si="334"/>
        <v>0</v>
      </c>
      <c r="AJ544" s="17">
        <f t="shared" si="335"/>
        <v>0</v>
      </c>
      <c r="AK544" s="17">
        <f t="shared" si="336"/>
        <v>0</v>
      </c>
      <c r="AL544" s="17">
        <f t="shared" si="337"/>
        <v>0</v>
      </c>
      <c r="AM544" s="17">
        <f t="shared" si="338"/>
        <v>0</v>
      </c>
      <c r="AN544" s="17">
        <f t="shared" si="339"/>
        <v>0</v>
      </c>
      <c r="AO544" s="17">
        <f t="shared" si="340"/>
        <v>0</v>
      </c>
      <c r="AP544" s="17">
        <f t="shared" si="341"/>
        <v>500</v>
      </c>
      <c r="AQ544" s="18">
        <v>26.575214837065701</v>
      </c>
      <c r="AR544" s="18">
        <v>31.781461564878349</v>
      </c>
      <c r="AS544" s="18">
        <v>28.126826387958712</v>
      </c>
      <c r="AT544" s="18">
        <v>21.304988704329361</v>
      </c>
      <c r="AU544" s="18">
        <v>30.897307138218501</v>
      </c>
      <c r="AV544" s="18">
        <v>25.320308920548776</v>
      </c>
      <c r="AW544" s="18">
        <v>25.208129966635514</v>
      </c>
      <c r="AX544" s="18">
        <v>17.118662956853804</v>
      </c>
      <c r="AY544" s="18">
        <v>25.374996460452671</v>
      </c>
      <c r="AZ544" s="18">
        <v>22.098359975495352</v>
      </c>
      <c r="BA544" s="18">
        <v>22.563263197356015</v>
      </c>
      <c r="BB544" s="18">
        <v>22.038017135377679</v>
      </c>
      <c r="BC544" s="23">
        <v>8.9181565948742242E-2</v>
      </c>
      <c r="BD544" s="23">
        <v>0.10665277883445198</v>
      </c>
      <c r="BE544" s="23">
        <v>9.438849084854764E-2</v>
      </c>
      <c r="BF544" s="23">
        <v>7.149564986855049E-2</v>
      </c>
      <c r="BG544" s="23">
        <v>0.10368571810536763</v>
      </c>
      <c r="BH544" s="23">
        <v>8.4970330952544637E-2</v>
      </c>
      <c r="BI544" s="23">
        <v>8.4593878877262704E-2</v>
      </c>
      <c r="BJ544" s="23">
        <v>5.7447105462779965E-2</v>
      </c>
      <c r="BK544" s="23">
        <v>8.5153852345557474E-2</v>
      </c>
      <c r="BL544" s="23">
        <v>7.4158058913035174E-2</v>
      </c>
      <c r="BM544" s="23">
        <v>7.5718189192107169E-2</v>
      </c>
      <c r="BN544" s="23">
        <v>7.3955559365675619E-2</v>
      </c>
    </row>
    <row r="545" spans="1:66" x14ac:dyDescent="0.25">
      <c r="A545" s="16">
        <v>2361</v>
      </c>
      <c r="B545" s="16" t="s">
        <v>739</v>
      </c>
      <c r="C545" s="17">
        <v>0</v>
      </c>
      <c r="D545" s="17">
        <f t="shared" si="305"/>
        <v>0</v>
      </c>
      <c r="E545" s="17">
        <f t="shared" si="306"/>
        <v>0</v>
      </c>
      <c r="F545" s="17">
        <f t="shared" si="307"/>
        <v>0</v>
      </c>
      <c r="G545" s="17">
        <f t="shared" si="308"/>
        <v>0</v>
      </c>
      <c r="H545" s="17">
        <f t="shared" si="309"/>
        <v>0</v>
      </c>
      <c r="I545" s="17">
        <f t="shared" si="310"/>
        <v>0</v>
      </c>
      <c r="J545" s="17">
        <f t="shared" si="311"/>
        <v>0</v>
      </c>
      <c r="K545" s="17">
        <f t="shared" si="312"/>
        <v>0</v>
      </c>
      <c r="L545" s="17">
        <f t="shared" si="313"/>
        <v>0</v>
      </c>
      <c r="M545" s="17">
        <f t="shared" si="314"/>
        <v>0</v>
      </c>
      <c r="N545" s="17">
        <f t="shared" si="315"/>
        <v>0</v>
      </c>
      <c r="O545" s="17">
        <f t="shared" si="316"/>
        <v>0</v>
      </c>
      <c r="P545" s="17">
        <v>0</v>
      </c>
      <c r="Q545" s="17">
        <f t="shared" si="317"/>
        <v>0</v>
      </c>
      <c r="R545" s="17">
        <f t="shared" si="318"/>
        <v>0</v>
      </c>
      <c r="S545" s="17">
        <f t="shared" si="319"/>
        <v>0</v>
      </c>
      <c r="T545" s="17">
        <f t="shared" si="320"/>
        <v>0</v>
      </c>
      <c r="U545" s="17">
        <f t="shared" si="321"/>
        <v>0</v>
      </c>
      <c r="V545" s="17">
        <f t="shared" si="322"/>
        <v>0</v>
      </c>
      <c r="W545" s="17">
        <f t="shared" si="323"/>
        <v>0</v>
      </c>
      <c r="X545" s="17">
        <f t="shared" si="324"/>
        <v>0</v>
      </c>
      <c r="Y545" s="17">
        <f t="shared" si="325"/>
        <v>0</v>
      </c>
      <c r="Z545" s="17">
        <f t="shared" si="326"/>
        <v>0</v>
      </c>
      <c r="AA545" s="17">
        <f t="shared" si="327"/>
        <v>0</v>
      </c>
      <c r="AB545" s="17">
        <f t="shared" si="328"/>
        <v>0</v>
      </c>
      <c r="AC545" s="17">
        <v>0</v>
      </c>
      <c r="AD545" s="17">
        <f t="shared" si="329"/>
        <v>0</v>
      </c>
      <c r="AE545" s="17">
        <f t="shared" si="330"/>
        <v>0</v>
      </c>
      <c r="AF545" s="17">
        <f t="shared" si="331"/>
        <v>0</v>
      </c>
      <c r="AG545" s="17">
        <f t="shared" si="332"/>
        <v>0</v>
      </c>
      <c r="AH545" s="17">
        <f t="shared" si="333"/>
        <v>0</v>
      </c>
      <c r="AI545" s="17">
        <f t="shared" si="334"/>
        <v>0</v>
      </c>
      <c r="AJ545" s="17">
        <f t="shared" si="335"/>
        <v>0</v>
      </c>
      <c r="AK545" s="17">
        <f t="shared" si="336"/>
        <v>0</v>
      </c>
      <c r="AL545" s="17">
        <f t="shared" si="337"/>
        <v>0</v>
      </c>
      <c r="AM545" s="17">
        <f t="shared" si="338"/>
        <v>0</v>
      </c>
      <c r="AN545" s="17">
        <f t="shared" si="339"/>
        <v>0</v>
      </c>
      <c r="AO545" s="17">
        <f t="shared" si="340"/>
        <v>0</v>
      </c>
      <c r="AP545" s="17">
        <f t="shared" si="341"/>
        <v>0</v>
      </c>
      <c r="AQ545" s="18">
        <v>96.223074851357097</v>
      </c>
      <c r="AR545" s="18">
        <v>115.07376229288381</v>
      </c>
      <c r="AS545" s="18">
        <v>101.84112292047642</v>
      </c>
      <c r="AT545" s="18">
        <v>77.140731895221634</v>
      </c>
      <c r="AU545" s="18">
        <v>111.87243134981316</v>
      </c>
      <c r="AV545" s="18">
        <v>91.679333373564717</v>
      </c>
      <c r="AW545" s="18">
        <v>91.273157771774748</v>
      </c>
      <c r="AX545" s="18">
        <v>61.982956568804688</v>
      </c>
      <c r="AY545" s="18">
        <v>91.87734506520566</v>
      </c>
      <c r="AZ545" s="18">
        <v>80.013356770631702</v>
      </c>
      <c r="BA545" s="18">
        <v>81.69667025614838</v>
      </c>
      <c r="BB545" s="18">
        <v>79.794868466511275</v>
      </c>
      <c r="BC545" s="23">
        <v>8.9181565948742242E-2</v>
      </c>
      <c r="BD545" s="23">
        <v>0.10665277883445198</v>
      </c>
      <c r="BE545" s="23">
        <v>9.438849084854764E-2</v>
      </c>
      <c r="BF545" s="23">
        <v>7.149564986855049E-2</v>
      </c>
      <c r="BG545" s="23">
        <v>0.10368571810536763</v>
      </c>
      <c r="BH545" s="23">
        <v>8.4970330952544637E-2</v>
      </c>
      <c r="BI545" s="23">
        <v>8.4593878877262704E-2</v>
      </c>
      <c r="BJ545" s="23">
        <v>5.7447105462779965E-2</v>
      </c>
      <c r="BK545" s="23">
        <v>8.5153852345557474E-2</v>
      </c>
      <c r="BL545" s="23">
        <v>7.4158058913035174E-2</v>
      </c>
      <c r="BM545" s="23">
        <v>7.5718189192107169E-2</v>
      </c>
      <c r="BN545" s="23">
        <v>7.3955559365675619E-2</v>
      </c>
    </row>
    <row r="546" spans="1:66" x14ac:dyDescent="0.25">
      <c r="A546" s="16">
        <v>2368</v>
      </c>
      <c r="B546" s="16" t="s">
        <v>740</v>
      </c>
      <c r="C546" s="17">
        <v>0</v>
      </c>
      <c r="D546" s="17">
        <f t="shared" si="305"/>
        <v>0</v>
      </c>
      <c r="E546" s="17">
        <f t="shared" si="306"/>
        <v>0</v>
      </c>
      <c r="F546" s="17">
        <f t="shared" si="307"/>
        <v>0</v>
      </c>
      <c r="G546" s="17">
        <f t="shared" si="308"/>
        <v>0</v>
      </c>
      <c r="H546" s="17">
        <f t="shared" si="309"/>
        <v>0</v>
      </c>
      <c r="I546" s="17">
        <f t="shared" si="310"/>
        <v>0</v>
      </c>
      <c r="J546" s="17">
        <f t="shared" si="311"/>
        <v>0</v>
      </c>
      <c r="K546" s="17">
        <f t="shared" si="312"/>
        <v>0</v>
      </c>
      <c r="L546" s="17">
        <f t="shared" si="313"/>
        <v>0</v>
      </c>
      <c r="M546" s="17">
        <f t="shared" si="314"/>
        <v>0</v>
      </c>
      <c r="N546" s="17">
        <f t="shared" si="315"/>
        <v>0</v>
      </c>
      <c r="O546" s="17">
        <f t="shared" si="316"/>
        <v>0</v>
      </c>
      <c r="P546" s="17">
        <v>0</v>
      </c>
      <c r="Q546" s="17">
        <f t="shared" si="317"/>
        <v>0</v>
      </c>
      <c r="R546" s="17">
        <f t="shared" si="318"/>
        <v>0</v>
      </c>
      <c r="S546" s="17">
        <f t="shared" si="319"/>
        <v>0</v>
      </c>
      <c r="T546" s="17">
        <f t="shared" si="320"/>
        <v>0</v>
      </c>
      <c r="U546" s="17">
        <f t="shared" si="321"/>
        <v>0</v>
      </c>
      <c r="V546" s="17">
        <f t="shared" si="322"/>
        <v>0</v>
      </c>
      <c r="W546" s="17">
        <f t="shared" si="323"/>
        <v>0</v>
      </c>
      <c r="X546" s="17">
        <f t="shared" si="324"/>
        <v>0</v>
      </c>
      <c r="Y546" s="17">
        <f t="shared" si="325"/>
        <v>0</v>
      </c>
      <c r="Z546" s="17">
        <f t="shared" si="326"/>
        <v>0</v>
      </c>
      <c r="AA546" s="17">
        <f t="shared" si="327"/>
        <v>0</v>
      </c>
      <c r="AB546" s="17">
        <f t="shared" si="328"/>
        <v>0</v>
      </c>
      <c r="AC546" s="17">
        <v>0</v>
      </c>
      <c r="AD546" s="17">
        <f t="shared" si="329"/>
        <v>0</v>
      </c>
      <c r="AE546" s="17">
        <f t="shared" si="330"/>
        <v>0</v>
      </c>
      <c r="AF546" s="17">
        <f t="shared" si="331"/>
        <v>0</v>
      </c>
      <c r="AG546" s="17">
        <f t="shared" si="332"/>
        <v>0</v>
      </c>
      <c r="AH546" s="17">
        <f t="shared" si="333"/>
        <v>0</v>
      </c>
      <c r="AI546" s="17">
        <f t="shared" si="334"/>
        <v>0</v>
      </c>
      <c r="AJ546" s="17">
        <f t="shared" si="335"/>
        <v>0</v>
      </c>
      <c r="AK546" s="17">
        <f t="shared" si="336"/>
        <v>0</v>
      </c>
      <c r="AL546" s="17">
        <f t="shared" si="337"/>
        <v>0</v>
      </c>
      <c r="AM546" s="17">
        <f t="shared" si="338"/>
        <v>0</v>
      </c>
      <c r="AN546" s="17">
        <f t="shared" si="339"/>
        <v>0</v>
      </c>
      <c r="AO546" s="17">
        <f t="shared" si="340"/>
        <v>0</v>
      </c>
      <c r="AP546" s="17">
        <f t="shared" si="341"/>
        <v>0</v>
      </c>
      <c r="AQ546" s="18">
        <v>0</v>
      </c>
      <c r="AR546" s="18">
        <v>0</v>
      </c>
      <c r="AS546" s="18">
        <v>0</v>
      </c>
      <c r="AT546" s="18">
        <v>0</v>
      </c>
      <c r="AU546" s="18">
        <v>0</v>
      </c>
      <c r="AV546" s="18">
        <v>0</v>
      </c>
      <c r="AW546" s="18">
        <v>0</v>
      </c>
      <c r="AX546" s="18">
        <v>0</v>
      </c>
      <c r="AY546" s="18">
        <v>0</v>
      </c>
      <c r="AZ546" s="18">
        <v>0</v>
      </c>
      <c r="BA546" s="18">
        <v>0</v>
      </c>
      <c r="BB546" s="18">
        <v>0</v>
      </c>
      <c r="BC546" s="23">
        <v>8.9181565948742242E-2</v>
      </c>
      <c r="BD546" s="23">
        <v>0.10665277883445198</v>
      </c>
      <c r="BE546" s="23">
        <v>9.438849084854764E-2</v>
      </c>
      <c r="BF546" s="23">
        <v>7.149564986855049E-2</v>
      </c>
      <c r="BG546" s="23">
        <v>0.10368571810536763</v>
      </c>
      <c r="BH546" s="23">
        <v>8.4970330952544637E-2</v>
      </c>
      <c r="BI546" s="23">
        <v>8.4593878877262704E-2</v>
      </c>
      <c r="BJ546" s="23">
        <v>5.7447105462779965E-2</v>
      </c>
      <c r="BK546" s="23">
        <v>8.5153852345557474E-2</v>
      </c>
      <c r="BL546" s="23">
        <v>7.4158058913035174E-2</v>
      </c>
      <c r="BM546" s="23">
        <v>7.5718189192107169E-2</v>
      </c>
      <c r="BN546" s="23">
        <v>7.3955559365675619E-2</v>
      </c>
    </row>
    <row r="547" spans="1:66" x14ac:dyDescent="0.25">
      <c r="A547" s="16">
        <v>2390</v>
      </c>
      <c r="B547" s="16" t="s">
        <v>741</v>
      </c>
      <c r="C547" s="17">
        <v>0</v>
      </c>
      <c r="D547" s="17">
        <f t="shared" si="305"/>
        <v>0</v>
      </c>
      <c r="E547" s="17">
        <f t="shared" si="306"/>
        <v>0</v>
      </c>
      <c r="F547" s="17">
        <f t="shared" si="307"/>
        <v>0</v>
      </c>
      <c r="G547" s="17">
        <f t="shared" si="308"/>
        <v>0</v>
      </c>
      <c r="H547" s="17">
        <f t="shared" si="309"/>
        <v>0</v>
      </c>
      <c r="I547" s="17">
        <f t="shared" si="310"/>
        <v>0</v>
      </c>
      <c r="J547" s="17">
        <f t="shared" si="311"/>
        <v>0</v>
      </c>
      <c r="K547" s="17">
        <f t="shared" si="312"/>
        <v>0</v>
      </c>
      <c r="L547" s="17">
        <f t="shared" si="313"/>
        <v>0</v>
      </c>
      <c r="M547" s="17">
        <f t="shared" si="314"/>
        <v>0</v>
      </c>
      <c r="N547" s="17">
        <f t="shared" si="315"/>
        <v>0</v>
      </c>
      <c r="O547" s="17">
        <f t="shared" si="316"/>
        <v>0</v>
      </c>
      <c r="P547" s="17">
        <v>500</v>
      </c>
      <c r="Q547" s="17">
        <f t="shared" si="317"/>
        <v>44.590782974371123</v>
      </c>
      <c r="R547" s="17">
        <f t="shared" si="318"/>
        <v>53.32638941722599</v>
      </c>
      <c r="S547" s="17">
        <f t="shared" si="319"/>
        <v>47.194245424273824</v>
      </c>
      <c r="T547" s="17">
        <f t="shared" si="320"/>
        <v>35.747824934275243</v>
      </c>
      <c r="U547" s="17">
        <f t="shared" si="321"/>
        <v>51.842859052683814</v>
      </c>
      <c r="V547" s="17">
        <f t="shared" si="322"/>
        <v>42.485165476272321</v>
      </c>
      <c r="W547" s="17">
        <f t="shared" si="323"/>
        <v>42.296939438631355</v>
      </c>
      <c r="X547" s="17">
        <f t="shared" si="324"/>
        <v>28.723552731389983</v>
      </c>
      <c r="Y547" s="17">
        <f t="shared" si="325"/>
        <v>42.576926172778734</v>
      </c>
      <c r="Z547" s="17">
        <f t="shared" si="326"/>
        <v>37.079029456517588</v>
      </c>
      <c r="AA547" s="17">
        <f t="shared" si="327"/>
        <v>37.859094596053588</v>
      </c>
      <c r="AB547" s="17">
        <f t="shared" si="328"/>
        <v>36.977779682837813</v>
      </c>
      <c r="AC547" s="17">
        <v>0</v>
      </c>
      <c r="AD547" s="17">
        <f t="shared" si="329"/>
        <v>0</v>
      </c>
      <c r="AE547" s="17">
        <f t="shared" si="330"/>
        <v>0</v>
      </c>
      <c r="AF547" s="17">
        <f t="shared" si="331"/>
        <v>0</v>
      </c>
      <c r="AG547" s="17">
        <f t="shared" si="332"/>
        <v>0</v>
      </c>
      <c r="AH547" s="17">
        <f t="shared" si="333"/>
        <v>0</v>
      </c>
      <c r="AI547" s="17">
        <f t="shared" si="334"/>
        <v>0</v>
      </c>
      <c r="AJ547" s="17">
        <f t="shared" si="335"/>
        <v>0</v>
      </c>
      <c r="AK547" s="17">
        <f t="shared" si="336"/>
        <v>0</v>
      </c>
      <c r="AL547" s="17">
        <f t="shared" si="337"/>
        <v>0</v>
      </c>
      <c r="AM547" s="17">
        <f t="shared" si="338"/>
        <v>0</v>
      </c>
      <c r="AN547" s="17">
        <f t="shared" si="339"/>
        <v>0</v>
      </c>
      <c r="AO547" s="17">
        <f t="shared" si="340"/>
        <v>0</v>
      </c>
      <c r="AP547" s="17">
        <f t="shared" si="341"/>
        <v>500</v>
      </c>
      <c r="AQ547" s="18">
        <v>0</v>
      </c>
      <c r="AR547" s="18">
        <v>0</v>
      </c>
      <c r="AS547" s="18">
        <v>0</v>
      </c>
      <c r="AT547" s="18">
        <v>0</v>
      </c>
      <c r="AU547" s="18">
        <v>0</v>
      </c>
      <c r="AV547" s="18">
        <v>0</v>
      </c>
      <c r="AW547" s="18">
        <v>0</v>
      </c>
      <c r="AX547" s="18">
        <v>0</v>
      </c>
      <c r="AY547" s="18">
        <v>0</v>
      </c>
      <c r="AZ547" s="18">
        <v>0</v>
      </c>
      <c r="BA547" s="18">
        <v>0</v>
      </c>
      <c r="BB547" s="18">
        <v>0</v>
      </c>
      <c r="BC547" s="23">
        <v>8.9181565948742242E-2</v>
      </c>
      <c r="BD547" s="23">
        <v>0.10665277883445198</v>
      </c>
      <c r="BE547" s="23">
        <v>9.438849084854764E-2</v>
      </c>
      <c r="BF547" s="23">
        <v>7.149564986855049E-2</v>
      </c>
      <c r="BG547" s="23">
        <v>0.10368571810536763</v>
      </c>
      <c r="BH547" s="23">
        <v>8.4970330952544637E-2</v>
      </c>
      <c r="BI547" s="23">
        <v>8.4593878877262704E-2</v>
      </c>
      <c r="BJ547" s="23">
        <v>5.7447105462779965E-2</v>
      </c>
      <c r="BK547" s="23">
        <v>8.5153852345557474E-2</v>
      </c>
      <c r="BL547" s="23">
        <v>7.4158058913035174E-2</v>
      </c>
      <c r="BM547" s="23">
        <v>7.5718189192107169E-2</v>
      </c>
      <c r="BN547" s="23">
        <v>7.3955559365675619E-2</v>
      </c>
    </row>
    <row r="548" spans="1:66" x14ac:dyDescent="0.25">
      <c r="A548" s="16">
        <v>2451</v>
      </c>
      <c r="B548" s="16" t="s">
        <v>742</v>
      </c>
      <c r="C548" s="17">
        <v>0</v>
      </c>
      <c r="D548" s="17">
        <f t="shared" si="305"/>
        <v>0</v>
      </c>
      <c r="E548" s="17">
        <f t="shared" si="306"/>
        <v>0</v>
      </c>
      <c r="F548" s="17">
        <f t="shared" si="307"/>
        <v>0</v>
      </c>
      <c r="G548" s="17">
        <f t="shared" si="308"/>
        <v>0</v>
      </c>
      <c r="H548" s="17">
        <f t="shared" si="309"/>
        <v>0</v>
      </c>
      <c r="I548" s="17">
        <f t="shared" si="310"/>
        <v>0</v>
      </c>
      <c r="J548" s="17">
        <f t="shared" si="311"/>
        <v>0</v>
      </c>
      <c r="K548" s="17">
        <f t="shared" si="312"/>
        <v>0</v>
      </c>
      <c r="L548" s="17">
        <f t="shared" si="313"/>
        <v>0</v>
      </c>
      <c r="M548" s="17">
        <f t="shared" si="314"/>
        <v>0</v>
      </c>
      <c r="N548" s="17">
        <f t="shared" si="315"/>
        <v>0</v>
      </c>
      <c r="O548" s="17">
        <f t="shared" si="316"/>
        <v>0</v>
      </c>
      <c r="P548" s="17">
        <v>4500</v>
      </c>
      <c r="Q548" s="17">
        <f t="shared" si="317"/>
        <v>401.3170467693401</v>
      </c>
      <c r="R548" s="17">
        <f t="shared" si="318"/>
        <v>479.9375047550339</v>
      </c>
      <c r="S548" s="17">
        <f t="shared" si="319"/>
        <v>424.74820881846438</v>
      </c>
      <c r="T548" s="17">
        <f t="shared" si="320"/>
        <v>321.73042440847718</v>
      </c>
      <c r="U548" s="17">
        <f t="shared" si="321"/>
        <v>466.58573147415433</v>
      </c>
      <c r="V548" s="17">
        <f t="shared" si="322"/>
        <v>382.36648928645087</v>
      </c>
      <c r="W548" s="17">
        <f t="shared" si="323"/>
        <v>380.67245494768218</v>
      </c>
      <c r="X548" s="17">
        <f t="shared" si="324"/>
        <v>258.51197458250982</v>
      </c>
      <c r="Y548" s="17">
        <f t="shared" si="325"/>
        <v>383.19233555500864</v>
      </c>
      <c r="Z548" s="17">
        <f t="shared" si="326"/>
        <v>333.71126510865827</v>
      </c>
      <c r="AA548" s="17">
        <f t="shared" si="327"/>
        <v>340.73185136448228</v>
      </c>
      <c r="AB548" s="17">
        <f t="shared" si="328"/>
        <v>332.80001714554027</v>
      </c>
      <c r="AC548" s="17">
        <v>0</v>
      </c>
      <c r="AD548" s="17">
        <f t="shared" si="329"/>
        <v>0</v>
      </c>
      <c r="AE548" s="17">
        <f t="shared" si="330"/>
        <v>0</v>
      </c>
      <c r="AF548" s="17">
        <f t="shared" si="331"/>
        <v>0</v>
      </c>
      <c r="AG548" s="17">
        <f t="shared" si="332"/>
        <v>0</v>
      </c>
      <c r="AH548" s="17">
        <f t="shared" si="333"/>
        <v>0</v>
      </c>
      <c r="AI548" s="17">
        <f t="shared" si="334"/>
        <v>0</v>
      </c>
      <c r="AJ548" s="17">
        <f t="shared" si="335"/>
        <v>0</v>
      </c>
      <c r="AK548" s="17">
        <f t="shared" si="336"/>
        <v>0</v>
      </c>
      <c r="AL548" s="17">
        <f t="shared" si="337"/>
        <v>0</v>
      </c>
      <c r="AM548" s="17">
        <f t="shared" si="338"/>
        <v>0</v>
      </c>
      <c r="AN548" s="17">
        <f t="shared" si="339"/>
        <v>0</v>
      </c>
      <c r="AO548" s="17">
        <f t="shared" si="340"/>
        <v>0</v>
      </c>
      <c r="AP548" s="17">
        <f t="shared" si="341"/>
        <v>4500</v>
      </c>
      <c r="AQ548" s="18">
        <v>0</v>
      </c>
      <c r="AR548" s="18">
        <v>0</v>
      </c>
      <c r="AS548" s="18">
        <v>0</v>
      </c>
      <c r="AT548" s="18">
        <v>0</v>
      </c>
      <c r="AU548" s="18">
        <v>0</v>
      </c>
      <c r="AV548" s="18">
        <v>0</v>
      </c>
      <c r="AW548" s="18">
        <v>0</v>
      </c>
      <c r="AX548" s="18">
        <v>0</v>
      </c>
      <c r="AY548" s="18">
        <v>0</v>
      </c>
      <c r="AZ548" s="18">
        <v>0</v>
      </c>
      <c r="BA548" s="18">
        <v>0</v>
      </c>
      <c r="BB548" s="18">
        <v>0</v>
      </c>
      <c r="BC548" s="23">
        <v>8.9181565948742242E-2</v>
      </c>
      <c r="BD548" s="23">
        <v>0.10665277883445198</v>
      </c>
      <c r="BE548" s="23">
        <v>9.438849084854764E-2</v>
      </c>
      <c r="BF548" s="23">
        <v>7.149564986855049E-2</v>
      </c>
      <c r="BG548" s="23">
        <v>0.10368571810536763</v>
      </c>
      <c r="BH548" s="23">
        <v>8.4970330952544637E-2</v>
      </c>
      <c r="BI548" s="23">
        <v>8.4593878877262704E-2</v>
      </c>
      <c r="BJ548" s="23">
        <v>5.7447105462779965E-2</v>
      </c>
      <c r="BK548" s="23">
        <v>8.5153852345557474E-2</v>
      </c>
      <c r="BL548" s="23">
        <v>7.4158058913035174E-2</v>
      </c>
      <c r="BM548" s="23">
        <v>7.5718189192107169E-2</v>
      </c>
      <c r="BN548" s="23">
        <v>7.3955559365675619E-2</v>
      </c>
    </row>
    <row r="549" spans="1:66" x14ac:dyDescent="0.25">
      <c r="A549" s="16">
        <v>2452</v>
      </c>
      <c r="B549" s="16" t="s">
        <v>743</v>
      </c>
      <c r="C549" s="17">
        <v>0</v>
      </c>
      <c r="D549" s="17">
        <f t="shared" si="305"/>
        <v>0</v>
      </c>
      <c r="E549" s="17">
        <f t="shared" si="306"/>
        <v>0</v>
      </c>
      <c r="F549" s="17">
        <f t="shared" si="307"/>
        <v>0</v>
      </c>
      <c r="G549" s="17">
        <f t="shared" si="308"/>
        <v>0</v>
      </c>
      <c r="H549" s="17">
        <f t="shared" si="309"/>
        <v>0</v>
      </c>
      <c r="I549" s="17">
        <f t="shared" si="310"/>
        <v>0</v>
      </c>
      <c r="J549" s="17">
        <f t="shared" si="311"/>
        <v>0</v>
      </c>
      <c r="K549" s="17">
        <f t="shared" si="312"/>
        <v>0</v>
      </c>
      <c r="L549" s="17">
        <f t="shared" si="313"/>
        <v>0</v>
      </c>
      <c r="M549" s="17">
        <f t="shared" si="314"/>
        <v>0</v>
      </c>
      <c r="N549" s="17">
        <f t="shared" si="315"/>
        <v>0</v>
      </c>
      <c r="O549" s="17">
        <f t="shared" si="316"/>
        <v>0</v>
      </c>
      <c r="P549" s="17">
        <v>0</v>
      </c>
      <c r="Q549" s="17">
        <f t="shared" si="317"/>
        <v>0</v>
      </c>
      <c r="R549" s="17">
        <f t="shared" si="318"/>
        <v>0</v>
      </c>
      <c r="S549" s="17">
        <f t="shared" si="319"/>
        <v>0</v>
      </c>
      <c r="T549" s="17">
        <f t="shared" si="320"/>
        <v>0</v>
      </c>
      <c r="U549" s="17">
        <f t="shared" si="321"/>
        <v>0</v>
      </c>
      <c r="V549" s="17">
        <f t="shared" si="322"/>
        <v>0</v>
      </c>
      <c r="W549" s="17">
        <f t="shared" si="323"/>
        <v>0</v>
      </c>
      <c r="X549" s="17">
        <f t="shared" si="324"/>
        <v>0</v>
      </c>
      <c r="Y549" s="17">
        <f t="shared" si="325"/>
        <v>0</v>
      </c>
      <c r="Z549" s="17">
        <f t="shared" si="326"/>
        <v>0</v>
      </c>
      <c r="AA549" s="17">
        <f t="shared" si="327"/>
        <v>0</v>
      </c>
      <c r="AB549" s="17">
        <f t="shared" si="328"/>
        <v>0</v>
      </c>
      <c r="AC549" s="17">
        <v>0</v>
      </c>
      <c r="AD549" s="17">
        <f t="shared" si="329"/>
        <v>0</v>
      </c>
      <c r="AE549" s="17">
        <f t="shared" si="330"/>
        <v>0</v>
      </c>
      <c r="AF549" s="17">
        <f t="shared" si="331"/>
        <v>0</v>
      </c>
      <c r="AG549" s="17">
        <f t="shared" si="332"/>
        <v>0</v>
      </c>
      <c r="AH549" s="17">
        <f t="shared" si="333"/>
        <v>0</v>
      </c>
      <c r="AI549" s="17">
        <f t="shared" si="334"/>
        <v>0</v>
      </c>
      <c r="AJ549" s="17">
        <f t="shared" si="335"/>
        <v>0</v>
      </c>
      <c r="AK549" s="17">
        <f t="shared" si="336"/>
        <v>0</v>
      </c>
      <c r="AL549" s="17">
        <f t="shared" si="337"/>
        <v>0</v>
      </c>
      <c r="AM549" s="17">
        <f t="shared" si="338"/>
        <v>0</v>
      </c>
      <c r="AN549" s="17">
        <f t="shared" si="339"/>
        <v>0</v>
      </c>
      <c r="AO549" s="17">
        <f t="shared" si="340"/>
        <v>0</v>
      </c>
      <c r="AP549" s="17">
        <f t="shared" si="341"/>
        <v>0</v>
      </c>
      <c r="AQ549" s="18">
        <v>75.411218713728857</v>
      </c>
      <c r="AR549" s="18">
        <v>90.184736560181932</v>
      </c>
      <c r="AS549" s="18">
        <v>79.8141527536051</v>
      </c>
      <c r="AT549" s="18">
        <v>60.456149563647351</v>
      </c>
      <c r="AU549" s="18">
        <v>87.675813744154027</v>
      </c>
      <c r="AV549" s="18">
        <v>71.850232090824136</v>
      </c>
      <c r="AW549" s="18">
        <v>71.531907227582337</v>
      </c>
      <c r="AX549" s="18">
        <v>48.57681280248304</v>
      </c>
      <c r="AY549" s="18">
        <v>72.005416312584643</v>
      </c>
      <c r="AZ549" s="18">
        <v>62.707461352391249</v>
      </c>
      <c r="BA549" s="18">
        <v>64.026695035332295</v>
      </c>
      <c r="BB549" s="18">
        <v>62.536229355140385</v>
      </c>
      <c r="BC549" s="23">
        <v>8.9181565948742242E-2</v>
      </c>
      <c r="BD549" s="23">
        <v>0.10665277883445198</v>
      </c>
      <c r="BE549" s="23">
        <v>9.438849084854764E-2</v>
      </c>
      <c r="BF549" s="23">
        <v>7.149564986855049E-2</v>
      </c>
      <c r="BG549" s="23">
        <v>0.10368571810536763</v>
      </c>
      <c r="BH549" s="23">
        <v>8.4970330952544637E-2</v>
      </c>
      <c r="BI549" s="23">
        <v>8.4593878877262704E-2</v>
      </c>
      <c r="BJ549" s="23">
        <v>5.7447105462779965E-2</v>
      </c>
      <c r="BK549" s="23">
        <v>8.5153852345557474E-2</v>
      </c>
      <c r="BL549" s="23">
        <v>7.4158058913035174E-2</v>
      </c>
      <c r="BM549" s="23">
        <v>7.5718189192107169E-2</v>
      </c>
      <c r="BN549" s="23">
        <v>7.3955559365675619E-2</v>
      </c>
    </row>
    <row r="550" spans="1:66" x14ac:dyDescent="0.25">
      <c r="A550" s="16">
        <v>2473</v>
      </c>
      <c r="B550" s="16" t="s">
        <v>744</v>
      </c>
      <c r="C550" s="17">
        <v>6000</v>
      </c>
      <c r="D550" s="17">
        <f t="shared" si="305"/>
        <v>535.08939569245342</v>
      </c>
      <c r="E550" s="17">
        <f t="shared" si="306"/>
        <v>639.9166730067119</v>
      </c>
      <c r="F550" s="17">
        <f t="shared" si="307"/>
        <v>566.3309450912858</v>
      </c>
      <c r="G550" s="17">
        <f t="shared" si="308"/>
        <v>428.97389921130292</v>
      </c>
      <c r="H550" s="17">
        <f t="shared" si="309"/>
        <v>622.11430863220573</v>
      </c>
      <c r="I550" s="17">
        <f t="shared" si="310"/>
        <v>509.82198571526783</v>
      </c>
      <c r="J550" s="17">
        <f t="shared" si="311"/>
        <v>507.56327326357621</v>
      </c>
      <c r="K550" s="17">
        <f t="shared" si="312"/>
        <v>344.68263277667978</v>
      </c>
      <c r="L550" s="17">
        <f t="shared" si="313"/>
        <v>510.92311407334483</v>
      </c>
      <c r="M550" s="17">
        <f t="shared" si="314"/>
        <v>444.94835347821106</v>
      </c>
      <c r="N550" s="17">
        <f t="shared" si="315"/>
        <v>454.30913515264302</v>
      </c>
      <c r="O550" s="17">
        <f t="shared" si="316"/>
        <v>443.73335619405373</v>
      </c>
      <c r="P550" s="17">
        <v>0</v>
      </c>
      <c r="Q550" s="17">
        <f t="shared" si="317"/>
        <v>0</v>
      </c>
      <c r="R550" s="17">
        <f t="shared" si="318"/>
        <v>0</v>
      </c>
      <c r="S550" s="17">
        <f t="shared" si="319"/>
        <v>0</v>
      </c>
      <c r="T550" s="17">
        <f t="shared" si="320"/>
        <v>0</v>
      </c>
      <c r="U550" s="17">
        <f t="shared" si="321"/>
        <v>0</v>
      </c>
      <c r="V550" s="17">
        <f t="shared" si="322"/>
        <v>0</v>
      </c>
      <c r="W550" s="17">
        <f t="shared" si="323"/>
        <v>0</v>
      </c>
      <c r="X550" s="17">
        <f t="shared" si="324"/>
        <v>0</v>
      </c>
      <c r="Y550" s="17">
        <f t="shared" si="325"/>
        <v>0</v>
      </c>
      <c r="Z550" s="17">
        <f t="shared" si="326"/>
        <v>0</v>
      </c>
      <c r="AA550" s="17">
        <f t="shared" si="327"/>
        <v>0</v>
      </c>
      <c r="AB550" s="17">
        <f t="shared" si="328"/>
        <v>0</v>
      </c>
      <c r="AC550" s="17">
        <v>0</v>
      </c>
      <c r="AD550" s="17">
        <f t="shared" si="329"/>
        <v>0</v>
      </c>
      <c r="AE550" s="17">
        <f t="shared" si="330"/>
        <v>0</v>
      </c>
      <c r="AF550" s="17">
        <f t="shared" si="331"/>
        <v>0</v>
      </c>
      <c r="AG550" s="17">
        <f t="shared" si="332"/>
        <v>0</v>
      </c>
      <c r="AH550" s="17">
        <f t="shared" si="333"/>
        <v>0</v>
      </c>
      <c r="AI550" s="17">
        <f t="shared" si="334"/>
        <v>0</v>
      </c>
      <c r="AJ550" s="17">
        <f t="shared" si="335"/>
        <v>0</v>
      </c>
      <c r="AK550" s="17">
        <f t="shared" si="336"/>
        <v>0</v>
      </c>
      <c r="AL550" s="17">
        <f t="shared" si="337"/>
        <v>0</v>
      </c>
      <c r="AM550" s="17">
        <f t="shared" si="338"/>
        <v>0</v>
      </c>
      <c r="AN550" s="17">
        <f t="shared" si="339"/>
        <v>0</v>
      </c>
      <c r="AO550" s="17">
        <f t="shared" si="340"/>
        <v>0</v>
      </c>
      <c r="AP550" s="17">
        <f t="shared" si="341"/>
        <v>6000</v>
      </c>
      <c r="AQ550" s="18">
        <v>0</v>
      </c>
      <c r="AR550" s="18">
        <v>0</v>
      </c>
      <c r="AS550" s="18">
        <v>0</v>
      </c>
      <c r="AT550" s="18">
        <v>0</v>
      </c>
      <c r="AU550" s="18">
        <v>0</v>
      </c>
      <c r="AV550" s="18">
        <v>0</v>
      </c>
      <c r="AW550" s="18">
        <v>0</v>
      </c>
      <c r="AX550" s="18">
        <v>0</v>
      </c>
      <c r="AY550" s="18">
        <v>0</v>
      </c>
      <c r="AZ550" s="18">
        <v>0</v>
      </c>
      <c r="BA550" s="18">
        <v>0</v>
      </c>
      <c r="BB550" s="18">
        <v>0</v>
      </c>
      <c r="BC550" s="23">
        <v>8.9181565948742242E-2</v>
      </c>
      <c r="BD550" s="23">
        <v>0.10665277883445198</v>
      </c>
      <c r="BE550" s="23">
        <v>9.438849084854764E-2</v>
      </c>
      <c r="BF550" s="23">
        <v>7.149564986855049E-2</v>
      </c>
      <c r="BG550" s="23">
        <v>0.10368571810536763</v>
      </c>
      <c r="BH550" s="23">
        <v>8.4970330952544637E-2</v>
      </c>
      <c r="BI550" s="23">
        <v>8.4593878877262704E-2</v>
      </c>
      <c r="BJ550" s="23">
        <v>5.7447105462779965E-2</v>
      </c>
      <c r="BK550" s="23">
        <v>8.5153852345557474E-2</v>
      </c>
      <c r="BL550" s="23">
        <v>7.4158058913035174E-2</v>
      </c>
      <c r="BM550" s="23">
        <v>7.5718189192107169E-2</v>
      </c>
      <c r="BN550" s="23">
        <v>7.3955559365675619E-2</v>
      </c>
    </row>
    <row r="551" spans="1:66" x14ac:dyDescent="0.25">
      <c r="A551" s="16">
        <v>2483</v>
      </c>
      <c r="B551" s="16" t="s">
        <v>745</v>
      </c>
      <c r="C551" s="17">
        <v>0</v>
      </c>
      <c r="D551" s="17">
        <f t="shared" si="305"/>
        <v>0</v>
      </c>
      <c r="E551" s="17">
        <f t="shared" si="306"/>
        <v>0</v>
      </c>
      <c r="F551" s="17">
        <f t="shared" si="307"/>
        <v>0</v>
      </c>
      <c r="G551" s="17">
        <f t="shared" si="308"/>
        <v>0</v>
      </c>
      <c r="H551" s="17">
        <f t="shared" si="309"/>
        <v>0</v>
      </c>
      <c r="I551" s="17">
        <f t="shared" si="310"/>
        <v>0</v>
      </c>
      <c r="J551" s="17">
        <f t="shared" si="311"/>
        <v>0</v>
      </c>
      <c r="K551" s="17">
        <f t="shared" si="312"/>
        <v>0</v>
      </c>
      <c r="L551" s="17">
        <f t="shared" si="313"/>
        <v>0</v>
      </c>
      <c r="M551" s="17">
        <f t="shared" si="314"/>
        <v>0</v>
      </c>
      <c r="N551" s="17">
        <f t="shared" si="315"/>
        <v>0</v>
      </c>
      <c r="O551" s="17">
        <f t="shared" si="316"/>
        <v>0</v>
      </c>
      <c r="P551" s="17">
        <v>0</v>
      </c>
      <c r="Q551" s="17">
        <f t="shared" si="317"/>
        <v>0</v>
      </c>
      <c r="R551" s="17">
        <f t="shared" si="318"/>
        <v>0</v>
      </c>
      <c r="S551" s="17">
        <f t="shared" si="319"/>
        <v>0</v>
      </c>
      <c r="T551" s="17">
        <f t="shared" si="320"/>
        <v>0</v>
      </c>
      <c r="U551" s="17">
        <f t="shared" si="321"/>
        <v>0</v>
      </c>
      <c r="V551" s="17">
        <f t="shared" si="322"/>
        <v>0</v>
      </c>
      <c r="W551" s="17">
        <f t="shared" si="323"/>
        <v>0</v>
      </c>
      <c r="X551" s="17">
        <f t="shared" si="324"/>
        <v>0</v>
      </c>
      <c r="Y551" s="17">
        <f t="shared" si="325"/>
        <v>0</v>
      </c>
      <c r="Z551" s="17">
        <f t="shared" si="326"/>
        <v>0</v>
      </c>
      <c r="AA551" s="17">
        <f t="shared" si="327"/>
        <v>0</v>
      </c>
      <c r="AB551" s="17">
        <f t="shared" si="328"/>
        <v>0</v>
      </c>
      <c r="AC551" s="17">
        <v>0</v>
      </c>
      <c r="AD551" s="17">
        <f t="shared" si="329"/>
        <v>0</v>
      </c>
      <c r="AE551" s="17">
        <f t="shared" si="330"/>
        <v>0</v>
      </c>
      <c r="AF551" s="17">
        <f t="shared" si="331"/>
        <v>0</v>
      </c>
      <c r="AG551" s="17">
        <f t="shared" si="332"/>
        <v>0</v>
      </c>
      <c r="AH551" s="17">
        <f t="shared" si="333"/>
        <v>0</v>
      </c>
      <c r="AI551" s="17">
        <f t="shared" si="334"/>
        <v>0</v>
      </c>
      <c r="AJ551" s="17">
        <f t="shared" si="335"/>
        <v>0</v>
      </c>
      <c r="AK551" s="17">
        <f t="shared" si="336"/>
        <v>0</v>
      </c>
      <c r="AL551" s="17">
        <f t="shared" si="337"/>
        <v>0</v>
      </c>
      <c r="AM551" s="17">
        <f t="shared" si="338"/>
        <v>0</v>
      </c>
      <c r="AN551" s="17">
        <f t="shared" si="339"/>
        <v>0</v>
      </c>
      <c r="AO551" s="17">
        <f t="shared" si="340"/>
        <v>0</v>
      </c>
      <c r="AP551" s="17">
        <f t="shared" si="341"/>
        <v>0</v>
      </c>
      <c r="AQ551" s="18">
        <v>11.085268647428661</v>
      </c>
      <c r="AR551" s="18">
        <v>13.256940409122382</v>
      </c>
      <c r="AS551" s="18">
        <v>11.732489412474473</v>
      </c>
      <c r="AT551" s="18">
        <v>8.886909278660827</v>
      </c>
      <c r="AU551" s="18">
        <v>12.888134760497197</v>
      </c>
      <c r="AV551" s="18">
        <v>10.561812137401299</v>
      </c>
      <c r="AW551" s="18">
        <v>10.515019144443755</v>
      </c>
      <c r="AX551" s="18">
        <v>7.1406752090235504</v>
      </c>
      <c r="AY551" s="18">
        <v>10.584623846552795</v>
      </c>
      <c r="AZ551" s="18">
        <v>9.2178467228902736</v>
      </c>
      <c r="BA551" s="18">
        <v>9.4117709165789218</v>
      </c>
      <c r="BB551" s="18">
        <v>9.1926760291534801</v>
      </c>
      <c r="BC551" s="23">
        <v>8.9181565948742242E-2</v>
      </c>
      <c r="BD551" s="23">
        <v>0.10665277883445198</v>
      </c>
      <c r="BE551" s="23">
        <v>9.438849084854764E-2</v>
      </c>
      <c r="BF551" s="23">
        <v>7.149564986855049E-2</v>
      </c>
      <c r="BG551" s="23">
        <v>0.10368571810536763</v>
      </c>
      <c r="BH551" s="23">
        <v>8.4970330952544637E-2</v>
      </c>
      <c r="BI551" s="23">
        <v>8.4593878877262704E-2</v>
      </c>
      <c r="BJ551" s="23">
        <v>5.7447105462779965E-2</v>
      </c>
      <c r="BK551" s="23">
        <v>8.5153852345557474E-2</v>
      </c>
      <c r="BL551" s="23">
        <v>7.4158058913035174E-2</v>
      </c>
      <c r="BM551" s="23">
        <v>7.5718189192107169E-2</v>
      </c>
      <c r="BN551" s="23">
        <v>7.3955559365675619E-2</v>
      </c>
    </row>
    <row r="552" spans="1:66" x14ac:dyDescent="0.25">
      <c r="A552" s="16">
        <v>2541</v>
      </c>
      <c r="B552" s="16" t="s">
        <v>746</v>
      </c>
      <c r="C552" s="17">
        <v>0</v>
      </c>
      <c r="D552" s="17">
        <f t="shared" si="305"/>
        <v>0</v>
      </c>
      <c r="E552" s="17">
        <f t="shared" si="306"/>
        <v>0</v>
      </c>
      <c r="F552" s="17">
        <f t="shared" si="307"/>
        <v>0</v>
      </c>
      <c r="G552" s="17">
        <f t="shared" si="308"/>
        <v>0</v>
      </c>
      <c r="H552" s="17">
        <f t="shared" si="309"/>
        <v>0</v>
      </c>
      <c r="I552" s="17">
        <f t="shared" si="310"/>
        <v>0</v>
      </c>
      <c r="J552" s="17">
        <f t="shared" si="311"/>
        <v>0</v>
      </c>
      <c r="K552" s="17">
        <f t="shared" si="312"/>
        <v>0</v>
      </c>
      <c r="L552" s="17">
        <f t="shared" si="313"/>
        <v>0</v>
      </c>
      <c r="M552" s="17">
        <f t="shared" si="314"/>
        <v>0</v>
      </c>
      <c r="N552" s="17">
        <f t="shared" si="315"/>
        <v>0</v>
      </c>
      <c r="O552" s="17">
        <f t="shared" si="316"/>
        <v>0</v>
      </c>
      <c r="P552" s="17">
        <v>1500</v>
      </c>
      <c r="Q552" s="17">
        <f t="shared" si="317"/>
        <v>133.77234892311336</v>
      </c>
      <c r="R552" s="17">
        <f t="shared" si="318"/>
        <v>159.97916825167798</v>
      </c>
      <c r="S552" s="17">
        <f t="shared" si="319"/>
        <v>141.58273627282145</v>
      </c>
      <c r="T552" s="17">
        <f t="shared" si="320"/>
        <v>107.24347480282573</v>
      </c>
      <c r="U552" s="17">
        <f t="shared" si="321"/>
        <v>155.52857715805143</v>
      </c>
      <c r="V552" s="17">
        <f t="shared" si="322"/>
        <v>127.45549642881696</v>
      </c>
      <c r="W552" s="17">
        <f t="shared" si="323"/>
        <v>126.89081831589405</v>
      </c>
      <c r="X552" s="17">
        <f t="shared" si="324"/>
        <v>86.170658194169945</v>
      </c>
      <c r="Y552" s="17">
        <f t="shared" si="325"/>
        <v>127.73077851833621</v>
      </c>
      <c r="Z552" s="17">
        <f t="shared" si="326"/>
        <v>111.23708836955277</v>
      </c>
      <c r="AA552" s="17">
        <f t="shared" si="327"/>
        <v>113.57728378816076</v>
      </c>
      <c r="AB552" s="17">
        <f t="shared" si="328"/>
        <v>110.93333904851343</v>
      </c>
      <c r="AC552" s="17">
        <v>0</v>
      </c>
      <c r="AD552" s="17">
        <f t="shared" si="329"/>
        <v>0</v>
      </c>
      <c r="AE552" s="17">
        <f t="shared" si="330"/>
        <v>0</v>
      </c>
      <c r="AF552" s="17">
        <f t="shared" si="331"/>
        <v>0</v>
      </c>
      <c r="AG552" s="17">
        <f t="shared" si="332"/>
        <v>0</v>
      </c>
      <c r="AH552" s="17">
        <f t="shared" si="333"/>
        <v>0</v>
      </c>
      <c r="AI552" s="17">
        <f t="shared" si="334"/>
        <v>0</v>
      </c>
      <c r="AJ552" s="17">
        <f t="shared" si="335"/>
        <v>0</v>
      </c>
      <c r="AK552" s="17">
        <f t="shared" si="336"/>
        <v>0</v>
      </c>
      <c r="AL552" s="17">
        <f t="shared" si="337"/>
        <v>0</v>
      </c>
      <c r="AM552" s="17">
        <f t="shared" si="338"/>
        <v>0</v>
      </c>
      <c r="AN552" s="17">
        <f t="shared" si="339"/>
        <v>0</v>
      </c>
      <c r="AO552" s="17">
        <f t="shared" si="340"/>
        <v>0</v>
      </c>
      <c r="AP552" s="17">
        <f t="shared" si="341"/>
        <v>1500</v>
      </c>
      <c r="AQ552" s="18">
        <v>1.6676952832414802</v>
      </c>
      <c r="AR552" s="18">
        <v>1.9944069642042523</v>
      </c>
      <c r="AS552" s="18">
        <v>1.7650647788678411</v>
      </c>
      <c r="AT552" s="18">
        <v>1.3369686525418945</v>
      </c>
      <c r="AU552" s="18">
        <v>1.9389229285703748</v>
      </c>
      <c r="AV552" s="18">
        <v>1.588945188812585</v>
      </c>
      <c r="AW552" s="18">
        <v>1.5819055350048128</v>
      </c>
      <c r="AX552" s="18">
        <v>1.0742608721539855</v>
      </c>
      <c r="AY552" s="18">
        <v>1.5923770388619249</v>
      </c>
      <c r="AZ552" s="18">
        <v>1.3867557016737579</v>
      </c>
      <c r="BA552" s="18">
        <v>1.4159301378924043</v>
      </c>
      <c r="BB552" s="18">
        <v>1.3829689601381343</v>
      </c>
      <c r="BC552" s="23">
        <v>8.9181565948742242E-2</v>
      </c>
      <c r="BD552" s="23">
        <v>0.10665277883445198</v>
      </c>
      <c r="BE552" s="23">
        <v>9.438849084854764E-2</v>
      </c>
      <c r="BF552" s="23">
        <v>7.149564986855049E-2</v>
      </c>
      <c r="BG552" s="23">
        <v>0.10368571810536763</v>
      </c>
      <c r="BH552" s="23">
        <v>8.4970330952544637E-2</v>
      </c>
      <c r="BI552" s="23">
        <v>8.4593878877262704E-2</v>
      </c>
      <c r="BJ552" s="23">
        <v>5.7447105462779965E-2</v>
      </c>
      <c r="BK552" s="23">
        <v>8.5153852345557474E-2</v>
      </c>
      <c r="BL552" s="23">
        <v>7.4158058913035174E-2</v>
      </c>
      <c r="BM552" s="23">
        <v>7.5718189192107169E-2</v>
      </c>
      <c r="BN552" s="23">
        <v>7.3955559365675619E-2</v>
      </c>
    </row>
    <row r="553" spans="1:66" x14ac:dyDescent="0.25">
      <c r="A553" s="16">
        <v>2548</v>
      </c>
      <c r="B553" s="16" t="s">
        <v>747</v>
      </c>
      <c r="C553" s="17">
        <v>0</v>
      </c>
      <c r="D553" s="17">
        <f t="shared" si="305"/>
        <v>0</v>
      </c>
      <c r="E553" s="17">
        <f t="shared" si="306"/>
        <v>0</v>
      </c>
      <c r="F553" s="17">
        <f t="shared" si="307"/>
        <v>0</v>
      </c>
      <c r="G553" s="17">
        <f t="shared" si="308"/>
        <v>0</v>
      </c>
      <c r="H553" s="17">
        <f t="shared" si="309"/>
        <v>0</v>
      </c>
      <c r="I553" s="17">
        <f t="shared" si="310"/>
        <v>0</v>
      </c>
      <c r="J553" s="17">
        <f t="shared" si="311"/>
        <v>0</v>
      </c>
      <c r="K553" s="17">
        <f t="shared" si="312"/>
        <v>0</v>
      </c>
      <c r="L553" s="17">
        <f t="shared" si="313"/>
        <v>0</v>
      </c>
      <c r="M553" s="17">
        <f t="shared" si="314"/>
        <v>0</v>
      </c>
      <c r="N553" s="17">
        <f t="shared" si="315"/>
        <v>0</v>
      </c>
      <c r="O553" s="17">
        <f t="shared" si="316"/>
        <v>0</v>
      </c>
      <c r="P553" s="17">
        <v>2000</v>
      </c>
      <c r="Q553" s="17">
        <f t="shared" si="317"/>
        <v>178.36313189748449</v>
      </c>
      <c r="R553" s="17">
        <f t="shared" si="318"/>
        <v>213.30555766890396</v>
      </c>
      <c r="S553" s="17">
        <f t="shared" si="319"/>
        <v>188.77698169709529</v>
      </c>
      <c r="T553" s="17">
        <f t="shared" si="320"/>
        <v>142.99129973710097</v>
      </c>
      <c r="U553" s="17">
        <f t="shared" si="321"/>
        <v>207.37143621073525</v>
      </c>
      <c r="V553" s="17">
        <f t="shared" si="322"/>
        <v>169.94066190508929</v>
      </c>
      <c r="W553" s="17">
        <f t="shared" si="323"/>
        <v>169.18775775452542</v>
      </c>
      <c r="X553" s="17">
        <f t="shared" si="324"/>
        <v>114.89421092555993</v>
      </c>
      <c r="Y553" s="17">
        <f t="shared" si="325"/>
        <v>170.30770469111494</v>
      </c>
      <c r="Z553" s="17">
        <f t="shared" si="326"/>
        <v>148.31611782607035</v>
      </c>
      <c r="AA553" s="17">
        <f t="shared" si="327"/>
        <v>151.43637838421435</v>
      </c>
      <c r="AB553" s="17">
        <f t="shared" si="328"/>
        <v>147.91111873135125</v>
      </c>
      <c r="AC553" s="17">
        <v>0</v>
      </c>
      <c r="AD553" s="17">
        <f t="shared" si="329"/>
        <v>0</v>
      </c>
      <c r="AE553" s="17">
        <f t="shared" si="330"/>
        <v>0</v>
      </c>
      <c r="AF553" s="17">
        <f t="shared" si="331"/>
        <v>0</v>
      </c>
      <c r="AG553" s="17">
        <f t="shared" si="332"/>
        <v>0</v>
      </c>
      <c r="AH553" s="17">
        <f t="shared" si="333"/>
        <v>0</v>
      </c>
      <c r="AI553" s="17">
        <f t="shared" si="334"/>
        <v>0</v>
      </c>
      <c r="AJ553" s="17">
        <f t="shared" si="335"/>
        <v>0</v>
      </c>
      <c r="AK553" s="17">
        <f t="shared" si="336"/>
        <v>0</v>
      </c>
      <c r="AL553" s="17">
        <f t="shared" si="337"/>
        <v>0</v>
      </c>
      <c r="AM553" s="17">
        <f t="shared" si="338"/>
        <v>0</v>
      </c>
      <c r="AN553" s="17">
        <f t="shared" si="339"/>
        <v>0</v>
      </c>
      <c r="AO553" s="17">
        <f t="shared" si="340"/>
        <v>0</v>
      </c>
      <c r="AP553" s="17">
        <f t="shared" si="341"/>
        <v>2000</v>
      </c>
      <c r="AQ553" s="18">
        <v>256.0285038721338</v>
      </c>
      <c r="AR553" s="18">
        <v>306.18604986690553</v>
      </c>
      <c r="AS553" s="18">
        <v>270.97689794538832</v>
      </c>
      <c r="AT553" s="18">
        <v>205.25457334682582</v>
      </c>
      <c r="AU553" s="18">
        <v>297.6680101657206</v>
      </c>
      <c r="AV553" s="18">
        <v>243.93860408106994</v>
      </c>
      <c r="AW553" s="18">
        <v>242.85785986460945</v>
      </c>
      <c r="AX553" s="18">
        <v>164.92305676572022</v>
      </c>
      <c r="AY553" s="18">
        <v>244.46546977558592</v>
      </c>
      <c r="AZ553" s="18">
        <v>212.89799827554748</v>
      </c>
      <c r="BA553" s="18">
        <v>217.37692636956635</v>
      </c>
      <c r="BB553" s="18">
        <v>212.31664880501847</v>
      </c>
      <c r="BC553" s="23">
        <v>8.9181565948742242E-2</v>
      </c>
      <c r="BD553" s="23">
        <v>0.10665277883445198</v>
      </c>
      <c r="BE553" s="23">
        <v>9.438849084854764E-2</v>
      </c>
      <c r="BF553" s="23">
        <v>7.149564986855049E-2</v>
      </c>
      <c r="BG553" s="23">
        <v>0.10368571810536763</v>
      </c>
      <c r="BH553" s="23">
        <v>8.4970330952544637E-2</v>
      </c>
      <c r="BI553" s="23">
        <v>8.4593878877262704E-2</v>
      </c>
      <c r="BJ553" s="23">
        <v>5.7447105462779965E-2</v>
      </c>
      <c r="BK553" s="23">
        <v>8.5153852345557474E-2</v>
      </c>
      <c r="BL553" s="23">
        <v>7.4158058913035174E-2</v>
      </c>
      <c r="BM553" s="23">
        <v>7.5718189192107169E-2</v>
      </c>
      <c r="BN553" s="23">
        <v>7.3955559365675619E-2</v>
      </c>
    </row>
    <row r="554" spans="1:66" x14ac:dyDescent="0.25">
      <c r="A554" s="16">
        <v>2643</v>
      </c>
      <c r="B554" s="16" t="s">
        <v>748</v>
      </c>
      <c r="C554" s="17">
        <v>0</v>
      </c>
      <c r="D554" s="17">
        <f t="shared" si="305"/>
        <v>0</v>
      </c>
      <c r="E554" s="17">
        <f t="shared" si="306"/>
        <v>0</v>
      </c>
      <c r="F554" s="17">
        <f t="shared" si="307"/>
        <v>0</v>
      </c>
      <c r="G554" s="17">
        <f t="shared" si="308"/>
        <v>0</v>
      </c>
      <c r="H554" s="17">
        <f t="shared" si="309"/>
        <v>0</v>
      </c>
      <c r="I554" s="17">
        <f t="shared" si="310"/>
        <v>0</v>
      </c>
      <c r="J554" s="17">
        <f t="shared" si="311"/>
        <v>0</v>
      </c>
      <c r="K554" s="17">
        <f t="shared" si="312"/>
        <v>0</v>
      </c>
      <c r="L554" s="17">
        <f t="shared" si="313"/>
        <v>0</v>
      </c>
      <c r="M554" s="17">
        <f t="shared" si="314"/>
        <v>0</v>
      </c>
      <c r="N554" s="17">
        <f t="shared" si="315"/>
        <v>0</v>
      </c>
      <c r="O554" s="17">
        <f t="shared" si="316"/>
        <v>0</v>
      </c>
      <c r="P554" s="17">
        <v>2000</v>
      </c>
      <c r="Q554" s="17">
        <f t="shared" si="317"/>
        <v>178.36313189748449</v>
      </c>
      <c r="R554" s="17">
        <f t="shared" si="318"/>
        <v>213.30555766890396</v>
      </c>
      <c r="S554" s="17">
        <f t="shared" si="319"/>
        <v>188.77698169709529</v>
      </c>
      <c r="T554" s="17">
        <f t="shared" si="320"/>
        <v>142.99129973710097</v>
      </c>
      <c r="U554" s="17">
        <f t="shared" si="321"/>
        <v>207.37143621073525</v>
      </c>
      <c r="V554" s="17">
        <f t="shared" si="322"/>
        <v>169.94066190508929</v>
      </c>
      <c r="W554" s="17">
        <f t="shared" si="323"/>
        <v>169.18775775452542</v>
      </c>
      <c r="X554" s="17">
        <f t="shared" si="324"/>
        <v>114.89421092555993</v>
      </c>
      <c r="Y554" s="17">
        <f t="shared" si="325"/>
        <v>170.30770469111494</v>
      </c>
      <c r="Z554" s="17">
        <f t="shared" si="326"/>
        <v>148.31611782607035</v>
      </c>
      <c r="AA554" s="17">
        <f t="shared" si="327"/>
        <v>151.43637838421435</v>
      </c>
      <c r="AB554" s="17">
        <f t="shared" si="328"/>
        <v>147.91111873135125</v>
      </c>
      <c r="AC554" s="17">
        <v>0</v>
      </c>
      <c r="AD554" s="17">
        <f t="shared" si="329"/>
        <v>0</v>
      </c>
      <c r="AE554" s="17">
        <f t="shared" si="330"/>
        <v>0</v>
      </c>
      <c r="AF554" s="17">
        <f t="shared" si="331"/>
        <v>0</v>
      </c>
      <c r="AG554" s="17">
        <f t="shared" si="332"/>
        <v>0</v>
      </c>
      <c r="AH554" s="17">
        <f t="shared" si="333"/>
        <v>0</v>
      </c>
      <c r="AI554" s="17">
        <f t="shared" si="334"/>
        <v>0</v>
      </c>
      <c r="AJ554" s="17">
        <f t="shared" si="335"/>
        <v>0</v>
      </c>
      <c r="AK554" s="17">
        <f t="shared" si="336"/>
        <v>0</v>
      </c>
      <c r="AL554" s="17">
        <f t="shared" si="337"/>
        <v>0</v>
      </c>
      <c r="AM554" s="17">
        <f t="shared" si="338"/>
        <v>0</v>
      </c>
      <c r="AN554" s="17">
        <f t="shared" si="339"/>
        <v>0</v>
      </c>
      <c r="AO554" s="17">
        <f t="shared" si="340"/>
        <v>0</v>
      </c>
      <c r="AP554" s="17">
        <f t="shared" si="341"/>
        <v>2000</v>
      </c>
      <c r="AQ554" s="18">
        <v>0</v>
      </c>
      <c r="AR554" s="18">
        <v>0</v>
      </c>
      <c r="AS554" s="18">
        <v>0</v>
      </c>
      <c r="AT554" s="18">
        <v>0</v>
      </c>
      <c r="AU554" s="18">
        <v>0</v>
      </c>
      <c r="AV554" s="18">
        <v>0</v>
      </c>
      <c r="AW554" s="18">
        <v>0</v>
      </c>
      <c r="AX554" s="18">
        <v>0</v>
      </c>
      <c r="AY554" s="18">
        <v>0</v>
      </c>
      <c r="AZ554" s="18">
        <v>0</v>
      </c>
      <c r="BA554" s="18">
        <v>0</v>
      </c>
      <c r="BB554" s="18">
        <v>0</v>
      </c>
      <c r="BC554" s="23">
        <v>8.9181565948742242E-2</v>
      </c>
      <c r="BD554" s="23">
        <v>0.10665277883445198</v>
      </c>
      <c r="BE554" s="23">
        <v>9.438849084854764E-2</v>
      </c>
      <c r="BF554" s="23">
        <v>7.149564986855049E-2</v>
      </c>
      <c r="BG554" s="23">
        <v>0.10368571810536763</v>
      </c>
      <c r="BH554" s="23">
        <v>8.4970330952544637E-2</v>
      </c>
      <c r="BI554" s="23">
        <v>8.4593878877262704E-2</v>
      </c>
      <c r="BJ554" s="23">
        <v>5.7447105462779965E-2</v>
      </c>
      <c r="BK554" s="23">
        <v>8.5153852345557474E-2</v>
      </c>
      <c r="BL554" s="23">
        <v>7.4158058913035174E-2</v>
      </c>
      <c r="BM554" s="23">
        <v>7.5718189192107169E-2</v>
      </c>
      <c r="BN554" s="23">
        <v>7.3955559365675619E-2</v>
      </c>
    </row>
    <row r="555" spans="1:66" x14ac:dyDescent="0.25">
      <c r="A555" s="16">
        <v>2660</v>
      </c>
      <c r="B555" s="16" t="s">
        <v>749</v>
      </c>
      <c r="C555" s="17">
        <v>0</v>
      </c>
      <c r="D555" s="17">
        <f t="shared" si="305"/>
        <v>0</v>
      </c>
      <c r="E555" s="17">
        <f t="shared" si="306"/>
        <v>0</v>
      </c>
      <c r="F555" s="17">
        <f t="shared" si="307"/>
        <v>0</v>
      </c>
      <c r="G555" s="17">
        <f t="shared" si="308"/>
        <v>0</v>
      </c>
      <c r="H555" s="17">
        <f t="shared" si="309"/>
        <v>0</v>
      </c>
      <c r="I555" s="17">
        <f t="shared" si="310"/>
        <v>0</v>
      </c>
      <c r="J555" s="17">
        <f t="shared" si="311"/>
        <v>0</v>
      </c>
      <c r="K555" s="17">
        <f t="shared" si="312"/>
        <v>0</v>
      </c>
      <c r="L555" s="17">
        <f t="shared" si="313"/>
        <v>0</v>
      </c>
      <c r="M555" s="17">
        <f t="shared" si="314"/>
        <v>0</v>
      </c>
      <c r="N555" s="17">
        <f t="shared" si="315"/>
        <v>0</v>
      </c>
      <c r="O555" s="17">
        <f t="shared" si="316"/>
        <v>0</v>
      </c>
      <c r="P555" s="17">
        <v>1000</v>
      </c>
      <c r="Q555" s="17">
        <f t="shared" si="317"/>
        <v>89.181565948742247</v>
      </c>
      <c r="R555" s="17">
        <f t="shared" si="318"/>
        <v>106.65277883445198</v>
      </c>
      <c r="S555" s="17">
        <f t="shared" si="319"/>
        <v>94.388490848547647</v>
      </c>
      <c r="T555" s="17">
        <f t="shared" si="320"/>
        <v>71.495649868550487</v>
      </c>
      <c r="U555" s="17">
        <f t="shared" si="321"/>
        <v>103.68571810536763</v>
      </c>
      <c r="V555" s="17">
        <f t="shared" si="322"/>
        <v>84.970330952544643</v>
      </c>
      <c r="W555" s="17">
        <f t="shared" si="323"/>
        <v>84.593878877262711</v>
      </c>
      <c r="X555" s="17">
        <f t="shared" si="324"/>
        <v>57.447105462779966</v>
      </c>
      <c r="Y555" s="17">
        <f t="shared" si="325"/>
        <v>85.153852345557468</v>
      </c>
      <c r="Z555" s="17">
        <f t="shared" si="326"/>
        <v>74.158058913035177</v>
      </c>
      <c r="AA555" s="17">
        <f t="shared" si="327"/>
        <v>75.718189192107175</v>
      </c>
      <c r="AB555" s="17">
        <f t="shared" si="328"/>
        <v>73.955559365675626</v>
      </c>
      <c r="AC555" s="17">
        <v>0</v>
      </c>
      <c r="AD555" s="17">
        <f t="shared" si="329"/>
        <v>0</v>
      </c>
      <c r="AE555" s="17">
        <f t="shared" si="330"/>
        <v>0</v>
      </c>
      <c r="AF555" s="17">
        <f t="shared" si="331"/>
        <v>0</v>
      </c>
      <c r="AG555" s="17">
        <f t="shared" si="332"/>
        <v>0</v>
      </c>
      <c r="AH555" s="17">
        <f t="shared" si="333"/>
        <v>0</v>
      </c>
      <c r="AI555" s="17">
        <f t="shared" si="334"/>
        <v>0</v>
      </c>
      <c r="AJ555" s="17">
        <f t="shared" si="335"/>
        <v>0</v>
      </c>
      <c r="AK555" s="17">
        <f t="shared" si="336"/>
        <v>0</v>
      </c>
      <c r="AL555" s="17">
        <f t="shared" si="337"/>
        <v>0</v>
      </c>
      <c r="AM555" s="17">
        <f t="shared" si="338"/>
        <v>0</v>
      </c>
      <c r="AN555" s="17">
        <f t="shared" si="339"/>
        <v>0</v>
      </c>
      <c r="AO555" s="17">
        <f t="shared" si="340"/>
        <v>0</v>
      </c>
      <c r="AP555" s="17">
        <f t="shared" si="341"/>
        <v>1000</v>
      </c>
      <c r="AQ555" s="18">
        <v>81.749441787271905</v>
      </c>
      <c r="AR555" s="18">
        <v>97.764656204725256</v>
      </c>
      <c r="AS555" s="18">
        <v>86.52243718670222</v>
      </c>
      <c r="AT555" s="18">
        <v>65.537416895455095</v>
      </c>
      <c r="AU555" s="18">
        <v>95.044861415620602</v>
      </c>
      <c r="AV555" s="18">
        <v>77.889158481952421</v>
      </c>
      <c r="AW555" s="18">
        <v>77.54407879326827</v>
      </c>
      <c r="AX555" s="18">
        <v>52.659636034828274</v>
      </c>
      <c r="AY555" s="18">
        <v>78.057385752635753</v>
      </c>
      <c r="AZ555" s="18">
        <v>67.97794875739956</v>
      </c>
      <c r="BA555" s="18">
        <v>69.408062459404533</v>
      </c>
      <c r="BB555" s="18">
        <v>67.792324914818309</v>
      </c>
      <c r="BC555" s="23">
        <v>8.9181565948742242E-2</v>
      </c>
      <c r="BD555" s="23">
        <v>0.10665277883445198</v>
      </c>
      <c r="BE555" s="23">
        <v>9.438849084854764E-2</v>
      </c>
      <c r="BF555" s="23">
        <v>7.149564986855049E-2</v>
      </c>
      <c r="BG555" s="23">
        <v>0.10368571810536763</v>
      </c>
      <c r="BH555" s="23">
        <v>8.4970330952544637E-2</v>
      </c>
      <c r="BI555" s="23">
        <v>8.4593878877262704E-2</v>
      </c>
      <c r="BJ555" s="23">
        <v>5.7447105462779965E-2</v>
      </c>
      <c r="BK555" s="23">
        <v>8.5153852345557474E-2</v>
      </c>
      <c r="BL555" s="23">
        <v>7.4158058913035174E-2</v>
      </c>
      <c r="BM555" s="23">
        <v>7.5718189192107169E-2</v>
      </c>
      <c r="BN555" s="23">
        <v>7.3955559365675619E-2</v>
      </c>
    </row>
    <row r="556" spans="1:66" x14ac:dyDescent="0.25">
      <c r="A556" s="16">
        <v>2740</v>
      </c>
      <c r="B556" s="16" t="s">
        <v>750</v>
      </c>
      <c r="C556" s="17">
        <v>0</v>
      </c>
      <c r="D556" s="17">
        <f t="shared" si="305"/>
        <v>0</v>
      </c>
      <c r="E556" s="17">
        <f t="shared" si="306"/>
        <v>0</v>
      </c>
      <c r="F556" s="17">
        <f t="shared" si="307"/>
        <v>0</v>
      </c>
      <c r="G556" s="17">
        <f t="shared" si="308"/>
        <v>0</v>
      </c>
      <c r="H556" s="17">
        <f t="shared" si="309"/>
        <v>0</v>
      </c>
      <c r="I556" s="17">
        <f t="shared" si="310"/>
        <v>0</v>
      </c>
      <c r="J556" s="17">
        <f t="shared" si="311"/>
        <v>0</v>
      </c>
      <c r="K556" s="17">
        <f t="shared" si="312"/>
        <v>0</v>
      </c>
      <c r="L556" s="17">
        <f t="shared" si="313"/>
        <v>0</v>
      </c>
      <c r="M556" s="17">
        <f t="shared" si="314"/>
        <v>0</v>
      </c>
      <c r="N556" s="17">
        <f t="shared" si="315"/>
        <v>0</v>
      </c>
      <c r="O556" s="17">
        <f t="shared" si="316"/>
        <v>0</v>
      </c>
      <c r="P556" s="17">
        <v>0</v>
      </c>
      <c r="Q556" s="17">
        <f t="shared" si="317"/>
        <v>0</v>
      </c>
      <c r="R556" s="17">
        <f t="shared" si="318"/>
        <v>0</v>
      </c>
      <c r="S556" s="17">
        <f t="shared" si="319"/>
        <v>0</v>
      </c>
      <c r="T556" s="17">
        <f t="shared" si="320"/>
        <v>0</v>
      </c>
      <c r="U556" s="17">
        <f t="shared" si="321"/>
        <v>0</v>
      </c>
      <c r="V556" s="17">
        <f t="shared" si="322"/>
        <v>0</v>
      </c>
      <c r="W556" s="17">
        <f t="shared" si="323"/>
        <v>0</v>
      </c>
      <c r="X556" s="17">
        <f t="shared" si="324"/>
        <v>0</v>
      </c>
      <c r="Y556" s="17">
        <f t="shared" si="325"/>
        <v>0</v>
      </c>
      <c r="Z556" s="17">
        <f t="shared" si="326"/>
        <v>0</v>
      </c>
      <c r="AA556" s="17">
        <f t="shared" si="327"/>
        <v>0</v>
      </c>
      <c r="AB556" s="17">
        <f t="shared" si="328"/>
        <v>0</v>
      </c>
      <c r="AC556" s="17">
        <v>0</v>
      </c>
      <c r="AD556" s="17">
        <f t="shared" si="329"/>
        <v>0</v>
      </c>
      <c r="AE556" s="17">
        <f t="shared" si="330"/>
        <v>0</v>
      </c>
      <c r="AF556" s="17">
        <f t="shared" si="331"/>
        <v>0</v>
      </c>
      <c r="AG556" s="17">
        <f t="shared" si="332"/>
        <v>0</v>
      </c>
      <c r="AH556" s="17">
        <f t="shared" si="333"/>
        <v>0</v>
      </c>
      <c r="AI556" s="17">
        <f t="shared" si="334"/>
        <v>0</v>
      </c>
      <c r="AJ556" s="17">
        <f t="shared" si="335"/>
        <v>0</v>
      </c>
      <c r="AK556" s="17">
        <f t="shared" si="336"/>
        <v>0</v>
      </c>
      <c r="AL556" s="17">
        <f t="shared" si="337"/>
        <v>0</v>
      </c>
      <c r="AM556" s="17">
        <f t="shared" si="338"/>
        <v>0</v>
      </c>
      <c r="AN556" s="17">
        <f t="shared" si="339"/>
        <v>0</v>
      </c>
      <c r="AO556" s="17">
        <f t="shared" si="340"/>
        <v>0</v>
      </c>
      <c r="AP556" s="17">
        <f t="shared" si="341"/>
        <v>0</v>
      </c>
      <c r="AQ556" s="18">
        <v>445.9078297437112</v>
      </c>
      <c r="AR556" s="18">
        <v>533.26389417225994</v>
      </c>
      <c r="AS556" s="18">
        <v>471.94245424273822</v>
      </c>
      <c r="AT556" s="18">
        <v>357.47824934275246</v>
      </c>
      <c r="AU556" s="18">
        <v>518.42859052683809</v>
      </c>
      <c r="AV556" s="18">
        <v>424.85165476272317</v>
      </c>
      <c r="AW556" s="18">
        <v>422.96939438631352</v>
      </c>
      <c r="AX556" s="18">
        <v>287.23552731389981</v>
      </c>
      <c r="AY556" s="18">
        <v>425.76926172778735</v>
      </c>
      <c r="AZ556" s="18">
        <v>370.79029456517588</v>
      </c>
      <c r="BA556" s="18">
        <v>378.59094596053586</v>
      </c>
      <c r="BB556" s="18">
        <v>369.77779682837809</v>
      </c>
      <c r="BC556" s="23">
        <v>8.9181565948742242E-2</v>
      </c>
      <c r="BD556" s="23">
        <v>0.10665277883445198</v>
      </c>
      <c r="BE556" s="23">
        <v>9.438849084854764E-2</v>
      </c>
      <c r="BF556" s="23">
        <v>7.149564986855049E-2</v>
      </c>
      <c r="BG556" s="23">
        <v>0.10368571810536763</v>
      </c>
      <c r="BH556" s="23">
        <v>8.4970330952544637E-2</v>
      </c>
      <c r="BI556" s="23">
        <v>8.4593878877262704E-2</v>
      </c>
      <c r="BJ556" s="23">
        <v>5.7447105462779965E-2</v>
      </c>
      <c r="BK556" s="23">
        <v>8.5153852345557474E-2</v>
      </c>
      <c r="BL556" s="23">
        <v>7.4158058913035174E-2</v>
      </c>
      <c r="BM556" s="23">
        <v>7.5718189192107169E-2</v>
      </c>
      <c r="BN556" s="23">
        <v>7.3955559365675619E-2</v>
      </c>
    </row>
    <row r="557" spans="1:66" x14ac:dyDescent="0.25">
      <c r="A557" s="16">
        <v>2746</v>
      </c>
      <c r="B557" s="16" t="s">
        <v>751</v>
      </c>
      <c r="C557" s="17">
        <v>1000</v>
      </c>
      <c r="D557" s="17">
        <f t="shared" si="305"/>
        <v>89.181565948742247</v>
      </c>
      <c r="E557" s="17">
        <f t="shared" si="306"/>
        <v>106.65277883445198</v>
      </c>
      <c r="F557" s="17">
        <f t="shared" si="307"/>
        <v>94.388490848547647</v>
      </c>
      <c r="G557" s="17">
        <f t="shared" si="308"/>
        <v>71.495649868550487</v>
      </c>
      <c r="H557" s="17">
        <f t="shared" si="309"/>
        <v>103.68571810536763</v>
      </c>
      <c r="I557" s="17">
        <f t="shared" si="310"/>
        <v>84.970330952544643</v>
      </c>
      <c r="J557" s="17">
        <f t="shared" si="311"/>
        <v>84.593878877262711</v>
      </c>
      <c r="K557" s="17">
        <f t="shared" si="312"/>
        <v>57.447105462779966</v>
      </c>
      <c r="L557" s="17">
        <f t="shared" si="313"/>
        <v>85.153852345557468</v>
      </c>
      <c r="M557" s="17">
        <f t="shared" si="314"/>
        <v>74.158058913035177</v>
      </c>
      <c r="N557" s="17">
        <f t="shared" si="315"/>
        <v>75.718189192107175</v>
      </c>
      <c r="O557" s="17">
        <f t="shared" si="316"/>
        <v>73.955559365675626</v>
      </c>
      <c r="P557" s="17">
        <v>0</v>
      </c>
      <c r="Q557" s="17">
        <f t="shared" si="317"/>
        <v>0</v>
      </c>
      <c r="R557" s="17">
        <f t="shared" si="318"/>
        <v>0</v>
      </c>
      <c r="S557" s="17">
        <f t="shared" si="319"/>
        <v>0</v>
      </c>
      <c r="T557" s="17">
        <f t="shared" si="320"/>
        <v>0</v>
      </c>
      <c r="U557" s="17">
        <f t="shared" si="321"/>
        <v>0</v>
      </c>
      <c r="V557" s="17">
        <f t="shared" si="322"/>
        <v>0</v>
      </c>
      <c r="W557" s="17">
        <f t="shared" si="323"/>
        <v>0</v>
      </c>
      <c r="X557" s="17">
        <f t="shared" si="324"/>
        <v>0</v>
      </c>
      <c r="Y557" s="17">
        <f t="shared" si="325"/>
        <v>0</v>
      </c>
      <c r="Z557" s="17">
        <f t="shared" si="326"/>
        <v>0</v>
      </c>
      <c r="AA557" s="17">
        <f t="shared" si="327"/>
        <v>0</v>
      </c>
      <c r="AB557" s="17">
        <f t="shared" si="328"/>
        <v>0</v>
      </c>
      <c r="AC557" s="17">
        <v>0</v>
      </c>
      <c r="AD557" s="17">
        <f t="shared" si="329"/>
        <v>0</v>
      </c>
      <c r="AE557" s="17">
        <f t="shared" si="330"/>
        <v>0</v>
      </c>
      <c r="AF557" s="17">
        <f t="shared" si="331"/>
        <v>0</v>
      </c>
      <c r="AG557" s="17">
        <f t="shared" si="332"/>
        <v>0</v>
      </c>
      <c r="AH557" s="17">
        <f t="shared" si="333"/>
        <v>0</v>
      </c>
      <c r="AI557" s="17">
        <f t="shared" si="334"/>
        <v>0</v>
      </c>
      <c r="AJ557" s="17">
        <f t="shared" si="335"/>
        <v>0</v>
      </c>
      <c r="AK557" s="17">
        <f t="shared" si="336"/>
        <v>0</v>
      </c>
      <c r="AL557" s="17">
        <f t="shared" si="337"/>
        <v>0</v>
      </c>
      <c r="AM557" s="17">
        <f t="shared" si="338"/>
        <v>0</v>
      </c>
      <c r="AN557" s="17">
        <f t="shared" si="339"/>
        <v>0</v>
      </c>
      <c r="AO557" s="17">
        <f t="shared" si="340"/>
        <v>0</v>
      </c>
      <c r="AP557" s="17">
        <f t="shared" si="341"/>
        <v>1000</v>
      </c>
      <c r="AQ557" s="18">
        <v>0</v>
      </c>
      <c r="AR557" s="18">
        <v>0</v>
      </c>
      <c r="AS557" s="18">
        <v>0</v>
      </c>
      <c r="AT557" s="18">
        <v>0</v>
      </c>
      <c r="AU557" s="18">
        <v>0</v>
      </c>
      <c r="AV557" s="18">
        <v>0</v>
      </c>
      <c r="AW557" s="18">
        <v>0</v>
      </c>
      <c r="AX557" s="18">
        <v>0</v>
      </c>
      <c r="AY557" s="18">
        <v>0</v>
      </c>
      <c r="AZ557" s="18">
        <v>0</v>
      </c>
      <c r="BA557" s="18">
        <v>0</v>
      </c>
      <c r="BB557" s="18">
        <v>0</v>
      </c>
      <c r="BC557" s="23">
        <v>8.9181565948742242E-2</v>
      </c>
      <c r="BD557" s="23">
        <v>0.10665277883445198</v>
      </c>
      <c r="BE557" s="23">
        <v>9.438849084854764E-2</v>
      </c>
      <c r="BF557" s="23">
        <v>7.149564986855049E-2</v>
      </c>
      <c r="BG557" s="23">
        <v>0.10368571810536763</v>
      </c>
      <c r="BH557" s="23">
        <v>8.4970330952544637E-2</v>
      </c>
      <c r="BI557" s="23">
        <v>8.4593878877262704E-2</v>
      </c>
      <c r="BJ557" s="23">
        <v>5.7447105462779965E-2</v>
      </c>
      <c r="BK557" s="23">
        <v>8.5153852345557474E-2</v>
      </c>
      <c r="BL557" s="23">
        <v>7.4158058913035174E-2</v>
      </c>
      <c r="BM557" s="23">
        <v>7.5718189192107169E-2</v>
      </c>
      <c r="BN557" s="23">
        <v>7.3955559365675619E-2</v>
      </c>
    </row>
    <row r="558" spans="1:66" x14ac:dyDescent="0.25">
      <c r="A558" s="16">
        <v>2748</v>
      </c>
      <c r="B558" s="16" t="s">
        <v>752</v>
      </c>
      <c r="C558" s="17">
        <v>0</v>
      </c>
      <c r="D558" s="17">
        <f t="shared" si="305"/>
        <v>0</v>
      </c>
      <c r="E558" s="17">
        <f t="shared" si="306"/>
        <v>0</v>
      </c>
      <c r="F558" s="17">
        <f t="shared" si="307"/>
        <v>0</v>
      </c>
      <c r="G558" s="17">
        <f t="shared" si="308"/>
        <v>0</v>
      </c>
      <c r="H558" s="17">
        <f t="shared" si="309"/>
        <v>0</v>
      </c>
      <c r="I558" s="17">
        <f t="shared" si="310"/>
        <v>0</v>
      </c>
      <c r="J558" s="17">
        <f t="shared" si="311"/>
        <v>0</v>
      </c>
      <c r="K558" s="17">
        <f t="shared" si="312"/>
        <v>0</v>
      </c>
      <c r="L558" s="17">
        <f t="shared" si="313"/>
        <v>0</v>
      </c>
      <c r="M558" s="17">
        <f t="shared" si="314"/>
        <v>0</v>
      </c>
      <c r="N558" s="17">
        <f t="shared" si="315"/>
        <v>0</v>
      </c>
      <c r="O558" s="17">
        <f t="shared" si="316"/>
        <v>0</v>
      </c>
      <c r="P558" s="17">
        <v>0</v>
      </c>
      <c r="Q558" s="17">
        <f t="shared" si="317"/>
        <v>0</v>
      </c>
      <c r="R558" s="17">
        <f t="shared" si="318"/>
        <v>0</v>
      </c>
      <c r="S558" s="17">
        <f t="shared" si="319"/>
        <v>0</v>
      </c>
      <c r="T558" s="17">
        <f t="shared" si="320"/>
        <v>0</v>
      </c>
      <c r="U558" s="17">
        <f t="shared" si="321"/>
        <v>0</v>
      </c>
      <c r="V558" s="17">
        <f t="shared" si="322"/>
        <v>0</v>
      </c>
      <c r="W558" s="17">
        <f t="shared" si="323"/>
        <v>0</v>
      </c>
      <c r="X558" s="17">
        <f t="shared" si="324"/>
        <v>0</v>
      </c>
      <c r="Y558" s="17">
        <f t="shared" si="325"/>
        <v>0</v>
      </c>
      <c r="Z558" s="17">
        <f t="shared" si="326"/>
        <v>0</v>
      </c>
      <c r="AA558" s="17">
        <f t="shared" si="327"/>
        <v>0</v>
      </c>
      <c r="AB558" s="17">
        <f t="shared" si="328"/>
        <v>0</v>
      </c>
      <c r="AC558" s="17">
        <v>0</v>
      </c>
      <c r="AD558" s="17">
        <f t="shared" si="329"/>
        <v>0</v>
      </c>
      <c r="AE558" s="17">
        <f t="shared" si="330"/>
        <v>0</v>
      </c>
      <c r="AF558" s="17">
        <f t="shared" si="331"/>
        <v>0</v>
      </c>
      <c r="AG558" s="17">
        <f t="shared" si="332"/>
        <v>0</v>
      </c>
      <c r="AH558" s="17">
        <f t="shared" si="333"/>
        <v>0</v>
      </c>
      <c r="AI558" s="17">
        <f t="shared" si="334"/>
        <v>0</v>
      </c>
      <c r="AJ558" s="17">
        <f t="shared" si="335"/>
        <v>0</v>
      </c>
      <c r="AK558" s="17">
        <f t="shared" si="336"/>
        <v>0</v>
      </c>
      <c r="AL558" s="17">
        <f t="shared" si="337"/>
        <v>0</v>
      </c>
      <c r="AM558" s="17">
        <f t="shared" si="338"/>
        <v>0</v>
      </c>
      <c r="AN558" s="17">
        <f t="shared" si="339"/>
        <v>0</v>
      </c>
      <c r="AO558" s="17">
        <f t="shared" si="340"/>
        <v>0</v>
      </c>
      <c r="AP558" s="17">
        <f t="shared" si="341"/>
        <v>0</v>
      </c>
      <c r="AQ558" s="18">
        <v>0</v>
      </c>
      <c r="AR558" s="18">
        <v>0</v>
      </c>
      <c r="AS558" s="18">
        <v>0</v>
      </c>
      <c r="AT558" s="18">
        <v>0</v>
      </c>
      <c r="AU558" s="18">
        <v>0</v>
      </c>
      <c r="AV558" s="18">
        <v>0</v>
      </c>
      <c r="AW558" s="18">
        <v>0</v>
      </c>
      <c r="AX558" s="18">
        <v>0</v>
      </c>
      <c r="AY558" s="18">
        <v>0</v>
      </c>
      <c r="AZ558" s="18">
        <v>0</v>
      </c>
      <c r="BA558" s="18">
        <v>0</v>
      </c>
      <c r="BB558" s="18">
        <v>0</v>
      </c>
      <c r="BC558" s="23">
        <v>8.9181565948742242E-2</v>
      </c>
      <c r="BD558" s="23">
        <v>0.10665277883445198</v>
      </c>
      <c r="BE558" s="23">
        <v>9.438849084854764E-2</v>
      </c>
      <c r="BF558" s="23">
        <v>7.149564986855049E-2</v>
      </c>
      <c r="BG558" s="23">
        <v>0.10368571810536763</v>
      </c>
      <c r="BH558" s="23">
        <v>8.4970330952544637E-2</v>
      </c>
      <c r="BI558" s="23">
        <v>8.4593878877262704E-2</v>
      </c>
      <c r="BJ558" s="23">
        <v>5.7447105462779965E-2</v>
      </c>
      <c r="BK558" s="23">
        <v>8.5153852345557474E-2</v>
      </c>
      <c r="BL558" s="23">
        <v>7.4158058913035174E-2</v>
      </c>
      <c r="BM558" s="23">
        <v>7.5718189192107169E-2</v>
      </c>
      <c r="BN558" s="23">
        <v>7.3955559365675619E-2</v>
      </c>
    </row>
    <row r="559" spans="1:66" x14ac:dyDescent="0.25">
      <c r="A559" s="16">
        <v>2787</v>
      </c>
      <c r="B559" s="16" t="s">
        <v>753</v>
      </c>
      <c r="C559" s="17">
        <v>0</v>
      </c>
      <c r="D559" s="17">
        <f t="shared" si="305"/>
        <v>0</v>
      </c>
      <c r="E559" s="17">
        <f t="shared" si="306"/>
        <v>0</v>
      </c>
      <c r="F559" s="17">
        <f t="shared" si="307"/>
        <v>0</v>
      </c>
      <c r="G559" s="17">
        <f t="shared" si="308"/>
        <v>0</v>
      </c>
      <c r="H559" s="17">
        <f t="shared" si="309"/>
        <v>0</v>
      </c>
      <c r="I559" s="17">
        <f t="shared" si="310"/>
        <v>0</v>
      </c>
      <c r="J559" s="17">
        <f t="shared" si="311"/>
        <v>0</v>
      </c>
      <c r="K559" s="17">
        <f t="shared" si="312"/>
        <v>0</v>
      </c>
      <c r="L559" s="17">
        <f t="shared" si="313"/>
        <v>0</v>
      </c>
      <c r="M559" s="17">
        <f t="shared" si="314"/>
        <v>0</v>
      </c>
      <c r="N559" s="17">
        <f t="shared" si="315"/>
        <v>0</v>
      </c>
      <c r="O559" s="17">
        <f t="shared" si="316"/>
        <v>0</v>
      </c>
      <c r="P559" s="17">
        <v>500</v>
      </c>
      <c r="Q559" s="17">
        <f t="shared" si="317"/>
        <v>44.590782974371123</v>
      </c>
      <c r="R559" s="17">
        <f t="shared" si="318"/>
        <v>53.32638941722599</v>
      </c>
      <c r="S559" s="17">
        <f t="shared" si="319"/>
        <v>47.194245424273824</v>
      </c>
      <c r="T559" s="17">
        <f t="shared" si="320"/>
        <v>35.747824934275243</v>
      </c>
      <c r="U559" s="17">
        <f t="shared" si="321"/>
        <v>51.842859052683814</v>
      </c>
      <c r="V559" s="17">
        <f t="shared" si="322"/>
        <v>42.485165476272321</v>
      </c>
      <c r="W559" s="17">
        <f t="shared" si="323"/>
        <v>42.296939438631355</v>
      </c>
      <c r="X559" s="17">
        <f t="shared" si="324"/>
        <v>28.723552731389983</v>
      </c>
      <c r="Y559" s="17">
        <f t="shared" si="325"/>
        <v>42.576926172778734</v>
      </c>
      <c r="Z559" s="17">
        <f t="shared" si="326"/>
        <v>37.079029456517588</v>
      </c>
      <c r="AA559" s="17">
        <f t="shared" si="327"/>
        <v>37.859094596053588</v>
      </c>
      <c r="AB559" s="17">
        <f t="shared" si="328"/>
        <v>36.977779682837813</v>
      </c>
      <c r="AC559" s="17">
        <v>0</v>
      </c>
      <c r="AD559" s="17">
        <f t="shared" si="329"/>
        <v>0</v>
      </c>
      <c r="AE559" s="17">
        <f t="shared" si="330"/>
        <v>0</v>
      </c>
      <c r="AF559" s="17">
        <f t="shared" si="331"/>
        <v>0</v>
      </c>
      <c r="AG559" s="17">
        <f t="shared" si="332"/>
        <v>0</v>
      </c>
      <c r="AH559" s="17">
        <f t="shared" si="333"/>
        <v>0</v>
      </c>
      <c r="AI559" s="17">
        <f t="shared" si="334"/>
        <v>0</v>
      </c>
      <c r="AJ559" s="17">
        <f t="shared" si="335"/>
        <v>0</v>
      </c>
      <c r="AK559" s="17">
        <f t="shared" si="336"/>
        <v>0</v>
      </c>
      <c r="AL559" s="17">
        <f t="shared" si="337"/>
        <v>0</v>
      </c>
      <c r="AM559" s="17">
        <f t="shared" si="338"/>
        <v>0</v>
      </c>
      <c r="AN559" s="17">
        <f t="shared" si="339"/>
        <v>0</v>
      </c>
      <c r="AO559" s="17">
        <f t="shared" si="340"/>
        <v>0</v>
      </c>
      <c r="AP559" s="17">
        <f t="shared" si="341"/>
        <v>500</v>
      </c>
      <c r="AQ559" s="18">
        <v>0</v>
      </c>
      <c r="AR559" s="18">
        <v>0</v>
      </c>
      <c r="AS559" s="18">
        <v>0</v>
      </c>
      <c r="AT559" s="18">
        <v>0</v>
      </c>
      <c r="AU559" s="18">
        <v>0</v>
      </c>
      <c r="AV559" s="18">
        <v>0</v>
      </c>
      <c r="AW559" s="18">
        <v>0</v>
      </c>
      <c r="AX559" s="18">
        <v>0</v>
      </c>
      <c r="AY559" s="18">
        <v>0</v>
      </c>
      <c r="AZ559" s="18">
        <v>0</v>
      </c>
      <c r="BA559" s="18">
        <v>0</v>
      </c>
      <c r="BB559" s="18">
        <v>0</v>
      </c>
      <c r="BC559" s="23">
        <v>8.9181565948742242E-2</v>
      </c>
      <c r="BD559" s="23">
        <v>0.10665277883445198</v>
      </c>
      <c r="BE559" s="23">
        <v>9.438849084854764E-2</v>
      </c>
      <c r="BF559" s="23">
        <v>7.149564986855049E-2</v>
      </c>
      <c r="BG559" s="23">
        <v>0.10368571810536763</v>
      </c>
      <c r="BH559" s="23">
        <v>8.4970330952544637E-2</v>
      </c>
      <c r="BI559" s="23">
        <v>8.4593878877262704E-2</v>
      </c>
      <c r="BJ559" s="23">
        <v>5.7447105462779965E-2</v>
      </c>
      <c r="BK559" s="23">
        <v>8.5153852345557474E-2</v>
      </c>
      <c r="BL559" s="23">
        <v>7.4158058913035174E-2</v>
      </c>
      <c r="BM559" s="23">
        <v>7.5718189192107169E-2</v>
      </c>
      <c r="BN559" s="23">
        <v>7.3955559365675619E-2</v>
      </c>
    </row>
    <row r="560" spans="1:66" x14ac:dyDescent="0.25">
      <c r="A560" s="16">
        <v>2792</v>
      </c>
      <c r="B560" s="16" t="s">
        <v>754</v>
      </c>
      <c r="C560" s="17">
        <v>0</v>
      </c>
      <c r="D560" s="17">
        <f t="shared" si="305"/>
        <v>0</v>
      </c>
      <c r="E560" s="17">
        <f t="shared" si="306"/>
        <v>0</v>
      </c>
      <c r="F560" s="17">
        <f t="shared" si="307"/>
        <v>0</v>
      </c>
      <c r="G560" s="17">
        <f t="shared" si="308"/>
        <v>0</v>
      </c>
      <c r="H560" s="17">
        <f t="shared" si="309"/>
        <v>0</v>
      </c>
      <c r="I560" s="17">
        <f t="shared" si="310"/>
        <v>0</v>
      </c>
      <c r="J560" s="17">
        <f t="shared" si="311"/>
        <v>0</v>
      </c>
      <c r="K560" s="17">
        <f t="shared" si="312"/>
        <v>0</v>
      </c>
      <c r="L560" s="17">
        <f t="shared" si="313"/>
        <v>0</v>
      </c>
      <c r="M560" s="17">
        <f t="shared" si="314"/>
        <v>0</v>
      </c>
      <c r="N560" s="17">
        <f t="shared" si="315"/>
        <v>0</v>
      </c>
      <c r="O560" s="17">
        <f t="shared" si="316"/>
        <v>0</v>
      </c>
      <c r="P560" s="17">
        <v>0</v>
      </c>
      <c r="Q560" s="17">
        <f t="shared" si="317"/>
        <v>0</v>
      </c>
      <c r="R560" s="17">
        <f t="shared" si="318"/>
        <v>0</v>
      </c>
      <c r="S560" s="17">
        <f t="shared" si="319"/>
        <v>0</v>
      </c>
      <c r="T560" s="17">
        <f t="shared" si="320"/>
        <v>0</v>
      </c>
      <c r="U560" s="17">
        <f t="shared" si="321"/>
        <v>0</v>
      </c>
      <c r="V560" s="17">
        <f t="shared" si="322"/>
        <v>0</v>
      </c>
      <c r="W560" s="17">
        <f t="shared" si="323"/>
        <v>0</v>
      </c>
      <c r="X560" s="17">
        <f t="shared" si="324"/>
        <v>0</v>
      </c>
      <c r="Y560" s="17">
        <f t="shared" si="325"/>
        <v>0</v>
      </c>
      <c r="Z560" s="17">
        <f t="shared" si="326"/>
        <v>0</v>
      </c>
      <c r="AA560" s="17">
        <f t="shared" si="327"/>
        <v>0</v>
      </c>
      <c r="AB560" s="17">
        <f t="shared" si="328"/>
        <v>0</v>
      </c>
      <c r="AC560" s="17">
        <v>0</v>
      </c>
      <c r="AD560" s="17">
        <f t="shared" si="329"/>
        <v>0</v>
      </c>
      <c r="AE560" s="17">
        <f t="shared" si="330"/>
        <v>0</v>
      </c>
      <c r="AF560" s="17">
        <f t="shared" si="331"/>
        <v>0</v>
      </c>
      <c r="AG560" s="17">
        <f t="shared" si="332"/>
        <v>0</v>
      </c>
      <c r="AH560" s="17">
        <f t="shared" si="333"/>
        <v>0</v>
      </c>
      <c r="AI560" s="17">
        <f t="shared" si="334"/>
        <v>0</v>
      </c>
      <c r="AJ560" s="17">
        <f t="shared" si="335"/>
        <v>0</v>
      </c>
      <c r="AK560" s="17">
        <f t="shared" si="336"/>
        <v>0</v>
      </c>
      <c r="AL560" s="17">
        <f t="shared" si="337"/>
        <v>0</v>
      </c>
      <c r="AM560" s="17">
        <f t="shared" si="338"/>
        <v>0</v>
      </c>
      <c r="AN560" s="17">
        <f t="shared" si="339"/>
        <v>0</v>
      </c>
      <c r="AO560" s="17">
        <f t="shared" si="340"/>
        <v>0</v>
      </c>
      <c r="AP560" s="17">
        <f t="shared" si="341"/>
        <v>0</v>
      </c>
      <c r="AQ560" s="18">
        <v>0</v>
      </c>
      <c r="AR560" s="18">
        <v>0</v>
      </c>
      <c r="AS560" s="18">
        <v>0</v>
      </c>
      <c r="AT560" s="18">
        <v>0</v>
      </c>
      <c r="AU560" s="18">
        <v>0</v>
      </c>
      <c r="AV560" s="18">
        <v>0</v>
      </c>
      <c r="AW560" s="18">
        <v>0</v>
      </c>
      <c r="AX560" s="18">
        <v>0</v>
      </c>
      <c r="AY560" s="18">
        <v>0</v>
      </c>
      <c r="AZ560" s="18">
        <v>0</v>
      </c>
      <c r="BA560" s="18">
        <v>0</v>
      </c>
      <c r="BB560" s="18">
        <v>0</v>
      </c>
      <c r="BC560" s="23">
        <v>8.9181565948742242E-2</v>
      </c>
      <c r="BD560" s="23">
        <v>0.10665277883445198</v>
      </c>
      <c r="BE560" s="23">
        <v>9.438849084854764E-2</v>
      </c>
      <c r="BF560" s="23">
        <v>7.149564986855049E-2</v>
      </c>
      <c r="BG560" s="23">
        <v>0.10368571810536763</v>
      </c>
      <c r="BH560" s="23">
        <v>8.4970330952544637E-2</v>
      </c>
      <c r="BI560" s="23">
        <v>8.4593878877262704E-2</v>
      </c>
      <c r="BJ560" s="23">
        <v>5.7447105462779965E-2</v>
      </c>
      <c r="BK560" s="23">
        <v>8.5153852345557474E-2</v>
      </c>
      <c r="BL560" s="23">
        <v>7.4158058913035174E-2</v>
      </c>
      <c r="BM560" s="23">
        <v>7.5718189192107169E-2</v>
      </c>
      <c r="BN560" s="23">
        <v>7.3955559365675619E-2</v>
      </c>
    </row>
    <row r="561" spans="1:66" x14ac:dyDescent="0.25">
      <c r="A561" s="16">
        <v>2942</v>
      </c>
      <c r="B561" s="16" t="s">
        <v>755</v>
      </c>
      <c r="C561" s="17">
        <v>0</v>
      </c>
      <c r="D561" s="17">
        <f t="shared" si="305"/>
        <v>0</v>
      </c>
      <c r="E561" s="17">
        <f t="shared" si="306"/>
        <v>0</v>
      </c>
      <c r="F561" s="17">
        <f t="shared" si="307"/>
        <v>0</v>
      </c>
      <c r="G561" s="17">
        <f t="shared" si="308"/>
        <v>0</v>
      </c>
      <c r="H561" s="17">
        <f t="shared" si="309"/>
        <v>0</v>
      </c>
      <c r="I561" s="17">
        <f t="shared" si="310"/>
        <v>0</v>
      </c>
      <c r="J561" s="17">
        <f t="shared" si="311"/>
        <v>0</v>
      </c>
      <c r="K561" s="17">
        <f t="shared" si="312"/>
        <v>0</v>
      </c>
      <c r="L561" s="17">
        <f t="shared" si="313"/>
        <v>0</v>
      </c>
      <c r="M561" s="17">
        <f t="shared" si="314"/>
        <v>0</v>
      </c>
      <c r="N561" s="17">
        <f t="shared" si="315"/>
        <v>0</v>
      </c>
      <c r="O561" s="17">
        <f t="shared" si="316"/>
        <v>0</v>
      </c>
      <c r="P561" s="17">
        <v>0</v>
      </c>
      <c r="Q561" s="17">
        <f t="shared" si="317"/>
        <v>0</v>
      </c>
      <c r="R561" s="17">
        <f t="shared" si="318"/>
        <v>0</v>
      </c>
      <c r="S561" s="17">
        <f t="shared" si="319"/>
        <v>0</v>
      </c>
      <c r="T561" s="17">
        <f t="shared" si="320"/>
        <v>0</v>
      </c>
      <c r="U561" s="17">
        <f t="shared" si="321"/>
        <v>0</v>
      </c>
      <c r="V561" s="17">
        <f t="shared" si="322"/>
        <v>0</v>
      </c>
      <c r="W561" s="17">
        <f t="shared" si="323"/>
        <v>0</v>
      </c>
      <c r="X561" s="17">
        <f t="shared" si="324"/>
        <v>0</v>
      </c>
      <c r="Y561" s="17">
        <f t="shared" si="325"/>
        <v>0</v>
      </c>
      <c r="Z561" s="17">
        <f t="shared" si="326"/>
        <v>0</v>
      </c>
      <c r="AA561" s="17">
        <f t="shared" si="327"/>
        <v>0</v>
      </c>
      <c r="AB561" s="17">
        <f t="shared" si="328"/>
        <v>0</v>
      </c>
      <c r="AC561" s="17">
        <v>0</v>
      </c>
      <c r="AD561" s="17">
        <f t="shared" si="329"/>
        <v>0</v>
      </c>
      <c r="AE561" s="17">
        <f t="shared" si="330"/>
        <v>0</v>
      </c>
      <c r="AF561" s="17">
        <f t="shared" si="331"/>
        <v>0</v>
      </c>
      <c r="AG561" s="17">
        <f t="shared" si="332"/>
        <v>0</v>
      </c>
      <c r="AH561" s="17">
        <f t="shared" si="333"/>
        <v>0</v>
      </c>
      <c r="AI561" s="17">
        <f t="shared" si="334"/>
        <v>0</v>
      </c>
      <c r="AJ561" s="17">
        <f t="shared" si="335"/>
        <v>0</v>
      </c>
      <c r="AK561" s="17">
        <f t="shared" si="336"/>
        <v>0</v>
      </c>
      <c r="AL561" s="17">
        <f t="shared" si="337"/>
        <v>0</v>
      </c>
      <c r="AM561" s="17">
        <f t="shared" si="338"/>
        <v>0</v>
      </c>
      <c r="AN561" s="17">
        <f t="shared" si="339"/>
        <v>0</v>
      </c>
      <c r="AO561" s="17">
        <f t="shared" si="340"/>
        <v>0</v>
      </c>
      <c r="AP561" s="17">
        <f t="shared" si="341"/>
        <v>0</v>
      </c>
      <c r="AQ561" s="18">
        <v>0</v>
      </c>
      <c r="AR561" s="18">
        <v>0</v>
      </c>
      <c r="AS561" s="18">
        <v>0</v>
      </c>
      <c r="AT561" s="18">
        <v>0</v>
      </c>
      <c r="AU561" s="18">
        <v>0</v>
      </c>
      <c r="AV561" s="18">
        <v>0</v>
      </c>
      <c r="AW561" s="18">
        <v>0</v>
      </c>
      <c r="AX561" s="18">
        <v>0</v>
      </c>
      <c r="AY561" s="18">
        <v>0</v>
      </c>
      <c r="AZ561" s="18">
        <v>0</v>
      </c>
      <c r="BA561" s="18">
        <v>0</v>
      </c>
      <c r="BB561" s="18">
        <v>0</v>
      </c>
      <c r="BC561" s="23">
        <v>8.9181565948742242E-2</v>
      </c>
      <c r="BD561" s="23">
        <v>0.10665277883445198</v>
      </c>
      <c r="BE561" s="23">
        <v>9.438849084854764E-2</v>
      </c>
      <c r="BF561" s="23">
        <v>7.149564986855049E-2</v>
      </c>
      <c r="BG561" s="23">
        <v>0.10368571810536763</v>
      </c>
      <c r="BH561" s="23">
        <v>8.4970330952544637E-2</v>
      </c>
      <c r="BI561" s="23">
        <v>8.4593878877262704E-2</v>
      </c>
      <c r="BJ561" s="23">
        <v>5.7447105462779965E-2</v>
      </c>
      <c r="BK561" s="23">
        <v>8.5153852345557474E-2</v>
      </c>
      <c r="BL561" s="23">
        <v>7.4158058913035174E-2</v>
      </c>
      <c r="BM561" s="23">
        <v>7.5718189192107169E-2</v>
      </c>
      <c r="BN561" s="23">
        <v>7.3955559365675619E-2</v>
      </c>
    </row>
    <row r="562" spans="1:66" x14ac:dyDescent="0.25">
      <c r="A562" s="16">
        <v>2960</v>
      </c>
      <c r="B562" s="16" t="s">
        <v>756</v>
      </c>
      <c r="C562" s="17">
        <v>0</v>
      </c>
      <c r="D562" s="17">
        <f t="shared" si="305"/>
        <v>0</v>
      </c>
      <c r="E562" s="17">
        <f t="shared" si="306"/>
        <v>0</v>
      </c>
      <c r="F562" s="17">
        <f t="shared" si="307"/>
        <v>0</v>
      </c>
      <c r="G562" s="17">
        <f t="shared" si="308"/>
        <v>0</v>
      </c>
      <c r="H562" s="17">
        <f t="shared" si="309"/>
        <v>0</v>
      </c>
      <c r="I562" s="17">
        <f t="shared" si="310"/>
        <v>0</v>
      </c>
      <c r="J562" s="17">
        <f t="shared" si="311"/>
        <v>0</v>
      </c>
      <c r="K562" s="17">
        <f t="shared" si="312"/>
        <v>0</v>
      </c>
      <c r="L562" s="17">
        <f t="shared" si="313"/>
        <v>0</v>
      </c>
      <c r="M562" s="17">
        <f t="shared" si="314"/>
        <v>0</v>
      </c>
      <c r="N562" s="17">
        <f t="shared" si="315"/>
        <v>0</v>
      </c>
      <c r="O562" s="17">
        <f t="shared" si="316"/>
        <v>0</v>
      </c>
      <c r="P562" s="17">
        <v>0</v>
      </c>
      <c r="Q562" s="17">
        <f t="shared" si="317"/>
        <v>0</v>
      </c>
      <c r="R562" s="17">
        <f t="shared" si="318"/>
        <v>0</v>
      </c>
      <c r="S562" s="17">
        <f t="shared" si="319"/>
        <v>0</v>
      </c>
      <c r="T562" s="17">
        <f t="shared" si="320"/>
        <v>0</v>
      </c>
      <c r="U562" s="17">
        <f t="shared" si="321"/>
        <v>0</v>
      </c>
      <c r="V562" s="17">
        <f t="shared" si="322"/>
        <v>0</v>
      </c>
      <c r="W562" s="17">
        <f t="shared" si="323"/>
        <v>0</v>
      </c>
      <c r="X562" s="17">
        <f t="shared" si="324"/>
        <v>0</v>
      </c>
      <c r="Y562" s="17">
        <f t="shared" si="325"/>
        <v>0</v>
      </c>
      <c r="Z562" s="17">
        <f t="shared" si="326"/>
        <v>0</v>
      </c>
      <c r="AA562" s="17">
        <f t="shared" si="327"/>
        <v>0</v>
      </c>
      <c r="AB562" s="17">
        <f t="shared" si="328"/>
        <v>0</v>
      </c>
      <c r="AC562" s="17">
        <v>0</v>
      </c>
      <c r="AD562" s="17">
        <f t="shared" si="329"/>
        <v>0</v>
      </c>
      <c r="AE562" s="17">
        <f t="shared" si="330"/>
        <v>0</v>
      </c>
      <c r="AF562" s="17">
        <f t="shared" si="331"/>
        <v>0</v>
      </c>
      <c r="AG562" s="17">
        <f t="shared" si="332"/>
        <v>0</v>
      </c>
      <c r="AH562" s="17">
        <f t="shared" si="333"/>
        <v>0</v>
      </c>
      <c r="AI562" s="17">
        <f t="shared" si="334"/>
        <v>0</v>
      </c>
      <c r="AJ562" s="17">
        <f t="shared" si="335"/>
        <v>0</v>
      </c>
      <c r="AK562" s="17">
        <f t="shared" si="336"/>
        <v>0</v>
      </c>
      <c r="AL562" s="17">
        <f t="shared" si="337"/>
        <v>0</v>
      </c>
      <c r="AM562" s="17">
        <f t="shared" si="338"/>
        <v>0</v>
      </c>
      <c r="AN562" s="17">
        <f t="shared" si="339"/>
        <v>0</v>
      </c>
      <c r="AO562" s="17">
        <f t="shared" si="340"/>
        <v>0</v>
      </c>
      <c r="AP562" s="17">
        <f t="shared" si="341"/>
        <v>0</v>
      </c>
      <c r="AQ562" s="18">
        <v>0</v>
      </c>
      <c r="AR562" s="18">
        <v>0</v>
      </c>
      <c r="AS562" s="18">
        <v>0</v>
      </c>
      <c r="AT562" s="18">
        <v>0</v>
      </c>
      <c r="AU562" s="18">
        <v>0</v>
      </c>
      <c r="AV562" s="18">
        <v>0</v>
      </c>
      <c r="AW562" s="18">
        <v>0</v>
      </c>
      <c r="AX562" s="18">
        <v>0</v>
      </c>
      <c r="AY562" s="18">
        <v>0</v>
      </c>
      <c r="AZ562" s="18">
        <v>0</v>
      </c>
      <c r="BA562" s="18">
        <v>0</v>
      </c>
      <c r="BB562" s="18">
        <v>0</v>
      </c>
      <c r="BC562" s="23">
        <v>8.9181565948742242E-2</v>
      </c>
      <c r="BD562" s="23">
        <v>0.10665277883445198</v>
      </c>
      <c r="BE562" s="23">
        <v>9.438849084854764E-2</v>
      </c>
      <c r="BF562" s="23">
        <v>7.149564986855049E-2</v>
      </c>
      <c r="BG562" s="23">
        <v>0.10368571810536763</v>
      </c>
      <c r="BH562" s="23">
        <v>8.4970330952544637E-2</v>
      </c>
      <c r="BI562" s="23">
        <v>8.4593878877262704E-2</v>
      </c>
      <c r="BJ562" s="23">
        <v>5.7447105462779965E-2</v>
      </c>
      <c r="BK562" s="23">
        <v>8.5153852345557474E-2</v>
      </c>
      <c r="BL562" s="23">
        <v>7.4158058913035174E-2</v>
      </c>
      <c r="BM562" s="23">
        <v>7.5718189192107169E-2</v>
      </c>
      <c r="BN562" s="23">
        <v>7.3955559365675619E-2</v>
      </c>
    </row>
    <row r="563" spans="1:66" x14ac:dyDescent="0.25">
      <c r="A563" s="16">
        <v>3002</v>
      </c>
      <c r="B563" s="16" t="s">
        <v>757</v>
      </c>
      <c r="C563" s="17">
        <v>0</v>
      </c>
      <c r="D563" s="17">
        <f t="shared" si="305"/>
        <v>0</v>
      </c>
      <c r="E563" s="17">
        <f t="shared" si="306"/>
        <v>0</v>
      </c>
      <c r="F563" s="17">
        <f t="shared" si="307"/>
        <v>0</v>
      </c>
      <c r="G563" s="17">
        <f t="shared" si="308"/>
        <v>0</v>
      </c>
      <c r="H563" s="17">
        <f t="shared" si="309"/>
        <v>0</v>
      </c>
      <c r="I563" s="17">
        <f t="shared" si="310"/>
        <v>0</v>
      </c>
      <c r="J563" s="17">
        <f t="shared" si="311"/>
        <v>0</v>
      </c>
      <c r="K563" s="17">
        <f t="shared" si="312"/>
        <v>0</v>
      </c>
      <c r="L563" s="17">
        <f t="shared" si="313"/>
        <v>0</v>
      </c>
      <c r="M563" s="17">
        <f t="shared" si="314"/>
        <v>0</v>
      </c>
      <c r="N563" s="17">
        <f t="shared" si="315"/>
        <v>0</v>
      </c>
      <c r="O563" s="17">
        <f t="shared" si="316"/>
        <v>0</v>
      </c>
      <c r="P563" s="17">
        <v>0</v>
      </c>
      <c r="Q563" s="17">
        <f t="shared" si="317"/>
        <v>0</v>
      </c>
      <c r="R563" s="17">
        <f t="shared" si="318"/>
        <v>0</v>
      </c>
      <c r="S563" s="17">
        <f t="shared" si="319"/>
        <v>0</v>
      </c>
      <c r="T563" s="17">
        <f t="shared" si="320"/>
        <v>0</v>
      </c>
      <c r="U563" s="17">
        <f t="shared" si="321"/>
        <v>0</v>
      </c>
      <c r="V563" s="17">
        <f t="shared" si="322"/>
        <v>0</v>
      </c>
      <c r="W563" s="17">
        <f t="shared" si="323"/>
        <v>0</v>
      </c>
      <c r="X563" s="17">
        <f t="shared" si="324"/>
        <v>0</v>
      </c>
      <c r="Y563" s="17">
        <f t="shared" si="325"/>
        <v>0</v>
      </c>
      <c r="Z563" s="17">
        <f t="shared" si="326"/>
        <v>0</v>
      </c>
      <c r="AA563" s="17">
        <f t="shared" si="327"/>
        <v>0</v>
      </c>
      <c r="AB563" s="17">
        <f t="shared" si="328"/>
        <v>0</v>
      </c>
      <c r="AC563" s="17">
        <v>0</v>
      </c>
      <c r="AD563" s="17">
        <f t="shared" si="329"/>
        <v>0</v>
      </c>
      <c r="AE563" s="17">
        <f t="shared" si="330"/>
        <v>0</v>
      </c>
      <c r="AF563" s="17">
        <f t="shared" si="331"/>
        <v>0</v>
      </c>
      <c r="AG563" s="17">
        <f t="shared" si="332"/>
        <v>0</v>
      </c>
      <c r="AH563" s="17">
        <f t="shared" si="333"/>
        <v>0</v>
      </c>
      <c r="AI563" s="17">
        <f t="shared" si="334"/>
        <v>0</v>
      </c>
      <c r="AJ563" s="17">
        <f t="shared" si="335"/>
        <v>0</v>
      </c>
      <c r="AK563" s="17">
        <f t="shared" si="336"/>
        <v>0</v>
      </c>
      <c r="AL563" s="17">
        <f t="shared" si="337"/>
        <v>0</v>
      </c>
      <c r="AM563" s="17">
        <f t="shared" si="338"/>
        <v>0</v>
      </c>
      <c r="AN563" s="17">
        <f t="shared" si="339"/>
        <v>0</v>
      </c>
      <c r="AO563" s="17">
        <f t="shared" si="340"/>
        <v>0</v>
      </c>
      <c r="AP563" s="17">
        <f t="shared" si="341"/>
        <v>0</v>
      </c>
      <c r="AQ563" s="18">
        <v>18.486892713344524</v>
      </c>
      <c r="AR563" s="18">
        <v>22.108587788487725</v>
      </c>
      <c r="AS563" s="18">
        <v>19.566262210449686</v>
      </c>
      <c r="AT563" s="18">
        <v>14.820690739501176</v>
      </c>
      <c r="AU563" s="18">
        <v>21.493530934652185</v>
      </c>
      <c r="AV563" s="18">
        <v>17.613924754807741</v>
      </c>
      <c r="AW563" s="18">
        <v>17.535888121862175</v>
      </c>
      <c r="AX563" s="18">
        <v>11.908497726906974</v>
      </c>
      <c r="AY563" s="18">
        <v>17.651967821972338</v>
      </c>
      <c r="AZ563" s="18">
        <v>15.372594822377627</v>
      </c>
      <c r="BA563" s="18">
        <v>15.696002028577857</v>
      </c>
      <c r="BB563" s="18">
        <v>15.330617678707728</v>
      </c>
      <c r="BC563" s="23">
        <v>8.9181565948742242E-2</v>
      </c>
      <c r="BD563" s="23">
        <v>0.10665277883445198</v>
      </c>
      <c r="BE563" s="23">
        <v>9.438849084854764E-2</v>
      </c>
      <c r="BF563" s="23">
        <v>7.149564986855049E-2</v>
      </c>
      <c r="BG563" s="23">
        <v>0.10368571810536763</v>
      </c>
      <c r="BH563" s="23">
        <v>8.4970330952544637E-2</v>
      </c>
      <c r="BI563" s="23">
        <v>8.4593878877262704E-2</v>
      </c>
      <c r="BJ563" s="23">
        <v>5.7447105462779965E-2</v>
      </c>
      <c r="BK563" s="23">
        <v>8.5153852345557474E-2</v>
      </c>
      <c r="BL563" s="23">
        <v>7.4158058913035174E-2</v>
      </c>
      <c r="BM563" s="23">
        <v>7.5718189192107169E-2</v>
      </c>
      <c r="BN563" s="23">
        <v>7.3955559365675619E-2</v>
      </c>
    </row>
    <row r="564" spans="1:66" x14ac:dyDescent="0.25">
      <c r="A564" s="16">
        <v>3025</v>
      </c>
      <c r="B564" s="16" t="s">
        <v>758</v>
      </c>
      <c r="C564" s="17">
        <v>0</v>
      </c>
      <c r="D564" s="17">
        <f t="shared" si="305"/>
        <v>0</v>
      </c>
      <c r="E564" s="17">
        <f t="shared" si="306"/>
        <v>0</v>
      </c>
      <c r="F564" s="17">
        <f t="shared" si="307"/>
        <v>0</v>
      </c>
      <c r="G564" s="17">
        <f t="shared" si="308"/>
        <v>0</v>
      </c>
      <c r="H564" s="17">
        <f t="shared" si="309"/>
        <v>0</v>
      </c>
      <c r="I564" s="17">
        <f t="shared" si="310"/>
        <v>0</v>
      </c>
      <c r="J564" s="17">
        <f t="shared" si="311"/>
        <v>0</v>
      </c>
      <c r="K564" s="17">
        <f t="shared" si="312"/>
        <v>0</v>
      </c>
      <c r="L564" s="17">
        <f t="shared" si="313"/>
        <v>0</v>
      </c>
      <c r="M564" s="17">
        <f t="shared" si="314"/>
        <v>0</v>
      </c>
      <c r="N564" s="17">
        <f t="shared" si="315"/>
        <v>0</v>
      </c>
      <c r="O564" s="17">
        <f t="shared" si="316"/>
        <v>0</v>
      </c>
      <c r="P564" s="17">
        <v>4000</v>
      </c>
      <c r="Q564" s="17">
        <f t="shared" si="317"/>
        <v>356.72626379496899</v>
      </c>
      <c r="R564" s="17">
        <f t="shared" si="318"/>
        <v>426.61111533780792</v>
      </c>
      <c r="S564" s="17">
        <f t="shared" si="319"/>
        <v>377.55396339419059</v>
      </c>
      <c r="T564" s="17">
        <f t="shared" si="320"/>
        <v>285.98259947420195</v>
      </c>
      <c r="U564" s="17">
        <f t="shared" si="321"/>
        <v>414.74287242147051</v>
      </c>
      <c r="V564" s="17">
        <f t="shared" si="322"/>
        <v>339.88132381017857</v>
      </c>
      <c r="W564" s="17">
        <f t="shared" si="323"/>
        <v>338.37551550905084</v>
      </c>
      <c r="X564" s="17">
        <f t="shared" si="324"/>
        <v>229.78842185111986</v>
      </c>
      <c r="Y564" s="17">
        <f t="shared" si="325"/>
        <v>340.61540938222987</v>
      </c>
      <c r="Z564" s="17">
        <f t="shared" si="326"/>
        <v>296.63223565214071</v>
      </c>
      <c r="AA564" s="17">
        <f t="shared" si="327"/>
        <v>302.8727567684287</v>
      </c>
      <c r="AB564" s="17">
        <f t="shared" si="328"/>
        <v>295.8222374627025</v>
      </c>
      <c r="AC564" s="17">
        <v>0</v>
      </c>
      <c r="AD564" s="17">
        <f t="shared" si="329"/>
        <v>0</v>
      </c>
      <c r="AE564" s="17">
        <f t="shared" si="330"/>
        <v>0</v>
      </c>
      <c r="AF564" s="17">
        <f t="shared" si="331"/>
        <v>0</v>
      </c>
      <c r="AG564" s="17">
        <f t="shared" si="332"/>
        <v>0</v>
      </c>
      <c r="AH564" s="17">
        <f t="shared" si="333"/>
        <v>0</v>
      </c>
      <c r="AI564" s="17">
        <f t="shared" si="334"/>
        <v>0</v>
      </c>
      <c r="AJ564" s="17">
        <f t="shared" si="335"/>
        <v>0</v>
      </c>
      <c r="AK564" s="17">
        <f t="shared" si="336"/>
        <v>0</v>
      </c>
      <c r="AL564" s="17">
        <f t="shared" si="337"/>
        <v>0</v>
      </c>
      <c r="AM564" s="17">
        <f t="shared" si="338"/>
        <v>0</v>
      </c>
      <c r="AN564" s="17">
        <f t="shared" si="339"/>
        <v>0</v>
      </c>
      <c r="AO564" s="17">
        <f t="shared" si="340"/>
        <v>0</v>
      </c>
      <c r="AP564" s="17">
        <f t="shared" si="341"/>
        <v>4000</v>
      </c>
      <c r="AQ564" s="18">
        <v>19.588552597509334</v>
      </c>
      <c r="AR564" s="18">
        <v>23.42606956542971</v>
      </c>
      <c r="AS564" s="18">
        <v>20.732243237901791</v>
      </c>
      <c r="AT564" s="18">
        <v>15.703876502327377</v>
      </c>
      <c r="AU564" s="18">
        <v>22.77436061040779</v>
      </c>
      <c r="AV564" s="18">
        <v>18.663563253064524</v>
      </c>
      <c r="AW564" s="18">
        <v>18.580876307632998</v>
      </c>
      <c r="AX564" s="18">
        <v>12.618141820688693</v>
      </c>
      <c r="AY564" s="18">
        <v>18.703873359997008</v>
      </c>
      <c r="AZ564" s="18">
        <v>16.28866932413035</v>
      </c>
      <c r="BA564" s="18">
        <v>16.631348819667956</v>
      </c>
      <c r="BB564" s="18">
        <v>16.244190703551919</v>
      </c>
      <c r="BC564" s="23">
        <v>8.9181565948742242E-2</v>
      </c>
      <c r="BD564" s="23">
        <v>0.10665277883445198</v>
      </c>
      <c r="BE564" s="23">
        <v>9.438849084854764E-2</v>
      </c>
      <c r="BF564" s="23">
        <v>7.149564986855049E-2</v>
      </c>
      <c r="BG564" s="23">
        <v>0.10368571810536763</v>
      </c>
      <c r="BH564" s="23">
        <v>8.4970330952544637E-2</v>
      </c>
      <c r="BI564" s="23">
        <v>8.4593878877262704E-2</v>
      </c>
      <c r="BJ564" s="23">
        <v>5.7447105462779965E-2</v>
      </c>
      <c r="BK564" s="23">
        <v>8.5153852345557474E-2</v>
      </c>
      <c r="BL564" s="23">
        <v>7.4158058913035174E-2</v>
      </c>
      <c r="BM564" s="23">
        <v>7.5718189192107169E-2</v>
      </c>
      <c r="BN564" s="23">
        <v>7.3955559365675619E-2</v>
      </c>
    </row>
    <row r="565" spans="1:66" x14ac:dyDescent="0.25">
      <c r="A565" s="16">
        <v>3055</v>
      </c>
      <c r="B565" s="16" t="s">
        <v>759</v>
      </c>
      <c r="C565" s="17">
        <v>0</v>
      </c>
      <c r="D565" s="17">
        <f t="shared" si="305"/>
        <v>0</v>
      </c>
      <c r="E565" s="17">
        <f t="shared" si="306"/>
        <v>0</v>
      </c>
      <c r="F565" s="17">
        <f t="shared" si="307"/>
        <v>0</v>
      </c>
      <c r="G565" s="17">
        <f t="shared" si="308"/>
        <v>0</v>
      </c>
      <c r="H565" s="17">
        <f t="shared" si="309"/>
        <v>0</v>
      </c>
      <c r="I565" s="17">
        <f t="shared" si="310"/>
        <v>0</v>
      </c>
      <c r="J565" s="17">
        <f t="shared" si="311"/>
        <v>0</v>
      </c>
      <c r="K565" s="17">
        <f t="shared" si="312"/>
        <v>0</v>
      </c>
      <c r="L565" s="17">
        <f t="shared" si="313"/>
        <v>0</v>
      </c>
      <c r="M565" s="17">
        <f t="shared" si="314"/>
        <v>0</v>
      </c>
      <c r="N565" s="17">
        <f t="shared" si="315"/>
        <v>0</v>
      </c>
      <c r="O565" s="17">
        <f t="shared" si="316"/>
        <v>0</v>
      </c>
      <c r="P565" s="17">
        <v>6000</v>
      </c>
      <c r="Q565" s="17">
        <f t="shared" si="317"/>
        <v>535.08939569245342</v>
      </c>
      <c r="R565" s="17">
        <f t="shared" si="318"/>
        <v>639.9166730067119</v>
      </c>
      <c r="S565" s="17">
        <f t="shared" si="319"/>
        <v>566.3309450912858</v>
      </c>
      <c r="T565" s="17">
        <f t="shared" si="320"/>
        <v>428.97389921130292</v>
      </c>
      <c r="U565" s="17">
        <f t="shared" si="321"/>
        <v>622.11430863220573</v>
      </c>
      <c r="V565" s="17">
        <f t="shared" si="322"/>
        <v>509.82198571526783</v>
      </c>
      <c r="W565" s="17">
        <f t="shared" si="323"/>
        <v>507.56327326357621</v>
      </c>
      <c r="X565" s="17">
        <f t="shared" si="324"/>
        <v>344.68263277667978</v>
      </c>
      <c r="Y565" s="17">
        <f t="shared" si="325"/>
        <v>510.92311407334483</v>
      </c>
      <c r="Z565" s="17">
        <f t="shared" si="326"/>
        <v>444.94835347821106</v>
      </c>
      <c r="AA565" s="17">
        <f t="shared" si="327"/>
        <v>454.30913515264302</v>
      </c>
      <c r="AB565" s="17">
        <f t="shared" si="328"/>
        <v>443.73335619405373</v>
      </c>
      <c r="AC565" s="17">
        <v>0</v>
      </c>
      <c r="AD565" s="17">
        <f t="shared" si="329"/>
        <v>0</v>
      </c>
      <c r="AE565" s="17">
        <f t="shared" si="330"/>
        <v>0</v>
      </c>
      <c r="AF565" s="17">
        <f t="shared" si="331"/>
        <v>0</v>
      </c>
      <c r="AG565" s="17">
        <f t="shared" si="332"/>
        <v>0</v>
      </c>
      <c r="AH565" s="17">
        <f t="shared" si="333"/>
        <v>0</v>
      </c>
      <c r="AI565" s="17">
        <f t="shared" si="334"/>
        <v>0</v>
      </c>
      <c r="AJ565" s="17">
        <f t="shared" si="335"/>
        <v>0</v>
      </c>
      <c r="AK565" s="17">
        <f t="shared" si="336"/>
        <v>0</v>
      </c>
      <c r="AL565" s="17">
        <f t="shared" si="337"/>
        <v>0</v>
      </c>
      <c r="AM565" s="17">
        <f t="shared" si="338"/>
        <v>0</v>
      </c>
      <c r="AN565" s="17">
        <f t="shared" si="339"/>
        <v>0</v>
      </c>
      <c r="AO565" s="17">
        <f t="shared" si="340"/>
        <v>0</v>
      </c>
      <c r="AP565" s="17">
        <f t="shared" si="341"/>
        <v>6000</v>
      </c>
      <c r="AQ565" s="18">
        <v>104.64395503450113</v>
      </c>
      <c r="AR565" s="18">
        <v>125.14434428154811</v>
      </c>
      <c r="AS565" s="18">
        <v>110.75366178035969</v>
      </c>
      <c r="AT565" s="18">
        <v>83.891637138409649</v>
      </c>
      <c r="AU565" s="18">
        <v>121.66285159619439</v>
      </c>
      <c r="AV565" s="18">
        <v>99.702571903427781</v>
      </c>
      <c r="AW565" s="18">
        <v>99.260850190881399</v>
      </c>
      <c r="AX565" s="18">
        <v>67.407342055022227</v>
      </c>
      <c r="AY565" s="18">
        <v>99.917912419082583</v>
      </c>
      <c r="AZ565" s="18">
        <v>87.015657325436138</v>
      </c>
      <c r="BA565" s="18">
        <v>88.84628455242391</v>
      </c>
      <c r="BB565" s="18">
        <v>86.778048204055835</v>
      </c>
      <c r="BC565" s="23">
        <v>8.9181565948742242E-2</v>
      </c>
      <c r="BD565" s="23">
        <v>0.10665277883445198</v>
      </c>
      <c r="BE565" s="23">
        <v>9.438849084854764E-2</v>
      </c>
      <c r="BF565" s="23">
        <v>7.149564986855049E-2</v>
      </c>
      <c r="BG565" s="23">
        <v>0.10368571810536763</v>
      </c>
      <c r="BH565" s="23">
        <v>8.4970330952544637E-2</v>
      </c>
      <c r="BI565" s="23">
        <v>8.4593878877262704E-2</v>
      </c>
      <c r="BJ565" s="23">
        <v>5.7447105462779965E-2</v>
      </c>
      <c r="BK565" s="23">
        <v>8.5153852345557474E-2</v>
      </c>
      <c r="BL565" s="23">
        <v>7.4158058913035174E-2</v>
      </c>
      <c r="BM565" s="23">
        <v>7.5718189192107169E-2</v>
      </c>
      <c r="BN565" s="23">
        <v>7.3955559365675619E-2</v>
      </c>
    </row>
    <row r="566" spans="1:66" x14ac:dyDescent="0.25">
      <c r="A566" s="16">
        <v>3060</v>
      </c>
      <c r="B566" s="16" t="s">
        <v>760</v>
      </c>
      <c r="C566" s="17">
        <v>0</v>
      </c>
      <c r="D566" s="17">
        <f t="shared" si="305"/>
        <v>0</v>
      </c>
      <c r="E566" s="17">
        <f t="shared" si="306"/>
        <v>0</v>
      </c>
      <c r="F566" s="17">
        <f t="shared" si="307"/>
        <v>0</v>
      </c>
      <c r="G566" s="17">
        <f t="shared" si="308"/>
        <v>0</v>
      </c>
      <c r="H566" s="17">
        <f t="shared" si="309"/>
        <v>0</v>
      </c>
      <c r="I566" s="17">
        <f t="shared" si="310"/>
        <v>0</v>
      </c>
      <c r="J566" s="17">
        <f t="shared" si="311"/>
        <v>0</v>
      </c>
      <c r="K566" s="17">
        <f t="shared" si="312"/>
        <v>0</v>
      </c>
      <c r="L566" s="17">
        <f t="shared" si="313"/>
        <v>0</v>
      </c>
      <c r="M566" s="17">
        <f t="shared" si="314"/>
        <v>0</v>
      </c>
      <c r="N566" s="17">
        <f t="shared" si="315"/>
        <v>0</v>
      </c>
      <c r="O566" s="17">
        <f t="shared" si="316"/>
        <v>0</v>
      </c>
      <c r="P566" s="17">
        <v>0</v>
      </c>
      <c r="Q566" s="17">
        <f t="shared" si="317"/>
        <v>0</v>
      </c>
      <c r="R566" s="17">
        <f t="shared" si="318"/>
        <v>0</v>
      </c>
      <c r="S566" s="17">
        <f t="shared" si="319"/>
        <v>0</v>
      </c>
      <c r="T566" s="17">
        <f t="shared" si="320"/>
        <v>0</v>
      </c>
      <c r="U566" s="17">
        <f t="shared" si="321"/>
        <v>0</v>
      </c>
      <c r="V566" s="17">
        <f t="shared" si="322"/>
        <v>0</v>
      </c>
      <c r="W566" s="17">
        <f t="shared" si="323"/>
        <v>0</v>
      </c>
      <c r="X566" s="17">
        <f t="shared" si="324"/>
        <v>0</v>
      </c>
      <c r="Y566" s="17">
        <f t="shared" si="325"/>
        <v>0</v>
      </c>
      <c r="Z566" s="17">
        <f t="shared" si="326"/>
        <v>0</v>
      </c>
      <c r="AA566" s="17">
        <f t="shared" si="327"/>
        <v>0</v>
      </c>
      <c r="AB566" s="17">
        <f t="shared" si="328"/>
        <v>0</v>
      </c>
      <c r="AC566" s="17">
        <v>0</v>
      </c>
      <c r="AD566" s="17">
        <f t="shared" si="329"/>
        <v>0</v>
      </c>
      <c r="AE566" s="17">
        <f t="shared" si="330"/>
        <v>0</v>
      </c>
      <c r="AF566" s="17">
        <f t="shared" si="331"/>
        <v>0</v>
      </c>
      <c r="AG566" s="17">
        <f t="shared" si="332"/>
        <v>0</v>
      </c>
      <c r="AH566" s="17">
        <f t="shared" si="333"/>
        <v>0</v>
      </c>
      <c r="AI566" s="17">
        <f t="shared" si="334"/>
        <v>0</v>
      </c>
      <c r="AJ566" s="17">
        <f t="shared" si="335"/>
        <v>0</v>
      </c>
      <c r="AK566" s="17">
        <f t="shared" si="336"/>
        <v>0</v>
      </c>
      <c r="AL566" s="17">
        <f t="shared" si="337"/>
        <v>0</v>
      </c>
      <c r="AM566" s="17">
        <f t="shared" si="338"/>
        <v>0</v>
      </c>
      <c r="AN566" s="17">
        <f t="shared" si="339"/>
        <v>0</v>
      </c>
      <c r="AO566" s="17">
        <f t="shared" si="340"/>
        <v>0</v>
      </c>
      <c r="AP566" s="17">
        <f t="shared" si="341"/>
        <v>0</v>
      </c>
      <c r="AQ566" s="18">
        <v>0</v>
      </c>
      <c r="AR566" s="18">
        <v>0</v>
      </c>
      <c r="AS566" s="18">
        <v>0</v>
      </c>
      <c r="AT566" s="18">
        <v>0</v>
      </c>
      <c r="AU566" s="18">
        <v>0</v>
      </c>
      <c r="AV566" s="18">
        <v>0</v>
      </c>
      <c r="AW566" s="18">
        <v>0</v>
      </c>
      <c r="AX566" s="18">
        <v>0</v>
      </c>
      <c r="AY566" s="18">
        <v>0</v>
      </c>
      <c r="AZ566" s="18">
        <v>0</v>
      </c>
      <c r="BA566" s="18">
        <v>0</v>
      </c>
      <c r="BB566" s="18">
        <v>0</v>
      </c>
      <c r="BC566" s="23">
        <v>8.9181565948742242E-2</v>
      </c>
      <c r="BD566" s="23">
        <v>0.10665277883445198</v>
      </c>
      <c r="BE566" s="23">
        <v>9.438849084854764E-2</v>
      </c>
      <c r="BF566" s="23">
        <v>7.149564986855049E-2</v>
      </c>
      <c r="BG566" s="23">
        <v>0.10368571810536763</v>
      </c>
      <c r="BH566" s="23">
        <v>8.4970330952544637E-2</v>
      </c>
      <c r="BI566" s="23">
        <v>8.4593878877262704E-2</v>
      </c>
      <c r="BJ566" s="23">
        <v>5.7447105462779965E-2</v>
      </c>
      <c r="BK566" s="23">
        <v>8.5153852345557474E-2</v>
      </c>
      <c r="BL566" s="23">
        <v>7.4158058913035174E-2</v>
      </c>
      <c r="BM566" s="23">
        <v>7.5718189192107169E-2</v>
      </c>
      <c r="BN566" s="23">
        <v>7.3955559365675619E-2</v>
      </c>
    </row>
    <row r="567" spans="1:66" x14ac:dyDescent="0.25">
      <c r="A567" s="16">
        <v>3078</v>
      </c>
      <c r="B567" s="16" t="s">
        <v>761</v>
      </c>
      <c r="C567" s="17">
        <v>0</v>
      </c>
      <c r="D567" s="17">
        <f t="shared" si="305"/>
        <v>0</v>
      </c>
      <c r="E567" s="17">
        <f t="shared" si="306"/>
        <v>0</v>
      </c>
      <c r="F567" s="17">
        <f t="shared" si="307"/>
        <v>0</v>
      </c>
      <c r="G567" s="17">
        <f t="shared" si="308"/>
        <v>0</v>
      </c>
      <c r="H567" s="17">
        <f t="shared" si="309"/>
        <v>0</v>
      </c>
      <c r="I567" s="17">
        <f t="shared" si="310"/>
        <v>0</v>
      </c>
      <c r="J567" s="17">
        <f t="shared" si="311"/>
        <v>0</v>
      </c>
      <c r="K567" s="17">
        <f t="shared" si="312"/>
        <v>0</v>
      </c>
      <c r="L567" s="17">
        <f t="shared" si="313"/>
        <v>0</v>
      </c>
      <c r="M567" s="17">
        <f t="shared" si="314"/>
        <v>0</v>
      </c>
      <c r="N567" s="17">
        <f t="shared" si="315"/>
        <v>0</v>
      </c>
      <c r="O567" s="17">
        <f t="shared" si="316"/>
        <v>0</v>
      </c>
      <c r="P567" s="17">
        <v>0</v>
      </c>
      <c r="Q567" s="17">
        <f t="shared" si="317"/>
        <v>0</v>
      </c>
      <c r="R567" s="17">
        <f t="shared" si="318"/>
        <v>0</v>
      </c>
      <c r="S567" s="17">
        <f t="shared" si="319"/>
        <v>0</v>
      </c>
      <c r="T567" s="17">
        <f t="shared" si="320"/>
        <v>0</v>
      </c>
      <c r="U567" s="17">
        <f t="shared" si="321"/>
        <v>0</v>
      </c>
      <c r="V567" s="17">
        <f t="shared" si="322"/>
        <v>0</v>
      </c>
      <c r="W567" s="17">
        <f t="shared" si="323"/>
        <v>0</v>
      </c>
      <c r="X567" s="17">
        <f t="shared" si="324"/>
        <v>0</v>
      </c>
      <c r="Y567" s="17">
        <f t="shared" si="325"/>
        <v>0</v>
      </c>
      <c r="Z567" s="17">
        <f t="shared" si="326"/>
        <v>0</v>
      </c>
      <c r="AA567" s="17">
        <f t="shared" si="327"/>
        <v>0</v>
      </c>
      <c r="AB567" s="17">
        <f t="shared" si="328"/>
        <v>0</v>
      </c>
      <c r="AC567" s="17">
        <v>0</v>
      </c>
      <c r="AD567" s="17">
        <f t="shared" si="329"/>
        <v>0</v>
      </c>
      <c r="AE567" s="17">
        <f t="shared" si="330"/>
        <v>0</v>
      </c>
      <c r="AF567" s="17">
        <f t="shared" si="331"/>
        <v>0</v>
      </c>
      <c r="AG567" s="17">
        <f t="shared" si="332"/>
        <v>0</v>
      </c>
      <c r="AH567" s="17">
        <f t="shared" si="333"/>
        <v>0</v>
      </c>
      <c r="AI567" s="17">
        <f t="shared" si="334"/>
        <v>0</v>
      </c>
      <c r="AJ567" s="17">
        <f t="shared" si="335"/>
        <v>0</v>
      </c>
      <c r="AK567" s="17">
        <f t="shared" si="336"/>
        <v>0</v>
      </c>
      <c r="AL567" s="17">
        <f t="shared" si="337"/>
        <v>0</v>
      </c>
      <c r="AM567" s="17">
        <f t="shared" si="338"/>
        <v>0</v>
      </c>
      <c r="AN567" s="17">
        <f t="shared" si="339"/>
        <v>0</v>
      </c>
      <c r="AO567" s="17">
        <f t="shared" si="340"/>
        <v>0</v>
      </c>
      <c r="AP567" s="17">
        <f t="shared" si="341"/>
        <v>0</v>
      </c>
      <c r="AQ567" s="18">
        <v>12.19870049829871</v>
      </c>
      <c r="AR567" s="18">
        <v>14.588500352870517</v>
      </c>
      <c r="AS567" s="18">
        <v>12.910929720718592</v>
      </c>
      <c r="AT567" s="18">
        <v>9.7795324672696804</v>
      </c>
      <c r="AU567" s="18">
        <v>14.182650951042714</v>
      </c>
      <c r="AV567" s="18">
        <v>11.622666719343821</v>
      </c>
      <c r="AW567" s="18">
        <v>11.571173722226382</v>
      </c>
      <c r="AX567" s="18">
        <v>7.8579023207263594</v>
      </c>
      <c r="AY567" s="18">
        <v>11.647769693087081</v>
      </c>
      <c r="AZ567" s="18">
        <v>10.143710088419517</v>
      </c>
      <c r="BA567" s="18">
        <v>10.357112508642381</v>
      </c>
      <c r="BB567" s="18">
        <v>10.116011187833941</v>
      </c>
      <c r="BC567" s="23">
        <v>8.9181565948742242E-2</v>
      </c>
      <c r="BD567" s="23">
        <v>0.10665277883445198</v>
      </c>
      <c r="BE567" s="23">
        <v>9.438849084854764E-2</v>
      </c>
      <c r="BF567" s="23">
        <v>7.149564986855049E-2</v>
      </c>
      <c r="BG567" s="23">
        <v>0.10368571810536763</v>
      </c>
      <c r="BH567" s="23">
        <v>8.4970330952544637E-2</v>
      </c>
      <c r="BI567" s="23">
        <v>8.4593878877262704E-2</v>
      </c>
      <c r="BJ567" s="23">
        <v>5.7447105462779965E-2</v>
      </c>
      <c r="BK567" s="23">
        <v>8.5153852345557474E-2</v>
      </c>
      <c r="BL567" s="23">
        <v>7.4158058913035174E-2</v>
      </c>
      <c r="BM567" s="23">
        <v>7.5718189192107169E-2</v>
      </c>
      <c r="BN567" s="23">
        <v>7.3955559365675619E-2</v>
      </c>
    </row>
    <row r="568" spans="1:66" x14ac:dyDescent="0.25">
      <c r="A568" s="16">
        <v>3079</v>
      </c>
      <c r="B568" s="16" t="s">
        <v>762</v>
      </c>
      <c r="C568" s="17">
        <v>0</v>
      </c>
      <c r="D568" s="17">
        <f t="shared" si="305"/>
        <v>0</v>
      </c>
      <c r="E568" s="17">
        <f t="shared" si="306"/>
        <v>0</v>
      </c>
      <c r="F568" s="17">
        <f t="shared" si="307"/>
        <v>0</v>
      </c>
      <c r="G568" s="17">
        <f t="shared" si="308"/>
        <v>0</v>
      </c>
      <c r="H568" s="17">
        <f t="shared" si="309"/>
        <v>0</v>
      </c>
      <c r="I568" s="17">
        <f t="shared" si="310"/>
        <v>0</v>
      </c>
      <c r="J568" s="17">
        <f t="shared" si="311"/>
        <v>0</v>
      </c>
      <c r="K568" s="17">
        <f t="shared" si="312"/>
        <v>0</v>
      </c>
      <c r="L568" s="17">
        <f t="shared" si="313"/>
        <v>0</v>
      </c>
      <c r="M568" s="17">
        <f t="shared" si="314"/>
        <v>0</v>
      </c>
      <c r="N568" s="17">
        <f t="shared" si="315"/>
        <v>0</v>
      </c>
      <c r="O568" s="17">
        <f t="shared" si="316"/>
        <v>0</v>
      </c>
      <c r="P568" s="17">
        <v>0</v>
      </c>
      <c r="Q568" s="17">
        <f t="shared" si="317"/>
        <v>0</v>
      </c>
      <c r="R568" s="17">
        <f t="shared" si="318"/>
        <v>0</v>
      </c>
      <c r="S568" s="17">
        <f t="shared" si="319"/>
        <v>0</v>
      </c>
      <c r="T568" s="17">
        <f t="shared" si="320"/>
        <v>0</v>
      </c>
      <c r="U568" s="17">
        <f t="shared" si="321"/>
        <v>0</v>
      </c>
      <c r="V568" s="17">
        <f t="shared" si="322"/>
        <v>0</v>
      </c>
      <c r="W568" s="17">
        <f t="shared" si="323"/>
        <v>0</v>
      </c>
      <c r="X568" s="17">
        <f t="shared" si="324"/>
        <v>0</v>
      </c>
      <c r="Y568" s="17">
        <f t="shared" si="325"/>
        <v>0</v>
      </c>
      <c r="Z568" s="17">
        <f t="shared" si="326"/>
        <v>0</v>
      </c>
      <c r="AA568" s="17">
        <f t="shared" si="327"/>
        <v>0</v>
      </c>
      <c r="AB568" s="17">
        <f t="shared" si="328"/>
        <v>0</v>
      </c>
      <c r="AC568" s="17">
        <v>0</v>
      </c>
      <c r="AD568" s="17">
        <f t="shared" si="329"/>
        <v>0</v>
      </c>
      <c r="AE568" s="17">
        <f t="shared" si="330"/>
        <v>0</v>
      </c>
      <c r="AF568" s="17">
        <f t="shared" si="331"/>
        <v>0</v>
      </c>
      <c r="AG568" s="17">
        <f t="shared" si="332"/>
        <v>0</v>
      </c>
      <c r="AH568" s="17">
        <f t="shared" si="333"/>
        <v>0</v>
      </c>
      <c r="AI568" s="17">
        <f t="shared" si="334"/>
        <v>0</v>
      </c>
      <c r="AJ568" s="17">
        <f t="shared" si="335"/>
        <v>0</v>
      </c>
      <c r="AK568" s="17">
        <f t="shared" si="336"/>
        <v>0</v>
      </c>
      <c r="AL568" s="17">
        <f t="shared" si="337"/>
        <v>0</v>
      </c>
      <c r="AM568" s="17">
        <f t="shared" si="338"/>
        <v>0</v>
      </c>
      <c r="AN568" s="17">
        <f t="shared" si="339"/>
        <v>0</v>
      </c>
      <c r="AO568" s="17">
        <f t="shared" si="340"/>
        <v>0</v>
      </c>
      <c r="AP568" s="17">
        <f t="shared" si="341"/>
        <v>0</v>
      </c>
      <c r="AQ568" s="18">
        <v>0</v>
      </c>
      <c r="AR568" s="18">
        <v>0</v>
      </c>
      <c r="AS568" s="18">
        <v>0</v>
      </c>
      <c r="AT568" s="18">
        <v>0</v>
      </c>
      <c r="AU568" s="18">
        <v>0</v>
      </c>
      <c r="AV568" s="18">
        <v>0</v>
      </c>
      <c r="AW568" s="18">
        <v>0</v>
      </c>
      <c r="AX568" s="18">
        <v>0</v>
      </c>
      <c r="AY568" s="18">
        <v>0</v>
      </c>
      <c r="AZ568" s="18">
        <v>0</v>
      </c>
      <c r="BA568" s="18">
        <v>0</v>
      </c>
      <c r="BB568" s="18">
        <v>0</v>
      </c>
      <c r="BC568" s="23">
        <v>8.9181565948742242E-2</v>
      </c>
      <c r="BD568" s="23">
        <v>0.10665277883445198</v>
      </c>
      <c r="BE568" s="23">
        <v>9.438849084854764E-2</v>
      </c>
      <c r="BF568" s="23">
        <v>7.149564986855049E-2</v>
      </c>
      <c r="BG568" s="23">
        <v>0.10368571810536763</v>
      </c>
      <c r="BH568" s="23">
        <v>8.4970330952544637E-2</v>
      </c>
      <c r="BI568" s="23">
        <v>8.4593878877262704E-2</v>
      </c>
      <c r="BJ568" s="23">
        <v>5.7447105462779965E-2</v>
      </c>
      <c r="BK568" s="23">
        <v>8.5153852345557474E-2</v>
      </c>
      <c r="BL568" s="23">
        <v>7.4158058913035174E-2</v>
      </c>
      <c r="BM568" s="23">
        <v>7.5718189192107169E-2</v>
      </c>
      <c r="BN568" s="23">
        <v>7.3955559365675619E-2</v>
      </c>
    </row>
    <row r="569" spans="1:66" x14ac:dyDescent="0.25">
      <c r="A569" s="16">
        <v>3093</v>
      </c>
      <c r="B569" s="16" t="s">
        <v>763</v>
      </c>
      <c r="C569" s="17">
        <v>0</v>
      </c>
      <c r="D569" s="17">
        <f t="shared" si="305"/>
        <v>0</v>
      </c>
      <c r="E569" s="17">
        <f t="shared" si="306"/>
        <v>0</v>
      </c>
      <c r="F569" s="17">
        <f t="shared" si="307"/>
        <v>0</v>
      </c>
      <c r="G569" s="17">
        <f t="shared" si="308"/>
        <v>0</v>
      </c>
      <c r="H569" s="17">
        <f t="shared" si="309"/>
        <v>0</v>
      </c>
      <c r="I569" s="17">
        <f t="shared" si="310"/>
        <v>0</v>
      </c>
      <c r="J569" s="17">
        <f t="shared" si="311"/>
        <v>0</v>
      </c>
      <c r="K569" s="17">
        <f t="shared" si="312"/>
        <v>0</v>
      </c>
      <c r="L569" s="17">
        <f t="shared" si="313"/>
        <v>0</v>
      </c>
      <c r="M569" s="17">
        <f t="shared" si="314"/>
        <v>0</v>
      </c>
      <c r="N569" s="17">
        <f t="shared" si="315"/>
        <v>0</v>
      </c>
      <c r="O569" s="17">
        <f t="shared" si="316"/>
        <v>0</v>
      </c>
      <c r="P569" s="17">
        <v>0</v>
      </c>
      <c r="Q569" s="17">
        <f t="shared" si="317"/>
        <v>0</v>
      </c>
      <c r="R569" s="17">
        <f t="shared" si="318"/>
        <v>0</v>
      </c>
      <c r="S569" s="17">
        <f t="shared" si="319"/>
        <v>0</v>
      </c>
      <c r="T569" s="17">
        <f t="shared" si="320"/>
        <v>0</v>
      </c>
      <c r="U569" s="17">
        <f t="shared" si="321"/>
        <v>0</v>
      </c>
      <c r="V569" s="17">
        <f t="shared" si="322"/>
        <v>0</v>
      </c>
      <c r="W569" s="17">
        <f t="shared" si="323"/>
        <v>0</v>
      </c>
      <c r="X569" s="17">
        <f t="shared" si="324"/>
        <v>0</v>
      </c>
      <c r="Y569" s="17">
        <f t="shared" si="325"/>
        <v>0</v>
      </c>
      <c r="Z569" s="17">
        <f t="shared" si="326"/>
        <v>0</v>
      </c>
      <c r="AA569" s="17">
        <f t="shared" si="327"/>
        <v>0</v>
      </c>
      <c r="AB569" s="17">
        <f t="shared" si="328"/>
        <v>0</v>
      </c>
      <c r="AC569" s="17">
        <v>0</v>
      </c>
      <c r="AD569" s="17">
        <f t="shared" si="329"/>
        <v>0</v>
      </c>
      <c r="AE569" s="17">
        <f t="shared" si="330"/>
        <v>0</v>
      </c>
      <c r="AF569" s="17">
        <f t="shared" si="331"/>
        <v>0</v>
      </c>
      <c r="AG569" s="17">
        <f t="shared" si="332"/>
        <v>0</v>
      </c>
      <c r="AH569" s="17">
        <f t="shared" si="333"/>
        <v>0</v>
      </c>
      <c r="AI569" s="17">
        <f t="shared" si="334"/>
        <v>0</v>
      </c>
      <c r="AJ569" s="17">
        <f t="shared" si="335"/>
        <v>0</v>
      </c>
      <c r="AK569" s="17">
        <f t="shared" si="336"/>
        <v>0</v>
      </c>
      <c r="AL569" s="17">
        <f t="shared" si="337"/>
        <v>0</v>
      </c>
      <c r="AM569" s="17">
        <f t="shared" si="338"/>
        <v>0</v>
      </c>
      <c r="AN569" s="17">
        <f t="shared" si="339"/>
        <v>0</v>
      </c>
      <c r="AO569" s="17">
        <f t="shared" si="340"/>
        <v>0</v>
      </c>
      <c r="AP569" s="17">
        <f t="shared" si="341"/>
        <v>0</v>
      </c>
      <c r="AQ569" s="18">
        <v>10.967548980376321</v>
      </c>
      <c r="AR569" s="18">
        <v>13.116158741060906</v>
      </c>
      <c r="AS569" s="18">
        <v>11.607896604554389</v>
      </c>
      <c r="AT569" s="18">
        <v>8.7925350208343396</v>
      </c>
      <c r="AU569" s="18">
        <v>12.751269612598112</v>
      </c>
      <c r="AV569" s="18">
        <v>10.449651300543939</v>
      </c>
      <c r="AW569" s="18">
        <v>10.403355224325768</v>
      </c>
      <c r="AX569" s="18">
        <v>7.0648450298126804</v>
      </c>
      <c r="AY569" s="18">
        <v>10.472220761456658</v>
      </c>
      <c r="AZ569" s="18">
        <v>9.1199580851250666</v>
      </c>
      <c r="BA569" s="18">
        <v>9.3118229068453395</v>
      </c>
      <c r="BB569" s="18">
        <v>9.0950546907907874</v>
      </c>
      <c r="BC569" s="23">
        <v>8.9181565948742242E-2</v>
      </c>
      <c r="BD569" s="23">
        <v>0.10665277883445198</v>
      </c>
      <c r="BE569" s="23">
        <v>9.438849084854764E-2</v>
      </c>
      <c r="BF569" s="23">
        <v>7.149564986855049E-2</v>
      </c>
      <c r="BG569" s="23">
        <v>0.10368571810536763</v>
      </c>
      <c r="BH569" s="23">
        <v>8.4970330952544637E-2</v>
      </c>
      <c r="BI569" s="23">
        <v>8.4593878877262704E-2</v>
      </c>
      <c r="BJ569" s="23">
        <v>5.7447105462779965E-2</v>
      </c>
      <c r="BK569" s="23">
        <v>8.5153852345557474E-2</v>
      </c>
      <c r="BL569" s="23">
        <v>7.4158058913035174E-2</v>
      </c>
      <c r="BM569" s="23">
        <v>7.5718189192107169E-2</v>
      </c>
      <c r="BN569" s="23">
        <v>7.3955559365675619E-2</v>
      </c>
    </row>
    <row r="570" spans="1:66" x14ac:dyDescent="0.25">
      <c r="A570" s="16">
        <v>3120</v>
      </c>
      <c r="B570" s="16" t="s">
        <v>764</v>
      </c>
      <c r="C570" s="17">
        <v>0</v>
      </c>
      <c r="D570" s="17">
        <f t="shared" si="305"/>
        <v>0</v>
      </c>
      <c r="E570" s="17">
        <f t="shared" si="306"/>
        <v>0</v>
      </c>
      <c r="F570" s="17">
        <f t="shared" si="307"/>
        <v>0</v>
      </c>
      <c r="G570" s="17">
        <f t="shared" si="308"/>
        <v>0</v>
      </c>
      <c r="H570" s="17">
        <f t="shared" si="309"/>
        <v>0</v>
      </c>
      <c r="I570" s="17">
        <f t="shared" si="310"/>
        <v>0</v>
      </c>
      <c r="J570" s="17">
        <f t="shared" si="311"/>
        <v>0</v>
      </c>
      <c r="K570" s="17">
        <f t="shared" si="312"/>
        <v>0</v>
      </c>
      <c r="L570" s="17">
        <f t="shared" si="313"/>
        <v>0</v>
      </c>
      <c r="M570" s="17">
        <f t="shared" si="314"/>
        <v>0</v>
      </c>
      <c r="N570" s="17">
        <f t="shared" si="315"/>
        <v>0</v>
      </c>
      <c r="O570" s="17">
        <f t="shared" si="316"/>
        <v>0</v>
      </c>
      <c r="P570" s="17">
        <v>0</v>
      </c>
      <c r="Q570" s="17">
        <f t="shared" si="317"/>
        <v>0</v>
      </c>
      <c r="R570" s="17">
        <f t="shared" si="318"/>
        <v>0</v>
      </c>
      <c r="S570" s="17">
        <f t="shared" si="319"/>
        <v>0</v>
      </c>
      <c r="T570" s="17">
        <f t="shared" si="320"/>
        <v>0</v>
      </c>
      <c r="U570" s="17">
        <f t="shared" si="321"/>
        <v>0</v>
      </c>
      <c r="V570" s="17">
        <f t="shared" si="322"/>
        <v>0</v>
      </c>
      <c r="W570" s="17">
        <f t="shared" si="323"/>
        <v>0</v>
      </c>
      <c r="X570" s="17">
        <f t="shared" si="324"/>
        <v>0</v>
      </c>
      <c r="Y570" s="17">
        <f t="shared" si="325"/>
        <v>0</v>
      </c>
      <c r="Z570" s="17">
        <f t="shared" si="326"/>
        <v>0</v>
      </c>
      <c r="AA570" s="17">
        <f t="shared" si="327"/>
        <v>0</v>
      </c>
      <c r="AB570" s="17">
        <f t="shared" si="328"/>
        <v>0</v>
      </c>
      <c r="AC570" s="17">
        <v>0</v>
      </c>
      <c r="AD570" s="17">
        <f t="shared" si="329"/>
        <v>0</v>
      </c>
      <c r="AE570" s="17">
        <f t="shared" si="330"/>
        <v>0</v>
      </c>
      <c r="AF570" s="17">
        <f t="shared" si="331"/>
        <v>0</v>
      </c>
      <c r="AG570" s="17">
        <f t="shared" si="332"/>
        <v>0</v>
      </c>
      <c r="AH570" s="17">
        <f t="shared" si="333"/>
        <v>0</v>
      </c>
      <c r="AI570" s="17">
        <f t="shared" si="334"/>
        <v>0</v>
      </c>
      <c r="AJ570" s="17">
        <f t="shared" si="335"/>
        <v>0</v>
      </c>
      <c r="AK570" s="17">
        <f t="shared" si="336"/>
        <v>0</v>
      </c>
      <c r="AL570" s="17">
        <f t="shared" si="337"/>
        <v>0</v>
      </c>
      <c r="AM570" s="17">
        <f t="shared" si="338"/>
        <v>0</v>
      </c>
      <c r="AN570" s="17">
        <f t="shared" si="339"/>
        <v>0</v>
      </c>
      <c r="AO570" s="17">
        <f t="shared" si="340"/>
        <v>0</v>
      </c>
      <c r="AP570" s="17">
        <f t="shared" si="341"/>
        <v>0</v>
      </c>
      <c r="AQ570" s="18">
        <v>0</v>
      </c>
      <c r="AR570" s="18">
        <v>0</v>
      </c>
      <c r="AS570" s="18">
        <v>0</v>
      </c>
      <c r="AT570" s="18">
        <v>0</v>
      </c>
      <c r="AU570" s="18">
        <v>0</v>
      </c>
      <c r="AV570" s="18">
        <v>0</v>
      </c>
      <c r="AW570" s="18">
        <v>0</v>
      </c>
      <c r="AX570" s="18">
        <v>0</v>
      </c>
      <c r="AY570" s="18">
        <v>0</v>
      </c>
      <c r="AZ570" s="18">
        <v>0</v>
      </c>
      <c r="BA570" s="18">
        <v>0</v>
      </c>
      <c r="BB570" s="18">
        <v>0</v>
      </c>
      <c r="BC570" s="23">
        <v>8.9181565948742242E-2</v>
      </c>
      <c r="BD570" s="23">
        <v>0.10665277883445198</v>
      </c>
      <c r="BE570" s="23">
        <v>9.438849084854764E-2</v>
      </c>
      <c r="BF570" s="23">
        <v>7.149564986855049E-2</v>
      </c>
      <c r="BG570" s="23">
        <v>0.10368571810536763</v>
      </c>
      <c r="BH570" s="23">
        <v>8.4970330952544637E-2</v>
      </c>
      <c r="BI570" s="23">
        <v>8.4593878877262704E-2</v>
      </c>
      <c r="BJ570" s="23">
        <v>5.7447105462779965E-2</v>
      </c>
      <c r="BK570" s="23">
        <v>8.5153852345557474E-2</v>
      </c>
      <c r="BL570" s="23">
        <v>7.4158058913035174E-2</v>
      </c>
      <c r="BM570" s="23">
        <v>7.5718189192107169E-2</v>
      </c>
      <c r="BN570" s="23">
        <v>7.3955559365675619E-2</v>
      </c>
    </row>
    <row r="571" spans="1:66" x14ac:dyDescent="0.25">
      <c r="A571" s="16">
        <v>3124</v>
      </c>
      <c r="B571" s="16" t="s">
        <v>765</v>
      </c>
      <c r="C571" s="17">
        <v>0</v>
      </c>
      <c r="D571" s="17">
        <f t="shared" si="305"/>
        <v>0</v>
      </c>
      <c r="E571" s="17">
        <f t="shared" si="306"/>
        <v>0</v>
      </c>
      <c r="F571" s="17">
        <f t="shared" si="307"/>
        <v>0</v>
      </c>
      <c r="G571" s="17">
        <f t="shared" si="308"/>
        <v>0</v>
      </c>
      <c r="H571" s="17">
        <f t="shared" si="309"/>
        <v>0</v>
      </c>
      <c r="I571" s="17">
        <f t="shared" si="310"/>
        <v>0</v>
      </c>
      <c r="J571" s="17">
        <f t="shared" si="311"/>
        <v>0</v>
      </c>
      <c r="K571" s="17">
        <f t="shared" si="312"/>
        <v>0</v>
      </c>
      <c r="L571" s="17">
        <f t="shared" si="313"/>
        <v>0</v>
      </c>
      <c r="M571" s="17">
        <f t="shared" si="314"/>
        <v>0</v>
      </c>
      <c r="N571" s="17">
        <f t="shared" si="315"/>
        <v>0</v>
      </c>
      <c r="O571" s="17">
        <f t="shared" si="316"/>
        <v>0</v>
      </c>
      <c r="P571" s="17">
        <v>0</v>
      </c>
      <c r="Q571" s="17">
        <f t="shared" si="317"/>
        <v>0</v>
      </c>
      <c r="R571" s="17">
        <f t="shared" si="318"/>
        <v>0</v>
      </c>
      <c r="S571" s="17">
        <f t="shared" si="319"/>
        <v>0</v>
      </c>
      <c r="T571" s="17">
        <f t="shared" si="320"/>
        <v>0</v>
      </c>
      <c r="U571" s="17">
        <f t="shared" si="321"/>
        <v>0</v>
      </c>
      <c r="V571" s="17">
        <f t="shared" si="322"/>
        <v>0</v>
      </c>
      <c r="W571" s="17">
        <f t="shared" si="323"/>
        <v>0</v>
      </c>
      <c r="X571" s="17">
        <f t="shared" si="324"/>
        <v>0</v>
      </c>
      <c r="Y571" s="17">
        <f t="shared" si="325"/>
        <v>0</v>
      </c>
      <c r="Z571" s="17">
        <f t="shared" si="326"/>
        <v>0</v>
      </c>
      <c r="AA571" s="17">
        <f t="shared" si="327"/>
        <v>0</v>
      </c>
      <c r="AB571" s="17">
        <f t="shared" si="328"/>
        <v>0</v>
      </c>
      <c r="AC571" s="17">
        <v>0</v>
      </c>
      <c r="AD571" s="17">
        <f t="shared" si="329"/>
        <v>0</v>
      </c>
      <c r="AE571" s="17">
        <f t="shared" si="330"/>
        <v>0</v>
      </c>
      <c r="AF571" s="17">
        <f t="shared" si="331"/>
        <v>0</v>
      </c>
      <c r="AG571" s="17">
        <f t="shared" si="332"/>
        <v>0</v>
      </c>
      <c r="AH571" s="17">
        <f t="shared" si="333"/>
        <v>0</v>
      </c>
      <c r="AI571" s="17">
        <f t="shared" si="334"/>
        <v>0</v>
      </c>
      <c r="AJ571" s="17">
        <f t="shared" si="335"/>
        <v>0</v>
      </c>
      <c r="AK571" s="17">
        <f t="shared" si="336"/>
        <v>0</v>
      </c>
      <c r="AL571" s="17">
        <f t="shared" si="337"/>
        <v>0</v>
      </c>
      <c r="AM571" s="17">
        <f t="shared" si="338"/>
        <v>0</v>
      </c>
      <c r="AN571" s="17">
        <f t="shared" si="339"/>
        <v>0</v>
      </c>
      <c r="AO571" s="17">
        <f t="shared" si="340"/>
        <v>0</v>
      </c>
      <c r="AP571" s="17">
        <f t="shared" si="341"/>
        <v>0</v>
      </c>
      <c r="AQ571" s="18">
        <v>0</v>
      </c>
      <c r="AR571" s="18">
        <v>0</v>
      </c>
      <c r="AS571" s="18">
        <v>0</v>
      </c>
      <c r="AT571" s="18">
        <v>0</v>
      </c>
      <c r="AU571" s="18">
        <v>0</v>
      </c>
      <c r="AV571" s="18">
        <v>0</v>
      </c>
      <c r="AW571" s="18">
        <v>0</v>
      </c>
      <c r="AX571" s="18">
        <v>0</v>
      </c>
      <c r="AY571" s="18">
        <v>0</v>
      </c>
      <c r="AZ571" s="18">
        <v>0</v>
      </c>
      <c r="BA571" s="18">
        <v>0</v>
      </c>
      <c r="BB571" s="18">
        <v>0</v>
      </c>
      <c r="BC571" s="23">
        <v>8.9181565948742242E-2</v>
      </c>
      <c r="BD571" s="23">
        <v>0.10665277883445198</v>
      </c>
      <c r="BE571" s="23">
        <v>9.438849084854764E-2</v>
      </c>
      <c r="BF571" s="23">
        <v>7.149564986855049E-2</v>
      </c>
      <c r="BG571" s="23">
        <v>0.10368571810536763</v>
      </c>
      <c r="BH571" s="23">
        <v>8.4970330952544637E-2</v>
      </c>
      <c r="BI571" s="23">
        <v>8.4593878877262704E-2</v>
      </c>
      <c r="BJ571" s="23">
        <v>5.7447105462779965E-2</v>
      </c>
      <c r="BK571" s="23">
        <v>8.5153852345557474E-2</v>
      </c>
      <c r="BL571" s="23">
        <v>7.4158058913035174E-2</v>
      </c>
      <c r="BM571" s="23">
        <v>7.5718189192107169E-2</v>
      </c>
      <c r="BN571" s="23">
        <v>7.3955559365675619E-2</v>
      </c>
    </row>
    <row r="572" spans="1:66" x14ac:dyDescent="0.25">
      <c r="A572" s="16">
        <v>3129</v>
      </c>
      <c r="B572" s="16" t="s">
        <v>766</v>
      </c>
      <c r="C572" s="17">
        <v>0</v>
      </c>
      <c r="D572" s="17">
        <f t="shared" si="305"/>
        <v>0</v>
      </c>
      <c r="E572" s="17">
        <f t="shared" si="306"/>
        <v>0</v>
      </c>
      <c r="F572" s="17">
        <f t="shared" si="307"/>
        <v>0</v>
      </c>
      <c r="G572" s="17">
        <f t="shared" si="308"/>
        <v>0</v>
      </c>
      <c r="H572" s="17">
        <f t="shared" si="309"/>
        <v>0</v>
      </c>
      <c r="I572" s="17">
        <f t="shared" si="310"/>
        <v>0</v>
      </c>
      <c r="J572" s="17">
        <f t="shared" si="311"/>
        <v>0</v>
      </c>
      <c r="K572" s="17">
        <f t="shared" si="312"/>
        <v>0</v>
      </c>
      <c r="L572" s="17">
        <f t="shared" si="313"/>
        <v>0</v>
      </c>
      <c r="M572" s="17">
        <f t="shared" si="314"/>
        <v>0</v>
      </c>
      <c r="N572" s="17">
        <f t="shared" si="315"/>
        <v>0</v>
      </c>
      <c r="O572" s="17">
        <f t="shared" si="316"/>
        <v>0</v>
      </c>
      <c r="P572" s="17">
        <v>0</v>
      </c>
      <c r="Q572" s="17">
        <f t="shared" si="317"/>
        <v>0</v>
      </c>
      <c r="R572" s="17">
        <f t="shared" si="318"/>
        <v>0</v>
      </c>
      <c r="S572" s="17">
        <f t="shared" si="319"/>
        <v>0</v>
      </c>
      <c r="T572" s="17">
        <f t="shared" si="320"/>
        <v>0</v>
      </c>
      <c r="U572" s="17">
        <f t="shared" si="321"/>
        <v>0</v>
      </c>
      <c r="V572" s="17">
        <f t="shared" si="322"/>
        <v>0</v>
      </c>
      <c r="W572" s="17">
        <f t="shared" si="323"/>
        <v>0</v>
      </c>
      <c r="X572" s="17">
        <f t="shared" si="324"/>
        <v>0</v>
      </c>
      <c r="Y572" s="17">
        <f t="shared" si="325"/>
        <v>0</v>
      </c>
      <c r="Z572" s="17">
        <f t="shared" si="326"/>
        <v>0</v>
      </c>
      <c r="AA572" s="17">
        <f t="shared" si="327"/>
        <v>0</v>
      </c>
      <c r="AB572" s="17">
        <f t="shared" si="328"/>
        <v>0</v>
      </c>
      <c r="AC572" s="17">
        <v>0</v>
      </c>
      <c r="AD572" s="17">
        <f t="shared" si="329"/>
        <v>0</v>
      </c>
      <c r="AE572" s="17">
        <f t="shared" si="330"/>
        <v>0</v>
      </c>
      <c r="AF572" s="17">
        <f t="shared" si="331"/>
        <v>0</v>
      </c>
      <c r="AG572" s="17">
        <f t="shared" si="332"/>
        <v>0</v>
      </c>
      <c r="AH572" s="17">
        <f t="shared" si="333"/>
        <v>0</v>
      </c>
      <c r="AI572" s="17">
        <f t="shared" si="334"/>
        <v>0</v>
      </c>
      <c r="AJ572" s="17">
        <f t="shared" si="335"/>
        <v>0</v>
      </c>
      <c r="AK572" s="17">
        <f t="shared" si="336"/>
        <v>0</v>
      </c>
      <c r="AL572" s="17">
        <f t="shared" si="337"/>
        <v>0</v>
      </c>
      <c r="AM572" s="17">
        <f t="shared" si="338"/>
        <v>0</v>
      </c>
      <c r="AN572" s="17">
        <f t="shared" si="339"/>
        <v>0</v>
      </c>
      <c r="AO572" s="17">
        <f t="shared" si="340"/>
        <v>0</v>
      </c>
      <c r="AP572" s="17">
        <f t="shared" si="341"/>
        <v>0</v>
      </c>
      <c r="AQ572" s="18">
        <v>3.5315900115701928</v>
      </c>
      <c r="AR572" s="18">
        <v>4.2234500418442984</v>
      </c>
      <c r="AS572" s="18">
        <v>3.7377842376024866</v>
      </c>
      <c r="AT572" s="18">
        <v>2.8312277347945995</v>
      </c>
      <c r="AU572" s="18">
        <v>4.1059544369725582</v>
      </c>
      <c r="AV572" s="18">
        <v>3.3648251057207679</v>
      </c>
      <c r="AW572" s="18">
        <v>3.3499176035396032</v>
      </c>
      <c r="AX572" s="18">
        <v>2.2749053763260867</v>
      </c>
      <c r="AY572" s="18">
        <v>3.3720925528840762</v>
      </c>
      <c r="AZ572" s="18">
        <v>2.9366591329561929</v>
      </c>
      <c r="BA572" s="18">
        <v>2.998440292007444</v>
      </c>
      <c r="BB572" s="18">
        <v>2.9286401508807547</v>
      </c>
      <c r="BC572" s="23">
        <v>8.9181565948742242E-2</v>
      </c>
      <c r="BD572" s="23">
        <v>0.10665277883445198</v>
      </c>
      <c r="BE572" s="23">
        <v>9.438849084854764E-2</v>
      </c>
      <c r="BF572" s="23">
        <v>7.149564986855049E-2</v>
      </c>
      <c r="BG572" s="23">
        <v>0.10368571810536763</v>
      </c>
      <c r="BH572" s="23">
        <v>8.4970330952544637E-2</v>
      </c>
      <c r="BI572" s="23">
        <v>8.4593878877262704E-2</v>
      </c>
      <c r="BJ572" s="23">
        <v>5.7447105462779965E-2</v>
      </c>
      <c r="BK572" s="23">
        <v>8.5153852345557474E-2</v>
      </c>
      <c r="BL572" s="23">
        <v>7.4158058913035174E-2</v>
      </c>
      <c r="BM572" s="23">
        <v>7.5718189192107169E-2</v>
      </c>
      <c r="BN572" s="23">
        <v>7.3955559365675619E-2</v>
      </c>
    </row>
    <row r="573" spans="1:66" x14ac:dyDescent="0.25">
      <c r="A573" s="16">
        <v>3130</v>
      </c>
      <c r="B573" s="16" t="s">
        <v>767</v>
      </c>
      <c r="C573" s="17">
        <v>0</v>
      </c>
      <c r="D573" s="17">
        <f t="shared" si="305"/>
        <v>0</v>
      </c>
      <c r="E573" s="17">
        <f t="shared" si="306"/>
        <v>0</v>
      </c>
      <c r="F573" s="17">
        <f t="shared" si="307"/>
        <v>0</v>
      </c>
      <c r="G573" s="17">
        <f t="shared" si="308"/>
        <v>0</v>
      </c>
      <c r="H573" s="17">
        <f t="shared" si="309"/>
        <v>0</v>
      </c>
      <c r="I573" s="17">
        <f t="shared" si="310"/>
        <v>0</v>
      </c>
      <c r="J573" s="17">
        <f t="shared" si="311"/>
        <v>0</v>
      </c>
      <c r="K573" s="17">
        <f t="shared" si="312"/>
        <v>0</v>
      </c>
      <c r="L573" s="17">
        <f t="shared" si="313"/>
        <v>0</v>
      </c>
      <c r="M573" s="17">
        <f t="shared" si="314"/>
        <v>0</v>
      </c>
      <c r="N573" s="17">
        <f t="shared" si="315"/>
        <v>0</v>
      </c>
      <c r="O573" s="17">
        <f t="shared" si="316"/>
        <v>0</v>
      </c>
      <c r="P573" s="17">
        <v>1500</v>
      </c>
      <c r="Q573" s="17">
        <f t="shared" si="317"/>
        <v>133.77234892311336</v>
      </c>
      <c r="R573" s="17">
        <f t="shared" si="318"/>
        <v>159.97916825167798</v>
      </c>
      <c r="S573" s="17">
        <f t="shared" si="319"/>
        <v>141.58273627282145</v>
      </c>
      <c r="T573" s="17">
        <f t="shared" si="320"/>
        <v>107.24347480282573</v>
      </c>
      <c r="U573" s="17">
        <f t="shared" si="321"/>
        <v>155.52857715805143</v>
      </c>
      <c r="V573" s="17">
        <f t="shared" si="322"/>
        <v>127.45549642881696</v>
      </c>
      <c r="W573" s="17">
        <f t="shared" si="323"/>
        <v>126.89081831589405</v>
      </c>
      <c r="X573" s="17">
        <f t="shared" si="324"/>
        <v>86.170658194169945</v>
      </c>
      <c r="Y573" s="17">
        <f t="shared" si="325"/>
        <v>127.73077851833621</v>
      </c>
      <c r="Z573" s="17">
        <f t="shared" si="326"/>
        <v>111.23708836955277</v>
      </c>
      <c r="AA573" s="17">
        <f t="shared" si="327"/>
        <v>113.57728378816076</v>
      </c>
      <c r="AB573" s="17">
        <f t="shared" si="328"/>
        <v>110.93333904851343</v>
      </c>
      <c r="AC573" s="17">
        <v>0</v>
      </c>
      <c r="AD573" s="17">
        <f t="shared" si="329"/>
        <v>0</v>
      </c>
      <c r="AE573" s="17">
        <f t="shared" si="330"/>
        <v>0</v>
      </c>
      <c r="AF573" s="17">
        <f t="shared" si="331"/>
        <v>0</v>
      </c>
      <c r="AG573" s="17">
        <f t="shared" si="332"/>
        <v>0</v>
      </c>
      <c r="AH573" s="17">
        <f t="shared" si="333"/>
        <v>0</v>
      </c>
      <c r="AI573" s="17">
        <f t="shared" si="334"/>
        <v>0</v>
      </c>
      <c r="AJ573" s="17">
        <f t="shared" si="335"/>
        <v>0</v>
      </c>
      <c r="AK573" s="17">
        <f t="shared" si="336"/>
        <v>0</v>
      </c>
      <c r="AL573" s="17">
        <f t="shared" si="337"/>
        <v>0</v>
      </c>
      <c r="AM573" s="17">
        <f t="shared" si="338"/>
        <v>0</v>
      </c>
      <c r="AN573" s="17">
        <f t="shared" si="339"/>
        <v>0</v>
      </c>
      <c r="AO573" s="17">
        <f t="shared" si="340"/>
        <v>0</v>
      </c>
      <c r="AP573" s="17">
        <f t="shared" si="341"/>
        <v>1500</v>
      </c>
      <c r="AQ573" s="18">
        <v>0</v>
      </c>
      <c r="AR573" s="18">
        <v>0</v>
      </c>
      <c r="AS573" s="18">
        <v>0</v>
      </c>
      <c r="AT573" s="18">
        <v>0</v>
      </c>
      <c r="AU573" s="18">
        <v>0</v>
      </c>
      <c r="AV573" s="18">
        <v>0</v>
      </c>
      <c r="AW573" s="18">
        <v>0</v>
      </c>
      <c r="AX573" s="18">
        <v>0</v>
      </c>
      <c r="AY573" s="18">
        <v>0</v>
      </c>
      <c r="AZ573" s="18">
        <v>0</v>
      </c>
      <c r="BA573" s="18">
        <v>0</v>
      </c>
      <c r="BB573" s="18">
        <v>0</v>
      </c>
      <c r="BC573" s="23">
        <v>8.9181565948742242E-2</v>
      </c>
      <c r="BD573" s="23">
        <v>0.10665277883445198</v>
      </c>
      <c r="BE573" s="23">
        <v>9.438849084854764E-2</v>
      </c>
      <c r="BF573" s="23">
        <v>7.149564986855049E-2</v>
      </c>
      <c r="BG573" s="23">
        <v>0.10368571810536763</v>
      </c>
      <c r="BH573" s="23">
        <v>8.4970330952544637E-2</v>
      </c>
      <c r="BI573" s="23">
        <v>8.4593878877262704E-2</v>
      </c>
      <c r="BJ573" s="23">
        <v>5.7447105462779965E-2</v>
      </c>
      <c r="BK573" s="23">
        <v>8.5153852345557474E-2</v>
      </c>
      <c r="BL573" s="23">
        <v>7.4158058913035174E-2</v>
      </c>
      <c r="BM573" s="23">
        <v>7.5718189192107169E-2</v>
      </c>
      <c r="BN573" s="23">
        <v>7.3955559365675619E-2</v>
      </c>
    </row>
    <row r="574" spans="1:66" x14ac:dyDescent="0.25">
      <c r="A574" s="16">
        <v>3144</v>
      </c>
      <c r="B574" s="16" t="s">
        <v>768</v>
      </c>
      <c r="C574" s="17">
        <v>0</v>
      </c>
      <c r="D574" s="17">
        <f t="shared" si="305"/>
        <v>0</v>
      </c>
      <c r="E574" s="17">
        <f t="shared" si="306"/>
        <v>0</v>
      </c>
      <c r="F574" s="17">
        <f t="shared" si="307"/>
        <v>0</v>
      </c>
      <c r="G574" s="17">
        <f t="shared" si="308"/>
        <v>0</v>
      </c>
      <c r="H574" s="17">
        <f t="shared" si="309"/>
        <v>0</v>
      </c>
      <c r="I574" s="17">
        <f t="shared" si="310"/>
        <v>0</v>
      </c>
      <c r="J574" s="17">
        <f t="shared" si="311"/>
        <v>0</v>
      </c>
      <c r="K574" s="17">
        <f t="shared" si="312"/>
        <v>0</v>
      </c>
      <c r="L574" s="17">
        <f t="shared" si="313"/>
        <v>0</v>
      </c>
      <c r="M574" s="17">
        <f t="shared" si="314"/>
        <v>0</v>
      </c>
      <c r="N574" s="17">
        <f t="shared" si="315"/>
        <v>0</v>
      </c>
      <c r="O574" s="17">
        <f t="shared" si="316"/>
        <v>0</v>
      </c>
      <c r="P574" s="17">
        <v>0</v>
      </c>
      <c r="Q574" s="17">
        <f t="shared" si="317"/>
        <v>0</v>
      </c>
      <c r="R574" s="17">
        <f t="shared" si="318"/>
        <v>0</v>
      </c>
      <c r="S574" s="17">
        <f t="shared" si="319"/>
        <v>0</v>
      </c>
      <c r="T574" s="17">
        <f t="shared" si="320"/>
        <v>0</v>
      </c>
      <c r="U574" s="17">
        <f t="shared" si="321"/>
        <v>0</v>
      </c>
      <c r="V574" s="17">
        <f t="shared" si="322"/>
        <v>0</v>
      </c>
      <c r="W574" s="17">
        <f t="shared" si="323"/>
        <v>0</v>
      </c>
      <c r="X574" s="17">
        <f t="shared" si="324"/>
        <v>0</v>
      </c>
      <c r="Y574" s="17">
        <f t="shared" si="325"/>
        <v>0</v>
      </c>
      <c r="Z574" s="17">
        <f t="shared" si="326"/>
        <v>0</v>
      </c>
      <c r="AA574" s="17">
        <f t="shared" si="327"/>
        <v>0</v>
      </c>
      <c r="AB574" s="17">
        <f t="shared" si="328"/>
        <v>0</v>
      </c>
      <c r="AC574" s="17">
        <v>0</v>
      </c>
      <c r="AD574" s="17">
        <f t="shared" si="329"/>
        <v>0</v>
      </c>
      <c r="AE574" s="17">
        <f t="shared" si="330"/>
        <v>0</v>
      </c>
      <c r="AF574" s="17">
        <f t="shared" si="331"/>
        <v>0</v>
      </c>
      <c r="AG574" s="17">
        <f t="shared" si="332"/>
        <v>0</v>
      </c>
      <c r="AH574" s="17">
        <f t="shared" si="333"/>
        <v>0</v>
      </c>
      <c r="AI574" s="17">
        <f t="shared" si="334"/>
        <v>0</v>
      </c>
      <c r="AJ574" s="17">
        <f t="shared" si="335"/>
        <v>0</v>
      </c>
      <c r="AK574" s="17">
        <f t="shared" si="336"/>
        <v>0</v>
      </c>
      <c r="AL574" s="17">
        <f t="shared" si="337"/>
        <v>0</v>
      </c>
      <c r="AM574" s="17">
        <f t="shared" si="338"/>
        <v>0</v>
      </c>
      <c r="AN574" s="17">
        <f t="shared" si="339"/>
        <v>0</v>
      </c>
      <c r="AO574" s="17">
        <f t="shared" si="340"/>
        <v>0</v>
      </c>
      <c r="AP574" s="17">
        <f t="shared" si="341"/>
        <v>0</v>
      </c>
      <c r="AQ574" s="18">
        <v>0</v>
      </c>
      <c r="AR574" s="18">
        <v>0</v>
      </c>
      <c r="AS574" s="18">
        <v>0</v>
      </c>
      <c r="AT574" s="18">
        <v>0</v>
      </c>
      <c r="AU574" s="18">
        <v>0</v>
      </c>
      <c r="AV574" s="18">
        <v>0</v>
      </c>
      <c r="AW574" s="18">
        <v>0</v>
      </c>
      <c r="AX574" s="18">
        <v>0</v>
      </c>
      <c r="AY574" s="18">
        <v>0</v>
      </c>
      <c r="AZ574" s="18">
        <v>0</v>
      </c>
      <c r="BA574" s="18">
        <v>0</v>
      </c>
      <c r="BB574" s="18">
        <v>0</v>
      </c>
      <c r="BC574" s="23">
        <v>8.9181565948742242E-2</v>
      </c>
      <c r="BD574" s="23">
        <v>0.10665277883445198</v>
      </c>
      <c r="BE574" s="23">
        <v>9.438849084854764E-2</v>
      </c>
      <c r="BF574" s="23">
        <v>7.149564986855049E-2</v>
      </c>
      <c r="BG574" s="23">
        <v>0.10368571810536763</v>
      </c>
      <c r="BH574" s="23">
        <v>8.4970330952544637E-2</v>
      </c>
      <c r="BI574" s="23">
        <v>8.4593878877262704E-2</v>
      </c>
      <c r="BJ574" s="23">
        <v>5.7447105462779965E-2</v>
      </c>
      <c r="BK574" s="23">
        <v>8.5153852345557474E-2</v>
      </c>
      <c r="BL574" s="23">
        <v>7.4158058913035174E-2</v>
      </c>
      <c r="BM574" s="23">
        <v>7.5718189192107169E-2</v>
      </c>
      <c r="BN574" s="23">
        <v>7.3955559365675619E-2</v>
      </c>
    </row>
    <row r="575" spans="1:66" x14ac:dyDescent="0.25">
      <c r="A575" s="16">
        <v>3152</v>
      </c>
      <c r="B575" s="16" t="s">
        <v>769</v>
      </c>
      <c r="C575" s="17">
        <v>0</v>
      </c>
      <c r="D575" s="17">
        <f t="shared" si="305"/>
        <v>0</v>
      </c>
      <c r="E575" s="17">
        <f t="shared" si="306"/>
        <v>0</v>
      </c>
      <c r="F575" s="17">
        <f t="shared" si="307"/>
        <v>0</v>
      </c>
      <c r="G575" s="17">
        <f t="shared" si="308"/>
        <v>0</v>
      </c>
      <c r="H575" s="17">
        <f t="shared" si="309"/>
        <v>0</v>
      </c>
      <c r="I575" s="17">
        <f t="shared" si="310"/>
        <v>0</v>
      </c>
      <c r="J575" s="17">
        <f t="shared" si="311"/>
        <v>0</v>
      </c>
      <c r="K575" s="17">
        <f t="shared" si="312"/>
        <v>0</v>
      </c>
      <c r="L575" s="17">
        <f t="shared" si="313"/>
        <v>0</v>
      </c>
      <c r="M575" s="17">
        <f t="shared" si="314"/>
        <v>0</v>
      </c>
      <c r="N575" s="17">
        <f t="shared" si="315"/>
        <v>0</v>
      </c>
      <c r="O575" s="17">
        <f t="shared" si="316"/>
        <v>0</v>
      </c>
      <c r="P575" s="17">
        <v>0</v>
      </c>
      <c r="Q575" s="17">
        <f t="shared" si="317"/>
        <v>0</v>
      </c>
      <c r="R575" s="17">
        <f t="shared" si="318"/>
        <v>0</v>
      </c>
      <c r="S575" s="17">
        <f t="shared" si="319"/>
        <v>0</v>
      </c>
      <c r="T575" s="17">
        <f t="shared" si="320"/>
        <v>0</v>
      </c>
      <c r="U575" s="17">
        <f t="shared" si="321"/>
        <v>0</v>
      </c>
      <c r="V575" s="17">
        <f t="shared" si="322"/>
        <v>0</v>
      </c>
      <c r="W575" s="17">
        <f t="shared" si="323"/>
        <v>0</v>
      </c>
      <c r="X575" s="17">
        <f t="shared" si="324"/>
        <v>0</v>
      </c>
      <c r="Y575" s="17">
        <f t="shared" si="325"/>
        <v>0</v>
      </c>
      <c r="Z575" s="17">
        <f t="shared" si="326"/>
        <v>0</v>
      </c>
      <c r="AA575" s="17">
        <f t="shared" si="327"/>
        <v>0</v>
      </c>
      <c r="AB575" s="17">
        <f t="shared" si="328"/>
        <v>0</v>
      </c>
      <c r="AC575" s="17">
        <v>0</v>
      </c>
      <c r="AD575" s="17">
        <f t="shared" si="329"/>
        <v>0</v>
      </c>
      <c r="AE575" s="17">
        <f t="shared" si="330"/>
        <v>0</v>
      </c>
      <c r="AF575" s="17">
        <f t="shared" si="331"/>
        <v>0</v>
      </c>
      <c r="AG575" s="17">
        <f t="shared" si="332"/>
        <v>0</v>
      </c>
      <c r="AH575" s="17">
        <f t="shared" si="333"/>
        <v>0</v>
      </c>
      <c r="AI575" s="17">
        <f t="shared" si="334"/>
        <v>0</v>
      </c>
      <c r="AJ575" s="17">
        <f t="shared" si="335"/>
        <v>0</v>
      </c>
      <c r="AK575" s="17">
        <f t="shared" si="336"/>
        <v>0</v>
      </c>
      <c r="AL575" s="17">
        <f t="shared" si="337"/>
        <v>0</v>
      </c>
      <c r="AM575" s="17">
        <f t="shared" si="338"/>
        <v>0</v>
      </c>
      <c r="AN575" s="17">
        <f t="shared" si="339"/>
        <v>0</v>
      </c>
      <c r="AO575" s="17">
        <f t="shared" si="340"/>
        <v>0</v>
      </c>
      <c r="AP575" s="17">
        <f t="shared" si="341"/>
        <v>0</v>
      </c>
      <c r="AQ575" s="18">
        <v>9.8099722543616483</v>
      </c>
      <c r="AR575" s="18">
        <v>11.73180567178972</v>
      </c>
      <c r="AS575" s="18">
        <v>10.382733993340242</v>
      </c>
      <c r="AT575" s="18">
        <v>7.8645214855405552</v>
      </c>
      <c r="AU575" s="18">
        <v>11.405428991590441</v>
      </c>
      <c r="AV575" s="18">
        <v>9.3467364047799109</v>
      </c>
      <c r="AW575" s="18">
        <v>9.3053266764988987</v>
      </c>
      <c r="AX575" s="18">
        <v>6.3191816009057966</v>
      </c>
      <c r="AY575" s="18">
        <v>9.3669237580113229</v>
      </c>
      <c r="AZ575" s="18">
        <v>8.1573864804338694</v>
      </c>
      <c r="BA575" s="18">
        <v>8.3290008111317899</v>
      </c>
      <c r="BB575" s="18">
        <v>8.1351115302243198</v>
      </c>
      <c r="BC575" s="23">
        <v>8.9181565948742242E-2</v>
      </c>
      <c r="BD575" s="23">
        <v>0.10665277883445198</v>
      </c>
      <c r="BE575" s="23">
        <v>9.438849084854764E-2</v>
      </c>
      <c r="BF575" s="23">
        <v>7.149564986855049E-2</v>
      </c>
      <c r="BG575" s="23">
        <v>0.10368571810536763</v>
      </c>
      <c r="BH575" s="23">
        <v>8.4970330952544637E-2</v>
      </c>
      <c r="BI575" s="23">
        <v>8.4593878877262704E-2</v>
      </c>
      <c r="BJ575" s="23">
        <v>5.7447105462779965E-2</v>
      </c>
      <c r="BK575" s="23">
        <v>8.5153852345557474E-2</v>
      </c>
      <c r="BL575" s="23">
        <v>7.4158058913035174E-2</v>
      </c>
      <c r="BM575" s="23">
        <v>7.5718189192107169E-2</v>
      </c>
      <c r="BN575" s="23">
        <v>7.3955559365675619E-2</v>
      </c>
    </row>
    <row r="576" spans="1:66" x14ac:dyDescent="0.25">
      <c r="A576" s="16">
        <v>3201</v>
      </c>
      <c r="B576" s="16" t="s">
        <v>770</v>
      </c>
      <c r="C576" s="17">
        <v>0</v>
      </c>
      <c r="D576" s="17">
        <f t="shared" si="305"/>
        <v>0</v>
      </c>
      <c r="E576" s="17">
        <f t="shared" si="306"/>
        <v>0</v>
      </c>
      <c r="F576" s="17">
        <f t="shared" si="307"/>
        <v>0</v>
      </c>
      <c r="G576" s="17">
        <f t="shared" si="308"/>
        <v>0</v>
      </c>
      <c r="H576" s="17">
        <f t="shared" si="309"/>
        <v>0</v>
      </c>
      <c r="I576" s="17">
        <f t="shared" si="310"/>
        <v>0</v>
      </c>
      <c r="J576" s="17">
        <f t="shared" si="311"/>
        <v>0</v>
      </c>
      <c r="K576" s="17">
        <f t="shared" si="312"/>
        <v>0</v>
      </c>
      <c r="L576" s="17">
        <f t="shared" si="313"/>
        <v>0</v>
      </c>
      <c r="M576" s="17">
        <f t="shared" si="314"/>
        <v>0</v>
      </c>
      <c r="N576" s="17">
        <f t="shared" si="315"/>
        <v>0</v>
      </c>
      <c r="O576" s="17">
        <f t="shared" si="316"/>
        <v>0</v>
      </c>
      <c r="P576" s="17">
        <v>2000</v>
      </c>
      <c r="Q576" s="17">
        <f t="shared" si="317"/>
        <v>178.36313189748449</v>
      </c>
      <c r="R576" s="17">
        <f t="shared" si="318"/>
        <v>213.30555766890396</v>
      </c>
      <c r="S576" s="17">
        <f t="shared" si="319"/>
        <v>188.77698169709529</v>
      </c>
      <c r="T576" s="17">
        <f t="shared" si="320"/>
        <v>142.99129973710097</v>
      </c>
      <c r="U576" s="17">
        <f t="shared" si="321"/>
        <v>207.37143621073525</v>
      </c>
      <c r="V576" s="17">
        <f t="shared" si="322"/>
        <v>169.94066190508929</v>
      </c>
      <c r="W576" s="17">
        <f t="shared" si="323"/>
        <v>169.18775775452542</v>
      </c>
      <c r="X576" s="17">
        <f t="shared" si="324"/>
        <v>114.89421092555993</v>
      </c>
      <c r="Y576" s="17">
        <f t="shared" si="325"/>
        <v>170.30770469111494</v>
      </c>
      <c r="Z576" s="17">
        <f t="shared" si="326"/>
        <v>148.31611782607035</v>
      </c>
      <c r="AA576" s="17">
        <f t="shared" si="327"/>
        <v>151.43637838421435</v>
      </c>
      <c r="AB576" s="17">
        <f t="shared" si="328"/>
        <v>147.91111873135125</v>
      </c>
      <c r="AC576" s="17">
        <v>0</v>
      </c>
      <c r="AD576" s="17">
        <f t="shared" si="329"/>
        <v>0</v>
      </c>
      <c r="AE576" s="17">
        <f t="shared" si="330"/>
        <v>0</v>
      </c>
      <c r="AF576" s="17">
        <f t="shared" si="331"/>
        <v>0</v>
      </c>
      <c r="AG576" s="17">
        <f t="shared" si="332"/>
        <v>0</v>
      </c>
      <c r="AH576" s="17">
        <f t="shared" si="333"/>
        <v>0</v>
      </c>
      <c r="AI576" s="17">
        <f t="shared" si="334"/>
        <v>0</v>
      </c>
      <c r="AJ576" s="17">
        <f t="shared" si="335"/>
        <v>0</v>
      </c>
      <c r="AK576" s="17">
        <f t="shared" si="336"/>
        <v>0</v>
      </c>
      <c r="AL576" s="17">
        <f t="shared" si="337"/>
        <v>0</v>
      </c>
      <c r="AM576" s="17">
        <f t="shared" si="338"/>
        <v>0</v>
      </c>
      <c r="AN576" s="17">
        <f t="shared" si="339"/>
        <v>0</v>
      </c>
      <c r="AO576" s="17">
        <f t="shared" si="340"/>
        <v>0</v>
      </c>
      <c r="AP576" s="17">
        <f t="shared" si="341"/>
        <v>2000</v>
      </c>
      <c r="AQ576" s="18">
        <v>0</v>
      </c>
      <c r="AR576" s="18">
        <v>0</v>
      </c>
      <c r="AS576" s="18">
        <v>0</v>
      </c>
      <c r="AT576" s="18">
        <v>0</v>
      </c>
      <c r="AU576" s="18">
        <v>0</v>
      </c>
      <c r="AV576" s="18">
        <v>0</v>
      </c>
      <c r="AW576" s="18">
        <v>0</v>
      </c>
      <c r="AX576" s="18">
        <v>0</v>
      </c>
      <c r="AY576" s="18">
        <v>0</v>
      </c>
      <c r="AZ576" s="18">
        <v>0</v>
      </c>
      <c r="BA576" s="18">
        <v>0</v>
      </c>
      <c r="BB576" s="18">
        <v>0</v>
      </c>
      <c r="BC576" s="23">
        <v>8.9181565948742242E-2</v>
      </c>
      <c r="BD576" s="23">
        <v>0.10665277883445198</v>
      </c>
      <c r="BE576" s="23">
        <v>9.438849084854764E-2</v>
      </c>
      <c r="BF576" s="23">
        <v>7.149564986855049E-2</v>
      </c>
      <c r="BG576" s="23">
        <v>0.10368571810536763</v>
      </c>
      <c r="BH576" s="23">
        <v>8.4970330952544637E-2</v>
      </c>
      <c r="BI576" s="23">
        <v>8.4593878877262704E-2</v>
      </c>
      <c r="BJ576" s="23">
        <v>5.7447105462779965E-2</v>
      </c>
      <c r="BK576" s="23">
        <v>8.5153852345557474E-2</v>
      </c>
      <c r="BL576" s="23">
        <v>7.4158058913035174E-2</v>
      </c>
      <c r="BM576" s="23">
        <v>7.5718189192107169E-2</v>
      </c>
      <c r="BN576" s="23">
        <v>7.3955559365675619E-2</v>
      </c>
    </row>
    <row r="577" spans="1:66" x14ac:dyDescent="0.25">
      <c r="A577" s="16">
        <v>3224</v>
      </c>
      <c r="B577" s="16" t="s">
        <v>771</v>
      </c>
      <c r="C577" s="17">
        <v>0</v>
      </c>
      <c r="D577" s="17">
        <f t="shared" si="305"/>
        <v>0</v>
      </c>
      <c r="E577" s="17">
        <f t="shared" si="306"/>
        <v>0</v>
      </c>
      <c r="F577" s="17">
        <f t="shared" si="307"/>
        <v>0</v>
      </c>
      <c r="G577" s="17">
        <f t="shared" si="308"/>
        <v>0</v>
      </c>
      <c r="H577" s="17">
        <f t="shared" si="309"/>
        <v>0</v>
      </c>
      <c r="I577" s="17">
        <f t="shared" si="310"/>
        <v>0</v>
      </c>
      <c r="J577" s="17">
        <f t="shared" si="311"/>
        <v>0</v>
      </c>
      <c r="K577" s="17">
        <f t="shared" si="312"/>
        <v>0</v>
      </c>
      <c r="L577" s="17">
        <f t="shared" si="313"/>
        <v>0</v>
      </c>
      <c r="M577" s="17">
        <f t="shared" si="314"/>
        <v>0</v>
      </c>
      <c r="N577" s="17">
        <f t="shared" si="315"/>
        <v>0</v>
      </c>
      <c r="O577" s="17">
        <f t="shared" si="316"/>
        <v>0</v>
      </c>
      <c r="P577" s="17">
        <v>0</v>
      </c>
      <c r="Q577" s="17">
        <f t="shared" si="317"/>
        <v>0</v>
      </c>
      <c r="R577" s="17">
        <f t="shared" si="318"/>
        <v>0</v>
      </c>
      <c r="S577" s="17">
        <f t="shared" si="319"/>
        <v>0</v>
      </c>
      <c r="T577" s="17">
        <f t="shared" si="320"/>
        <v>0</v>
      </c>
      <c r="U577" s="17">
        <f t="shared" si="321"/>
        <v>0</v>
      </c>
      <c r="V577" s="17">
        <f t="shared" si="322"/>
        <v>0</v>
      </c>
      <c r="W577" s="17">
        <f t="shared" si="323"/>
        <v>0</v>
      </c>
      <c r="X577" s="17">
        <f t="shared" si="324"/>
        <v>0</v>
      </c>
      <c r="Y577" s="17">
        <f t="shared" si="325"/>
        <v>0</v>
      </c>
      <c r="Z577" s="17">
        <f t="shared" si="326"/>
        <v>0</v>
      </c>
      <c r="AA577" s="17">
        <f t="shared" si="327"/>
        <v>0</v>
      </c>
      <c r="AB577" s="17">
        <f t="shared" si="328"/>
        <v>0</v>
      </c>
      <c r="AC577" s="17">
        <v>0</v>
      </c>
      <c r="AD577" s="17">
        <f t="shared" si="329"/>
        <v>0</v>
      </c>
      <c r="AE577" s="17">
        <f t="shared" si="330"/>
        <v>0</v>
      </c>
      <c r="AF577" s="17">
        <f t="shared" si="331"/>
        <v>0</v>
      </c>
      <c r="AG577" s="17">
        <f t="shared" si="332"/>
        <v>0</v>
      </c>
      <c r="AH577" s="17">
        <f t="shared" si="333"/>
        <v>0</v>
      </c>
      <c r="AI577" s="17">
        <f t="shared" si="334"/>
        <v>0</v>
      </c>
      <c r="AJ577" s="17">
        <f t="shared" si="335"/>
        <v>0</v>
      </c>
      <c r="AK577" s="17">
        <f t="shared" si="336"/>
        <v>0</v>
      </c>
      <c r="AL577" s="17">
        <f t="shared" si="337"/>
        <v>0</v>
      </c>
      <c r="AM577" s="17">
        <f t="shared" si="338"/>
        <v>0</v>
      </c>
      <c r="AN577" s="17">
        <f t="shared" si="339"/>
        <v>0</v>
      </c>
      <c r="AO577" s="17">
        <f t="shared" si="340"/>
        <v>0</v>
      </c>
      <c r="AP577" s="17">
        <f t="shared" si="341"/>
        <v>0</v>
      </c>
      <c r="AQ577" s="18">
        <v>181.95046038777264</v>
      </c>
      <c r="AR577" s="18">
        <v>217.59566569751979</v>
      </c>
      <c r="AS577" s="18">
        <v>192.57375874147809</v>
      </c>
      <c r="AT577" s="18">
        <v>145.86721225306343</v>
      </c>
      <c r="AU577" s="18">
        <v>211.54219422152366</v>
      </c>
      <c r="AV577" s="18">
        <v>173.35859346765537</v>
      </c>
      <c r="AW577" s="18">
        <v>172.59054653236331</v>
      </c>
      <c r="AX577" s="18">
        <v>117.20502074280024</v>
      </c>
      <c r="AY577" s="18">
        <v>173.73301840171499</v>
      </c>
      <c r="AZ577" s="18">
        <v>151.29912574584719</v>
      </c>
      <c r="BA577" s="18">
        <v>154.48214254446685</v>
      </c>
      <c r="BB577" s="18">
        <v>150.88598110683554</v>
      </c>
      <c r="BC577" s="23">
        <v>8.9181565948742242E-2</v>
      </c>
      <c r="BD577" s="23">
        <v>0.10665277883445198</v>
      </c>
      <c r="BE577" s="23">
        <v>9.438849084854764E-2</v>
      </c>
      <c r="BF577" s="23">
        <v>7.149564986855049E-2</v>
      </c>
      <c r="BG577" s="23">
        <v>0.10368571810536763</v>
      </c>
      <c r="BH577" s="23">
        <v>8.4970330952544637E-2</v>
      </c>
      <c r="BI577" s="23">
        <v>8.4593878877262704E-2</v>
      </c>
      <c r="BJ577" s="23">
        <v>5.7447105462779965E-2</v>
      </c>
      <c r="BK577" s="23">
        <v>8.5153852345557474E-2</v>
      </c>
      <c r="BL577" s="23">
        <v>7.4158058913035174E-2</v>
      </c>
      <c r="BM577" s="23">
        <v>7.5718189192107169E-2</v>
      </c>
      <c r="BN577" s="23">
        <v>7.3955559365675619E-2</v>
      </c>
    </row>
    <row r="578" spans="1:66" x14ac:dyDescent="0.25">
      <c r="A578" s="16">
        <v>3235</v>
      </c>
      <c r="B578" s="16" t="s">
        <v>772</v>
      </c>
      <c r="C578" s="17">
        <v>0</v>
      </c>
      <c r="D578" s="17">
        <f t="shared" si="305"/>
        <v>0</v>
      </c>
      <c r="E578" s="17">
        <f t="shared" si="306"/>
        <v>0</v>
      </c>
      <c r="F578" s="17">
        <f t="shared" si="307"/>
        <v>0</v>
      </c>
      <c r="G578" s="17">
        <f t="shared" si="308"/>
        <v>0</v>
      </c>
      <c r="H578" s="17">
        <f t="shared" si="309"/>
        <v>0</v>
      </c>
      <c r="I578" s="17">
        <f t="shared" si="310"/>
        <v>0</v>
      </c>
      <c r="J578" s="17">
        <f t="shared" si="311"/>
        <v>0</v>
      </c>
      <c r="K578" s="17">
        <f t="shared" si="312"/>
        <v>0</v>
      </c>
      <c r="L578" s="17">
        <f t="shared" si="313"/>
        <v>0</v>
      </c>
      <c r="M578" s="17">
        <f t="shared" si="314"/>
        <v>0</v>
      </c>
      <c r="N578" s="17">
        <f t="shared" si="315"/>
        <v>0</v>
      </c>
      <c r="O578" s="17">
        <f t="shared" si="316"/>
        <v>0</v>
      </c>
      <c r="P578" s="17">
        <v>500</v>
      </c>
      <c r="Q578" s="17">
        <f t="shared" si="317"/>
        <v>44.590782974371123</v>
      </c>
      <c r="R578" s="17">
        <f t="shared" si="318"/>
        <v>53.32638941722599</v>
      </c>
      <c r="S578" s="17">
        <f t="shared" si="319"/>
        <v>47.194245424273824</v>
      </c>
      <c r="T578" s="17">
        <f t="shared" si="320"/>
        <v>35.747824934275243</v>
      </c>
      <c r="U578" s="17">
        <f t="shared" si="321"/>
        <v>51.842859052683814</v>
      </c>
      <c r="V578" s="17">
        <f t="shared" si="322"/>
        <v>42.485165476272321</v>
      </c>
      <c r="W578" s="17">
        <f t="shared" si="323"/>
        <v>42.296939438631355</v>
      </c>
      <c r="X578" s="17">
        <f t="shared" si="324"/>
        <v>28.723552731389983</v>
      </c>
      <c r="Y578" s="17">
        <f t="shared" si="325"/>
        <v>42.576926172778734</v>
      </c>
      <c r="Z578" s="17">
        <f t="shared" si="326"/>
        <v>37.079029456517588</v>
      </c>
      <c r="AA578" s="17">
        <f t="shared" si="327"/>
        <v>37.859094596053588</v>
      </c>
      <c r="AB578" s="17">
        <f t="shared" si="328"/>
        <v>36.977779682837813</v>
      </c>
      <c r="AC578" s="17">
        <v>0</v>
      </c>
      <c r="AD578" s="17">
        <f t="shared" si="329"/>
        <v>0</v>
      </c>
      <c r="AE578" s="17">
        <f t="shared" si="330"/>
        <v>0</v>
      </c>
      <c r="AF578" s="17">
        <f t="shared" si="331"/>
        <v>0</v>
      </c>
      <c r="AG578" s="17">
        <f t="shared" si="332"/>
        <v>0</v>
      </c>
      <c r="AH578" s="17">
        <f t="shared" si="333"/>
        <v>0</v>
      </c>
      <c r="AI578" s="17">
        <f t="shared" si="334"/>
        <v>0</v>
      </c>
      <c r="AJ578" s="17">
        <f t="shared" si="335"/>
        <v>0</v>
      </c>
      <c r="AK578" s="17">
        <f t="shared" si="336"/>
        <v>0</v>
      </c>
      <c r="AL578" s="17">
        <f t="shared" si="337"/>
        <v>0</v>
      </c>
      <c r="AM578" s="17">
        <f t="shared" si="338"/>
        <v>0</v>
      </c>
      <c r="AN578" s="17">
        <f t="shared" si="339"/>
        <v>0</v>
      </c>
      <c r="AO578" s="17">
        <f t="shared" si="340"/>
        <v>0</v>
      </c>
      <c r="AP578" s="17">
        <f t="shared" si="341"/>
        <v>500</v>
      </c>
      <c r="AQ578" s="18">
        <v>0</v>
      </c>
      <c r="AR578" s="18">
        <v>0</v>
      </c>
      <c r="AS578" s="18">
        <v>0</v>
      </c>
      <c r="AT578" s="18">
        <v>0</v>
      </c>
      <c r="AU578" s="18">
        <v>0</v>
      </c>
      <c r="AV578" s="18">
        <v>0</v>
      </c>
      <c r="AW578" s="18">
        <v>0</v>
      </c>
      <c r="AX578" s="18">
        <v>0</v>
      </c>
      <c r="AY578" s="18">
        <v>0</v>
      </c>
      <c r="AZ578" s="18">
        <v>0</v>
      </c>
      <c r="BA578" s="18">
        <v>0</v>
      </c>
      <c r="BB578" s="18">
        <v>0</v>
      </c>
      <c r="BC578" s="23">
        <v>8.9181565948742242E-2</v>
      </c>
      <c r="BD578" s="23">
        <v>0.10665277883445198</v>
      </c>
      <c r="BE578" s="23">
        <v>9.438849084854764E-2</v>
      </c>
      <c r="BF578" s="23">
        <v>7.149564986855049E-2</v>
      </c>
      <c r="BG578" s="23">
        <v>0.10368571810536763</v>
      </c>
      <c r="BH578" s="23">
        <v>8.4970330952544637E-2</v>
      </c>
      <c r="BI578" s="23">
        <v>8.4593878877262704E-2</v>
      </c>
      <c r="BJ578" s="23">
        <v>5.7447105462779965E-2</v>
      </c>
      <c r="BK578" s="23">
        <v>8.5153852345557474E-2</v>
      </c>
      <c r="BL578" s="23">
        <v>7.4158058913035174E-2</v>
      </c>
      <c r="BM578" s="23">
        <v>7.5718189192107169E-2</v>
      </c>
      <c r="BN578" s="23">
        <v>7.3955559365675619E-2</v>
      </c>
    </row>
    <row r="579" spans="1:66" x14ac:dyDescent="0.25">
      <c r="A579" s="16">
        <v>3261</v>
      </c>
      <c r="B579" s="16" t="s">
        <v>773</v>
      </c>
      <c r="C579" s="17">
        <v>0</v>
      </c>
      <c r="D579" s="17">
        <f t="shared" si="305"/>
        <v>0</v>
      </c>
      <c r="E579" s="17">
        <f t="shared" si="306"/>
        <v>0</v>
      </c>
      <c r="F579" s="17">
        <f t="shared" si="307"/>
        <v>0</v>
      </c>
      <c r="G579" s="17">
        <f t="shared" si="308"/>
        <v>0</v>
      </c>
      <c r="H579" s="17">
        <f t="shared" si="309"/>
        <v>0</v>
      </c>
      <c r="I579" s="17">
        <f t="shared" si="310"/>
        <v>0</v>
      </c>
      <c r="J579" s="17">
        <f t="shared" si="311"/>
        <v>0</v>
      </c>
      <c r="K579" s="17">
        <f t="shared" si="312"/>
        <v>0</v>
      </c>
      <c r="L579" s="17">
        <f t="shared" si="313"/>
        <v>0</v>
      </c>
      <c r="M579" s="17">
        <f t="shared" si="314"/>
        <v>0</v>
      </c>
      <c r="N579" s="17">
        <f t="shared" si="315"/>
        <v>0</v>
      </c>
      <c r="O579" s="17">
        <f t="shared" si="316"/>
        <v>0</v>
      </c>
      <c r="P579" s="17">
        <v>0</v>
      </c>
      <c r="Q579" s="17">
        <f t="shared" si="317"/>
        <v>0</v>
      </c>
      <c r="R579" s="17">
        <f t="shared" si="318"/>
        <v>0</v>
      </c>
      <c r="S579" s="17">
        <f t="shared" si="319"/>
        <v>0</v>
      </c>
      <c r="T579" s="17">
        <f t="shared" si="320"/>
        <v>0</v>
      </c>
      <c r="U579" s="17">
        <f t="shared" si="321"/>
        <v>0</v>
      </c>
      <c r="V579" s="17">
        <f t="shared" si="322"/>
        <v>0</v>
      </c>
      <c r="W579" s="17">
        <f t="shared" si="323"/>
        <v>0</v>
      </c>
      <c r="X579" s="17">
        <f t="shared" si="324"/>
        <v>0</v>
      </c>
      <c r="Y579" s="17">
        <f t="shared" si="325"/>
        <v>0</v>
      </c>
      <c r="Z579" s="17">
        <f t="shared" si="326"/>
        <v>0</v>
      </c>
      <c r="AA579" s="17">
        <f t="shared" si="327"/>
        <v>0</v>
      </c>
      <c r="AB579" s="17">
        <f t="shared" si="328"/>
        <v>0</v>
      </c>
      <c r="AC579" s="17">
        <v>0</v>
      </c>
      <c r="AD579" s="17">
        <f t="shared" si="329"/>
        <v>0</v>
      </c>
      <c r="AE579" s="17">
        <f t="shared" si="330"/>
        <v>0</v>
      </c>
      <c r="AF579" s="17">
        <f t="shared" si="331"/>
        <v>0</v>
      </c>
      <c r="AG579" s="17">
        <f t="shared" si="332"/>
        <v>0</v>
      </c>
      <c r="AH579" s="17">
        <f t="shared" si="333"/>
        <v>0</v>
      </c>
      <c r="AI579" s="17">
        <f t="shared" si="334"/>
        <v>0</v>
      </c>
      <c r="AJ579" s="17">
        <f t="shared" si="335"/>
        <v>0</v>
      </c>
      <c r="AK579" s="17">
        <f t="shared" si="336"/>
        <v>0</v>
      </c>
      <c r="AL579" s="17">
        <f t="shared" si="337"/>
        <v>0</v>
      </c>
      <c r="AM579" s="17">
        <f t="shared" si="338"/>
        <v>0</v>
      </c>
      <c r="AN579" s="17">
        <f t="shared" si="339"/>
        <v>0</v>
      </c>
      <c r="AO579" s="17">
        <f t="shared" si="340"/>
        <v>0</v>
      </c>
      <c r="AP579" s="17">
        <f t="shared" si="341"/>
        <v>0</v>
      </c>
      <c r="AQ579" s="18">
        <v>20.600941734159459</v>
      </c>
      <c r="AR579" s="18">
        <v>24.636791910758411</v>
      </c>
      <c r="AS579" s="18">
        <v>21.803741386014508</v>
      </c>
      <c r="AT579" s="18">
        <v>16.515495119635165</v>
      </c>
      <c r="AU579" s="18">
        <v>23.951400882339925</v>
      </c>
      <c r="AV579" s="18">
        <v>19.628146450037814</v>
      </c>
      <c r="AW579" s="18">
        <v>19.541186020647686</v>
      </c>
      <c r="AX579" s="18">
        <v>13.270281361902173</v>
      </c>
      <c r="AY579" s="18">
        <v>19.670539891823779</v>
      </c>
      <c r="AZ579" s="18">
        <v>17.130511608911128</v>
      </c>
      <c r="BA579" s="18">
        <v>17.490901703376757</v>
      </c>
      <c r="BB579" s="18">
        <v>17.083734213471072</v>
      </c>
      <c r="BC579" s="23">
        <v>8.9181565948742242E-2</v>
      </c>
      <c r="BD579" s="23">
        <v>0.10665277883445198</v>
      </c>
      <c r="BE579" s="23">
        <v>9.438849084854764E-2</v>
      </c>
      <c r="BF579" s="23">
        <v>7.149564986855049E-2</v>
      </c>
      <c r="BG579" s="23">
        <v>0.10368571810536763</v>
      </c>
      <c r="BH579" s="23">
        <v>8.4970330952544637E-2</v>
      </c>
      <c r="BI579" s="23">
        <v>8.4593878877262704E-2</v>
      </c>
      <c r="BJ579" s="23">
        <v>5.7447105462779965E-2</v>
      </c>
      <c r="BK579" s="23">
        <v>8.5153852345557474E-2</v>
      </c>
      <c r="BL579" s="23">
        <v>7.4158058913035174E-2</v>
      </c>
      <c r="BM579" s="23">
        <v>7.5718189192107169E-2</v>
      </c>
      <c r="BN579" s="23">
        <v>7.3955559365675619E-2</v>
      </c>
    </row>
    <row r="580" spans="1:66" x14ac:dyDescent="0.25">
      <c r="A580" s="16">
        <v>3264</v>
      </c>
      <c r="B580" s="16" t="s">
        <v>774</v>
      </c>
      <c r="C580" s="17">
        <v>0</v>
      </c>
      <c r="D580" s="17">
        <f t="shared" ref="D580:D643" si="342">+$C580*BC580</f>
        <v>0</v>
      </c>
      <c r="E580" s="17">
        <f t="shared" ref="E580:E643" si="343">+$C580*BD580</f>
        <v>0</v>
      </c>
      <c r="F580" s="17">
        <f t="shared" ref="F580:F643" si="344">+$C580*BE580</f>
        <v>0</v>
      </c>
      <c r="G580" s="17">
        <f t="shared" ref="G580:G643" si="345">+$C580*BF580</f>
        <v>0</v>
      </c>
      <c r="H580" s="17">
        <f t="shared" ref="H580:H643" si="346">+$C580*BG580</f>
        <v>0</v>
      </c>
      <c r="I580" s="17">
        <f t="shared" ref="I580:I643" si="347">+$C580*BH580</f>
        <v>0</v>
      </c>
      <c r="J580" s="17">
        <f t="shared" ref="J580:J643" si="348">+$C580*BI580</f>
        <v>0</v>
      </c>
      <c r="K580" s="17">
        <f t="shared" ref="K580:K643" si="349">+$C580*BJ580</f>
        <v>0</v>
      </c>
      <c r="L580" s="17">
        <f t="shared" ref="L580:L643" si="350">+$C580*BK580</f>
        <v>0</v>
      </c>
      <c r="M580" s="17">
        <f t="shared" ref="M580:M643" si="351">+$C580*BL580</f>
        <v>0</v>
      </c>
      <c r="N580" s="17">
        <f t="shared" ref="N580:N643" si="352">+$C580*BM580</f>
        <v>0</v>
      </c>
      <c r="O580" s="17">
        <f t="shared" ref="O580:O643" si="353">+$C580*BN580</f>
        <v>0</v>
      </c>
      <c r="P580" s="17">
        <v>0</v>
      </c>
      <c r="Q580" s="17">
        <f t="shared" ref="Q580:Q643" si="354">+$P580*BC580</f>
        <v>0</v>
      </c>
      <c r="R580" s="17">
        <f t="shared" ref="R580:R643" si="355">+$P580*BD580</f>
        <v>0</v>
      </c>
      <c r="S580" s="17">
        <f t="shared" ref="S580:S643" si="356">+$P580*BE580</f>
        <v>0</v>
      </c>
      <c r="T580" s="17">
        <f t="shared" ref="T580:T643" si="357">+$P580*BF580</f>
        <v>0</v>
      </c>
      <c r="U580" s="17">
        <f t="shared" ref="U580:U643" si="358">+$P580*BG580</f>
        <v>0</v>
      </c>
      <c r="V580" s="17">
        <f t="shared" ref="V580:V643" si="359">+$P580*BH580</f>
        <v>0</v>
      </c>
      <c r="W580" s="17">
        <f t="shared" ref="W580:W643" si="360">+$P580*BI580</f>
        <v>0</v>
      </c>
      <c r="X580" s="17">
        <f t="shared" ref="X580:X643" si="361">+$P580*BJ580</f>
        <v>0</v>
      </c>
      <c r="Y580" s="17">
        <f t="shared" ref="Y580:Y643" si="362">+$P580*BK580</f>
        <v>0</v>
      </c>
      <c r="Z580" s="17">
        <f t="shared" ref="Z580:Z643" si="363">+$P580*BL580</f>
        <v>0</v>
      </c>
      <c r="AA580" s="17">
        <f t="shared" ref="AA580:AA643" si="364">+$P580*BM580</f>
        <v>0</v>
      </c>
      <c r="AB580" s="17">
        <f t="shared" ref="AB580:AB643" si="365">+$P580*BN580</f>
        <v>0</v>
      </c>
      <c r="AC580" s="17">
        <v>0</v>
      </c>
      <c r="AD580" s="17">
        <f t="shared" ref="AD580:AD643" si="366">+$AC580*BC580</f>
        <v>0</v>
      </c>
      <c r="AE580" s="17">
        <f t="shared" ref="AE580:AE643" si="367">+$AC580*BD580</f>
        <v>0</v>
      </c>
      <c r="AF580" s="17">
        <f t="shared" ref="AF580:AF643" si="368">+$AC580*BE580</f>
        <v>0</v>
      </c>
      <c r="AG580" s="17">
        <f t="shared" ref="AG580:AG643" si="369">+$AC580*BF580</f>
        <v>0</v>
      </c>
      <c r="AH580" s="17">
        <f t="shared" ref="AH580:AH643" si="370">+$AC580*BG580</f>
        <v>0</v>
      </c>
      <c r="AI580" s="17">
        <f t="shared" ref="AI580:AI643" si="371">+$AC580*BH580</f>
        <v>0</v>
      </c>
      <c r="AJ580" s="17">
        <f t="shared" ref="AJ580:AJ643" si="372">+$AC580*BI580</f>
        <v>0</v>
      </c>
      <c r="AK580" s="17">
        <f t="shared" ref="AK580:AK643" si="373">+$AC580*BJ580</f>
        <v>0</v>
      </c>
      <c r="AL580" s="17">
        <f t="shared" ref="AL580:AL643" si="374">+$AC580*BK580</f>
        <v>0</v>
      </c>
      <c r="AM580" s="17">
        <f t="shared" ref="AM580:AM643" si="375">+$AC580*BL580</f>
        <v>0</v>
      </c>
      <c r="AN580" s="17">
        <f t="shared" ref="AN580:AN643" si="376">+$AC580*BM580</f>
        <v>0</v>
      </c>
      <c r="AO580" s="17">
        <f t="shared" ref="AO580:AO643" si="377">+$AC580*BN580</f>
        <v>0</v>
      </c>
      <c r="AP580" s="17">
        <f t="shared" ref="AP580:AP643" si="378">+AC580+P580+C580</f>
        <v>0</v>
      </c>
      <c r="AQ580" s="18">
        <v>8.3777163052248476</v>
      </c>
      <c r="AR580" s="18">
        <v>10.01896204370842</v>
      </c>
      <c r="AS580" s="18">
        <v>8.8668548303125672</v>
      </c>
      <c r="AT580" s="18">
        <v>6.7163013486516343</v>
      </c>
      <c r="AU580" s="18">
        <v>9.7402363588182368</v>
      </c>
      <c r="AV580" s="18">
        <v>7.9821128896820444</v>
      </c>
      <c r="AW580" s="18">
        <v>7.9467489817300594</v>
      </c>
      <c r="AX580" s="18">
        <v>5.3965810871735505</v>
      </c>
      <c r="AY580" s="18">
        <v>7.9993528893416697</v>
      </c>
      <c r="AZ580" s="18">
        <v>6.9664080542905253</v>
      </c>
      <c r="BA580" s="18">
        <v>7.1129666927065482</v>
      </c>
      <c r="BB580" s="18">
        <v>6.9473852468115682</v>
      </c>
      <c r="BC580" s="23">
        <v>8.9181565948742242E-2</v>
      </c>
      <c r="BD580" s="23">
        <v>0.10665277883445198</v>
      </c>
      <c r="BE580" s="23">
        <v>9.438849084854764E-2</v>
      </c>
      <c r="BF580" s="23">
        <v>7.149564986855049E-2</v>
      </c>
      <c r="BG580" s="23">
        <v>0.10368571810536763</v>
      </c>
      <c r="BH580" s="23">
        <v>8.4970330952544637E-2</v>
      </c>
      <c r="BI580" s="23">
        <v>8.4593878877262704E-2</v>
      </c>
      <c r="BJ580" s="23">
        <v>5.7447105462779965E-2</v>
      </c>
      <c r="BK580" s="23">
        <v>8.5153852345557474E-2</v>
      </c>
      <c r="BL580" s="23">
        <v>7.4158058913035174E-2</v>
      </c>
      <c r="BM580" s="23">
        <v>7.5718189192107169E-2</v>
      </c>
      <c r="BN580" s="23">
        <v>7.3955559365675619E-2</v>
      </c>
    </row>
    <row r="581" spans="1:66" x14ac:dyDescent="0.25">
      <c r="A581" s="16">
        <v>3269</v>
      </c>
      <c r="B581" s="16" t="s">
        <v>775</v>
      </c>
      <c r="C581" s="17">
        <v>0</v>
      </c>
      <c r="D581" s="17">
        <f t="shared" si="342"/>
        <v>0</v>
      </c>
      <c r="E581" s="17">
        <f t="shared" si="343"/>
        <v>0</v>
      </c>
      <c r="F581" s="17">
        <f t="shared" si="344"/>
        <v>0</v>
      </c>
      <c r="G581" s="17">
        <f t="shared" si="345"/>
        <v>0</v>
      </c>
      <c r="H581" s="17">
        <f t="shared" si="346"/>
        <v>0</v>
      </c>
      <c r="I581" s="17">
        <f t="shared" si="347"/>
        <v>0</v>
      </c>
      <c r="J581" s="17">
        <f t="shared" si="348"/>
        <v>0</v>
      </c>
      <c r="K581" s="17">
        <f t="shared" si="349"/>
        <v>0</v>
      </c>
      <c r="L581" s="17">
        <f t="shared" si="350"/>
        <v>0</v>
      </c>
      <c r="M581" s="17">
        <f t="shared" si="351"/>
        <v>0</v>
      </c>
      <c r="N581" s="17">
        <f t="shared" si="352"/>
        <v>0</v>
      </c>
      <c r="O581" s="17">
        <f t="shared" si="353"/>
        <v>0</v>
      </c>
      <c r="P581" s="17">
        <v>2500</v>
      </c>
      <c r="Q581" s="17">
        <f t="shared" si="354"/>
        <v>222.9539148718556</v>
      </c>
      <c r="R581" s="17">
        <f t="shared" si="355"/>
        <v>266.63194708612997</v>
      </c>
      <c r="S581" s="17">
        <f t="shared" si="356"/>
        <v>235.97122712136911</v>
      </c>
      <c r="T581" s="17">
        <f t="shared" si="357"/>
        <v>178.73912467137623</v>
      </c>
      <c r="U581" s="17">
        <f t="shared" si="358"/>
        <v>259.21429526341905</v>
      </c>
      <c r="V581" s="17">
        <f t="shared" si="359"/>
        <v>212.42582738136159</v>
      </c>
      <c r="W581" s="17">
        <f t="shared" si="360"/>
        <v>211.48469719315676</v>
      </c>
      <c r="X581" s="17">
        <f t="shared" si="361"/>
        <v>143.6177636569499</v>
      </c>
      <c r="Y581" s="17">
        <f t="shared" si="362"/>
        <v>212.88463086389368</v>
      </c>
      <c r="Z581" s="17">
        <f t="shared" si="363"/>
        <v>185.39514728258794</v>
      </c>
      <c r="AA581" s="17">
        <f t="shared" si="364"/>
        <v>189.29547298026793</v>
      </c>
      <c r="AB581" s="17">
        <f t="shared" si="365"/>
        <v>184.88889841418904</v>
      </c>
      <c r="AC581" s="17">
        <v>0</v>
      </c>
      <c r="AD581" s="17">
        <f t="shared" si="366"/>
        <v>0</v>
      </c>
      <c r="AE581" s="17">
        <f t="shared" si="367"/>
        <v>0</v>
      </c>
      <c r="AF581" s="17">
        <f t="shared" si="368"/>
        <v>0</v>
      </c>
      <c r="AG581" s="17">
        <f t="shared" si="369"/>
        <v>0</v>
      </c>
      <c r="AH581" s="17">
        <f t="shared" si="370"/>
        <v>0</v>
      </c>
      <c r="AI581" s="17">
        <f t="shared" si="371"/>
        <v>0</v>
      </c>
      <c r="AJ581" s="17">
        <f t="shared" si="372"/>
        <v>0</v>
      </c>
      <c r="AK581" s="17">
        <f t="shared" si="373"/>
        <v>0</v>
      </c>
      <c r="AL581" s="17">
        <f t="shared" si="374"/>
        <v>0</v>
      </c>
      <c r="AM581" s="17">
        <f t="shared" si="375"/>
        <v>0</v>
      </c>
      <c r="AN581" s="17">
        <f t="shared" si="376"/>
        <v>0</v>
      </c>
      <c r="AO581" s="17">
        <f t="shared" si="377"/>
        <v>0</v>
      </c>
      <c r="AP581" s="17">
        <f t="shared" si="378"/>
        <v>2500</v>
      </c>
      <c r="AQ581" s="18">
        <v>63.117361484562835</v>
      </c>
      <c r="AR581" s="18">
        <v>75.482437692295051</v>
      </c>
      <c r="AS581" s="18">
        <v>66.802510513151105</v>
      </c>
      <c r="AT581" s="18">
        <v>50.600331237967922</v>
      </c>
      <c r="AU581" s="18">
        <v>73.382530131892892</v>
      </c>
      <c r="AV581" s="18">
        <v>60.136902028353944</v>
      </c>
      <c r="AW581" s="18">
        <v>59.870471836593907</v>
      </c>
      <c r="AX581" s="18">
        <v>40.657614420227894</v>
      </c>
      <c r="AY581" s="18">
        <v>60.266787459044849</v>
      </c>
      <c r="AZ581" s="18">
        <v>52.484624615111514</v>
      </c>
      <c r="BA581" s="18">
        <v>53.588791218821932</v>
      </c>
      <c r="BB581" s="18">
        <v>52.341307585463262</v>
      </c>
      <c r="BC581" s="23">
        <v>8.9181565948742242E-2</v>
      </c>
      <c r="BD581" s="23">
        <v>0.10665277883445198</v>
      </c>
      <c r="BE581" s="23">
        <v>9.438849084854764E-2</v>
      </c>
      <c r="BF581" s="23">
        <v>7.149564986855049E-2</v>
      </c>
      <c r="BG581" s="23">
        <v>0.10368571810536763</v>
      </c>
      <c r="BH581" s="23">
        <v>8.4970330952544637E-2</v>
      </c>
      <c r="BI581" s="23">
        <v>8.4593878877262704E-2</v>
      </c>
      <c r="BJ581" s="23">
        <v>5.7447105462779965E-2</v>
      </c>
      <c r="BK581" s="23">
        <v>8.5153852345557474E-2</v>
      </c>
      <c r="BL581" s="23">
        <v>7.4158058913035174E-2</v>
      </c>
      <c r="BM581" s="23">
        <v>7.5718189192107169E-2</v>
      </c>
      <c r="BN581" s="23">
        <v>7.3955559365675619E-2</v>
      </c>
    </row>
    <row r="582" spans="1:66" x14ac:dyDescent="0.25">
      <c r="A582" s="16">
        <v>3279</v>
      </c>
      <c r="B582" s="16" t="s">
        <v>776</v>
      </c>
      <c r="C582" s="17">
        <v>0</v>
      </c>
      <c r="D582" s="17">
        <f t="shared" si="342"/>
        <v>0</v>
      </c>
      <c r="E582" s="17">
        <f t="shared" si="343"/>
        <v>0</v>
      </c>
      <c r="F582" s="17">
        <f t="shared" si="344"/>
        <v>0</v>
      </c>
      <c r="G582" s="17">
        <f t="shared" si="345"/>
        <v>0</v>
      </c>
      <c r="H582" s="17">
        <f t="shared" si="346"/>
        <v>0</v>
      </c>
      <c r="I582" s="17">
        <f t="shared" si="347"/>
        <v>0</v>
      </c>
      <c r="J582" s="17">
        <f t="shared" si="348"/>
        <v>0</v>
      </c>
      <c r="K582" s="17">
        <f t="shared" si="349"/>
        <v>0</v>
      </c>
      <c r="L582" s="17">
        <f t="shared" si="350"/>
        <v>0</v>
      </c>
      <c r="M582" s="17">
        <f t="shared" si="351"/>
        <v>0</v>
      </c>
      <c r="N582" s="17">
        <f t="shared" si="352"/>
        <v>0</v>
      </c>
      <c r="O582" s="17">
        <f t="shared" si="353"/>
        <v>0</v>
      </c>
      <c r="P582" s="17">
        <v>0</v>
      </c>
      <c r="Q582" s="17">
        <f t="shared" si="354"/>
        <v>0</v>
      </c>
      <c r="R582" s="17">
        <f t="shared" si="355"/>
        <v>0</v>
      </c>
      <c r="S582" s="17">
        <f t="shared" si="356"/>
        <v>0</v>
      </c>
      <c r="T582" s="17">
        <f t="shared" si="357"/>
        <v>0</v>
      </c>
      <c r="U582" s="17">
        <f t="shared" si="358"/>
        <v>0</v>
      </c>
      <c r="V582" s="17">
        <f t="shared" si="359"/>
        <v>0</v>
      </c>
      <c r="W582" s="17">
        <f t="shared" si="360"/>
        <v>0</v>
      </c>
      <c r="X582" s="17">
        <f t="shared" si="361"/>
        <v>0</v>
      </c>
      <c r="Y582" s="17">
        <f t="shared" si="362"/>
        <v>0</v>
      </c>
      <c r="Z582" s="17">
        <f t="shared" si="363"/>
        <v>0</v>
      </c>
      <c r="AA582" s="17">
        <f t="shared" si="364"/>
        <v>0</v>
      </c>
      <c r="AB582" s="17">
        <f t="shared" si="365"/>
        <v>0</v>
      </c>
      <c r="AC582" s="17">
        <v>0</v>
      </c>
      <c r="AD582" s="17">
        <f t="shared" si="366"/>
        <v>0</v>
      </c>
      <c r="AE582" s="17">
        <f t="shared" si="367"/>
        <v>0</v>
      </c>
      <c r="AF582" s="17">
        <f t="shared" si="368"/>
        <v>0</v>
      </c>
      <c r="AG582" s="17">
        <f t="shared" si="369"/>
        <v>0</v>
      </c>
      <c r="AH582" s="17">
        <f t="shared" si="370"/>
        <v>0</v>
      </c>
      <c r="AI582" s="17">
        <f t="shared" si="371"/>
        <v>0</v>
      </c>
      <c r="AJ582" s="17">
        <f t="shared" si="372"/>
        <v>0</v>
      </c>
      <c r="AK582" s="17">
        <f t="shared" si="373"/>
        <v>0</v>
      </c>
      <c r="AL582" s="17">
        <f t="shared" si="374"/>
        <v>0</v>
      </c>
      <c r="AM582" s="17">
        <f t="shared" si="375"/>
        <v>0</v>
      </c>
      <c r="AN582" s="17">
        <f t="shared" si="376"/>
        <v>0</v>
      </c>
      <c r="AO582" s="17">
        <f t="shared" si="377"/>
        <v>0</v>
      </c>
      <c r="AP582" s="17">
        <f t="shared" si="378"/>
        <v>0</v>
      </c>
      <c r="AQ582" s="18">
        <v>286.84358871753454</v>
      </c>
      <c r="AR582" s="18">
        <v>343.03799784313139</v>
      </c>
      <c r="AS582" s="18">
        <v>303.59114196526866</v>
      </c>
      <c r="AT582" s="18">
        <v>229.95860823720579</v>
      </c>
      <c r="AU582" s="18">
        <v>333.49474371410446</v>
      </c>
      <c r="AV582" s="18">
        <v>273.29857247576456</v>
      </c>
      <c r="AW582" s="18">
        <v>272.08775202082779</v>
      </c>
      <c r="AX582" s="18">
        <v>184.77287001048549</v>
      </c>
      <c r="AY582" s="18">
        <v>273.88885068425105</v>
      </c>
      <c r="AZ582" s="18">
        <v>238.52198068788636</v>
      </c>
      <c r="BA582" s="18">
        <v>243.5399837174935</v>
      </c>
      <c r="BB582" s="18">
        <v>237.87066114375907</v>
      </c>
      <c r="BC582" s="23">
        <v>8.9181565948742242E-2</v>
      </c>
      <c r="BD582" s="23">
        <v>0.10665277883445198</v>
      </c>
      <c r="BE582" s="23">
        <v>9.438849084854764E-2</v>
      </c>
      <c r="BF582" s="23">
        <v>7.149564986855049E-2</v>
      </c>
      <c r="BG582" s="23">
        <v>0.10368571810536763</v>
      </c>
      <c r="BH582" s="23">
        <v>8.4970330952544637E-2</v>
      </c>
      <c r="BI582" s="23">
        <v>8.4593878877262704E-2</v>
      </c>
      <c r="BJ582" s="23">
        <v>5.7447105462779965E-2</v>
      </c>
      <c r="BK582" s="23">
        <v>8.5153852345557474E-2</v>
      </c>
      <c r="BL582" s="23">
        <v>7.4158058913035174E-2</v>
      </c>
      <c r="BM582" s="23">
        <v>7.5718189192107169E-2</v>
      </c>
      <c r="BN582" s="23">
        <v>7.3955559365675619E-2</v>
      </c>
    </row>
    <row r="583" spans="1:66" x14ac:dyDescent="0.25">
      <c r="A583" s="16">
        <v>3315</v>
      </c>
      <c r="B583" s="16" t="s">
        <v>777</v>
      </c>
      <c r="C583" s="17">
        <v>0</v>
      </c>
      <c r="D583" s="17">
        <f t="shared" si="342"/>
        <v>0</v>
      </c>
      <c r="E583" s="17">
        <f t="shared" si="343"/>
        <v>0</v>
      </c>
      <c r="F583" s="17">
        <f t="shared" si="344"/>
        <v>0</v>
      </c>
      <c r="G583" s="17">
        <f t="shared" si="345"/>
        <v>0</v>
      </c>
      <c r="H583" s="17">
        <f t="shared" si="346"/>
        <v>0</v>
      </c>
      <c r="I583" s="17">
        <f t="shared" si="347"/>
        <v>0</v>
      </c>
      <c r="J583" s="17">
        <f t="shared" si="348"/>
        <v>0</v>
      </c>
      <c r="K583" s="17">
        <f t="shared" si="349"/>
        <v>0</v>
      </c>
      <c r="L583" s="17">
        <f t="shared" si="350"/>
        <v>0</v>
      </c>
      <c r="M583" s="17">
        <f t="shared" si="351"/>
        <v>0</v>
      </c>
      <c r="N583" s="17">
        <f t="shared" si="352"/>
        <v>0</v>
      </c>
      <c r="O583" s="17">
        <f t="shared" si="353"/>
        <v>0</v>
      </c>
      <c r="P583" s="17">
        <v>1500</v>
      </c>
      <c r="Q583" s="17">
        <f t="shared" si="354"/>
        <v>133.77234892311336</v>
      </c>
      <c r="R583" s="17">
        <f t="shared" si="355"/>
        <v>159.97916825167798</v>
      </c>
      <c r="S583" s="17">
        <f t="shared" si="356"/>
        <v>141.58273627282145</v>
      </c>
      <c r="T583" s="17">
        <f t="shared" si="357"/>
        <v>107.24347480282573</v>
      </c>
      <c r="U583" s="17">
        <f t="shared" si="358"/>
        <v>155.52857715805143</v>
      </c>
      <c r="V583" s="17">
        <f t="shared" si="359"/>
        <v>127.45549642881696</v>
      </c>
      <c r="W583" s="17">
        <f t="shared" si="360"/>
        <v>126.89081831589405</v>
      </c>
      <c r="X583" s="17">
        <f t="shared" si="361"/>
        <v>86.170658194169945</v>
      </c>
      <c r="Y583" s="17">
        <f t="shared" si="362"/>
        <v>127.73077851833621</v>
      </c>
      <c r="Z583" s="17">
        <f t="shared" si="363"/>
        <v>111.23708836955277</v>
      </c>
      <c r="AA583" s="17">
        <f t="shared" si="364"/>
        <v>113.57728378816076</v>
      </c>
      <c r="AB583" s="17">
        <f t="shared" si="365"/>
        <v>110.93333904851343</v>
      </c>
      <c r="AC583" s="17">
        <v>0</v>
      </c>
      <c r="AD583" s="17">
        <f t="shared" si="366"/>
        <v>0</v>
      </c>
      <c r="AE583" s="17">
        <f t="shared" si="367"/>
        <v>0</v>
      </c>
      <c r="AF583" s="17">
        <f t="shared" si="368"/>
        <v>0</v>
      </c>
      <c r="AG583" s="17">
        <f t="shared" si="369"/>
        <v>0</v>
      </c>
      <c r="AH583" s="17">
        <f t="shared" si="370"/>
        <v>0</v>
      </c>
      <c r="AI583" s="17">
        <f t="shared" si="371"/>
        <v>0</v>
      </c>
      <c r="AJ583" s="17">
        <f t="shared" si="372"/>
        <v>0</v>
      </c>
      <c r="AK583" s="17">
        <f t="shared" si="373"/>
        <v>0</v>
      </c>
      <c r="AL583" s="17">
        <f t="shared" si="374"/>
        <v>0</v>
      </c>
      <c r="AM583" s="17">
        <f t="shared" si="375"/>
        <v>0</v>
      </c>
      <c r="AN583" s="17">
        <f t="shared" si="376"/>
        <v>0</v>
      </c>
      <c r="AO583" s="17">
        <f t="shared" si="377"/>
        <v>0</v>
      </c>
      <c r="AP583" s="17">
        <f t="shared" si="378"/>
        <v>1500</v>
      </c>
      <c r="AQ583" s="18">
        <v>0</v>
      </c>
      <c r="AR583" s="18">
        <v>0</v>
      </c>
      <c r="AS583" s="18">
        <v>0</v>
      </c>
      <c r="AT583" s="18">
        <v>0</v>
      </c>
      <c r="AU583" s="18">
        <v>0</v>
      </c>
      <c r="AV583" s="18">
        <v>0</v>
      </c>
      <c r="AW583" s="18">
        <v>0</v>
      </c>
      <c r="AX583" s="18">
        <v>0</v>
      </c>
      <c r="AY583" s="18">
        <v>0</v>
      </c>
      <c r="AZ583" s="18">
        <v>0</v>
      </c>
      <c r="BA583" s="18">
        <v>0</v>
      </c>
      <c r="BB583" s="18">
        <v>0</v>
      </c>
      <c r="BC583" s="23">
        <v>8.9181565948742242E-2</v>
      </c>
      <c r="BD583" s="23">
        <v>0.10665277883445198</v>
      </c>
      <c r="BE583" s="23">
        <v>9.438849084854764E-2</v>
      </c>
      <c r="BF583" s="23">
        <v>7.149564986855049E-2</v>
      </c>
      <c r="BG583" s="23">
        <v>0.10368571810536763</v>
      </c>
      <c r="BH583" s="23">
        <v>8.4970330952544637E-2</v>
      </c>
      <c r="BI583" s="23">
        <v>8.4593878877262704E-2</v>
      </c>
      <c r="BJ583" s="23">
        <v>5.7447105462779965E-2</v>
      </c>
      <c r="BK583" s="23">
        <v>8.5153852345557474E-2</v>
      </c>
      <c r="BL583" s="23">
        <v>7.4158058913035174E-2</v>
      </c>
      <c r="BM583" s="23">
        <v>7.5718189192107169E-2</v>
      </c>
      <c r="BN583" s="23">
        <v>7.3955559365675619E-2</v>
      </c>
    </row>
    <row r="584" spans="1:66" x14ac:dyDescent="0.25">
      <c r="A584" s="16">
        <v>3316</v>
      </c>
      <c r="B584" s="16" t="s">
        <v>778</v>
      </c>
      <c r="C584" s="17">
        <v>0</v>
      </c>
      <c r="D584" s="17">
        <f t="shared" si="342"/>
        <v>0</v>
      </c>
      <c r="E584" s="17">
        <f t="shared" si="343"/>
        <v>0</v>
      </c>
      <c r="F584" s="17">
        <f t="shared" si="344"/>
        <v>0</v>
      </c>
      <c r="G584" s="17">
        <f t="shared" si="345"/>
        <v>0</v>
      </c>
      <c r="H584" s="17">
        <f t="shared" si="346"/>
        <v>0</v>
      </c>
      <c r="I584" s="17">
        <f t="shared" si="347"/>
        <v>0</v>
      </c>
      <c r="J584" s="17">
        <f t="shared" si="348"/>
        <v>0</v>
      </c>
      <c r="K584" s="17">
        <f t="shared" si="349"/>
        <v>0</v>
      </c>
      <c r="L584" s="17">
        <f t="shared" si="350"/>
        <v>0</v>
      </c>
      <c r="M584" s="17">
        <f t="shared" si="351"/>
        <v>0</v>
      </c>
      <c r="N584" s="17">
        <f t="shared" si="352"/>
        <v>0</v>
      </c>
      <c r="O584" s="17">
        <f t="shared" si="353"/>
        <v>0</v>
      </c>
      <c r="P584" s="17">
        <v>0</v>
      </c>
      <c r="Q584" s="17">
        <f t="shared" si="354"/>
        <v>0</v>
      </c>
      <c r="R584" s="17">
        <f t="shared" si="355"/>
        <v>0</v>
      </c>
      <c r="S584" s="17">
        <f t="shared" si="356"/>
        <v>0</v>
      </c>
      <c r="T584" s="17">
        <f t="shared" si="357"/>
        <v>0</v>
      </c>
      <c r="U584" s="17">
        <f t="shared" si="358"/>
        <v>0</v>
      </c>
      <c r="V584" s="17">
        <f t="shared" si="359"/>
        <v>0</v>
      </c>
      <c r="W584" s="17">
        <f t="shared" si="360"/>
        <v>0</v>
      </c>
      <c r="X584" s="17">
        <f t="shared" si="361"/>
        <v>0</v>
      </c>
      <c r="Y584" s="17">
        <f t="shared" si="362"/>
        <v>0</v>
      </c>
      <c r="Z584" s="17">
        <f t="shared" si="363"/>
        <v>0</v>
      </c>
      <c r="AA584" s="17">
        <f t="shared" si="364"/>
        <v>0</v>
      </c>
      <c r="AB584" s="17">
        <f t="shared" si="365"/>
        <v>0</v>
      </c>
      <c r="AC584" s="17">
        <v>0</v>
      </c>
      <c r="AD584" s="17">
        <f t="shared" si="366"/>
        <v>0</v>
      </c>
      <c r="AE584" s="17">
        <f t="shared" si="367"/>
        <v>0</v>
      </c>
      <c r="AF584" s="17">
        <f t="shared" si="368"/>
        <v>0</v>
      </c>
      <c r="AG584" s="17">
        <f t="shared" si="369"/>
        <v>0</v>
      </c>
      <c r="AH584" s="17">
        <f t="shared" si="370"/>
        <v>0</v>
      </c>
      <c r="AI584" s="17">
        <f t="shared" si="371"/>
        <v>0</v>
      </c>
      <c r="AJ584" s="17">
        <f t="shared" si="372"/>
        <v>0</v>
      </c>
      <c r="AK584" s="17">
        <f t="shared" si="373"/>
        <v>0</v>
      </c>
      <c r="AL584" s="17">
        <f t="shared" si="374"/>
        <v>0</v>
      </c>
      <c r="AM584" s="17">
        <f t="shared" si="375"/>
        <v>0</v>
      </c>
      <c r="AN584" s="17">
        <f t="shared" si="376"/>
        <v>0</v>
      </c>
      <c r="AO584" s="17">
        <f t="shared" si="377"/>
        <v>0</v>
      </c>
      <c r="AP584" s="17">
        <f t="shared" si="378"/>
        <v>0</v>
      </c>
      <c r="AQ584" s="18">
        <v>89.064738097349391</v>
      </c>
      <c r="AR584" s="18">
        <v>106.51306369417885</v>
      </c>
      <c r="AS584" s="18">
        <v>94.264841925536047</v>
      </c>
      <c r="AT584" s="18">
        <v>71.401990567222697</v>
      </c>
      <c r="AU584" s="18">
        <v>103.5498898146496</v>
      </c>
      <c r="AV584" s="18">
        <v>84.859019818996813</v>
      </c>
      <c r="AW584" s="18">
        <v>84.483060895933491</v>
      </c>
      <c r="AX584" s="18">
        <v>57.371849754623724</v>
      </c>
      <c r="AY584" s="18">
        <v>85.042300798984797</v>
      </c>
      <c r="AZ584" s="18">
        <v>74.060911855859104</v>
      </c>
      <c r="BA584" s="18">
        <v>75.618998364265508</v>
      </c>
      <c r="BB584" s="18">
        <v>73.858677582906594</v>
      </c>
      <c r="BC584" s="23">
        <v>8.9181565948742242E-2</v>
      </c>
      <c r="BD584" s="23">
        <v>0.10665277883445198</v>
      </c>
      <c r="BE584" s="23">
        <v>9.438849084854764E-2</v>
      </c>
      <c r="BF584" s="23">
        <v>7.149564986855049E-2</v>
      </c>
      <c r="BG584" s="23">
        <v>0.10368571810536763</v>
      </c>
      <c r="BH584" s="23">
        <v>8.4970330952544637E-2</v>
      </c>
      <c r="BI584" s="23">
        <v>8.4593878877262704E-2</v>
      </c>
      <c r="BJ584" s="23">
        <v>5.7447105462779965E-2</v>
      </c>
      <c r="BK584" s="23">
        <v>8.5153852345557474E-2</v>
      </c>
      <c r="BL584" s="23">
        <v>7.4158058913035174E-2</v>
      </c>
      <c r="BM584" s="23">
        <v>7.5718189192107169E-2</v>
      </c>
      <c r="BN584" s="23">
        <v>7.3955559365675619E-2</v>
      </c>
    </row>
    <row r="585" spans="1:66" x14ac:dyDescent="0.25">
      <c r="A585" s="16">
        <v>3348</v>
      </c>
      <c r="B585" s="16" t="s">
        <v>779</v>
      </c>
      <c r="C585" s="17">
        <v>0</v>
      </c>
      <c r="D585" s="17">
        <f t="shared" si="342"/>
        <v>0</v>
      </c>
      <c r="E585" s="17">
        <f t="shared" si="343"/>
        <v>0</v>
      </c>
      <c r="F585" s="17">
        <f t="shared" si="344"/>
        <v>0</v>
      </c>
      <c r="G585" s="17">
        <f t="shared" si="345"/>
        <v>0</v>
      </c>
      <c r="H585" s="17">
        <f t="shared" si="346"/>
        <v>0</v>
      </c>
      <c r="I585" s="17">
        <f t="shared" si="347"/>
        <v>0</v>
      </c>
      <c r="J585" s="17">
        <f t="shared" si="348"/>
        <v>0</v>
      </c>
      <c r="K585" s="17">
        <f t="shared" si="349"/>
        <v>0</v>
      </c>
      <c r="L585" s="17">
        <f t="shared" si="350"/>
        <v>0</v>
      </c>
      <c r="M585" s="17">
        <f t="shared" si="351"/>
        <v>0</v>
      </c>
      <c r="N585" s="17">
        <f t="shared" si="352"/>
        <v>0</v>
      </c>
      <c r="O585" s="17">
        <f t="shared" si="353"/>
        <v>0</v>
      </c>
      <c r="P585" s="17">
        <v>0</v>
      </c>
      <c r="Q585" s="17">
        <f t="shared" si="354"/>
        <v>0</v>
      </c>
      <c r="R585" s="17">
        <f t="shared" si="355"/>
        <v>0</v>
      </c>
      <c r="S585" s="17">
        <f t="shared" si="356"/>
        <v>0</v>
      </c>
      <c r="T585" s="17">
        <f t="shared" si="357"/>
        <v>0</v>
      </c>
      <c r="U585" s="17">
        <f t="shared" si="358"/>
        <v>0</v>
      </c>
      <c r="V585" s="17">
        <f t="shared" si="359"/>
        <v>0</v>
      </c>
      <c r="W585" s="17">
        <f t="shared" si="360"/>
        <v>0</v>
      </c>
      <c r="X585" s="17">
        <f t="shared" si="361"/>
        <v>0</v>
      </c>
      <c r="Y585" s="17">
        <f t="shared" si="362"/>
        <v>0</v>
      </c>
      <c r="Z585" s="17">
        <f t="shared" si="363"/>
        <v>0</v>
      </c>
      <c r="AA585" s="17">
        <f t="shared" si="364"/>
        <v>0</v>
      </c>
      <c r="AB585" s="17">
        <f t="shared" si="365"/>
        <v>0</v>
      </c>
      <c r="AC585" s="17">
        <v>0</v>
      </c>
      <c r="AD585" s="17">
        <f t="shared" si="366"/>
        <v>0</v>
      </c>
      <c r="AE585" s="17">
        <f t="shared" si="367"/>
        <v>0</v>
      </c>
      <c r="AF585" s="17">
        <f t="shared" si="368"/>
        <v>0</v>
      </c>
      <c r="AG585" s="17">
        <f t="shared" si="369"/>
        <v>0</v>
      </c>
      <c r="AH585" s="17">
        <f t="shared" si="370"/>
        <v>0</v>
      </c>
      <c r="AI585" s="17">
        <f t="shared" si="371"/>
        <v>0</v>
      </c>
      <c r="AJ585" s="17">
        <f t="shared" si="372"/>
        <v>0</v>
      </c>
      <c r="AK585" s="17">
        <f t="shared" si="373"/>
        <v>0</v>
      </c>
      <c r="AL585" s="17">
        <f t="shared" si="374"/>
        <v>0</v>
      </c>
      <c r="AM585" s="17">
        <f t="shared" si="375"/>
        <v>0</v>
      </c>
      <c r="AN585" s="17">
        <f t="shared" si="376"/>
        <v>0</v>
      </c>
      <c r="AO585" s="17">
        <f t="shared" si="377"/>
        <v>0</v>
      </c>
      <c r="AP585" s="17">
        <f t="shared" si="378"/>
        <v>0</v>
      </c>
      <c r="AQ585" s="18">
        <v>30.253954432451319</v>
      </c>
      <c r="AR585" s="18">
        <v>36.180888691799488</v>
      </c>
      <c r="AS585" s="18">
        <v>32.020351635461303</v>
      </c>
      <c r="AT585" s="18">
        <v>24.254184261407069</v>
      </c>
      <c r="AU585" s="18">
        <v>35.174343010064916</v>
      </c>
      <c r="AV585" s="18">
        <v>28.825335072341243</v>
      </c>
      <c r="AW585" s="18">
        <v>28.697627470322601</v>
      </c>
      <c r="AX585" s="18">
        <v>19.488356057193474</v>
      </c>
      <c r="AY585" s="18">
        <v>28.887592869706918</v>
      </c>
      <c r="AZ585" s="18">
        <v>25.157379905658054</v>
      </c>
      <c r="BA585" s="18">
        <v>25.686638501530435</v>
      </c>
      <c r="BB585" s="18">
        <v>25.088683959211796</v>
      </c>
      <c r="BC585" s="23">
        <v>8.9181565948742242E-2</v>
      </c>
      <c r="BD585" s="23">
        <v>0.10665277883445198</v>
      </c>
      <c r="BE585" s="23">
        <v>9.438849084854764E-2</v>
      </c>
      <c r="BF585" s="23">
        <v>7.149564986855049E-2</v>
      </c>
      <c r="BG585" s="23">
        <v>0.10368571810536763</v>
      </c>
      <c r="BH585" s="23">
        <v>8.4970330952544637E-2</v>
      </c>
      <c r="BI585" s="23">
        <v>8.4593878877262704E-2</v>
      </c>
      <c r="BJ585" s="23">
        <v>5.7447105462779965E-2</v>
      </c>
      <c r="BK585" s="23">
        <v>8.5153852345557474E-2</v>
      </c>
      <c r="BL585" s="23">
        <v>7.4158058913035174E-2</v>
      </c>
      <c r="BM585" s="23">
        <v>7.5718189192107169E-2</v>
      </c>
      <c r="BN585" s="23">
        <v>7.3955559365675619E-2</v>
      </c>
    </row>
    <row r="586" spans="1:66" x14ac:dyDescent="0.25">
      <c r="A586" s="16">
        <v>3351</v>
      </c>
      <c r="B586" s="16" t="s">
        <v>780</v>
      </c>
      <c r="C586" s="17">
        <v>0</v>
      </c>
      <c r="D586" s="17">
        <f t="shared" si="342"/>
        <v>0</v>
      </c>
      <c r="E586" s="17">
        <f t="shared" si="343"/>
        <v>0</v>
      </c>
      <c r="F586" s="17">
        <f t="shared" si="344"/>
        <v>0</v>
      </c>
      <c r="G586" s="17">
        <f t="shared" si="345"/>
        <v>0</v>
      </c>
      <c r="H586" s="17">
        <f t="shared" si="346"/>
        <v>0</v>
      </c>
      <c r="I586" s="17">
        <f t="shared" si="347"/>
        <v>0</v>
      </c>
      <c r="J586" s="17">
        <f t="shared" si="348"/>
        <v>0</v>
      </c>
      <c r="K586" s="17">
        <f t="shared" si="349"/>
        <v>0</v>
      </c>
      <c r="L586" s="17">
        <f t="shared" si="350"/>
        <v>0</v>
      </c>
      <c r="M586" s="17">
        <f t="shared" si="351"/>
        <v>0</v>
      </c>
      <c r="N586" s="17">
        <f t="shared" si="352"/>
        <v>0</v>
      </c>
      <c r="O586" s="17">
        <f t="shared" si="353"/>
        <v>0</v>
      </c>
      <c r="P586" s="17">
        <v>0</v>
      </c>
      <c r="Q586" s="17">
        <f t="shared" si="354"/>
        <v>0</v>
      </c>
      <c r="R586" s="17">
        <f t="shared" si="355"/>
        <v>0</v>
      </c>
      <c r="S586" s="17">
        <f t="shared" si="356"/>
        <v>0</v>
      </c>
      <c r="T586" s="17">
        <f t="shared" si="357"/>
        <v>0</v>
      </c>
      <c r="U586" s="17">
        <f t="shared" si="358"/>
        <v>0</v>
      </c>
      <c r="V586" s="17">
        <f t="shared" si="359"/>
        <v>0</v>
      </c>
      <c r="W586" s="17">
        <f t="shared" si="360"/>
        <v>0</v>
      </c>
      <c r="X586" s="17">
        <f t="shared" si="361"/>
        <v>0</v>
      </c>
      <c r="Y586" s="17">
        <f t="shared" si="362"/>
        <v>0</v>
      </c>
      <c r="Z586" s="17">
        <f t="shared" si="363"/>
        <v>0</v>
      </c>
      <c r="AA586" s="17">
        <f t="shared" si="364"/>
        <v>0</v>
      </c>
      <c r="AB586" s="17">
        <f t="shared" si="365"/>
        <v>0</v>
      </c>
      <c r="AC586" s="17">
        <v>0</v>
      </c>
      <c r="AD586" s="17">
        <f t="shared" si="366"/>
        <v>0</v>
      </c>
      <c r="AE586" s="17">
        <f t="shared" si="367"/>
        <v>0</v>
      </c>
      <c r="AF586" s="17">
        <f t="shared" si="368"/>
        <v>0</v>
      </c>
      <c r="AG586" s="17">
        <f t="shared" si="369"/>
        <v>0</v>
      </c>
      <c r="AH586" s="17">
        <f t="shared" si="370"/>
        <v>0</v>
      </c>
      <c r="AI586" s="17">
        <f t="shared" si="371"/>
        <v>0</v>
      </c>
      <c r="AJ586" s="17">
        <f t="shared" si="372"/>
        <v>0</v>
      </c>
      <c r="AK586" s="17">
        <f t="shared" si="373"/>
        <v>0</v>
      </c>
      <c r="AL586" s="17">
        <f t="shared" si="374"/>
        <v>0</v>
      </c>
      <c r="AM586" s="17">
        <f t="shared" si="375"/>
        <v>0</v>
      </c>
      <c r="AN586" s="17">
        <f t="shared" si="376"/>
        <v>0</v>
      </c>
      <c r="AO586" s="17">
        <f t="shared" si="377"/>
        <v>0</v>
      </c>
      <c r="AP586" s="17">
        <f t="shared" si="378"/>
        <v>0</v>
      </c>
      <c r="AQ586" s="18">
        <v>0</v>
      </c>
      <c r="AR586" s="18">
        <v>0</v>
      </c>
      <c r="AS586" s="18">
        <v>0</v>
      </c>
      <c r="AT586" s="18">
        <v>0</v>
      </c>
      <c r="AU586" s="18">
        <v>0</v>
      </c>
      <c r="AV586" s="18">
        <v>0</v>
      </c>
      <c r="AW586" s="18">
        <v>0</v>
      </c>
      <c r="AX586" s="18">
        <v>0</v>
      </c>
      <c r="AY586" s="18">
        <v>0</v>
      </c>
      <c r="AZ586" s="18">
        <v>0</v>
      </c>
      <c r="BA586" s="18">
        <v>0</v>
      </c>
      <c r="BB586" s="18">
        <v>0</v>
      </c>
      <c r="BC586" s="23">
        <v>8.9181565948742242E-2</v>
      </c>
      <c r="BD586" s="23">
        <v>0.10665277883445198</v>
      </c>
      <c r="BE586" s="23">
        <v>9.438849084854764E-2</v>
      </c>
      <c r="BF586" s="23">
        <v>7.149564986855049E-2</v>
      </c>
      <c r="BG586" s="23">
        <v>0.10368571810536763</v>
      </c>
      <c r="BH586" s="23">
        <v>8.4970330952544637E-2</v>
      </c>
      <c r="BI586" s="23">
        <v>8.4593878877262704E-2</v>
      </c>
      <c r="BJ586" s="23">
        <v>5.7447105462779965E-2</v>
      </c>
      <c r="BK586" s="23">
        <v>8.5153852345557474E-2</v>
      </c>
      <c r="BL586" s="23">
        <v>7.4158058913035174E-2</v>
      </c>
      <c r="BM586" s="23">
        <v>7.5718189192107169E-2</v>
      </c>
      <c r="BN586" s="23">
        <v>7.3955559365675619E-2</v>
      </c>
    </row>
    <row r="587" spans="1:66" x14ac:dyDescent="0.25">
      <c r="A587" s="16">
        <v>3361</v>
      </c>
      <c r="B587" s="16" t="s">
        <v>781</v>
      </c>
      <c r="C587" s="17">
        <v>0</v>
      </c>
      <c r="D587" s="17">
        <f t="shared" si="342"/>
        <v>0</v>
      </c>
      <c r="E587" s="17">
        <f t="shared" si="343"/>
        <v>0</v>
      </c>
      <c r="F587" s="17">
        <f t="shared" si="344"/>
        <v>0</v>
      </c>
      <c r="G587" s="17">
        <f t="shared" si="345"/>
        <v>0</v>
      </c>
      <c r="H587" s="17">
        <f t="shared" si="346"/>
        <v>0</v>
      </c>
      <c r="I587" s="17">
        <f t="shared" si="347"/>
        <v>0</v>
      </c>
      <c r="J587" s="17">
        <f t="shared" si="348"/>
        <v>0</v>
      </c>
      <c r="K587" s="17">
        <f t="shared" si="349"/>
        <v>0</v>
      </c>
      <c r="L587" s="17">
        <f t="shared" si="350"/>
        <v>0</v>
      </c>
      <c r="M587" s="17">
        <f t="shared" si="351"/>
        <v>0</v>
      </c>
      <c r="N587" s="17">
        <f t="shared" si="352"/>
        <v>0</v>
      </c>
      <c r="O587" s="17">
        <f t="shared" si="353"/>
        <v>0</v>
      </c>
      <c r="P587" s="17">
        <v>0</v>
      </c>
      <c r="Q587" s="17">
        <f t="shared" si="354"/>
        <v>0</v>
      </c>
      <c r="R587" s="17">
        <f t="shared" si="355"/>
        <v>0</v>
      </c>
      <c r="S587" s="17">
        <f t="shared" si="356"/>
        <v>0</v>
      </c>
      <c r="T587" s="17">
        <f t="shared" si="357"/>
        <v>0</v>
      </c>
      <c r="U587" s="17">
        <f t="shared" si="358"/>
        <v>0</v>
      </c>
      <c r="V587" s="17">
        <f t="shared" si="359"/>
        <v>0</v>
      </c>
      <c r="W587" s="17">
        <f t="shared" si="360"/>
        <v>0</v>
      </c>
      <c r="X587" s="17">
        <f t="shared" si="361"/>
        <v>0</v>
      </c>
      <c r="Y587" s="17">
        <f t="shared" si="362"/>
        <v>0</v>
      </c>
      <c r="Z587" s="17">
        <f t="shared" si="363"/>
        <v>0</v>
      </c>
      <c r="AA587" s="17">
        <f t="shared" si="364"/>
        <v>0</v>
      </c>
      <c r="AB587" s="17">
        <f t="shared" si="365"/>
        <v>0</v>
      </c>
      <c r="AC587" s="17">
        <v>0</v>
      </c>
      <c r="AD587" s="17">
        <f t="shared" si="366"/>
        <v>0</v>
      </c>
      <c r="AE587" s="17">
        <f t="shared" si="367"/>
        <v>0</v>
      </c>
      <c r="AF587" s="17">
        <f t="shared" si="368"/>
        <v>0</v>
      </c>
      <c r="AG587" s="17">
        <f t="shared" si="369"/>
        <v>0</v>
      </c>
      <c r="AH587" s="17">
        <f t="shared" si="370"/>
        <v>0</v>
      </c>
      <c r="AI587" s="17">
        <f t="shared" si="371"/>
        <v>0</v>
      </c>
      <c r="AJ587" s="17">
        <f t="shared" si="372"/>
        <v>0</v>
      </c>
      <c r="AK587" s="17">
        <f t="shared" si="373"/>
        <v>0</v>
      </c>
      <c r="AL587" s="17">
        <f t="shared" si="374"/>
        <v>0</v>
      </c>
      <c r="AM587" s="17">
        <f t="shared" si="375"/>
        <v>0</v>
      </c>
      <c r="AN587" s="17">
        <f t="shared" si="376"/>
        <v>0</v>
      </c>
      <c r="AO587" s="17">
        <f t="shared" si="377"/>
        <v>0</v>
      </c>
      <c r="AP587" s="17">
        <f t="shared" si="378"/>
        <v>0</v>
      </c>
      <c r="AQ587" s="18">
        <v>39.824563363806547</v>
      </c>
      <c r="AR587" s="18">
        <v>47.626438305197546</v>
      </c>
      <c r="AS587" s="18">
        <v>42.149746919364041</v>
      </c>
      <c r="AT587" s="18">
        <v>31.926811422700435</v>
      </c>
      <c r="AU587" s="18">
        <v>46.301479534260551</v>
      </c>
      <c r="AV587" s="18">
        <v>37.944011108844528</v>
      </c>
      <c r="AW587" s="18">
        <v>37.775904175914924</v>
      </c>
      <c r="AX587" s="18">
        <v>25.653349627037173</v>
      </c>
      <c r="AY587" s="18">
        <v>38.025963688022763</v>
      </c>
      <c r="AZ587" s="18">
        <v>33.115726155969341</v>
      </c>
      <c r="BA587" s="18">
        <v>33.812411692870612</v>
      </c>
      <c r="BB587" s="18">
        <v>33.025298768098644</v>
      </c>
      <c r="BC587" s="23">
        <v>8.9181565948742242E-2</v>
      </c>
      <c r="BD587" s="23">
        <v>0.10665277883445198</v>
      </c>
      <c r="BE587" s="23">
        <v>9.438849084854764E-2</v>
      </c>
      <c r="BF587" s="23">
        <v>7.149564986855049E-2</v>
      </c>
      <c r="BG587" s="23">
        <v>0.10368571810536763</v>
      </c>
      <c r="BH587" s="23">
        <v>8.4970330952544637E-2</v>
      </c>
      <c r="BI587" s="23">
        <v>8.4593878877262704E-2</v>
      </c>
      <c r="BJ587" s="23">
        <v>5.7447105462779965E-2</v>
      </c>
      <c r="BK587" s="23">
        <v>8.5153852345557474E-2</v>
      </c>
      <c r="BL587" s="23">
        <v>7.4158058913035174E-2</v>
      </c>
      <c r="BM587" s="23">
        <v>7.5718189192107169E-2</v>
      </c>
      <c r="BN587" s="23">
        <v>7.3955559365675619E-2</v>
      </c>
    </row>
    <row r="588" spans="1:66" x14ac:dyDescent="0.25">
      <c r="A588" s="16">
        <v>3411</v>
      </c>
      <c r="B588" s="16" t="s">
        <v>782</v>
      </c>
      <c r="C588" s="17">
        <v>0</v>
      </c>
      <c r="D588" s="17">
        <f t="shared" si="342"/>
        <v>0</v>
      </c>
      <c r="E588" s="17">
        <f t="shared" si="343"/>
        <v>0</v>
      </c>
      <c r="F588" s="17">
        <f t="shared" si="344"/>
        <v>0</v>
      </c>
      <c r="G588" s="17">
        <f t="shared" si="345"/>
        <v>0</v>
      </c>
      <c r="H588" s="17">
        <f t="shared" si="346"/>
        <v>0</v>
      </c>
      <c r="I588" s="17">
        <f t="shared" si="347"/>
        <v>0</v>
      </c>
      <c r="J588" s="17">
        <f t="shared" si="348"/>
        <v>0</v>
      </c>
      <c r="K588" s="17">
        <f t="shared" si="349"/>
        <v>0</v>
      </c>
      <c r="L588" s="17">
        <f t="shared" si="350"/>
        <v>0</v>
      </c>
      <c r="M588" s="17">
        <f t="shared" si="351"/>
        <v>0</v>
      </c>
      <c r="N588" s="17">
        <f t="shared" si="352"/>
        <v>0</v>
      </c>
      <c r="O588" s="17">
        <f t="shared" si="353"/>
        <v>0</v>
      </c>
      <c r="P588" s="17">
        <v>0</v>
      </c>
      <c r="Q588" s="17">
        <f t="shared" si="354"/>
        <v>0</v>
      </c>
      <c r="R588" s="17">
        <f t="shared" si="355"/>
        <v>0</v>
      </c>
      <c r="S588" s="17">
        <f t="shared" si="356"/>
        <v>0</v>
      </c>
      <c r="T588" s="17">
        <f t="shared" si="357"/>
        <v>0</v>
      </c>
      <c r="U588" s="17">
        <f t="shared" si="358"/>
        <v>0</v>
      </c>
      <c r="V588" s="17">
        <f t="shared" si="359"/>
        <v>0</v>
      </c>
      <c r="W588" s="17">
        <f t="shared" si="360"/>
        <v>0</v>
      </c>
      <c r="X588" s="17">
        <f t="shared" si="361"/>
        <v>0</v>
      </c>
      <c r="Y588" s="17">
        <f t="shared" si="362"/>
        <v>0</v>
      </c>
      <c r="Z588" s="17">
        <f t="shared" si="363"/>
        <v>0</v>
      </c>
      <c r="AA588" s="17">
        <f t="shared" si="364"/>
        <v>0</v>
      </c>
      <c r="AB588" s="17">
        <f t="shared" si="365"/>
        <v>0</v>
      </c>
      <c r="AC588" s="17">
        <v>0</v>
      </c>
      <c r="AD588" s="17">
        <f t="shared" si="366"/>
        <v>0</v>
      </c>
      <c r="AE588" s="17">
        <f t="shared" si="367"/>
        <v>0</v>
      </c>
      <c r="AF588" s="17">
        <f t="shared" si="368"/>
        <v>0</v>
      </c>
      <c r="AG588" s="17">
        <f t="shared" si="369"/>
        <v>0</v>
      </c>
      <c r="AH588" s="17">
        <f t="shared" si="370"/>
        <v>0</v>
      </c>
      <c r="AI588" s="17">
        <f t="shared" si="371"/>
        <v>0</v>
      </c>
      <c r="AJ588" s="17">
        <f t="shared" si="372"/>
        <v>0</v>
      </c>
      <c r="AK588" s="17">
        <f t="shared" si="373"/>
        <v>0</v>
      </c>
      <c r="AL588" s="17">
        <f t="shared" si="374"/>
        <v>0</v>
      </c>
      <c r="AM588" s="17">
        <f t="shared" si="375"/>
        <v>0</v>
      </c>
      <c r="AN588" s="17">
        <f t="shared" si="376"/>
        <v>0</v>
      </c>
      <c r="AO588" s="17">
        <f t="shared" si="377"/>
        <v>0</v>
      </c>
      <c r="AP588" s="17">
        <f t="shared" si="378"/>
        <v>0</v>
      </c>
      <c r="AQ588" s="18">
        <v>10.987168924885045</v>
      </c>
      <c r="AR588" s="18">
        <v>13.139622352404485</v>
      </c>
      <c r="AS588" s="18">
        <v>11.62866207254107</v>
      </c>
      <c r="AT588" s="18">
        <v>8.8082640638054208</v>
      </c>
      <c r="AU588" s="18">
        <v>12.774080470581293</v>
      </c>
      <c r="AV588" s="18">
        <v>10.4683447733535</v>
      </c>
      <c r="AW588" s="18">
        <v>10.421965877678767</v>
      </c>
      <c r="AX588" s="18">
        <v>7.0774833930144929</v>
      </c>
      <c r="AY588" s="18">
        <v>10.490954608972682</v>
      </c>
      <c r="AZ588" s="18">
        <v>9.1362728580859347</v>
      </c>
      <c r="BA588" s="18">
        <v>9.3284809084676041</v>
      </c>
      <c r="BB588" s="18">
        <v>9.111324913851238</v>
      </c>
      <c r="BC588" s="23">
        <v>8.9181565948742242E-2</v>
      </c>
      <c r="BD588" s="23">
        <v>0.10665277883445198</v>
      </c>
      <c r="BE588" s="23">
        <v>9.438849084854764E-2</v>
      </c>
      <c r="BF588" s="23">
        <v>7.149564986855049E-2</v>
      </c>
      <c r="BG588" s="23">
        <v>0.10368571810536763</v>
      </c>
      <c r="BH588" s="23">
        <v>8.4970330952544637E-2</v>
      </c>
      <c r="BI588" s="23">
        <v>8.4593878877262704E-2</v>
      </c>
      <c r="BJ588" s="23">
        <v>5.7447105462779965E-2</v>
      </c>
      <c r="BK588" s="23">
        <v>8.5153852345557474E-2</v>
      </c>
      <c r="BL588" s="23">
        <v>7.4158058913035174E-2</v>
      </c>
      <c r="BM588" s="23">
        <v>7.5718189192107169E-2</v>
      </c>
      <c r="BN588" s="23">
        <v>7.3955559365675619E-2</v>
      </c>
    </row>
    <row r="589" spans="1:66" x14ac:dyDescent="0.25">
      <c r="A589" s="16">
        <v>3429</v>
      </c>
      <c r="B589" s="16" t="s">
        <v>783</v>
      </c>
      <c r="C589" s="17">
        <v>0</v>
      </c>
      <c r="D589" s="17">
        <f t="shared" si="342"/>
        <v>0</v>
      </c>
      <c r="E589" s="17">
        <f t="shared" si="343"/>
        <v>0</v>
      </c>
      <c r="F589" s="17">
        <f t="shared" si="344"/>
        <v>0</v>
      </c>
      <c r="G589" s="17">
        <f t="shared" si="345"/>
        <v>0</v>
      </c>
      <c r="H589" s="17">
        <f t="shared" si="346"/>
        <v>0</v>
      </c>
      <c r="I589" s="17">
        <f t="shared" si="347"/>
        <v>0</v>
      </c>
      <c r="J589" s="17">
        <f t="shared" si="348"/>
        <v>0</v>
      </c>
      <c r="K589" s="17">
        <f t="shared" si="349"/>
        <v>0</v>
      </c>
      <c r="L589" s="17">
        <f t="shared" si="350"/>
        <v>0</v>
      </c>
      <c r="M589" s="17">
        <f t="shared" si="351"/>
        <v>0</v>
      </c>
      <c r="N589" s="17">
        <f t="shared" si="352"/>
        <v>0</v>
      </c>
      <c r="O589" s="17">
        <f t="shared" si="353"/>
        <v>0</v>
      </c>
      <c r="P589" s="17">
        <v>0</v>
      </c>
      <c r="Q589" s="17">
        <f t="shared" si="354"/>
        <v>0</v>
      </c>
      <c r="R589" s="17">
        <f t="shared" si="355"/>
        <v>0</v>
      </c>
      <c r="S589" s="17">
        <f t="shared" si="356"/>
        <v>0</v>
      </c>
      <c r="T589" s="17">
        <f t="shared" si="357"/>
        <v>0</v>
      </c>
      <c r="U589" s="17">
        <f t="shared" si="358"/>
        <v>0</v>
      </c>
      <c r="V589" s="17">
        <f t="shared" si="359"/>
        <v>0</v>
      </c>
      <c r="W589" s="17">
        <f t="shared" si="360"/>
        <v>0</v>
      </c>
      <c r="X589" s="17">
        <f t="shared" si="361"/>
        <v>0</v>
      </c>
      <c r="Y589" s="17">
        <f t="shared" si="362"/>
        <v>0</v>
      </c>
      <c r="Z589" s="17">
        <f t="shared" si="363"/>
        <v>0</v>
      </c>
      <c r="AA589" s="17">
        <f t="shared" si="364"/>
        <v>0</v>
      </c>
      <c r="AB589" s="17">
        <f t="shared" si="365"/>
        <v>0</v>
      </c>
      <c r="AC589" s="17">
        <v>0</v>
      </c>
      <c r="AD589" s="17">
        <f t="shared" si="366"/>
        <v>0</v>
      </c>
      <c r="AE589" s="17">
        <f t="shared" si="367"/>
        <v>0</v>
      </c>
      <c r="AF589" s="17">
        <f t="shared" si="368"/>
        <v>0</v>
      </c>
      <c r="AG589" s="17">
        <f t="shared" si="369"/>
        <v>0</v>
      </c>
      <c r="AH589" s="17">
        <f t="shared" si="370"/>
        <v>0</v>
      </c>
      <c r="AI589" s="17">
        <f t="shared" si="371"/>
        <v>0</v>
      </c>
      <c r="AJ589" s="17">
        <f t="shared" si="372"/>
        <v>0</v>
      </c>
      <c r="AK589" s="17">
        <f t="shared" si="373"/>
        <v>0</v>
      </c>
      <c r="AL589" s="17">
        <f t="shared" si="374"/>
        <v>0</v>
      </c>
      <c r="AM589" s="17">
        <f t="shared" si="375"/>
        <v>0</v>
      </c>
      <c r="AN589" s="17">
        <f t="shared" si="376"/>
        <v>0</v>
      </c>
      <c r="AO589" s="17">
        <f t="shared" si="377"/>
        <v>0</v>
      </c>
      <c r="AP589" s="17">
        <f t="shared" si="378"/>
        <v>0</v>
      </c>
      <c r="AQ589" s="18">
        <v>0</v>
      </c>
      <c r="AR589" s="18">
        <v>0</v>
      </c>
      <c r="AS589" s="18">
        <v>0</v>
      </c>
      <c r="AT589" s="18">
        <v>0</v>
      </c>
      <c r="AU589" s="18">
        <v>0</v>
      </c>
      <c r="AV589" s="18">
        <v>0</v>
      </c>
      <c r="AW589" s="18">
        <v>0</v>
      </c>
      <c r="AX589" s="18">
        <v>0</v>
      </c>
      <c r="AY589" s="18">
        <v>0</v>
      </c>
      <c r="AZ589" s="18">
        <v>0</v>
      </c>
      <c r="BA589" s="18">
        <v>0</v>
      </c>
      <c r="BB589" s="18">
        <v>0</v>
      </c>
      <c r="BC589" s="23">
        <v>8.9181565948742242E-2</v>
      </c>
      <c r="BD589" s="23">
        <v>0.10665277883445198</v>
      </c>
      <c r="BE589" s="23">
        <v>9.438849084854764E-2</v>
      </c>
      <c r="BF589" s="23">
        <v>7.149564986855049E-2</v>
      </c>
      <c r="BG589" s="23">
        <v>0.10368571810536763</v>
      </c>
      <c r="BH589" s="23">
        <v>8.4970330952544637E-2</v>
      </c>
      <c r="BI589" s="23">
        <v>8.4593878877262704E-2</v>
      </c>
      <c r="BJ589" s="23">
        <v>5.7447105462779965E-2</v>
      </c>
      <c r="BK589" s="23">
        <v>8.5153852345557474E-2</v>
      </c>
      <c r="BL589" s="23">
        <v>7.4158058913035174E-2</v>
      </c>
      <c r="BM589" s="23">
        <v>7.5718189192107169E-2</v>
      </c>
      <c r="BN589" s="23">
        <v>7.3955559365675619E-2</v>
      </c>
    </row>
    <row r="590" spans="1:66" x14ac:dyDescent="0.25">
      <c r="A590" s="16">
        <v>3461</v>
      </c>
      <c r="B590" s="16" t="s">
        <v>784</v>
      </c>
      <c r="C590" s="17">
        <v>0</v>
      </c>
      <c r="D590" s="17">
        <f t="shared" si="342"/>
        <v>0</v>
      </c>
      <c r="E590" s="17">
        <f t="shared" si="343"/>
        <v>0</v>
      </c>
      <c r="F590" s="17">
        <f t="shared" si="344"/>
        <v>0</v>
      </c>
      <c r="G590" s="17">
        <f t="shared" si="345"/>
        <v>0</v>
      </c>
      <c r="H590" s="17">
        <f t="shared" si="346"/>
        <v>0</v>
      </c>
      <c r="I590" s="17">
        <f t="shared" si="347"/>
        <v>0</v>
      </c>
      <c r="J590" s="17">
        <f t="shared" si="348"/>
        <v>0</v>
      </c>
      <c r="K590" s="17">
        <f t="shared" si="349"/>
        <v>0</v>
      </c>
      <c r="L590" s="17">
        <f t="shared" si="350"/>
        <v>0</v>
      </c>
      <c r="M590" s="17">
        <f t="shared" si="351"/>
        <v>0</v>
      </c>
      <c r="N590" s="17">
        <f t="shared" si="352"/>
        <v>0</v>
      </c>
      <c r="O590" s="17">
        <f t="shared" si="353"/>
        <v>0</v>
      </c>
      <c r="P590" s="17">
        <v>0</v>
      </c>
      <c r="Q590" s="17">
        <f t="shared" si="354"/>
        <v>0</v>
      </c>
      <c r="R590" s="17">
        <f t="shared" si="355"/>
        <v>0</v>
      </c>
      <c r="S590" s="17">
        <f t="shared" si="356"/>
        <v>0</v>
      </c>
      <c r="T590" s="17">
        <f t="shared" si="357"/>
        <v>0</v>
      </c>
      <c r="U590" s="17">
        <f t="shared" si="358"/>
        <v>0</v>
      </c>
      <c r="V590" s="17">
        <f t="shared" si="359"/>
        <v>0</v>
      </c>
      <c r="W590" s="17">
        <f t="shared" si="360"/>
        <v>0</v>
      </c>
      <c r="X590" s="17">
        <f t="shared" si="361"/>
        <v>0</v>
      </c>
      <c r="Y590" s="17">
        <f t="shared" si="362"/>
        <v>0</v>
      </c>
      <c r="Z590" s="17">
        <f t="shared" si="363"/>
        <v>0</v>
      </c>
      <c r="AA590" s="17">
        <f t="shared" si="364"/>
        <v>0</v>
      </c>
      <c r="AB590" s="17">
        <f t="shared" si="365"/>
        <v>0</v>
      </c>
      <c r="AC590" s="17">
        <v>0</v>
      </c>
      <c r="AD590" s="17">
        <f t="shared" si="366"/>
        <v>0</v>
      </c>
      <c r="AE590" s="17">
        <f t="shared" si="367"/>
        <v>0</v>
      </c>
      <c r="AF590" s="17">
        <f t="shared" si="368"/>
        <v>0</v>
      </c>
      <c r="AG590" s="17">
        <f t="shared" si="369"/>
        <v>0</v>
      </c>
      <c r="AH590" s="17">
        <f t="shared" si="370"/>
        <v>0</v>
      </c>
      <c r="AI590" s="17">
        <f t="shared" si="371"/>
        <v>0</v>
      </c>
      <c r="AJ590" s="17">
        <f t="shared" si="372"/>
        <v>0</v>
      </c>
      <c r="AK590" s="17">
        <f t="shared" si="373"/>
        <v>0</v>
      </c>
      <c r="AL590" s="17">
        <f t="shared" si="374"/>
        <v>0</v>
      </c>
      <c r="AM590" s="17">
        <f t="shared" si="375"/>
        <v>0</v>
      </c>
      <c r="AN590" s="17">
        <f t="shared" si="376"/>
        <v>0</v>
      </c>
      <c r="AO590" s="17">
        <f t="shared" si="377"/>
        <v>0</v>
      </c>
      <c r="AP590" s="17">
        <f t="shared" si="378"/>
        <v>0</v>
      </c>
      <c r="AQ590" s="18">
        <v>0</v>
      </c>
      <c r="AR590" s="18">
        <v>0</v>
      </c>
      <c r="AS590" s="18">
        <v>0</v>
      </c>
      <c r="AT590" s="18">
        <v>0</v>
      </c>
      <c r="AU590" s="18">
        <v>0</v>
      </c>
      <c r="AV590" s="18">
        <v>0</v>
      </c>
      <c r="AW590" s="18">
        <v>0</v>
      </c>
      <c r="AX590" s="18">
        <v>0</v>
      </c>
      <c r="AY590" s="18">
        <v>0</v>
      </c>
      <c r="AZ590" s="18">
        <v>0</v>
      </c>
      <c r="BA590" s="18">
        <v>0</v>
      </c>
      <c r="BB590" s="18">
        <v>0</v>
      </c>
      <c r="BC590" s="23">
        <v>8.9181565948742242E-2</v>
      </c>
      <c r="BD590" s="23">
        <v>0.10665277883445198</v>
      </c>
      <c r="BE590" s="23">
        <v>9.438849084854764E-2</v>
      </c>
      <c r="BF590" s="23">
        <v>7.149564986855049E-2</v>
      </c>
      <c r="BG590" s="23">
        <v>0.10368571810536763</v>
      </c>
      <c r="BH590" s="23">
        <v>8.4970330952544637E-2</v>
      </c>
      <c r="BI590" s="23">
        <v>8.4593878877262704E-2</v>
      </c>
      <c r="BJ590" s="23">
        <v>5.7447105462779965E-2</v>
      </c>
      <c r="BK590" s="23">
        <v>8.5153852345557474E-2</v>
      </c>
      <c r="BL590" s="23">
        <v>7.4158058913035174E-2</v>
      </c>
      <c r="BM590" s="23">
        <v>7.5718189192107169E-2</v>
      </c>
      <c r="BN590" s="23">
        <v>7.3955559365675619E-2</v>
      </c>
    </row>
    <row r="591" spans="1:66" x14ac:dyDescent="0.25">
      <c r="A591" s="16">
        <v>3462</v>
      </c>
      <c r="B591" s="16" t="s">
        <v>785</v>
      </c>
      <c r="C591" s="17">
        <v>0</v>
      </c>
      <c r="D591" s="17">
        <f t="shared" si="342"/>
        <v>0</v>
      </c>
      <c r="E591" s="17">
        <f t="shared" si="343"/>
        <v>0</v>
      </c>
      <c r="F591" s="17">
        <f t="shared" si="344"/>
        <v>0</v>
      </c>
      <c r="G591" s="17">
        <f t="shared" si="345"/>
        <v>0</v>
      </c>
      <c r="H591" s="17">
        <f t="shared" si="346"/>
        <v>0</v>
      </c>
      <c r="I591" s="17">
        <f t="shared" si="347"/>
        <v>0</v>
      </c>
      <c r="J591" s="17">
        <f t="shared" si="348"/>
        <v>0</v>
      </c>
      <c r="K591" s="17">
        <f t="shared" si="349"/>
        <v>0</v>
      </c>
      <c r="L591" s="17">
        <f t="shared" si="350"/>
        <v>0</v>
      </c>
      <c r="M591" s="17">
        <f t="shared" si="351"/>
        <v>0</v>
      </c>
      <c r="N591" s="17">
        <f t="shared" si="352"/>
        <v>0</v>
      </c>
      <c r="O591" s="17">
        <f t="shared" si="353"/>
        <v>0</v>
      </c>
      <c r="P591" s="17">
        <v>0</v>
      </c>
      <c r="Q591" s="17">
        <f t="shared" si="354"/>
        <v>0</v>
      </c>
      <c r="R591" s="17">
        <f t="shared" si="355"/>
        <v>0</v>
      </c>
      <c r="S591" s="17">
        <f t="shared" si="356"/>
        <v>0</v>
      </c>
      <c r="T591" s="17">
        <f t="shared" si="357"/>
        <v>0</v>
      </c>
      <c r="U591" s="17">
        <f t="shared" si="358"/>
        <v>0</v>
      </c>
      <c r="V591" s="17">
        <f t="shared" si="359"/>
        <v>0</v>
      </c>
      <c r="W591" s="17">
        <f t="shared" si="360"/>
        <v>0</v>
      </c>
      <c r="X591" s="17">
        <f t="shared" si="361"/>
        <v>0</v>
      </c>
      <c r="Y591" s="17">
        <f t="shared" si="362"/>
        <v>0</v>
      </c>
      <c r="Z591" s="17">
        <f t="shared" si="363"/>
        <v>0</v>
      </c>
      <c r="AA591" s="17">
        <f t="shared" si="364"/>
        <v>0</v>
      </c>
      <c r="AB591" s="17">
        <f t="shared" si="365"/>
        <v>0</v>
      </c>
      <c r="AC591" s="17">
        <v>0</v>
      </c>
      <c r="AD591" s="17">
        <f t="shared" si="366"/>
        <v>0</v>
      </c>
      <c r="AE591" s="17">
        <f t="shared" si="367"/>
        <v>0</v>
      </c>
      <c r="AF591" s="17">
        <f t="shared" si="368"/>
        <v>0</v>
      </c>
      <c r="AG591" s="17">
        <f t="shared" si="369"/>
        <v>0</v>
      </c>
      <c r="AH591" s="17">
        <f t="shared" si="370"/>
        <v>0</v>
      </c>
      <c r="AI591" s="17">
        <f t="shared" si="371"/>
        <v>0</v>
      </c>
      <c r="AJ591" s="17">
        <f t="shared" si="372"/>
        <v>0</v>
      </c>
      <c r="AK591" s="17">
        <f t="shared" si="373"/>
        <v>0</v>
      </c>
      <c r="AL591" s="17">
        <f t="shared" si="374"/>
        <v>0</v>
      </c>
      <c r="AM591" s="17">
        <f t="shared" si="375"/>
        <v>0</v>
      </c>
      <c r="AN591" s="17">
        <f t="shared" si="376"/>
        <v>0</v>
      </c>
      <c r="AO591" s="17">
        <f t="shared" si="377"/>
        <v>0</v>
      </c>
      <c r="AP591" s="17">
        <f t="shared" si="378"/>
        <v>0</v>
      </c>
      <c r="AQ591" s="18">
        <v>0</v>
      </c>
      <c r="AR591" s="18">
        <v>0</v>
      </c>
      <c r="AS591" s="18">
        <v>0</v>
      </c>
      <c r="AT591" s="18">
        <v>0</v>
      </c>
      <c r="AU591" s="18">
        <v>0</v>
      </c>
      <c r="AV591" s="18">
        <v>0</v>
      </c>
      <c r="AW591" s="18">
        <v>0</v>
      </c>
      <c r="AX591" s="18">
        <v>0</v>
      </c>
      <c r="AY591" s="18">
        <v>0</v>
      </c>
      <c r="AZ591" s="18">
        <v>0</v>
      </c>
      <c r="BA591" s="18">
        <v>0</v>
      </c>
      <c r="BB591" s="18">
        <v>0</v>
      </c>
      <c r="BC591" s="23">
        <v>8.9181565948742242E-2</v>
      </c>
      <c r="BD591" s="23">
        <v>0.10665277883445198</v>
      </c>
      <c r="BE591" s="23">
        <v>9.438849084854764E-2</v>
      </c>
      <c r="BF591" s="23">
        <v>7.149564986855049E-2</v>
      </c>
      <c r="BG591" s="23">
        <v>0.10368571810536763</v>
      </c>
      <c r="BH591" s="23">
        <v>8.4970330952544637E-2</v>
      </c>
      <c r="BI591" s="23">
        <v>8.4593878877262704E-2</v>
      </c>
      <c r="BJ591" s="23">
        <v>5.7447105462779965E-2</v>
      </c>
      <c r="BK591" s="23">
        <v>8.5153852345557474E-2</v>
      </c>
      <c r="BL591" s="23">
        <v>7.4158058913035174E-2</v>
      </c>
      <c r="BM591" s="23">
        <v>7.5718189192107169E-2</v>
      </c>
      <c r="BN591" s="23">
        <v>7.3955559365675619E-2</v>
      </c>
    </row>
    <row r="592" spans="1:66" x14ac:dyDescent="0.25">
      <c r="A592" s="16">
        <v>3517</v>
      </c>
      <c r="B592" s="16" t="s">
        <v>786</v>
      </c>
      <c r="C592" s="17">
        <v>0</v>
      </c>
      <c r="D592" s="17">
        <f t="shared" si="342"/>
        <v>0</v>
      </c>
      <c r="E592" s="17">
        <f t="shared" si="343"/>
        <v>0</v>
      </c>
      <c r="F592" s="17">
        <f t="shared" si="344"/>
        <v>0</v>
      </c>
      <c r="G592" s="17">
        <f t="shared" si="345"/>
        <v>0</v>
      </c>
      <c r="H592" s="17">
        <f t="shared" si="346"/>
        <v>0</v>
      </c>
      <c r="I592" s="17">
        <f t="shared" si="347"/>
        <v>0</v>
      </c>
      <c r="J592" s="17">
        <f t="shared" si="348"/>
        <v>0</v>
      </c>
      <c r="K592" s="17">
        <f t="shared" si="349"/>
        <v>0</v>
      </c>
      <c r="L592" s="17">
        <f t="shared" si="350"/>
        <v>0</v>
      </c>
      <c r="M592" s="17">
        <f t="shared" si="351"/>
        <v>0</v>
      </c>
      <c r="N592" s="17">
        <f t="shared" si="352"/>
        <v>0</v>
      </c>
      <c r="O592" s="17">
        <f t="shared" si="353"/>
        <v>0</v>
      </c>
      <c r="P592" s="17">
        <v>0</v>
      </c>
      <c r="Q592" s="17">
        <f t="shared" si="354"/>
        <v>0</v>
      </c>
      <c r="R592" s="17">
        <f t="shared" si="355"/>
        <v>0</v>
      </c>
      <c r="S592" s="17">
        <f t="shared" si="356"/>
        <v>0</v>
      </c>
      <c r="T592" s="17">
        <f t="shared" si="357"/>
        <v>0</v>
      </c>
      <c r="U592" s="17">
        <f t="shared" si="358"/>
        <v>0</v>
      </c>
      <c r="V592" s="17">
        <f t="shared" si="359"/>
        <v>0</v>
      </c>
      <c r="W592" s="17">
        <f t="shared" si="360"/>
        <v>0</v>
      </c>
      <c r="X592" s="17">
        <f t="shared" si="361"/>
        <v>0</v>
      </c>
      <c r="Y592" s="17">
        <f t="shared" si="362"/>
        <v>0</v>
      </c>
      <c r="Z592" s="17">
        <f t="shared" si="363"/>
        <v>0</v>
      </c>
      <c r="AA592" s="17">
        <f t="shared" si="364"/>
        <v>0</v>
      </c>
      <c r="AB592" s="17">
        <f t="shared" si="365"/>
        <v>0</v>
      </c>
      <c r="AC592" s="17">
        <v>0</v>
      </c>
      <c r="AD592" s="17">
        <f t="shared" si="366"/>
        <v>0</v>
      </c>
      <c r="AE592" s="17">
        <f t="shared" si="367"/>
        <v>0</v>
      </c>
      <c r="AF592" s="17">
        <f t="shared" si="368"/>
        <v>0</v>
      </c>
      <c r="AG592" s="17">
        <f t="shared" si="369"/>
        <v>0</v>
      </c>
      <c r="AH592" s="17">
        <f t="shared" si="370"/>
        <v>0</v>
      </c>
      <c r="AI592" s="17">
        <f t="shared" si="371"/>
        <v>0</v>
      </c>
      <c r="AJ592" s="17">
        <f t="shared" si="372"/>
        <v>0</v>
      </c>
      <c r="AK592" s="17">
        <f t="shared" si="373"/>
        <v>0</v>
      </c>
      <c r="AL592" s="17">
        <f t="shared" si="374"/>
        <v>0</v>
      </c>
      <c r="AM592" s="17">
        <f t="shared" si="375"/>
        <v>0</v>
      </c>
      <c r="AN592" s="17">
        <f t="shared" si="376"/>
        <v>0</v>
      </c>
      <c r="AO592" s="17">
        <f t="shared" si="377"/>
        <v>0</v>
      </c>
      <c r="AP592" s="17">
        <f t="shared" si="378"/>
        <v>0</v>
      </c>
      <c r="AQ592" s="18">
        <v>0</v>
      </c>
      <c r="AR592" s="18">
        <v>0</v>
      </c>
      <c r="AS592" s="18">
        <v>0</v>
      </c>
      <c r="AT592" s="18">
        <v>0</v>
      </c>
      <c r="AU592" s="18">
        <v>0</v>
      </c>
      <c r="AV592" s="18">
        <v>0</v>
      </c>
      <c r="AW592" s="18">
        <v>0</v>
      </c>
      <c r="AX592" s="18">
        <v>0</v>
      </c>
      <c r="AY592" s="18">
        <v>0</v>
      </c>
      <c r="AZ592" s="18">
        <v>0</v>
      </c>
      <c r="BA592" s="18">
        <v>0</v>
      </c>
      <c r="BB592" s="18">
        <v>0</v>
      </c>
      <c r="BC592" s="23">
        <v>8.9181565948742242E-2</v>
      </c>
      <c r="BD592" s="23">
        <v>0.10665277883445198</v>
      </c>
      <c r="BE592" s="23">
        <v>9.438849084854764E-2</v>
      </c>
      <c r="BF592" s="23">
        <v>7.149564986855049E-2</v>
      </c>
      <c r="BG592" s="23">
        <v>0.10368571810536763</v>
      </c>
      <c r="BH592" s="23">
        <v>8.4970330952544637E-2</v>
      </c>
      <c r="BI592" s="23">
        <v>8.4593878877262704E-2</v>
      </c>
      <c r="BJ592" s="23">
        <v>5.7447105462779965E-2</v>
      </c>
      <c r="BK592" s="23">
        <v>8.5153852345557474E-2</v>
      </c>
      <c r="BL592" s="23">
        <v>7.4158058913035174E-2</v>
      </c>
      <c r="BM592" s="23">
        <v>7.5718189192107169E-2</v>
      </c>
      <c r="BN592" s="23">
        <v>7.3955559365675619E-2</v>
      </c>
    </row>
    <row r="593" spans="1:66" x14ac:dyDescent="0.25">
      <c r="A593" s="16">
        <v>3527</v>
      </c>
      <c r="B593" s="16" t="s">
        <v>787</v>
      </c>
      <c r="C593" s="17">
        <v>0</v>
      </c>
      <c r="D593" s="17">
        <f t="shared" si="342"/>
        <v>0</v>
      </c>
      <c r="E593" s="17">
        <f t="shared" si="343"/>
        <v>0</v>
      </c>
      <c r="F593" s="17">
        <f t="shared" si="344"/>
        <v>0</v>
      </c>
      <c r="G593" s="17">
        <f t="shared" si="345"/>
        <v>0</v>
      </c>
      <c r="H593" s="17">
        <f t="shared" si="346"/>
        <v>0</v>
      </c>
      <c r="I593" s="17">
        <f t="shared" si="347"/>
        <v>0</v>
      </c>
      <c r="J593" s="17">
        <f t="shared" si="348"/>
        <v>0</v>
      </c>
      <c r="K593" s="17">
        <f t="shared" si="349"/>
        <v>0</v>
      </c>
      <c r="L593" s="17">
        <f t="shared" si="350"/>
        <v>0</v>
      </c>
      <c r="M593" s="17">
        <f t="shared" si="351"/>
        <v>0</v>
      </c>
      <c r="N593" s="17">
        <f t="shared" si="352"/>
        <v>0</v>
      </c>
      <c r="O593" s="17">
        <f t="shared" si="353"/>
        <v>0</v>
      </c>
      <c r="P593" s="17">
        <v>1500</v>
      </c>
      <c r="Q593" s="17">
        <f t="shared" si="354"/>
        <v>133.77234892311336</v>
      </c>
      <c r="R593" s="17">
        <f t="shared" si="355"/>
        <v>159.97916825167798</v>
      </c>
      <c r="S593" s="17">
        <f t="shared" si="356"/>
        <v>141.58273627282145</v>
      </c>
      <c r="T593" s="17">
        <f t="shared" si="357"/>
        <v>107.24347480282573</v>
      </c>
      <c r="U593" s="17">
        <f t="shared" si="358"/>
        <v>155.52857715805143</v>
      </c>
      <c r="V593" s="17">
        <f t="shared" si="359"/>
        <v>127.45549642881696</v>
      </c>
      <c r="W593" s="17">
        <f t="shared" si="360"/>
        <v>126.89081831589405</v>
      </c>
      <c r="X593" s="17">
        <f t="shared" si="361"/>
        <v>86.170658194169945</v>
      </c>
      <c r="Y593" s="17">
        <f t="shared" si="362"/>
        <v>127.73077851833621</v>
      </c>
      <c r="Z593" s="17">
        <f t="shared" si="363"/>
        <v>111.23708836955277</v>
      </c>
      <c r="AA593" s="17">
        <f t="shared" si="364"/>
        <v>113.57728378816076</v>
      </c>
      <c r="AB593" s="17">
        <f t="shared" si="365"/>
        <v>110.93333904851343</v>
      </c>
      <c r="AC593" s="17">
        <v>0</v>
      </c>
      <c r="AD593" s="17">
        <f t="shared" si="366"/>
        <v>0</v>
      </c>
      <c r="AE593" s="17">
        <f t="shared" si="367"/>
        <v>0</v>
      </c>
      <c r="AF593" s="17">
        <f t="shared" si="368"/>
        <v>0</v>
      </c>
      <c r="AG593" s="17">
        <f t="shared" si="369"/>
        <v>0</v>
      </c>
      <c r="AH593" s="17">
        <f t="shared" si="370"/>
        <v>0</v>
      </c>
      <c r="AI593" s="17">
        <f t="shared" si="371"/>
        <v>0</v>
      </c>
      <c r="AJ593" s="17">
        <f t="shared" si="372"/>
        <v>0</v>
      </c>
      <c r="AK593" s="17">
        <f t="shared" si="373"/>
        <v>0</v>
      </c>
      <c r="AL593" s="17">
        <f t="shared" si="374"/>
        <v>0</v>
      </c>
      <c r="AM593" s="17">
        <f t="shared" si="375"/>
        <v>0</v>
      </c>
      <c r="AN593" s="17">
        <f t="shared" si="376"/>
        <v>0</v>
      </c>
      <c r="AO593" s="17">
        <f t="shared" si="377"/>
        <v>0</v>
      </c>
      <c r="AP593" s="17">
        <f t="shared" si="378"/>
        <v>1500</v>
      </c>
      <c r="AQ593" s="18">
        <v>0</v>
      </c>
      <c r="AR593" s="18">
        <v>0</v>
      </c>
      <c r="AS593" s="18">
        <v>0</v>
      </c>
      <c r="AT593" s="18">
        <v>0</v>
      </c>
      <c r="AU593" s="18">
        <v>0</v>
      </c>
      <c r="AV593" s="18">
        <v>0</v>
      </c>
      <c r="AW593" s="18">
        <v>0</v>
      </c>
      <c r="AX593" s="18">
        <v>0</v>
      </c>
      <c r="AY593" s="18">
        <v>0</v>
      </c>
      <c r="AZ593" s="18">
        <v>0</v>
      </c>
      <c r="BA593" s="18">
        <v>0</v>
      </c>
      <c r="BB593" s="18">
        <v>0</v>
      </c>
      <c r="BC593" s="23">
        <v>8.9181565948742242E-2</v>
      </c>
      <c r="BD593" s="23">
        <v>0.10665277883445198</v>
      </c>
      <c r="BE593" s="23">
        <v>9.438849084854764E-2</v>
      </c>
      <c r="BF593" s="23">
        <v>7.149564986855049E-2</v>
      </c>
      <c r="BG593" s="23">
        <v>0.10368571810536763</v>
      </c>
      <c r="BH593" s="23">
        <v>8.4970330952544637E-2</v>
      </c>
      <c r="BI593" s="23">
        <v>8.4593878877262704E-2</v>
      </c>
      <c r="BJ593" s="23">
        <v>5.7447105462779965E-2</v>
      </c>
      <c r="BK593" s="23">
        <v>8.5153852345557474E-2</v>
      </c>
      <c r="BL593" s="23">
        <v>7.4158058913035174E-2</v>
      </c>
      <c r="BM593" s="23">
        <v>7.5718189192107169E-2</v>
      </c>
      <c r="BN593" s="23">
        <v>7.3955559365675619E-2</v>
      </c>
    </row>
    <row r="594" spans="1:66" x14ac:dyDescent="0.25">
      <c r="A594" s="16">
        <v>3550</v>
      </c>
      <c r="B594" s="16" t="s">
        <v>788</v>
      </c>
      <c r="C594" s="17">
        <v>0</v>
      </c>
      <c r="D594" s="17">
        <f t="shared" si="342"/>
        <v>0</v>
      </c>
      <c r="E594" s="17">
        <f t="shared" si="343"/>
        <v>0</v>
      </c>
      <c r="F594" s="17">
        <f t="shared" si="344"/>
        <v>0</v>
      </c>
      <c r="G594" s="17">
        <f t="shared" si="345"/>
        <v>0</v>
      </c>
      <c r="H594" s="17">
        <f t="shared" si="346"/>
        <v>0</v>
      </c>
      <c r="I594" s="17">
        <f t="shared" si="347"/>
        <v>0</v>
      </c>
      <c r="J594" s="17">
        <f t="shared" si="348"/>
        <v>0</v>
      </c>
      <c r="K594" s="17">
        <f t="shared" si="349"/>
        <v>0</v>
      </c>
      <c r="L594" s="17">
        <f t="shared" si="350"/>
        <v>0</v>
      </c>
      <c r="M594" s="17">
        <f t="shared" si="351"/>
        <v>0</v>
      </c>
      <c r="N594" s="17">
        <f t="shared" si="352"/>
        <v>0</v>
      </c>
      <c r="O594" s="17">
        <f t="shared" si="353"/>
        <v>0</v>
      </c>
      <c r="P594" s="17">
        <v>0</v>
      </c>
      <c r="Q594" s="17">
        <f t="shared" si="354"/>
        <v>0</v>
      </c>
      <c r="R594" s="17">
        <f t="shared" si="355"/>
        <v>0</v>
      </c>
      <c r="S594" s="17">
        <f t="shared" si="356"/>
        <v>0</v>
      </c>
      <c r="T594" s="17">
        <f t="shared" si="357"/>
        <v>0</v>
      </c>
      <c r="U594" s="17">
        <f t="shared" si="358"/>
        <v>0</v>
      </c>
      <c r="V594" s="17">
        <f t="shared" si="359"/>
        <v>0</v>
      </c>
      <c r="W594" s="17">
        <f t="shared" si="360"/>
        <v>0</v>
      </c>
      <c r="X594" s="17">
        <f t="shared" si="361"/>
        <v>0</v>
      </c>
      <c r="Y594" s="17">
        <f t="shared" si="362"/>
        <v>0</v>
      </c>
      <c r="Z594" s="17">
        <f t="shared" si="363"/>
        <v>0</v>
      </c>
      <c r="AA594" s="17">
        <f t="shared" si="364"/>
        <v>0</v>
      </c>
      <c r="AB594" s="17">
        <f t="shared" si="365"/>
        <v>0</v>
      </c>
      <c r="AC594" s="17">
        <v>0</v>
      </c>
      <c r="AD594" s="17">
        <f t="shared" si="366"/>
        <v>0</v>
      </c>
      <c r="AE594" s="17">
        <f t="shared" si="367"/>
        <v>0</v>
      </c>
      <c r="AF594" s="17">
        <f t="shared" si="368"/>
        <v>0</v>
      </c>
      <c r="AG594" s="17">
        <f t="shared" si="369"/>
        <v>0</v>
      </c>
      <c r="AH594" s="17">
        <f t="shared" si="370"/>
        <v>0</v>
      </c>
      <c r="AI594" s="17">
        <f t="shared" si="371"/>
        <v>0</v>
      </c>
      <c r="AJ594" s="17">
        <f t="shared" si="372"/>
        <v>0</v>
      </c>
      <c r="AK594" s="17">
        <f t="shared" si="373"/>
        <v>0</v>
      </c>
      <c r="AL594" s="17">
        <f t="shared" si="374"/>
        <v>0</v>
      </c>
      <c r="AM594" s="17">
        <f t="shared" si="375"/>
        <v>0</v>
      </c>
      <c r="AN594" s="17">
        <f t="shared" si="376"/>
        <v>0</v>
      </c>
      <c r="AO594" s="17">
        <f t="shared" si="377"/>
        <v>0</v>
      </c>
      <c r="AP594" s="17">
        <f t="shared" si="378"/>
        <v>0</v>
      </c>
      <c r="AQ594" s="18">
        <v>103.6825777535737</v>
      </c>
      <c r="AR594" s="18">
        <v>123.99462732571273</v>
      </c>
      <c r="AS594" s="18">
        <v>109.73615384901234</v>
      </c>
      <c r="AT594" s="18">
        <v>83.120914032826676</v>
      </c>
      <c r="AU594" s="18">
        <v>120.54511955501852</v>
      </c>
      <c r="AV594" s="18">
        <v>98.786591735759359</v>
      </c>
      <c r="AW594" s="18">
        <v>98.348928176584508</v>
      </c>
      <c r="AX594" s="18">
        <v>66.788062258133451</v>
      </c>
      <c r="AY594" s="18">
        <v>98.999953890797471</v>
      </c>
      <c r="AZ594" s="18">
        <v>86.216233450353613</v>
      </c>
      <c r="BA594" s="18">
        <v>88.03004247293299</v>
      </c>
      <c r="BB594" s="18">
        <v>85.980807274093848</v>
      </c>
      <c r="BC594" s="23">
        <v>8.9181565948742242E-2</v>
      </c>
      <c r="BD594" s="23">
        <v>0.10665277883445198</v>
      </c>
      <c r="BE594" s="23">
        <v>9.438849084854764E-2</v>
      </c>
      <c r="BF594" s="23">
        <v>7.149564986855049E-2</v>
      </c>
      <c r="BG594" s="23">
        <v>0.10368571810536763</v>
      </c>
      <c r="BH594" s="23">
        <v>8.4970330952544637E-2</v>
      </c>
      <c r="BI594" s="23">
        <v>8.4593878877262704E-2</v>
      </c>
      <c r="BJ594" s="23">
        <v>5.7447105462779965E-2</v>
      </c>
      <c r="BK594" s="23">
        <v>8.5153852345557474E-2</v>
      </c>
      <c r="BL594" s="23">
        <v>7.4158058913035174E-2</v>
      </c>
      <c r="BM594" s="23">
        <v>7.5718189192107169E-2</v>
      </c>
      <c r="BN594" s="23">
        <v>7.3955559365675619E-2</v>
      </c>
    </row>
    <row r="595" spans="1:66" x14ac:dyDescent="0.25">
      <c r="A595" s="16">
        <v>3601</v>
      </c>
      <c r="B595" s="16" t="s">
        <v>789</v>
      </c>
      <c r="C595" s="17">
        <v>0</v>
      </c>
      <c r="D595" s="17">
        <f t="shared" si="342"/>
        <v>0</v>
      </c>
      <c r="E595" s="17">
        <f t="shared" si="343"/>
        <v>0</v>
      </c>
      <c r="F595" s="17">
        <f t="shared" si="344"/>
        <v>0</v>
      </c>
      <c r="G595" s="17">
        <f t="shared" si="345"/>
        <v>0</v>
      </c>
      <c r="H595" s="17">
        <f t="shared" si="346"/>
        <v>0</v>
      </c>
      <c r="I595" s="17">
        <f t="shared" si="347"/>
        <v>0</v>
      </c>
      <c r="J595" s="17">
        <f t="shared" si="348"/>
        <v>0</v>
      </c>
      <c r="K595" s="17">
        <f t="shared" si="349"/>
        <v>0</v>
      </c>
      <c r="L595" s="17">
        <f t="shared" si="350"/>
        <v>0</v>
      </c>
      <c r="M595" s="17">
        <f t="shared" si="351"/>
        <v>0</v>
      </c>
      <c r="N595" s="17">
        <f t="shared" si="352"/>
        <v>0</v>
      </c>
      <c r="O595" s="17">
        <f t="shared" si="353"/>
        <v>0</v>
      </c>
      <c r="P595" s="17">
        <v>0</v>
      </c>
      <c r="Q595" s="17">
        <f t="shared" si="354"/>
        <v>0</v>
      </c>
      <c r="R595" s="17">
        <f t="shared" si="355"/>
        <v>0</v>
      </c>
      <c r="S595" s="17">
        <f t="shared" si="356"/>
        <v>0</v>
      </c>
      <c r="T595" s="17">
        <f t="shared" si="357"/>
        <v>0</v>
      </c>
      <c r="U595" s="17">
        <f t="shared" si="358"/>
        <v>0</v>
      </c>
      <c r="V595" s="17">
        <f t="shared" si="359"/>
        <v>0</v>
      </c>
      <c r="W595" s="17">
        <f t="shared" si="360"/>
        <v>0</v>
      </c>
      <c r="X595" s="17">
        <f t="shared" si="361"/>
        <v>0</v>
      </c>
      <c r="Y595" s="17">
        <f t="shared" si="362"/>
        <v>0</v>
      </c>
      <c r="Z595" s="17">
        <f t="shared" si="363"/>
        <v>0</v>
      </c>
      <c r="AA595" s="17">
        <f t="shared" si="364"/>
        <v>0</v>
      </c>
      <c r="AB595" s="17">
        <f t="shared" si="365"/>
        <v>0</v>
      </c>
      <c r="AC595" s="17">
        <v>0</v>
      </c>
      <c r="AD595" s="17">
        <f t="shared" si="366"/>
        <v>0</v>
      </c>
      <c r="AE595" s="17">
        <f t="shared" si="367"/>
        <v>0</v>
      </c>
      <c r="AF595" s="17">
        <f t="shared" si="368"/>
        <v>0</v>
      </c>
      <c r="AG595" s="17">
        <f t="shared" si="369"/>
        <v>0</v>
      </c>
      <c r="AH595" s="17">
        <f t="shared" si="370"/>
        <v>0</v>
      </c>
      <c r="AI595" s="17">
        <f t="shared" si="371"/>
        <v>0</v>
      </c>
      <c r="AJ595" s="17">
        <f t="shared" si="372"/>
        <v>0</v>
      </c>
      <c r="AK595" s="17">
        <f t="shared" si="373"/>
        <v>0</v>
      </c>
      <c r="AL595" s="17">
        <f t="shared" si="374"/>
        <v>0</v>
      </c>
      <c r="AM595" s="17">
        <f t="shared" si="375"/>
        <v>0</v>
      </c>
      <c r="AN595" s="17">
        <f t="shared" si="376"/>
        <v>0</v>
      </c>
      <c r="AO595" s="17">
        <f t="shared" si="377"/>
        <v>0</v>
      </c>
      <c r="AP595" s="17">
        <f t="shared" si="378"/>
        <v>0</v>
      </c>
      <c r="AQ595" s="18">
        <v>0</v>
      </c>
      <c r="AR595" s="18">
        <v>0</v>
      </c>
      <c r="AS595" s="18">
        <v>0</v>
      </c>
      <c r="AT595" s="18">
        <v>0</v>
      </c>
      <c r="AU595" s="18">
        <v>0</v>
      </c>
      <c r="AV595" s="18">
        <v>0</v>
      </c>
      <c r="AW595" s="18">
        <v>0</v>
      </c>
      <c r="AX595" s="18">
        <v>0</v>
      </c>
      <c r="AY595" s="18">
        <v>0</v>
      </c>
      <c r="AZ595" s="18">
        <v>0</v>
      </c>
      <c r="BA595" s="18">
        <v>0</v>
      </c>
      <c r="BB595" s="18">
        <v>0</v>
      </c>
      <c r="BC595" s="23">
        <v>8.9181565948742242E-2</v>
      </c>
      <c r="BD595" s="23">
        <v>0.10665277883445198</v>
      </c>
      <c r="BE595" s="23">
        <v>9.438849084854764E-2</v>
      </c>
      <c r="BF595" s="23">
        <v>7.149564986855049E-2</v>
      </c>
      <c r="BG595" s="23">
        <v>0.10368571810536763</v>
      </c>
      <c r="BH595" s="23">
        <v>8.4970330952544637E-2</v>
      </c>
      <c r="BI595" s="23">
        <v>8.4593878877262704E-2</v>
      </c>
      <c r="BJ595" s="23">
        <v>5.7447105462779965E-2</v>
      </c>
      <c r="BK595" s="23">
        <v>8.5153852345557474E-2</v>
      </c>
      <c r="BL595" s="23">
        <v>7.4158058913035174E-2</v>
      </c>
      <c r="BM595" s="23">
        <v>7.5718189192107169E-2</v>
      </c>
      <c r="BN595" s="23">
        <v>7.3955559365675619E-2</v>
      </c>
    </row>
    <row r="596" spans="1:66" x14ac:dyDescent="0.25">
      <c r="A596" s="16">
        <v>3636</v>
      </c>
      <c r="B596" s="16" t="s">
        <v>790</v>
      </c>
      <c r="C596" s="17">
        <v>0</v>
      </c>
      <c r="D596" s="17">
        <f t="shared" si="342"/>
        <v>0</v>
      </c>
      <c r="E596" s="17">
        <f t="shared" si="343"/>
        <v>0</v>
      </c>
      <c r="F596" s="17">
        <f t="shared" si="344"/>
        <v>0</v>
      </c>
      <c r="G596" s="17">
        <f t="shared" si="345"/>
        <v>0</v>
      </c>
      <c r="H596" s="17">
        <f t="shared" si="346"/>
        <v>0</v>
      </c>
      <c r="I596" s="17">
        <f t="shared" si="347"/>
        <v>0</v>
      </c>
      <c r="J596" s="17">
        <f t="shared" si="348"/>
        <v>0</v>
      </c>
      <c r="K596" s="17">
        <f t="shared" si="349"/>
        <v>0</v>
      </c>
      <c r="L596" s="17">
        <f t="shared" si="350"/>
        <v>0</v>
      </c>
      <c r="M596" s="17">
        <f t="shared" si="351"/>
        <v>0</v>
      </c>
      <c r="N596" s="17">
        <f t="shared" si="352"/>
        <v>0</v>
      </c>
      <c r="O596" s="17">
        <f t="shared" si="353"/>
        <v>0</v>
      </c>
      <c r="P596" s="17">
        <v>0</v>
      </c>
      <c r="Q596" s="17">
        <f t="shared" si="354"/>
        <v>0</v>
      </c>
      <c r="R596" s="17">
        <f t="shared" si="355"/>
        <v>0</v>
      </c>
      <c r="S596" s="17">
        <f t="shared" si="356"/>
        <v>0</v>
      </c>
      <c r="T596" s="17">
        <f t="shared" si="357"/>
        <v>0</v>
      </c>
      <c r="U596" s="17">
        <f t="shared" si="358"/>
        <v>0</v>
      </c>
      <c r="V596" s="17">
        <f t="shared" si="359"/>
        <v>0</v>
      </c>
      <c r="W596" s="17">
        <f t="shared" si="360"/>
        <v>0</v>
      </c>
      <c r="X596" s="17">
        <f t="shared" si="361"/>
        <v>0</v>
      </c>
      <c r="Y596" s="17">
        <f t="shared" si="362"/>
        <v>0</v>
      </c>
      <c r="Z596" s="17">
        <f t="shared" si="363"/>
        <v>0</v>
      </c>
      <c r="AA596" s="17">
        <f t="shared" si="364"/>
        <v>0</v>
      </c>
      <c r="AB596" s="17">
        <f t="shared" si="365"/>
        <v>0</v>
      </c>
      <c r="AC596" s="17">
        <v>0</v>
      </c>
      <c r="AD596" s="17">
        <f t="shared" si="366"/>
        <v>0</v>
      </c>
      <c r="AE596" s="17">
        <f t="shared" si="367"/>
        <v>0</v>
      </c>
      <c r="AF596" s="17">
        <f t="shared" si="368"/>
        <v>0</v>
      </c>
      <c r="AG596" s="17">
        <f t="shared" si="369"/>
        <v>0</v>
      </c>
      <c r="AH596" s="17">
        <f t="shared" si="370"/>
        <v>0</v>
      </c>
      <c r="AI596" s="17">
        <f t="shared" si="371"/>
        <v>0</v>
      </c>
      <c r="AJ596" s="17">
        <f t="shared" si="372"/>
        <v>0</v>
      </c>
      <c r="AK596" s="17">
        <f t="shared" si="373"/>
        <v>0</v>
      </c>
      <c r="AL596" s="17">
        <f t="shared" si="374"/>
        <v>0</v>
      </c>
      <c r="AM596" s="17">
        <f t="shared" si="375"/>
        <v>0</v>
      </c>
      <c r="AN596" s="17">
        <f t="shared" si="376"/>
        <v>0</v>
      </c>
      <c r="AO596" s="17">
        <f t="shared" si="377"/>
        <v>0</v>
      </c>
      <c r="AP596" s="17">
        <f t="shared" si="378"/>
        <v>0</v>
      </c>
      <c r="AQ596" s="18">
        <v>0</v>
      </c>
      <c r="AR596" s="18">
        <v>0</v>
      </c>
      <c r="AS596" s="18">
        <v>0</v>
      </c>
      <c r="AT596" s="18">
        <v>0</v>
      </c>
      <c r="AU596" s="18">
        <v>0</v>
      </c>
      <c r="AV596" s="18">
        <v>0</v>
      </c>
      <c r="AW596" s="18">
        <v>0</v>
      </c>
      <c r="AX596" s="18">
        <v>0</v>
      </c>
      <c r="AY596" s="18">
        <v>0</v>
      </c>
      <c r="AZ596" s="18">
        <v>0</v>
      </c>
      <c r="BA596" s="18">
        <v>0</v>
      </c>
      <c r="BB596" s="18">
        <v>0</v>
      </c>
      <c r="BC596" s="23">
        <v>8.9181565948742242E-2</v>
      </c>
      <c r="BD596" s="23">
        <v>0.10665277883445198</v>
      </c>
      <c r="BE596" s="23">
        <v>9.438849084854764E-2</v>
      </c>
      <c r="BF596" s="23">
        <v>7.149564986855049E-2</v>
      </c>
      <c r="BG596" s="23">
        <v>0.10368571810536763</v>
      </c>
      <c r="BH596" s="23">
        <v>8.4970330952544637E-2</v>
      </c>
      <c r="BI596" s="23">
        <v>8.4593878877262704E-2</v>
      </c>
      <c r="BJ596" s="23">
        <v>5.7447105462779965E-2</v>
      </c>
      <c r="BK596" s="23">
        <v>8.5153852345557474E-2</v>
      </c>
      <c r="BL596" s="23">
        <v>7.4158058913035174E-2</v>
      </c>
      <c r="BM596" s="23">
        <v>7.5718189192107169E-2</v>
      </c>
      <c r="BN596" s="23">
        <v>7.3955559365675619E-2</v>
      </c>
    </row>
    <row r="597" spans="1:66" x14ac:dyDescent="0.25">
      <c r="A597" s="16">
        <v>3664</v>
      </c>
      <c r="B597" s="16" t="s">
        <v>791</v>
      </c>
      <c r="C597" s="17">
        <v>0</v>
      </c>
      <c r="D597" s="17">
        <f t="shared" si="342"/>
        <v>0</v>
      </c>
      <c r="E597" s="17">
        <f t="shared" si="343"/>
        <v>0</v>
      </c>
      <c r="F597" s="17">
        <f t="shared" si="344"/>
        <v>0</v>
      </c>
      <c r="G597" s="17">
        <f t="shared" si="345"/>
        <v>0</v>
      </c>
      <c r="H597" s="17">
        <f t="shared" si="346"/>
        <v>0</v>
      </c>
      <c r="I597" s="17">
        <f t="shared" si="347"/>
        <v>0</v>
      </c>
      <c r="J597" s="17">
        <f t="shared" si="348"/>
        <v>0</v>
      </c>
      <c r="K597" s="17">
        <f t="shared" si="349"/>
        <v>0</v>
      </c>
      <c r="L597" s="17">
        <f t="shared" si="350"/>
        <v>0</v>
      </c>
      <c r="M597" s="17">
        <f t="shared" si="351"/>
        <v>0</v>
      </c>
      <c r="N597" s="17">
        <f t="shared" si="352"/>
        <v>0</v>
      </c>
      <c r="O597" s="17">
        <f t="shared" si="353"/>
        <v>0</v>
      </c>
      <c r="P597" s="17">
        <v>0</v>
      </c>
      <c r="Q597" s="17">
        <f t="shared" si="354"/>
        <v>0</v>
      </c>
      <c r="R597" s="17">
        <f t="shared" si="355"/>
        <v>0</v>
      </c>
      <c r="S597" s="17">
        <f t="shared" si="356"/>
        <v>0</v>
      </c>
      <c r="T597" s="17">
        <f t="shared" si="357"/>
        <v>0</v>
      </c>
      <c r="U597" s="17">
        <f t="shared" si="358"/>
        <v>0</v>
      </c>
      <c r="V597" s="17">
        <f t="shared" si="359"/>
        <v>0</v>
      </c>
      <c r="W597" s="17">
        <f t="shared" si="360"/>
        <v>0</v>
      </c>
      <c r="X597" s="17">
        <f t="shared" si="361"/>
        <v>0</v>
      </c>
      <c r="Y597" s="17">
        <f t="shared" si="362"/>
        <v>0</v>
      </c>
      <c r="Z597" s="17">
        <f t="shared" si="363"/>
        <v>0</v>
      </c>
      <c r="AA597" s="17">
        <f t="shared" si="364"/>
        <v>0</v>
      </c>
      <c r="AB597" s="17">
        <f t="shared" si="365"/>
        <v>0</v>
      </c>
      <c r="AC597" s="17">
        <v>0</v>
      </c>
      <c r="AD597" s="17">
        <f t="shared" si="366"/>
        <v>0</v>
      </c>
      <c r="AE597" s="17">
        <f t="shared" si="367"/>
        <v>0</v>
      </c>
      <c r="AF597" s="17">
        <f t="shared" si="368"/>
        <v>0</v>
      </c>
      <c r="AG597" s="17">
        <f t="shared" si="369"/>
        <v>0</v>
      </c>
      <c r="AH597" s="17">
        <f t="shared" si="370"/>
        <v>0</v>
      </c>
      <c r="AI597" s="17">
        <f t="shared" si="371"/>
        <v>0</v>
      </c>
      <c r="AJ597" s="17">
        <f t="shared" si="372"/>
        <v>0</v>
      </c>
      <c r="AK597" s="17">
        <f t="shared" si="373"/>
        <v>0</v>
      </c>
      <c r="AL597" s="17">
        <f t="shared" si="374"/>
        <v>0</v>
      </c>
      <c r="AM597" s="17">
        <f t="shared" si="375"/>
        <v>0</v>
      </c>
      <c r="AN597" s="17">
        <f t="shared" si="376"/>
        <v>0</v>
      </c>
      <c r="AO597" s="17">
        <f t="shared" si="377"/>
        <v>0</v>
      </c>
      <c r="AP597" s="17">
        <f t="shared" si="378"/>
        <v>0</v>
      </c>
      <c r="AQ597" s="18">
        <v>0</v>
      </c>
      <c r="AR597" s="18">
        <v>0</v>
      </c>
      <c r="AS597" s="18">
        <v>0</v>
      </c>
      <c r="AT597" s="18">
        <v>0</v>
      </c>
      <c r="AU597" s="18">
        <v>0</v>
      </c>
      <c r="AV597" s="18">
        <v>0</v>
      </c>
      <c r="AW597" s="18">
        <v>0</v>
      </c>
      <c r="AX597" s="18">
        <v>0</v>
      </c>
      <c r="AY597" s="18">
        <v>0</v>
      </c>
      <c r="AZ597" s="18">
        <v>0</v>
      </c>
      <c r="BA597" s="18">
        <v>0</v>
      </c>
      <c r="BB597" s="18">
        <v>0</v>
      </c>
      <c r="BC597" s="23">
        <v>8.9181565948742242E-2</v>
      </c>
      <c r="BD597" s="23">
        <v>0.10665277883445198</v>
      </c>
      <c r="BE597" s="23">
        <v>9.438849084854764E-2</v>
      </c>
      <c r="BF597" s="23">
        <v>7.149564986855049E-2</v>
      </c>
      <c r="BG597" s="23">
        <v>0.10368571810536763</v>
      </c>
      <c r="BH597" s="23">
        <v>8.4970330952544637E-2</v>
      </c>
      <c r="BI597" s="23">
        <v>8.4593878877262704E-2</v>
      </c>
      <c r="BJ597" s="23">
        <v>5.7447105462779965E-2</v>
      </c>
      <c r="BK597" s="23">
        <v>8.5153852345557474E-2</v>
      </c>
      <c r="BL597" s="23">
        <v>7.4158058913035174E-2</v>
      </c>
      <c r="BM597" s="23">
        <v>7.5718189192107169E-2</v>
      </c>
      <c r="BN597" s="23">
        <v>7.3955559365675619E-2</v>
      </c>
    </row>
    <row r="598" spans="1:66" x14ac:dyDescent="0.25">
      <c r="A598" s="16">
        <v>3691</v>
      </c>
      <c r="B598" s="16" t="s">
        <v>792</v>
      </c>
      <c r="C598" s="17">
        <v>0</v>
      </c>
      <c r="D598" s="17">
        <f t="shared" si="342"/>
        <v>0</v>
      </c>
      <c r="E598" s="17">
        <f t="shared" si="343"/>
        <v>0</v>
      </c>
      <c r="F598" s="17">
        <f t="shared" si="344"/>
        <v>0</v>
      </c>
      <c r="G598" s="17">
        <f t="shared" si="345"/>
        <v>0</v>
      </c>
      <c r="H598" s="17">
        <f t="shared" si="346"/>
        <v>0</v>
      </c>
      <c r="I598" s="17">
        <f t="shared" si="347"/>
        <v>0</v>
      </c>
      <c r="J598" s="17">
        <f t="shared" si="348"/>
        <v>0</v>
      </c>
      <c r="K598" s="17">
        <f t="shared" si="349"/>
        <v>0</v>
      </c>
      <c r="L598" s="17">
        <f t="shared" si="350"/>
        <v>0</v>
      </c>
      <c r="M598" s="17">
        <f t="shared" si="351"/>
        <v>0</v>
      </c>
      <c r="N598" s="17">
        <f t="shared" si="352"/>
        <v>0</v>
      </c>
      <c r="O598" s="17">
        <f t="shared" si="353"/>
        <v>0</v>
      </c>
      <c r="P598" s="17">
        <v>0</v>
      </c>
      <c r="Q598" s="17">
        <f t="shared" si="354"/>
        <v>0</v>
      </c>
      <c r="R598" s="17">
        <f t="shared" si="355"/>
        <v>0</v>
      </c>
      <c r="S598" s="17">
        <f t="shared" si="356"/>
        <v>0</v>
      </c>
      <c r="T598" s="17">
        <f t="shared" si="357"/>
        <v>0</v>
      </c>
      <c r="U598" s="17">
        <f t="shared" si="358"/>
        <v>0</v>
      </c>
      <c r="V598" s="17">
        <f t="shared" si="359"/>
        <v>0</v>
      </c>
      <c r="W598" s="17">
        <f t="shared" si="360"/>
        <v>0</v>
      </c>
      <c r="X598" s="17">
        <f t="shared" si="361"/>
        <v>0</v>
      </c>
      <c r="Y598" s="17">
        <f t="shared" si="362"/>
        <v>0</v>
      </c>
      <c r="Z598" s="17">
        <f t="shared" si="363"/>
        <v>0</v>
      </c>
      <c r="AA598" s="17">
        <f t="shared" si="364"/>
        <v>0</v>
      </c>
      <c r="AB598" s="17">
        <f t="shared" si="365"/>
        <v>0</v>
      </c>
      <c r="AC598" s="17">
        <v>0</v>
      </c>
      <c r="AD598" s="17">
        <f t="shared" si="366"/>
        <v>0</v>
      </c>
      <c r="AE598" s="17">
        <f t="shared" si="367"/>
        <v>0</v>
      </c>
      <c r="AF598" s="17">
        <f t="shared" si="368"/>
        <v>0</v>
      </c>
      <c r="AG598" s="17">
        <f t="shared" si="369"/>
        <v>0</v>
      </c>
      <c r="AH598" s="17">
        <f t="shared" si="370"/>
        <v>0</v>
      </c>
      <c r="AI598" s="17">
        <f t="shared" si="371"/>
        <v>0</v>
      </c>
      <c r="AJ598" s="17">
        <f t="shared" si="372"/>
        <v>0</v>
      </c>
      <c r="AK598" s="17">
        <f t="shared" si="373"/>
        <v>0</v>
      </c>
      <c r="AL598" s="17">
        <f t="shared" si="374"/>
        <v>0</v>
      </c>
      <c r="AM598" s="17">
        <f t="shared" si="375"/>
        <v>0</v>
      </c>
      <c r="AN598" s="17">
        <f t="shared" si="376"/>
        <v>0</v>
      </c>
      <c r="AO598" s="17">
        <f t="shared" si="377"/>
        <v>0</v>
      </c>
      <c r="AP598" s="17">
        <f t="shared" si="378"/>
        <v>0</v>
      </c>
      <c r="AQ598" s="18">
        <v>0</v>
      </c>
      <c r="AR598" s="18">
        <v>0</v>
      </c>
      <c r="AS598" s="18">
        <v>0</v>
      </c>
      <c r="AT598" s="18">
        <v>0</v>
      </c>
      <c r="AU598" s="18">
        <v>0</v>
      </c>
      <c r="AV598" s="18">
        <v>0</v>
      </c>
      <c r="AW598" s="18">
        <v>0</v>
      </c>
      <c r="AX598" s="18">
        <v>0</v>
      </c>
      <c r="AY598" s="18">
        <v>0</v>
      </c>
      <c r="AZ598" s="18">
        <v>0</v>
      </c>
      <c r="BA598" s="18">
        <v>0</v>
      </c>
      <c r="BB598" s="18">
        <v>0</v>
      </c>
      <c r="BC598" s="23">
        <v>8.9181565948742242E-2</v>
      </c>
      <c r="BD598" s="23">
        <v>0.10665277883445198</v>
      </c>
      <c r="BE598" s="23">
        <v>9.438849084854764E-2</v>
      </c>
      <c r="BF598" s="23">
        <v>7.149564986855049E-2</v>
      </c>
      <c r="BG598" s="23">
        <v>0.10368571810536763</v>
      </c>
      <c r="BH598" s="23">
        <v>8.4970330952544637E-2</v>
      </c>
      <c r="BI598" s="23">
        <v>8.4593878877262704E-2</v>
      </c>
      <c r="BJ598" s="23">
        <v>5.7447105462779965E-2</v>
      </c>
      <c r="BK598" s="23">
        <v>8.5153852345557474E-2</v>
      </c>
      <c r="BL598" s="23">
        <v>7.4158058913035174E-2</v>
      </c>
      <c r="BM598" s="23">
        <v>7.5718189192107169E-2</v>
      </c>
      <c r="BN598" s="23">
        <v>7.3955559365675619E-2</v>
      </c>
    </row>
    <row r="599" spans="1:66" x14ac:dyDescent="0.25">
      <c r="A599" s="16">
        <v>3698</v>
      </c>
      <c r="B599" s="16" t="s">
        <v>793</v>
      </c>
      <c r="C599" s="17">
        <v>0</v>
      </c>
      <c r="D599" s="17">
        <f t="shared" si="342"/>
        <v>0</v>
      </c>
      <c r="E599" s="17">
        <f t="shared" si="343"/>
        <v>0</v>
      </c>
      <c r="F599" s="17">
        <f t="shared" si="344"/>
        <v>0</v>
      </c>
      <c r="G599" s="17">
        <f t="shared" si="345"/>
        <v>0</v>
      </c>
      <c r="H599" s="17">
        <f t="shared" si="346"/>
        <v>0</v>
      </c>
      <c r="I599" s="17">
        <f t="shared" si="347"/>
        <v>0</v>
      </c>
      <c r="J599" s="17">
        <f t="shared" si="348"/>
        <v>0</v>
      </c>
      <c r="K599" s="17">
        <f t="shared" si="349"/>
        <v>0</v>
      </c>
      <c r="L599" s="17">
        <f t="shared" si="350"/>
        <v>0</v>
      </c>
      <c r="M599" s="17">
        <f t="shared" si="351"/>
        <v>0</v>
      </c>
      <c r="N599" s="17">
        <f t="shared" si="352"/>
        <v>0</v>
      </c>
      <c r="O599" s="17">
        <f t="shared" si="353"/>
        <v>0</v>
      </c>
      <c r="P599" s="17">
        <v>0</v>
      </c>
      <c r="Q599" s="17">
        <f t="shared" si="354"/>
        <v>0</v>
      </c>
      <c r="R599" s="17">
        <f t="shared" si="355"/>
        <v>0</v>
      </c>
      <c r="S599" s="17">
        <f t="shared" si="356"/>
        <v>0</v>
      </c>
      <c r="T599" s="17">
        <f t="shared" si="357"/>
        <v>0</v>
      </c>
      <c r="U599" s="17">
        <f t="shared" si="358"/>
        <v>0</v>
      </c>
      <c r="V599" s="17">
        <f t="shared" si="359"/>
        <v>0</v>
      </c>
      <c r="W599" s="17">
        <f t="shared" si="360"/>
        <v>0</v>
      </c>
      <c r="X599" s="17">
        <f t="shared" si="361"/>
        <v>0</v>
      </c>
      <c r="Y599" s="17">
        <f t="shared" si="362"/>
        <v>0</v>
      </c>
      <c r="Z599" s="17">
        <f t="shared" si="363"/>
        <v>0</v>
      </c>
      <c r="AA599" s="17">
        <f t="shared" si="364"/>
        <v>0</v>
      </c>
      <c r="AB599" s="17">
        <f t="shared" si="365"/>
        <v>0</v>
      </c>
      <c r="AC599" s="17">
        <v>0</v>
      </c>
      <c r="AD599" s="17">
        <f t="shared" si="366"/>
        <v>0</v>
      </c>
      <c r="AE599" s="17">
        <f t="shared" si="367"/>
        <v>0</v>
      </c>
      <c r="AF599" s="17">
        <f t="shared" si="368"/>
        <v>0</v>
      </c>
      <c r="AG599" s="17">
        <f t="shared" si="369"/>
        <v>0</v>
      </c>
      <c r="AH599" s="17">
        <f t="shared" si="370"/>
        <v>0</v>
      </c>
      <c r="AI599" s="17">
        <f t="shared" si="371"/>
        <v>0</v>
      </c>
      <c r="AJ599" s="17">
        <f t="shared" si="372"/>
        <v>0</v>
      </c>
      <c r="AK599" s="17">
        <f t="shared" si="373"/>
        <v>0</v>
      </c>
      <c r="AL599" s="17">
        <f t="shared" si="374"/>
        <v>0</v>
      </c>
      <c r="AM599" s="17">
        <f t="shared" si="375"/>
        <v>0</v>
      </c>
      <c r="AN599" s="17">
        <f t="shared" si="376"/>
        <v>0</v>
      </c>
      <c r="AO599" s="17">
        <f t="shared" si="377"/>
        <v>0</v>
      </c>
      <c r="AP599" s="17">
        <f t="shared" si="378"/>
        <v>0</v>
      </c>
      <c r="AQ599" s="18">
        <v>4.4144875144627414E-2</v>
      </c>
      <c r="AR599" s="18">
        <v>5.2793125523053736E-2</v>
      </c>
      <c r="AS599" s="18">
        <v>4.6722302970031084E-2</v>
      </c>
      <c r="AT599" s="18">
        <v>3.5390346684932496E-2</v>
      </c>
      <c r="AU599" s="18">
        <v>5.1324430462156984E-2</v>
      </c>
      <c r="AV599" s="18">
        <v>4.2060313821509598E-2</v>
      </c>
      <c r="AW599" s="18">
        <v>4.1873970044245042E-2</v>
      </c>
      <c r="AX599" s="18">
        <v>2.8436317204076085E-2</v>
      </c>
      <c r="AY599" s="18">
        <v>4.2151156911050952E-2</v>
      </c>
      <c r="AZ599" s="18">
        <v>3.6708239161952413E-2</v>
      </c>
      <c r="BA599" s="18">
        <v>3.7480503650093054E-2</v>
      </c>
      <c r="BB599" s="18">
        <v>3.6608001886009434E-2</v>
      </c>
      <c r="BC599" s="23">
        <v>8.9181565948742242E-2</v>
      </c>
      <c r="BD599" s="23">
        <v>0.10665277883445198</v>
      </c>
      <c r="BE599" s="23">
        <v>9.438849084854764E-2</v>
      </c>
      <c r="BF599" s="23">
        <v>7.149564986855049E-2</v>
      </c>
      <c r="BG599" s="23">
        <v>0.10368571810536763</v>
      </c>
      <c r="BH599" s="23">
        <v>8.4970330952544637E-2</v>
      </c>
      <c r="BI599" s="23">
        <v>8.4593878877262704E-2</v>
      </c>
      <c r="BJ599" s="23">
        <v>5.7447105462779965E-2</v>
      </c>
      <c r="BK599" s="23">
        <v>8.5153852345557474E-2</v>
      </c>
      <c r="BL599" s="23">
        <v>7.4158058913035174E-2</v>
      </c>
      <c r="BM599" s="23">
        <v>7.5718189192107169E-2</v>
      </c>
      <c r="BN599" s="23">
        <v>7.3955559365675619E-2</v>
      </c>
    </row>
    <row r="600" spans="1:66" x14ac:dyDescent="0.25">
      <c r="A600" s="16">
        <v>3711</v>
      </c>
      <c r="B600" s="16" t="s">
        <v>794</v>
      </c>
      <c r="C600" s="17">
        <v>0</v>
      </c>
      <c r="D600" s="17">
        <f t="shared" si="342"/>
        <v>0</v>
      </c>
      <c r="E600" s="17">
        <f t="shared" si="343"/>
        <v>0</v>
      </c>
      <c r="F600" s="17">
        <f t="shared" si="344"/>
        <v>0</v>
      </c>
      <c r="G600" s="17">
        <f t="shared" si="345"/>
        <v>0</v>
      </c>
      <c r="H600" s="17">
        <f t="shared" si="346"/>
        <v>0</v>
      </c>
      <c r="I600" s="17">
        <f t="shared" si="347"/>
        <v>0</v>
      </c>
      <c r="J600" s="17">
        <f t="shared" si="348"/>
        <v>0</v>
      </c>
      <c r="K600" s="17">
        <f t="shared" si="349"/>
        <v>0</v>
      </c>
      <c r="L600" s="17">
        <f t="shared" si="350"/>
        <v>0</v>
      </c>
      <c r="M600" s="17">
        <f t="shared" si="351"/>
        <v>0</v>
      </c>
      <c r="N600" s="17">
        <f t="shared" si="352"/>
        <v>0</v>
      </c>
      <c r="O600" s="17">
        <f t="shared" si="353"/>
        <v>0</v>
      </c>
      <c r="P600" s="17">
        <v>5000</v>
      </c>
      <c r="Q600" s="17">
        <f t="shared" si="354"/>
        <v>445.9078297437112</v>
      </c>
      <c r="R600" s="17">
        <f t="shared" si="355"/>
        <v>533.26389417225994</v>
      </c>
      <c r="S600" s="17">
        <f t="shared" si="356"/>
        <v>471.94245424273822</v>
      </c>
      <c r="T600" s="17">
        <f t="shared" si="357"/>
        <v>357.47824934275246</v>
      </c>
      <c r="U600" s="17">
        <f t="shared" si="358"/>
        <v>518.42859052683809</v>
      </c>
      <c r="V600" s="17">
        <f t="shared" si="359"/>
        <v>424.85165476272317</v>
      </c>
      <c r="W600" s="17">
        <f t="shared" si="360"/>
        <v>422.96939438631352</v>
      </c>
      <c r="X600" s="17">
        <f t="shared" si="361"/>
        <v>287.23552731389981</v>
      </c>
      <c r="Y600" s="17">
        <f t="shared" si="362"/>
        <v>425.76926172778735</v>
      </c>
      <c r="Z600" s="17">
        <f t="shared" si="363"/>
        <v>370.79029456517588</v>
      </c>
      <c r="AA600" s="17">
        <f t="shared" si="364"/>
        <v>378.59094596053586</v>
      </c>
      <c r="AB600" s="17">
        <f t="shared" si="365"/>
        <v>369.77779682837809</v>
      </c>
      <c r="AC600" s="17">
        <v>0</v>
      </c>
      <c r="AD600" s="17">
        <f t="shared" si="366"/>
        <v>0</v>
      </c>
      <c r="AE600" s="17">
        <f t="shared" si="367"/>
        <v>0</v>
      </c>
      <c r="AF600" s="17">
        <f t="shared" si="368"/>
        <v>0</v>
      </c>
      <c r="AG600" s="17">
        <f t="shared" si="369"/>
        <v>0</v>
      </c>
      <c r="AH600" s="17">
        <f t="shared" si="370"/>
        <v>0</v>
      </c>
      <c r="AI600" s="17">
        <f t="shared" si="371"/>
        <v>0</v>
      </c>
      <c r="AJ600" s="17">
        <f t="shared" si="372"/>
        <v>0</v>
      </c>
      <c r="AK600" s="17">
        <f t="shared" si="373"/>
        <v>0</v>
      </c>
      <c r="AL600" s="17">
        <f t="shared" si="374"/>
        <v>0</v>
      </c>
      <c r="AM600" s="17">
        <f t="shared" si="375"/>
        <v>0</v>
      </c>
      <c r="AN600" s="17">
        <f t="shared" si="376"/>
        <v>0</v>
      </c>
      <c r="AO600" s="17">
        <f t="shared" si="377"/>
        <v>0</v>
      </c>
      <c r="AP600" s="17">
        <f t="shared" si="378"/>
        <v>5000</v>
      </c>
      <c r="AQ600" s="18">
        <v>74.211459107020431</v>
      </c>
      <c r="AR600" s="18">
        <v>88.749936726522051</v>
      </c>
      <c r="AS600" s="18">
        <v>78.544344386219592</v>
      </c>
      <c r="AT600" s="18">
        <v>59.494318585965743</v>
      </c>
      <c r="AU600" s="18">
        <v>86.28092977848253</v>
      </c>
      <c r="AV600" s="18">
        <v>70.707126228519556</v>
      </c>
      <c r="AW600" s="18">
        <v>70.393865775046521</v>
      </c>
      <c r="AX600" s="18">
        <v>47.803976892692262</v>
      </c>
      <c r="AY600" s="18">
        <v>70.859841536979857</v>
      </c>
      <c r="AZ600" s="18">
        <v>61.709812985834184</v>
      </c>
      <c r="BA600" s="18">
        <v>63.008058236130879</v>
      </c>
      <c r="BB600" s="18">
        <v>61.541305214993955</v>
      </c>
      <c r="BC600" s="23">
        <v>8.9181565948742242E-2</v>
      </c>
      <c r="BD600" s="23">
        <v>0.10665277883445198</v>
      </c>
      <c r="BE600" s="23">
        <v>9.438849084854764E-2</v>
      </c>
      <c r="BF600" s="23">
        <v>7.149564986855049E-2</v>
      </c>
      <c r="BG600" s="23">
        <v>0.10368571810536763</v>
      </c>
      <c r="BH600" s="23">
        <v>8.4970330952544637E-2</v>
      </c>
      <c r="BI600" s="23">
        <v>8.4593878877262704E-2</v>
      </c>
      <c r="BJ600" s="23">
        <v>5.7447105462779965E-2</v>
      </c>
      <c r="BK600" s="23">
        <v>8.5153852345557474E-2</v>
      </c>
      <c r="BL600" s="23">
        <v>7.4158058913035174E-2</v>
      </c>
      <c r="BM600" s="23">
        <v>7.5718189192107169E-2</v>
      </c>
      <c r="BN600" s="23">
        <v>7.3955559365675619E-2</v>
      </c>
    </row>
    <row r="601" spans="1:66" x14ac:dyDescent="0.25">
      <c r="A601" s="16">
        <v>3714</v>
      </c>
      <c r="B601" s="16" t="s">
        <v>795</v>
      </c>
      <c r="C601" s="17">
        <v>0</v>
      </c>
      <c r="D601" s="17">
        <f t="shared" si="342"/>
        <v>0</v>
      </c>
      <c r="E601" s="17">
        <f t="shared" si="343"/>
        <v>0</v>
      </c>
      <c r="F601" s="17">
        <f t="shared" si="344"/>
        <v>0</v>
      </c>
      <c r="G601" s="17">
        <f t="shared" si="345"/>
        <v>0</v>
      </c>
      <c r="H601" s="17">
        <f t="shared" si="346"/>
        <v>0</v>
      </c>
      <c r="I601" s="17">
        <f t="shared" si="347"/>
        <v>0</v>
      </c>
      <c r="J601" s="17">
        <f t="shared" si="348"/>
        <v>0</v>
      </c>
      <c r="K601" s="17">
        <f t="shared" si="349"/>
        <v>0</v>
      </c>
      <c r="L601" s="17">
        <f t="shared" si="350"/>
        <v>0</v>
      </c>
      <c r="M601" s="17">
        <f t="shared" si="351"/>
        <v>0</v>
      </c>
      <c r="N601" s="17">
        <f t="shared" si="352"/>
        <v>0</v>
      </c>
      <c r="O601" s="17">
        <f t="shared" si="353"/>
        <v>0</v>
      </c>
      <c r="P601" s="17">
        <v>0</v>
      </c>
      <c r="Q601" s="17">
        <f t="shared" si="354"/>
        <v>0</v>
      </c>
      <c r="R601" s="17">
        <f t="shared" si="355"/>
        <v>0</v>
      </c>
      <c r="S601" s="17">
        <f t="shared" si="356"/>
        <v>0</v>
      </c>
      <c r="T601" s="17">
        <f t="shared" si="357"/>
        <v>0</v>
      </c>
      <c r="U601" s="17">
        <f t="shared" si="358"/>
        <v>0</v>
      </c>
      <c r="V601" s="17">
        <f t="shared" si="359"/>
        <v>0</v>
      </c>
      <c r="W601" s="17">
        <f t="shared" si="360"/>
        <v>0</v>
      </c>
      <c r="X601" s="17">
        <f t="shared" si="361"/>
        <v>0</v>
      </c>
      <c r="Y601" s="17">
        <f t="shared" si="362"/>
        <v>0</v>
      </c>
      <c r="Z601" s="17">
        <f t="shared" si="363"/>
        <v>0</v>
      </c>
      <c r="AA601" s="17">
        <f t="shared" si="364"/>
        <v>0</v>
      </c>
      <c r="AB601" s="17">
        <f t="shared" si="365"/>
        <v>0</v>
      </c>
      <c r="AC601" s="17">
        <v>0</v>
      </c>
      <c r="AD601" s="17">
        <f t="shared" si="366"/>
        <v>0</v>
      </c>
      <c r="AE601" s="17">
        <f t="shared" si="367"/>
        <v>0</v>
      </c>
      <c r="AF601" s="17">
        <f t="shared" si="368"/>
        <v>0</v>
      </c>
      <c r="AG601" s="17">
        <f t="shared" si="369"/>
        <v>0</v>
      </c>
      <c r="AH601" s="17">
        <f t="shared" si="370"/>
        <v>0</v>
      </c>
      <c r="AI601" s="17">
        <f t="shared" si="371"/>
        <v>0</v>
      </c>
      <c r="AJ601" s="17">
        <f t="shared" si="372"/>
        <v>0</v>
      </c>
      <c r="AK601" s="17">
        <f t="shared" si="373"/>
        <v>0</v>
      </c>
      <c r="AL601" s="17">
        <f t="shared" si="374"/>
        <v>0</v>
      </c>
      <c r="AM601" s="17">
        <f t="shared" si="375"/>
        <v>0</v>
      </c>
      <c r="AN601" s="17">
        <f t="shared" si="376"/>
        <v>0</v>
      </c>
      <c r="AO601" s="17">
        <f t="shared" si="377"/>
        <v>0</v>
      </c>
      <c r="AP601" s="17">
        <f t="shared" si="378"/>
        <v>0</v>
      </c>
      <c r="AQ601" s="18">
        <v>0</v>
      </c>
      <c r="AR601" s="18">
        <v>0</v>
      </c>
      <c r="AS601" s="18">
        <v>0</v>
      </c>
      <c r="AT601" s="18">
        <v>0</v>
      </c>
      <c r="AU601" s="18">
        <v>0</v>
      </c>
      <c r="AV601" s="18">
        <v>0</v>
      </c>
      <c r="AW601" s="18">
        <v>0</v>
      </c>
      <c r="AX601" s="18">
        <v>0</v>
      </c>
      <c r="AY601" s="18">
        <v>0</v>
      </c>
      <c r="AZ601" s="18">
        <v>0</v>
      </c>
      <c r="BA601" s="18">
        <v>0</v>
      </c>
      <c r="BB601" s="18">
        <v>0</v>
      </c>
      <c r="BC601" s="23">
        <v>8.9181565948742242E-2</v>
      </c>
      <c r="BD601" s="23">
        <v>0.10665277883445198</v>
      </c>
      <c r="BE601" s="23">
        <v>9.438849084854764E-2</v>
      </c>
      <c r="BF601" s="23">
        <v>7.149564986855049E-2</v>
      </c>
      <c r="BG601" s="23">
        <v>0.10368571810536763</v>
      </c>
      <c r="BH601" s="23">
        <v>8.4970330952544637E-2</v>
      </c>
      <c r="BI601" s="23">
        <v>8.4593878877262704E-2</v>
      </c>
      <c r="BJ601" s="23">
        <v>5.7447105462779965E-2</v>
      </c>
      <c r="BK601" s="23">
        <v>8.5153852345557474E-2</v>
      </c>
      <c r="BL601" s="23">
        <v>7.4158058913035174E-2</v>
      </c>
      <c r="BM601" s="23">
        <v>7.5718189192107169E-2</v>
      </c>
      <c r="BN601" s="23">
        <v>7.3955559365675619E-2</v>
      </c>
    </row>
    <row r="602" spans="1:66" x14ac:dyDescent="0.25">
      <c r="A602" s="16">
        <v>3724</v>
      </c>
      <c r="B602" s="16" t="s">
        <v>796</v>
      </c>
      <c r="C602" s="17">
        <v>0</v>
      </c>
      <c r="D602" s="17">
        <f t="shared" si="342"/>
        <v>0</v>
      </c>
      <c r="E602" s="17">
        <f t="shared" si="343"/>
        <v>0</v>
      </c>
      <c r="F602" s="17">
        <f t="shared" si="344"/>
        <v>0</v>
      </c>
      <c r="G602" s="17">
        <f t="shared" si="345"/>
        <v>0</v>
      </c>
      <c r="H602" s="17">
        <f t="shared" si="346"/>
        <v>0</v>
      </c>
      <c r="I602" s="17">
        <f t="shared" si="347"/>
        <v>0</v>
      </c>
      <c r="J602" s="17">
        <f t="shared" si="348"/>
        <v>0</v>
      </c>
      <c r="K602" s="17">
        <f t="shared" si="349"/>
        <v>0</v>
      </c>
      <c r="L602" s="17">
        <f t="shared" si="350"/>
        <v>0</v>
      </c>
      <c r="M602" s="17">
        <f t="shared" si="351"/>
        <v>0</v>
      </c>
      <c r="N602" s="17">
        <f t="shared" si="352"/>
        <v>0</v>
      </c>
      <c r="O602" s="17">
        <f t="shared" si="353"/>
        <v>0</v>
      </c>
      <c r="P602" s="17">
        <v>8000</v>
      </c>
      <c r="Q602" s="17">
        <f t="shared" si="354"/>
        <v>713.45252758993797</v>
      </c>
      <c r="R602" s="17">
        <f t="shared" si="355"/>
        <v>853.22223067561583</v>
      </c>
      <c r="S602" s="17">
        <f t="shared" si="356"/>
        <v>755.10792678838118</v>
      </c>
      <c r="T602" s="17">
        <f t="shared" si="357"/>
        <v>571.96519894840389</v>
      </c>
      <c r="U602" s="17">
        <f t="shared" si="358"/>
        <v>829.48574484294102</v>
      </c>
      <c r="V602" s="17">
        <f t="shared" si="359"/>
        <v>679.76264762035714</v>
      </c>
      <c r="W602" s="17">
        <f t="shared" si="360"/>
        <v>676.75103101810168</v>
      </c>
      <c r="X602" s="17">
        <f t="shared" si="361"/>
        <v>459.57684370223973</v>
      </c>
      <c r="Y602" s="17">
        <f t="shared" si="362"/>
        <v>681.23081876445974</v>
      </c>
      <c r="Z602" s="17">
        <f t="shared" si="363"/>
        <v>593.26447130428141</v>
      </c>
      <c r="AA602" s="17">
        <f t="shared" si="364"/>
        <v>605.7455135368574</v>
      </c>
      <c r="AB602" s="17">
        <f t="shared" si="365"/>
        <v>591.64447492540501</v>
      </c>
      <c r="AC602" s="17">
        <v>0</v>
      </c>
      <c r="AD602" s="17">
        <f t="shared" si="366"/>
        <v>0</v>
      </c>
      <c r="AE602" s="17">
        <f t="shared" si="367"/>
        <v>0</v>
      </c>
      <c r="AF602" s="17">
        <f t="shared" si="368"/>
        <v>0</v>
      </c>
      <c r="AG602" s="17">
        <f t="shared" si="369"/>
        <v>0</v>
      </c>
      <c r="AH602" s="17">
        <f t="shared" si="370"/>
        <v>0</v>
      </c>
      <c r="AI602" s="17">
        <f t="shared" si="371"/>
        <v>0</v>
      </c>
      <c r="AJ602" s="17">
        <f t="shared" si="372"/>
        <v>0</v>
      </c>
      <c r="AK602" s="17">
        <f t="shared" si="373"/>
        <v>0</v>
      </c>
      <c r="AL602" s="17">
        <f t="shared" si="374"/>
        <v>0</v>
      </c>
      <c r="AM602" s="17">
        <f t="shared" si="375"/>
        <v>0</v>
      </c>
      <c r="AN602" s="17">
        <f t="shared" si="376"/>
        <v>0</v>
      </c>
      <c r="AO602" s="17">
        <f t="shared" si="377"/>
        <v>0</v>
      </c>
      <c r="AP602" s="17">
        <f t="shared" si="378"/>
        <v>8000</v>
      </c>
      <c r="AQ602" s="18">
        <v>0</v>
      </c>
      <c r="AR602" s="18">
        <v>0</v>
      </c>
      <c r="AS602" s="18">
        <v>0</v>
      </c>
      <c r="AT602" s="18">
        <v>0</v>
      </c>
      <c r="AU602" s="18">
        <v>0</v>
      </c>
      <c r="AV602" s="18">
        <v>0</v>
      </c>
      <c r="AW602" s="18">
        <v>0</v>
      </c>
      <c r="AX602" s="18">
        <v>0</v>
      </c>
      <c r="AY602" s="18">
        <v>0</v>
      </c>
      <c r="AZ602" s="18">
        <v>0</v>
      </c>
      <c r="BA602" s="18">
        <v>0</v>
      </c>
      <c r="BB602" s="18">
        <v>0</v>
      </c>
      <c r="BC602" s="23">
        <v>8.9181565948742242E-2</v>
      </c>
      <c r="BD602" s="23">
        <v>0.10665277883445198</v>
      </c>
      <c r="BE602" s="23">
        <v>9.438849084854764E-2</v>
      </c>
      <c r="BF602" s="23">
        <v>7.149564986855049E-2</v>
      </c>
      <c r="BG602" s="23">
        <v>0.10368571810536763</v>
      </c>
      <c r="BH602" s="23">
        <v>8.4970330952544637E-2</v>
      </c>
      <c r="BI602" s="23">
        <v>8.4593878877262704E-2</v>
      </c>
      <c r="BJ602" s="23">
        <v>5.7447105462779965E-2</v>
      </c>
      <c r="BK602" s="23">
        <v>8.5153852345557474E-2</v>
      </c>
      <c r="BL602" s="23">
        <v>7.4158058913035174E-2</v>
      </c>
      <c r="BM602" s="23">
        <v>7.5718189192107169E-2</v>
      </c>
      <c r="BN602" s="23">
        <v>7.3955559365675619E-2</v>
      </c>
    </row>
    <row r="603" spans="1:66" x14ac:dyDescent="0.25">
      <c r="A603" s="16">
        <v>3774</v>
      </c>
      <c r="B603" s="16" t="s">
        <v>797</v>
      </c>
      <c r="C603" s="17">
        <v>0</v>
      </c>
      <c r="D603" s="17">
        <f t="shared" si="342"/>
        <v>0</v>
      </c>
      <c r="E603" s="17">
        <f t="shared" si="343"/>
        <v>0</v>
      </c>
      <c r="F603" s="17">
        <f t="shared" si="344"/>
        <v>0</v>
      </c>
      <c r="G603" s="17">
        <f t="shared" si="345"/>
        <v>0</v>
      </c>
      <c r="H603" s="17">
        <f t="shared" si="346"/>
        <v>0</v>
      </c>
      <c r="I603" s="17">
        <f t="shared" si="347"/>
        <v>0</v>
      </c>
      <c r="J603" s="17">
        <f t="shared" si="348"/>
        <v>0</v>
      </c>
      <c r="K603" s="17">
        <f t="shared" si="349"/>
        <v>0</v>
      </c>
      <c r="L603" s="17">
        <f t="shared" si="350"/>
        <v>0</v>
      </c>
      <c r="M603" s="17">
        <f t="shared" si="351"/>
        <v>0</v>
      </c>
      <c r="N603" s="17">
        <f t="shared" si="352"/>
        <v>0</v>
      </c>
      <c r="O603" s="17">
        <f t="shared" si="353"/>
        <v>0</v>
      </c>
      <c r="P603" s="17">
        <v>1000</v>
      </c>
      <c r="Q603" s="17">
        <f t="shared" si="354"/>
        <v>89.181565948742247</v>
      </c>
      <c r="R603" s="17">
        <f t="shared" si="355"/>
        <v>106.65277883445198</v>
      </c>
      <c r="S603" s="17">
        <f t="shared" si="356"/>
        <v>94.388490848547647</v>
      </c>
      <c r="T603" s="17">
        <f t="shared" si="357"/>
        <v>71.495649868550487</v>
      </c>
      <c r="U603" s="17">
        <f t="shared" si="358"/>
        <v>103.68571810536763</v>
      </c>
      <c r="V603" s="17">
        <f t="shared" si="359"/>
        <v>84.970330952544643</v>
      </c>
      <c r="W603" s="17">
        <f t="shared" si="360"/>
        <v>84.593878877262711</v>
      </c>
      <c r="X603" s="17">
        <f t="shared" si="361"/>
        <v>57.447105462779966</v>
      </c>
      <c r="Y603" s="17">
        <f t="shared" si="362"/>
        <v>85.153852345557468</v>
      </c>
      <c r="Z603" s="17">
        <f t="shared" si="363"/>
        <v>74.158058913035177</v>
      </c>
      <c r="AA603" s="17">
        <f t="shared" si="364"/>
        <v>75.718189192107175</v>
      </c>
      <c r="AB603" s="17">
        <f t="shared" si="365"/>
        <v>73.955559365675626</v>
      </c>
      <c r="AC603" s="17">
        <v>0</v>
      </c>
      <c r="AD603" s="17">
        <f t="shared" si="366"/>
        <v>0</v>
      </c>
      <c r="AE603" s="17">
        <f t="shared" si="367"/>
        <v>0</v>
      </c>
      <c r="AF603" s="17">
        <f t="shared" si="368"/>
        <v>0</v>
      </c>
      <c r="AG603" s="17">
        <f t="shared" si="369"/>
        <v>0</v>
      </c>
      <c r="AH603" s="17">
        <f t="shared" si="370"/>
        <v>0</v>
      </c>
      <c r="AI603" s="17">
        <f t="shared" si="371"/>
        <v>0</v>
      </c>
      <c r="AJ603" s="17">
        <f t="shared" si="372"/>
        <v>0</v>
      </c>
      <c r="AK603" s="17">
        <f t="shared" si="373"/>
        <v>0</v>
      </c>
      <c r="AL603" s="17">
        <f t="shared" si="374"/>
        <v>0</v>
      </c>
      <c r="AM603" s="17">
        <f t="shared" si="375"/>
        <v>0</v>
      </c>
      <c r="AN603" s="17">
        <f t="shared" si="376"/>
        <v>0</v>
      </c>
      <c r="AO603" s="17">
        <f t="shared" si="377"/>
        <v>0</v>
      </c>
      <c r="AP603" s="17">
        <f t="shared" si="378"/>
        <v>1000</v>
      </c>
      <c r="AQ603" s="18">
        <v>0</v>
      </c>
      <c r="AR603" s="18">
        <v>0</v>
      </c>
      <c r="AS603" s="18">
        <v>0</v>
      </c>
      <c r="AT603" s="18">
        <v>0</v>
      </c>
      <c r="AU603" s="18">
        <v>0</v>
      </c>
      <c r="AV603" s="18">
        <v>0</v>
      </c>
      <c r="AW603" s="18">
        <v>0</v>
      </c>
      <c r="AX603" s="18">
        <v>0</v>
      </c>
      <c r="AY603" s="18">
        <v>0</v>
      </c>
      <c r="AZ603" s="18">
        <v>0</v>
      </c>
      <c r="BA603" s="18">
        <v>0</v>
      </c>
      <c r="BB603" s="18">
        <v>0</v>
      </c>
      <c r="BC603" s="23">
        <v>8.9181565948742242E-2</v>
      </c>
      <c r="BD603" s="23">
        <v>0.10665277883445198</v>
      </c>
      <c r="BE603" s="23">
        <v>9.438849084854764E-2</v>
      </c>
      <c r="BF603" s="23">
        <v>7.149564986855049E-2</v>
      </c>
      <c r="BG603" s="23">
        <v>0.10368571810536763</v>
      </c>
      <c r="BH603" s="23">
        <v>8.4970330952544637E-2</v>
      </c>
      <c r="BI603" s="23">
        <v>8.4593878877262704E-2</v>
      </c>
      <c r="BJ603" s="23">
        <v>5.7447105462779965E-2</v>
      </c>
      <c r="BK603" s="23">
        <v>8.5153852345557474E-2</v>
      </c>
      <c r="BL603" s="23">
        <v>7.4158058913035174E-2</v>
      </c>
      <c r="BM603" s="23">
        <v>7.5718189192107169E-2</v>
      </c>
      <c r="BN603" s="23">
        <v>7.3955559365675619E-2</v>
      </c>
    </row>
    <row r="604" spans="1:66" x14ac:dyDescent="0.25">
      <c r="A604" s="16">
        <v>3799</v>
      </c>
      <c r="B604" s="16" t="s">
        <v>798</v>
      </c>
      <c r="C604" s="17">
        <v>0</v>
      </c>
      <c r="D604" s="17">
        <f t="shared" si="342"/>
        <v>0</v>
      </c>
      <c r="E604" s="17">
        <f t="shared" si="343"/>
        <v>0</v>
      </c>
      <c r="F604" s="17">
        <f t="shared" si="344"/>
        <v>0</v>
      </c>
      <c r="G604" s="17">
        <f t="shared" si="345"/>
        <v>0</v>
      </c>
      <c r="H604" s="17">
        <f t="shared" si="346"/>
        <v>0</v>
      </c>
      <c r="I604" s="17">
        <f t="shared" si="347"/>
        <v>0</v>
      </c>
      <c r="J604" s="17">
        <f t="shared" si="348"/>
        <v>0</v>
      </c>
      <c r="K604" s="17">
        <f t="shared" si="349"/>
        <v>0</v>
      </c>
      <c r="L604" s="17">
        <f t="shared" si="350"/>
        <v>0</v>
      </c>
      <c r="M604" s="17">
        <f t="shared" si="351"/>
        <v>0</v>
      </c>
      <c r="N604" s="17">
        <f t="shared" si="352"/>
        <v>0</v>
      </c>
      <c r="O604" s="17">
        <f t="shared" si="353"/>
        <v>0</v>
      </c>
      <c r="P604" s="17">
        <v>500</v>
      </c>
      <c r="Q604" s="17">
        <f t="shared" si="354"/>
        <v>44.590782974371123</v>
      </c>
      <c r="R604" s="17">
        <f t="shared" si="355"/>
        <v>53.32638941722599</v>
      </c>
      <c r="S604" s="17">
        <f t="shared" si="356"/>
        <v>47.194245424273824</v>
      </c>
      <c r="T604" s="17">
        <f t="shared" si="357"/>
        <v>35.747824934275243</v>
      </c>
      <c r="U604" s="17">
        <f t="shared" si="358"/>
        <v>51.842859052683814</v>
      </c>
      <c r="V604" s="17">
        <f t="shared" si="359"/>
        <v>42.485165476272321</v>
      </c>
      <c r="W604" s="17">
        <f t="shared" si="360"/>
        <v>42.296939438631355</v>
      </c>
      <c r="X604" s="17">
        <f t="shared" si="361"/>
        <v>28.723552731389983</v>
      </c>
      <c r="Y604" s="17">
        <f t="shared" si="362"/>
        <v>42.576926172778734</v>
      </c>
      <c r="Z604" s="17">
        <f t="shared" si="363"/>
        <v>37.079029456517588</v>
      </c>
      <c r="AA604" s="17">
        <f t="shared" si="364"/>
        <v>37.859094596053588</v>
      </c>
      <c r="AB604" s="17">
        <f t="shared" si="365"/>
        <v>36.977779682837813</v>
      </c>
      <c r="AC604" s="17">
        <v>0</v>
      </c>
      <c r="AD604" s="17">
        <f t="shared" si="366"/>
        <v>0</v>
      </c>
      <c r="AE604" s="17">
        <f t="shared" si="367"/>
        <v>0</v>
      </c>
      <c r="AF604" s="17">
        <f t="shared" si="368"/>
        <v>0</v>
      </c>
      <c r="AG604" s="17">
        <f t="shared" si="369"/>
        <v>0</v>
      </c>
      <c r="AH604" s="17">
        <f t="shared" si="370"/>
        <v>0</v>
      </c>
      <c r="AI604" s="17">
        <f t="shared" si="371"/>
        <v>0</v>
      </c>
      <c r="AJ604" s="17">
        <f t="shared" si="372"/>
        <v>0</v>
      </c>
      <c r="AK604" s="17">
        <f t="shared" si="373"/>
        <v>0</v>
      </c>
      <c r="AL604" s="17">
        <f t="shared" si="374"/>
        <v>0</v>
      </c>
      <c r="AM604" s="17">
        <f t="shared" si="375"/>
        <v>0</v>
      </c>
      <c r="AN604" s="17">
        <f t="shared" si="376"/>
        <v>0</v>
      </c>
      <c r="AO604" s="17">
        <f t="shared" si="377"/>
        <v>0</v>
      </c>
      <c r="AP604" s="17">
        <f t="shared" si="378"/>
        <v>500</v>
      </c>
      <c r="AQ604" s="18">
        <v>0</v>
      </c>
      <c r="AR604" s="18">
        <v>0</v>
      </c>
      <c r="AS604" s="18">
        <v>0</v>
      </c>
      <c r="AT604" s="18">
        <v>0</v>
      </c>
      <c r="AU604" s="18">
        <v>0</v>
      </c>
      <c r="AV604" s="18">
        <v>0</v>
      </c>
      <c r="AW604" s="18">
        <v>0</v>
      </c>
      <c r="AX604" s="18">
        <v>0</v>
      </c>
      <c r="AY604" s="18">
        <v>0</v>
      </c>
      <c r="AZ604" s="18">
        <v>0</v>
      </c>
      <c r="BA604" s="18">
        <v>0</v>
      </c>
      <c r="BB604" s="18">
        <v>0</v>
      </c>
      <c r="BC604" s="23">
        <v>8.9181565948742242E-2</v>
      </c>
      <c r="BD604" s="23">
        <v>0.10665277883445198</v>
      </c>
      <c r="BE604" s="23">
        <v>9.438849084854764E-2</v>
      </c>
      <c r="BF604" s="23">
        <v>7.149564986855049E-2</v>
      </c>
      <c r="BG604" s="23">
        <v>0.10368571810536763</v>
      </c>
      <c r="BH604" s="23">
        <v>8.4970330952544637E-2</v>
      </c>
      <c r="BI604" s="23">
        <v>8.4593878877262704E-2</v>
      </c>
      <c r="BJ604" s="23">
        <v>5.7447105462779965E-2</v>
      </c>
      <c r="BK604" s="23">
        <v>8.5153852345557474E-2</v>
      </c>
      <c r="BL604" s="23">
        <v>7.4158058913035174E-2</v>
      </c>
      <c r="BM604" s="23">
        <v>7.5718189192107169E-2</v>
      </c>
      <c r="BN604" s="23">
        <v>7.3955559365675619E-2</v>
      </c>
    </row>
    <row r="605" spans="1:66" x14ac:dyDescent="0.25">
      <c r="A605" s="16">
        <v>3800</v>
      </c>
      <c r="B605" s="16" t="s">
        <v>799</v>
      </c>
      <c r="C605" s="17">
        <v>0</v>
      </c>
      <c r="D605" s="17">
        <f t="shared" si="342"/>
        <v>0</v>
      </c>
      <c r="E605" s="17">
        <f t="shared" si="343"/>
        <v>0</v>
      </c>
      <c r="F605" s="17">
        <f t="shared" si="344"/>
        <v>0</v>
      </c>
      <c r="G605" s="17">
        <f t="shared" si="345"/>
        <v>0</v>
      </c>
      <c r="H605" s="17">
        <f t="shared" si="346"/>
        <v>0</v>
      </c>
      <c r="I605" s="17">
        <f t="shared" si="347"/>
        <v>0</v>
      </c>
      <c r="J605" s="17">
        <f t="shared" si="348"/>
        <v>0</v>
      </c>
      <c r="K605" s="17">
        <f t="shared" si="349"/>
        <v>0</v>
      </c>
      <c r="L605" s="17">
        <f t="shared" si="350"/>
        <v>0</v>
      </c>
      <c r="M605" s="17">
        <f t="shared" si="351"/>
        <v>0</v>
      </c>
      <c r="N605" s="17">
        <f t="shared" si="352"/>
        <v>0</v>
      </c>
      <c r="O605" s="17">
        <f t="shared" si="353"/>
        <v>0</v>
      </c>
      <c r="P605" s="17">
        <v>0</v>
      </c>
      <c r="Q605" s="17">
        <f t="shared" si="354"/>
        <v>0</v>
      </c>
      <c r="R605" s="17">
        <f t="shared" si="355"/>
        <v>0</v>
      </c>
      <c r="S605" s="17">
        <f t="shared" si="356"/>
        <v>0</v>
      </c>
      <c r="T605" s="17">
        <f t="shared" si="357"/>
        <v>0</v>
      </c>
      <c r="U605" s="17">
        <f t="shared" si="358"/>
        <v>0</v>
      </c>
      <c r="V605" s="17">
        <f t="shared" si="359"/>
        <v>0</v>
      </c>
      <c r="W605" s="17">
        <f t="shared" si="360"/>
        <v>0</v>
      </c>
      <c r="X605" s="17">
        <f t="shared" si="361"/>
        <v>0</v>
      </c>
      <c r="Y605" s="17">
        <f t="shared" si="362"/>
        <v>0</v>
      </c>
      <c r="Z605" s="17">
        <f t="shared" si="363"/>
        <v>0</v>
      </c>
      <c r="AA605" s="17">
        <f t="shared" si="364"/>
        <v>0</v>
      </c>
      <c r="AB605" s="17">
        <f t="shared" si="365"/>
        <v>0</v>
      </c>
      <c r="AC605" s="17">
        <v>0</v>
      </c>
      <c r="AD605" s="17">
        <f t="shared" si="366"/>
        <v>0</v>
      </c>
      <c r="AE605" s="17">
        <f t="shared" si="367"/>
        <v>0</v>
      </c>
      <c r="AF605" s="17">
        <f t="shared" si="368"/>
        <v>0</v>
      </c>
      <c r="AG605" s="17">
        <f t="shared" si="369"/>
        <v>0</v>
      </c>
      <c r="AH605" s="17">
        <f t="shared" si="370"/>
        <v>0</v>
      </c>
      <c r="AI605" s="17">
        <f t="shared" si="371"/>
        <v>0</v>
      </c>
      <c r="AJ605" s="17">
        <f t="shared" si="372"/>
        <v>0</v>
      </c>
      <c r="AK605" s="17">
        <f t="shared" si="373"/>
        <v>0</v>
      </c>
      <c r="AL605" s="17">
        <f t="shared" si="374"/>
        <v>0</v>
      </c>
      <c r="AM605" s="17">
        <f t="shared" si="375"/>
        <v>0</v>
      </c>
      <c r="AN605" s="17">
        <f t="shared" si="376"/>
        <v>0</v>
      </c>
      <c r="AO605" s="17">
        <f t="shared" si="377"/>
        <v>0</v>
      </c>
      <c r="AP605" s="17">
        <f t="shared" si="378"/>
        <v>0</v>
      </c>
      <c r="AQ605" s="18">
        <v>0</v>
      </c>
      <c r="AR605" s="18">
        <v>0</v>
      </c>
      <c r="AS605" s="18">
        <v>0</v>
      </c>
      <c r="AT605" s="18">
        <v>0</v>
      </c>
      <c r="AU605" s="18">
        <v>0</v>
      </c>
      <c r="AV605" s="18">
        <v>0</v>
      </c>
      <c r="AW605" s="18">
        <v>0</v>
      </c>
      <c r="AX605" s="18">
        <v>0</v>
      </c>
      <c r="AY605" s="18">
        <v>0</v>
      </c>
      <c r="AZ605" s="18">
        <v>0</v>
      </c>
      <c r="BA605" s="18">
        <v>0</v>
      </c>
      <c r="BB605" s="18">
        <v>0</v>
      </c>
      <c r="BC605" s="23">
        <v>8.9181565948742242E-2</v>
      </c>
      <c r="BD605" s="23">
        <v>0.10665277883445198</v>
      </c>
      <c r="BE605" s="23">
        <v>9.438849084854764E-2</v>
      </c>
      <c r="BF605" s="23">
        <v>7.149564986855049E-2</v>
      </c>
      <c r="BG605" s="23">
        <v>0.10368571810536763</v>
      </c>
      <c r="BH605" s="23">
        <v>8.4970330952544637E-2</v>
      </c>
      <c r="BI605" s="23">
        <v>8.4593878877262704E-2</v>
      </c>
      <c r="BJ605" s="23">
        <v>5.7447105462779965E-2</v>
      </c>
      <c r="BK605" s="23">
        <v>8.5153852345557474E-2</v>
      </c>
      <c r="BL605" s="23">
        <v>7.4158058913035174E-2</v>
      </c>
      <c r="BM605" s="23">
        <v>7.5718189192107169E-2</v>
      </c>
      <c r="BN605" s="23">
        <v>7.3955559365675619E-2</v>
      </c>
    </row>
    <row r="606" spans="1:66" x14ac:dyDescent="0.25">
      <c r="A606" s="16">
        <v>3823</v>
      </c>
      <c r="B606" s="16" t="s">
        <v>800</v>
      </c>
      <c r="C606" s="17">
        <v>0</v>
      </c>
      <c r="D606" s="17">
        <f t="shared" si="342"/>
        <v>0</v>
      </c>
      <c r="E606" s="17">
        <f t="shared" si="343"/>
        <v>0</v>
      </c>
      <c r="F606" s="17">
        <f t="shared" si="344"/>
        <v>0</v>
      </c>
      <c r="G606" s="17">
        <f t="shared" si="345"/>
        <v>0</v>
      </c>
      <c r="H606" s="17">
        <f t="shared" si="346"/>
        <v>0</v>
      </c>
      <c r="I606" s="17">
        <f t="shared" si="347"/>
        <v>0</v>
      </c>
      <c r="J606" s="17">
        <f t="shared" si="348"/>
        <v>0</v>
      </c>
      <c r="K606" s="17">
        <f t="shared" si="349"/>
        <v>0</v>
      </c>
      <c r="L606" s="17">
        <f t="shared" si="350"/>
        <v>0</v>
      </c>
      <c r="M606" s="17">
        <f t="shared" si="351"/>
        <v>0</v>
      </c>
      <c r="N606" s="17">
        <f t="shared" si="352"/>
        <v>0</v>
      </c>
      <c r="O606" s="17">
        <f t="shared" si="353"/>
        <v>0</v>
      </c>
      <c r="P606" s="17">
        <v>0</v>
      </c>
      <c r="Q606" s="17">
        <f t="shared" si="354"/>
        <v>0</v>
      </c>
      <c r="R606" s="17">
        <f t="shared" si="355"/>
        <v>0</v>
      </c>
      <c r="S606" s="17">
        <f t="shared" si="356"/>
        <v>0</v>
      </c>
      <c r="T606" s="17">
        <f t="shared" si="357"/>
        <v>0</v>
      </c>
      <c r="U606" s="17">
        <f t="shared" si="358"/>
        <v>0</v>
      </c>
      <c r="V606" s="17">
        <f t="shared" si="359"/>
        <v>0</v>
      </c>
      <c r="W606" s="17">
        <f t="shared" si="360"/>
        <v>0</v>
      </c>
      <c r="X606" s="17">
        <f t="shared" si="361"/>
        <v>0</v>
      </c>
      <c r="Y606" s="17">
        <f t="shared" si="362"/>
        <v>0</v>
      </c>
      <c r="Z606" s="17">
        <f t="shared" si="363"/>
        <v>0</v>
      </c>
      <c r="AA606" s="17">
        <f t="shared" si="364"/>
        <v>0</v>
      </c>
      <c r="AB606" s="17">
        <f t="shared" si="365"/>
        <v>0</v>
      </c>
      <c r="AC606" s="17">
        <v>0</v>
      </c>
      <c r="AD606" s="17">
        <f t="shared" si="366"/>
        <v>0</v>
      </c>
      <c r="AE606" s="17">
        <f t="shared" si="367"/>
        <v>0</v>
      </c>
      <c r="AF606" s="17">
        <f t="shared" si="368"/>
        <v>0</v>
      </c>
      <c r="AG606" s="17">
        <f t="shared" si="369"/>
        <v>0</v>
      </c>
      <c r="AH606" s="17">
        <f t="shared" si="370"/>
        <v>0</v>
      </c>
      <c r="AI606" s="17">
        <f t="shared" si="371"/>
        <v>0</v>
      </c>
      <c r="AJ606" s="17">
        <f t="shared" si="372"/>
        <v>0</v>
      </c>
      <c r="AK606" s="17">
        <f t="shared" si="373"/>
        <v>0</v>
      </c>
      <c r="AL606" s="17">
        <f t="shared" si="374"/>
        <v>0</v>
      </c>
      <c r="AM606" s="17">
        <f t="shared" si="375"/>
        <v>0</v>
      </c>
      <c r="AN606" s="17">
        <f t="shared" si="376"/>
        <v>0</v>
      </c>
      <c r="AO606" s="17">
        <f t="shared" si="377"/>
        <v>0</v>
      </c>
      <c r="AP606" s="17">
        <f t="shared" si="378"/>
        <v>0</v>
      </c>
      <c r="AQ606" s="18">
        <v>0</v>
      </c>
      <c r="AR606" s="18">
        <v>0</v>
      </c>
      <c r="AS606" s="18">
        <v>0</v>
      </c>
      <c r="AT606" s="18">
        <v>0</v>
      </c>
      <c r="AU606" s="18">
        <v>0</v>
      </c>
      <c r="AV606" s="18">
        <v>0</v>
      </c>
      <c r="AW606" s="18">
        <v>0</v>
      </c>
      <c r="AX606" s="18">
        <v>0</v>
      </c>
      <c r="AY606" s="18">
        <v>0</v>
      </c>
      <c r="AZ606" s="18">
        <v>0</v>
      </c>
      <c r="BA606" s="18">
        <v>0</v>
      </c>
      <c r="BB606" s="18">
        <v>0</v>
      </c>
      <c r="BC606" s="23">
        <v>8.9181565948742242E-2</v>
      </c>
      <c r="BD606" s="23">
        <v>0.10665277883445198</v>
      </c>
      <c r="BE606" s="23">
        <v>9.438849084854764E-2</v>
      </c>
      <c r="BF606" s="23">
        <v>7.149564986855049E-2</v>
      </c>
      <c r="BG606" s="23">
        <v>0.10368571810536763</v>
      </c>
      <c r="BH606" s="23">
        <v>8.4970330952544637E-2</v>
      </c>
      <c r="BI606" s="23">
        <v>8.4593878877262704E-2</v>
      </c>
      <c r="BJ606" s="23">
        <v>5.7447105462779965E-2</v>
      </c>
      <c r="BK606" s="23">
        <v>8.5153852345557474E-2</v>
      </c>
      <c r="BL606" s="23">
        <v>7.4158058913035174E-2</v>
      </c>
      <c r="BM606" s="23">
        <v>7.5718189192107169E-2</v>
      </c>
      <c r="BN606" s="23">
        <v>7.3955559365675619E-2</v>
      </c>
    </row>
    <row r="607" spans="1:66" x14ac:dyDescent="0.25">
      <c r="A607" s="16">
        <v>3826</v>
      </c>
      <c r="B607" s="16" t="s">
        <v>801</v>
      </c>
      <c r="C607" s="17">
        <v>0</v>
      </c>
      <c r="D607" s="17">
        <f t="shared" si="342"/>
        <v>0</v>
      </c>
      <c r="E607" s="17">
        <f t="shared" si="343"/>
        <v>0</v>
      </c>
      <c r="F607" s="17">
        <f t="shared" si="344"/>
        <v>0</v>
      </c>
      <c r="G607" s="17">
        <f t="shared" si="345"/>
        <v>0</v>
      </c>
      <c r="H607" s="17">
        <f t="shared" si="346"/>
        <v>0</v>
      </c>
      <c r="I607" s="17">
        <f t="shared" si="347"/>
        <v>0</v>
      </c>
      <c r="J607" s="17">
        <f t="shared" si="348"/>
        <v>0</v>
      </c>
      <c r="K607" s="17">
        <f t="shared" si="349"/>
        <v>0</v>
      </c>
      <c r="L607" s="17">
        <f t="shared" si="350"/>
        <v>0</v>
      </c>
      <c r="M607" s="17">
        <f t="shared" si="351"/>
        <v>0</v>
      </c>
      <c r="N607" s="17">
        <f t="shared" si="352"/>
        <v>0</v>
      </c>
      <c r="O607" s="17">
        <f t="shared" si="353"/>
        <v>0</v>
      </c>
      <c r="P607" s="17">
        <v>0</v>
      </c>
      <c r="Q607" s="17">
        <f t="shared" si="354"/>
        <v>0</v>
      </c>
      <c r="R607" s="17">
        <f t="shared" si="355"/>
        <v>0</v>
      </c>
      <c r="S607" s="17">
        <f t="shared" si="356"/>
        <v>0</v>
      </c>
      <c r="T607" s="17">
        <f t="shared" si="357"/>
        <v>0</v>
      </c>
      <c r="U607" s="17">
        <f t="shared" si="358"/>
        <v>0</v>
      </c>
      <c r="V607" s="17">
        <f t="shared" si="359"/>
        <v>0</v>
      </c>
      <c r="W607" s="17">
        <f t="shared" si="360"/>
        <v>0</v>
      </c>
      <c r="X607" s="17">
        <f t="shared" si="361"/>
        <v>0</v>
      </c>
      <c r="Y607" s="17">
        <f t="shared" si="362"/>
        <v>0</v>
      </c>
      <c r="Z607" s="17">
        <f t="shared" si="363"/>
        <v>0</v>
      </c>
      <c r="AA607" s="17">
        <f t="shared" si="364"/>
        <v>0</v>
      </c>
      <c r="AB607" s="17">
        <f t="shared" si="365"/>
        <v>0</v>
      </c>
      <c r="AC607" s="17">
        <v>0</v>
      </c>
      <c r="AD607" s="17">
        <f t="shared" si="366"/>
        <v>0</v>
      </c>
      <c r="AE607" s="17">
        <f t="shared" si="367"/>
        <v>0</v>
      </c>
      <c r="AF607" s="17">
        <f t="shared" si="368"/>
        <v>0</v>
      </c>
      <c r="AG607" s="17">
        <f t="shared" si="369"/>
        <v>0</v>
      </c>
      <c r="AH607" s="17">
        <f t="shared" si="370"/>
        <v>0</v>
      </c>
      <c r="AI607" s="17">
        <f t="shared" si="371"/>
        <v>0</v>
      </c>
      <c r="AJ607" s="17">
        <f t="shared" si="372"/>
        <v>0</v>
      </c>
      <c r="AK607" s="17">
        <f t="shared" si="373"/>
        <v>0</v>
      </c>
      <c r="AL607" s="17">
        <f t="shared" si="374"/>
        <v>0</v>
      </c>
      <c r="AM607" s="17">
        <f t="shared" si="375"/>
        <v>0</v>
      </c>
      <c r="AN607" s="17">
        <f t="shared" si="376"/>
        <v>0</v>
      </c>
      <c r="AO607" s="17">
        <f t="shared" si="377"/>
        <v>0</v>
      </c>
      <c r="AP607" s="17">
        <f t="shared" si="378"/>
        <v>0</v>
      </c>
      <c r="AQ607" s="18">
        <v>0</v>
      </c>
      <c r="AR607" s="18">
        <v>0</v>
      </c>
      <c r="AS607" s="18">
        <v>0</v>
      </c>
      <c r="AT607" s="18">
        <v>0</v>
      </c>
      <c r="AU607" s="18">
        <v>0</v>
      </c>
      <c r="AV607" s="18">
        <v>0</v>
      </c>
      <c r="AW607" s="18">
        <v>0</v>
      </c>
      <c r="AX607" s="18">
        <v>0</v>
      </c>
      <c r="AY607" s="18">
        <v>0</v>
      </c>
      <c r="AZ607" s="18">
        <v>0</v>
      </c>
      <c r="BA607" s="18">
        <v>0</v>
      </c>
      <c r="BB607" s="18">
        <v>0</v>
      </c>
      <c r="BC607" s="23">
        <v>8.9181565948742242E-2</v>
      </c>
      <c r="BD607" s="23">
        <v>0.10665277883445198</v>
      </c>
      <c r="BE607" s="23">
        <v>9.438849084854764E-2</v>
      </c>
      <c r="BF607" s="23">
        <v>7.149564986855049E-2</v>
      </c>
      <c r="BG607" s="23">
        <v>0.10368571810536763</v>
      </c>
      <c r="BH607" s="23">
        <v>8.4970330952544637E-2</v>
      </c>
      <c r="BI607" s="23">
        <v>8.4593878877262704E-2</v>
      </c>
      <c r="BJ607" s="23">
        <v>5.7447105462779965E-2</v>
      </c>
      <c r="BK607" s="23">
        <v>8.5153852345557474E-2</v>
      </c>
      <c r="BL607" s="23">
        <v>7.4158058913035174E-2</v>
      </c>
      <c r="BM607" s="23">
        <v>7.5718189192107169E-2</v>
      </c>
      <c r="BN607" s="23">
        <v>7.3955559365675619E-2</v>
      </c>
    </row>
    <row r="608" spans="1:66" x14ac:dyDescent="0.25">
      <c r="A608" s="16">
        <v>3827</v>
      </c>
      <c r="B608" s="16" t="s">
        <v>802</v>
      </c>
      <c r="C608" s="17">
        <v>0</v>
      </c>
      <c r="D608" s="17">
        <f t="shared" si="342"/>
        <v>0</v>
      </c>
      <c r="E608" s="17">
        <f t="shared" si="343"/>
        <v>0</v>
      </c>
      <c r="F608" s="17">
        <f t="shared" si="344"/>
        <v>0</v>
      </c>
      <c r="G608" s="17">
        <f t="shared" si="345"/>
        <v>0</v>
      </c>
      <c r="H608" s="17">
        <f t="shared" si="346"/>
        <v>0</v>
      </c>
      <c r="I608" s="17">
        <f t="shared" si="347"/>
        <v>0</v>
      </c>
      <c r="J608" s="17">
        <f t="shared" si="348"/>
        <v>0</v>
      </c>
      <c r="K608" s="17">
        <f t="shared" si="349"/>
        <v>0</v>
      </c>
      <c r="L608" s="17">
        <f t="shared" si="350"/>
        <v>0</v>
      </c>
      <c r="M608" s="17">
        <f t="shared" si="351"/>
        <v>0</v>
      </c>
      <c r="N608" s="17">
        <f t="shared" si="352"/>
        <v>0</v>
      </c>
      <c r="O608" s="17">
        <f t="shared" si="353"/>
        <v>0</v>
      </c>
      <c r="P608" s="17">
        <v>4000</v>
      </c>
      <c r="Q608" s="17">
        <f t="shared" si="354"/>
        <v>356.72626379496899</v>
      </c>
      <c r="R608" s="17">
        <f t="shared" si="355"/>
        <v>426.61111533780792</v>
      </c>
      <c r="S608" s="17">
        <f t="shared" si="356"/>
        <v>377.55396339419059</v>
      </c>
      <c r="T608" s="17">
        <f t="shared" si="357"/>
        <v>285.98259947420195</v>
      </c>
      <c r="U608" s="17">
        <f t="shared" si="358"/>
        <v>414.74287242147051</v>
      </c>
      <c r="V608" s="17">
        <f t="shared" si="359"/>
        <v>339.88132381017857</v>
      </c>
      <c r="W608" s="17">
        <f t="shared" si="360"/>
        <v>338.37551550905084</v>
      </c>
      <c r="X608" s="17">
        <f t="shared" si="361"/>
        <v>229.78842185111986</v>
      </c>
      <c r="Y608" s="17">
        <f t="shared" si="362"/>
        <v>340.61540938222987</v>
      </c>
      <c r="Z608" s="17">
        <f t="shared" si="363"/>
        <v>296.63223565214071</v>
      </c>
      <c r="AA608" s="17">
        <f t="shared" si="364"/>
        <v>302.8727567684287</v>
      </c>
      <c r="AB608" s="17">
        <f t="shared" si="365"/>
        <v>295.8222374627025</v>
      </c>
      <c r="AC608" s="17">
        <v>0</v>
      </c>
      <c r="AD608" s="17">
        <f t="shared" si="366"/>
        <v>0</v>
      </c>
      <c r="AE608" s="17">
        <f t="shared" si="367"/>
        <v>0</v>
      </c>
      <c r="AF608" s="17">
        <f t="shared" si="368"/>
        <v>0</v>
      </c>
      <c r="AG608" s="17">
        <f t="shared" si="369"/>
        <v>0</v>
      </c>
      <c r="AH608" s="17">
        <f t="shared" si="370"/>
        <v>0</v>
      </c>
      <c r="AI608" s="17">
        <f t="shared" si="371"/>
        <v>0</v>
      </c>
      <c r="AJ608" s="17">
        <f t="shared" si="372"/>
        <v>0</v>
      </c>
      <c r="AK608" s="17">
        <f t="shared" si="373"/>
        <v>0</v>
      </c>
      <c r="AL608" s="17">
        <f t="shared" si="374"/>
        <v>0</v>
      </c>
      <c r="AM608" s="17">
        <f t="shared" si="375"/>
        <v>0</v>
      </c>
      <c r="AN608" s="17">
        <f t="shared" si="376"/>
        <v>0</v>
      </c>
      <c r="AO608" s="17">
        <f t="shared" si="377"/>
        <v>0</v>
      </c>
      <c r="AP608" s="17">
        <f t="shared" si="378"/>
        <v>4000</v>
      </c>
      <c r="AQ608" s="18">
        <v>48.029624157354625</v>
      </c>
      <c r="AR608" s="18">
        <v>57.43892056908247</v>
      </c>
      <c r="AS608" s="18">
        <v>50.83386563139382</v>
      </c>
      <c r="AT608" s="18">
        <v>38.504697193206553</v>
      </c>
      <c r="AU608" s="18">
        <v>55.840980342826796</v>
      </c>
      <c r="AV608" s="18">
        <v>45.761621437802447</v>
      </c>
      <c r="AW608" s="18">
        <v>45.558879408138608</v>
      </c>
      <c r="AX608" s="18">
        <v>30.93871311803478</v>
      </c>
      <c r="AY608" s="18">
        <v>45.860458719223438</v>
      </c>
      <c r="AZ608" s="18">
        <v>39.938564208204227</v>
      </c>
      <c r="BA608" s="18">
        <v>40.778787971301242</v>
      </c>
      <c r="BB608" s="18">
        <v>39.829506051978264</v>
      </c>
      <c r="BC608" s="23">
        <v>8.9181565948742242E-2</v>
      </c>
      <c r="BD608" s="23">
        <v>0.10665277883445198</v>
      </c>
      <c r="BE608" s="23">
        <v>9.438849084854764E-2</v>
      </c>
      <c r="BF608" s="23">
        <v>7.149564986855049E-2</v>
      </c>
      <c r="BG608" s="23">
        <v>0.10368571810536763</v>
      </c>
      <c r="BH608" s="23">
        <v>8.4970330952544637E-2</v>
      </c>
      <c r="BI608" s="23">
        <v>8.4593878877262704E-2</v>
      </c>
      <c r="BJ608" s="23">
        <v>5.7447105462779965E-2</v>
      </c>
      <c r="BK608" s="23">
        <v>8.5153852345557474E-2</v>
      </c>
      <c r="BL608" s="23">
        <v>7.4158058913035174E-2</v>
      </c>
      <c r="BM608" s="23">
        <v>7.5718189192107169E-2</v>
      </c>
      <c r="BN608" s="23">
        <v>7.3955559365675619E-2</v>
      </c>
    </row>
    <row r="609" spans="1:66" x14ac:dyDescent="0.25">
      <c r="A609" s="16">
        <v>3840</v>
      </c>
      <c r="B609" s="16" t="s">
        <v>803</v>
      </c>
      <c r="C609" s="17">
        <v>0</v>
      </c>
      <c r="D609" s="17">
        <f t="shared" si="342"/>
        <v>0</v>
      </c>
      <c r="E609" s="17">
        <f t="shared" si="343"/>
        <v>0</v>
      </c>
      <c r="F609" s="17">
        <f t="shared" si="344"/>
        <v>0</v>
      </c>
      <c r="G609" s="17">
        <f t="shared" si="345"/>
        <v>0</v>
      </c>
      <c r="H609" s="17">
        <f t="shared" si="346"/>
        <v>0</v>
      </c>
      <c r="I609" s="17">
        <f t="shared" si="347"/>
        <v>0</v>
      </c>
      <c r="J609" s="17">
        <f t="shared" si="348"/>
        <v>0</v>
      </c>
      <c r="K609" s="17">
        <f t="shared" si="349"/>
        <v>0</v>
      </c>
      <c r="L609" s="17">
        <f t="shared" si="350"/>
        <v>0</v>
      </c>
      <c r="M609" s="17">
        <f t="shared" si="351"/>
        <v>0</v>
      </c>
      <c r="N609" s="17">
        <f t="shared" si="352"/>
        <v>0</v>
      </c>
      <c r="O609" s="17">
        <f t="shared" si="353"/>
        <v>0</v>
      </c>
      <c r="P609" s="17">
        <v>0</v>
      </c>
      <c r="Q609" s="17">
        <f t="shared" si="354"/>
        <v>0</v>
      </c>
      <c r="R609" s="17">
        <f t="shared" si="355"/>
        <v>0</v>
      </c>
      <c r="S609" s="17">
        <f t="shared" si="356"/>
        <v>0</v>
      </c>
      <c r="T609" s="17">
        <f t="shared" si="357"/>
        <v>0</v>
      </c>
      <c r="U609" s="17">
        <f t="shared" si="358"/>
        <v>0</v>
      </c>
      <c r="V609" s="17">
        <f t="shared" si="359"/>
        <v>0</v>
      </c>
      <c r="W609" s="17">
        <f t="shared" si="360"/>
        <v>0</v>
      </c>
      <c r="X609" s="17">
        <f t="shared" si="361"/>
        <v>0</v>
      </c>
      <c r="Y609" s="17">
        <f t="shared" si="362"/>
        <v>0</v>
      </c>
      <c r="Z609" s="17">
        <f t="shared" si="363"/>
        <v>0</v>
      </c>
      <c r="AA609" s="17">
        <f t="shared" si="364"/>
        <v>0</v>
      </c>
      <c r="AB609" s="17">
        <f t="shared" si="365"/>
        <v>0</v>
      </c>
      <c r="AC609" s="17">
        <v>0</v>
      </c>
      <c r="AD609" s="17">
        <f t="shared" si="366"/>
        <v>0</v>
      </c>
      <c r="AE609" s="17">
        <f t="shared" si="367"/>
        <v>0</v>
      </c>
      <c r="AF609" s="17">
        <f t="shared" si="368"/>
        <v>0</v>
      </c>
      <c r="AG609" s="17">
        <f t="shared" si="369"/>
        <v>0</v>
      </c>
      <c r="AH609" s="17">
        <f t="shared" si="370"/>
        <v>0</v>
      </c>
      <c r="AI609" s="17">
        <f t="shared" si="371"/>
        <v>0</v>
      </c>
      <c r="AJ609" s="17">
        <f t="shared" si="372"/>
        <v>0</v>
      </c>
      <c r="AK609" s="17">
        <f t="shared" si="373"/>
        <v>0</v>
      </c>
      <c r="AL609" s="17">
        <f t="shared" si="374"/>
        <v>0</v>
      </c>
      <c r="AM609" s="17">
        <f t="shared" si="375"/>
        <v>0</v>
      </c>
      <c r="AN609" s="17">
        <f t="shared" si="376"/>
        <v>0</v>
      </c>
      <c r="AO609" s="17">
        <f t="shared" si="377"/>
        <v>0</v>
      </c>
      <c r="AP609" s="17">
        <f t="shared" si="378"/>
        <v>0</v>
      </c>
      <c r="AQ609" s="18">
        <v>89.937825627987579</v>
      </c>
      <c r="AR609" s="18">
        <v>107.55719439896814</v>
      </c>
      <c r="AS609" s="18">
        <v>95.188905250943321</v>
      </c>
      <c r="AT609" s="18">
        <v>72.101932979435801</v>
      </c>
      <c r="AU609" s="18">
        <v>104.56497299490114</v>
      </c>
      <c r="AV609" s="18">
        <v>85.690879359022219</v>
      </c>
      <c r="AW609" s="18">
        <v>85.311234970141896</v>
      </c>
      <c r="AX609" s="18">
        <v>57.934256917104342</v>
      </c>
      <c r="AY609" s="18">
        <v>85.875957013447803</v>
      </c>
      <c r="AZ609" s="18">
        <v>74.786919252617707</v>
      </c>
      <c r="BA609" s="18">
        <v>76.360279436456238</v>
      </c>
      <c r="BB609" s="18">
        <v>74.582702509096549</v>
      </c>
      <c r="BC609" s="23">
        <v>8.9181565948742242E-2</v>
      </c>
      <c r="BD609" s="23">
        <v>0.10665277883445198</v>
      </c>
      <c r="BE609" s="23">
        <v>9.438849084854764E-2</v>
      </c>
      <c r="BF609" s="23">
        <v>7.149564986855049E-2</v>
      </c>
      <c r="BG609" s="23">
        <v>0.10368571810536763</v>
      </c>
      <c r="BH609" s="23">
        <v>8.4970330952544637E-2</v>
      </c>
      <c r="BI609" s="23">
        <v>8.4593878877262704E-2</v>
      </c>
      <c r="BJ609" s="23">
        <v>5.7447105462779965E-2</v>
      </c>
      <c r="BK609" s="23">
        <v>8.5153852345557474E-2</v>
      </c>
      <c r="BL609" s="23">
        <v>7.4158058913035174E-2</v>
      </c>
      <c r="BM609" s="23">
        <v>7.5718189192107169E-2</v>
      </c>
      <c r="BN609" s="23">
        <v>7.3955559365675619E-2</v>
      </c>
    </row>
    <row r="610" spans="1:66" x14ac:dyDescent="0.25">
      <c r="A610" s="16">
        <v>3841</v>
      </c>
      <c r="B610" s="16" t="s">
        <v>804</v>
      </c>
      <c r="C610" s="17">
        <v>0</v>
      </c>
      <c r="D610" s="17">
        <f t="shared" si="342"/>
        <v>0</v>
      </c>
      <c r="E610" s="17">
        <f t="shared" si="343"/>
        <v>0</v>
      </c>
      <c r="F610" s="17">
        <f t="shared" si="344"/>
        <v>0</v>
      </c>
      <c r="G610" s="17">
        <f t="shared" si="345"/>
        <v>0</v>
      </c>
      <c r="H610" s="17">
        <f t="shared" si="346"/>
        <v>0</v>
      </c>
      <c r="I610" s="17">
        <f t="shared" si="347"/>
        <v>0</v>
      </c>
      <c r="J610" s="17">
        <f t="shared" si="348"/>
        <v>0</v>
      </c>
      <c r="K610" s="17">
        <f t="shared" si="349"/>
        <v>0</v>
      </c>
      <c r="L610" s="17">
        <f t="shared" si="350"/>
        <v>0</v>
      </c>
      <c r="M610" s="17">
        <f t="shared" si="351"/>
        <v>0</v>
      </c>
      <c r="N610" s="17">
        <f t="shared" si="352"/>
        <v>0</v>
      </c>
      <c r="O610" s="17">
        <f t="shared" si="353"/>
        <v>0</v>
      </c>
      <c r="P610" s="17">
        <v>8000</v>
      </c>
      <c r="Q610" s="17">
        <f t="shared" si="354"/>
        <v>713.45252758993797</v>
      </c>
      <c r="R610" s="17">
        <f t="shared" si="355"/>
        <v>853.22223067561583</v>
      </c>
      <c r="S610" s="17">
        <f t="shared" si="356"/>
        <v>755.10792678838118</v>
      </c>
      <c r="T610" s="17">
        <f t="shared" si="357"/>
        <v>571.96519894840389</v>
      </c>
      <c r="U610" s="17">
        <f t="shared" si="358"/>
        <v>829.48574484294102</v>
      </c>
      <c r="V610" s="17">
        <f t="shared" si="359"/>
        <v>679.76264762035714</v>
      </c>
      <c r="W610" s="17">
        <f t="shared" si="360"/>
        <v>676.75103101810168</v>
      </c>
      <c r="X610" s="17">
        <f t="shared" si="361"/>
        <v>459.57684370223973</v>
      </c>
      <c r="Y610" s="17">
        <f t="shared" si="362"/>
        <v>681.23081876445974</v>
      </c>
      <c r="Z610" s="17">
        <f t="shared" si="363"/>
        <v>593.26447130428141</v>
      </c>
      <c r="AA610" s="17">
        <f t="shared" si="364"/>
        <v>605.7455135368574</v>
      </c>
      <c r="AB610" s="17">
        <f t="shared" si="365"/>
        <v>591.64447492540501</v>
      </c>
      <c r="AC610" s="17">
        <v>0</v>
      </c>
      <c r="AD610" s="17">
        <f t="shared" si="366"/>
        <v>0</v>
      </c>
      <c r="AE610" s="17">
        <f t="shared" si="367"/>
        <v>0</v>
      </c>
      <c r="AF610" s="17">
        <f t="shared" si="368"/>
        <v>0</v>
      </c>
      <c r="AG610" s="17">
        <f t="shared" si="369"/>
        <v>0</v>
      </c>
      <c r="AH610" s="17">
        <f t="shared" si="370"/>
        <v>0</v>
      </c>
      <c r="AI610" s="17">
        <f t="shared" si="371"/>
        <v>0</v>
      </c>
      <c r="AJ610" s="17">
        <f t="shared" si="372"/>
        <v>0</v>
      </c>
      <c r="AK610" s="17">
        <f t="shared" si="373"/>
        <v>0</v>
      </c>
      <c r="AL610" s="17">
        <f t="shared" si="374"/>
        <v>0</v>
      </c>
      <c r="AM610" s="17">
        <f t="shared" si="375"/>
        <v>0</v>
      </c>
      <c r="AN610" s="17">
        <f t="shared" si="376"/>
        <v>0</v>
      </c>
      <c r="AO610" s="17">
        <f t="shared" si="377"/>
        <v>0</v>
      </c>
      <c r="AP610" s="17">
        <f t="shared" si="378"/>
        <v>8000</v>
      </c>
      <c r="AQ610" s="18">
        <v>12.007406039338656</v>
      </c>
      <c r="AR610" s="18">
        <v>14.359730142270617</v>
      </c>
      <c r="AS610" s="18">
        <v>12.708466407848455</v>
      </c>
      <c r="AT610" s="18">
        <v>9.6261742983016383</v>
      </c>
      <c r="AU610" s="18">
        <v>13.960245085706699</v>
      </c>
      <c r="AV610" s="18">
        <v>11.440405359450612</v>
      </c>
      <c r="AW610" s="18">
        <v>11.389719852034652</v>
      </c>
      <c r="AX610" s="18">
        <v>7.734678279508695</v>
      </c>
      <c r="AY610" s="18">
        <v>11.465114679805859</v>
      </c>
      <c r="AZ610" s="18">
        <v>9.9846410520510567</v>
      </c>
      <c r="BA610" s="18">
        <v>10.19469699282531</v>
      </c>
      <c r="BB610" s="18">
        <v>9.9573765129945659</v>
      </c>
      <c r="BC610" s="23">
        <v>8.9181565948742242E-2</v>
      </c>
      <c r="BD610" s="23">
        <v>0.10665277883445198</v>
      </c>
      <c r="BE610" s="23">
        <v>9.438849084854764E-2</v>
      </c>
      <c r="BF610" s="23">
        <v>7.149564986855049E-2</v>
      </c>
      <c r="BG610" s="23">
        <v>0.10368571810536763</v>
      </c>
      <c r="BH610" s="23">
        <v>8.4970330952544637E-2</v>
      </c>
      <c r="BI610" s="23">
        <v>8.4593878877262704E-2</v>
      </c>
      <c r="BJ610" s="23">
        <v>5.7447105462779965E-2</v>
      </c>
      <c r="BK610" s="23">
        <v>8.5153852345557474E-2</v>
      </c>
      <c r="BL610" s="23">
        <v>7.4158058913035174E-2</v>
      </c>
      <c r="BM610" s="23">
        <v>7.5718189192107169E-2</v>
      </c>
      <c r="BN610" s="23">
        <v>7.3955559365675619E-2</v>
      </c>
    </row>
    <row r="611" spans="1:66" x14ac:dyDescent="0.25">
      <c r="A611" s="16">
        <v>3843</v>
      </c>
      <c r="B611" s="16" t="s">
        <v>805</v>
      </c>
      <c r="C611" s="17">
        <v>0</v>
      </c>
      <c r="D611" s="17">
        <f t="shared" si="342"/>
        <v>0</v>
      </c>
      <c r="E611" s="17">
        <f t="shared" si="343"/>
        <v>0</v>
      </c>
      <c r="F611" s="17">
        <f t="shared" si="344"/>
        <v>0</v>
      </c>
      <c r="G611" s="17">
        <f t="shared" si="345"/>
        <v>0</v>
      </c>
      <c r="H611" s="17">
        <f t="shared" si="346"/>
        <v>0</v>
      </c>
      <c r="I611" s="17">
        <f t="shared" si="347"/>
        <v>0</v>
      </c>
      <c r="J611" s="17">
        <f t="shared" si="348"/>
        <v>0</v>
      </c>
      <c r="K611" s="17">
        <f t="shared" si="349"/>
        <v>0</v>
      </c>
      <c r="L611" s="17">
        <f t="shared" si="350"/>
        <v>0</v>
      </c>
      <c r="M611" s="17">
        <f t="shared" si="351"/>
        <v>0</v>
      </c>
      <c r="N611" s="17">
        <f t="shared" si="352"/>
        <v>0</v>
      </c>
      <c r="O611" s="17">
        <f t="shared" si="353"/>
        <v>0</v>
      </c>
      <c r="P611" s="17">
        <v>0</v>
      </c>
      <c r="Q611" s="17">
        <f t="shared" si="354"/>
        <v>0</v>
      </c>
      <c r="R611" s="17">
        <f t="shared" si="355"/>
        <v>0</v>
      </c>
      <c r="S611" s="17">
        <f t="shared" si="356"/>
        <v>0</v>
      </c>
      <c r="T611" s="17">
        <f t="shared" si="357"/>
        <v>0</v>
      </c>
      <c r="U611" s="17">
        <f t="shared" si="358"/>
        <v>0</v>
      </c>
      <c r="V611" s="17">
        <f t="shared" si="359"/>
        <v>0</v>
      </c>
      <c r="W611" s="17">
        <f t="shared" si="360"/>
        <v>0</v>
      </c>
      <c r="X611" s="17">
        <f t="shared" si="361"/>
        <v>0</v>
      </c>
      <c r="Y611" s="17">
        <f t="shared" si="362"/>
        <v>0</v>
      </c>
      <c r="Z611" s="17">
        <f t="shared" si="363"/>
        <v>0</v>
      </c>
      <c r="AA611" s="17">
        <f t="shared" si="364"/>
        <v>0</v>
      </c>
      <c r="AB611" s="17">
        <f t="shared" si="365"/>
        <v>0</v>
      </c>
      <c r="AC611" s="17">
        <v>0</v>
      </c>
      <c r="AD611" s="17">
        <f t="shared" si="366"/>
        <v>0</v>
      </c>
      <c r="AE611" s="17">
        <f t="shared" si="367"/>
        <v>0</v>
      </c>
      <c r="AF611" s="17">
        <f t="shared" si="368"/>
        <v>0</v>
      </c>
      <c r="AG611" s="17">
        <f t="shared" si="369"/>
        <v>0</v>
      </c>
      <c r="AH611" s="17">
        <f t="shared" si="370"/>
        <v>0</v>
      </c>
      <c r="AI611" s="17">
        <f t="shared" si="371"/>
        <v>0</v>
      </c>
      <c r="AJ611" s="17">
        <f t="shared" si="372"/>
        <v>0</v>
      </c>
      <c r="AK611" s="17">
        <f t="shared" si="373"/>
        <v>0</v>
      </c>
      <c r="AL611" s="17">
        <f t="shared" si="374"/>
        <v>0</v>
      </c>
      <c r="AM611" s="17">
        <f t="shared" si="375"/>
        <v>0</v>
      </c>
      <c r="AN611" s="17">
        <f t="shared" si="376"/>
        <v>0</v>
      </c>
      <c r="AO611" s="17">
        <f t="shared" si="377"/>
        <v>0</v>
      </c>
      <c r="AP611" s="17">
        <f t="shared" si="378"/>
        <v>0</v>
      </c>
      <c r="AQ611" s="18">
        <v>0</v>
      </c>
      <c r="AR611" s="18">
        <v>0</v>
      </c>
      <c r="AS611" s="18">
        <v>0</v>
      </c>
      <c r="AT611" s="18">
        <v>0</v>
      </c>
      <c r="AU611" s="18">
        <v>0</v>
      </c>
      <c r="AV611" s="18">
        <v>0</v>
      </c>
      <c r="AW611" s="18">
        <v>0</v>
      </c>
      <c r="AX611" s="18">
        <v>0</v>
      </c>
      <c r="AY611" s="18">
        <v>0</v>
      </c>
      <c r="AZ611" s="18">
        <v>0</v>
      </c>
      <c r="BA611" s="18">
        <v>0</v>
      </c>
      <c r="BB611" s="18">
        <v>0</v>
      </c>
      <c r="BC611" s="23">
        <v>8.9181565948742242E-2</v>
      </c>
      <c r="BD611" s="23">
        <v>0.10665277883445198</v>
      </c>
      <c r="BE611" s="23">
        <v>9.438849084854764E-2</v>
      </c>
      <c r="BF611" s="23">
        <v>7.149564986855049E-2</v>
      </c>
      <c r="BG611" s="23">
        <v>0.10368571810536763</v>
      </c>
      <c r="BH611" s="23">
        <v>8.4970330952544637E-2</v>
      </c>
      <c r="BI611" s="23">
        <v>8.4593878877262704E-2</v>
      </c>
      <c r="BJ611" s="23">
        <v>5.7447105462779965E-2</v>
      </c>
      <c r="BK611" s="23">
        <v>8.5153852345557474E-2</v>
      </c>
      <c r="BL611" s="23">
        <v>7.4158058913035174E-2</v>
      </c>
      <c r="BM611" s="23">
        <v>7.5718189192107169E-2</v>
      </c>
      <c r="BN611" s="23">
        <v>7.3955559365675619E-2</v>
      </c>
    </row>
    <row r="612" spans="1:66" x14ac:dyDescent="0.25">
      <c r="A612" s="16">
        <v>3844</v>
      </c>
      <c r="B612" s="16" t="s">
        <v>806</v>
      </c>
      <c r="C612" s="17">
        <v>0</v>
      </c>
      <c r="D612" s="17">
        <f t="shared" si="342"/>
        <v>0</v>
      </c>
      <c r="E612" s="17">
        <f t="shared" si="343"/>
        <v>0</v>
      </c>
      <c r="F612" s="17">
        <f t="shared" si="344"/>
        <v>0</v>
      </c>
      <c r="G612" s="17">
        <f t="shared" si="345"/>
        <v>0</v>
      </c>
      <c r="H612" s="17">
        <f t="shared" si="346"/>
        <v>0</v>
      </c>
      <c r="I612" s="17">
        <f t="shared" si="347"/>
        <v>0</v>
      </c>
      <c r="J612" s="17">
        <f t="shared" si="348"/>
        <v>0</v>
      </c>
      <c r="K612" s="17">
        <f t="shared" si="349"/>
        <v>0</v>
      </c>
      <c r="L612" s="17">
        <f t="shared" si="350"/>
        <v>0</v>
      </c>
      <c r="M612" s="17">
        <f t="shared" si="351"/>
        <v>0</v>
      </c>
      <c r="N612" s="17">
        <f t="shared" si="352"/>
        <v>0</v>
      </c>
      <c r="O612" s="17">
        <f t="shared" si="353"/>
        <v>0</v>
      </c>
      <c r="P612" s="17">
        <v>0</v>
      </c>
      <c r="Q612" s="17">
        <f t="shared" si="354"/>
        <v>0</v>
      </c>
      <c r="R612" s="17">
        <f t="shared" si="355"/>
        <v>0</v>
      </c>
      <c r="S612" s="17">
        <f t="shared" si="356"/>
        <v>0</v>
      </c>
      <c r="T612" s="17">
        <f t="shared" si="357"/>
        <v>0</v>
      </c>
      <c r="U612" s="17">
        <f t="shared" si="358"/>
        <v>0</v>
      </c>
      <c r="V612" s="17">
        <f t="shared" si="359"/>
        <v>0</v>
      </c>
      <c r="W612" s="17">
        <f t="shared" si="360"/>
        <v>0</v>
      </c>
      <c r="X612" s="17">
        <f t="shared" si="361"/>
        <v>0</v>
      </c>
      <c r="Y612" s="17">
        <f t="shared" si="362"/>
        <v>0</v>
      </c>
      <c r="Z612" s="17">
        <f t="shared" si="363"/>
        <v>0</v>
      </c>
      <c r="AA612" s="17">
        <f t="shared" si="364"/>
        <v>0</v>
      </c>
      <c r="AB612" s="17">
        <f t="shared" si="365"/>
        <v>0</v>
      </c>
      <c r="AC612" s="17">
        <v>0</v>
      </c>
      <c r="AD612" s="17">
        <f t="shared" si="366"/>
        <v>0</v>
      </c>
      <c r="AE612" s="17">
        <f t="shared" si="367"/>
        <v>0</v>
      </c>
      <c r="AF612" s="17">
        <f t="shared" si="368"/>
        <v>0</v>
      </c>
      <c r="AG612" s="17">
        <f t="shared" si="369"/>
        <v>0</v>
      </c>
      <c r="AH612" s="17">
        <f t="shared" si="370"/>
        <v>0</v>
      </c>
      <c r="AI612" s="17">
        <f t="shared" si="371"/>
        <v>0</v>
      </c>
      <c r="AJ612" s="17">
        <f t="shared" si="372"/>
        <v>0</v>
      </c>
      <c r="AK612" s="17">
        <f t="shared" si="373"/>
        <v>0</v>
      </c>
      <c r="AL612" s="17">
        <f t="shared" si="374"/>
        <v>0</v>
      </c>
      <c r="AM612" s="17">
        <f t="shared" si="375"/>
        <v>0</v>
      </c>
      <c r="AN612" s="17">
        <f t="shared" si="376"/>
        <v>0</v>
      </c>
      <c r="AO612" s="17">
        <f t="shared" si="377"/>
        <v>0</v>
      </c>
      <c r="AP612" s="17">
        <f t="shared" si="378"/>
        <v>0</v>
      </c>
      <c r="AQ612" s="18">
        <v>16.549423193108098</v>
      </c>
      <c r="AR612" s="18">
        <v>19.791556168309253</v>
      </c>
      <c r="AS612" s="18">
        <v>17.515672246764986</v>
      </c>
      <c r="AT612" s="18">
        <v>13.267447746106914</v>
      </c>
      <c r="AU612" s="18">
        <v>19.240958708813071</v>
      </c>
      <c r="AV612" s="18">
        <v>15.767944314863708</v>
      </c>
      <c r="AW612" s="18">
        <v>15.69808610325364</v>
      </c>
      <c r="AX612" s="18">
        <v>10.660459360728078</v>
      </c>
      <c r="AY612" s="18">
        <v>15.802000379765099</v>
      </c>
      <c r="AZ612" s="18">
        <v>13.761510992491937</v>
      </c>
      <c r="BA612" s="18">
        <v>14.051024368379327</v>
      </c>
      <c r="BB612" s="18">
        <v>13.723933151488424</v>
      </c>
      <c r="BC612" s="23">
        <v>8.9181565948742242E-2</v>
      </c>
      <c r="BD612" s="23">
        <v>0.10665277883445198</v>
      </c>
      <c r="BE612" s="23">
        <v>9.438849084854764E-2</v>
      </c>
      <c r="BF612" s="23">
        <v>7.149564986855049E-2</v>
      </c>
      <c r="BG612" s="23">
        <v>0.10368571810536763</v>
      </c>
      <c r="BH612" s="23">
        <v>8.4970330952544637E-2</v>
      </c>
      <c r="BI612" s="23">
        <v>8.4593878877262704E-2</v>
      </c>
      <c r="BJ612" s="23">
        <v>5.7447105462779965E-2</v>
      </c>
      <c r="BK612" s="23">
        <v>8.5153852345557474E-2</v>
      </c>
      <c r="BL612" s="23">
        <v>7.4158058913035174E-2</v>
      </c>
      <c r="BM612" s="23">
        <v>7.5718189192107169E-2</v>
      </c>
      <c r="BN612" s="23">
        <v>7.3955559365675619E-2</v>
      </c>
    </row>
    <row r="613" spans="1:66" x14ac:dyDescent="0.25">
      <c r="A613" s="16">
        <v>3853</v>
      </c>
      <c r="B613" s="16" t="s">
        <v>807</v>
      </c>
      <c r="C613" s="17">
        <v>0</v>
      </c>
      <c r="D613" s="17">
        <f t="shared" si="342"/>
        <v>0</v>
      </c>
      <c r="E613" s="17">
        <f t="shared" si="343"/>
        <v>0</v>
      </c>
      <c r="F613" s="17">
        <f t="shared" si="344"/>
        <v>0</v>
      </c>
      <c r="G613" s="17">
        <f t="shared" si="345"/>
        <v>0</v>
      </c>
      <c r="H613" s="17">
        <f t="shared" si="346"/>
        <v>0</v>
      </c>
      <c r="I613" s="17">
        <f t="shared" si="347"/>
        <v>0</v>
      </c>
      <c r="J613" s="17">
        <f t="shared" si="348"/>
        <v>0</v>
      </c>
      <c r="K613" s="17">
        <f t="shared" si="349"/>
        <v>0</v>
      </c>
      <c r="L613" s="17">
        <f t="shared" si="350"/>
        <v>0</v>
      </c>
      <c r="M613" s="17">
        <f t="shared" si="351"/>
        <v>0</v>
      </c>
      <c r="N613" s="17">
        <f t="shared" si="352"/>
        <v>0</v>
      </c>
      <c r="O613" s="17">
        <f t="shared" si="353"/>
        <v>0</v>
      </c>
      <c r="P613" s="17">
        <v>0</v>
      </c>
      <c r="Q613" s="17">
        <f t="shared" si="354"/>
        <v>0</v>
      </c>
      <c r="R613" s="17">
        <f t="shared" si="355"/>
        <v>0</v>
      </c>
      <c r="S613" s="17">
        <f t="shared" si="356"/>
        <v>0</v>
      </c>
      <c r="T613" s="17">
        <f t="shared" si="357"/>
        <v>0</v>
      </c>
      <c r="U613" s="17">
        <f t="shared" si="358"/>
        <v>0</v>
      </c>
      <c r="V613" s="17">
        <f t="shared" si="359"/>
        <v>0</v>
      </c>
      <c r="W613" s="17">
        <f t="shared" si="360"/>
        <v>0</v>
      </c>
      <c r="X613" s="17">
        <f t="shared" si="361"/>
        <v>0</v>
      </c>
      <c r="Y613" s="17">
        <f t="shared" si="362"/>
        <v>0</v>
      </c>
      <c r="Z613" s="17">
        <f t="shared" si="363"/>
        <v>0</v>
      </c>
      <c r="AA613" s="17">
        <f t="shared" si="364"/>
        <v>0</v>
      </c>
      <c r="AB613" s="17">
        <f t="shared" si="365"/>
        <v>0</v>
      </c>
      <c r="AC613" s="17">
        <v>0</v>
      </c>
      <c r="AD613" s="17">
        <f t="shared" si="366"/>
        <v>0</v>
      </c>
      <c r="AE613" s="17">
        <f t="shared" si="367"/>
        <v>0</v>
      </c>
      <c r="AF613" s="17">
        <f t="shared" si="368"/>
        <v>0</v>
      </c>
      <c r="AG613" s="17">
        <f t="shared" si="369"/>
        <v>0</v>
      </c>
      <c r="AH613" s="17">
        <f t="shared" si="370"/>
        <v>0</v>
      </c>
      <c r="AI613" s="17">
        <f t="shared" si="371"/>
        <v>0</v>
      </c>
      <c r="AJ613" s="17">
        <f t="shared" si="372"/>
        <v>0</v>
      </c>
      <c r="AK613" s="17">
        <f t="shared" si="373"/>
        <v>0</v>
      </c>
      <c r="AL613" s="17">
        <f t="shared" si="374"/>
        <v>0</v>
      </c>
      <c r="AM613" s="17">
        <f t="shared" si="375"/>
        <v>0</v>
      </c>
      <c r="AN613" s="17">
        <f t="shared" si="376"/>
        <v>0</v>
      </c>
      <c r="AO613" s="17">
        <f t="shared" si="377"/>
        <v>0</v>
      </c>
      <c r="AP613" s="17">
        <f t="shared" si="378"/>
        <v>0</v>
      </c>
      <c r="AQ613" s="18">
        <v>0</v>
      </c>
      <c r="AR613" s="18">
        <v>0</v>
      </c>
      <c r="AS613" s="18">
        <v>0</v>
      </c>
      <c r="AT613" s="18">
        <v>0</v>
      </c>
      <c r="AU613" s="18">
        <v>0</v>
      </c>
      <c r="AV613" s="18">
        <v>0</v>
      </c>
      <c r="AW613" s="18">
        <v>0</v>
      </c>
      <c r="AX613" s="18">
        <v>0</v>
      </c>
      <c r="AY613" s="18">
        <v>0</v>
      </c>
      <c r="AZ613" s="18">
        <v>0</v>
      </c>
      <c r="BA613" s="18">
        <v>0</v>
      </c>
      <c r="BB613" s="18">
        <v>0</v>
      </c>
      <c r="BC613" s="23">
        <v>8.9181565948742242E-2</v>
      </c>
      <c r="BD613" s="23">
        <v>0.10665277883445198</v>
      </c>
      <c r="BE613" s="23">
        <v>9.438849084854764E-2</v>
      </c>
      <c r="BF613" s="23">
        <v>7.149564986855049E-2</v>
      </c>
      <c r="BG613" s="23">
        <v>0.10368571810536763</v>
      </c>
      <c r="BH613" s="23">
        <v>8.4970330952544637E-2</v>
      </c>
      <c r="BI613" s="23">
        <v>8.4593878877262704E-2</v>
      </c>
      <c r="BJ613" s="23">
        <v>5.7447105462779965E-2</v>
      </c>
      <c r="BK613" s="23">
        <v>8.5153852345557474E-2</v>
      </c>
      <c r="BL613" s="23">
        <v>7.4158058913035174E-2</v>
      </c>
      <c r="BM613" s="23">
        <v>7.5718189192107169E-2</v>
      </c>
      <c r="BN613" s="23">
        <v>7.3955559365675619E-2</v>
      </c>
    </row>
    <row r="614" spans="1:66" x14ac:dyDescent="0.25">
      <c r="A614" s="16">
        <v>3893</v>
      </c>
      <c r="B614" s="16" t="s">
        <v>808</v>
      </c>
      <c r="C614" s="17">
        <v>0</v>
      </c>
      <c r="D614" s="17">
        <f t="shared" si="342"/>
        <v>0</v>
      </c>
      <c r="E614" s="17">
        <f t="shared" si="343"/>
        <v>0</v>
      </c>
      <c r="F614" s="17">
        <f t="shared" si="344"/>
        <v>0</v>
      </c>
      <c r="G614" s="17">
        <f t="shared" si="345"/>
        <v>0</v>
      </c>
      <c r="H614" s="17">
        <f t="shared" si="346"/>
        <v>0</v>
      </c>
      <c r="I614" s="17">
        <f t="shared" si="347"/>
        <v>0</v>
      </c>
      <c r="J614" s="17">
        <f t="shared" si="348"/>
        <v>0</v>
      </c>
      <c r="K614" s="17">
        <f t="shared" si="349"/>
        <v>0</v>
      </c>
      <c r="L614" s="17">
        <f t="shared" si="350"/>
        <v>0</v>
      </c>
      <c r="M614" s="17">
        <f t="shared" si="351"/>
        <v>0</v>
      </c>
      <c r="N614" s="17">
        <f t="shared" si="352"/>
        <v>0</v>
      </c>
      <c r="O614" s="17">
        <f t="shared" si="353"/>
        <v>0</v>
      </c>
      <c r="P614" s="17">
        <v>0</v>
      </c>
      <c r="Q614" s="17">
        <f t="shared" si="354"/>
        <v>0</v>
      </c>
      <c r="R614" s="17">
        <f t="shared" si="355"/>
        <v>0</v>
      </c>
      <c r="S614" s="17">
        <f t="shared" si="356"/>
        <v>0</v>
      </c>
      <c r="T614" s="17">
        <f t="shared" si="357"/>
        <v>0</v>
      </c>
      <c r="U614" s="17">
        <f t="shared" si="358"/>
        <v>0</v>
      </c>
      <c r="V614" s="17">
        <f t="shared" si="359"/>
        <v>0</v>
      </c>
      <c r="W614" s="17">
        <f t="shared" si="360"/>
        <v>0</v>
      </c>
      <c r="X614" s="17">
        <f t="shared" si="361"/>
        <v>0</v>
      </c>
      <c r="Y614" s="17">
        <f t="shared" si="362"/>
        <v>0</v>
      </c>
      <c r="Z614" s="17">
        <f t="shared" si="363"/>
        <v>0</v>
      </c>
      <c r="AA614" s="17">
        <f t="shared" si="364"/>
        <v>0</v>
      </c>
      <c r="AB614" s="17">
        <f t="shared" si="365"/>
        <v>0</v>
      </c>
      <c r="AC614" s="17">
        <v>0</v>
      </c>
      <c r="AD614" s="17">
        <f t="shared" si="366"/>
        <v>0</v>
      </c>
      <c r="AE614" s="17">
        <f t="shared" si="367"/>
        <v>0</v>
      </c>
      <c r="AF614" s="17">
        <f t="shared" si="368"/>
        <v>0</v>
      </c>
      <c r="AG614" s="17">
        <f t="shared" si="369"/>
        <v>0</v>
      </c>
      <c r="AH614" s="17">
        <f t="shared" si="370"/>
        <v>0</v>
      </c>
      <c r="AI614" s="17">
        <f t="shared" si="371"/>
        <v>0</v>
      </c>
      <c r="AJ614" s="17">
        <f t="shared" si="372"/>
        <v>0</v>
      </c>
      <c r="AK614" s="17">
        <f t="shared" si="373"/>
        <v>0</v>
      </c>
      <c r="AL614" s="17">
        <f t="shared" si="374"/>
        <v>0</v>
      </c>
      <c r="AM614" s="17">
        <f t="shared" si="375"/>
        <v>0</v>
      </c>
      <c r="AN614" s="17">
        <f t="shared" si="376"/>
        <v>0</v>
      </c>
      <c r="AO614" s="17">
        <f t="shared" si="377"/>
        <v>0</v>
      </c>
      <c r="AP614" s="17">
        <f t="shared" si="378"/>
        <v>0</v>
      </c>
      <c r="AQ614" s="18">
        <v>0</v>
      </c>
      <c r="AR614" s="18">
        <v>0</v>
      </c>
      <c r="AS614" s="18">
        <v>0</v>
      </c>
      <c r="AT614" s="18">
        <v>0</v>
      </c>
      <c r="AU614" s="18">
        <v>0</v>
      </c>
      <c r="AV614" s="18">
        <v>0</v>
      </c>
      <c r="AW614" s="18">
        <v>0</v>
      </c>
      <c r="AX614" s="18">
        <v>0</v>
      </c>
      <c r="AY614" s="18">
        <v>0</v>
      </c>
      <c r="AZ614" s="18">
        <v>0</v>
      </c>
      <c r="BA614" s="18">
        <v>0</v>
      </c>
      <c r="BB614" s="18">
        <v>0</v>
      </c>
      <c r="BC614" s="23">
        <v>8.9181565948742242E-2</v>
      </c>
      <c r="BD614" s="23">
        <v>0.10665277883445198</v>
      </c>
      <c r="BE614" s="23">
        <v>9.438849084854764E-2</v>
      </c>
      <c r="BF614" s="23">
        <v>7.149564986855049E-2</v>
      </c>
      <c r="BG614" s="23">
        <v>0.10368571810536763</v>
      </c>
      <c r="BH614" s="23">
        <v>8.4970330952544637E-2</v>
      </c>
      <c r="BI614" s="23">
        <v>8.4593878877262704E-2</v>
      </c>
      <c r="BJ614" s="23">
        <v>5.7447105462779965E-2</v>
      </c>
      <c r="BK614" s="23">
        <v>8.5153852345557474E-2</v>
      </c>
      <c r="BL614" s="23">
        <v>7.4158058913035174E-2</v>
      </c>
      <c r="BM614" s="23">
        <v>7.5718189192107169E-2</v>
      </c>
      <c r="BN614" s="23">
        <v>7.3955559365675619E-2</v>
      </c>
    </row>
    <row r="615" spans="1:66" x14ac:dyDescent="0.25">
      <c r="A615" s="16">
        <v>3899</v>
      </c>
      <c r="B615" s="16" t="s">
        <v>809</v>
      </c>
      <c r="C615" s="17">
        <v>0</v>
      </c>
      <c r="D615" s="17">
        <f t="shared" si="342"/>
        <v>0</v>
      </c>
      <c r="E615" s="17">
        <f t="shared" si="343"/>
        <v>0</v>
      </c>
      <c r="F615" s="17">
        <f t="shared" si="344"/>
        <v>0</v>
      </c>
      <c r="G615" s="17">
        <f t="shared" si="345"/>
        <v>0</v>
      </c>
      <c r="H615" s="17">
        <f t="shared" si="346"/>
        <v>0</v>
      </c>
      <c r="I615" s="17">
        <f t="shared" si="347"/>
        <v>0</v>
      </c>
      <c r="J615" s="17">
        <f t="shared" si="348"/>
        <v>0</v>
      </c>
      <c r="K615" s="17">
        <f t="shared" si="349"/>
        <v>0</v>
      </c>
      <c r="L615" s="17">
        <f t="shared" si="350"/>
        <v>0</v>
      </c>
      <c r="M615" s="17">
        <f t="shared" si="351"/>
        <v>0</v>
      </c>
      <c r="N615" s="17">
        <f t="shared" si="352"/>
        <v>0</v>
      </c>
      <c r="O615" s="17">
        <f t="shared" si="353"/>
        <v>0</v>
      </c>
      <c r="P615" s="17">
        <v>0</v>
      </c>
      <c r="Q615" s="17">
        <f t="shared" si="354"/>
        <v>0</v>
      </c>
      <c r="R615" s="17">
        <f t="shared" si="355"/>
        <v>0</v>
      </c>
      <c r="S615" s="17">
        <f t="shared" si="356"/>
        <v>0</v>
      </c>
      <c r="T615" s="17">
        <f t="shared" si="357"/>
        <v>0</v>
      </c>
      <c r="U615" s="17">
        <f t="shared" si="358"/>
        <v>0</v>
      </c>
      <c r="V615" s="17">
        <f t="shared" si="359"/>
        <v>0</v>
      </c>
      <c r="W615" s="17">
        <f t="shared" si="360"/>
        <v>0</v>
      </c>
      <c r="X615" s="17">
        <f t="shared" si="361"/>
        <v>0</v>
      </c>
      <c r="Y615" s="17">
        <f t="shared" si="362"/>
        <v>0</v>
      </c>
      <c r="Z615" s="17">
        <f t="shared" si="363"/>
        <v>0</v>
      </c>
      <c r="AA615" s="17">
        <f t="shared" si="364"/>
        <v>0</v>
      </c>
      <c r="AB615" s="17">
        <f t="shared" si="365"/>
        <v>0</v>
      </c>
      <c r="AC615" s="17">
        <v>0</v>
      </c>
      <c r="AD615" s="17">
        <f t="shared" si="366"/>
        <v>0</v>
      </c>
      <c r="AE615" s="17">
        <f t="shared" si="367"/>
        <v>0</v>
      </c>
      <c r="AF615" s="17">
        <f t="shared" si="368"/>
        <v>0</v>
      </c>
      <c r="AG615" s="17">
        <f t="shared" si="369"/>
        <v>0</v>
      </c>
      <c r="AH615" s="17">
        <f t="shared" si="370"/>
        <v>0</v>
      </c>
      <c r="AI615" s="17">
        <f t="shared" si="371"/>
        <v>0</v>
      </c>
      <c r="AJ615" s="17">
        <f t="shared" si="372"/>
        <v>0</v>
      </c>
      <c r="AK615" s="17">
        <f t="shared" si="373"/>
        <v>0</v>
      </c>
      <c r="AL615" s="17">
        <f t="shared" si="374"/>
        <v>0</v>
      </c>
      <c r="AM615" s="17">
        <f t="shared" si="375"/>
        <v>0</v>
      </c>
      <c r="AN615" s="17">
        <f t="shared" si="376"/>
        <v>0</v>
      </c>
      <c r="AO615" s="17">
        <f t="shared" si="377"/>
        <v>0</v>
      </c>
      <c r="AP615" s="17">
        <f t="shared" si="378"/>
        <v>0</v>
      </c>
      <c r="AQ615" s="18">
        <v>0</v>
      </c>
      <c r="AR615" s="18">
        <v>0</v>
      </c>
      <c r="AS615" s="18">
        <v>0</v>
      </c>
      <c r="AT615" s="18">
        <v>0</v>
      </c>
      <c r="AU615" s="18">
        <v>0</v>
      </c>
      <c r="AV615" s="18">
        <v>0</v>
      </c>
      <c r="AW615" s="18">
        <v>0</v>
      </c>
      <c r="AX615" s="18">
        <v>0</v>
      </c>
      <c r="AY615" s="18">
        <v>0</v>
      </c>
      <c r="AZ615" s="18">
        <v>0</v>
      </c>
      <c r="BA615" s="18">
        <v>0</v>
      </c>
      <c r="BB615" s="18">
        <v>0</v>
      </c>
      <c r="BC615" s="23">
        <v>8.9181565948742242E-2</v>
      </c>
      <c r="BD615" s="23">
        <v>0.10665277883445198</v>
      </c>
      <c r="BE615" s="23">
        <v>9.438849084854764E-2</v>
      </c>
      <c r="BF615" s="23">
        <v>7.149564986855049E-2</v>
      </c>
      <c r="BG615" s="23">
        <v>0.10368571810536763</v>
      </c>
      <c r="BH615" s="23">
        <v>8.4970330952544637E-2</v>
      </c>
      <c r="BI615" s="23">
        <v>8.4593878877262704E-2</v>
      </c>
      <c r="BJ615" s="23">
        <v>5.7447105462779965E-2</v>
      </c>
      <c r="BK615" s="23">
        <v>8.5153852345557474E-2</v>
      </c>
      <c r="BL615" s="23">
        <v>7.4158058913035174E-2</v>
      </c>
      <c r="BM615" s="23">
        <v>7.5718189192107169E-2</v>
      </c>
      <c r="BN615" s="23">
        <v>7.3955559365675619E-2</v>
      </c>
    </row>
    <row r="616" spans="1:66" x14ac:dyDescent="0.25">
      <c r="A616" s="16">
        <v>3901</v>
      </c>
      <c r="B616" s="16" t="s">
        <v>810</v>
      </c>
      <c r="C616" s="17">
        <v>0</v>
      </c>
      <c r="D616" s="17">
        <f t="shared" si="342"/>
        <v>0</v>
      </c>
      <c r="E616" s="17">
        <f t="shared" si="343"/>
        <v>0</v>
      </c>
      <c r="F616" s="17">
        <f t="shared" si="344"/>
        <v>0</v>
      </c>
      <c r="G616" s="17">
        <f t="shared" si="345"/>
        <v>0</v>
      </c>
      <c r="H616" s="17">
        <f t="shared" si="346"/>
        <v>0</v>
      </c>
      <c r="I616" s="17">
        <f t="shared" si="347"/>
        <v>0</v>
      </c>
      <c r="J616" s="17">
        <f t="shared" si="348"/>
        <v>0</v>
      </c>
      <c r="K616" s="17">
        <f t="shared" si="349"/>
        <v>0</v>
      </c>
      <c r="L616" s="17">
        <f t="shared" si="350"/>
        <v>0</v>
      </c>
      <c r="M616" s="17">
        <f t="shared" si="351"/>
        <v>0</v>
      </c>
      <c r="N616" s="17">
        <f t="shared" si="352"/>
        <v>0</v>
      </c>
      <c r="O616" s="17">
        <f t="shared" si="353"/>
        <v>0</v>
      </c>
      <c r="P616" s="17">
        <v>0</v>
      </c>
      <c r="Q616" s="17">
        <f t="shared" si="354"/>
        <v>0</v>
      </c>
      <c r="R616" s="17">
        <f t="shared" si="355"/>
        <v>0</v>
      </c>
      <c r="S616" s="17">
        <f t="shared" si="356"/>
        <v>0</v>
      </c>
      <c r="T616" s="17">
        <f t="shared" si="357"/>
        <v>0</v>
      </c>
      <c r="U616" s="17">
        <f t="shared" si="358"/>
        <v>0</v>
      </c>
      <c r="V616" s="17">
        <f t="shared" si="359"/>
        <v>0</v>
      </c>
      <c r="W616" s="17">
        <f t="shared" si="360"/>
        <v>0</v>
      </c>
      <c r="X616" s="17">
        <f t="shared" si="361"/>
        <v>0</v>
      </c>
      <c r="Y616" s="17">
        <f t="shared" si="362"/>
        <v>0</v>
      </c>
      <c r="Z616" s="17">
        <f t="shared" si="363"/>
        <v>0</v>
      </c>
      <c r="AA616" s="17">
        <f t="shared" si="364"/>
        <v>0</v>
      </c>
      <c r="AB616" s="17">
        <f t="shared" si="365"/>
        <v>0</v>
      </c>
      <c r="AC616" s="17">
        <v>0</v>
      </c>
      <c r="AD616" s="17">
        <f t="shared" si="366"/>
        <v>0</v>
      </c>
      <c r="AE616" s="17">
        <f t="shared" si="367"/>
        <v>0</v>
      </c>
      <c r="AF616" s="17">
        <f t="shared" si="368"/>
        <v>0</v>
      </c>
      <c r="AG616" s="17">
        <f t="shared" si="369"/>
        <v>0</v>
      </c>
      <c r="AH616" s="17">
        <f t="shared" si="370"/>
        <v>0</v>
      </c>
      <c r="AI616" s="17">
        <f t="shared" si="371"/>
        <v>0</v>
      </c>
      <c r="AJ616" s="17">
        <f t="shared" si="372"/>
        <v>0</v>
      </c>
      <c r="AK616" s="17">
        <f t="shared" si="373"/>
        <v>0</v>
      </c>
      <c r="AL616" s="17">
        <f t="shared" si="374"/>
        <v>0</v>
      </c>
      <c r="AM616" s="17">
        <f t="shared" si="375"/>
        <v>0</v>
      </c>
      <c r="AN616" s="17">
        <f t="shared" si="376"/>
        <v>0</v>
      </c>
      <c r="AO616" s="17">
        <f t="shared" si="377"/>
        <v>0</v>
      </c>
      <c r="AP616" s="17">
        <f t="shared" si="378"/>
        <v>0</v>
      </c>
      <c r="AQ616" s="18">
        <v>0</v>
      </c>
      <c r="AR616" s="18">
        <v>0</v>
      </c>
      <c r="AS616" s="18">
        <v>0</v>
      </c>
      <c r="AT616" s="18">
        <v>0</v>
      </c>
      <c r="AU616" s="18">
        <v>0</v>
      </c>
      <c r="AV616" s="18">
        <v>0</v>
      </c>
      <c r="AW616" s="18">
        <v>0</v>
      </c>
      <c r="AX616" s="18">
        <v>0</v>
      </c>
      <c r="AY616" s="18">
        <v>0</v>
      </c>
      <c r="AZ616" s="18">
        <v>0</v>
      </c>
      <c r="BA616" s="18">
        <v>0</v>
      </c>
      <c r="BB616" s="18">
        <v>0</v>
      </c>
      <c r="BC616" s="23">
        <v>8.9181565948742242E-2</v>
      </c>
      <c r="BD616" s="23">
        <v>0.10665277883445198</v>
      </c>
      <c r="BE616" s="23">
        <v>9.438849084854764E-2</v>
      </c>
      <c r="BF616" s="23">
        <v>7.149564986855049E-2</v>
      </c>
      <c r="BG616" s="23">
        <v>0.10368571810536763</v>
      </c>
      <c r="BH616" s="23">
        <v>8.4970330952544637E-2</v>
      </c>
      <c r="BI616" s="23">
        <v>8.4593878877262704E-2</v>
      </c>
      <c r="BJ616" s="23">
        <v>5.7447105462779965E-2</v>
      </c>
      <c r="BK616" s="23">
        <v>8.5153852345557474E-2</v>
      </c>
      <c r="BL616" s="23">
        <v>7.4158058913035174E-2</v>
      </c>
      <c r="BM616" s="23">
        <v>7.5718189192107169E-2</v>
      </c>
      <c r="BN616" s="23">
        <v>7.3955559365675619E-2</v>
      </c>
    </row>
    <row r="617" spans="1:66" x14ac:dyDescent="0.25">
      <c r="A617" s="16">
        <v>3903</v>
      </c>
      <c r="B617" s="16" t="s">
        <v>811</v>
      </c>
      <c r="C617" s="17">
        <v>0</v>
      </c>
      <c r="D617" s="17">
        <f t="shared" si="342"/>
        <v>0</v>
      </c>
      <c r="E617" s="17">
        <f t="shared" si="343"/>
        <v>0</v>
      </c>
      <c r="F617" s="17">
        <f t="shared" si="344"/>
        <v>0</v>
      </c>
      <c r="G617" s="17">
        <f t="shared" si="345"/>
        <v>0</v>
      </c>
      <c r="H617" s="17">
        <f t="shared" si="346"/>
        <v>0</v>
      </c>
      <c r="I617" s="17">
        <f t="shared" si="347"/>
        <v>0</v>
      </c>
      <c r="J617" s="17">
        <f t="shared" si="348"/>
        <v>0</v>
      </c>
      <c r="K617" s="17">
        <f t="shared" si="349"/>
        <v>0</v>
      </c>
      <c r="L617" s="17">
        <f t="shared" si="350"/>
        <v>0</v>
      </c>
      <c r="M617" s="17">
        <f t="shared" si="351"/>
        <v>0</v>
      </c>
      <c r="N617" s="17">
        <f t="shared" si="352"/>
        <v>0</v>
      </c>
      <c r="O617" s="17">
        <f t="shared" si="353"/>
        <v>0</v>
      </c>
      <c r="P617" s="17">
        <v>0</v>
      </c>
      <c r="Q617" s="17">
        <f t="shared" si="354"/>
        <v>0</v>
      </c>
      <c r="R617" s="17">
        <f t="shared" si="355"/>
        <v>0</v>
      </c>
      <c r="S617" s="17">
        <f t="shared" si="356"/>
        <v>0</v>
      </c>
      <c r="T617" s="17">
        <f t="shared" si="357"/>
        <v>0</v>
      </c>
      <c r="U617" s="17">
        <f t="shared" si="358"/>
        <v>0</v>
      </c>
      <c r="V617" s="17">
        <f t="shared" si="359"/>
        <v>0</v>
      </c>
      <c r="W617" s="17">
        <f t="shared" si="360"/>
        <v>0</v>
      </c>
      <c r="X617" s="17">
        <f t="shared" si="361"/>
        <v>0</v>
      </c>
      <c r="Y617" s="17">
        <f t="shared" si="362"/>
        <v>0</v>
      </c>
      <c r="Z617" s="17">
        <f t="shared" si="363"/>
        <v>0</v>
      </c>
      <c r="AA617" s="17">
        <f t="shared" si="364"/>
        <v>0</v>
      </c>
      <c r="AB617" s="17">
        <f t="shared" si="365"/>
        <v>0</v>
      </c>
      <c r="AC617" s="17">
        <v>0</v>
      </c>
      <c r="AD617" s="17">
        <f t="shared" si="366"/>
        <v>0</v>
      </c>
      <c r="AE617" s="17">
        <f t="shared" si="367"/>
        <v>0</v>
      </c>
      <c r="AF617" s="17">
        <f t="shared" si="368"/>
        <v>0</v>
      </c>
      <c r="AG617" s="17">
        <f t="shared" si="369"/>
        <v>0</v>
      </c>
      <c r="AH617" s="17">
        <f t="shared" si="370"/>
        <v>0</v>
      </c>
      <c r="AI617" s="17">
        <f t="shared" si="371"/>
        <v>0</v>
      </c>
      <c r="AJ617" s="17">
        <f t="shared" si="372"/>
        <v>0</v>
      </c>
      <c r="AK617" s="17">
        <f t="shared" si="373"/>
        <v>0</v>
      </c>
      <c r="AL617" s="17">
        <f t="shared" si="374"/>
        <v>0</v>
      </c>
      <c r="AM617" s="17">
        <f t="shared" si="375"/>
        <v>0</v>
      </c>
      <c r="AN617" s="17">
        <f t="shared" si="376"/>
        <v>0</v>
      </c>
      <c r="AO617" s="17">
        <f t="shared" si="377"/>
        <v>0</v>
      </c>
      <c r="AP617" s="17">
        <f t="shared" si="378"/>
        <v>0</v>
      </c>
      <c r="AQ617" s="18">
        <v>0</v>
      </c>
      <c r="AR617" s="18">
        <v>0</v>
      </c>
      <c r="AS617" s="18">
        <v>0</v>
      </c>
      <c r="AT617" s="18">
        <v>0</v>
      </c>
      <c r="AU617" s="18">
        <v>0</v>
      </c>
      <c r="AV617" s="18">
        <v>0</v>
      </c>
      <c r="AW617" s="18">
        <v>0</v>
      </c>
      <c r="AX617" s="18">
        <v>0</v>
      </c>
      <c r="AY617" s="18">
        <v>0</v>
      </c>
      <c r="AZ617" s="18">
        <v>0</v>
      </c>
      <c r="BA617" s="18">
        <v>0</v>
      </c>
      <c r="BB617" s="18">
        <v>0</v>
      </c>
      <c r="BC617" s="23">
        <v>8.9181565948742242E-2</v>
      </c>
      <c r="BD617" s="23">
        <v>0.10665277883445198</v>
      </c>
      <c r="BE617" s="23">
        <v>9.438849084854764E-2</v>
      </c>
      <c r="BF617" s="23">
        <v>7.149564986855049E-2</v>
      </c>
      <c r="BG617" s="23">
        <v>0.10368571810536763</v>
      </c>
      <c r="BH617" s="23">
        <v>8.4970330952544637E-2</v>
      </c>
      <c r="BI617" s="23">
        <v>8.4593878877262704E-2</v>
      </c>
      <c r="BJ617" s="23">
        <v>5.7447105462779965E-2</v>
      </c>
      <c r="BK617" s="23">
        <v>8.5153852345557474E-2</v>
      </c>
      <c r="BL617" s="23">
        <v>7.4158058913035174E-2</v>
      </c>
      <c r="BM617" s="23">
        <v>7.5718189192107169E-2</v>
      </c>
      <c r="BN617" s="23">
        <v>7.3955559365675619E-2</v>
      </c>
    </row>
    <row r="618" spans="1:66" x14ac:dyDescent="0.25">
      <c r="A618" s="16">
        <v>3917</v>
      </c>
      <c r="B618" s="16" t="s">
        <v>812</v>
      </c>
      <c r="C618" s="17">
        <v>0</v>
      </c>
      <c r="D618" s="17">
        <f t="shared" si="342"/>
        <v>0</v>
      </c>
      <c r="E618" s="17">
        <f t="shared" si="343"/>
        <v>0</v>
      </c>
      <c r="F618" s="17">
        <f t="shared" si="344"/>
        <v>0</v>
      </c>
      <c r="G618" s="17">
        <f t="shared" si="345"/>
        <v>0</v>
      </c>
      <c r="H618" s="17">
        <f t="shared" si="346"/>
        <v>0</v>
      </c>
      <c r="I618" s="17">
        <f t="shared" si="347"/>
        <v>0</v>
      </c>
      <c r="J618" s="17">
        <f t="shared" si="348"/>
        <v>0</v>
      </c>
      <c r="K618" s="17">
        <f t="shared" si="349"/>
        <v>0</v>
      </c>
      <c r="L618" s="17">
        <f t="shared" si="350"/>
        <v>0</v>
      </c>
      <c r="M618" s="17">
        <f t="shared" si="351"/>
        <v>0</v>
      </c>
      <c r="N618" s="17">
        <f t="shared" si="352"/>
        <v>0</v>
      </c>
      <c r="O618" s="17">
        <f t="shared" si="353"/>
        <v>0</v>
      </c>
      <c r="P618" s="17">
        <v>0</v>
      </c>
      <c r="Q618" s="17">
        <f t="shared" si="354"/>
        <v>0</v>
      </c>
      <c r="R618" s="17">
        <f t="shared" si="355"/>
        <v>0</v>
      </c>
      <c r="S618" s="17">
        <f t="shared" si="356"/>
        <v>0</v>
      </c>
      <c r="T618" s="17">
        <f t="shared" si="357"/>
        <v>0</v>
      </c>
      <c r="U618" s="17">
        <f t="shared" si="358"/>
        <v>0</v>
      </c>
      <c r="V618" s="17">
        <f t="shared" si="359"/>
        <v>0</v>
      </c>
      <c r="W618" s="17">
        <f t="shared" si="360"/>
        <v>0</v>
      </c>
      <c r="X618" s="17">
        <f t="shared" si="361"/>
        <v>0</v>
      </c>
      <c r="Y618" s="17">
        <f t="shared" si="362"/>
        <v>0</v>
      </c>
      <c r="Z618" s="17">
        <f t="shared" si="363"/>
        <v>0</v>
      </c>
      <c r="AA618" s="17">
        <f t="shared" si="364"/>
        <v>0</v>
      </c>
      <c r="AB618" s="17">
        <f t="shared" si="365"/>
        <v>0</v>
      </c>
      <c r="AC618" s="17">
        <v>0</v>
      </c>
      <c r="AD618" s="17">
        <f t="shared" si="366"/>
        <v>0</v>
      </c>
      <c r="AE618" s="17">
        <f t="shared" si="367"/>
        <v>0</v>
      </c>
      <c r="AF618" s="17">
        <f t="shared" si="368"/>
        <v>0</v>
      </c>
      <c r="AG618" s="17">
        <f t="shared" si="369"/>
        <v>0</v>
      </c>
      <c r="AH618" s="17">
        <f t="shared" si="370"/>
        <v>0</v>
      </c>
      <c r="AI618" s="17">
        <f t="shared" si="371"/>
        <v>0</v>
      </c>
      <c r="AJ618" s="17">
        <f t="shared" si="372"/>
        <v>0</v>
      </c>
      <c r="AK618" s="17">
        <f t="shared" si="373"/>
        <v>0</v>
      </c>
      <c r="AL618" s="17">
        <f t="shared" si="374"/>
        <v>0</v>
      </c>
      <c r="AM618" s="17">
        <f t="shared" si="375"/>
        <v>0</v>
      </c>
      <c r="AN618" s="17">
        <f t="shared" si="376"/>
        <v>0</v>
      </c>
      <c r="AO618" s="17">
        <f t="shared" si="377"/>
        <v>0</v>
      </c>
      <c r="AP618" s="17">
        <f t="shared" si="378"/>
        <v>0</v>
      </c>
      <c r="AQ618" s="18">
        <v>16.735812665940973</v>
      </c>
      <c r="AR618" s="18">
        <v>20.014460476073264</v>
      </c>
      <c r="AS618" s="18">
        <v>17.712944192638457</v>
      </c>
      <c r="AT618" s="18">
        <v>13.416873654332189</v>
      </c>
      <c r="AU618" s="18">
        <v>19.457661859653296</v>
      </c>
      <c r="AV618" s="18">
        <v>15.945532306554531</v>
      </c>
      <c r="AW618" s="18">
        <v>15.874887310107123</v>
      </c>
      <c r="AX618" s="18">
        <v>10.780523811145292</v>
      </c>
      <c r="AY618" s="18">
        <v>15.97997193116732</v>
      </c>
      <c r="AZ618" s="18">
        <v>13.916501335620184</v>
      </c>
      <c r="BA618" s="18">
        <v>14.209275383790835</v>
      </c>
      <c r="BB618" s="18">
        <v>13.878500270562691</v>
      </c>
      <c r="BC618" s="23">
        <v>8.9181565948742242E-2</v>
      </c>
      <c r="BD618" s="23">
        <v>0.10665277883445198</v>
      </c>
      <c r="BE618" s="23">
        <v>9.438849084854764E-2</v>
      </c>
      <c r="BF618" s="23">
        <v>7.149564986855049E-2</v>
      </c>
      <c r="BG618" s="23">
        <v>0.10368571810536763</v>
      </c>
      <c r="BH618" s="23">
        <v>8.4970330952544637E-2</v>
      </c>
      <c r="BI618" s="23">
        <v>8.4593878877262704E-2</v>
      </c>
      <c r="BJ618" s="23">
        <v>5.7447105462779965E-2</v>
      </c>
      <c r="BK618" s="23">
        <v>8.5153852345557474E-2</v>
      </c>
      <c r="BL618" s="23">
        <v>7.4158058913035174E-2</v>
      </c>
      <c r="BM618" s="23">
        <v>7.5718189192107169E-2</v>
      </c>
      <c r="BN618" s="23">
        <v>7.3955559365675619E-2</v>
      </c>
    </row>
    <row r="619" spans="1:66" x14ac:dyDescent="0.25">
      <c r="A619" s="16">
        <v>3933</v>
      </c>
      <c r="B619" s="16" t="s">
        <v>813</v>
      </c>
      <c r="C619" s="17">
        <v>0</v>
      </c>
      <c r="D619" s="17">
        <f t="shared" si="342"/>
        <v>0</v>
      </c>
      <c r="E619" s="17">
        <f t="shared" si="343"/>
        <v>0</v>
      </c>
      <c r="F619" s="17">
        <f t="shared" si="344"/>
        <v>0</v>
      </c>
      <c r="G619" s="17">
        <f t="shared" si="345"/>
        <v>0</v>
      </c>
      <c r="H619" s="17">
        <f t="shared" si="346"/>
        <v>0</v>
      </c>
      <c r="I619" s="17">
        <f t="shared" si="347"/>
        <v>0</v>
      </c>
      <c r="J619" s="17">
        <f t="shared" si="348"/>
        <v>0</v>
      </c>
      <c r="K619" s="17">
        <f t="shared" si="349"/>
        <v>0</v>
      </c>
      <c r="L619" s="17">
        <f t="shared" si="350"/>
        <v>0</v>
      </c>
      <c r="M619" s="17">
        <f t="shared" si="351"/>
        <v>0</v>
      </c>
      <c r="N619" s="17">
        <f t="shared" si="352"/>
        <v>0</v>
      </c>
      <c r="O619" s="17">
        <f t="shared" si="353"/>
        <v>0</v>
      </c>
      <c r="P619" s="17">
        <v>0</v>
      </c>
      <c r="Q619" s="17">
        <f t="shared" si="354"/>
        <v>0</v>
      </c>
      <c r="R619" s="17">
        <f t="shared" si="355"/>
        <v>0</v>
      </c>
      <c r="S619" s="17">
        <f t="shared" si="356"/>
        <v>0</v>
      </c>
      <c r="T619" s="17">
        <f t="shared" si="357"/>
        <v>0</v>
      </c>
      <c r="U619" s="17">
        <f t="shared" si="358"/>
        <v>0</v>
      </c>
      <c r="V619" s="17">
        <f t="shared" si="359"/>
        <v>0</v>
      </c>
      <c r="W619" s="17">
        <f t="shared" si="360"/>
        <v>0</v>
      </c>
      <c r="X619" s="17">
        <f t="shared" si="361"/>
        <v>0</v>
      </c>
      <c r="Y619" s="17">
        <f t="shared" si="362"/>
        <v>0</v>
      </c>
      <c r="Z619" s="17">
        <f t="shared" si="363"/>
        <v>0</v>
      </c>
      <c r="AA619" s="17">
        <f t="shared" si="364"/>
        <v>0</v>
      </c>
      <c r="AB619" s="17">
        <f t="shared" si="365"/>
        <v>0</v>
      </c>
      <c r="AC619" s="17">
        <v>0</v>
      </c>
      <c r="AD619" s="17">
        <f t="shared" si="366"/>
        <v>0</v>
      </c>
      <c r="AE619" s="17">
        <f t="shared" si="367"/>
        <v>0</v>
      </c>
      <c r="AF619" s="17">
        <f t="shared" si="368"/>
        <v>0</v>
      </c>
      <c r="AG619" s="17">
        <f t="shared" si="369"/>
        <v>0</v>
      </c>
      <c r="AH619" s="17">
        <f t="shared" si="370"/>
        <v>0</v>
      </c>
      <c r="AI619" s="17">
        <f t="shared" si="371"/>
        <v>0</v>
      </c>
      <c r="AJ619" s="17">
        <f t="shared" si="372"/>
        <v>0</v>
      </c>
      <c r="AK619" s="17">
        <f t="shared" si="373"/>
        <v>0</v>
      </c>
      <c r="AL619" s="17">
        <f t="shared" si="374"/>
        <v>0</v>
      </c>
      <c r="AM619" s="17">
        <f t="shared" si="375"/>
        <v>0</v>
      </c>
      <c r="AN619" s="17">
        <f t="shared" si="376"/>
        <v>0</v>
      </c>
      <c r="AO619" s="17">
        <f t="shared" si="377"/>
        <v>0</v>
      </c>
      <c r="AP619" s="17">
        <f t="shared" si="378"/>
        <v>0</v>
      </c>
      <c r="AQ619" s="18">
        <v>0</v>
      </c>
      <c r="AR619" s="18">
        <v>0</v>
      </c>
      <c r="AS619" s="18">
        <v>0</v>
      </c>
      <c r="AT619" s="18">
        <v>0</v>
      </c>
      <c r="AU619" s="18">
        <v>0</v>
      </c>
      <c r="AV619" s="18">
        <v>0</v>
      </c>
      <c r="AW619" s="18">
        <v>0</v>
      </c>
      <c r="AX619" s="18">
        <v>0</v>
      </c>
      <c r="AY619" s="18">
        <v>0</v>
      </c>
      <c r="AZ619" s="18">
        <v>0</v>
      </c>
      <c r="BA619" s="18">
        <v>0</v>
      </c>
      <c r="BB619" s="18">
        <v>0</v>
      </c>
      <c r="BC619" s="23">
        <v>8.9181565948742242E-2</v>
      </c>
      <c r="BD619" s="23">
        <v>0.10665277883445198</v>
      </c>
      <c r="BE619" s="23">
        <v>9.438849084854764E-2</v>
      </c>
      <c r="BF619" s="23">
        <v>7.149564986855049E-2</v>
      </c>
      <c r="BG619" s="23">
        <v>0.10368571810536763</v>
      </c>
      <c r="BH619" s="23">
        <v>8.4970330952544637E-2</v>
      </c>
      <c r="BI619" s="23">
        <v>8.4593878877262704E-2</v>
      </c>
      <c r="BJ619" s="23">
        <v>5.7447105462779965E-2</v>
      </c>
      <c r="BK619" s="23">
        <v>8.5153852345557474E-2</v>
      </c>
      <c r="BL619" s="23">
        <v>7.4158058913035174E-2</v>
      </c>
      <c r="BM619" s="23">
        <v>7.5718189192107169E-2</v>
      </c>
      <c r="BN619" s="23">
        <v>7.3955559365675619E-2</v>
      </c>
    </row>
    <row r="620" spans="1:66" x14ac:dyDescent="0.25">
      <c r="A620" s="16">
        <v>3937</v>
      </c>
      <c r="B620" s="16" t="s">
        <v>814</v>
      </c>
      <c r="C620" s="17">
        <v>0</v>
      </c>
      <c r="D620" s="17">
        <f t="shared" si="342"/>
        <v>0</v>
      </c>
      <c r="E620" s="17">
        <f t="shared" si="343"/>
        <v>0</v>
      </c>
      <c r="F620" s="17">
        <f t="shared" si="344"/>
        <v>0</v>
      </c>
      <c r="G620" s="17">
        <f t="shared" si="345"/>
        <v>0</v>
      </c>
      <c r="H620" s="17">
        <f t="shared" si="346"/>
        <v>0</v>
      </c>
      <c r="I620" s="17">
        <f t="shared" si="347"/>
        <v>0</v>
      </c>
      <c r="J620" s="17">
        <f t="shared" si="348"/>
        <v>0</v>
      </c>
      <c r="K620" s="17">
        <f t="shared" si="349"/>
        <v>0</v>
      </c>
      <c r="L620" s="17">
        <f t="shared" si="350"/>
        <v>0</v>
      </c>
      <c r="M620" s="17">
        <f t="shared" si="351"/>
        <v>0</v>
      </c>
      <c r="N620" s="17">
        <f t="shared" si="352"/>
        <v>0</v>
      </c>
      <c r="O620" s="17">
        <f t="shared" si="353"/>
        <v>0</v>
      </c>
      <c r="P620" s="17">
        <v>2000</v>
      </c>
      <c r="Q620" s="17">
        <f t="shared" si="354"/>
        <v>178.36313189748449</v>
      </c>
      <c r="R620" s="17">
        <f t="shared" si="355"/>
        <v>213.30555766890396</v>
      </c>
      <c r="S620" s="17">
        <f t="shared" si="356"/>
        <v>188.77698169709529</v>
      </c>
      <c r="T620" s="17">
        <f t="shared" si="357"/>
        <v>142.99129973710097</v>
      </c>
      <c r="U620" s="17">
        <f t="shared" si="358"/>
        <v>207.37143621073525</v>
      </c>
      <c r="V620" s="17">
        <f t="shared" si="359"/>
        <v>169.94066190508929</v>
      </c>
      <c r="W620" s="17">
        <f t="shared" si="360"/>
        <v>169.18775775452542</v>
      </c>
      <c r="X620" s="17">
        <f t="shared" si="361"/>
        <v>114.89421092555993</v>
      </c>
      <c r="Y620" s="17">
        <f t="shared" si="362"/>
        <v>170.30770469111494</v>
      </c>
      <c r="Z620" s="17">
        <f t="shared" si="363"/>
        <v>148.31611782607035</v>
      </c>
      <c r="AA620" s="17">
        <f t="shared" si="364"/>
        <v>151.43637838421435</v>
      </c>
      <c r="AB620" s="17">
        <f t="shared" si="365"/>
        <v>147.91111873135125</v>
      </c>
      <c r="AC620" s="17">
        <v>0</v>
      </c>
      <c r="AD620" s="17">
        <f t="shared" si="366"/>
        <v>0</v>
      </c>
      <c r="AE620" s="17">
        <f t="shared" si="367"/>
        <v>0</v>
      </c>
      <c r="AF620" s="17">
        <f t="shared" si="368"/>
        <v>0</v>
      </c>
      <c r="AG620" s="17">
        <f t="shared" si="369"/>
        <v>0</v>
      </c>
      <c r="AH620" s="17">
        <f t="shared" si="370"/>
        <v>0</v>
      </c>
      <c r="AI620" s="17">
        <f t="shared" si="371"/>
        <v>0</v>
      </c>
      <c r="AJ620" s="17">
        <f t="shared" si="372"/>
        <v>0</v>
      </c>
      <c r="AK620" s="17">
        <f t="shared" si="373"/>
        <v>0</v>
      </c>
      <c r="AL620" s="17">
        <f t="shared" si="374"/>
        <v>0</v>
      </c>
      <c r="AM620" s="17">
        <f t="shared" si="375"/>
        <v>0</v>
      </c>
      <c r="AN620" s="17">
        <f t="shared" si="376"/>
        <v>0</v>
      </c>
      <c r="AO620" s="17">
        <f t="shared" si="377"/>
        <v>0</v>
      </c>
      <c r="AP620" s="17">
        <f t="shared" si="378"/>
        <v>2000</v>
      </c>
      <c r="AQ620" s="18">
        <v>0</v>
      </c>
      <c r="AR620" s="18">
        <v>0</v>
      </c>
      <c r="AS620" s="18">
        <v>0</v>
      </c>
      <c r="AT620" s="18">
        <v>0</v>
      </c>
      <c r="AU620" s="18">
        <v>0</v>
      </c>
      <c r="AV620" s="18">
        <v>0</v>
      </c>
      <c r="AW620" s="18">
        <v>0</v>
      </c>
      <c r="AX620" s="18">
        <v>0</v>
      </c>
      <c r="AY620" s="18">
        <v>0</v>
      </c>
      <c r="AZ620" s="18">
        <v>0</v>
      </c>
      <c r="BA620" s="18">
        <v>0</v>
      </c>
      <c r="BB620" s="18">
        <v>0</v>
      </c>
      <c r="BC620" s="23">
        <v>8.9181565948742242E-2</v>
      </c>
      <c r="BD620" s="23">
        <v>0.10665277883445198</v>
      </c>
      <c r="BE620" s="23">
        <v>9.438849084854764E-2</v>
      </c>
      <c r="BF620" s="23">
        <v>7.149564986855049E-2</v>
      </c>
      <c r="BG620" s="23">
        <v>0.10368571810536763</v>
      </c>
      <c r="BH620" s="23">
        <v>8.4970330952544637E-2</v>
      </c>
      <c r="BI620" s="23">
        <v>8.4593878877262704E-2</v>
      </c>
      <c r="BJ620" s="23">
        <v>5.7447105462779965E-2</v>
      </c>
      <c r="BK620" s="23">
        <v>8.5153852345557474E-2</v>
      </c>
      <c r="BL620" s="23">
        <v>7.4158058913035174E-2</v>
      </c>
      <c r="BM620" s="23">
        <v>7.5718189192107169E-2</v>
      </c>
      <c r="BN620" s="23">
        <v>7.3955559365675619E-2</v>
      </c>
    </row>
    <row r="621" spans="1:66" x14ac:dyDescent="0.25">
      <c r="A621" s="16">
        <v>3940</v>
      </c>
      <c r="B621" s="16" t="s">
        <v>815</v>
      </c>
      <c r="C621" s="17">
        <v>0</v>
      </c>
      <c r="D621" s="17">
        <f t="shared" si="342"/>
        <v>0</v>
      </c>
      <c r="E621" s="17">
        <f t="shared" si="343"/>
        <v>0</v>
      </c>
      <c r="F621" s="17">
        <f t="shared" si="344"/>
        <v>0</v>
      </c>
      <c r="G621" s="17">
        <f t="shared" si="345"/>
        <v>0</v>
      </c>
      <c r="H621" s="17">
        <f t="shared" si="346"/>
        <v>0</v>
      </c>
      <c r="I621" s="17">
        <f t="shared" si="347"/>
        <v>0</v>
      </c>
      <c r="J621" s="17">
        <f t="shared" si="348"/>
        <v>0</v>
      </c>
      <c r="K621" s="17">
        <f t="shared" si="349"/>
        <v>0</v>
      </c>
      <c r="L621" s="17">
        <f t="shared" si="350"/>
        <v>0</v>
      </c>
      <c r="M621" s="17">
        <f t="shared" si="351"/>
        <v>0</v>
      </c>
      <c r="N621" s="17">
        <f t="shared" si="352"/>
        <v>0</v>
      </c>
      <c r="O621" s="17">
        <f t="shared" si="353"/>
        <v>0</v>
      </c>
      <c r="P621" s="17">
        <v>0</v>
      </c>
      <c r="Q621" s="17">
        <f t="shared" si="354"/>
        <v>0</v>
      </c>
      <c r="R621" s="17">
        <f t="shared" si="355"/>
        <v>0</v>
      </c>
      <c r="S621" s="17">
        <f t="shared" si="356"/>
        <v>0</v>
      </c>
      <c r="T621" s="17">
        <f t="shared" si="357"/>
        <v>0</v>
      </c>
      <c r="U621" s="17">
        <f t="shared" si="358"/>
        <v>0</v>
      </c>
      <c r="V621" s="17">
        <f t="shared" si="359"/>
        <v>0</v>
      </c>
      <c r="W621" s="17">
        <f t="shared" si="360"/>
        <v>0</v>
      </c>
      <c r="X621" s="17">
        <f t="shared" si="361"/>
        <v>0</v>
      </c>
      <c r="Y621" s="17">
        <f t="shared" si="362"/>
        <v>0</v>
      </c>
      <c r="Z621" s="17">
        <f t="shared" si="363"/>
        <v>0</v>
      </c>
      <c r="AA621" s="17">
        <f t="shared" si="364"/>
        <v>0</v>
      </c>
      <c r="AB621" s="17">
        <f t="shared" si="365"/>
        <v>0</v>
      </c>
      <c r="AC621" s="17">
        <v>0</v>
      </c>
      <c r="AD621" s="17">
        <f t="shared" si="366"/>
        <v>0</v>
      </c>
      <c r="AE621" s="17">
        <f t="shared" si="367"/>
        <v>0</v>
      </c>
      <c r="AF621" s="17">
        <f t="shared" si="368"/>
        <v>0</v>
      </c>
      <c r="AG621" s="17">
        <f t="shared" si="369"/>
        <v>0</v>
      </c>
      <c r="AH621" s="17">
        <f t="shared" si="370"/>
        <v>0</v>
      </c>
      <c r="AI621" s="17">
        <f t="shared" si="371"/>
        <v>0</v>
      </c>
      <c r="AJ621" s="17">
        <f t="shared" si="372"/>
        <v>0</v>
      </c>
      <c r="AK621" s="17">
        <f t="shared" si="373"/>
        <v>0</v>
      </c>
      <c r="AL621" s="17">
        <f t="shared" si="374"/>
        <v>0</v>
      </c>
      <c r="AM621" s="17">
        <f t="shared" si="375"/>
        <v>0</v>
      </c>
      <c r="AN621" s="17">
        <f t="shared" si="376"/>
        <v>0</v>
      </c>
      <c r="AO621" s="17">
        <f t="shared" si="377"/>
        <v>0</v>
      </c>
      <c r="AP621" s="17">
        <f t="shared" si="378"/>
        <v>0</v>
      </c>
      <c r="AQ621" s="18">
        <v>129.98213237029185</v>
      </c>
      <c r="AR621" s="18">
        <v>155.44642515121379</v>
      </c>
      <c r="AS621" s="18">
        <v>137.57122541175821</v>
      </c>
      <c r="AT621" s="18">
        <v>104.20490968341235</v>
      </c>
      <c r="AU621" s="18">
        <v>151.12193413857335</v>
      </c>
      <c r="AV621" s="18">
        <v>123.84425736333382</v>
      </c>
      <c r="AW621" s="18">
        <v>123.29557846361041</v>
      </c>
      <c r="AX621" s="18">
        <v>83.729156212001811</v>
      </c>
      <c r="AY621" s="18">
        <v>124.11173979365003</v>
      </c>
      <c r="AZ621" s="18">
        <v>108.08537086574879</v>
      </c>
      <c r="BA621" s="18">
        <v>110.35926074749622</v>
      </c>
      <c r="BB621" s="18">
        <v>107.79022777547223</v>
      </c>
      <c r="BC621" s="23">
        <v>8.9181565948742242E-2</v>
      </c>
      <c r="BD621" s="23">
        <v>0.10665277883445198</v>
      </c>
      <c r="BE621" s="23">
        <v>9.438849084854764E-2</v>
      </c>
      <c r="BF621" s="23">
        <v>7.149564986855049E-2</v>
      </c>
      <c r="BG621" s="23">
        <v>0.10368571810536763</v>
      </c>
      <c r="BH621" s="23">
        <v>8.4970330952544637E-2</v>
      </c>
      <c r="BI621" s="23">
        <v>8.4593878877262704E-2</v>
      </c>
      <c r="BJ621" s="23">
        <v>5.7447105462779965E-2</v>
      </c>
      <c r="BK621" s="23">
        <v>8.5153852345557474E-2</v>
      </c>
      <c r="BL621" s="23">
        <v>7.4158058913035174E-2</v>
      </c>
      <c r="BM621" s="23">
        <v>7.5718189192107169E-2</v>
      </c>
      <c r="BN621" s="23">
        <v>7.3955559365675619E-2</v>
      </c>
    </row>
    <row r="622" spans="1:66" x14ac:dyDescent="0.25">
      <c r="A622" s="16">
        <v>3941</v>
      </c>
      <c r="B622" s="16" t="s">
        <v>816</v>
      </c>
      <c r="C622" s="17">
        <v>0</v>
      </c>
      <c r="D622" s="17">
        <f t="shared" si="342"/>
        <v>0</v>
      </c>
      <c r="E622" s="17">
        <f t="shared" si="343"/>
        <v>0</v>
      </c>
      <c r="F622" s="17">
        <f t="shared" si="344"/>
        <v>0</v>
      </c>
      <c r="G622" s="17">
        <f t="shared" si="345"/>
        <v>0</v>
      </c>
      <c r="H622" s="17">
        <f t="shared" si="346"/>
        <v>0</v>
      </c>
      <c r="I622" s="17">
        <f t="shared" si="347"/>
        <v>0</v>
      </c>
      <c r="J622" s="17">
        <f t="shared" si="348"/>
        <v>0</v>
      </c>
      <c r="K622" s="17">
        <f t="shared" si="349"/>
        <v>0</v>
      </c>
      <c r="L622" s="17">
        <f t="shared" si="350"/>
        <v>0</v>
      </c>
      <c r="M622" s="17">
        <f t="shared" si="351"/>
        <v>0</v>
      </c>
      <c r="N622" s="17">
        <f t="shared" si="352"/>
        <v>0</v>
      </c>
      <c r="O622" s="17">
        <f t="shared" si="353"/>
        <v>0</v>
      </c>
      <c r="P622" s="17">
        <v>0</v>
      </c>
      <c r="Q622" s="17">
        <f t="shared" si="354"/>
        <v>0</v>
      </c>
      <c r="R622" s="17">
        <f t="shared" si="355"/>
        <v>0</v>
      </c>
      <c r="S622" s="17">
        <f t="shared" si="356"/>
        <v>0</v>
      </c>
      <c r="T622" s="17">
        <f t="shared" si="357"/>
        <v>0</v>
      </c>
      <c r="U622" s="17">
        <f t="shared" si="358"/>
        <v>0</v>
      </c>
      <c r="V622" s="17">
        <f t="shared" si="359"/>
        <v>0</v>
      </c>
      <c r="W622" s="17">
        <f t="shared" si="360"/>
        <v>0</v>
      </c>
      <c r="X622" s="17">
        <f t="shared" si="361"/>
        <v>0</v>
      </c>
      <c r="Y622" s="17">
        <f t="shared" si="362"/>
        <v>0</v>
      </c>
      <c r="Z622" s="17">
        <f t="shared" si="363"/>
        <v>0</v>
      </c>
      <c r="AA622" s="17">
        <f t="shared" si="364"/>
        <v>0</v>
      </c>
      <c r="AB622" s="17">
        <f t="shared" si="365"/>
        <v>0</v>
      </c>
      <c r="AC622" s="17">
        <v>0</v>
      </c>
      <c r="AD622" s="17">
        <f t="shared" si="366"/>
        <v>0</v>
      </c>
      <c r="AE622" s="17">
        <f t="shared" si="367"/>
        <v>0</v>
      </c>
      <c r="AF622" s="17">
        <f t="shared" si="368"/>
        <v>0</v>
      </c>
      <c r="AG622" s="17">
        <f t="shared" si="369"/>
        <v>0</v>
      </c>
      <c r="AH622" s="17">
        <f t="shared" si="370"/>
        <v>0</v>
      </c>
      <c r="AI622" s="17">
        <f t="shared" si="371"/>
        <v>0</v>
      </c>
      <c r="AJ622" s="17">
        <f t="shared" si="372"/>
        <v>0</v>
      </c>
      <c r="AK622" s="17">
        <f t="shared" si="373"/>
        <v>0</v>
      </c>
      <c r="AL622" s="17">
        <f t="shared" si="374"/>
        <v>0</v>
      </c>
      <c r="AM622" s="17">
        <f t="shared" si="375"/>
        <v>0</v>
      </c>
      <c r="AN622" s="17">
        <f t="shared" si="376"/>
        <v>0</v>
      </c>
      <c r="AO622" s="17">
        <f t="shared" si="377"/>
        <v>0</v>
      </c>
      <c r="AP622" s="17">
        <f t="shared" si="378"/>
        <v>0</v>
      </c>
      <c r="AQ622" s="18">
        <v>0</v>
      </c>
      <c r="AR622" s="18">
        <v>0</v>
      </c>
      <c r="AS622" s="18">
        <v>0</v>
      </c>
      <c r="AT622" s="18">
        <v>0</v>
      </c>
      <c r="AU622" s="18">
        <v>0</v>
      </c>
      <c r="AV622" s="18">
        <v>0</v>
      </c>
      <c r="AW622" s="18">
        <v>0</v>
      </c>
      <c r="AX622" s="18">
        <v>0</v>
      </c>
      <c r="AY622" s="18">
        <v>0</v>
      </c>
      <c r="AZ622" s="18">
        <v>0</v>
      </c>
      <c r="BA622" s="18">
        <v>0</v>
      </c>
      <c r="BB622" s="18">
        <v>0</v>
      </c>
      <c r="BC622" s="23">
        <v>8.9181565948742242E-2</v>
      </c>
      <c r="BD622" s="23">
        <v>0.10665277883445198</v>
      </c>
      <c r="BE622" s="23">
        <v>9.438849084854764E-2</v>
      </c>
      <c r="BF622" s="23">
        <v>7.149564986855049E-2</v>
      </c>
      <c r="BG622" s="23">
        <v>0.10368571810536763</v>
      </c>
      <c r="BH622" s="23">
        <v>8.4970330952544637E-2</v>
      </c>
      <c r="BI622" s="23">
        <v>8.4593878877262704E-2</v>
      </c>
      <c r="BJ622" s="23">
        <v>5.7447105462779965E-2</v>
      </c>
      <c r="BK622" s="23">
        <v>8.5153852345557474E-2</v>
      </c>
      <c r="BL622" s="23">
        <v>7.4158058913035174E-2</v>
      </c>
      <c r="BM622" s="23">
        <v>7.5718189192107169E-2</v>
      </c>
      <c r="BN622" s="23">
        <v>7.3955559365675619E-2</v>
      </c>
    </row>
    <row r="623" spans="1:66" x14ac:dyDescent="0.25">
      <c r="A623" s="16">
        <v>3977</v>
      </c>
      <c r="B623" s="16" t="s">
        <v>817</v>
      </c>
      <c r="C623" s="17">
        <v>0</v>
      </c>
      <c r="D623" s="17">
        <f t="shared" si="342"/>
        <v>0</v>
      </c>
      <c r="E623" s="17">
        <f t="shared" si="343"/>
        <v>0</v>
      </c>
      <c r="F623" s="17">
        <f t="shared" si="344"/>
        <v>0</v>
      </c>
      <c r="G623" s="17">
        <f t="shared" si="345"/>
        <v>0</v>
      </c>
      <c r="H623" s="17">
        <f t="shared" si="346"/>
        <v>0</v>
      </c>
      <c r="I623" s="17">
        <f t="shared" si="347"/>
        <v>0</v>
      </c>
      <c r="J623" s="17">
        <f t="shared" si="348"/>
        <v>0</v>
      </c>
      <c r="K623" s="17">
        <f t="shared" si="349"/>
        <v>0</v>
      </c>
      <c r="L623" s="17">
        <f t="shared" si="350"/>
        <v>0</v>
      </c>
      <c r="M623" s="17">
        <f t="shared" si="351"/>
        <v>0</v>
      </c>
      <c r="N623" s="17">
        <f t="shared" si="352"/>
        <v>0</v>
      </c>
      <c r="O623" s="17">
        <f t="shared" si="353"/>
        <v>0</v>
      </c>
      <c r="P623" s="17">
        <v>0</v>
      </c>
      <c r="Q623" s="17">
        <f t="shared" si="354"/>
        <v>0</v>
      </c>
      <c r="R623" s="17">
        <f t="shared" si="355"/>
        <v>0</v>
      </c>
      <c r="S623" s="17">
        <f t="shared" si="356"/>
        <v>0</v>
      </c>
      <c r="T623" s="17">
        <f t="shared" si="357"/>
        <v>0</v>
      </c>
      <c r="U623" s="17">
        <f t="shared" si="358"/>
        <v>0</v>
      </c>
      <c r="V623" s="17">
        <f t="shared" si="359"/>
        <v>0</v>
      </c>
      <c r="W623" s="17">
        <f t="shared" si="360"/>
        <v>0</v>
      </c>
      <c r="X623" s="17">
        <f t="shared" si="361"/>
        <v>0</v>
      </c>
      <c r="Y623" s="17">
        <f t="shared" si="362"/>
        <v>0</v>
      </c>
      <c r="Z623" s="17">
        <f t="shared" si="363"/>
        <v>0</v>
      </c>
      <c r="AA623" s="17">
        <f t="shared" si="364"/>
        <v>0</v>
      </c>
      <c r="AB623" s="17">
        <f t="shared" si="365"/>
        <v>0</v>
      </c>
      <c r="AC623" s="17">
        <v>0</v>
      </c>
      <c r="AD623" s="17">
        <f t="shared" si="366"/>
        <v>0</v>
      </c>
      <c r="AE623" s="17">
        <f t="shared" si="367"/>
        <v>0</v>
      </c>
      <c r="AF623" s="17">
        <f t="shared" si="368"/>
        <v>0</v>
      </c>
      <c r="AG623" s="17">
        <f t="shared" si="369"/>
        <v>0</v>
      </c>
      <c r="AH623" s="17">
        <f t="shared" si="370"/>
        <v>0</v>
      </c>
      <c r="AI623" s="17">
        <f t="shared" si="371"/>
        <v>0</v>
      </c>
      <c r="AJ623" s="17">
        <f t="shared" si="372"/>
        <v>0</v>
      </c>
      <c r="AK623" s="17">
        <f t="shared" si="373"/>
        <v>0</v>
      </c>
      <c r="AL623" s="17">
        <f t="shared" si="374"/>
        <v>0</v>
      </c>
      <c r="AM623" s="17">
        <f t="shared" si="375"/>
        <v>0</v>
      </c>
      <c r="AN623" s="17">
        <f t="shared" si="376"/>
        <v>0</v>
      </c>
      <c r="AO623" s="17">
        <f t="shared" si="377"/>
        <v>0</v>
      </c>
      <c r="AP623" s="17">
        <f t="shared" si="378"/>
        <v>0</v>
      </c>
      <c r="AQ623" s="18">
        <v>22.317686878672749</v>
      </c>
      <c r="AR623" s="18">
        <v>26.689857903321613</v>
      </c>
      <c r="AS623" s="18">
        <v>23.620719834849048</v>
      </c>
      <c r="AT623" s="18">
        <v>17.891786379604763</v>
      </c>
      <c r="AU623" s="18">
        <v>25.947350955868252</v>
      </c>
      <c r="AV623" s="18">
        <v>21.263825320874297</v>
      </c>
      <c r="AW623" s="18">
        <v>21.169618189034995</v>
      </c>
      <c r="AX623" s="18">
        <v>14.376138142060688</v>
      </c>
      <c r="AY623" s="18">
        <v>21.309751549475759</v>
      </c>
      <c r="AZ623" s="18">
        <v>18.558054242987055</v>
      </c>
      <c r="BA623" s="18">
        <v>18.948476845324819</v>
      </c>
      <c r="BB623" s="18">
        <v>18.507378731260324</v>
      </c>
      <c r="BC623" s="23">
        <v>8.9181565948742242E-2</v>
      </c>
      <c r="BD623" s="23">
        <v>0.10665277883445198</v>
      </c>
      <c r="BE623" s="23">
        <v>9.438849084854764E-2</v>
      </c>
      <c r="BF623" s="23">
        <v>7.149564986855049E-2</v>
      </c>
      <c r="BG623" s="23">
        <v>0.10368571810536763</v>
      </c>
      <c r="BH623" s="23">
        <v>8.4970330952544637E-2</v>
      </c>
      <c r="BI623" s="23">
        <v>8.4593878877262704E-2</v>
      </c>
      <c r="BJ623" s="23">
        <v>5.7447105462779965E-2</v>
      </c>
      <c r="BK623" s="23">
        <v>8.5153852345557474E-2</v>
      </c>
      <c r="BL623" s="23">
        <v>7.4158058913035174E-2</v>
      </c>
      <c r="BM623" s="23">
        <v>7.5718189192107169E-2</v>
      </c>
      <c r="BN623" s="23">
        <v>7.3955559365675619E-2</v>
      </c>
    </row>
    <row r="624" spans="1:66" x14ac:dyDescent="0.25">
      <c r="A624" s="16">
        <v>3985</v>
      </c>
      <c r="B624" s="16" t="s">
        <v>818</v>
      </c>
      <c r="C624" s="17">
        <v>0</v>
      </c>
      <c r="D624" s="17">
        <f t="shared" si="342"/>
        <v>0</v>
      </c>
      <c r="E624" s="17">
        <f t="shared" si="343"/>
        <v>0</v>
      </c>
      <c r="F624" s="17">
        <f t="shared" si="344"/>
        <v>0</v>
      </c>
      <c r="G624" s="17">
        <f t="shared" si="345"/>
        <v>0</v>
      </c>
      <c r="H624" s="17">
        <f t="shared" si="346"/>
        <v>0</v>
      </c>
      <c r="I624" s="17">
        <f t="shared" si="347"/>
        <v>0</v>
      </c>
      <c r="J624" s="17">
        <f t="shared" si="348"/>
        <v>0</v>
      </c>
      <c r="K624" s="17">
        <f t="shared" si="349"/>
        <v>0</v>
      </c>
      <c r="L624" s="17">
        <f t="shared" si="350"/>
        <v>0</v>
      </c>
      <c r="M624" s="17">
        <f t="shared" si="351"/>
        <v>0</v>
      </c>
      <c r="N624" s="17">
        <f t="shared" si="352"/>
        <v>0</v>
      </c>
      <c r="O624" s="17">
        <f t="shared" si="353"/>
        <v>0</v>
      </c>
      <c r="P624" s="17">
        <v>0</v>
      </c>
      <c r="Q624" s="17">
        <f t="shared" si="354"/>
        <v>0</v>
      </c>
      <c r="R624" s="17">
        <f t="shared" si="355"/>
        <v>0</v>
      </c>
      <c r="S624" s="17">
        <f t="shared" si="356"/>
        <v>0</v>
      </c>
      <c r="T624" s="17">
        <f t="shared" si="357"/>
        <v>0</v>
      </c>
      <c r="U624" s="17">
        <f t="shared" si="358"/>
        <v>0</v>
      </c>
      <c r="V624" s="17">
        <f t="shared" si="359"/>
        <v>0</v>
      </c>
      <c r="W624" s="17">
        <f t="shared" si="360"/>
        <v>0</v>
      </c>
      <c r="X624" s="17">
        <f t="shared" si="361"/>
        <v>0</v>
      </c>
      <c r="Y624" s="17">
        <f t="shared" si="362"/>
        <v>0</v>
      </c>
      <c r="Z624" s="17">
        <f t="shared" si="363"/>
        <v>0</v>
      </c>
      <c r="AA624" s="17">
        <f t="shared" si="364"/>
        <v>0</v>
      </c>
      <c r="AB624" s="17">
        <f t="shared" si="365"/>
        <v>0</v>
      </c>
      <c r="AC624" s="17">
        <v>0</v>
      </c>
      <c r="AD624" s="17">
        <f t="shared" si="366"/>
        <v>0</v>
      </c>
      <c r="AE624" s="17">
        <f t="shared" si="367"/>
        <v>0</v>
      </c>
      <c r="AF624" s="17">
        <f t="shared" si="368"/>
        <v>0</v>
      </c>
      <c r="AG624" s="17">
        <f t="shared" si="369"/>
        <v>0</v>
      </c>
      <c r="AH624" s="17">
        <f t="shared" si="370"/>
        <v>0</v>
      </c>
      <c r="AI624" s="17">
        <f t="shared" si="371"/>
        <v>0</v>
      </c>
      <c r="AJ624" s="17">
        <f t="shared" si="372"/>
        <v>0</v>
      </c>
      <c r="AK624" s="17">
        <f t="shared" si="373"/>
        <v>0</v>
      </c>
      <c r="AL624" s="17">
        <f t="shared" si="374"/>
        <v>0</v>
      </c>
      <c r="AM624" s="17">
        <f t="shared" si="375"/>
        <v>0</v>
      </c>
      <c r="AN624" s="17">
        <f t="shared" si="376"/>
        <v>0</v>
      </c>
      <c r="AO624" s="17">
        <f t="shared" si="377"/>
        <v>0</v>
      </c>
      <c r="AP624" s="17">
        <f t="shared" si="378"/>
        <v>0</v>
      </c>
      <c r="AQ624" s="18">
        <v>0</v>
      </c>
      <c r="AR624" s="18">
        <v>0</v>
      </c>
      <c r="AS624" s="18">
        <v>0</v>
      </c>
      <c r="AT624" s="18">
        <v>0</v>
      </c>
      <c r="AU624" s="18">
        <v>0</v>
      </c>
      <c r="AV624" s="18">
        <v>0</v>
      </c>
      <c r="AW624" s="18">
        <v>0</v>
      </c>
      <c r="AX624" s="18">
        <v>0</v>
      </c>
      <c r="AY624" s="18">
        <v>0</v>
      </c>
      <c r="AZ624" s="18">
        <v>0</v>
      </c>
      <c r="BA624" s="18">
        <v>0</v>
      </c>
      <c r="BB624" s="18">
        <v>0</v>
      </c>
      <c r="BC624" s="23">
        <v>8.9181565948742242E-2</v>
      </c>
      <c r="BD624" s="23">
        <v>0.10665277883445198</v>
      </c>
      <c r="BE624" s="23">
        <v>9.438849084854764E-2</v>
      </c>
      <c r="BF624" s="23">
        <v>7.149564986855049E-2</v>
      </c>
      <c r="BG624" s="23">
        <v>0.10368571810536763</v>
      </c>
      <c r="BH624" s="23">
        <v>8.4970330952544637E-2</v>
      </c>
      <c r="BI624" s="23">
        <v>8.4593878877262704E-2</v>
      </c>
      <c r="BJ624" s="23">
        <v>5.7447105462779965E-2</v>
      </c>
      <c r="BK624" s="23">
        <v>8.5153852345557474E-2</v>
      </c>
      <c r="BL624" s="23">
        <v>7.4158058913035174E-2</v>
      </c>
      <c r="BM624" s="23">
        <v>7.5718189192107169E-2</v>
      </c>
      <c r="BN624" s="23">
        <v>7.3955559365675619E-2</v>
      </c>
    </row>
    <row r="625" spans="1:66" x14ac:dyDescent="0.25">
      <c r="A625" s="16">
        <v>3993</v>
      </c>
      <c r="B625" s="16" t="s">
        <v>819</v>
      </c>
      <c r="C625" s="17">
        <v>0</v>
      </c>
      <c r="D625" s="17">
        <f t="shared" si="342"/>
        <v>0</v>
      </c>
      <c r="E625" s="17">
        <f t="shared" si="343"/>
        <v>0</v>
      </c>
      <c r="F625" s="17">
        <f t="shared" si="344"/>
        <v>0</v>
      </c>
      <c r="G625" s="17">
        <f t="shared" si="345"/>
        <v>0</v>
      </c>
      <c r="H625" s="17">
        <f t="shared" si="346"/>
        <v>0</v>
      </c>
      <c r="I625" s="17">
        <f t="shared" si="347"/>
        <v>0</v>
      </c>
      <c r="J625" s="17">
        <f t="shared" si="348"/>
        <v>0</v>
      </c>
      <c r="K625" s="17">
        <f t="shared" si="349"/>
        <v>0</v>
      </c>
      <c r="L625" s="17">
        <f t="shared" si="350"/>
        <v>0</v>
      </c>
      <c r="M625" s="17">
        <f t="shared" si="351"/>
        <v>0</v>
      </c>
      <c r="N625" s="17">
        <f t="shared" si="352"/>
        <v>0</v>
      </c>
      <c r="O625" s="17">
        <f t="shared" si="353"/>
        <v>0</v>
      </c>
      <c r="P625" s="17">
        <v>4000</v>
      </c>
      <c r="Q625" s="17">
        <f t="shared" si="354"/>
        <v>356.72626379496899</v>
      </c>
      <c r="R625" s="17">
        <f t="shared" si="355"/>
        <v>426.61111533780792</v>
      </c>
      <c r="S625" s="17">
        <f t="shared" si="356"/>
        <v>377.55396339419059</v>
      </c>
      <c r="T625" s="17">
        <f t="shared" si="357"/>
        <v>285.98259947420195</v>
      </c>
      <c r="U625" s="17">
        <f t="shared" si="358"/>
        <v>414.74287242147051</v>
      </c>
      <c r="V625" s="17">
        <f t="shared" si="359"/>
        <v>339.88132381017857</v>
      </c>
      <c r="W625" s="17">
        <f t="shared" si="360"/>
        <v>338.37551550905084</v>
      </c>
      <c r="X625" s="17">
        <f t="shared" si="361"/>
        <v>229.78842185111986</v>
      </c>
      <c r="Y625" s="17">
        <f t="shared" si="362"/>
        <v>340.61540938222987</v>
      </c>
      <c r="Z625" s="17">
        <f t="shared" si="363"/>
        <v>296.63223565214071</v>
      </c>
      <c r="AA625" s="17">
        <f t="shared" si="364"/>
        <v>302.8727567684287</v>
      </c>
      <c r="AB625" s="17">
        <f t="shared" si="365"/>
        <v>295.8222374627025</v>
      </c>
      <c r="AC625" s="17">
        <v>0</v>
      </c>
      <c r="AD625" s="17">
        <f t="shared" si="366"/>
        <v>0</v>
      </c>
      <c r="AE625" s="17">
        <f t="shared" si="367"/>
        <v>0</v>
      </c>
      <c r="AF625" s="17">
        <f t="shared" si="368"/>
        <v>0</v>
      </c>
      <c r="AG625" s="17">
        <f t="shared" si="369"/>
        <v>0</v>
      </c>
      <c r="AH625" s="17">
        <f t="shared" si="370"/>
        <v>0</v>
      </c>
      <c r="AI625" s="17">
        <f t="shared" si="371"/>
        <v>0</v>
      </c>
      <c r="AJ625" s="17">
        <f t="shared" si="372"/>
        <v>0</v>
      </c>
      <c r="AK625" s="17">
        <f t="shared" si="373"/>
        <v>0</v>
      </c>
      <c r="AL625" s="17">
        <f t="shared" si="374"/>
        <v>0</v>
      </c>
      <c r="AM625" s="17">
        <f t="shared" si="375"/>
        <v>0</v>
      </c>
      <c r="AN625" s="17">
        <f t="shared" si="376"/>
        <v>0</v>
      </c>
      <c r="AO625" s="17">
        <f t="shared" si="377"/>
        <v>0</v>
      </c>
      <c r="AP625" s="17">
        <f t="shared" si="378"/>
        <v>4000</v>
      </c>
      <c r="AQ625" s="18">
        <v>0</v>
      </c>
      <c r="AR625" s="18">
        <v>0</v>
      </c>
      <c r="AS625" s="18">
        <v>0</v>
      </c>
      <c r="AT625" s="18">
        <v>0</v>
      </c>
      <c r="AU625" s="18">
        <v>0</v>
      </c>
      <c r="AV625" s="18">
        <v>0</v>
      </c>
      <c r="AW625" s="18">
        <v>0</v>
      </c>
      <c r="AX625" s="18">
        <v>0</v>
      </c>
      <c r="AY625" s="18">
        <v>0</v>
      </c>
      <c r="AZ625" s="18">
        <v>0</v>
      </c>
      <c r="BA625" s="18">
        <v>0</v>
      </c>
      <c r="BB625" s="18">
        <v>0</v>
      </c>
      <c r="BC625" s="23">
        <v>8.9181565948742242E-2</v>
      </c>
      <c r="BD625" s="23">
        <v>0.10665277883445198</v>
      </c>
      <c r="BE625" s="23">
        <v>9.438849084854764E-2</v>
      </c>
      <c r="BF625" s="23">
        <v>7.149564986855049E-2</v>
      </c>
      <c r="BG625" s="23">
        <v>0.10368571810536763</v>
      </c>
      <c r="BH625" s="23">
        <v>8.4970330952544637E-2</v>
      </c>
      <c r="BI625" s="23">
        <v>8.4593878877262704E-2</v>
      </c>
      <c r="BJ625" s="23">
        <v>5.7447105462779965E-2</v>
      </c>
      <c r="BK625" s="23">
        <v>8.5153852345557474E-2</v>
      </c>
      <c r="BL625" s="23">
        <v>7.4158058913035174E-2</v>
      </c>
      <c r="BM625" s="23">
        <v>7.5718189192107169E-2</v>
      </c>
      <c r="BN625" s="23">
        <v>7.3955559365675619E-2</v>
      </c>
    </row>
    <row r="626" spans="1:66" x14ac:dyDescent="0.25">
      <c r="A626" s="16">
        <v>3995</v>
      </c>
      <c r="B626" s="16" t="s">
        <v>820</v>
      </c>
      <c r="C626" s="17">
        <v>0</v>
      </c>
      <c r="D626" s="17">
        <f t="shared" si="342"/>
        <v>0</v>
      </c>
      <c r="E626" s="17">
        <f t="shared" si="343"/>
        <v>0</v>
      </c>
      <c r="F626" s="17">
        <f t="shared" si="344"/>
        <v>0</v>
      </c>
      <c r="G626" s="17">
        <f t="shared" si="345"/>
        <v>0</v>
      </c>
      <c r="H626" s="17">
        <f t="shared" si="346"/>
        <v>0</v>
      </c>
      <c r="I626" s="17">
        <f t="shared" si="347"/>
        <v>0</v>
      </c>
      <c r="J626" s="17">
        <f t="shared" si="348"/>
        <v>0</v>
      </c>
      <c r="K626" s="17">
        <f t="shared" si="349"/>
        <v>0</v>
      </c>
      <c r="L626" s="17">
        <f t="shared" si="350"/>
        <v>0</v>
      </c>
      <c r="M626" s="17">
        <f t="shared" si="351"/>
        <v>0</v>
      </c>
      <c r="N626" s="17">
        <f t="shared" si="352"/>
        <v>0</v>
      </c>
      <c r="O626" s="17">
        <f t="shared" si="353"/>
        <v>0</v>
      </c>
      <c r="P626" s="17">
        <v>0</v>
      </c>
      <c r="Q626" s="17">
        <f t="shared" si="354"/>
        <v>0</v>
      </c>
      <c r="R626" s="17">
        <f t="shared" si="355"/>
        <v>0</v>
      </c>
      <c r="S626" s="17">
        <f t="shared" si="356"/>
        <v>0</v>
      </c>
      <c r="T626" s="17">
        <f t="shared" si="357"/>
        <v>0</v>
      </c>
      <c r="U626" s="17">
        <f t="shared" si="358"/>
        <v>0</v>
      </c>
      <c r="V626" s="17">
        <f t="shared" si="359"/>
        <v>0</v>
      </c>
      <c r="W626" s="17">
        <f t="shared" si="360"/>
        <v>0</v>
      </c>
      <c r="X626" s="17">
        <f t="shared" si="361"/>
        <v>0</v>
      </c>
      <c r="Y626" s="17">
        <f t="shared" si="362"/>
        <v>0</v>
      </c>
      <c r="Z626" s="17">
        <f t="shared" si="363"/>
        <v>0</v>
      </c>
      <c r="AA626" s="17">
        <f t="shared" si="364"/>
        <v>0</v>
      </c>
      <c r="AB626" s="17">
        <f t="shared" si="365"/>
        <v>0</v>
      </c>
      <c r="AC626" s="17">
        <v>0</v>
      </c>
      <c r="AD626" s="17">
        <f t="shared" si="366"/>
        <v>0</v>
      </c>
      <c r="AE626" s="17">
        <f t="shared" si="367"/>
        <v>0</v>
      </c>
      <c r="AF626" s="17">
        <f t="shared" si="368"/>
        <v>0</v>
      </c>
      <c r="AG626" s="17">
        <f t="shared" si="369"/>
        <v>0</v>
      </c>
      <c r="AH626" s="17">
        <f t="shared" si="370"/>
        <v>0</v>
      </c>
      <c r="AI626" s="17">
        <f t="shared" si="371"/>
        <v>0</v>
      </c>
      <c r="AJ626" s="17">
        <f t="shared" si="372"/>
        <v>0</v>
      </c>
      <c r="AK626" s="17">
        <f t="shared" si="373"/>
        <v>0</v>
      </c>
      <c r="AL626" s="17">
        <f t="shared" si="374"/>
        <v>0</v>
      </c>
      <c r="AM626" s="17">
        <f t="shared" si="375"/>
        <v>0</v>
      </c>
      <c r="AN626" s="17">
        <f t="shared" si="376"/>
        <v>0</v>
      </c>
      <c r="AO626" s="17">
        <f t="shared" si="377"/>
        <v>0</v>
      </c>
      <c r="AP626" s="17">
        <f t="shared" si="378"/>
        <v>0</v>
      </c>
      <c r="AQ626" s="18">
        <v>25.702127306427517</v>
      </c>
      <c r="AR626" s="18">
        <v>30.737330860089067</v>
      </c>
      <c r="AS626" s="18">
        <v>27.202763062551433</v>
      </c>
      <c r="AT626" s="18">
        <v>20.605046292116253</v>
      </c>
      <c r="AU626" s="18">
        <v>29.882223957966954</v>
      </c>
      <c r="AV626" s="18">
        <v>24.488449380523367</v>
      </c>
      <c r="AW626" s="18">
        <v>24.379955892427116</v>
      </c>
      <c r="AX626" s="18">
        <v>16.55625579437319</v>
      </c>
      <c r="AY626" s="18">
        <v>24.541340245989669</v>
      </c>
      <c r="AZ626" s="18">
        <v>21.372352578736741</v>
      </c>
      <c r="BA626" s="18">
        <v>21.821982125165288</v>
      </c>
      <c r="BB626" s="18">
        <v>21.313992209187717</v>
      </c>
      <c r="BC626" s="23">
        <v>8.9181565948742242E-2</v>
      </c>
      <c r="BD626" s="23">
        <v>0.10665277883445198</v>
      </c>
      <c r="BE626" s="23">
        <v>9.438849084854764E-2</v>
      </c>
      <c r="BF626" s="23">
        <v>7.149564986855049E-2</v>
      </c>
      <c r="BG626" s="23">
        <v>0.10368571810536763</v>
      </c>
      <c r="BH626" s="23">
        <v>8.4970330952544637E-2</v>
      </c>
      <c r="BI626" s="23">
        <v>8.4593878877262704E-2</v>
      </c>
      <c r="BJ626" s="23">
        <v>5.7447105462779965E-2</v>
      </c>
      <c r="BK626" s="23">
        <v>8.5153852345557474E-2</v>
      </c>
      <c r="BL626" s="23">
        <v>7.4158058913035174E-2</v>
      </c>
      <c r="BM626" s="23">
        <v>7.5718189192107169E-2</v>
      </c>
      <c r="BN626" s="23">
        <v>7.3955559365675619E-2</v>
      </c>
    </row>
    <row r="627" spans="1:66" x14ac:dyDescent="0.25">
      <c r="A627" s="16">
        <v>4037</v>
      </c>
      <c r="B627" s="16" t="s">
        <v>821</v>
      </c>
      <c r="C627" s="17">
        <v>0</v>
      </c>
      <c r="D627" s="17">
        <f t="shared" si="342"/>
        <v>0</v>
      </c>
      <c r="E627" s="17">
        <f t="shared" si="343"/>
        <v>0</v>
      </c>
      <c r="F627" s="17">
        <f t="shared" si="344"/>
        <v>0</v>
      </c>
      <c r="G627" s="17">
        <f t="shared" si="345"/>
        <v>0</v>
      </c>
      <c r="H627" s="17">
        <f t="shared" si="346"/>
        <v>0</v>
      </c>
      <c r="I627" s="17">
        <f t="shared" si="347"/>
        <v>0</v>
      </c>
      <c r="J627" s="17">
        <f t="shared" si="348"/>
        <v>0</v>
      </c>
      <c r="K627" s="17">
        <f t="shared" si="349"/>
        <v>0</v>
      </c>
      <c r="L627" s="17">
        <f t="shared" si="350"/>
        <v>0</v>
      </c>
      <c r="M627" s="17">
        <f t="shared" si="351"/>
        <v>0</v>
      </c>
      <c r="N627" s="17">
        <f t="shared" si="352"/>
        <v>0</v>
      </c>
      <c r="O627" s="17">
        <f t="shared" si="353"/>
        <v>0</v>
      </c>
      <c r="P627" s="17">
        <v>0</v>
      </c>
      <c r="Q627" s="17">
        <f t="shared" si="354"/>
        <v>0</v>
      </c>
      <c r="R627" s="17">
        <f t="shared" si="355"/>
        <v>0</v>
      </c>
      <c r="S627" s="17">
        <f t="shared" si="356"/>
        <v>0</v>
      </c>
      <c r="T627" s="17">
        <f t="shared" si="357"/>
        <v>0</v>
      </c>
      <c r="U627" s="17">
        <f t="shared" si="358"/>
        <v>0</v>
      </c>
      <c r="V627" s="17">
        <f t="shared" si="359"/>
        <v>0</v>
      </c>
      <c r="W627" s="17">
        <f t="shared" si="360"/>
        <v>0</v>
      </c>
      <c r="X627" s="17">
        <f t="shared" si="361"/>
        <v>0</v>
      </c>
      <c r="Y627" s="17">
        <f t="shared" si="362"/>
        <v>0</v>
      </c>
      <c r="Z627" s="17">
        <f t="shared" si="363"/>
        <v>0</v>
      </c>
      <c r="AA627" s="17">
        <f t="shared" si="364"/>
        <v>0</v>
      </c>
      <c r="AB627" s="17">
        <f t="shared" si="365"/>
        <v>0</v>
      </c>
      <c r="AC627" s="17">
        <v>0</v>
      </c>
      <c r="AD627" s="17">
        <f t="shared" si="366"/>
        <v>0</v>
      </c>
      <c r="AE627" s="17">
        <f t="shared" si="367"/>
        <v>0</v>
      </c>
      <c r="AF627" s="17">
        <f t="shared" si="368"/>
        <v>0</v>
      </c>
      <c r="AG627" s="17">
        <f t="shared" si="369"/>
        <v>0</v>
      </c>
      <c r="AH627" s="17">
        <f t="shared" si="370"/>
        <v>0</v>
      </c>
      <c r="AI627" s="17">
        <f t="shared" si="371"/>
        <v>0</v>
      </c>
      <c r="AJ627" s="17">
        <f t="shared" si="372"/>
        <v>0</v>
      </c>
      <c r="AK627" s="17">
        <f t="shared" si="373"/>
        <v>0</v>
      </c>
      <c r="AL627" s="17">
        <f t="shared" si="374"/>
        <v>0</v>
      </c>
      <c r="AM627" s="17">
        <f t="shared" si="375"/>
        <v>0</v>
      </c>
      <c r="AN627" s="17">
        <f t="shared" si="376"/>
        <v>0</v>
      </c>
      <c r="AO627" s="17">
        <f t="shared" si="377"/>
        <v>0</v>
      </c>
      <c r="AP627" s="17">
        <f t="shared" si="378"/>
        <v>0</v>
      </c>
      <c r="AQ627" s="18">
        <v>73.844566144707301</v>
      </c>
      <c r="AR627" s="18">
        <v>88.311167194397115</v>
      </c>
      <c r="AS627" s="18">
        <v>78.156030134868672</v>
      </c>
      <c r="AT627" s="18">
        <v>59.200185482406525</v>
      </c>
      <c r="AU627" s="18">
        <v>85.854366734197043</v>
      </c>
      <c r="AV627" s="18">
        <v>70.357558286980776</v>
      </c>
      <c r="AW627" s="18">
        <v>70.045846557345456</v>
      </c>
      <c r="AX627" s="18">
        <v>47.567639500818387</v>
      </c>
      <c r="AY627" s="18">
        <v>70.50951858843024</v>
      </c>
      <c r="AZ627" s="18">
        <v>61.404726731465956</v>
      </c>
      <c r="BA627" s="18">
        <v>62.696553605794549</v>
      </c>
      <c r="BB627" s="18">
        <v>61.237052043763562</v>
      </c>
      <c r="BC627" s="23">
        <v>8.9181565948742242E-2</v>
      </c>
      <c r="BD627" s="23">
        <v>0.10665277883445198</v>
      </c>
      <c r="BE627" s="23">
        <v>9.438849084854764E-2</v>
      </c>
      <c r="BF627" s="23">
        <v>7.149564986855049E-2</v>
      </c>
      <c r="BG627" s="23">
        <v>0.10368571810536763</v>
      </c>
      <c r="BH627" s="23">
        <v>8.4970330952544637E-2</v>
      </c>
      <c r="BI627" s="23">
        <v>8.4593878877262704E-2</v>
      </c>
      <c r="BJ627" s="23">
        <v>5.7447105462779965E-2</v>
      </c>
      <c r="BK627" s="23">
        <v>8.5153852345557474E-2</v>
      </c>
      <c r="BL627" s="23">
        <v>7.4158058913035174E-2</v>
      </c>
      <c r="BM627" s="23">
        <v>7.5718189192107169E-2</v>
      </c>
      <c r="BN627" s="23">
        <v>7.3955559365675619E-2</v>
      </c>
    </row>
    <row r="628" spans="1:66" x14ac:dyDescent="0.25">
      <c r="A628" s="16">
        <v>4050</v>
      </c>
      <c r="B628" s="16" t="s">
        <v>822</v>
      </c>
      <c r="C628" s="17">
        <v>0</v>
      </c>
      <c r="D628" s="17">
        <f t="shared" si="342"/>
        <v>0</v>
      </c>
      <c r="E628" s="17">
        <f t="shared" si="343"/>
        <v>0</v>
      </c>
      <c r="F628" s="17">
        <f t="shared" si="344"/>
        <v>0</v>
      </c>
      <c r="G628" s="17">
        <f t="shared" si="345"/>
        <v>0</v>
      </c>
      <c r="H628" s="17">
        <f t="shared" si="346"/>
        <v>0</v>
      </c>
      <c r="I628" s="17">
        <f t="shared" si="347"/>
        <v>0</v>
      </c>
      <c r="J628" s="17">
        <f t="shared" si="348"/>
        <v>0</v>
      </c>
      <c r="K628" s="17">
        <f t="shared" si="349"/>
        <v>0</v>
      </c>
      <c r="L628" s="17">
        <f t="shared" si="350"/>
        <v>0</v>
      </c>
      <c r="M628" s="17">
        <f t="shared" si="351"/>
        <v>0</v>
      </c>
      <c r="N628" s="17">
        <f t="shared" si="352"/>
        <v>0</v>
      </c>
      <c r="O628" s="17">
        <f t="shared" si="353"/>
        <v>0</v>
      </c>
      <c r="P628" s="17">
        <v>0</v>
      </c>
      <c r="Q628" s="17">
        <f t="shared" si="354"/>
        <v>0</v>
      </c>
      <c r="R628" s="17">
        <f t="shared" si="355"/>
        <v>0</v>
      </c>
      <c r="S628" s="17">
        <f t="shared" si="356"/>
        <v>0</v>
      </c>
      <c r="T628" s="17">
        <f t="shared" si="357"/>
        <v>0</v>
      </c>
      <c r="U628" s="17">
        <f t="shared" si="358"/>
        <v>0</v>
      </c>
      <c r="V628" s="17">
        <f t="shared" si="359"/>
        <v>0</v>
      </c>
      <c r="W628" s="17">
        <f t="shared" si="360"/>
        <v>0</v>
      </c>
      <c r="X628" s="17">
        <f t="shared" si="361"/>
        <v>0</v>
      </c>
      <c r="Y628" s="17">
        <f t="shared" si="362"/>
        <v>0</v>
      </c>
      <c r="Z628" s="17">
        <f t="shared" si="363"/>
        <v>0</v>
      </c>
      <c r="AA628" s="17">
        <f t="shared" si="364"/>
        <v>0</v>
      </c>
      <c r="AB628" s="17">
        <f t="shared" si="365"/>
        <v>0</v>
      </c>
      <c r="AC628" s="17">
        <v>0</v>
      </c>
      <c r="AD628" s="17">
        <f t="shared" si="366"/>
        <v>0</v>
      </c>
      <c r="AE628" s="17">
        <f t="shared" si="367"/>
        <v>0</v>
      </c>
      <c r="AF628" s="17">
        <f t="shared" si="368"/>
        <v>0</v>
      </c>
      <c r="AG628" s="17">
        <f t="shared" si="369"/>
        <v>0</v>
      </c>
      <c r="AH628" s="17">
        <f t="shared" si="370"/>
        <v>0</v>
      </c>
      <c r="AI628" s="17">
        <f t="shared" si="371"/>
        <v>0</v>
      </c>
      <c r="AJ628" s="17">
        <f t="shared" si="372"/>
        <v>0</v>
      </c>
      <c r="AK628" s="17">
        <f t="shared" si="373"/>
        <v>0</v>
      </c>
      <c r="AL628" s="17">
        <f t="shared" si="374"/>
        <v>0</v>
      </c>
      <c r="AM628" s="17">
        <f t="shared" si="375"/>
        <v>0</v>
      </c>
      <c r="AN628" s="17">
        <f t="shared" si="376"/>
        <v>0</v>
      </c>
      <c r="AO628" s="17">
        <f t="shared" si="377"/>
        <v>0</v>
      </c>
      <c r="AP628" s="17">
        <f t="shared" si="378"/>
        <v>0</v>
      </c>
      <c r="AQ628" s="18">
        <v>29.556465405166207</v>
      </c>
      <c r="AR628" s="18">
        <v>35.346757308535246</v>
      </c>
      <c r="AS628" s="18">
        <v>31.282139248534815</v>
      </c>
      <c r="AT628" s="18">
        <v>23.695016783785139</v>
      </c>
      <c r="AU628" s="18">
        <v>34.363417008762838</v>
      </c>
      <c r="AV628" s="18">
        <v>28.160782113961396</v>
      </c>
      <c r="AW628" s="18">
        <v>28.036018743623533</v>
      </c>
      <c r="AX628" s="18">
        <v>19.039062245369074</v>
      </c>
      <c r="AY628" s="18">
        <v>28.221604590512317</v>
      </c>
      <c r="AZ628" s="18">
        <v>24.577389726899206</v>
      </c>
      <c r="BA628" s="18">
        <v>25.094446543858968</v>
      </c>
      <c r="BB628" s="18">
        <v>24.51027752941285</v>
      </c>
      <c r="BC628" s="23">
        <v>8.9181565948742242E-2</v>
      </c>
      <c r="BD628" s="23">
        <v>0.10665277883445198</v>
      </c>
      <c r="BE628" s="23">
        <v>9.438849084854764E-2</v>
      </c>
      <c r="BF628" s="23">
        <v>7.149564986855049E-2</v>
      </c>
      <c r="BG628" s="23">
        <v>0.10368571810536763</v>
      </c>
      <c r="BH628" s="23">
        <v>8.4970330952544637E-2</v>
      </c>
      <c r="BI628" s="23">
        <v>8.4593878877262704E-2</v>
      </c>
      <c r="BJ628" s="23">
        <v>5.7447105462779965E-2</v>
      </c>
      <c r="BK628" s="23">
        <v>8.5153852345557474E-2</v>
      </c>
      <c r="BL628" s="23">
        <v>7.4158058913035174E-2</v>
      </c>
      <c r="BM628" s="23">
        <v>7.5718189192107169E-2</v>
      </c>
      <c r="BN628" s="23">
        <v>7.3955559365675619E-2</v>
      </c>
    </row>
    <row r="629" spans="1:66" x14ac:dyDescent="0.25">
      <c r="A629" s="16">
        <v>4065</v>
      </c>
      <c r="B629" s="16" t="s">
        <v>823</v>
      </c>
      <c r="C629" s="17">
        <v>0</v>
      </c>
      <c r="D629" s="17">
        <f t="shared" si="342"/>
        <v>0</v>
      </c>
      <c r="E629" s="17">
        <f t="shared" si="343"/>
        <v>0</v>
      </c>
      <c r="F629" s="17">
        <f t="shared" si="344"/>
        <v>0</v>
      </c>
      <c r="G629" s="17">
        <f t="shared" si="345"/>
        <v>0</v>
      </c>
      <c r="H629" s="17">
        <f t="shared" si="346"/>
        <v>0</v>
      </c>
      <c r="I629" s="17">
        <f t="shared" si="347"/>
        <v>0</v>
      </c>
      <c r="J629" s="17">
        <f t="shared" si="348"/>
        <v>0</v>
      </c>
      <c r="K629" s="17">
        <f t="shared" si="349"/>
        <v>0</v>
      </c>
      <c r="L629" s="17">
        <f t="shared" si="350"/>
        <v>0</v>
      </c>
      <c r="M629" s="17">
        <f t="shared" si="351"/>
        <v>0</v>
      </c>
      <c r="N629" s="17">
        <f t="shared" si="352"/>
        <v>0</v>
      </c>
      <c r="O629" s="17">
        <f t="shared" si="353"/>
        <v>0</v>
      </c>
      <c r="P629" s="17">
        <v>0</v>
      </c>
      <c r="Q629" s="17">
        <f t="shared" si="354"/>
        <v>0</v>
      </c>
      <c r="R629" s="17">
        <f t="shared" si="355"/>
        <v>0</v>
      </c>
      <c r="S629" s="17">
        <f t="shared" si="356"/>
        <v>0</v>
      </c>
      <c r="T629" s="17">
        <f t="shared" si="357"/>
        <v>0</v>
      </c>
      <c r="U629" s="17">
        <f t="shared" si="358"/>
        <v>0</v>
      </c>
      <c r="V629" s="17">
        <f t="shared" si="359"/>
        <v>0</v>
      </c>
      <c r="W629" s="17">
        <f t="shared" si="360"/>
        <v>0</v>
      </c>
      <c r="X629" s="17">
        <f t="shared" si="361"/>
        <v>0</v>
      </c>
      <c r="Y629" s="17">
        <f t="shared" si="362"/>
        <v>0</v>
      </c>
      <c r="Z629" s="17">
        <f t="shared" si="363"/>
        <v>0</v>
      </c>
      <c r="AA629" s="17">
        <f t="shared" si="364"/>
        <v>0</v>
      </c>
      <c r="AB629" s="17">
        <f t="shared" si="365"/>
        <v>0</v>
      </c>
      <c r="AC629" s="17">
        <v>0</v>
      </c>
      <c r="AD629" s="17">
        <f t="shared" si="366"/>
        <v>0</v>
      </c>
      <c r="AE629" s="17">
        <f t="shared" si="367"/>
        <v>0</v>
      </c>
      <c r="AF629" s="17">
        <f t="shared" si="368"/>
        <v>0</v>
      </c>
      <c r="AG629" s="17">
        <f t="shared" si="369"/>
        <v>0</v>
      </c>
      <c r="AH629" s="17">
        <f t="shared" si="370"/>
        <v>0</v>
      </c>
      <c r="AI629" s="17">
        <f t="shared" si="371"/>
        <v>0</v>
      </c>
      <c r="AJ629" s="17">
        <f t="shared" si="372"/>
        <v>0</v>
      </c>
      <c r="AK629" s="17">
        <f t="shared" si="373"/>
        <v>0</v>
      </c>
      <c r="AL629" s="17">
        <f t="shared" si="374"/>
        <v>0</v>
      </c>
      <c r="AM629" s="17">
        <f t="shared" si="375"/>
        <v>0</v>
      </c>
      <c r="AN629" s="17">
        <f t="shared" si="376"/>
        <v>0</v>
      </c>
      <c r="AO629" s="17">
        <f t="shared" si="377"/>
        <v>0</v>
      </c>
      <c r="AP629" s="17">
        <f t="shared" si="378"/>
        <v>0</v>
      </c>
      <c r="AQ629" s="18">
        <v>0</v>
      </c>
      <c r="AR629" s="18">
        <v>0</v>
      </c>
      <c r="AS629" s="18">
        <v>0</v>
      </c>
      <c r="AT629" s="18">
        <v>0</v>
      </c>
      <c r="AU629" s="18">
        <v>0</v>
      </c>
      <c r="AV629" s="18">
        <v>0</v>
      </c>
      <c r="AW629" s="18">
        <v>0</v>
      </c>
      <c r="AX629" s="18">
        <v>0</v>
      </c>
      <c r="AY629" s="18">
        <v>0</v>
      </c>
      <c r="AZ629" s="18">
        <v>0</v>
      </c>
      <c r="BA629" s="18">
        <v>0</v>
      </c>
      <c r="BB629" s="18">
        <v>0</v>
      </c>
      <c r="BC629" s="23">
        <v>8.9181565948742242E-2</v>
      </c>
      <c r="BD629" s="23">
        <v>0.10665277883445198</v>
      </c>
      <c r="BE629" s="23">
        <v>9.438849084854764E-2</v>
      </c>
      <c r="BF629" s="23">
        <v>7.149564986855049E-2</v>
      </c>
      <c r="BG629" s="23">
        <v>0.10368571810536763</v>
      </c>
      <c r="BH629" s="23">
        <v>8.4970330952544637E-2</v>
      </c>
      <c r="BI629" s="23">
        <v>8.4593878877262704E-2</v>
      </c>
      <c r="BJ629" s="23">
        <v>5.7447105462779965E-2</v>
      </c>
      <c r="BK629" s="23">
        <v>8.5153852345557474E-2</v>
      </c>
      <c r="BL629" s="23">
        <v>7.4158058913035174E-2</v>
      </c>
      <c r="BM629" s="23">
        <v>7.5718189192107169E-2</v>
      </c>
      <c r="BN629" s="23">
        <v>7.3955559365675619E-2</v>
      </c>
    </row>
    <row r="630" spans="1:66" x14ac:dyDescent="0.25">
      <c r="A630" s="16">
        <v>4073</v>
      </c>
      <c r="B630" s="16" t="s">
        <v>824</v>
      </c>
      <c r="C630" s="17">
        <v>0</v>
      </c>
      <c r="D630" s="17">
        <f t="shared" si="342"/>
        <v>0</v>
      </c>
      <c r="E630" s="17">
        <f t="shared" si="343"/>
        <v>0</v>
      </c>
      <c r="F630" s="17">
        <f t="shared" si="344"/>
        <v>0</v>
      </c>
      <c r="G630" s="17">
        <f t="shared" si="345"/>
        <v>0</v>
      </c>
      <c r="H630" s="17">
        <f t="shared" si="346"/>
        <v>0</v>
      </c>
      <c r="I630" s="17">
        <f t="shared" si="347"/>
        <v>0</v>
      </c>
      <c r="J630" s="17">
        <f t="shared" si="348"/>
        <v>0</v>
      </c>
      <c r="K630" s="17">
        <f t="shared" si="349"/>
        <v>0</v>
      </c>
      <c r="L630" s="17">
        <f t="shared" si="350"/>
        <v>0</v>
      </c>
      <c r="M630" s="17">
        <f t="shared" si="351"/>
        <v>0</v>
      </c>
      <c r="N630" s="17">
        <f t="shared" si="352"/>
        <v>0</v>
      </c>
      <c r="O630" s="17">
        <f t="shared" si="353"/>
        <v>0</v>
      </c>
      <c r="P630" s="17">
        <v>1000</v>
      </c>
      <c r="Q630" s="17">
        <f t="shared" si="354"/>
        <v>89.181565948742247</v>
      </c>
      <c r="R630" s="17">
        <f t="shared" si="355"/>
        <v>106.65277883445198</v>
      </c>
      <c r="S630" s="17">
        <f t="shared" si="356"/>
        <v>94.388490848547647</v>
      </c>
      <c r="T630" s="17">
        <f t="shared" si="357"/>
        <v>71.495649868550487</v>
      </c>
      <c r="U630" s="17">
        <f t="shared" si="358"/>
        <v>103.68571810536763</v>
      </c>
      <c r="V630" s="17">
        <f t="shared" si="359"/>
        <v>84.970330952544643</v>
      </c>
      <c r="W630" s="17">
        <f t="shared" si="360"/>
        <v>84.593878877262711</v>
      </c>
      <c r="X630" s="17">
        <f t="shared" si="361"/>
        <v>57.447105462779966</v>
      </c>
      <c r="Y630" s="17">
        <f t="shared" si="362"/>
        <v>85.153852345557468</v>
      </c>
      <c r="Z630" s="17">
        <f t="shared" si="363"/>
        <v>74.158058913035177</v>
      </c>
      <c r="AA630" s="17">
        <f t="shared" si="364"/>
        <v>75.718189192107175</v>
      </c>
      <c r="AB630" s="17">
        <f t="shared" si="365"/>
        <v>73.955559365675626</v>
      </c>
      <c r="AC630" s="17">
        <v>0</v>
      </c>
      <c r="AD630" s="17">
        <f t="shared" si="366"/>
        <v>0</v>
      </c>
      <c r="AE630" s="17">
        <f t="shared" si="367"/>
        <v>0</v>
      </c>
      <c r="AF630" s="17">
        <f t="shared" si="368"/>
        <v>0</v>
      </c>
      <c r="AG630" s="17">
        <f t="shared" si="369"/>
        <v>0</v>
      </c>
      <c r="AH630" s="17">
        <f t="shared" si="370"/>
        <v>0</v>
      </c>
      <c r="AI630" s="17">
        <f t="shared" si="371"/>
        <v>0</v>
      </c>
      <c r="AJ630" s="17">
        <f t="shared" si="372"/>
        <v>0</v>
      </c>
      <c r="AK630" s="17">
        <f t="shared" si="373"/>
        <v>0</v>
      </c>
      <c r="AL630" s="17">
        <f t="shared" si="374"/>
        <v>0</v>
      </c>
      <c r="AM630" s="17">
        <f t="shared" si="375"/>
        <v>0</v>
      </c>
      <c r="AN630" s="17">
        <f t="shared" si="376"/>
        <v>0</v>
      </c>
      <c r="AO630" s="17">
        <f t="shared" si="377"/>
        <v>0</v>
      </c>
      <c r="AP630" s="17">
        <f t="shared" si="378"/>
        <v>1000</v>
      </c>
      <c r="AQ630" s="18">
        <v>0</v>
      </c>
      <c r="AR630" s="18">
        <v>0</v>
      </c>
      <c r="AS630" s="18">
        <v>0</v>
      </c>
      <c r="AT630" s="18">
        <v>0</v>
      </c>
      <c r="AU630" s="18">
        <v>0</v>
      </c>
      <c r="AV630" s="18">
        <v>0</v>
      </c>
      <c r="AW630" s="18">
        <v>0</v>
      </c>
      <c r="AX630" s="18">
        <v>0</v>
      </c>
      <c r="AY630" s="18">
        <v>0</v>
      </c>
      <c r="AZ630" s="18">
        <v>0</v>
      </c>
      <c r="BA630" s="18">
        <v>0</v>
      </c>
      <c r="BB630" s="18">
        <v>0</v>
      </c>
      <c r="BC630" s="23">
        <v>8.9181565948742242E-2</v>
      </c>
      <c r="BD630" s="23">
        <v>0.10665277883445198</v>
      </c>
      <c r="BE630" s="23">
        <v>9.438849084854764E-2</v>
      </c>
      <c r="BF630" s="23">
        <v>7.149564986855049E-2</v>
      </c>
      <c r="BG630" s="23">
        <v>0.10368571810536763</v>
      </c>
      <c r="BH630" s="23">
        <v>8.4970330952544637E-2</v>
      </c>
      <c r="BI630" s="23">
        <v>8.4593878877262704E-2</v>
      </c>
      <c r="BJ630" s="23">
        <v>5.7447105462779965E-2</v>
      </c>
      <c r="BK630" s="23">
        <v>8.5153852345557474E-2</v>
      </c>
      <c r="BL630" s="23">
        <v>7.4158058913035174E-2</v>
      </c>
      <c r="BM630" s="23">
        <v>7.5718189192107169E-2</v>
      </c>
      <c r="BN630" s="23">
        <v>7.3955559365675619E-2</v>
      </c>
    </row>
    <row r="631" spans="1:66" x14ac:dyDescent="0.25">
      <c r="A631" s="16">
        <v>4078</v>
      </c>
      <c r="B631" s="16" t="s">
        <v>825</v>
      </c>
      <c r="C631" s="17">
        <v>0</v>
      </c>
      <c r="D631" s="17">
        <f t="shared" si="342"/>
        <v>0</v>
      </c>
      <c r="E631" s="17">
        <f t="shared" si="343"/>
        <v>0</v>
      </c>
      <c r="F631" s="17">
        <f t="shared" si="344"/>
        <v>0</v>
      </c>
      <c r="G631" s="17">
        <f t="shared" si="345"/>
        <v>0</v>
      </c>
      <c r="H631" s="17">
        <f t="shared" si="346"/>
        <v>0</v>
      </c>
      <c r="I631" s="17">
        <f t="shared" si="347"/>
        <v>0</v>
      </c>
      <c r="J631" s="17">
        <f t="shared" si="348"/>
        <v>0</v>
      </c>
      <c r="K631" s="17">
        <f t="shared" si="349"/>
        <v>0</v>
      </c>
      <c r="L631" s="17">
        <f t="shared" si="350"/>
        <v>0</v>
      </c>
      <c r="M631" s="17">
        <f t="shared" si="351"/>
        <v>0</v>
      </c>
      <c r="N631" s="17">
        <f t="shared" si="352"/>
        <v>0</v>
      </c>
      <c r="O631" s="17">
        <f t="shared" si="353"/>
        <v>0</v>
      </c>
      <c r="P631" s="17">
        <v>0</v>
      </c>
      <c r="Q631" s="17">
        <f t="shared" si="354"/>
        <v>0</v>
      </c>
      <c r="R631" s="17">
        <f t="shared" si="355"/>
        <v>0</v>
      </c>
      <c r="S631" s="17">
        <f t="shared" si="356"/>
        <v>0</v>
      </c>
      <c r="T631" s="17">
        <f t="shared" si="357"/>
        <v>0</v>
      </c>
      <c r="U631" s="17">
        <f t="shared" si="358"/>
        <v>0</v>
      </c>
      <c r="V631" s="17">
        <f t="shared" si="359"/>
        <v>0</v>
      </c>
      <c r="W631" s="17">
        <f t="shared" si="360"/>
        <v>0</v>
      </c>
      <c r="X631" s="17">
        <f t="shared" si="361"/>
        <v>0</v>
      </c>
      <c r="Y631" s="17">
        <f t="shared" si="362"/>
        <v>0</v>
      </c>
      <c r="Z631" s="17">
        <f t="shared" si="363"/>
        <v>0</v>
      </c>
      <c r="AA631" s="17">
        <f t="shared" si="364"/>
        <v>0</v>
      </c>
      <c r="AB631" s="17">
        <f t="shared" si="365"/>
        <v>0</v>
      </c>
      <c r="AC631" s="17">
        <v>0</v>
      </c>
      <c r="AD631" s="17">
        <f t="shared" si="366"/>
        <v>0</v>
      </c>
      <c r="AE631" s="17">
        <f t="shared" si="367"/>
        <v>0</v>
      </c>
      <c r="AF631" s="17">
        <f t="shared" si="368"/>
        <v>0</v>
      </c>
      <c r="AG631" s="17">
        <f t="shared" si="369"/>
        <v>0</v>
      </c>
      <c r="AH631" s="17">
        <f t="shared" si="370"/>
        <v>0</v>
      </c>
      <c r="AI631" s="17">
        <f t="shared" si="371"/>
        <v>0</v>
      </c>
      <c r="AJ631" s="17">
        <f t="shared" si="372"/>
        <v>0</v>
      </c>
      <c r="AK631" s="17">
        <f t="shared" si="373"/>
        <v>0</v>
      </c>
      <c r="AL631" s="17">
        <f t="shared" si="374"/>
        <v>0</v>
      </c>
      <c r="AM631" s="17">
        <f t="shared" si="375"/>
        <v>0</v>
      </c>
      <c r="AN631" s="17">
        <f t="shared" si="376"/>
        <v>0</v>
      </c>
      <c r="AO631" s="17">
        <f t="shared" si="377"/>
        <v>0</v>
      </c>
      <c r="AP631" s="17">
        <f t="shared" si="378"/>
        <v>0</v>
      </c>
      <c r="AQ631" s="18">
        <v>114.72762551475947</v>
      </c>
      <c r="AR631" s="18">
        <v>137.20346733158075</v>
      </c>
      <c r="AS631" s="18">
        <v>121.42607405211412</v>
      </c>
      <c r="AT631" s="18">
        <v>91.975578773396776</v>
      </c>
      <c r="AU631" s="18">
        <v>133.38649205665018</v>
      </c>
      <c r="AV631" s="18">
        <v>109.31008225390106</v>
      </c>
      <c r="AW631" s="18">
        <v>108.82579548165461</v>
      </c>
      <c r="AX631" s="18">
        <v>73.902828822593293</v>
      </c>
      <c r="AY631" s="18">
        <v>109.54617334994242</v>
      </c>
      <c r="AZ631" s="18">
        <v>95.400634888674105</v>
      </c>
      <c r="BA631" s="18">
        <v>97.407664486186277</v>
      </c>
      <c r="BB631" s="18">
        <v>95.140129345973406</v>
      </c>
      <c r="BC631" s="23">
        <v>8.9181565948742242E-2</v>
      </c>
      <c r="BD631" s="23">
        <v>0.10665277883445198</v>
      </c>
      <c r="BE631" s="23">
        <v>9.438849084854764E-2</v>
      </c>
      <c r="BF631" s="23">
        <v>7.149564986855049E-2</v>
      </c>
      <c r="BG631" s="23">
        <v>0.10368571810536763</v>
      </c>
      <c r="BH631" s="23">
        <v>8.4970330952544637E-2</v>
      </c>
      <c r="BI631" s="23">
        <v>8.4593878877262704E-2</v>
      </c>
      <c r="BJ631" s="23">
        <v>5.7447105462779965E-2</v>
      </c>
      <c r="BK631" s="23">
        <v>8.5153852345557474E-2</v>
      </c>
      <c r="BL631" s="23">
        <v>7.4158058913035174E-2</v>
      </c>
      <c r="BM631" s="23">
        <v>7.5718189192107169E-2</v>
      </c>
      <c r="BN631" s="23">
        <v>7.3955559365675619E-2</v>
      </c>
    </row>
    <row r="632" spans="1:66" x14ac:dyDescent="0.25">
      <c r="A632" s="16">
        <v>4093</v>
      </c>
      <c r="B632" s="16" t="s">
        <v>826</v>
      </c>
      <c r="C632" s="17">
        <v>0</v>
      </c>
      <c r="D632" s="17">
        <f t="shared" si="342"/>
        <v>0</v>
      </c>
      <c r="E632" s="17">
        <f t="shared" si="343"/>
        <v>0</v>
      </c>
      <c r="F632" s="17">
        <f t="shared" si="344"/>
        <v>0</v>
      </c>
      <c r="G632" s="17">
        <f t="shared" si="345"/>
        <v>0</v>
      </c>
      <c r="H632" s="17">
        <f t="shared" si="346"/>
        <v>0</v>
      </c>
      <c r="I632" s="17">
        <f t="shared" si="347"/>
        <v>0</v>
      </c>
      <c r="J632" s="17">
        <f t="shared" si="348"/>
        <v>0</v>
      </c>
      <c r="K632" s="17">
        <f t="shared" si="349"/>
        <v>0</v>
      </c>
      <c r="L632" s="17">
        <f t="shared" si="350"/>
        <v>0</v>
      </c>
      <c r="M632" s="17">
        <f t="shared" si="351"/>
        <v>0</v>
      </c>
      <c r="N632" s="17">
        <f t="shared" si="352"/>
        <v>0</v>
      </c>
      <c r="O632" s="17">
        <f t="shared" si="353"/>
        <v>0</v>
      </c>
      <c r="P632" s="17">
        <v>0</v>
      </c>
      <c r="Q632" s="17">
        <f t="shared" si="354"/>
        <v>0</v>
      </c>
      <c r="R632" s="17">
        <f t="shared" si="355"/>
        <v>0</v>
      </c>
      <c r="S632" s="17">
        <f t="shared" si="356"/>
        <v>0</v>
      </c>
      <c r="T632" s="17">
        <f t="shared" si="357"/>
        <v>0</v>
      </c>
      <c r="U632" s="17">
        <f t="shared" si="358"/>
        <v>0</v>
      </c>
      <c r="V632" s="17">
        <f t="shared" si="359"/>
        <v>0</v>
      </c>
      <c r="W632" s="17">
        <f t="shared" si="360"/>
        <v>0</v>
      </c>
      <c r="X632" s="17">
        <f t="shared" si="361"/>
        <v>0</v>
      </c>
      <c r="Y632" s="17">
        <f t="shared" si="362"/>
        <v>0</v>
      </c>
      <c r="Z632" s="17">
        <f t="shared" si="363"/>
        <v>0</v>
      </c>
      <c r="AA632" s="17">
        <f t="shared" si="364"/>
        <v>0</v>
      </c>
      <c r="AB632" s="17">
        <f t="shared" si="365"/>
        <v>0</v>
      </c>
      <c r="AC632" s="17">
        <v>0</v>
      </c>
      <c r="AD632" s="17">
        <f t="shared" si="366"/>
        <v>0</v>
      </c>
      <c r="AE632" s="17">
        <f t="shared" si="367"/>
        <v>0</v>
      </c>
      <c r="AF632" s="17">
        <f t="shared" si="368"/>
        <v>0</v>
      </c>
      <c r="AG632" s="17">
        <f t="shared" si="369"/>
        <v>0</v>
      </c>
      <c r="AH632" s="17">
        <f t="shared" si="370"/>
        <v>0</v>
      </c>
      <c r="AI632" s="17">
        <f t="shared" si="371"/>
        <v>0</v>
      </c>
      <c r="AJ632" s="17">
        <f t="shared" si="372"/>
        <v>0</v>
      </c>
      <c r="AK632" s="17">
        <f t="shared" si="373"/>
        <v>0</v>
      </c>
      <c r="AL632" s="17">
        <f t="shared" si="374"/>
        <v>0</v>
      </c>
      <c r="AM632" s="17">
        <f t="shared" si="375"/>
        <v>0</v>
      </c>
      <c r="AN632" s="17">
        <f t="shared" si="376"/>
        <v>0</v>
      </c>
      <c r="AO632" s="17">
        <f t="shared" si="377"/>
        <v>0</v>
      </c>
      <c r="AP632" s="17">
        <f t="shared" si="378"/>
        <v>0</v>
      </c>
      <c r="AQ632" s="18">
        <v>21.581938959595625</v>
      </c>
      <c r="AR632" s="18">
        <v>25.809972477937382</v>
      </c>
      <c r="AS632" s="18">
        <v>22.842014785348532</v>
      </c>
      <c r="AT632" s="18">
        <v>17.30194726818922</v>
      </c>
      <c r="AU632" s="18">
        <v>25.091943781498969</v>
      </c>
      <c r="AV632" s="18">
        <v>20.562820090515803</v>
      </c>
      <c r="AW632" s="18">
        <v>20.471718688297578</v>
      </c>
      <c r="AX632" s="18">
        <v>13.902199521992753</v>
      </c>
      <c r="AY632" s="18">
        <v>20.607232267624912</v>
      </c>
      <c r="AZ632" s="18">
        <v>17.946250256954514</v>
      </c>
      <c r="BA632" s="18">
        <v>18.323801784489937</v>
      </c>
      <c r="BB632" s="18">
        <v>17.8972453664935</v>
      </c>
      <c r="BC632" s="23">
        <v>8.9181565948742242E-2</v>
      </c>
      <c r="BD632" s="23">
        <v>0.10665277883445198</v>
      </c>
      <c r="BE632" s="23">
        <v>9.438849084854764E-2</v>
      </c>
      <c r="BF632" s="23">
        <v>7.149564986855049E-2</v>
      </c>
      <c r="BG632" s="23">
        <v>0.10368571810536763</v>
      </c>
      <c r="BH632" s="23">
        <v>8.4970330952544637E-2</v>
      </c>
      <c r="BI632" s="23">
        <v>8.4593878877262704E-2</v>
      </c>
      <c r="BJ632" s="23">
        <v>5.7447105462779965E-2</v>
      </c>
      <c r="BK632" s="23">
        <v>8.5153852345557474E-2</v>
      </c>
      <c r="BL632" s="23">
        <v>7.4158058913035174E-2</v>
      </c>
      <c r="BM632" s="23">
        <v>7.5718189192107169E-2</v>
      </c>
      <c r="BN632" s="23">
        <v>7.3955559365675619E-2</v>
      </c>
    </row>
    <row r="633" spans="1:66" x14ac:dyDescent="0.25">
      <c r="A633" s="16">
        <v>4095</v>
      </c>
      <c r="B633" s="16" t="s">
        <v>827</v>
      </c>
      <c r="C633" s="17">
        <v>0</v>
      </c>
      <c r="D633" s="17">
        <f t="shared" si="342"/>
        <v>0</v>
      </c>
      <c r="E633" s="17">
        <f t="shared" si="343"/>
        <v>0</v>
      </c>
      <c r="F633" s="17">
        <f t="shared" si="344"/>
        <v>0</v>
      </c>
      <c r="G633" s="17">
        <f t="shared" si="345"/>
        <v>0</v>
      </c>
      <c r="H633" s="17">
        <f t="shared" si="346"/>
        <v>0</v>
      </c>
      <c r="I633" s="17">
        <f t="shared" si="347"/>
        <v>0</v>
      </c>
      <c r="J633" s="17">
        <f t="shared" si="348"/>
        <v>0</v>
      </c>
      <c r="K633" s="17">
        <f t="shared" si="349"/>
        <v>0</v>
      </c>
      <c r="L633" s="17">
        <f t="shared" si="350"/>
        <v>0</v>
      </c>
      <c r="M633" s="17">
        <f t="shared" si="351"/>
        <v>0</v>
      </c>
      <c r="N633" s="17">
        <f t="shared" si="352"/>
        <v>0</v>
      </c>
      <c r="O633" s="17">
        <f t="shared" si="353"/>
        <v>0</v>
      </c>
      <c r="P633" s="17">
        <v>0</v>
      </c>
      <c r="Q633" s="17">
        <f t="shared" si="354"/>
        <v>0</v>
      </c>
      <c r="R633" s="17">
        <f t="shared" si="355"/>
        <v>0</v>
      </c>
      <c r="S633" s="17">
        <f t="shared" si="356"/>
        <v>0</v>
      </c>
      <c r="T633" s="17">
        <f t="shared" si="357"/>
        <v>0</v>
      </c>
      <c r="U633" s="17">
        <f t="shared" si="358"/>
        <v>0</v>
      </c>
      <c r="V633" s="17">
        <f t="shared" si="359"/>
        <v>0</v>
      </c>
      <c r="W633" s="17">
        <f t="shared" si="360"/>
        <v>0</v>
      </c>
      <c r="X633" s="17">
        <f t="shared" si="361"/>
        <v>0</v>
      </c>
      <c r="Y633" s="17">
        <f t="shared" si="362"/>
        <v>0</v>
      </c>
      <c r="Z633" s="17">
        <f t="shared" si="363"/>
        <v>0</v>
      </c>
      <c r="AA633" s="17">
        <f t="shared" si="364"/>
        <v>0</v>
      </c>
      <c r="AB633" s="17">
        <f t="shared" si="365"/>
        <v>0</v>
      </c>
      <c r="AC633" s="17">
        <v>0</v>
      </c>
      <c r="AD633" s="17">
        <f t="shared" si="366"/>
        <v>0</v>
      </c>
      <c r="AE633" s="17">
        <f t="shared" si="367"/>
        <v>0</v>
      </c>
      <c r="AF633" s="17">
        <f t="shared" si="368"/>
        <v>0</v>
      </c>
      <c r="AG633" s="17">
        <f t="shared" si="369"/>
        <v>0</v>
      </c>
      <c r="AH633" s="17">
        <f t="shared" si="370"/>
        <v>0</v>
      </c>
      <c r="AI633" s="17">
        <f t="shared" si="371"/>
        <v>0</v>
      </c>
      <c r="AJ633" s="17">
        <f t="shared" si="372"/>
        <v>0</v>
      </c>
      <c r="AK633" s="17">
        <f t="shared" si="373"/>
        <v>0</v>
      </c>
      <c r="AL633" s="17">
        <f t="shared" si="374"/>
        <v>0</v>
      </c>
      <c r="AM633" s="17">
        <f t="shared" si="375"/>
        <v>0</v>
      </c>
      <c r="AN633" s="17">
        <f t="shared" si="376"/>
        <v>0</v>
      </c>
      <c r="AO633" s="17">
        <f t="shared" si="377"/>
        <v>0</v>
      </c>
      <c r="AP633" s="17">
        <f t="shared" si="378"/>
        <v>0</v>
      </c>
      <c r="AQ633" s="18">
        <v>10.709546710086608</v>
      </c>
      <c r="AR633" s="18">
        <v>12.807612251892834</v>
      </c>
      <c r="AS633" s="18">
        <v>11.33483070052954</v>
      </c>
      <c r="AT633" s="18">
        <v>8.5856981057646227</v>
      </c>
      <c r="AU633" s="18">
        <v>12.451306830119281</v>
      </c>
      <c r="AV633" s="18">
        <v>10.203832133098228</v>
      </c>
      <c r="AW633" s="18">
        <v>10.158625132733846</v>
      </c>
      <c r="AX633" s="18">
        <v>6.8986505537088574</v>
      </c>
      <c r="AY633" s="18">
        <v>10.22587066662096</v>
      </c>
      <c r="AZ633" s="18">
        <v>8.9054188206896541</v>
      </c>
      <c r="BA633" s="18">
        <v>9.0927701855125722</v>
      </c>
      <c r="BB633" s="18">
        <v>8.8811012575458879</v>
      </c>
      <c r="BC633" s="23">
        <v>8.9181565948742242E-2</v>
      </c>
      <c r="BD633" s="23">
        <v>0.10665277883445198</v>
      </c>
      <c r="BE633" s="23">
        <v>9.438849084854764E-2</v>
      </c>
      <c r="BF633" s="23">
        <v>7.149564986855049E-2</v>
      </c>
      <c r="BG633" s="23">
        <v>0.10368571810536763</v>
      </c>
      <c r="BH633" s="23">
        <v>8.4970330952544637E-2</v>
      </c>
      <c r="BI633" s="23">
        <v>8.4593878877262704E-2</v>
      </c>
      <c r="BJ633" s="23">
        <v>5.7447105462779965E-2</v>
      </c>
      <c r="BK633" s="23">
        <v>8.5153852345557474E-2</v>
      </c>
      <c r="BL633" s="23">
        <v>7.4158058913035174E-2</v>
      </c>
      <c r="BM633" s="23">
        <v>7.5718189192107169E-2</v>
      </c>
      <c r="BN633" s="23">
        <v>7.3955559365675619E-2</v>
      </c>
    </row>
    <row r="634" spans="1:66" x14ac:dyDescent="0.25">
      <c r="A634" s="16">
        <v>4116</v>
      </c>
      <c r="B634" s="16" t="s">
        <v>828</v>
      </c>
      <c r="C634" s="17">
        <v>0</v>
      </c>
      <c r="D634" s="17">
        <f t="shared" si="342"/>
        <v>0</v>
      </c>
      <c r="E634" s="17">
        <f t="shared" si="343"/>
        <v>0</v>
      </c>
      <c r="F634" s="17">
        <f t="shared" si="344"/>
        <v>0</v>
      </c>
      <c r="G634" s="17">
        <f t="shared" si="345"/>
        <v>0</v>
      </c>
      <c r="H634" s="17">
        <f t="shared" si="346"/>
        <v>0</v>
      </c>
      <c r="I634" s="17">
        <f t="shared" si="347"/>
        <v>0</v>
      </c>
      <c r="J634" s="17">
        <f t="shared" si="348"/>
        <v>0</v>
      </c>
      <c r="K634" s="17">
        <f t="shared" si="349"/>
        <v>0</v>
      </c>
      <c r="L634" s="17">
        <f t="shared" si="350"/>
        <v>0</v>
      </c>
      <c r="M634" s="17">
        <f t="shared" si="351"/>
        <v>0</v>
      </c>
      <c r="N634" s="17">
        <f t="shared" si="352"/>
        <v>0</v>
      </c>
      <c r="O634" s="17">
        <f t="shared" si="353"/>
        <v>0</v>
      </c>
      <c r="P634" s="17">
        <v>5000</v>
      </c>
      <c r="Q634" s="17">
        <f t="shared" si="354"/>
        <v>445.9078297437112</v>
      </c>
      <c r="R634" s="17">
        <f t="shared" si="355"/>
        <v>533.26389417225994</v>
      </c>
      <c r="S634" s="17">
        <f t="shared" si="356"/>
        <v>471.94245424273822</v>
      </c>
      <c r="T634" s="17">
        <f t="shared" si="357"/>
        <v>357.47824934275246</v>
      </c>
      <c r="U634" s="17">
        <f t="shared" si="358"/>
        <v>518.42859052683809</v>
      </c>
      <c r="V634" s="17">
        <f t="shared" si="359"/>
        <v>424.85165476272317</v>
      </c>
      <c r="W634" s="17">
        <f t="shared" si="360"/>
        <v>422.96939438631352</v>
      </c>
      <c r="X634" s="17">
        <f t="shared" si="361"/>
        <v>287.23552731389981</v>
      </c>
      <c r="Y634" s="17">
        <f t="shared" si="362"/>
        <v>425.76926172778735</v>
      </c>
      <c r="Z634" s="17">
        <f t="shared" si="363"/>
        <v>370.79029456517588</v>
      </c>
      <c r="AA634" s="17">
        <f t="shared" si="364"/>
        <v>378.59094596053586</v>
      </c>
      <c r="AB634" s="17">
        <f t="shared" si="365"/>
        <v>369.77779682837809</v>
      </c>
      <c r="AC634" s="17">
        <v>0</v>
      </c>
      <c r="AD634" s="17">
        <f t="shared" si="366"/>
        <v>0</v>
      </c>
      <c r="AE634" s="17">
        <f t="shared" si="367"/>
        <v>0</v>
      </c>
      <c r="AF634" s="17">
        <f t="shared" si="368"/>
        <v>0</v>
      </c>
      <c r="AG634" s="17">
        <f t="shared" si="369"/>
        <v>0</v>
      </c>
      <c r="AH634" s="17">
        <f t="shared" si="370"/>
        <v>0</v>
      </c>
      <c r="AI634" s="17">
        <f t="shared" si="371"/>
        <v>0</v>
      </c>
      <c r="AJ634" s="17">
        <f t="shared" si="372"/>
        <v>0</v>
      </c>
      <c r="AK634" s="17">
        <f t="shared" si="373"/>
        <v>0</v>
      </c>
      <c r="AL634" s="17">
        <f t="shared" si="374"/>
        <v>0</v>
      </c>
      <c r="AM634" s="17">
        <f t="shared" si="375"/>
        <v>0</v>
      </c>
      <c r="AN634" s="17">
        <f t="shared" si="376"/>
        <v>0</v>
      </c>
      <c r="AO634" s="17">
        <f t="shared" si="377"/>
        <v>0</v>
      </c>
      <c r="AP634" s="17">
        <f t="shared" si="378"/>
        <v>5000</v>
      </c>
      <c r="AQ634" s="18">
        <v>0</v>
      </c>
      <c r="AR634" s="18">
        <v>0</v>
      </c>
      <c r="AS634" s="18">
        <v>0</v>
      </c>
      <c r="AT634" s="18">
        <v>0</v>
      </c>
      <c r="AU634" s="18">
        <v>0</v>
      </c>
      <c r="AV634" s="18">
        <v>0</v>
      </c>
      <c r="AW634" s="18">
        <v>0</v>
      </c>
      <c r="AX634" s="18">
        <v>0</v>
      </c>
      <c r="AY634" s="18">
        <v>0</v>
      </c>
      <c r="AZ634" s="18">
        <v>0</v>
      </c>
      <c r="BA634" s="18">
        <v>0</v>
      </c>
      <c r="BB634" s="18">
        <v>0</v>
      </c>
      <c r="BC634" s="23">
        <v>8.9181565948742242E-2</v>
      </c>
      <c r="BD634" s="23">
        <v>0.10665277883445198</v>
      </c>
      <c r="BE634" s="23">
        <v>9.438849084854764E-2</v>
      </c>
      <c r="BF634" s="23">
        <v>7.149564986855049E-2</v>
      </c>
      <c r="BG634" s="23">
        <v>0.10368571810536763</v>
      </c>
      <c r="BH634" s="23">
        <v>8.4970330952544637E-2</v>
      </c>
      <c r="BI634" s="23">
        <v>8.4593878877262704E-2</v>
      </c>
      <c r="BJ634" s="23">
        <v>5.7447105462779965E-2</v>
      </c>
      <c r="BK634" s="23">
        <v>8.5153852345557474E-2</v>
      </c>
      <c r="BL634" s="23">
        <v>7.4158058913035174E-2</v>
      </c>
      <c r="BM634" s="23">
        <v>7.5718189192107169E-2</v>
      </c>
      <c r="BN634" s="23">
        <v>7.3955559365675619E-2</v>
      </c>
    </row>
    <row r="635" spans="1:66" x14ac:dyDescent="0.25">
      <c r="A635" s="16">
        <v>4117</v>
      </c>
      <c r="B635" s="16" t="s">
        <v>829</v>
      </c>
      <c r="C635" s="17">
        <v>0</v>
      </c>
      <c r="D635" s="17">
        <f t="shared" si="342"/>
        <v>0</v>
      </c>
      <c r="E635" s="17">
        <f t="shared" si="343"/>
        <v>0</v>
      </c>
      <c r="F635" s="17">
        <f t="shared" si="344"/>
        <v>0</v>
      </c>
      <c r="G635" s="17">
        <f t="shared" si="345"/>
        <v>0</v>
      </c>
      <c r="H635" s="17">
        <f t="shared" si="346"/>
        <v>0</v>
      </c>
      <c r="I635" s="17">
        <f t="shared" si="347"/>
        <v>0</v>
      </c>
      <c r="J635" s="17">
        <f t="shared" si="348"/>
        <v>0</v>
      </c>
      <c r="K635" s="17">
        <f t="shared" si="349"/>
        <v>0</v>
      </c>
      <c r="L635" s="17">
        <f t="shared" si="350"/>
        <v>0</v>
      </c>
      <c r="M635" s="17">
        <f t="shared" si="351"/>
        <v>0</v>
      </c>
      <c r="N635" s="17">
        <f t="shared" si="352"/>
        <v>0</v>
      </c>
      <c r="O635" s="17">
        <f t="shared" si="353"/>
        <v>0</v>
      </c>
      <c r="P635" s="17">
        <v>0</v>
      </c>
      <c r="Q635" s="17">
        <f t="shared" si="354"/>
        <v>0</v>
      </c>
      <c r="R635" s="17">
        <f t="shared" si="355"/>
        <v>0</v>
      </c>
      <c r="S635" s="17">
        <f t="shared" si="356"/>
        <v>0</v>
      </c>
      <c r="T635" s="17">
        <f t="shared" si="357"/>
        <v>0</v>
      </c>
      <c r="U635" s="17">
        <f t="shared" si="358"/>
        <v>0</v>
      </c>
      <c r="V635" s="17">
        <f t="shared" si="359"/>
        <v>0</v>
      </c>
      <c r="W635" s="17">
        <f t="shared" si="360"/>
        <v>0</v>
      </c>
      <c r="X635" s="17">
        <f t="shared" si="361"/>
        <v>0</v>
      </c>
      <c r="Y635" s="17">
        <f t="shared" si="362"/>
        <v>0</v>
      </c>
      <c r="Z635" s="17">
        <f t="shared" si="363"/>
        <v>0</v>
      </c>
      <c r="AA635" s="17">
        <f t="shared" si="364"/>
        <v>0</v>
      </c>
      <c r="AB635" s="17">
        <f t="shared" si="365"/>
        <v>0</v>
      </c>
      <c r="AC635" s="17">
        <v>300</v>
      </c>
      <c r="AD635" s="17">
        <f t="shared" si="366"/>
        <v>26.754469784622671</v>
      </c>
      <c r="AE635" s="17">
        <f t="shared" si="367"/>
        <v>31.995833650335594</v>
      </c>
      <c r="AF635" s="17">
        <f t="shared" si="368"/>
        <v>28.316547254564291</v>
      </c>
      <c r="AG635" s="17">
        <f t="shared" si="369"/>
        <v>21.448694960565145</v>
      </c>
      <c r="AH635" s="17">
        <f t="shared" si="370"/>
        <v>31.105715431610289</v>
      </c>
      <c r="AI635" s="17">
        <f t="shared" si="371"/>
        <v>25.49109928576339</v>
      </c>
      <c r="AJ635" s="17">
        <f t="shared" si="372"/>
        <v>25.37816366317881</v>
      </c>
      <c r="AK635" s="17">
        <f t="shared" si="373"/>
        <v>17.23413163883399</v>
      </c>
      <c r="AL635" s="17">
        <f t="shared" si="374"/>
        <v>25.546155703667242</v>
      </c>
      <c r="AM635" s="17">
        <f t="shared" si="375"/>
        <v>22.247417673910551</v>
      </c>
      <c r="AN635" s="17">
        <f t="shared" si="376"/>
        <v>22.71545675763215</v>
      </c>
      <c r="AO635" s="17">
        <f t="shared" si="377"/>
        <v>22.186667809702687</v>
      </c>
      <c r="AP635" s="17">
        <f t="shared" si="378"/>
        <v>300</v>
      </c>
      <c r="AQ635" s="18">
        <v>0</v>
      </c>
      <c r="AR635" s="18">
        <v>0</v>
      </c>
      <c r="AS635" s="18">
        <v>0</v>
      </c>
      <c r="AT635" s="18">
        <v>0</v>
      </c>
      <c r="AU635" s="18">
        <v>0</v>
      </c>
      <c r="AV635" s="18">
        <v>0</v>
      </c>
      <c r="AW635" s="18">
        <v>0</v>
      </c>
      <c r="AX635" s="18">
        <v>0</v>
      </c>
      <c r="AY635" s="18">
        <v>0</v>
      </c>
      <c r="AZ635" s="18">
        <v>0</v>
      </c>
      <c r="BA635" s="18">
        <v>0</v>
      </c>
      <c r="BB635" s="18">
        <v>0</v>
      </c>
      <c r="BC635" s="23">
        <v>8.9181565948742242E-2</v>
      </c>
      <c r="BD635" s="23">
        <v>0.10665277883445198</v>
      </c>
      <c r="BE635" s="23">
        <v>9.438849084854764E-2</v>
      </c>
      <c r="BF635" s="23">
        <v>7.149564986855049E-2</v>
      </c>
      <c r="BG635" s="23">
        <v>0.10368571810536763</v>
      </c>
      <c r="BH635" s="23">
        <v>8.4970330952544637E-2</v>
      </c>
      <c r="BI635" s="23">
        <v>8.4593878877262704E-2</v>
      </c>
      <c r="BJ635" s="23">
        <v>5.7447105462779965E-2</v>
      </c>
      <c r="BK635" s="23">
        <v>8.5153852345557474E-2</v>
      </c>
      <c r="BL635" s="23">
        <v>7.4158058913035174E-2</v>
      </c>
      <c r="BM635" s="23">
        <v>7.5718189192107169E-2</v>
      </c>
      <c r="BN635" s="23">
        <v>7.3955559365675619E-2</v>
      </c>
    </row>
    <row r="636" spans="1:66" x14ac:dyDescent="0.25">
      <c r="A636" s="16">
        <v>4134</v>
      </c>
      <c r="B636" s="16" t="s">
        <v>830</v>
      </c>
      <c r="C636" s="17">
        <v>0</v>
      </c>
      <c r="D636" s="17">
        <f t="shared" si="342"/>
        <v>0</v>
      </c>
      <c r="E636" s="17">
        <f t="shared" si="343"/>
        <v>0</v>
      </c>
      <c r="F636" s="17">
        <f t="shared" si="344"/>
        <v>0</v>
      </c>
      <c r="G636" s="17">
        <f t="shared" si="345"/>
        <v>0</v>
      </c>
      <c r="H636" s="17">
        <f t="shared" si="346"/>
        <v>0</v>
      </c>
      <c r="I636" s="17">
        <f t="shared" si="347"/>
        <v>0</v>
      </c>
      <c r="J636" s="17">
        <f t="shared" si="348"/>
        <v>0</v>
      </c>
      <c r="K636" s="17">
        <f t="shared" si="349"/>
        <v>0</v>
      </c>
      <c r="L636" s="17">
        <f t="shared" si="350"/>
        <v>0</v>
      </c>
      <c r="M636" s="17">
        <f t="shared" si="351"/>
        <v>0</v>
      </c>
      <c r="N636" s="17">
        <f t="shared" si="352"/>
        <v>0</v>
      </c>
      <c r="O636" s="17">
        <f t="shared" si="353"/>
        <v>0</v>
      </c>
      <c r="P636" s="17">
        <v>0</v>
      </c>
      <c r="Q636" s="17">
        <f t="shared" si="354"/>
        <v>0</v>
      </c>
      <c r="R636" s="17">
        <f t="shared" si="355"/>
        <v>0</v>
      </c>
      <c r="S636" s="17">
        <f t="shared" si="356"/>
        <v>0</v>
      </c>
      <c r="T636" s="17">
        <f t="shared" si="357"/>
        <v>0</v>
      </c>
      <c r="U636" s="17">
        <f t="shared" si="358"/>
        <v>0</v>
      </c>
      <c r="V636" s="17">
        <f t="shared" si="359"/>
        <v>0</v>
      </c>
      <c r="W636" s="17">
        <f t="shared" si="360"/>
        <v>0</v>
      </c>
      <c r="X636" s="17">
        <f t="shared" si="361"/>
        <v>0</v>
      </c>
      <c r="Y636" s="17">
        <f t="shared" si="362"/>
        <v>0</v>
      </c>
      <c r="Z636" s="17">
        <f t="shared" si="363"/>
        <v>0</v>
      </c>
      <c r="AA636" s="17">
        <f t="shared" si="364"/>
        <v>0</v>
      </c>
      <c r="AB636" s="17">
        <f t="shared" si="365"/>
        <v>0</v>
      </c>
      <c r="AC636" s="17">
        <v>0</v>
      </c>
      <c r="AD636" s="17">
        <f t="shared" si="366"/>
        <v>0</v>
      </c>
      <c r="AE636" s="17">
        <f t="shared" si="367"/>
        <v>0</v>
      </c>
      <c r="AF636" s="17">
        <f t="shared" si="368"/>
        <v>0</v>
      </c>
      <c r="AG636" s="17">
        <f t="shared" si="369"/>
        <v>0</v>
      </c>
      <c r="AH636" s="17">
        <f t="shared" si="370"/>
        <v>0</v>
      </c>
      <c r="AI636" s="17">
        <f t="shared" si="371"/>
        <v>0</v>
      </c>
      <c r="AJ636" s="17">
        <f t="shared" si="372"/>
        <v>0</v>
      </c>
      <c r="AK636" s="17">
        <f t="shared" si="373"/>
        <v>0</v>
      </c>
      <c r="AL636" s="17">
        <f t="shared" si="374"/>
        <v>0</v>
      </c>
      <c r="AM636" s="17">
        <f t="shared" si="375"/>
        <v>0</v>
      </c>
      <c r="AN636" s="17">
        <f t="shared" si="376"/>
        <v>0</v>
      </c>
      <c r="AO636" s="17">
        <f t="shared" si="377"/>
        <v>0</v>
      </c>
      <c r="AP636" s="17">
        <f t="shared" si="378"/>
        <v>0</v>
      </c>
      <c r="AQ636" s="18">
        <v>0</v>
      </c>
      <c r="AR636" s="18">
        <v>0</v>
      </c>
      <c r="AS636" s="18">
        <v>0</v>
      </c>
      <c r="AT636" s="18">
        <v>0</v>
      </c>
      <c r="AU636" s="18">
        <v>0</v>
      </c>
      <c r="AV636" s="18">
        <v>0</v>
      </c>
      <c r="AW636" s="18">
        <v>0</v>
      </c>
      <c r="AX636" s="18">
        <v>0</v>
      </c>
      <c r="AY636" s="18">
        <v>0</v>
      </c>
      <c r="AZ636" s="18">
        <v>0</v>
      </c>
      <c r="BA636" s="18">
        <v>0</v>
      </c>
      <c r="BB636" s="18">
        <v>0</v>
      </c>
      <c r="BC636" s="23">
        <v>8.9181565948742242E-2</v>
      </c>
      <c r="BD636" s="23">
        <v>0.10665277883445198</v>
      </c>
      <c r="BE636" s="23">
        <v>9.438849084854764E-2</v>
      </c>
      <c r="BF636" s="23">
        <v>7.149564986855049E-2</v>
      </c>
      <c r="BG636" s="23">
        <v>0.10368571810536763</v>
      </c>
      <c r="BH636" s="23">
        <v>8.4970330952544637E-2</v>
      </c>
      <c r="BI636" s="23">
        <v>8.4593878877262704E-2</v>
      </c>
      <c r="BJ636" s="23">
        <v>5.7447105462779965E-2</v>
      </c>
      <c r="BK636" s="23">
        <v>8.5153852345557474E-2</v>
      </c>
      <c r="BL636" s="23">
        <v>7.4158058913035174E-2</v>
      </c>
      <c r="BM636" s="23">
        <v>7.5718189192107169E-2</v>
      </c>
      <c r="BN636" s="23">
        <v>7.3955559365675619E-2</v>
      </c>
    </row>
    <row r="637" spans="1:66" x14ac:dyDescent="0.25">
      <c r="A637" s="16">
        <v>4142</v>
      </c>
      <c r="B637" s="16" t="s">
        <v>831</v>
      </c>
      <c r="C637" s="17">
        <v>0</v>
      </c>
      <c r="D637" s="17">
        <f t="shared" si="342"/>
        <v>0</v>
      </c>
      <c r="E637" s="17">
        <f t="shared" si="343"/>
        <v>0</v>
      </c>
      <c r="F637" s="17">
        <f t="shared" si="344"/>
        <v>0</v>
      </c>
      <c r="G637" s="17">
        <f t="shared" si="345"/>
        <v>0</v>
      </c>
      <c r="H637" s="17">
        <f t="shared" si="346"/>
        <v>0</v>
      </c>
      <c r="I637" s="17">
        <f t="shared" si="347"/>
        <v>0</v>
      </c>
      <c r="J637" s="17">
        <f t="shared" si="348"/>
        <v>0</v>
      </c>
      <c r="K637" s="17">
        <f t="shared" si="349"/>
        <v>0</v>
      </c>
      <c r="L637" s="17">
        <f t="shared" si="350"/>
        <v>0</v>
      </c>
      <c r="M637" s="17">
        <f t="shared" si="351"/>
        <v>0</v>
      </c>
      <c r="N637" s="17">
        <f t="shared" si="352"/>
        <v>0</v>
      </c>
      <c r="O637" s="17">
        <f t="shared" si="353"/>
        <v>0</v>
      </c>
      <c r="P637" s="17">
        <v>0</v>
      </c>
      <c r="Q637" s="17">
        <f t="shared" si="354"/>
        <v>0</v>
      </c>
      <c r="R637" s="17">
        <f t="shared" si="355"/>
        <v>0</v>
      </c>
      <c r="S637" s="17">
        <f t="shared" si="356"/>
        <v>0</v>
      </c>
      <c r="T637" s="17">
        <f t="shared" si="357"/>
        <v>0</v>
      </c>
      <c r="U637" s="17">
        <f t="shared" si="358"/>
        <v>0</v>
      </c>
      <c r="V637" s="17">
        <f t="shared" si="359"/>
        <v>0</v>
      </c>
      <c r="W637" s="17">
        <f t="shared" si="360"/>
        <v>0</v>
      </c>
      <c r="X637" s="17">
        <f t="shared" si="361"/>
        <v>0</v>
      </c>
      <c r="Y637" s="17">
        <f t="shared" si="362"/>
        <v>0</v>
      </c>
      <c r="Z637" s="17">
        <f t="shared" si="363"/>
        <v>0</v>
      </c>
      <c r="AA637" s="17">
        <f t="shared" si="364"/>
        <v>0</v>
      </c>
      <c r="AB637" s="17">
        <f t="shared" si="365"/>
        <v>0</v>
      </c>
      <c r="AC637" s="17">
        <v>0</v>
      </c>
      <c r="AD637" s="17">
        <f t="shared" si="366"/>
        <v>0</v>
      </c>
      <c r="AE637" s="17">
        <f t="shared" si="367"/>
        <v>0</v>
      </c>
      <c r="AF637" s="17">
        <f t="shared" si="368"/>
        <v>0</v>
      </c>
      <c r="AG637" s="17">
        <f t="shared" si="369"/>
        <v>0</v>
      </c>
      <c r="AH637" s="17">
        <f t="shared" si="370"/>
        <v>0</v>
      </c>
      <c r="AI637" s="17">
        <f t="shared" si="371"/>
        <v>0</v>
      </c>
      <c r="AJ637" s="17">
        <f t="shared" si="372"/>
        <v>0</v>
      </c>
      <c r="AK637" s="17">
        <f t="shared" si="373"/>
        <v>0</v>
      </c>
      <c r="AL637" s="17">
        <f t="shared" si="374"/>
        <v>0</v>
      </c>
      <c r="AM637" s="17">
        <f t="shared" si="375"/>
        <v>0</v>
      </c>
      <c r="AN637" s="17">
        <f t="shared" si="376"/>
        <v>0</v>
      </c>
      <c r="AO637" s="17">
        <f t="shared" si="377"/>
        <v>0</v>
      </c>
      <c r="AP637" s="17">
        <f t="shared" si="378"/>
        <v>0</v>
      </c>
      <c r="AQ637" s="18">
        <v>0</v>
      </c>
      <c r="AR637" s="18">
        <v>0</v>
      </c>
      <c r="AS637" s="18">
        <v>0</v>
      </c>
      <c r="AT637" s="18">
        <v>0</v>
      </c>
      <c r="AU637" s="18">
        <v>0</v>
      </c>
      <c r="AV637" s="18">
        <v>0</v>
      </c>
      <c r="AW637" s="18">
        <v>0</v>
      </c>
      <c r="AX637" s="18">
        <v>0</v>
      </c>
      <c r="AY637" s="18">
        <v>0</v>
      </c>
      <c r="AZ637" s="18">
        <v>0</v>
      </c>
      <c r="BA637" s="18">
        <v>0</v>
      </c>
      <c r="BB637" s="18">
        <v>0</v>
      </c>
      <c r="BC637" s="23">
        <v>8.9181565948742242E-2</v>
      </c>
      <c r="BD637" s="23">
        <v>0.10665277883445198</v>
      </c>
      <c r="BE637" s="23">
        <v>9.438849084854764E-2</v>
      </c>
      <c r="BF637" s="23">
        <v>7.149564986855049E-2</v>
      </c>
      <c r="BG637" s="23">
        <v>0.10368571810536763</v>
      </c>
      <c r="BH637" s="23">
        <v>8.4970330952544637E-2</v>
      </c>
      <c r="BI637" s="23">
        <v>8.4593878877262704E-2</v>
      </c>
      <c r="BJ637" s="23">
        <v>5.7447105462779965E-2</v>
      </c>
      <c r="BK637" s="23">
        <v>8.5153852345557474E-2</v>
      </c>
      <c r="BL637" s="23">
        <v>7.4158058913035174E-2</v>
      </c>
      <c r="BM637" s="23">
        <v>7.5718189192107169E-2</v>
      </c>
      <c r="BN637" s="23">
        <v>7.3955559365675619E-2</v>
      </c>
    </row>
    <row r="638" spans="1:66" x14ac:dyDescent="0.25">
      <c r="A638" s="16">
        <v>4145</v>
      </c>
      <c r="B638" s="16" t="s">
        <v>832</v>
      </c>
      <c r="C638" s="17">
        <v>0</v>
      </c>
      <c r="D638" s="17">
        <f t="shared" si="342"/>
        <v>0</v>
      </c>
      <c r="E638" s="17">
        <f t="shared" si="343"/>
        <v>0</v>
      </c>
      <c r="F638" s="17">
        <f t="shared" si="344"/>
        <v>0</v>
      </c>
      <c r="G638" s="17">
        <f t="shared" si="345"/>
        <v>0</v>
      </c>
      <c r="H638" s="17">
        <f t="shared" si="346"/>
        <v>0</v>
      </c>
      <c r="I638" s="17">
        <f t="shared" si="347"/>
        <v>0</v>
      </c>
      <c r="J638" s="17">
        <f t="shared" si="348"/>
        <v>0</v>
      </c>
      <c r="K638" s="17">
        <f t="shared" si="349"/>
        <v>0</v>
      </c>
      <c r="L638" s="17">
        <f t="shared" si="350"/>
        <v>0</v>
      </c>
      <c r="M638" s="17">
        <f t="shared" si="351"/>
        <v>0</v>
      </c>
      <c r="N638" s="17">
        <f t="shared" si="352"/>
        <v>0</v>
      </c>
      <c r="O638" s="17">
        <f t="shared" si="353"/>
        <v>0</v>
      </c>
      <c r="P638" s="17">
        <v>0</v>
      </c>
      <c r="Q638" s="17">
        <f t="shared" si="354"/>
        <v>0</v>
      </c>
      <c r="R638" s="17">
        <f t="shared" si="355"/>
        <v>0</v>
      </c>
      <c r="S638" s="17">
        <f t="shared" si="356"/>
        <v>0</v>
      </c>
      <c r="T638" s="17">
        <f t="shared" si="357"/>
        <v>0</v>
      </c>
      <c r="U638" s="17">
        <f t="shared" si="358"/>
        <v>0</v>
      </c>
      <c r="V638" s="17">
        <f t="shared" si="359"/>
        <v>0</v>
      </c>
      <c r="W638" s="17">
        <f t="shared" si="360"/>
        <v>0</v>
      </c>
      <c r="X638" s="17">
        <f t="shared" si="361"/>
        <v>0</v>
      </c>
      <c r="Y638" s="17">
        <f t="shared" si="362"/>
        <v>0</v>
      </c>
      <c r="Z638" s="17">
        <f t="shared" si="363"/>
        <v>0</v>
      </c>
      <c r="AA638" s="17">
        <f t="shared" si="364"/>
        <v>0</v>
      </c>
      <c r="AB638" s="17">
        <f t="shared" si="365"/>
        <v>0</v>
      </c>
      <c r="AC638" s="17">
        <v>0</v>
      </c>
      <c r="AD638" s="17">
        <f t="shared" si="366"/>
        <v>0</v>
      </c>
      <c r="AE638" s="17">
        <f t="shared" si="367"/>
        <v>0</v>
      </c>
      <c r="AF638" s="17">
        <f t="shared" si="368"/>
        <v>0</v>
      </c>
      <c r="AG638" s="17">
        <f t="shared" si="369"/>
        <v>0</v>
      </c>
      <c r="AH638" s="17">
        <f t="shared" si="370"/>
        <v>0</v>
      </c>
      <c r="AI638" s="17">
        <f t="shared" si="371"/>
        <v>0</v>
      </c>
      <c r="AJ638" s="17">
        <f t="shared" si="372"/>
        <v>0</v>
      </c>
      <c r="AK638" s="17">
        <f t="shared" si="373"/>
        <v>0</v>
      </c>
      <c r="AL638" s="17">
        <f t="shared" si="374"/>
        <v>0</v>
      </c>
      <c r="AM638" s="17">
        <f t="shared" si="375"/>
        <v>0</v>
      </c>
      <c r="AN638" s="17">
        <f t="shared" si="376"/>
        <v>0</v>
      </c>
      <c r="AO638" s="17">
        <f t="shared" si="377"/>
        <v>0</v>
      </c>
      <c r="AP638" s="17">
        <f t="shared" si="378"/>
        <v>0</v>
      </c>
      <c r="AQ638" s="18">
        <v>0</v>
      </c>
      <c r="AR638" s="18">
        <v>0</v>
      </c>
      <c r="AS638" s="18">
        <v>0</v>
      </c>
      <c r="AT638" s="18">
        <v>0</v>
      </c>
      <c r="AU638" s="18">
        <v>0</v>
      </c>
      <c r="AV638" s="18">
        <v>0</v>
      </c>
      <c r="AW638" s="18">
        <v>0</v>
      </c>
      <c r="AX638" s="18">
        <v>0</v>
      </c>
      <c r="AY638" s="18">
        <v>0</v>
      </c>
      <c r="AZ638" s="18">
        <v>0</v>
      </c>
      <c r="BA638" s="18">
        <v>0</v>
      </c>
      <c r="BB638" s="18">
        <v>0</v>
      </c>
      <c r="BC638" s="23">
        <v>8.9181565948742242E-2</v>
      </c>
      <c r="BD638" s="23">
        <v>0.10665277883445198</v>
      </c>
      <c r="BE638" s="23">
        <v>9.438849084854764E-2</v>
      </c>
      <c r="BF638" s="23">
        <v>7.149564986855049E-2</v>
      </c>
      <c r="BG638" s="23">
        <v>0.10368571810536763</v>
      </c>
      <c r="BH638" s="23">
        <v>8.4970330952544637E-2</v>
      </c>
      <c r="BI638" s="23">
        <v>8.4593878877262704E-2</v>
      </c>
      <c r="BJ638" s="23">
        <v>5.7447105462779965E-2</v>
      </c>
      <c r="BK638" s="23">
        <v>8.5153852345557474E-2</v>
      </c>
      <c r="BL638" s="23">
        <v>7.4158058913035174E-2</v>
      </c>
      <c r="BM638" s="23">
        <v>7.5718189192107169E-2</v>
      </c>
      <c r="BN638" s="23">
        <v>7.3955559365675619E-2</v>
      </c>
    </row>
    <row r="639" spans="1:66" x14ac:dyDescent="0.25">
      <c r="A639" s="16">
        <v>4161</v>
      </c>
      <c r="B639" s="16" t="s">
        <v>833</v>
      </c>
      <c r="C639" s="17">
        <v>0</v>
      </c>
      <c r="D639" s="17">
        <f t="shared" si="342"/>
        <v>0</v>
      </c>
      <c r="E639" s="17">
        <f t="shared" si="343"/>
        <v>0</v>
      </c>
      <c r="F639" s="17">
        <f t="shared" si="344"/>
        <v>0</v>
      </c>
      <c r="G639" s="17">
        <f t="shared" si="345"/>
        <v>0</v>
      </c>
      <c r="H639" s="17">
        <f t="shared" si="346"/>
        <v>0</v>
      </c>
      <c r="I639" s="17">
        <f t="shared" si="347"/>
        <v>0</v>
      </c>
      <c r="J639" s="17">
        <f t="shared" si="348"/>
        <v>0</v>
      </c>
      <c r="K639" s="17">
        <f t="shared" si="349"/>
        <v>0</v>
      </c>
      <c r="L639" s="17">
        <f t="shared" si="350"/>
        <v>0</v>
      </c>
      <c r="M639" s="17">
        <f t="shared" si="351"/>
        <v>0</v>
      </c>
      <c r="N639" s="17">
        <f t="shared" si="352"/>
        <v>0</v>
      </c>
      <c r="O639" s="17">
        <f t="shared" si="353"/>
        <v>0</v>
      </c>
      <c r="P639" s="17">
        <v>0</v>
      </c>
      <c r="Q639" s="17">
        <f t="shared" si="354"/>
        <v>0</v>
      </c>
      <c r="R639" s="17">
        <f t="shared" si="355"/>
        <v>0</v>
      </c>
      <c r="S639" s="17">
        <f t="shared" si="356"/>
        <v>0</v>
      </c>
      <c r="T639" s="17">
        <f t="shared" si="357"/>
        <v>0</v>
      </c>
      <c r="U639" s="17">
        <f t="shared" si="358"/>
        <v>0</v>
      </c>
      <c r="V639" s="17">
        <f t="shared" si="359"/>
        <v>0</v>
      </c>
      <c r="W639" s="17">
        <f t="shared" si="360"/>
        <v>0</v>
      </c>
      <c r="X639" s="17">
        <f t="shared" si="361"/>
        <v>0</v>
      </c>
      <c r="Y639" s="17">
        <f t="shared" si="362"/>
        <v>0</v>
      </c>
      <c r="Z639" s="17">
        <f t="shared" si="363"/>
        <v>0</v>
      </c>
      <c r="AA639" s="17">
        <f t="shared" si="364"/>
        <v>0</v>
      </c>
      <c r="AB639" s="17">
        <f t="shared" si="365"/>
        <v>0</v>
      </c>
      <c r="AC639" s="17">
        <v>0</v>
      </c>
      <c r="AD639" s="17">
        <f t="shared" si="366"/>
        <v>0</v>
      </c>
      <c r="AE639" s="17">
        <f t="shared" si="367"/>
        <v>0</v>
      </c>
      <c r="AF639" s="17">
        <f t="shared" si="368"/>
        <v>0</v>
      </c>
      <c r="AG639" s="17">
        <f t="shared" si="369"/>
        <v>0</v>
      </c>
      <c r="AH639" s="17">
        <f t="shared" si="370"/>
        <v>0</v>
      </c>
      <c r="AI639" s="17">
        <f t="shared" si="371"/>
        <v>0</v>
      </c>
      <c r="AJ639" s="17">
        <f t="shared" si="372"/>
        <v>0</v>
      </c>
      <c r="AK639" s="17">
        <f t="shared" si="373"/>
        <v>0</v>
      </c>
      <c r="AL639" s="17">
        <f t="shared" si="374"/>
        <v>0</v>
      </c>
      <c r="AM639" s="17">
        <f t="shared" si="375"/>
        <v>0</v>
      </c>
      <c r="AN639" s="17">
        <f t="shared" si="376"/>
        <v>0</v>
      </c>
      <c r="AO639" s="17">
        <f t="shared" si="377"/>
        <v>0</v>
      </c>
      <c r="AP639" s="17">
        <f t="shared" si="378"/>
        <v>0</v>
      </c>
      <c r="AQ639" s="18">
        <v>28.448919537648774</v>
      </c>
      <c r="AR639" s="18">
        <v>34.022236448190185</v>
      </c>
      <c r="AS639" s="18">
        <v>30.109928580686699</v>
      </c>
      <c r="AT639" s="18">
        <v>22.807112308067605</v>
      </c>
      <c r="AU639" s="18">
        <v>33.07574407561227</v>
      </c>
      <c r="AV639" s="18">
        <v>27.10553557386174</v>
      </c>
      <c r="AW639" s="18">
        <v>26.985447361846802</v>
      </c>
      <c r="AX639" s="18">
        <v>18.325626642626808</v>
      </c>
      <c r="AY639" s="18">
        <v>27.164078898232834</v>
      </c>
      <c r="AZ639" s="18">
        <v>23.656420793258221</v>
      </c>
      <c r="BA639" s="18">
        <v>24.154102352282187</v>
      </c>
      <c r="BB639" s="18">
        <v>23.591823437650522</v>
      </c>
      <c r="BC639" s="23">
        <v>8.9181565948742242E-2</v>
      </c>
      <c r="BD639" s="23">
        <v>0.10665277883445198</v>
      </c>
      <c r="BE639" s="23">
        <v>9.438849084854764E-2</v>
      </c>
      <c r="BF639" s="23">
        <v>7.149564986855049E-2</v>
      </c>
      <c r="BG639" s="23">
        <v>0.10368571810536763</v>
      </c>
      <c r="BH639" s="23">
        <v>8.4970330952544637E-2</v>
      </c>
      <c r="BI639" s="23">
        <v>8.4593878877262704E-2</v>
      </c>
      <c r="BJ639" s="23">
        <v>5.7447105462779965E-2</v>
      </c>
      <c r="BK639" s="23">
        <v>8.5153852345557474E-2</v>
      </c>
      <c r="BL639" s="23">
        <v>7.4158058913035174E-2</v>
      </c>
      <c r="BM639" s="23">
        <v>7.5718189192107169E-2</v>
      </c>
      <c r="BN639" s="23">
        <v>7.3955559365675619E-2</v>
      </c>
    </row>
    <row r="640" spans="1:66" x14ac:dyDescent="0.25">
      <c r="A640" s="16">
        <v>4177</v>
      </c>
      <c r="B640" s="16" t="s">
        <v>834</v>
      </c>
      <c r="C640" s="17">
        <v>0</v>
      </c>
      <c r="D640" s="17">
        <f t="shared" si="342"/>
        <v>0</v>
      </c>
      <c r="E640" s="17">
        <f t="shared" si="343"/>
        <v>0</v>
      </c>
      <c r="F640" s="17">
        <f t="shared" si="344"/>
        <v>0</v>
      </c>
      <c r="G640" s="17">
        <f t="shared" si="345"/>
        <v>0</v>
      </c>
      <c r="H640" s="17">
        <f t="shared" si="346"/>
        <v>0</v>
      </c>
      <c r="I640" s="17">
        <f t="shared" si="347"/>
        <v>0</v>
      </c>
      <c r="J640" s="17">
        <f t="shared" si="348"/>
        <v>0</v>
      </c>
      <c r="K640" s="17">
        <f t="shared" si="349"/>
        <v>0</v>
      </c>
      <c r="L640" s="17">
        <f t="shared" si="350"/>
        <v>0</v>
      </c>
      <c r="M640" s="17">
        <f t="shared" si="351"/>
        <v>0</v>
      </c>
      <c r="N640" s="17">
        <f t="shared" si="352"/>
        <v>0</v>
      </c>
      <c r="O640" s="17">
        <f t="shared" si="353"/>
        <v>0</v>
      </c>
      <c r="P640" s="17">
        <v>0</v>
      </c>
      <c r="Q640" s="17">
        <f t="shared" si="354"/>
        <v>0</v>
      </c>
      <c r="R640" s="17">
        <f t="shared" si="355"/>
        <v>0</v>
      </c>
      <c r="S640" s="17">
        <f t="shared" si="356"/>
        <v>0</v>
      </c>
      <c r="T640" s="17">
        <f t="shared" si="357"/>
        <v>0</v>
      </c>
      <c r="U640" s="17">
        <f t="shared" si="358"/>
        <v>0</v>
      </c>
      <c r="V640" s="17">
        <f t="shared" si="359"/>
        <v>0</v>
      </c>
      <c r="W640" s="17">
        <f t="shared" si="360"/>
        <v>0</v>
      </c>
      <c r="X640" s="17">
        <f t="shared" si="361"/>
        <v>0</v>
      </c>
      <c r="Y640" s="17">
        <f t="shared" si="362"/>
        <v>0</v>
      </c>
      <c r="Z640" s="17">
        <f t="shared" si="363"/>
        <v>0</v>
      </c>
      <c r="AA640" s="17">
        <f t="shared" si="364"/>
        <v>0</v>
      </c>
      <c r="AB640" s="17">
        <f t="shared" si="365"/>
        <v>0</v>
      </c>
      <c r="AC640" s="17">
        <v>0</v>
      </c>
      <c r="AD640" s="17">
        <f t="shared" si="366"/>
        <v>0</v>
      </c>
      <c r="AE640" s="17">
        <f t="shared" si="367"/>
        <v>0</v>
      </c>
      <c r="AF640" s="17">
        <f t="shared" si="368"/>
        <v>0</v>
      </c>
      <c r="AG640" s="17">
        <f t="shared" si="369"/>
        <v>0</v>
      </c>
      <c r="AH640" s="17">
        <f t="shared" si="370"/>
        <v>0</v>
      </c>
      <c r="AI640" s="17">
        <f t="shared" si="371"/>
        <v>0</v>
      </c>
      <c r="AJ640" s="17">
        <f t="shared" si="372"/>
        <v>0</v>
      </c>
      <c r="AK640" s="17">
        <f t="shared" si="373"/>
        <v>0</v>
      </c>
      <c r="AL640" s="17">
        <f t="shared" si="374"/>
        <v>0</v>
      </c>
      <c r="AM640" s="17">
        <f t="shared" si="375"/>
        <v>0</v>
      </c>
      <c r="AN640" s="17">
        <f t="shared" si="376"/>
        <v>0</v>
      </c>
      <c r="AO640" s="17">
        <f t="shared" si="377"/>
        <v>0</v>
      </c>
      <c r="AP640" s="17">
        <f t="shared" si="378"/>
        <v>0</v>
      </c>
      <c r="AQ640" s="18">
        <v>0</v>
      </c>
      <c r="AR640" s="18">
        <v>0</v>
      </c>
      <c r="AS640" s="18">
        <v>0</v>
      </c>
      <c r="AT640" s="18">
        <v>0</v>
      </c>
      <c r="AU640" s="18">
        <v>0</v>
      </c>
      <c r="AV640" s="18">
        <v>0</v>
      </c>
      <c r="AW640" s="18">
        <v>0</v>
      </c>
      <c r="AX640" s="18">
        <v>0</v>
      </c>
      <c r="AY640" s="18">
        <v>0</v>
      </c>
      <c r="AZ640" s="18">
        <v>0</v>
      </c>
      <c r="BA640" s="18">
        <v>0</v>
      </c>
      <c r="BB640" s="18">
        <v>0</v>
      </c>
      <c r="BC640" s="23">
        <v>8.9181565948742242E-2</v>
      </c>
      <c r="BD640" s="23">
        <v>0.10665277883445198</v>
      </c>
      <c r="BE640" s="23">
        <v>9.438849084854764E-2</v>
      </c>
      <c r="BF640" s="23">
        <v>7.149564986855049E-2</v>
      </c>
      <c r="BG640" s="23">
        <v>0.10368571810536763</v>
      </c>
      <c r="BH640" s="23">
        <v>8.4970330952544637E-2</v>
      </c>
      <c r="BI640" s="23">
        <v>8.4593878877262704E-2</v>
      </c>
      <c r="BJ640" s="23">
        <v>5.7447105462779965E-2</v>
      </c>
      <c r="BK640" s="23">
        <v>8.5153852345557474E-2</v>
      </c>
      <c r="BL640" s="23">
        <v>7.4158058913035174E-2</v>
      </c>
      <c r="BM640" s="23">
        <v>7.5718189192107169E-2</v>
      </c>
      <c r="BN640" s="23">
        <v>7.3955559365675619E-2</v>
      </c>
    </row>
    <row r="641" spans="1:66" x14ac:dyDescent="0.25">
      <c r="A641" s="16">
        <v>4186</v>
      </c>
      <c r="B641" s="16" t="s">
        <v>835</v>
      </c>
      <c r="C641" s="17">
        <v>0</v>
      </c>
      <c r="D641" s="17">
        <f t="shared" si="342"/>
        <v>0</v>
      </c>
      <c r="E641" s="17">
        <f t="shared" si="343"/>
        <v>0</v>
      </c>
      <c r="F641" s="17">
        <f t="shared" si="344"/>
        <v>0</v>
      </c>
      <c r="G641" s="17">
        <f t="shared" si="345"/>
        <v>0</v>
      </c>
      <c r="H641" s="17">
        <f t="shared" si="346"/>
        <v>0</v>
      </c>
      <c r="I641" s="17">
        <f t="shared" si="347"/>
        <v>0</v>
      </c>
      <c r="J641" s="17">
        <f t="shared" si="348"/>
        <v>0</v>
      </c>
      <c r="K641" s="17">
        <f t="shared" si="349"/>
        <v>0</v>
      </c>
      <c r="L641" s="17">
        <f t="shared" si="350"/>
        <v>0</v>
      </c>
      <c r="M641" s="17">
        <f t="shared" si="351"/>
        <v>0</v>
      </c>
      <c r="N641" s="17">
        <f t="shared" si="352"/>
        <v>0</v>
      </c>
      <c r="O641" s="17">
        <f t="shared" si="353"/>
        <v>0</v>
      </c>
      <c r="P641" s="17">
        <v>1000</v>
      </c>
      <c r="Q641" s="17">
        <f t="shared" si="354"/>
        <v>89.181565948742247</v>
      </c>
      <c r="R641" s="17">
        <f t="shared" si="355"/>
        <v>106.65277883445198</v>
      </c>
      <c r="S641" s="17">
        <f t="shared" si="356"/>
        <v>94.388490848547647</v>
      </c>
      <c r="T641" s="17">
        <f t="shared" si="357"/>
        <v>71.495649868550487</v>
      </c>
      <c r="U641" s="17">
        <f t="shared" si="358"/>
        <v>103.68571810536763</v>
      </c>
      <c r="V641" s="17">
        <f t="shared" si="359"/>
        <v>84.970330952544643</v>
      </c>
      <c r="W641" s="17">
        <f t="shared" si="360"/>
        <v>84.593878877262711</v>
      </c>
      <c r="X641" s="17">
        <f t="shared" si="361"/>
        <v>57.447105462779966</v>
      </c>
      <c r="Y641" s="17">
        <f t="shared" si="362"/>
        <v>85.153852345557468</v>
      </c>
      <c r="Z641" s="17">
        <f t="shared" si="363"/>
        <v>74.158058913035177</v>
      </c>
      <c r="AA641" s="17">
        <f t="shared" si="364"/>
        <v>75.718189192107175</v>
      </c>
      <c r="AB641" s="17">
        <f t="shared" si="365"/>
        <v>73.955559365675626</v>
      </c>
      <c r="AC641" s="17">
        <v>0</v>
      </c>
      <c r="AD641" s="17">
        <f t="shared" si="366"/>
        <v>0</v>
      </c>
      <c r="AE641" s="17">
        <f t="shared" si="367"/>
        <v>0</v>
      </c>
      <c r="AF641" s="17">
        <f t="shared" si="368"/>
        <v>0</v>
      </c>
      <c r="AG641" s="17">
        <f t="shared" si="369"/>
        <v>0</v>
      </c>
      <c r="AH641" s="17">
        <f t="shared" si="370"/>
        <v>0</v>
      </c>
      <c r="AI641" s="17">
        <f t="shared" si="371"/>
        <v>0</v>
      </c>
      <c r="AJ641" s="17">
        <f t="shared" si="372"/>
        <v>0</v>
      </c>
      <c r="AK641" s="17">
        <f t="shared" si="373"/>
        <v>0</v>
      </c>
      <c r="AL641" s="17">
        <f t="shared" si="374"/>
        <v>0</v>
      </c>
      <c r="AM641" s="17">
        <f t="shared" si="375"/>
        <v>0</v>
      </c>
      <c r="AN641" s="17">
        <f t="shared" si="376"/>
        <v>0</v>
      </c>
      <c r="AO641" s="17">
        <f t="shared" si="377"/>
        <v>0</v>
      </c>
      <c r="AP641" s="17">
        <f t="shared" si="378"/>
        <v>1000</v>
      </c>
      <c r="AQ641" s="18">
        <v>0</v>
      </c>
      <c r="AR641" s="18">
        <v>0</v>
      </c>
      <c r="AS641" s="18">
        <v>0</v>
      </c>
      <c r="AT641" s="18">
        <v>0</v>
      </c>
      <c r="AU641" s="18">
        <v>0</v>
      </c>
      <c r="AV641" s="18">
        <v>0</v>
      </c>
      <c r="AW641" s="18">
        <v>0</v>
      </c>
      <c r="AX641" s="18">
        <v>0</v>
      </c>
      <c r="AY641" s="18">
        <v>0</v>
      </c>
      <c r="AZ641" s="18">
        <v>0</v>
      </c>
      <c r="BA641" s="18">
        <v>0</v>
      </c>
      <c r="BB641" s="18">
        <v>0</v>
      </c>
      <c r="BC641" s="23">
        <v>8.9181565948742242E-2</v>
      </c>
      <c r="BD641" s="23">
        <v>0.10665277883445198</v>
      </c>
      <c r="BE641" s="23">
        <v>9.438849084854764E-2</v>
      </c>
      <c r="BF641" s="23">
        <v>7.149564986855049E-2</v>
      </c>
      <c r="BG641" s="23">
        <v>0.10368571810536763</v>
      </c>
      <c r="BH641" s="23">
        <v>8.4970330952544637E-2</v>
      </c>
      <c r="BI641" s="23">
        <v>8.4593878877262704E-2</v>
      </c>
      <c r="BJ641" s="23">
        <v>5.7447105462779965E-2</v>
      </c>
      <c r="BK641" s="23">
        <v>8.5153852345557474E-2</v>
      </c>
      <c r="BL641" s="23">
        <v>7.4158058913035174E-2</v>
      </c>
      <c r="BM641" s="23">
        <v>7.5718189192107169E-2</v>
      </c>
      <c r="BN641" s="23">
        <v>7.3955559365675619E-2</v>
      </c>
    </row>
    <row r="642" spans="1:66" x14ac:dyDescent="0.25">
      <c r="A642" s="16">
        <v>4188</v>
      </c>
      <c r="B642" s="16" t="s">
        <v>836</v>
      </c>
      <c r="C642" s="17">
        <v>0</v>
      </c>
      <c r="D642" s="17">
        <f t="shared" si="342"/>
        <v>0</v>
      </c>
      <c r="E642" s="17">
        <f t="shared" si="343"/>
        <v>0</v>
      </c>
      <c r="F642" s="17">
        <f t="shared" si="344"/>
        <v>0</v>
      </c>
      <c r="G642" s="17">
        <f t="shared" si="345"/>
        <v>0</v>
      </c>
      <c r="H642" s="17">
        <f t="shared" si="346"/>
        <v>0</v>
      </c>
      <c r="I642" s="17">
        <f t="shared" si="347"/>
        <v>0</v>
      </c>
      <c r="J642" s="17">
        <f t="shared" si="348"/>
        <v>0</v>
      </c>
      <c r="K642" s="17">
        <f t="shared" si="349"/>
        <v>0</v>
      </c>
      <c r="L642" s="17">
        <f t="shared" si="350"/>
        <v>0</v>
      </c>
      <c r="M642" s="17">
        <f t="shared" si="351"/>
        <v>0</v>
      </c>
      <c r="N642" s="17">
        <f t="shared" si="352"/>
        <v>0</v>
      </c>
      <c r="O642" s="17">
        <f t="shared" si="353"/>
        <v>0</v>
      </c>
      <c r="P642" s="17">
        <v>0</v>
      </c>
      <c r="Q642" s="17">
        <f t="shared" si="354"/>
        <v>0</v>
      </c>
      <c r="R642" s="17">
        <f t="shared" si="355"/>
        <v>0</v>
      </c>
      <c r="S642" s="17">
        <f t="shared" si="356"/>
        <v>0</v>
      </c>
      <c r="T642" s="17">
        <f t="shared" si="357"/>
        <v>0</v>
      </c>
      <c r="U642" s="17">
        <f t="shared" si="358"/>
        <v>0</v>
      </c>
      <c r="V642" s="17">
        <f t="shared" si="359"/>
        <v>0</v>
      </c>
      <c r="W642" s="17">
        <f t="shared" si="360"/>
        <v>0</v>
      </c>
      <c r="X642" s="17">
        <f t="shared" si="361"/>
        <v>0</v>
      </c>
      <c r="Y642" s="17">
        <f t="shared" si="362"/>
        <v>0</v>
      </c>
      <c r="Z642" s="17">
        <f t="shared" si="363"/>
        <v>0</v>
      </c>
      <c r="AA642" s="17">
        <f t="shared" si="364"/>
        <v>0</v>
      </c>
      <c r="AB642" s="17">
        <f t="shared" si="365"/>
        <v>0</v>
      </c>
      <c r="AC642" s="17">
        <v>0</v>
      </c>
      <c r="AD642" s="17">
        <f t="shared" si="366"/>
        <v>0</v>
      </c>
      <c r="AE642" s="17">
        <f t="shared" si="367"/>
        <v>0</v>
      </c>
      <c r="AF642" s="17">
        <f t="shared" si="368"/>
        <v>0</v>
      </c>
      <c r="AG642" s="17">
        <f t="shared" si="369"/>
        <v>0</v>
      </c>
      <c r="AH642" s="17">
        <f t="shared" si="370"/>
        <v>0</v>
      </c>
      <c r="AI642" s="17">
        <f t="shared" si="371"/>
        <v>0</v>
      </c>
      <c r="AJ642" s="17">
        <f t="shared" si="372"/>
        <v>0</v>
      </c>
      <c r="AK642" s="17">
        <f t="shared" si="373"/>
        <v>0</v>
      </c>
      <c r="AL642" s="17">
        <f t="shared" si="374"/>
        <v>0</v>
      </c>
      <c r="AM642" s="17">
        <f t="shared" si="375"/>
        <v>0</v>
      </c>
      <c r="AN642" s="17">
        <f t="shared" si="376"/>
        <v>0</v>
      </c>
      <c r="AO642" s="17">
        <f t="shared" si="377"/>
        <v>0</v>
      </c>
      <c r="AP642" s="17">
        <f t="shared" si="378"/>
        <v>0</v>
      </c>
      <c r="AQ642" s="18">
        <v>213.65138572774234</v>
      </c>
      <c r="AR642" s="18">
        <v>255.50699572590833</v>
      </c>
      <c r="AS642" s="18">
        <v>226.12556364095715</v>
      </c>
      <c r="AT642" s="18">
        <v>171.28141343358777</v>
      </c>
      <c r="AU642" s="18">
        <v>248.39883800784821</v>
      </c>
      <c r="AV642" s="18">
        <v>203.56257215970172</v>
      </c>
      <c r="AW642" s="18">
        <v>202.66070968746953</v>
      </c>
      <c r="AX642" s="18">
        <v>137.62545608612737</v>
      </c>
      <c r="AY642" s="18">
        <v>204.00223252572863</v>
      </c>
      <c r="AZ642" s="18">
        <v>177.65972015736926</v>
      </c>
      <c r="BA642" s="18">
        <v>181.39730866563926</v>
      </c>
      <c r="BB642" s="18">
        <v>177.17459401675546</v>
      </c>
      <c r="BC642" s="23">
        <v>8.9181565948742242E-2</v>
      </c>
      <c r="BD642" s="23">
        <v>0.10665277883445198</v>
      </c>
      <c r="BE642" s="23">
        <v>9.438849084854764E-2</v>
      </c>
      <c r="BF642" s="23">
        <v>7.149564986855049E-2</v>
      </c>
      <c r="BG642" s="23">
        <v>0.10368571810536763</v>
      </c>
      <c r="BH642" s="23">
        <v>8.4970330952544637E-2</v>
      </c>
      <c r="BI642" s="23">
        <v>8.4593878877262704E-2</v>
      </c>
      <c r="BJ642" s="23">
        <v>5.7447105462779965E-2</v>
      </c>
      <c r="BK642" s="23">
        <v>8.5153852345557474E-2</v>
      </c>
      <c r="BL642" s="23">
        <v>7.4158058913035174E-2</v>
      </c>
      <c r="BM642" s="23">
        <v>7.5718189192107169E-2</v>
      </c>
      <c r="BN642" s="23">
        <v>7.3955559365675619E-2</v>
      </c>
    </row>
    <row r="643" spans="1:66" x14ac:dyDescent="0.25">
      <c r="A643" s="16">
        <v>4195</v>
      </c>
      <c r="B643" s="16" t="s">
        <v>837</v>
      </c>
      <c r="C643" s="17">
        <v>0</v>
      </c>
      <c r="D643" s="17">
        <f t="shared" si="342"/>
        <v>0</v>
      </c>
      <c r="E643" s="17">
        <f t="shared" si="343"/>
        <v>0</v>
      </c>
      <c r="F643" s="17">
        <f t="shared" si="344"/>
        <v>0</v>
      </c>
      <c r="G643" s="17">
        <f t="shared" si="345"/>
        <v>0</v>
      </c>
      <c r="H643" s="17">
        <f t="shared" si="346"/>
        <v>0</v>
      </c>
      <c r="I643" s="17">
        <f t="shared" si="347"/>
        <v>0</v>
      </c>
      <c r="J643" s="17">
        <f t="shared" si="348"/>
        <v>0</v>
      </c>
      <c r="K643" s="17">
        <f t="shared" si="349"/>
        <v>0</v>
      </c>
      <c r="L643" s="17">
        <f t="shared" si="350"/>
        <v>0</v>
      </c>
      <c r="M643" s="17">
        <f t="shared" si="351"/>
        <v>0</v>
      </c>
      <c r="N643" s="17">
        <f t="shared" si="352"/>
        <v>0</v>
      </c>
      <c r="O643" s="17">
        <f t="shared" si="353"/>
        <v>0</v>
      </c>
      <c r="P643" s="17">
        <v>0</v>
      </c>
      <c r="Q643" s="17">
        <f t="shared" si="354"/>
        <v>0</v>
      </c>
      <c r="R643" s="17">
        <f t="shared" si="355"/>
        <v>0</v>
      </c>
      <c r="S643" s="17">
        <f t="shared" si="356"/>
        <v>0</v>
      </c>
      <c r="T643" s="17">
        <f t="shared" si="357"/>
        <v>0</v>
      </c>
      <c r="U643" s="17">
        <f t="shared" si="358"/>
        <v>0</v>
      </c>
      <c r="V643" s="17">
        <f t="shared" si="359"/>
        <v>0</v>
      </c>
      <c r="W643" s="17">
        <f t="shared" si="360"/>
        <v>0</v>
      </c>
      <c r="X643" s="17">
        <f t="shared" si="361"/>
        <v>0</v>
      </c>
      <c r="Y643" s="17">
        <f t="shared" si="362"/>
        <v>0</v>
      </c>
      <c r="Z643" s="17">
        <f t="shared" si="363"/>
        <v>0</v>
      </c>
      <c r="AA643" s="17">
        <f t="shared" si="364"/>
        <v>0</v>
      </c>
      <c r="AB643" s="17">
        <f t="shared" si="365"/>
        <v>0</v>
      </c>
      <c r="AC643" s="17">
        <v>0</v>
      </c>
      <c r="AD643" s="17">
        <f t="shared" si="366"/>
        <v>0</v>
      </c>
      <c r="AE643" s="17">
        <f t="shared" si="367"/>
        <v>0</v>
      </c>
      <c r="AF643" s="17">
        <f t="shared" si="368"/>
        <v>0</v>
      </c>
      <c r="AG643" s="17">
        <f t="shared" si="369"/>
        <v>0</v>
      </c>
      <c r="AH643" s="17">
        <f t="shared" si="370"/>
        <v>0</v>
      </c>
      <c r="AI643" s="17">
        <f t="shared" si="371"/>
        <v>0</v>
      </c>
      <c r="AJ643" s="17">
        <f t="shared" si="372"/>
        <v>0</v>
      </c>
      <c r="AK643" s="17">
        <f t="shared" si="373"/>
        <v>0</v>
      </c>
      <c r="AL643" s="17">
        <f t="shared" si="374"/>
        <v>0</v>
      </c>
      <c r="AM643" s="17">
        <f t="shared" si="375"/>
        <v>0</v>
      </c>
      <c r="AN643" s="17">
        <f t="shared" si="376"/>
        <v>0</v>
      </c>
      <c r="AO643" s="17">
        <f t="shared" si="377"/>
        <v>0</v>
      </c>
      <c r="AP643" s="17">
        <f t="shared" si="378"/>
        <v>0</v>
      </c>
      <c r="AQ643" s="18">
        <v>9.8492121433790949</v>
      </c>
      <c r="AR643" s="18">
        <v>11.778732894476878</v>
      </c>
      <c r="AS643" s="18">
        <v>10.424264929313603</v>
      </c>
      <c r="AT643" s="18">
        <v>7.8959795714827168</v>
      </c>
      <c r="AU643" s="18">
        <v>11.451050707556803</v>
      </c>
      <c r="AV643" s="18">
        <v>9.3841233503990313</v>
      </c>
      <c r="AW643" s="18">
        <v>9.3425479832048932</v>
      </c>
      <c r="AX643" s="18">
        <v>6.3444583273094199</v>
      </c>
      <c r="AY643" s="18">
        <v>9.4043914530433685</v>
      </c>
      <c r="AZ643" s="18">
        <v>8.1900160263556057</v>
      </c>
      <c r="BA643" s="18">
        <v>8.3623168143763174</v>
      </c>
      <c r="BB643" s="18">
        <v>8.1676519763452156</v>
      </c>
      <c r="BC643" s="23">
        <v>8.9181565948742242E-2</v>
      </c>
      <c r="BD643" s="23">
        <v>0.10665277883445198</v>
      </c>
      <c r="BE643" s="23">
        <v>9.438849084854764E-2</v>
      </c>
      <c r="BF643" s="23">
        <v>7.149564986855049E-2</v>
      </c>
      <c r="BG643" s="23">
        <v>0.10368571810536763</v>
      </c>
      <c r="BH643" s="23">
        <v>8.4970330952544637E-2</v>
      </c>
      <c r="BI643" s="23">
        <v>8.4593878877262704E-2</v>
      </c>
      <c r="BJ643" s="23">
        <v>5.7447105462779965E-2</v>
      </c>
      <c r="BK643" s="23">
        <v>8.5153852345557474E-2</v>
      </c>
      <c r="BL643" s="23">
        <v>7.4158058913035174E-2</v>
      </c>
      <c r="BM643" s="23">
        <v>7.5718189192107169E-2</v>
      </c>
      <c r="BN643" s="23">
        <v>7.3955559365675619E-2</v>
      </c>
    </row>
    <row r="644" spans="1:66" x14ac:dyDescent="0.25">
      <c r="A644" s="16">
        <v>4199</v>
      </c>
      <c r="B644" s="16" t="s">
        <v>838</v>
      </c>
      <c r="C644" s="17">
        <v>0</v>
      </c>
      <c r="D644" s="17">
        <f t="shared" ref="D644:D707" si="379">+$C644*BC644</f>
        <v>0</v>
      </c>
      <c r="E644" s="17">
        <f t="shared" ref="E644:E707" si="380">+$C644*BD644</f>
        <v>0</v>
      </c>
      <c r="F644" s="17">
        <f t="shared" ref="F644:F707" si="381">+$C644*BE644</f>
        <v>0</v>
      </c>
      <c r="G644" s="17">
        <f t="shared" ref="G644:G707" si="382">+$C644*BF644</f>
        <v>0</v>
      </c>
      <c r="H644" s="17">
        <f t="shared" ref="H644:H707" si="383">+$C644*BG644</f>
        <v>0</v>
      </c>
      <c r="I644" s="17">
        <f t="shared" ref="I644:I707" si="384">+$C644*BH644</f>
        <v>0</v>
      </c>
      <c r="J644" s="17">
        <f t="shared" ref="J644:J707" si="385">+$C644*BI644</f>
        <v>0</v>
      </c>
      <c r="K644" s="17">
        <f t="shared" ref="K644:K707" si="386">+$C644*BJ644</f>
        <v>0</v>
      </c>
      <c r="L644" s="17">
        <f t="shared" ref="L644:L707" si="387">+$C644*BK644</f>
        <v>0</v>
      </c>
      <c r="M644" s="17">
        <f t="shared" ref="M644:M707" si="388">+$C644*BL644</f>
        <v>0</v>
      </c>
      <c r="N644" s="17">
        <f t="shared" ref="N644:N707" si="389">+$C644*BM644</f>
        <v>0</v>
      </c>
      <c r="O644" s="17">
        <f t="shared" ref="O644:O707" si="390">+$C644*BN644</f>
        <v>0</v>
      </c>
      <c r="P644" s="17">
        <v>0</v>
      </c>
      <c r="Q644" s="17">
        <f t="shared" ref="Q644:Q707" si="391">+$P644*BC644</f>
        <v>0</v>
      </c>
      <c r="R644" s="17">
        <f t="shared" ref="R644:R707" si="392">+$P644*BD644</f>
        <v>0</v>
      </c>
      <c r="S644" s="17">
        <f t="shared" ref="S644:S707" si="393">+$P644*BE644</f>
        <v>0</v>
      </c>
      <c r="T644" s="17">
        <f t="shared" ref="T644:T707" si="394">+$P644*BF644</f>
        <v>0</v>
      </c>
      <c r="U644" s="17">
        <f t="shared" ref="U644:U707" si="395">+$P644*BG644</f>
        <v>0</v>
      </c>
      <c r="V644" s="17">
        <f t="shared" ref="V644:V707" si="396">+$P644*BH644</f>
        <v>0</v>
      </c>
      <c r="W644" s="17">
        <f t="shared" ref="W644:W707" si="397">+$P644*BI644</f>
        <v>0</v>
      </c>
      <c r="X644" s="17">
        <f t="shared" ref="X644:X707" si="398">+$P644*BJ644</f>
        <v>0</v>
      </c>
      <c r="Y644" s="17">
        <f t="shared" ref="Y644:Y707" si="399">+$P644*BK644</f>
        <v>0</v>
      </c>
      <c r="Z644" s="17">
        <f t="shared" ref="Z644:Z707" si="400">+$P644*BL644</f>
        <v>0</v>
      </c>
      <c r="AA644" s="17">
        <f t="shared" ref="AA644:AA707" si="401">+$P644*BM644</f>
        <v>0</v>
      </c>
      <c r="AB644" s="17">
        <f t="shared" ref="AB644:AB707" si="402">+$P644*BN644</f>
        <v>0</v>
      </c>
      <c r="AC644" s="17">
        <v>0</v>
      </c>
      <c r="AD644" s="17">
        <f t="shared" ref="AD644:AD707" si="403">+$AC644*BC644</f>
        <v>0</v>
      </c>
      <c r="AE644" s="17">
        <f t="shared" ref="AE644:AE707" si="404">+$AC644*BD644</f>
        <v>0</v>
      </c>
      <c r="AF644" s="17">
        <f t="shared" ref="AF644:AF707" si="405">+$AC644*BE644</f>
        <v>0</v>
      </c>
      <c r="AG644" s="17">
        <f t="shared" ref="AG644:AG707" si="406">+$AC644*BF644</f>
        <v>0</v>
      </c>
      <c r="AH644" s="17">
        <f t="shared" ref="AH644:AH707" si="407">+$AC644*BG644</f>
        <v>0</v>
      </c>
      <c r="AI644" s="17">
        <f t="shared" ref="AI644:AI707" si="408">+$AC644*BH644</f>
        <v>0</v>
      </c>
      <c r="AJ644" s="17">
        <f t="shared" ref="AJ644:AJ707" si="409">+$AC644*BI644</f>
        <v>0</v>
      </c>
      <c r="AK644" s="17">
        <f t="shared" ref="AK644:AK707" si="410">+$AC644*BJ644</f>
        <v>0</v>
      </c>
      <c r="AL644" s="17">
        <f t="shared" ref="AL644:AL707" si="411">+$AC644*BK644</f>
        <v>0</v>
      </c>
      <c r="AM644" s="17">
        <f t="shared" ref="AM644:AM707" si="412">+$AC644*BL644</f>
        <v>0</v>
      </c>
      <c r="AN644" s="17">
        <f t="shared" ref="AN644:AN707" si="413">+$AC644*BM644</f>
        <v>0</v>
      </c>
      <c r="AO644" s="17">
        <f t="shared" ref="AO644:AO707" si="414">+$AC644*BN644</f>
        <v>0</v>
      </c>
      <c r="AP644" s="17">
        <f t="shared" ref="AP644:AP707" si="415">+AC644+P644+C644</f>
        <v>0</v>
      </c>
      <c r="AQ644" s="18">
        <v>8.6327755838382494</v>
      </c>
      <c r="AR644" s="18">
        <v>10.323988991174954</v>
      </c>
      <c r="AS644" s="18">
        <v>9.136805914139412</v>
      </c>
      <c r="AT644" s="18">
        <v>6.9207789072756887</v>
      </c>
      <c r="AU644" s="18">
        <v>10.036777512599588</v>
      </c>
      <c r="AV644" s="18">
        <v>8.2251280362063213</v>
      </c>
      <c r="AW644" s="18">
        <v>8.1886874753190302</v>
      </c>
      <c r="AX644" s="18">
        <v>5.5608798087971012</v>
      </c>
      <c r="AY644" s="18">
        <v>8.2428929070499652</v>
      </c>
      <c r="AZ644" s="18">
        <v>7.1785001027818058</v>
      </c>
      <c r="BA644" s="18">
        <v>7.3295207137959748</v>
      </c>
      <c r="BB644" s="18">
        <v>7.1588981465974006</v>
      </c>
      <c r="BC644" s="23">
        <v>8.9181565948742242E-2</v>
      </c>
      <c r="BD644" s="23">
        <v>0.10665277883445198</v>
      </c>
      <c r="BE644" s="23">
        <v>9.438849084854764E-2</v>
      </c>
      <c r="BF644" s="23">
        <v>7.149564986855049E-2</v>
      </c>
      <c r="BG644" s="23">
        <v>0.10368571810536763</v>
      </c>
      <c r="BH644" s="23">
        <v>8.4970330952544637E-2</v>
      </c>
      <c r="BI644" s="23">
        <v>8.4593878877262704E-2</v>
      </c>
      <c r="BJ644" s="23">
        <v>5.7447105462779965E-2</v>
      </c>
      <c r="BK644" s="23">
        <v>8.5153852345557474E-2</v>
      </c>
      <c r="BL644" s="23">
        <v>7.4158058913035174E-2</v>
      </c>
      <c r="BM644" s="23">
        <v>7.5718189192107169E-2</v>
      </c>
      <c r="BN644" s="23">
        <v>7.3955559365675619E-2</v>
      </c>
    </row>
    <row r="645" spans="1:66" x14ac:dyDescent="0.25">
      <c r="A645" s="16">
        <v>4208</v>
      </c>
      <c r="B645" s="16" t="s">
        <v>839</v>
      </c>
      <c r="C645" s="17">
        <v>0</v>
      </c>
      <c r="D645" s="17">
        <f t="shared" si="379"/>
        <v>0</v>
      </c>
      <c r="E645" s="17">
        <f t="shared" si="380"/>
        <v>0</v>
      </c>
      <c r="F645" s="17">
        <f t="shared" si="381"/>
        <v>0</v>
      </c>
      <c r="G645" s="17">
        <f t="shared" si="382"/>
        <v>0</v>
      </c>
      <c r="H645" s="17">
        <f t="shared" si="383"/>
        <v>0</v>
      </c>
      <c r="I645" s="17">
        <f t="shared" si="384"/>
        <v>0</v>
      </c>
      <c r="J645" s="17">
        <f t="shared" si="385"/>
        <v>0</v>
      </c>
      <c r="K645" s="17">
        <f t="shared" si="386"/>
        <v>0</v>
      </c>
      <c r="L645" s="17">
        <f t="shared" si="387"/>
        <v>0</v>
      </c>
      <c r="M645" s="17">
        <f t="shared" si="388"/>
        <v>0</v>
      </c>
      <c r="N645" s="17">
        <f t="shared" si="389"/>
        <v>0</v>
      </c>
      <c r="O645" s="17">
        <f t="shared" si="390"/>
        <v>0</v>
      </c>
      <c r="P645" s="17">
        <v>0</v>
      </c>
      <c r="Q645" s="17">
        <f t="shared" si="391"/>
        <v>0</v>
      </c>
      <c r="R645" s="17">
        <f t="shared" si="392"/>
        <v>0</v>
      </c>
      <c r="S645" s="17">
        <f t="shared" si="393"/>
        <v>0</v>
      </c>
      <c r="T645" s="17">
        <f t="shared" si="394"/>
        <v>0</v>
      </c>
      <c r="U645" s="17">
        <f t="shared" si="395"/>
        <v>0</v>
      </c>
      <c r="V645" s="17">
        <f t="shared" si="396"/>
        <v>0</v>
      </c>
      <c r="W645" s="17">
        <f t="shared" si="397"/>
        <v>0</v>
      </c>
      <c r="X645" s="17">
        <f t="shared" si="398"/>
        <v>0</v>
      </c>
      <c r="Y645" s="17">
        <f t="shared" si="399"/>
        <v>0</v>
      </c>
      <c r="Z645" s="17">
        <f t="shared" si="400"/>
        <v>0</v>
      </c>
      <c r="AA645" s="17">
        <f t="shared" si="401"/>
        <v>0</v>
      </c>
      <c r="AB645" s="17">
        <f t="shared" si="402"/>
        <v>0</v>
      </c>
      <c r="AC645" s="17">
        <v>0</v>
      </c>
      <c r="AD645" s="17">
        <f t="shared" si="403"/>
        <v>0</v>
      </c>
      <c r="AE645" s="17">
        <f t="shared" si="404"/>
        <v>0</v>
      </c>
      <c r="AF645" s="17">
        <f t="shared" si="405"/>
        <v>0</v>
      </c>
      <c r="AG645" s="17">
        <f t="shared" si="406"/>
        <v>0</v>
      </c>
      <c r="AH645" s="17">
        <f t="shared" si="407"/>
        <v>0</v>
      </c>
      <c r="AI645" s="17">
        <f t="shared" si="408"/>
        <v>0</v>
      </c>
      <c r="AJ645" s="17">
        <f t="shared" si="409"/>
        <v>0</v>
      </c>
      <c r="AK645" s="17">
        <f t="shared" si="410"/>
        <v>0</v>
      </c>
      <c r="AL645" s="17">
        <f t="shared" si="411"/>
        <v>0</v>
      </c>
      <c r="AM645" s="17">
        <f t="shared" si="412"/>
        <v>0</v>
      </c>
      <c r="AN645" s="17">
        <f t="shared" si="413"/>
        <v>0</v>
      </c>
      <c r="AO645" s="17">
        <f t="shared" si="414"/>
        <v>0</v>
      </c>
      <c r="AP645" s="17">
        <f t="shared" si="415"/>
        <v>0</v>
      </c>
      <c r="AQ645" s="18">
        <v>0</v>
      </c>
      <c r="AR645" s="18">
        <v>0</v>
      </c>
      <c r="AS645" s="18">
        <v>0</v>
      </c>
      <c r="AT645" s="18">
        <v>0</v>
      </c>
      <c r="AU645" s="18">
        <v>0</v>
      </c>
      <c r="AV645" s="18">
        <v>0</v>
      </c>
      <c r="AW645" s="18">
        <v>0</v>
      </c>
      <c r="AX645" s="18">
        <v>0</v>
      </c>
      <c r="AY645" s="18">
        <v>0</v>
      </c>
      <c r="AZ645" s="18">
        <v>0</v>
      </c>
      <c r="BA645" s="18">
        <v>0</v>
      </c>
      <c r="BB645" s="18">
        <v>0</v>
      </c>
      <c r="BC645" s="23">
        <v>8.9181565948742242E-2</v>
      </c>
      <c r="BD645" s="23">
        <v>0.10665277883445198</v>
      </c>
      <c r="BE645" s="23">
        <v>9.438849084854764E-2</v>
      </c>
      <c r="BF645" s="23">
        <v>7.149564986855049E-2</v>
      </c>
      <c r="BG645" s="23">
        <v>0.10368571810536763</v>
      </c>
      <c r="BH645" s="23">
        <v>8.4970330952544637E-2</v>
      </c>
      <c r="BI645" s="23">
        <v>8.4593878877262704E-2</v>
      </c>
      <c r="BJ645" s="23">
        <v>5.7447105462779965E-2</v>
      </c>
      <c r="BK645" s="23">
        <v>8.5153852345557474E-2</v>
      </c>
      <c r="BL645" s="23">
        <v>7.4158058913035174E-2</v>
      </c>
      <c r="BM645" s="23">
        <v>7.5718189192107169E-2</v>
      </c>
      <c r="BN645" s="23">
        <v>7.3955559365675619E-2</v>
      </c>
    </row>
    <row r="646" spans="1:66" x14ac:dyDescent="0.25">
      <c r="A646" s="16">
        <v>4225</v>
      </c>
      <c r="B646" s="16" t="s">
        <v>840</v>
      </c>
      <c r="C646" s="17">
        <v>0</v>
      </c>
      <c r="D646" s="17">
        <f t="shared" si="379"/>
        <v>0</v>
      </c>
      <c r="E646" s="17">
        <f t="shared" si="380"/>
        <v>0</v>
      </c>
      <c r="F646" s="17">
        <f t="shared" si="381"/>
        <v>0</v>
      </c>
      <c r="G646" s="17">
        <f t="shared" si="382"/>
        <v>0</v>
      </c>
      <c r="H646" s="17">
        <f t="shared" si="383"/>
        <v>0</v>
      </c>
      <c r="I646" s="17">
        <f t="shared" si="384"/>
        <v>0</v>
      </c>
      <c r="J646" s="17">
        <f t="shared" si="385"/>
        <v>0</v>
      </c>
      <c r="K646" s="17">
        <f t="shared" si="386"/>
        <v>0</v>
      </c>
      <c r="L646" s="17">
        <f t="shared" si="387"/>
        <v>0</v>
      </c>
      <c r="M646" s="17">
        <f t="shared" si="388"/>
        <v>0</v>
      </c>
      <c r="N646" s="17">
        <f t="shared" si="389"/>
        <v>0</v>
      </c>
      <c r="O646" s="17">
        <f t="shared" si="390"/>
        <v>0</v>
      </c>
      <c r="P646" s="17">
        <v>0</v>
      </c>
      <c r="Q646" s="17">
        <f t="shared" si="391"/>
        <v>0</v>
      </c>
      <c r="R646" s="17">
        <f t="shared" si="392"/>
        <v>0</v>
      </c>
      <c r="S646" s="17">
        <f t="shared" si="393"/>
        <v>0</v>
      </c>
      <c r="T646" s="17">
        <f t="shared" si="394"/>
        <v>0</v>
      </c>
      <c r="U646" s="17">
        <f t="shared" si="395"/>
        <v>0</v>
      </c>
      <c r="V646" s="17">
        <f t="shared" si="396"/>
        <v>0</v>
      </c>
      <c r="W646" s="17">
        <f t="shared" si="397"/>
        <v>0</v>
      </c>
      <c r="X646" s="17">
        <f t="shared" si="398"/>
        <v>0</v>
      </c>
      <c r="Y646" s="17">
        <f t="shared" si="399"/>
        <v>0</v>
      </c>
      <c r="Z646" s="17">
        <f t="shared" si="400"/>
        <v>0</v>
      </c>
      <c r="AA646" s="17">
        <f t="shared" si="401"/>
        <v>0</v>
      </c>
      <c r="AB646" s="17">
        <f t="shared" si="402"/>
        <v>0</v>
      </c>
      <c r="AC646" s="17">
        <v>0</v>
      </c>
      <c r="AD646" s="17">
        <f t="shared" si="403"/>
        <v>0</v>
      </c>
      <c r="AE646" s="17">
        <f t="shared" si="404"/>
        <v>0</v>
      </c>
      <c r="AF646" s="17">
        <f t="shared" si="405"/>
        <v>0</v>
      </c>
      <c r="AG646" s="17">
        <f t="shared" si="406"/>
        <v>0</v>
      </c>
      <c r="AH646" s="17">
        <f t="shared" si="407"/>
        <v>0</v>
      </c>
      <c r="AI646" s="17">
        <f t="shared" si="408"/>
        <v>0</v>
      </c>
      <c r="AJ646" s="17">
        <f t="shared" si="409"/>
        <v>0</v>
      </c>
      <c r="AK646" s="17">
        <f t="shared" si="410"/>
        <v>0</v>
      </c>
      <c r="AL646" s="17">
        <f t="shared" si="411"/>
        <v>0</v>
      </c>
      <c r="AM646" s="17">
        <f t="shared" si="412"/>
        <v>0</v>
      </c>
      <c r="AN646" s="17">
        <f t="shared" si="413"/>
        <v>0</v>
      </c>
      <c r="AO646" s="17">
        <f t="shared" si="414"/>
        <v>0</v>
      </c>
      <c r="AP646" s="17">
        <f t="shared" si="415"/>
        <v>0</v>
      </c>
      <c r="AQ646" s="18">
        <v>0</v>
      </c>
      <c r="AR646" s="18">
        <v>0</v>
      </c>
      <c r="AS646" s="18">
        <v>0</v>
      </c>
      <c r="AT646" s="18">
        <v>0</v>
      </c>
      <c r="AU646" s="18">
        <v>0</v>
      </c>
      <c r="AV646" s="18">
        <v>0</v>
      </c>
      <c r="AW646" s="18">
        <v>0</v>
      </c>
      <c r="AX646" s="18">
        <v>0</v>
      </c>
      <c r="AY646" s="18">
        <v>0</v>
      </c>
      <c r="AZ646" s="18">
        <v>0</v>
      </c>
      <c r="BA646" s="18">
        <v>0</v>
      </c>
      <c r="BB646" s="18">
        <v>0</v>
      </c>
      <c r="BC646" s="23">
        <v>8.9181565948742242E-2</v>
      </c>
      <c r="BD646" s="23">
        <v>0.10665277883445198</v>
      </c>
      <c r="BE646" s="23">
        <v>9.438849084854764E-2</v>
      </c>
      <c r="BF646" s="23">
        <v>7.149564986855049E-2</v>
      </c>
      <c r="BG646" s="23">
        <v>0.10368571810536763</v>
      </c>
      <c r="BH646" s="23">
        <v>8.4970330952544637E-2</v>
      </c>
      <c r="BI646" s="23">
        <v>8.4593878877262704E-2</v>
      </c>
      <c r="BJ646" s="23">
        <v>5.7447105462779965E-2</v>
      </c>
      <c r="BK646" s="23">
        <v>8.5153852345557474E-2</v>
      </c>
      <c r="BL646" s="23">
        <v>7.4158058913035174E-2</v>
      </c>
      <c r="BM646" s="23">
        <v>7.5718189192107169E-2</v>
      </c>
      <c r="BN646" s="23">
        <v>7.3955559365675619E-2</v>
      </c>
    </row>
    <row r="647" spans="1:66" x14ac:dyDescent="0.25">
      <c r="A647" s="16">
        <v>4229</v>
      </c>
      <c r="B647" s="16" t="s">
        <v>841</v>
      </c>
      <c r="C647" s="17">
        <v>0</v>
      </c>
      <c r="D647" s="17">
        <f t="shared" si="379"/>
        <v>0</v>
      </c>
      <c r="E647" s="17">
        <f t="shared" si="380"/>
        <v>0</v>
      </c>
      <c r="F647" s="17">
        <f t="shared" si="381"/>
        <v>0</v>
      </c>
      <c r="G647" s="17">
        <f t="shared" si="382"/>
        <v>0</v>
      </c>
      <c r="H647" s="17">
        <f t="shared" si="383"/>
        <v>0</v>
      </c>
      <c r="I647" s="17">
        <f t="shared" si="384"/>
        <v>0</v>
      </c>
      <c r="J647" s="17">
        <f t="shared" si="385"/>
        <v>0</v>
      </c>
      <c r="K647" s="17">
        <f t="shared" si="386"/>
        <v>0</v>
      </c>
      <c r="L647" s="17">
        <f t="shared" si="387"/>
        <v>0</v>
      </c>
      <c r="M647" s="17">
        <f t="shared" si="388"/>
        <v>0</v>
      </c>
      <c r="N647" s="17">
        <f t="shared" si="389"/>
        <v>0</v>
      </c>
      <c r="O647" s="17">
        <f t="shared" si="390"/>
        <v>0</v>
      </c>
      <c r="P647" s="17">
        <v>0</v>
      </c>
      <c r="Q647" s="17">
        <f t="shared" si="391"/>
        <v>0</v>
      </c>
      <c r="R647" s="17">
        <f t="shared" si="392"/>
        <v>0</v>
      </c>
      <c r="S647" s="17">
        <f t="shared" si="393"/>
        <v>0</v>
      </c>
      <c r="T647" s="17">
        <f t="shared" si="394"/>
        <v>0</v>
      </c>
      <c r="U647" s="17">
        <f t="shared" si="395"/>
        <v>0</v>
      </c>
      <c r="V647" s="17">
        <f t="shared" si="396"/>
        <v>0</v>
      </c>
      <c r="W647" s="17">
        <f t="shared" si="397"/>
        <v>0</v>
      </c>
      <c r="X647" s="17">
        <f t="shared" si="398"/>
        <v>0</v>
      </c>
      <c r="Y647" s="17">
        <f t="shared" si="399"/>
        <v>0</v>
      </c>
      <c r="Z647" s="17">
        <f t="shared" si="400"/>
        <v>0</v>
      </c>
      <c r="AA647" s="17">
        <f t="shared" si="401"/>
        <v>0</v>
      </c>
      <c r="AB647" s="17">
        <f t="shared" si="402"/>
        <v>0</v>
      </c>
      <c r="AC647" s="17">
        <v>0</v>
      </c>
      <c r="AD647" s="17">
        <f t="shared" si="403"/>
        <v>0</v>
      </c>
      <c r="AE647" s="17">
        <f t="shared" si="404"/>
        <v>0</v>
      </c>
      <c r="AF647" s="17">
        <f t="shared" si="405"/>
        <v>0</v>
      </c>
      <c r="AG647" s="17">
        <f t="shared" si="406"/>
        <v>0</v>
      </c>
      <c r="AH647" s="17">
        <f t="shared" si="407"/>
        <v>0</v>
      </c>
      <c r="AI647" s="17">
        <f t="shared" si="408"/>
        <v>0</v>
      </c>
      <c r="AJ647" s="17">
        <f t="shared" si="409"/>
        <v>0</v>
      </c>
      <c r="AK647" s="17">
        <f t="shared" si="410"/>
        <v>0</v>
      </c>
      <c r="AL647" s="17">
        <f t="shared" si="411"/>
        <v>0</v>
      </c>
      <c r="AM647" s="17">
        <f t="shared" si="412"/>
        <v>0</v>
      </c>
      <c r="AN647" s="17">
        <f t="shared" si="413"/>
        <v>0</v>
      </c>
      <c r="AO647" s="17">
        <f t="shared" si="414"/>
        <v>0</v>
      </c>
      <c r="AP647" s="17">
        <f t="shared" si="415"/>
        <v>0</v>
      </c>
      <c r="AQ647" s="18">
        <v>0</v>
      </c>
      <c r="AR647" s="18">
        <v>0</v>
      </c>
      <c r="AS647" s="18">
        <v>0</v>
      </c>
      <c r="AT647" s="18">
        <v>0</v>
      </c>
      <c r="AU647" s="18">
        <v>0</v>
      </c>
      <c r="AV647" s="18">
        <v>0</v>
      </c>
      <c r="AW647" s="18">
        <v>0</v>
      </c>
      <c r="AX647" s="18">
        <v>0</v>
      </c>
      <c r="AY647" s="18">
        <v>0</v>
      </c>
      <c r="AZ647" s="18">
        <v>0</v>
      </c>
      <c r="BA647" s="18">
        <v>0</v>
      </c>
      <c r="BB647" s="18">
        <v>0</v>
      </c>
      <c r="BC647" s="23">
        <v>8.9181565948742242E-2</v>
      </c>
      <c r="BD647" s="23">
        <v>0.10665277883445198</v>
      </c>
      <c r="BE647" s="23">
        <v>9.438849084854764E-2</v>
      </c>
      <c r="BF647" s="23">
        <v>7.149564986855049E-2</v>
      </c>
      <c r="BG647" s="23">
        <v>0.10368571810536763</v>
      </c>
      <c r="BH647" s="23">
        <v>8.4970330952544637E-2</v>
      </c>
      <c r="BI647" s="23">
        <v>8.4593878877262704E-2</v>
      </c>
      <c r="BJ647" s="23">
        <v>5.7447105462779965E-2</v>
      </c>
      <c r="BK647" s="23">
        <v>8.5153852345557474E-2</v>
      </c>
      <c r="BL647" s="23">
        <v>7.4158058913035174E-2</v>
      </c>
      <c r="BM647" s="23">
        <v>7.5718189192107169E-2</v>
      </c>
      <c r="BN647" s="23">
        <v>7.3955559365675619E-2</v>
      </c>
    </row>
    <row r="648" spans="1:66" x14ac:dyDescent="0.25">
      <c r="A648" s="16">
        <v>4234</v>
      </c>
      <c r="B648" s="16" t="s">
        <v>842</v>
      </c>
      <c r="C648" s="17">
        <v>0</v>
      </c>
      <c r="D648" s="17">
        <f t="shared" si="379"/>
        <v>0</v>
      </c>
      <c r="E648" s="17">
        <f t="shared" si="380"/>
        <v>0</v>
      </c>
      <c r="F648" s="17">
        <f t="shared" si="381"/>
        <v>0</v>
      </c>
      <c r="G648" s="17">
        <f t="shared" si="382"/>
        <v>0</v>
      </c>
      <c r="H648" s="17">
        <f t="shared" si="383"/>
        <v>0</v>
      </c>
      <c r="I648" s="17">
        <f t="shared" si="384"/>
        <v>0</v>
      </c>
      <c r="J648" s="17">
        <f t="shared" si="385"/>
        <v>0</v>
      </c>
      <c r="K648" s="17">
        <f t="shared" si="386"/>
        <v>0</v>
      </c>
      <c r="L648" s="17">
        <f t="shared" si="387"/>
        <v>0</v>
      </c>
      <c r="M648" s="17">
        <f t="shared" si="388"/>
        <v>0</v>
      </c>
      <c r="N648" s="17">
        <f t="shared" si="389"/>
        <v>0</v>
      </c>
      <c r="O648" s="17">
        <f t="shared" si="390"/>
        <v>0</v>
      </c>
      <c r="P648" s="17">
        <v>0</v>
      </c>
      <c r="Q648" s="17">
        <f t="shared" si="391"/>
        <v>0</v>
      </c>
      <c r="R648" s="17">
        <f t="shared" si="392"/>
        <v>0</v>
      </c>
      <c r="S648" s="17">
        <f t="shared" si="393"/>
        <v>0</v>
      </c>
      <c r="T648" s="17">
        <f t="shared" si="394"/>
        <v>0</v>
      </c>
      <c r="U648" s="17">
        <f t="shared" si="395"/>
        <v>0</v>
      </c>
      <c r="V648" s="17">
        <f t="shared" si="396"/>
        <v>0</v>
      </c>
      <c r="W648" s="17">
        <f t="shared" si="397"/>
        <v>0</v>
      </c>
      <c r="X648" s="17">
        <f t="shared" si="398"/>
        <v>0</v>
      </c>
      <c r="Y648" s="17">
        <f t="shared" si="399"/>
        <v>0</v>
      </c>
      <c r="Z648" s="17">
        <f t="shared" si="400"/>
        <v>0</v>
      </c>
      <c r="AA648" s="17">
        <f t="shared" si="401"/>
        <v>0</v>
      </c>
      <c r="AB648" s="17">
        <f t="shared" si="402"/>
        <v>0</v>
      </c>
      <c r="AC648" s="17">
        <v>0</v>
      </c>
      <c r="AD648" s="17">
        <f t="shared" si="403"/>
        <v>0</v>
      </c>
      <c r="AE648" s="17">
        <f t="shared" si="404"/>
        <v>0</v>
      </c>
      <c r="AF648" s="17">
        <f t="shared" si="405"/>
        <v>0</v>
      </c>
      <c r="AG648" s="17">
        <f t="shared" si="406"/>
        <v>0</v>
      </c>
      <c r="AH648" s="17">
        <f t="shared" si="407"/>
        <v>0</v>
      </c>
      <c r="AI648" s="17">
        <f t="shared" si="408"/>
        <v>0</v>
      </c>
      <c r="AJ648" s="17">
        <f t="shared" si="409"/>
        <v>0</v>
      </c>
      <c r="AK648" s="17">
        <f t="shared" si="410"/>
        <v>0</v>
      </c>
      <c r="AL648" s="17">
        <f t="shared" si="411"/>
        <v>0</v>
      </c>
      <c r="AM648" s="17">
        <f t="shared" si="412"/>
        <v>0</v>
      </c>
      <c r="AN648" s="17">
        <f t="shared" si="413"/>
        <v>0</v>
      </c>
      <c r="AO648" s="17">
        <f t="shared" si="414"/>
        <v>0</v>
      </c>
      <c r="AP648" s="17">
        <f t="shared" si="415"/>
        <v>0</v>
      </c>
      <c r="AQ648" s="18">
        <v>0</v>
      </c>
      <c r="AR648" s="18">
        <v>0</v>
      </c>
      <c r="AS648" s="18">
        <v>0</v>
      </c>
      <c r="AT648" s="18">
        <v>0</v>
      </c>
      <c r="AU648" s="18">
        <v>0</v>
      </c>
      <c r="AV648" s="18">
        <v>0</v>
      </c>
      <c r="AW648" s="18">
        <v>0</v>
      </c>
      <c r="AX648" s="18">
        <v>0</v>
      </c>
      <c r="AY648" s="18">
        <v>0</v>
      </c>
      <c r="AZ648" s="18">
        <v>0</v>
      </c>
      <c r="BA648" s="18">
        <v>0</v>
      </c>
      <c r="BB648" s="18">
        <v>0</v>
      </c>
      <c r="BC648" s="23">
        <v>8.9181565948742242E-2</v>
      </c>
      <c r="BD648" s="23">
        <v>0.10665277883445198</v>
      </c>
      <c r="BE648" s="23">
        <v>9.438849084854764E-2</v>
      </c>
      <c r="BF648" s="23">
        <v>7.149564986855049E-2</v>
      </c>
      <c r="BG648" s="23">
        <v>0.10368571810536763</v>
      </c>
      <c r="BH648" s="23">
        <v>8.4970330952544637E-2</v>
      </c>
      <c r="BI648" s="23">
        <v>8.4593878877262704E-2</v>
      </c>
      <c r="BJ648" s="23">
        <v>5.7447105462779965E-2</v>
      </c>
      <c r="BK648" s="23">
        <v>8.5153852345557474E-2</v>
      </c>
      <c r="BL648" s="23">
        <v>7.4158058913035174E-2</v>
      </c>
      <c r="BM648" s="23">
        <v>7.5718189192107169E-2</v>
      </c>
      <c r="BN648" s="23">
        <v>7.3955559365675619E-2</v>
      </c>
    </row>
    <row r="649" spans="1:66" x14ac:dyDescent="0.25">
      <c r="A649" s="16">
        <v>4247</v>
      </c>
      <c r="B649" s="16" t="s">
        <v>843</v>
      </c>
      <c r="C649" s="17">
        <v>0</v>
      </c>
      <c r="D649" s="17">
        <f t="shared" si="379"/>
        <v>0</v>
      </c>
      <c r="E649" s="17">
        <f t="shared" si="380"/>
        <v>0</v>
      </c>
      <c r="F649" s="17">
        <f t="shared" si="381"/>
        <v>0</v>
      </c>
      <c r="G649" s="17">
        <f t="shared" si="382"/>
        <v>0</v>
      </c>
      <c r="H649" s="17">
        <f t="shared" si="383"/>
        <v>0</v>
      </c>
      <c r="I649" s="17">
        <f t="shared" si="384"/>
        <v>0</v>
      </c>
      <c r="J649" s="17">
        <f t="shared" si="385"/>
        <v>0</v>
      </c>
      <c r="K649" s="17">
        <f t="shared" si="386"/>
        <v>0</v>
      </c>
      <c r="L649" s="17">
        <f t="shared" si="387"/>
        <v>0</v>
      </c>
      <c r="M649" s="17">
        <f t="shared" si="388"/>
        <v>0</v>
      </c>
      <c r="N649" s="17">
        <f t="shared" si="389"/>
        <v>0</v>
      </c>
      <c r="O649" s="17">
        <f t="shared" si="390"/>
        <v>0</v>
      </c>
      <c r="P649" s="17">
        <v>0</v>
      </c>
      <c r="Q649" s="17">
        <f t="shared" si="391"/>
        <v>0</v>
      </c>
      <c r="R649" s="17">
        <f t="shared" si="392"/>
        <v>0</v>
      </c>
      <c r="S649" s="17">
        <f t="shared" si="393"/>
        <v>0</v>
      </c>
      <c r="T649" s="17">
        <f t="shared" si="394"/>
        <v>0</v>
      </c>
      <c r="U649" s="17">
        <f t="shared" si="395"/>
        <v>0</v>
      </c>
      <c r="V649" s="17">
        <f t="shared" si="396"/>
        <v>0</v>
      </c>
      <c r="W649" s="17">
        <f t="shared" si="397"/>
        <v>0</v>
      </c>
      <c r="X649" s="17">
        <f t="shared" si="398"/>
        <v>0</v>
      </c>
      <c r="Y649" s="17">
        <f t="shared" si="399"/>
        <v>0</v>
      </c>
      <c r="Z649" s="17">
        <f t="shared" si="400"/>
        <v>0</v>
      </c>
      <c r="AA649" s="17">
        <f t="shared" si="401"/>
        <v>0</v>
      </c>
      <c r="AB649" s="17">
        <f t="shared" si="402"/>
        <v>0</v>
      </c>
      <c r="AC649" s="17">
        <v>0</v>
      </c>
      <c r="AD649" s="17">
        <f t="shared" si="403"/>
        <v>0</v>
      </c>
      <c r="AE649" s="17">
        <f t="shared" si="404"/>
        <v>0</v>
      </c>
      <c r="AF649" s="17">
        <f t="shared" si="405"/>
        <v>0</v>
      </c>
      <c r="AG649" s="17">
        <f t="shared" si="406"/>
        <v>0</v>
      </c>
      <c r="AH649" s="17">
        <f t="shared" si="407"/>
        <v>0</v>
      </c>
      <c r="AI649" s="17">
        <f t="shared" si="408"/>
        <v>0</v>
      </c>
      <c r="AJ649" s="17">
        <f t="shared" si="409"/>
        <v>0</v>
      </c>
      <c r="AK649" s="17">
        <f t="shared" si="410"/>
        <v>0</v>
      </c>
      <c r="AL649" s="17">
        <f t="shared" si="411"/>
        <v>0</v>
      </c>
      <c r="AM649" s="17">
        <f t="shared" si="412"/>
        <v>0</v>
      </c>
      <c r="AN649" s="17">
        <f t="shared" si="413"/>
        <v>0</v>
      </c>
      <c r="AO649" s="17">
        <f t="shared" si="414"/>
        <v>0</v>
      </c>
      <c r="AP649" s="17">
        <f t="shared" si="415"/>
        <v>0</v>
      </c>
      <c r="AQ649" s="18">
        <v>0</v>
      </c>
      <c r="AR649" s="18">
        <v>0</v>
      </c>
      <c r="AS649" s="18">
        <v>0</v>
      </c>
      <c r="AT649" s="18">
        <v>0</v>
      </c>
      <c r="AU649" s="18">
        <v>0</v>
      </c>
      <c r="AV649" s="18">
        <v>0</v>
      </c>
      <c r="AW649" s="18">
        <v>0</v>
      </c>
      <c r="AX649" s="18">
        <v>0</v>
      </c>
      <c r="AY649" s="18">
        <v>0</v>
      </c>
      <c r="AZ649" s="18">
        <v>0</v>
      </c>
      <c r="BA649" s="18">
        <v>0</v>
      </c>
      <c r="BB649" s="18">
        <v>0</v>
      </c>
      <c r="BC649" s="23">
        <v>8.9181565948742242E-2</v>
      </c>
      <c r="BD649" s="23">
        <v>0.10665277883445198</v>
      </c>
      <c r="BE649" s="23">
        <v>9.438849084854764E-2</v>
      </c>
      <c r="BF649" s="23">
        <v>7.149564986855049E-2</v>
      </c>
      <c r="BG649" s="23">
        <v>0.10368571810536763</v>
      </c>
      <c r="BH649" s="23">
        <v>8.4970330952544637E-2</v>
      </c>
      <c r="BI649" s="23">
        <v>8.4593878877262704E-2</v>
      </c>
      <c r="BJ649" s="23">
        <v>5.7447105462779965E-2</v>
      </c>
      <c r="BK649" s="23">
        <v>8.5153852345557474E-2</v>
      </c>
      <c r="BL649" s="23">
        <v>7.4158058913035174E-2</v>
      </c>
      <c r="BM649" s="23">
        <v>7.5718189192107169E-2</v>
      </c>
      <c r="BN649" s="23">
        <v>7.3955559365675619E-2</v>
      </c>
    </row>
    <row r="650" spans="1:66" x14ac:dyDescent="0.25">
      <c r="A650" s="16">
        <v>4251</v>
      </c>
      <c r="B650" s="16" t="s">
        <v>844</v>
      </c>
      <c r="C650" s="17">
        <v>0</v>
      </c>
      <c r="D650" s="17">
        <f t="shared" si="379"/>
        <v>0</v>
      </c>
      <c r="E650" s="17">
        <f t="shared" si="380"/>
        <v>0</v>
      </c>
      <c r="F650" s="17">
        <f t="shared" si="381"/>
        <v>0</v>
      </c>
      <c r="G650" s="17">
        <f t="shared" si="382"/>
        <v>0</v>
      </c>
      <c r="H650" s="17">
        <f t="shared" si="383"/>
        <v>0</v>
      </c>
      <c r="I650" s="17">
        <f t="shared" si="384"/>
        <v>0</v>
      </c>
      <c r="J650" s="17">
        <f t="shared" si="385"/>
        <v>0</v>
      </c>
      <c r="K650" s="17">
        <f t="shared" si="386"/>
        <v>0</v>
      </c>
      <c r="L650" s="17">
        <f t="shared" si="387"/>
        <v>0</v>
      </c>
      <c r="M650" s="17">
        <f t="shared" si="388"/>
        <v>0</v>
      </c>
      <c r="N650" s="17">
        <f t="shared" si="389"/>
        <v>0</v>
      </c>
      <c r="O650" s="17">
        <f t="shared" si="390"/>
        <v>0</v>
      </c>
      <c r="P650" s="17">
        <v>0</v>
      </c>
      <c r="Q650" s="17">
        <f t="shared" si="391"/>
        <v>0</v>
      </c>
      <c r="R650" s="17">
        <f t="shared" si="392"/>
        <v>0</v>
      </c>
      <c r="S650" s="17">
        <f t="shared" si="393"/>
        <v>0</v>
      </c>
      <c r="T650" s="17">
        <f t="shared" si="394"/>
        <v>0</v>
      </c>
      <c r="U650" s="17">
        <f t="shared" si="395"/>
        <v>0</v>
      </c>
      <c r="V650" s="17">
        <f t="shared" si="396"/>
        <v>0</v>
      </c>
      <c r="W650" s="17">
        <f t="shared" si="397"/>
        <v>0</v>
      </c>
      <c r="X650" s="17">
        <f t="shared" si="398"/>
        <v>0</v>
      </c>
      <c r="Y650" s="17">
        <f t="shared" si="399"/>
        <v>0</v>
      </c>
      <c r="Z650" s="17">
        <f t="shared" si="400"/>
        <v>0</v>
      </c>
      <c r="AA650" s="17">
        <f t="shared" si="401"/>
        <v>0</v>
      </c>
      <c r="AB650" s="17">
        <f t="shared" si="402"/>
        <v>0</v>
      </c>
      <c r="AC650" s="17">
        <v>0</v>
      </c>
      <c r="AD650" s="17">
        <f t="shared" si="403"/>
        <v>0</v>
      </c>
      <c r="AE650" s="17">
        <f t="shared" si="404"/>
        <v>0</v>
      </c>
      <c r="AF650" s="17">
        <f t="shared" si="405"/>
        <v>0</v>
      </c>
      <c r="AG650" s="17">
        <f t="shared" si="406"/>
        <v>0</v>
      </c>
      <c r="AH650" s="17">
        <f t="shared" si="407"/>
        <v>0</v>
      </c>
      <c r="AI650" s="17">
        <f t="shared" si="408"/>
        <v>0</v>
      </c>
      <c r="AJ650" s="17">
        <f t="shared" si="409"/>
        <v>0</v>
      </c>
      <c r="AK650" s="17">
        <f t="shared" si="410"/>
        <v>0</v>
      </c>
      <c r="AL650" s="17">
        <f t="shared" si="411"/>
        <v>0</v>
      </c>
      <c r="AM650" s="17">
        <f t="shared" si="412"/>
        <v>0</v>
      </c>
      <c r="AN650" s="17">
        <f t="shared" si="413"/>
        <v>0</v>
      </c>
      <c r="AO650" s="17">
        <f t="shared" si="414"/>
        <v>0</v>
      </c>
      <c r="AP650" s="17">
        <f t="shared" si="415"/>
        <v>0</v>
      </c>
      <c r="AQ650" s="18">
        <v>0</v>
      </c>
      <c r="AR650" s="18">
        <v>0</v>
      </c>
      <c r="AS650" s="18">
        <v>0</v>
      </c>
      <c r="AT650" s="18">
        <v>0</v>
      </c>
      <c r="AU650" s="18">
        <v>0</v>
      </c>
      <c r="AV650" s="18">
        <v>0</v>
      </c>
      <c r="AW650" s="18">
        <v>0</v>
      </c>
      <c r="AX650" s="18">
        <v>0</v>
      </c>
      <c r="AY650" s="18">
        <v>0</v>
      </c>
      <c r="AZ650" s="18">
        <v>0</v>
      </c>
      <c r="BA650" s="18">
        <v>0</v>
      </c>
      <c r="BB650" s="18">
        <v>0</v>
      </c>
      <c r="BC650" s="23">
        <v>8.9181565948742242E-2</v>
      </c>
      <c r="BD650" s="23">
        <v>0.10665277883445198</v>
      </c>
      <c r="BE650" s="23">
        <v>9.438849084854764E-2</v>
      </c>
      <c r="BF650" s="23">
        <v>7.149564986855049E-2</v>
      </c>
      <c r="BG650" s="23">
        <v>0.10368571810536763</v>
      </c>
      <c r="BH650" s="23">
        <v>8.4970330952544637E-2</v>
      </c>
      <c r="BI650" s="23">
        <v>8.4593878877262704E-2</v>
      </c>
      <c r="BJ650" s="23">
        <v>5.7447105462779965E-2</v>
      </c>
      <c r="BK650" s="23">
        <v>8.5153852345557474E-2</v>
      </c>
      <c r="BL650" s="23">
        <v>7.4158058913035174E-2</v>
      </c>
      <c r="BM650" s="23">
        <v>7.5718189192107169E-2</v>
      </c>
      <c r="BN650" s="23">
        <v>7.3955559365675619E-2</v>
      </c>
    </row>
    <row r="651" spans="1:66" x14ac:dyDescent="0.25">
      <c r="A651" s="16">
        <v>4256</v>
      </c>
      <c r="B651" s="16" t="s">
        <v>845</v>
      </c>
      <c r="C651" s="17">
        <v>0</v>
      </c>
      <c r="D651" s="17">
        <f t="shared" si="379"/>
        <v>0</v>
      </c>
      <c r="E651" s="17">
        <f t="shared" si="380"/>
        <v>0</v>
      </c>
      <c r="F651" s="17">
        <f t="shared" si="381"/>
        <v>0</v>
      </c>
      <c r="G651" s="17">
        <f t="shared" si="382"/>
        <v>0</v>
      </c>
      <c r="H651" s="17">
        <f t="shared" si="383"/>
        <v>0</v>
      </c>
      <c r="I651" s="17">
        <f t="shared" si="384"/>
        <v>0</v>
      </c>
      <c r="J651" s="17">
        <f t="shared" si="385"/>
        <v>0</v>
      </c>
      <c r="K651" s="17">
        <f t="shared" si="386"/>
        <v>0</v>
      </c>
      <c r="L651" s="17">
        <f t="shared" si="387"/>
        <v>0</v>
      </c>
      <c r="M651" s="17">
        <f t="shared" si="388"/>
        <v>0</v>
      </c>
      <c r="N651" s="17">
        <f t="shared" si="389"/>
        <v>0</v>
      </c>
      <c r="O651" s="17">
        <f t="shared" si="390"/>
        <v>0</v>
      </c>
      <c r="P651" s="17">
        <v>0</v>
      </c>
      <c r="Q651" s="17">
        <f t="shared" si="391"/>
        <v>0</v>
      </c>
      <c r="R651" s="17">
        <f t="shared" si="392"/>
        <v>0</v>
      </c>
      <c r="S651" s="17">
        <f t="shared" si="393"/>
        <v>0</v>
      </c>
      <c r="T651" s="17">
        <f t="shared" si="394"/>
        <v>0</v>
      </c>
      <c r="U651" s="17">
        <f t="shared" si="395"/>
        <v>0</v>
      </c>
      <c r="V651" s="17">
        <f t="shared" si="396"/>
        <v>0</v>
      </c>
      <c r="W651" s="17">
        <f t="shared" si="397"/>
        <v>0</v>
      </c>
      <c r="X651" s="17">
        <f t="shared" si="398"/>
        <v>0</v>
      </c>
      <c r="Y651" s="17">
        <f t="shared" si="399"/>
        <v>0</v>
      </c>
      <c r="Z651" s="17">
        <f t="shared" si="400"/>
        <v>0</v>
      </c>
      <c r="AA651" s="17">
        <f t="shared" si="401"/>
        <v>0</v>
      </c>
      <c r="AB651" s="17">
        <f t="shared" si="402"/>
        <v>0</v>
      </c>
      <c r="AC651" s="17">
        <v>0</v>
      </c>
      <c r="AD651" s="17">
        <f t="shared" si="403"/>
        <v>0</v>
      </c>
      <c r="AE651" s="17">
        <f t="shared" si="404"/>
        <v>0</v>
      </c>
      <c r="AF651" s="17">
        <f t="shared" si="405"/>
        <v>0</v>
      </c>
      <c r="AG651" s="17">
        <f t="shared" si="406"/>
        <v>0</v>
      </c>
      <c r="AH651" s="17">
        <f t="shared" si="407"/>
        <v>0</v>
      </c>
      <c r="AI651" s="17">
        <f t="shared" si="408"/>
        <v>0</v>
      </c>
      <c r="AJ651" s="17">
        <f t="shared" si="409"/>
        <v>0</v>
      </c>
      <c r="AK651" s="17">
        <f t="shared" si="410"/>
        <v>0</v>
      </c>
      <c r="AL651" s="17">
        <f t="shared" si="411"/>
        <v>0</v>
      </c>
      <c r="AM651" s="17">
        <f t="shared" si="412"/>
        <v>0</v>
      </c>
      <c r="AN651" s="17">
        <f t="shared" si="413"/>
        <v>0</v>
      </c>
      <c r="AO651" s="17">
        <f t="shared" si="414"/>
        <v>0</v>
      </c>
      <c r="AP651" s="17">
        <f t="shared" si="415"/>
        <v>0</v>
      </c>
      <c r="AQ651" s="18">
        <v>0</v>
      </c>
      <c r="AR651" s="18">
        <v>0</v>
      </c>
      <c r="AS651" s="18">
        <v>0</v>
      </c>
      <c r="AT651" s="18">
        <v>0</v>
      </c>
      <c r="AU651" s="18">
        <v>0</v>
      </c>
      <c r="AV651" s="18">
        <v>0</v>
      </c>
      <c r="AW651" s="18">
        <v>0</v>
      </c>
      <c r="AX651" s="18">
        <v>0</v>
      </c>
      <c r="AY651" s="18">
        <v>0</v>
      </c>
      <c r="AZ651" s="18">
        <v>0</v>
      </c>
      <c r="BA651" s="18">
        <v>0</v>
      </c>
      <c r="BB651" s="18">
        <v>0</v>
      </c>
      <c r="BC651" s="23">
        <v>8.9181565948742242E-2</v>
      </c>
      <c r="BD651" s="23">
        <v>0.10665277883445198</v>
      </c>
      <c r="BE651" s="23">
        <v>9.438849084854764E-2</v>
      </c>
      <c r="BF651" s="23">
        <v>7.149564986855049E-2</v>
      </c>
      <c r="BG651" s="23">
        <v>0.10368571810536763</v>
      </c>
      <c r="BH651" s="23">
        <v>8.4970330952544637E-2</v>
      </c>
      <c r="BI651" s="23">
        <v>8.4593878877262704E-2</v>
      </c>
      <c r="BJ651" s="23">
        <v>5.7447105462779965E-2</v>
      </c>
      <c r="BK651" s="23">
        <v>8.5153852345557474E-2</v>
      </c>
      <c r="BL651" s="23">
        <v>7.4158058913035174E-2</v>
      </c>
      <c r="BM651" s="23">
        <v>7.5718189192107169E-2</v>
      </c>
      <c r="BN651" s="23">
        <v>7.3955559365675619E-2</v>
      </c>
    </row>
    <row r="652" spans="1:66" x14ac:dyDescent="0.25">
      <c r="A652" s="16">
        <v>4269</v>
      </c>
      <c r="B652" s="16" t="s">
        <v>846</v>
      </c>
      <c r="C652" s="17">
        <v>0</v>
      </c>
      <c r="D652" s="17">
        <f t="shared" si="379"/>
        <v>0</v>
      </c>
      <c r="E652" s="17">
        <f t="shared" si="380"/>
        <v>0</v>
      </c>
      <c r="F652" s="17">
        <f t="shared" si="381"/>
        <v>0</v>
      </c>
      <c r="G652" s="17">
        <f t="shared" si="382"/>
        <v>0</v>
      </c>
      <c r="H652" s="17">
        <f t="shared" si="383"/>
        <v>0</v>
      </c>
      <c r="I652" s="17">
        <f t="shared" si="384"/>
        <v>0</v>
      </c>
      <c r="J652" s="17">
        <f t="shared" si="385"/>
        <v>0</v>
      </c>
      <c r="K652" s="17">
        <f t="shared" si="386"/>
        <v>0</v>
      </c>
      <c r="L652" s="17">
        <f t="shared" si="387"/>
        <v>0</v>
      </c>
      <c r="M652" s="17">
        <f t="shared" si="388"/>
        <v>0</v>
      </c>
      <c r="N652" s="17">
        <f t="shared" si="389"/>
        <v>0</v>
      </c>
      <c r="O652" s="17">
        <f t="shared" si="390"/>
        <v>0</v>
      </c>
      <c r="P652" s="17">
        <v>2000</v>
      </c>
      <c r="Q652" s="17">
        <f t="shared" si="391"/>
        <v>178.36313189748449</v>
      </c>
      <c r="R652" s="17">
        <f t="shared" si="392"/>
        <v>213.30555766890396</v>
      </c>
      <c r="S652" s="17">
        <f t="shared" si="393"/>
        <v>188.77698169709529</v>
      </c>
      <c r="T652" s="17">
        <f t="shared" si="394"/>
        <v>142.99129973710097</v>
      </c>
      <c r="U652" s="17">
        <f t="shared" si="395"/>
        <v>207.37143621073525</v>
      </c>
      <c r="V652" s="17">
        <f t="shared" si="396"/>
        <v>169.94066190508929</v>
      </c>
      <c r="W652" s="17">
        <f t="shared" si="397"/>
        <v>169.18775775452542</v>
      </c>
      <c r="X652" s="17">
        <f t="shared" si="398"/>
        <v>114.89421092555993</v>
      </c>
      <c r="Y652" s="17">
        <f t="shared" si="399"/>
        <v>170.30770469111494</v>
      </c>
      <c r="Z652" s="17">
        <f t="shared" si="400"/>
        <v>148.31611782607035</v>
      </c>
      <c r="AA652" s="17">
        <f t="shared" si="401"/>
        <v>151.43637838421435</v>
      </c>
      <c r="AB652" s="17">
        <f t="shared" si="402"/>
        <v>147.91111873135125</v>
      </c>
      <c r="AC652" s="17">
        <v>0</v>
      </c>
      <c r="AD652" s="17">
        <f t="shared" si="403"/>
        <v>0</v>
      </c>
      <c r="AE652" s="17">
        <f t="shared" si="404"/>
        <v>0</v>
      </c>
      <c r="AF652" s="17">
        <f t="shared" si="405"/>
        <v>0</v>
      </c>
      <c r="AG652" s="17">
        <f t="shared" si="406"/>
        <v>0</v>
      </c>
      <c r="AH652" s="17">
        <f t="shared" si="407"/>
        <v>0</v>
      </c>
      <c r="AI652" s="17">
        <f t="shared" si="408"/>
        <v>0</v>
      </c>
      <c r="AJ652" s="17">
        <f t="shared" si="409"/>
        <v>0</v>
      </c>
      <c r="AK652" s="17">
        <f t="shared" si="410"/>
        <v>0</v>
      </c>
      <c r="AL652" s="17">
        <f t="shared" si="411"/>
        <v>0</v>
      </c>
      <c r="AM652" s="17">
        <f t="shared" si="412"/>
        <v>0</v>
      </c>
      <c r="AN652" s="17">
        <f t="shared" si="413"/>
        <v>0</v>
      </c>
      <c r="AO652" s="17">
        <f t="shared" si="414"/>
        <v>0</v>
      </c>
      <c r="AP652" s="17">
        <f t="shared" si="415"/>
        <v>2000</v>
      </c>
      <c r="AQ652" s="18">
        <v>0</v>
      </c>
      <c r="AR652" s="18">
        <v>0</v>
      </c>
      <c r="AS652" s="18">
        <v>0</v>
      </c>
      <c r="AT652" s="18">
        <v>0</v>
      </c>
      <c r="AU652" s="18">
        <v>0</v>
      </c>
      <c r="AV652" s="18">
        <v>0</v>
      </c>
      <c r="AW652" s="18">
        <v>0</v>
      </c>
      <c r="AX652" s="18">
        <v>0</v>
      </c>
      <c r="AY652" s="18">
        <v>0</v>
      </c>
      <c r="AZ652" s="18">
        <v>0</v>
      </c>
      <c r="BA652" s="18">
        <v>0</v>
      </c>
      <c r="BB652" s="18">
        <v>0</v>
      </c>
      <c r="BC652" s="23">
        <v>8.9181565948742242E-2</v>
      </c>
      <c r="BD652" s="23">
        <v>0.10665277883445198</v>
      </c>
      <c r="BE652" s="23">
        <v>9.438849084854764E-2</v>
      </c>
      <c r="BF652" s="23">
        <v>7.149564986855049E-2</v>
      </c>
      <c r="BG652" s="23">
        <v>0.10368571810536763</v>
      </c>
      <c r="BH652" s="23">
        <v>8.4970330952544637E-2</v>
      </c>
      <c r="BI652" s="23">
        <v>8.4593878877262704E-2</v>
      </c>
      <c r="BJ652" s="23">
        <v>5.7447105462779965E-2</v>
      </c>
      <c r="BK652" s="23">
        <v>8.5153852345557474E-2</v>
      </c>
      <c r="BL652" s="23">
        <v>7.4158058913035174E-2</v>
      </c>
      <c r="BM652" s="23">
        <v>7.5718189192107169E-2</v>
      </c>
      <c r="BN652" s="23">
        <v>7.3955559365675619E-2</v>
      </c>
    </row>
    <row r="653" spans="1:66" x14ac:dyDescent="0.25">
      <c r="A653" s="16">
        <v>4282</v>
      </c>
      <c r="B653" s="16" t="s">
        <v>847</v>
      </c>
      <c r="C653" s="17">
        <v>0</v>
      </c>
      <c r="D653" s="17">
        <f t="shared" si="379"/>
        <v>0</v>
      </c>
      <c r="E653" s="17">
        <f t="shared" si="380"/>
        <v>0</v>
      </c>
      <c r="F653" s="17">
        <f t="shared" si="381"/>
        <v>0</v>
      </c>
      <c r="G653" s="17">
        <f t="shared" si="382"/>
        <v>0</v>
      </c>
      <c r="H653" s="17">
        <f t="shared" si="383"/>
        <v>0</v>
      </c>
      <c r="I653" s="17">
        <f t="shared" si="384"/>
        <v>0</v>
      </c>
      <c r="J653" s="17">
        <f t="shared" si="385"/>
        <v>0</v>
      </c>
      <c r="K653" s="17">
        <f t="shared" si="386"/>
        <v>0</v>
      </c>
      <c r="L653" s="17">
        <f t="shared" si="387"/>
        <v>0</v>
      </c>
      <c r="M653" s="17">
        <f t="shared" si="388"/>
        <v>0</v>
      </c>
      <c r="N653" s="17">
        <f t="shared" si="389"/>
        <v>0</v>
      </c>
      <c r="O653" s="17">
        <f t="shared" si="390"/>
        <v>0</v>
      </c>
      <c r="P653" s="17">
        <v>4500</v>
      </c>
      <c r="Q653" s="17">
        <f t="shared" si="391"/>
        <v>401.3170467693401</v>
      </c>
      <c r="R653" s="17">
        <f t="shared" si="392"/>
        <v>479.9375047550339</v>
      </c>
      <c r="S653" s="17">
        <f t="shared" si="393"/>
        <v>424.74820881846438</v>
      </c>
      <c r="T653" s="17">
        <f t="shared" si="394"/>
        <v>321.73042440847718</v>
      </c>
      <c r="U653" s="17">
        <f t="shared" si="395"/>
        <v>466.58573147415433</v>
      </c>
      <c r="V653" s="17">
        <f t="shared" si="396"/>
        <v>382.36648928645087</v>
      </c>
      <c r="W653" s="17">
        <f t="shared" si="397"/>
        <v>380.67245494768218</v>
      </c>
      <c r="X653" s="17">
        <f t="shared" si="398"/>
        <v>258.51197458250982</v>
      </c>
      <c r="Y653" s="17">
        <f t="shared" si="399"/>
        <v>383.19233555500864</v>
      </c>
      <c r="Z653" s="17">
        <f t="shared" si="400"/>
        <v>333.71126510865827</v>
      </c>
      <c r="AA653" s="17">
        <f t="shared" si="401"/>
        <v>340.73185136448228</v>
      </c>
      <c r="AB653" s="17">
        <f t="shared" si="402"/>
        <v>332.80001714554027</v>
      </c>
      <c r="AC653" s="17">
        <v>0</v>
      </c>
      <c r="AD653" s="17">
        <f t="shared" si="403"/>
        <v>0</v>
      </c>
      <c r="AE653" s="17">
        <f t="shared" si="404"/>
        <v>0</v>
      </c>
      <c r="AF653" s="17">
        <f t="shared" si="405"/>
        <v>0</v>
      </c>
      <c r="AG653" s="17">
        <f t="shared" si="406"/>
        <v>0</v>
      </c>
      <c r="AH653" s="17">
        <f t="shared" si="407"/>
        <v>0</v>
      </c>
      <c r="AI653" s="17">
        <f t="shared" si="408"/>
        <v>0</v>
      </c>
      <c r="AJ653" s="17">
        <f t="shared" si="409"/>
        <v>0</v>
      </c>
      <c r="AK653" s="17">
        <f t="shared" si="410"/>
        <v>0</v>
      </c>
      <c r="AL653" s="17">
        <f t="shared" si="411"/>
        <v>0</v>
      </c>
      <c r="AM653" s="17">
        <f t="shared" si="412"/>
        <v>0</v>
      </c>
      <c r="AN653" s="17">
        <f t="shared" si="413"/>
        <v>0</v>
      </c>
      <c r="AO653" s="17">
        <f t="shared" si="414"/>
        <v>0</v>
      </c>
      <c r="AP653" s="17">
        <f t="shared" si="415"/>
        <v>4500</v>
      </c>
      <c r="AQ653" s="18">
        <v>169.80571473687294</v>
      </c>
      <c r="AR653" s="18">
        <v>203.07169027584416</v>
      </c>
      <c r="AS653" s="18">
        <v>179.71993405772292</v>
      </c>
      <c r="AT653" s="18">
        <v>136.13093465396423</v>
      </c>
      <c r="AU653" s="18">
        <v>197.42227312993472</v>
      </c>
      <c r="AV653" s="18">
        <v>161.78733379853787</v>
      </c>
      <c r="AW653" s="18">
        <v>161.07055210685769</v>
      </c>
      <c r="AX653" s="18">
        <v>109.3818739208789</v>
      </c>
      <c r="AY653" s="18">
        <v>162.13676678929701</v>
      </c>
      <c r="AZ653" s="18">
        <v>141.20028128307007</v>
      </c>
      <c r="BA653" s="18">
        <v>144.17083954028573</v>
      </c>
      <c r="BB653" s="18">
        <v>140.81471303241784</v>
      </c>
      <c r="BC653" s="23">
        <v>8.9181565948742242E-2</v>
      </c>
      <c r="BD653" s="23">
        <v>0.10665277883445198</v>
      </c>
      <c r="BE653" s="23">
        <v>9.438849084854764E-2</v>
      </c>
      <c r="BF653" s="23">
        <v>7.149564986855049E-2</v>
      </c>
      <c r="BG653" s="23">
        <v>0.10368571810536763</v>
      </c>
      <c r="BH653" s="23">
        <v>8.4970330952544637E-2</v>
      </c>
      <c r="BI653" s="23">
        <v>8.4593878877262704E-2</v>
      </c>
      <c r="BJ653" s="23">
        <v>5.7447105462779965E-2</v>
      </c>
      <c r="BK653" s="23">
        <v>8.5153852345557474E-2</v>
      </c>
      <c r="BL653" s="23">
        <v>7.4158058913035174E-2</v>
      </c>
      <c r="BM653" s="23">
        <v>7.5718189192107169E-2</v>
      </c>
      <c r="BN653" s="23">
        <v>7.3955559365675619E-2</v>
      </c>
    </row>
    <row r="654" spans="1:66" x14ac:dyDescent="0.25">
      <c r="A654" s="16">
        <v>4284</v>
      </c>
      <c r="B654" s="16" t="s">
        <v>848</v>
      </c>
      <c r="C654" s="17">
        <v>0</v>
      </c>
      <c r="D654" s="17">
        <f t="shared" si="379"/>
        <v>0</v>
      </c>
      <c r="E654" s="17">
        <f t="shared" si="380"/>
        <v>0</v>
      </c>
      <c r="F654" s="17">
        <f t="shared" si="381"/>
        <v>0</v>
      </c>
      <c r="G654" s="17">
        <f t="shared" si="382"/>
        <v>0</v>
      </c>
      <c r="H654" s="17">
        <f t="shared" si="383"/>
        <v>0</v>
      </c>
      <c r="I654" s="17">
        <f t="shared" si="384"/>
        <v>0</v>
      </c>
      <c r="J654" s="17">
        <f t="shared" si="385"/>
        <v>0</v>
      </c>
      <c r="K654" s="17">
        <f t="shared" si="386"/>
        <v>0</v>
      </c>
      <c r="L654" s="17">
        <f t="shared" si="387"/>
        <v>0</v>
      </c>
      <c r="M654" s="17">
        <f t="shared" si="388"/>
        <v>0</v>
      </c>
      <c r="N654" s="17">
        <f t="shared" si="389"/>
        <v>0</v>
      </c>
      <c r="O654" s="17">
        <f t="shared" si="390"/>
        <v>0</v>
      </c>
      <c r="P654" s="17">
        <v>0</v>
      </c>
      <c r="Q654" s="17">
        <f t="shared" si="391"/>
        <v>0</v>
      </c>
      <c r="R654" s="17">
        <f t="shared" si="392"/>
        <v>0</v>
      </c>
      <c r="S654" s="17">
        <f t="shared" si="393"/>
        <v>0</v>
      </c>
      <c r="T654" s="17">
        <f t="shared" si="394"/>
        <v>0</v>
      </c>
      <c r="U654" s="17">
        <f t="shared" si="395"/>
        <v>0</v>
      </c>
      <c r="V654" s="17">
        <f t="shared" si="396"/>
        <v>0</v>
      </c>
      <c r="W654" s="17">
        <f t="shared" si="397"/>
        <v>0</v>
      </c>
      <c r="X654" s="17">
        <f t="shared" si="398"/>
        <v>0</v>
      </c>
      <c r="Y654" s="17">
        <f t="shared" si="399"/>
        <v>0</v>
      </c>
      <c r="Z654" s="17">
        <f t="shared" si="400"/>
        <v>0</v>
      </c>
      <c r="AA654" s="17">
        <f t="shared" si="401"/>
        <v>0</v>
      </c>
      <c r="AB654" s="17">
        <f t="shared" si="402"/>
        <v>0</v>
      </c>
      <c r="AC654" s="17">
        <v>0</v>
      </c>
      <c r="AD654" s="17">
        <f t="shared" si="403"/>
        <v>0</v>
      </c>
      <c r="AE654" s="17">
        <f t="shared" si="404"/>
        <v>0</v>
      </c>
      <c r="AF654" s="17">
        <f t="shared" si="405"/>
        <v>0</v>
      </c>
      <c r="AG654" s="17">
        <f t="shared" si="406"/>
        <v>0</v>
      </c>
      <c r="AH654" s="17">
        <f t="shared" si="407"/>
        <v>0</v>
      </c>
      <c r="AI654" s="17">
        <f t="shared" si="408"/>
        <v>0</v>
      </c>
      <c r="AJ654" s="17">
        <f t="shared" si="409"/>
        <v>0</v>
      </c>
      <c r="AK654" s="17">
        <f t="shared" si="410"/>
        <v>0</v>
      </c>
      <c r="AL654" s="17">
        <f t="shared" si="411"/>
        <v>0</v>
      </c>
      <c r="AM654" s="17">
        <f t="shared" si="412"/>
        <v>0</v>
      </c>
      <c r="AN654" s="17">
        <f t="shared" si="413"/>
        <v>0</v>
      </c>
      <c r="AO654" s="17">
        <f t="shared" si="414"/>
        <v>0</v>
      </c>
      <c r="AP654" s="17">
        <f t="shared" si="415"/>
        <v>0</v>
      </c>
      <c r="AQ654" s="18">
        <v>124.27567150992964</v>
      </c>
      <c r="AR654" s="18">
        <v>148.62203379193369</v>
      </c>
      <c r="AS654" s="18">
        <v>131.53158904783217</v>
      </c>
      <c r="AT654" s="18">
        <v>99.630117535273399</v>
      </c>
      <c r="AU654" s="18">
        <v>144.48739609416515</v>
      </c>
      <c r="AV654" s="18">
        <v>118.40726079667333</v>
      </c>
      <c r="AW654" s="18">
        <v>117.88266993589097</v>
      </c>
      <c r="AX654" s="18">
        <v>80.053288274754891</v>
      </c>
      <c r="AY654" s="18">
        <v>118.66300024361483</v>
      </c>
      <c r="AZ654" s="18">
        <v>103.34021915008037</v>
      </c>
      <c r="BA654" s="18">
        <v>105.51428097566082</v>
      </c>
      <c r="BB654" s="18">
        <v>103.05803339834073</v>
      </c>
      <c r="BC654" s="23">
        <v>8.9181565948742242E-2</v>
      </c>
      <c r="BD654" s="23">
        <v>0.10665277883445198</v>
      </c>
      <c r="BE654" s="23">
        <v>9.438849084854764E-2</v>
      </c>
      <c r="BF654" s="23">
        <v>7.149564986855049E-2</v>
      </c>
      <c r="BG654" s="23">
        <v>0.10368571810536763</v>
      </c>
      <c r="BH654" s="23">
        <v>8.4970330952544637E-2</v>
      </c>
      <c r="BI654" s="23">
        <v>8.4593878877262704E-2</v>
      </c>
      <c r="BJ654" s="23">
        <v>5.7447105462779965E-2</v>
      </c>
      <c r="BK654" s="23">
        <v>8.5153852345557474E-2</v>
      </c>
      <c r="BL654" s="23">
        <v>7.4158058913035174E-2</v>
      </c>
      <c r="BM654" s="23">
        <v>7.5718189192107169E-2</v>
      </c>
      <c r="BN654" s="23">
        <v>7.3955559365675619E-2</v>
      </c>
    </row>
    <row r="655" spans="1:66" x14ac:dyDescent="0.25">
      <c r="A655" s="16">
        <v>4287</v>
      </c>
      <c r="B655" s="16" t="s">
        <v>849</v>
      </c>
      <c r="C655" s="17">
        <v>0</v>
      </c>
      <c r="D655" s="17">
        <f t="shared" si="379"/>
        <v>0</v>
      </c>
      <c r="E655" s="17">
        <f t="shared" si="380"/>
        <v>0</v>
      </c>
      <c r="F655" s="17">
        <f t="shared" si="381"/>
        <v>0</v>
      </c>
      <c r="G655" s="17">
        <f t="shared" si="382"/>
        <v>0</v>
      </c>
      <c r="H655" s="17">
        <f t="shared" si="383"/>
        <v>0</v>
      </c>
      <c r="I655" s="17">
        <f t="shared" si="384"/>
        <v>0</v>
      </c>
      <c r="J655" s="17">
        <f t="shared" si="385"/>
        <v>0</v>
      </c>
      <c r="K655" s="17">
        <f t="shared" si="386"/>
        <v>0</v>
      </c>
      <c r="L655" s="17">
        <f t="shared" si="387"/>
        <v>0</v>
      </c>
      <c r="M655" s="17">
        <f t="shared" si="388"/>
        <v>0</v>
      </c>
      <c r="N655" s="17">
        <f t="shared" si="389"/>
        <v>0</v>
      </c>
      <c r="O655" s="17">
        <f t="shared" si="390"/>
        <v>0</v>
      </c>
      <c r="P655" s="17">
        <v>0</v>
      </c>
      <c r="Q655" s="17">
        <f t="shared" si="391"/>
        <v>0</v>
      </c>
      <c r="R655" s="17">
        <f t="shared" si="392"/>
        <v>0</v>
      </c>
      <c r="S655" s="17">
        <f t="shared" si="393"/>
        <v>0</v>
      </c>
      <c r="T655" s="17">
        <f t="shared" si="394"/>
        <v>0</v>
      </c>
      <c r="U655" s="17">
        <f t="shared" si="395"/>
        <v>0</v>
      </c>
      <c r="V655" s="17">
        <f t="shared" si="396"/>
        <v>0</v>
      </c>
      <c r="W655" s="17">
        <f t="shared" si="397"/>
        <v>0</v>
      </c>
      <c r="X655" s="17">
        <f t="shared" si="398"/>
        <v>0</v>
      </c>
      <c r="Y655" s="17">
        <f t="shared" si="399"/>
        <v>0</v>
      </c>
      <c r="Z655" s="17">
        <f t="shared" si="400"/>
        <v>0</v>
      </c>
      <c r="AA655" s="17">
        <f t="shared" si="401"/>
        <v>0</v>
      </c>
      <c r="AB655" s="17">
        <f t="shared" si="402"/>
        <v>0</v>
      </c>
      <c r="AC655" s="17">
        <v>0</v>
      </c>
      <c r="AD655" s="17">
        <f t="shared" si="403"/>
        <v>0</v>
      </c>
      <c r="AE655" s="17">
        <f t="shared" si="404"/>
        <v>0</v>
      </c>
      <c r="AF655" s="17">
        <f t="shared" si="405"/>
        <v>0</v>
      </c>
      <c r="AG655" s="17">
        <f t="shared" si="406"/>
        <v>0</v>
      </c>
      <c r="AH655" s="17">
        <f t="shared" si="407"/>
        <v>0</v>
      </c>
      <c r="AI655" s="17">
        <f t="shared" si="408"/>
        <v>0</v>
      </c>
      <c r="AJ655" s="17">
        <f t="shared" si="409"/>
        <v>0</v>
      </c>
      <c r="AK655" s="17">
        <f t="shared" si="410"/>
        <v>0</v>
      </c>
      <c r="AL655" s="17">
        <f t="shared" si="411"/>
        <v>0</v>
      </c>
      <c r="AM655" s="17">
        <f t="shared" si="412"/>
        <v>0</v>
      </c>
      <c r="AN655" s="17">
        <f t="shared" si="413"/>
        <v>0</v>
      </c>
      <c r="AO655" s="17">
        <f t="shared" si="414"/>
        <v>0</v>
      </c>
      <c r="AP655" s="17">
        <f t="shared" si="415"/>
        <v>0</v>
      </c>
      <c r="AQ655" s="18">
        <v>0</v>
      </c>
      <c r="AR655" s="18">
        <v>0</v>
      </c>
      <c r="AS655" s="18">
        <v>0</v>
      </c>
      <c r="AT655" s="18">
        <v>0</v>
      </c>
      <c r="AU655" s="18">
        <v>0</v>
      </c>
      <c r="AV655" s="18">
        <v>0</v>
      </c>
      <c r="AW655" s="18">
        <v>0</v>
      </c>
      <c r="AX655" s="18">
        <v>0</v>
      </c>
      <c r="AY655" s="18">
        <v>0</v>
      </c>
      <c r="AZ655" s="18">
        <v>0</v>
      </c>
      <c r="BA655" s="18">
        <v>0</v>
      </c>
      <c r="BB655" s="18">
        <v>0</v>
      </c>
      <c r="BC655" s="23">
        <v>8.9181565948742242E-2</v>
      </c>
      <c r="BD655" s="23">
        <v>0.10665277883445198</v>
      </c>
      <c r="BE655" s="23">
        <v>9.438849084854764E-2</v>
      </c>
      <c r="BF655" s="23">
        <v>7.149564986855049E-2</v>
      </c>
      <c r="BG655" s="23">
        <v>0.10368571810536763</v>
      </c>
      <c r="BH655" s="23">
        <v>8.4970330952544637E-2</v>
      </c>
      <c r="BI655" s="23">
        <v>8.4593878877262704E-2</v>
      </c>
      <c r="BJ655" s="23">
        <v>5.7447105462779965E-2</v>
      </c>
      <c r="BK655" s="23">
        <v>8.5153852345557474E-2</v>
      </c>
      <c r="BL655" s="23">
        <v>7.4158058913035174E-2</v>
      </c>
      <c r="BM655" s="23">
        <v>7.5718189192107169E-2</v>
      </c>
      <c r="BN655" s="23">
        <v>7.3955559365675619E-2</v>
      </c>
    </row>
    <row r="656" spans="1:66" x14ac:dyDescent="0.25">
      <c r="A656" s="16">
        <v>4303</v>
      </c>
      <c r="B656" s="16" t="s">
        <v>850</v>
      </c>
      <c r="C656" s="17">
        <v>0</v>
      </c>
      <c r="D656" s="17">
        <f t="shared" si="379"/>
        <v>0</v>
      </c>
      <c r="E656" s="17">
        <f t="shared" si="380"/>
        <v>0</v>
      </c>
      <c r="F656" s="17">
        <f t="shared" si="381"/>
        <v>0</v>
      </c>
      <c r="G656" s="17">
        <f t="shared" si="382"/>
        <v>0</v>
      </c>
      <c r="H656" s="17">
        <f t="shared" si="383"/>
        <v>0</v>
      </c>
      <c r="I656" s="17">
        <f t="shared" si="384"/>
        <v>0</v>
      </c>
      <c r="J656" s="17">
        <f t="shared" si="385"/>
        <v>0</v>
      </c>
      <c r="K656" s="17">
        <f t="shared" si="386"/>
        <v>0</v>
      </c>
      <c r="L656" s="17">
        <f t="shared" si="387"/>
        <v>0</v>
      </c>
      <c r="M656" s="17">
        <f t="shared" si="388"/>
        <v>0</v>
      </c>
      <c r="N656" s="17">
        <f t="shared" si="389"/>
        <v>0</v>
      </c>
      <c r="O656" s="17">
        <f t="shared" si="390"/>
        <v>0</v>
      </c>
      <c r="P656" s="17">
        <v>0</v>
      </c>
      <c r="Q656" s="17">
        <f t="shared" si="391"/>
        <v>0</v>
      </c>
      <c r="R656" s="17">
        <f t="shared" si="392"/>
        <v>0</v>
      </c>
      <c r="S656" s="17">
        <f t="shared" si="393"/>
        <v>0</v>
      </c>
      <c r="T656" s="17">
        <f t="shared" si="394"/>
        <v>0</v>
      </c>
      <c r="U656" s="17">
        <f t="shared" si="395"/>
        <v>0</v>
      </c>
      <c r="V656" s="17">
        <f t="shared" si="396"/>
        <v>0</v>
      </c>
      <c r="W656" s="17">
        <f t="shared" si="397"/>
        <v>0</v>
      </c>
      <c r="X656" s="17">
        <f t="shared" si="398"/>
        <v>0</v>
      </c>
      <c r="Y656" s="17">
        <f t="shared" si="399"/>
        <v>0</v>
      </c>
      <c r="Z656" s="17">
        <f t="shared" si="400"/>
        <v>0</v>
      </c>
      <c r="AA656" s="17">
        <f t="shared" si="401"/>
        <v>0</v>
      </c>
      <c r="AB656" s="17">
        <f t="shared" si="402"/>
        <v>0</v>
      </c>
      <c r="AC656" s="17">
        <v>0</v>
      </c>
      <c r="AD656" s="17">
        <f t="shared" si="403"/>
        <v>0</v>
      </c>
      <c r="AE656" s="17">
        <f t="shared" si="404"/>
        <v>0</v>
      </c>
      <c r="AF656" s="17">
        <f t="shared" si="405"/>
        <v>0</v>
      </c>
      <c r="AG656" s="17">
        <f t="shared" si="406"/>
        <v>0</v>
      </c>
      <c r="AH656" s="17">
        <f t="shared" si="407"/>
        <v>0</v>
      </c>
      <c r="AI656" s="17">
        <f t="shared" si="408"/>
        <v>0</v>
      </c>
      <c r="AJ656" s="17">
        <f t="shared" si="409"/>
        <v>0</v>
      </c>
      <c r="AK656" s="17">
        <f t="shared" si="410"/>
        <v>0</v>
      </c>
      <c r="AL656" s="17">
        <f t="shared" si="411"/>
        <v>0</v>
      </c>
      <c r="AM656" s="17">
        <f t="shared" si="412"/>
        <v>0</v>
      </c>
      <c r="AN656" s="17">
        <f t="shared" si="413"/>
        <v>0</v>
      </c>
      <c r="AO656" s="17">
        <f t="shared" si="414"/>
        <v>0</v>
      </c>
      <c r="AP656" s="17">
        <f t="shared" si="415"/>
        <v>0</v>
      </c>
      <c r="AQ656" s="18">
        <v>0</v>
      </c>
      <c r="AR656" s="18">
        <v>0</v>
      </c>
      <c r="AS656" s="18">
        <v>0</v>
      </c>
      <c r="AT656" s="18">
        <v>0</v>
      </c>
      <c r="AU656" s="18">
        <v>0</v>
      </c>
      <c r="AV656" s="18">
        <v>0</v>
      </c>
      <c r="AW656" s="18">
        <v>0</v>
      </c>
      <c r="AX656" s="18">
        <v>0</v>
      </c>
      <c r="AY656" s="18">
        <v>0</v>
      </c>
      <c r="AZ656" s="18">
        <v>0</v>
      </c>
      <c r="BA656" s="18">
        <v>0</v>
      </c>
      <c r="BB656" s="18">
        <v>0</v>
      </c>
      <c r="BC656" s="23">
        <v>8.9181565948742242E-2</v>
      </c>
      <c r="BD656" s="23">
        <v>0.10665277883445198</v>
      </c>
      <c r="BE656" s="23">
        <v>9.438849084854764E-2</v>
      </c>
      <c r="BF656" s="23">
        <v>7.149564986855049E-2</v>
      </c>
      <c r="BG656" s="23">
        <v>0.10368571810536763</v>
      </c>
      <c r="BH656" s="23">
        <v>8.4970330952544637E-2</v>
      </c>
      <c r="BI656" s="23">
        <v>8.4593878877262704E-2</v>
      </c>
      <c r="BJ656" s="23">
        <v>5.7447105462779965E-2</v>
      </c>
      <c r="BK656" s="23">
        <v>8.5153852345557474E-2</v>
      </c>
      <c r="BL656" s="23">
        <v>7.4158058913035174E-2</v>
      </c>
      <c r="BM656" s="23">
        <v>7.5718189192107169E-2</v>
      </c>
      <c r="BN656" s="23">
        <v>7.3955559365675619E-2</v>
      </c>
    </row>
    <row r="657" spans="1:66" x14ac:dyDescent="0.25">
      <c r="A657" s="16">
        <v>4323</v>
      </c>
      <c r="B657" s="16" t="s">
        <v>851</v>
      </c>
      <c r="C657" s="17">
        <v>0</v>
      </c>
      <c r="D657" s="17">
        <f t="shared" si="379"/>
        <v>0</v>
      </c>
      <c r="E657" s="17">
        <f t="shared" si="380"/>
        <v>0</v>
      </c>
      <c r="F657" s="17">
        <f t="shared" si="381"/>
        <v>0</v>
      </c>
      <c r="G657" s="17">
        <f t="shared" si="382"/>
        <v>0</v>
      </c>
      <c r="H657" s="17">
        <f t="shared" si="383"/>
        <v>0</v>
      </c>
      <c r="I657" s="17">
        <f t="shared" si="384"/>
        <v>0</v>
      </c>
      <c r="J657" s="17">
        <f t="shared" si="385"/>
        <v>0</v>
      </c>
      <c r="K657" s="17">
        <f t="shared" si="386"/>
        <v>0</v>
      </c>
      <c r="L657" s="17">
        <f t="shared" si="387"/>
        <v>0</v>
      </c>
      <c r="M657" s="17">
        <f t="shared" si="388"/>
        <v>0</v>
      </c>
      <c r="N657" s="17">
        <f t="shared" si="389"/>
        <v>0</v>
      </c>
      <c r="O657" s="17">
        <f t="shared" si="390"/>
        <v>0</v>
      </c>
      <c r="P657" s="17">
        <v>0</v>
      </c>
      <c r="Q657" s="17">
        <f t="shared" si="391"/>
        <v>0</v>
      </c>
      <c r="R657" s="17">
        <f t="shared" si="392"/>
        <v>0</v>
      </c>
      <c r="S657" s="17">
        <f t="shared" si="393"/>
        <v>0</v>
      </c>
      <c r="T657" s="17">
        <f t="shared" si="394"/>
        <v>0</v>
      </c>
      <c r="U657" s="17">
        <f t="shared" si="395"/>
        <v>0</v>
      </c>
      <c r="V657" s="17">
        <f t="shared" si="396"/>
        <v>0</v>
      </c>
      <c r="W657" s="17">
        <f t="shared" si="397"/>
        <v>0</v>
      </c>
      <c r="X657" s="17">
        <f t="shared" si="398"/>
        <v>0</v>
      </c>
      <c r="Y657" s="17">
        <f t="shared" si="399"/>
        <v>0</v>
      </c>
      <c r="Z657" s="17">
        <f t="shared" si="400"/>
        <v>0</v>
      </c>
      <c r="AA657" s="17">
        <f t="shared" si="401"/>
        <v>0</v>
      </c>
      <c r="AB657" s="17">
        <f t="shared" si="402"/>
        <v>0</v>
      </c>
      <c r="AC657" s="17">
        <v>0</v>
      </c>
      <c r="AD657" s="17">
        <f t="shared" si="403"/>
        <v>0</v>
      </c>
      <c r="AE657" s="17">
        <f t="shared" si="404"/>
        <v>0</v>
      </c>
      <c r="AF657" s="17">
        <f t="shared" si="405"/>
        <v>0</v>
      </c>
      <c r="AG657" s="17">
        <f t="shared" si="406"/>
        <v>0</v>
      </c>
      <c r="AH657" s="17">
        <f t="shared" si="407"/>
        <v>0</v>
      </c>
      <c r="AI657" s="17">
        <f t="shared" si="408"/>
        <v>0</v>
      </c>
      <c r="AJ657" s="17">
        <f t="shared" si="409"/>
        <v>0</v>
      </c>
      <c r="AK657" s="17">
        <f t="shared" si="410"/>
        <v>0</v>
      </c>
      <c r="AL657" s="17">
        <f t="shared" si="411"/>
        <v>0</v>
      </c>
      <c r="AM657" s="17">
        <f t="shared" si="412"/>
        <v>0</v>
      </c>
      <c r="AN657" s="17">
        <f t="shared" si="413"/>
        <v>0</v>
      </c>
      <c r="AO657" s="17">
        <f t="shared" si="414"/>
        <v>0</v>
      </c>
      <c r="AP657" s="17">
        <f t="shared" si="415"/>
        <v>0</v>
      </c>
      <c r="AQ657" s="18">
        <v>0</v>
      </c>
      <c r="AR657" s="18">
        <v>0</v>
      </c>
      <c r="AS657" s="18">
        <v>0</v>
      </c>
      <c r="AT657" s="18">
        <v>0</v>
      </c>
      <c r="AU657" s="18">
        <v>0</v>
      </c>
      <c r="AV657" s="18">
        <v>0</v>
      </c>
      <c r="AW657" s="18">
        <v>0</v>
      </c>
      <c r="AX657" s="18">
        <v>0</v>
      </c>
      <c r="AY657" s="18">
        <v>0</v>
      </c>
      <c r="AZ657" s="18">
        <v>0</v>
      </c>
      <c r="BA657" s="18">
        <v>0</v>
      </c>
      <c r="BB657" s="18">
        <v>0</v>
      </c>
      <c r="BC657" s="23">
        <v>8.9181565948742242E-2</v>
      </c>
      <c r="BD657" s="23">
        <v>0.10665277883445198</v>
      </c>
      <c r="BE657" s="23">
        <v>9.438849084854764E-2</v>
      </c>
      <c r="BF657" s="23">
        <v>7.149564986855049E-2</v>
      </c>
      <c r="BG657" s="23">
        <v>0.10368571810536763</v>
      </c>
      <c r="BH657" s="23">
        <v>8.4970330952544637E-2</v>
      </c>
      <c r="BI657" s="23">
        <v>8.4593878877262704E-2</v>
      </c>
      <c r="BJ657" s="23">
        <v>5.7447105462779965E-2</v>
      </c>
      <c r="BK657" s="23">
        <v>8.5153852345557474E-2</v>
      </c>
      <c r="BL657" s="23">
        <v>7.4158058913035174E-2</v>
      </c>
      <c r="BM657" s="23">
        <v>7.5718189192107169E-2</v>
      </c>
      <c r="BN657" s="23">
        <v>7.3955559365675619E-2</v>
      </c>
    </row>
    <row r="658" spans="1:66" x14ac:dyDescent="0.25">
      <c r="A658" s="16">
        <v>4324</v>
      </c>
      <c r="B658" s="16" t="s">
        <v>852</v>
      </c>
      <c r="C658" s="17">
        <v>0</v>
      </c>
      <c r="D658" s="17">
        <f t="shared" si="379"/>
        <v>0</v>
      </c>
      <c r="E658" s="17">
        <f t="shared" si="380"/>
        <v>0</v>
      </c>
      <c r="F658" s="17">
        <f t="shared" si="381"/>
        <v>0</v>
      </c>
      <c r="G658" s="17">
        <f t="shared" si="382"/>
        <v>0</v>
      </c>
      <c r="H658" s="17">
        <f t="shared" si="383"/>
        <v>0</v>
      </c>
      <c r="I658" s="17">
        <f t="shared" si="384"/>
        <v>0</v>
      </c>
      <c r="J658" s="17">
        <f t="shared" si="385"/>
        <v>0</v>
      </c>
      <c r="K658" s="17">
        <f t="shared" si="386"/>
        <v>0</v>
      </c>
      <c r="L658" s="17">
        <f t="shared" si="387"/>
        <v>0</v>
      </c>
      <c r="M658" s="17">
        <f t="shared" si="388"/>
        <v>0</v>
      </c>
      <c r="N658" s="17">
        <f t="shared" si="389"/>
        <v>0</v>
      </c>
      <c r="O658" s="17">
        <f t="shared" si="390"/>
        <v>0</v>
      </c>
      <c r="P658" s="17">
        <v>0</v>
      </c>
      <c r="Q658" s="17">
        <f t="shared" si="391"/>
        <v>0</v>
      </c>
      <c r="R658" s="17">
        <f t="shared" si="392"/>
        <v>0</v>
      </c>
      <c r="S658" s="17">
        <f t="shared" si="393"/>
        <v>0</v>
      </c>
      <c r="T658" s="17">
        <f t="shared" si="394"/>
        <v>0</v>
      </c>
      <c r="U658" s="17">
        <f t="shared" si="395"/>
        <v>0</v>
      </c>
      <c r="V658" s="17">
        <f t="shared" si="396"/>
        <v>0</v>
      </c>
      <c r="W658" s="17">
        <f t="shared" si="397"/>
        <v>0</v>
      </c>
      <c r="X658" s="17">
        <f t="shared" si="398"/>
        <v>0</v>
      </c>
      <c r="Y658" s="17">
        <f t="shared" si="399"/>
        <v>0</v>
      </c>
      <c r="Z658" s="17">
        <f t="shared" si="400"/>
        <v>0</v>
      </c>
      <c r="AA658" s="17">
        <f t="shared" si="401"/>
        <v>0</v>
      </c>
      <c r="AB658" s="17">
        <f t="shared" si="402"/>
        <v>0</v>
      </c>
      <c r="AC658" s="17">
        <v>0</v>
      </c>
      <c r="AD658" s="17">
        <f t="shared" si="403"/>
        <v>0</v>
      </c>
      <c r="AE658" s="17">
        <f t="shared" si="404"/>
        <v>0</v>
      </c>
      <c r="AF658" s="17">
        <f t="shared" si="405"/>
        <v>0</v>
      </c>
      <c r="AG658" s="17">
        <f t="shared" si="406"/>
        <v>0</v>
      </c>
      <c r="AH658" s="17">
        <f t="shared" si="407"/>
        <v>0</v>
      </c>
      <c r="AI658" s="17">
        <f t="shared" si="408"/>
        <v>0</v>
      </c>
      <c r="AJ658" s="17">
        <f t="shared" si="409"/>
        <v>0</v>
      </c>
      <c r="AK658" s="17">
        <f t="shared" si="410"/>
        <v>0</v>
      </c>
      <c r="AL658" s="17">
        <f t="shared" si="411"/>
        <v>0</v>
      </c>
      <c r="AM658" s="17">
        <f t="shared" si="412"/>
        <v>0</v>
      </c>
      <c r="AN658" s="17">
        <f t="shared" si="413"/>
        <v>0</v>
      </c>
      <c r="AO658" s="17">
        <f t="shared" si="414"/>
        <v>0</v>
      </c>
      <c r="AP658" s="17">
        <f t="shared" si="415"/>
        <v>0</v>
      </c>
      <c r="AQ658" s="18">
        <v>64.353417988612406</v>
      </c>
      <c r="AR658" s="18">
        <v>76.960645206940555</v>
      </c>
      <c r="AS658" s="18">
        <v>68.110734996311976</v>
      </c>
      <c r="AT658" s="18">
        <v>51.591260945146033</v>
      </c>
      <c r="AU658" s="18">
        <v>74.819614184833284</v>
      </c>
      <c r="AV658" s="18">
        <v>61.314590815356212</v>
      </c>
      <c r="AW658" s="18">
        <v>61.042942997832768</v>
      </c>
      <c r="AX658" s="18">
        <v>41.453831301942024</v>
      </c>
      <c r="AY658" s="18">
        <v>61.447019852554277</v>
      </c>
      <c r="AZ658" s="18">
        <v>53.512455311646185</v>
      </c>
      <c r="BA658" s="18">
        <v>54.638245321024534</v>
      </c>
      <c r="BB658" s="18">
        <v>53.366331638271525</v>
      </c>
      <c r="BC658" s="23">
        <v>8.9181565948742242E-2</v>
      </c>
      <c r="BD658" s="23">
        <v>0.10665277883445198</v>
      </c>
      <c r="BE658" s="23">
        <v>9.438849084854764E-2</v>
      </c>
      <c r="BF658" s="23">
        <v>7.149564986855049E-2</v>
      </c>
      <c r="BG658" s="23">
        <v>0.10368571810536763</v>
      </c>
      <c r="BH658" s="23">
        <v>8.4970330952544637E-2</v>
      </c>
      <c r="BI658" s="23">
        <v>8.4593878877262704E-2</v>
      </c>
      <c r="BJ658" s="23">
        <v>5.7447105462779965E-2</v>
      </c>
      <c r="BK658" s="23">
        <v>8.5153852345557474E-2</v>
      </c>
      <c r="BL658" s="23">
        <v>7.4158058913035174E-2</v>
      </c>
      <c r="BM658" s="23">
        <v>7.5718189192107169E-2</v>
      </c>
      <c r="BN658" s="23">
        <v>7.3955559365675619E-2</v>
      </c>
    </row>
    <row r="659" spans="1:66" x14ac:dyDescent="0.25">
      <c r="A659" s="16">
        <v>4326</v>
      </c>
      <c r="B659" s="16" t="s">
        <v>853</v>
      </c>
      <c r="C659" s="17">
        <v>0</v>
      </c>
      <c r="D659" s="17">
        <f t="shared" si="379"/>
        <v>0</v>
      </c>
      <c r="E659" s="17">
        <f t="shared" si="380"/>
        <v>0</v>
      </c>
      <c r="F659" s="17">
        <f t="shared" si="381"/>
        <v>0</v>
      </c>
      <c r="G659" s="17">
        <f t="shared" si="382"/>
        <v>0</v>
      </c>
      <c r="H659" s="17">
        <f t="shared" si="383"/>
        <v>0</v>
      </c>
      <c r="I659" s="17">
        <f t="shared" si="384"/>
        <v>0</v>
      </c>
      <c r="J659" s="17">
        <f t="shared" si="385"/>
        <v>0</v>
      </c>
      <c r="K659" s="17">
        <f t="shared" si="386"/>
        <v>0</v>
      </c>
      <c r="L659" s="17">
        <f t="shared" si="387"/>
        <v>0</v>
      </c>
      <c r="M659" s="17">
        <f t="shared" si="388"/>
        <v>0</v>
      </c>
      <c r="N659" s="17">
        <f t="shared" si="389"/>
        <v>0</v>
      </c>
      <c r="O659" s="17">
        <f t="shared" si="390"/>
        <v>0</v>
      </c>
      <c r="P659" s="17">
        <v>0</v>
      </c>
      <c r="Q659" s="17">
        <f t="shared" si="391"/>
        <v>0</v>
      </c>
      <c r="R659" s="17">
        <f t="shared" si="392"/>
        <v>0</v>
      </c>
      <c r="S659" s="17">
        <f t="shared" si="393"/>
        <v>0</v>
      </c>
      <c r="T659" s="17">
        <f t="shared" si="394"/>
        <v>0</v>
      </c>
      <c r="U659" s="17">
        <f t="shared" si="395"/>
        <v>0</v>
      </c>
      <c r="V659" s="17">
        <f t="shared" si="396"/>
        <v>0</v>
      </c>
      <c r="W659" s="17">
        <f t="shared" si="397"/>
        <v>0</v>
      </c>
      <c r="X659" s="17">
        <f t="shared" si="398"/>
        <v>0</v>
      </c>
      <c r="Y659" s="17">
        <f t="shared" si="399"/>
        <v>0</v>
      </c>
      <c r="Z659" s="17">
        <f t="shared" si="400"/>
        <v>0</v>
      </c>
      <c r="AA659" s="17">
        <f t="shared" si="401"/>
        <v>0</v>
      </c>
      <c r="AB659" s="17">
        <f t="shared" si="402"/>
        <v>0</v>
      </c>
      <c r="AC659" s="17">
        <v>0</v>
      </c>
      <c r="AD659" s="17">
        <f t="shared" si="403"/>
        <v>0</v>
      </c>
      <c r="AE659" s="17">
        <f t="shared" si="404"/>
        <v>0</v>
      </c>
      <c r="AF659" s="17">
        <f t="shared" si="405"/>
        <v>0</v>
      </c>
      <c r="AG659" s="17">
        <f t="shared" si="406"/>
        <v>0</v>
      </c>
      <c r="AH659" s="17">
        <f t="shared" si="407"/>
        <v>0</v>
      </c>
      <c r="AI659" s="17">
        <f t="shared" si="408"/>
        <v>0</v>
      </c>
      <c r="AJ659" s="17">
        <f t="shared" si="409"/>
        <v>0</v>
      </c>
      <c r="AK659" s="17">
        <f t="shared" si="410"/>
        <v>0</v>
      </c>
      <c r="AL659" s="17">
        <f t="shared" si="411"/>
        <v>0</v>
      </c>
      <c r="AM659" s="17">
        <f t="shared" si="412"/>
        <v>0</v>
      </c>
      <c r="AN659" s="17">
        <f t="shared" si="413"/>
        <v>0</v>
      </c>
      <c r="AO659" s="17">
        <f t="shared" si="414"/>
        <v>0</v>
      </c>
      <c r="AP659" s="17">
        <f t="shared" si="415"/>
        <v>0</v>
      </c>
      <c r="AQ659" s="18">
        <v>0</v>
      </c>
      <c r="AR659" s="18">
        <v>0</v>
      </c>
      <c r="AS659" s="18">
        <v>0</v>
      </c>
      <c r="AT659" s="18">
        <v>0</v>
      </c>
      <c r="AU659" s="18">
        <v>0</v>
      </c>
      <c r="AV659" s="18">
        <v>0</v>
      </c>
      <c r="AW659" s="18">
        <v>0</v>
      </c>
      <c r="AX659" s="18">
        <v>0</v>
      </c>
      <c r="AY659" s="18">
        <v>0</v>
      </c>
      <c r="AZ659" s="18">
        <v>0</v>
      </c>
      <c r="BA659" s="18">
        <v>0</v>
      </c>
      <c r="BB659" s="18">
        <v>0</v>
      </c>
      <c r="BC659" s="23">
        <v>8.9181565948742242E-2</v>
      </c>
      <c r="BD659" s="23">
        <v>0.10665277883445198</v>
      </c>
      <c r="BE659" s="23">
        <v>9.438849084854764E-2</v>
      </c>
      <c r="BF659" s="23">
        <v>7.149564986855049E-2</v>
      </c>
      <c r="BG659" s="23">
        <v>0.10368571810536763</v>
      </c>
      <c r="BH659" s="23">
        <v>8.4970330952544637E-2</v>
      </c>
      <c r="BI659" s="23">
        <v>8.4593878877262704E-2</v>
      </c>
      <c r="BJ659" s="23">
        <v>5.7447105462779965E-2</v>
      </c>
      <c r="BK659" s="23">
        <v>8.5153852345557474E-2</v>
      </c>
      <c r="BL659" s="23">
        <v>7.4158058913035174E-2</v>
      </c>
      <c r="BM659" s="23">
        <v>7.5718189192107169E-2</v>
      </c>
      <c r="BN659" s="23">
        <v>7.3955559365675619E-2</v>
      </c>
    </row>
    <row r="660" spans="1:66" x14ac:dyDescent="0.25">
      <c r="A660" s="16">
        <v>4352</v>
      </c>
      <c r="B660" s="16" t="s">
        <v>854</v>
      </c>
      <c r="C660" s="17">
        <v>0</v>
      </c>
      <c r="D660" s="17">
        <f t="shared" si="379"/>
        <v>0</v>
      </c>
      <c r="E660" s="17">
        <f t="shared" si="380"/>
        <v>0</v>
      </c>
      <c r="F660" s="17">
        <f t="shared" si="381"/>
        <v>0</v>
      </c>
      <c r="G660" s="17">
        <f t="shared" si="382"/>
        <v>0</v>
      </c>
      <c r="H660" s="17">
        <f t="shared" si="383"/>
        <v>0</v>
      </c>
      <c r="I660" s="17">
        <f t="shared" si="384"/>
        <v>0</v>
      </c>
      <c r="J660" s="17">
        <f t="shared" si="385"/>
        <v>0</v>
      </c>
      <c r="K660" s="17">
        <f t="shared" si="386"/>
        <v>0</v>
      </c>
      <c r="L660" s="17">
        <f t="shared" si="387"/>
        <v>0</v>
      </c>
      <c r="M660" s="17">
        <f t="shared" si="388"/>
        <v>0</v>
      </c>
      <c r="N660" s="17">
        <f t="shared" si="389"/>
        <v>0</v>
      </c>
      <c r="O660" s="17">
        <f t="shared" si="390"/>
        <v>0</v>
      </c>
      <c r="P660" s="17">
        <v>0</v>
      </c>
      <c r="Q660" s="17">
        <f t="shared" si="391"/>
        <v>0</v>
      </c>
      <c r="R660" s="17">
        <f t="shared" si="392"/>
        <v>0</v>
      </c>
      <c r="S660" s="17">
        <f t="shared" si="393"/>
        <v>0</v>
      </c>
      <c r="T660" s="17">
        <f t="shared" si="394"/>
        <v>0</v>
      </c>
      <c r="U660" s="17">
        <f t="shared" si="395"/>
        <v>0</v>
      </c>
      <c r="V660" s="17">
        <f t="shared" si="396"/>
        <v>0</v>
      </c>
      <c r="W660" s="17">
        <f t="shared" si="397"/>
        <v>0</v>
      </c>
      <c r="X660" s="17">
        <f t="shared" si="398"/>
        <v>0</v>
      </c>
      <c r="Y660" s="17">
        <f t="shared" si="399"/>
        <v>0</v>
      </c>
      <c r="Z660" s="17">
        <f t="shared" si="400"/>
        <v>0</v>
      </c>
      <c r="AA660" s="17">
        <f t="shared" si="401"/>
        <v>0</v>
      </c>
      <c r="AB660" s="17">
        <f t="shared" si="402"/>
        <v>0</v>
      </c>
      <c r="AC660" s="17">
        <v>0</v>
      </c>
      <c r="AD660" s="17">
        <f t="shared" si="403"/>
        <v>0</v>
      </c>
      <c r="AE660" s="17">
        <f t="shared" si="404"/>
        <v>0</v>
      </c>
      <c r="AF660" s="17">
        <f t="shared" si="405"/>
        <v>0</v>
      </c>
      <c r="AG660" s="17">
        <f t="shared" si="406"/>
        <v>0</v>
      </c>
      <c r="AH660" s="17">
        <f t="shared" si="407"/>
        <v>0</v>
      </c>
      <c r="AI660" s="17">
        <f t="shared" si="408"/>
        <v>0</v>
      </c>
      <c r="AJ660" s="17">
        <f t="shared" si="409"/>
        <v>0</v>
      </c>
      <c r="AK660" s="17">
        <f t="shared" si="410"/>
        <v>0</v>
      </c>
      <c r="AL660" s="17">
        <f t="shared" si="411"/>
        <v>0</v>
      </c>
      <c r="AM660" s="17">
        <f t="shared" si="412"/>
        <v>0</v>
      </c>
      <c r="AN660" s="17">
        <f t="shared" si="413"/>
        <v>0</v>
      </c>
      <c r="AO660" s="17">
        <f t="shared" si="414"/>
        <v>0</v>
      </c>
      <c r="AP660" s="17">
        <f t="shared" si="415"/>
        <v>0</v>
      </c>
      <c r="AQ660" s="18">
        <v>8.338476416207401</v>
      </c>
      <c r="AR660" s="18">
        <v>9.9720348210212624</v>
      </c>
      <c r="AS660" s="18">
        <v>8.8253238943392063</v>
      </c>
      <c r="AT660" s="18">
        <v>6.6848432627094718</v>
      </c>
      <c r="AU660" s="18">
        <v>9.6946146428518745</v>
      </c>
      <c r="AV660" s="18">
        <v>7.9447259440629248</v>
      </c>
      <c r="AW660" s="18">
        <v>7.909527675024064</v>
      </c>
      <c r="AX660" s="18">
        <v>5.371304360769928</v>
      </c>
      <c r="AY660" s="18">
        <v>7.9618851943096249</v>
      </c>
      <c r="AZ660" s="18">
        <v>6.93377850836879</v>
      </c>
      <c r="BA660" s="18">
        <v>7.0796506894620217</v>
      </c>
      <c r="BB660" s="18">
        <v>6.9148448006906715</v>
      </c>
      <c r="BC660" s="23">
        <v>8.9181565948742242E-2</v>
      </c>
      <c r="BD660" s="23">
        <v>0.10665277883445198</v>
      </c>
      <c r="BE660" s="23">
        <v>9.438849084854764E-2</v>
      </c>
      <c r="BF660" s="23">
        <v>7.149564986855049E-2</v>
      </c>
      <c r="BG660" s="23">
        <v>0.10368571810536763</v>
      </c>
      <c r="BH660" s="23">
        <v>8.4970330952544637E-2</v>
      </c>
      <c r="BI660" s="23">
        <v>8.4593878877262704E-2</v>
      </c>
      <c r="BJ660" s="23">
        <v>5.7447105462779965E-2</v>
      </c>
      <c r="BK660" s="23">
        <v>8.5153852345557474E-2</v>
      </c>
      <c r="BL660" s="23">
        <v>7.4158058913035174E-2</v>
      </c>
      <c r="BM660" s="23">
        <v>7.5718189192107169E-2</v>
      </c>
      <c r="BN660" s="23">
        <v>7.3955559365675619E-2</v>
      </c>
    </row>
    <row r="661" spans="1:66" x14ac:dyDescent="0.25">
      <c r="A661" s="16">
        <v>4361</v>
      </c>
      <c r="B661" s="16" t="s">
        <v>855</v>
      </c>
      <c r="C661" s="17">
        <v>0</v>
      </c>
      <c r="D661" s="17">
        <f t="shared" si="379"/>
        <v>0</v>
      </c>
      <c r="E661" s="17">
        <f t="shared" si="380"/>
        <v>0</v>
      </c>
      <c r="F661" s="17">
        <f t="shared" si="381"/>
        <v>0</v>
      </c>
      <c r="G661" s="17">
        <f t="shared" si="382"/>
        <v>0</v>
      </c>
      <c r="H661" s="17">
        <f t="shared" si="383"/>
        <v>0</v>
      </c>
      <c r="I661" s="17">
        <f t="shared" si="384"/>
        <v>0</v>
      </c>
      <c r="J661" s="17">
        <f t="shared" si="385"/>
        <v>0</v>
      </c>
      <c r="K661" s="17">
        <f t="shared" si="386"/>
        <v>0</v>
      </c>
      <c r="L661" s="17">
        <f t="shared" si="387"/>
        <v>0</v>
      </c>
      <c r="M661" s="17">
        <f t="shared" si="388"/>
        <v>0</v>
      </c>
      <c r="N661" s="17">
        <f t="shared" si="389"/>
        <v>0</v>
      </c>
      <c r="O661" s="17">
        <f t="shared" si="390"/>
        <v>0</v>
      </c>
      <c r="P661" s="17">
        <v>0</v>
      </c>
      <c r="Q661" s="17">
        <f t="shared" si="391"/>
        <v>0</v>
      </c>
      <c r="R661" s="17">
        <f t="shared" si="392"/>
        <v>0</v>
      </c>
      <c r="S661" s="17">
        <f t="shared" si="393"/>
        <v>0</v>
      </c>
      <c r="T661" s="17">
        <f t="shared" si="394"/>
        <v>0</v>
      </c>
      <c r="U661" s="17">
        <f t="shared" si="395"/>
        <v>0</v>
      </c>
      <c r="V661" s="17">
        <f t="shared" si="396"/>
        <v>0</v>
      </c>
      <c r="W661" s="17">
        <f t="shared" si="397"/>
        <v>0</v>
      </c>
      <c r="X661" s="17">
        <f t="shared" si="398"/>
        <v>0</v>
      </c>
      <c r="Y661" s="17">
        <f t="shared" si="399"/>
        <v>0</v>
      </c>
      <c r="Z661" s="17">
        <f t="shared" si="400"/>
        <v>0</v>
      </c>
      <c r="AA661" s="17">
        <f t="shared" si="401"/>
        <v>0</v>
      </c>
      <c r="AB661" s="17">
        <f t="shared" si="402"/>
        <v>0</v>
      </c>
      <c r="AC661" s="17">
        <v>0</v>
      </c>
      <c r="AD661" s="17">
        <f t="shared" si="403"/>
        <v>0</v>
      </c>
      <c r="AE661" s="17">
        <f t="shared" si="404"/>
        <v>0</v>
      </c>
      <c r="AF661" s="17">
        <f t="shared" si="405"/>
        <v>0</v>
      </c>
      <c r="AG661" s="17">
        <f t="shared" si="406"/>
        <v>0</v>
      </c>
      <c r="AH661" s="17">
        <f t="shared" si="407"/>
        <v>0</v>
      </c>
      <c r="AI661" s="17">
        <f t="shared" si="408"/>
        <v>0</v>
      </c>
      <c r="AJ661" s="17">
        <f t="shared" si="409"/>
        <v>0</v>
      </c>
      <c r="AK661" s="17">
        <f t="shared" si="410"/>
        <v>0</v>
      </c>
      <c r="AL661" s="17">
        <f t="shared" si="411"/>
        <v>0</v>
      </c>
      <c r="AM661" s="17">
        <f t="shared" si="412"/>
        <v>0</v>
      </c>
      <c r="AN661" s="17">
        <f t="shared" si="413"/>
        <v>0</v>
      </c>
      <c r="AO661" s="17">
        <f t="shared" si="414"/>
        <v>0</v>
      </c>
      <c r="AP661" s="17">
        <f t="shared" si="415"/>
        <v>0</v>
      </c>
      <c r="AQ661" s="18">
        <v>0</v>
      </c>
      <c r="AR661" s="18">
        <v>0</v>
      </c>
      <c r="AS661" s="18">
        <v>0</v>
      </c>
      <c r="AT661" s="18">
        <v>0</v>
      </c>
      <c r="AU661" s="18">
        <v>0</v>
      </c>
      <c r="AV661" s="18">
        <v>0</v>
      </c>
      <c r="AW661" s="18">
        <v>0</v>
      </c>
      <c r="AX661" s="18">
        <v>0</v>
      </c>
      <c r="AY661" s="18">
        <v>0</v>
      </c>
      <c r="AZ661" s="18">
        <v>0</v>
      </c>
      <c r="BA661" s="18">
        <v>0</v>
      </c>
      <c r="BB661" s="18">
        <v>0</v>
      </c>
      <c r="BC661" s="23">
        <v>8.9181565948742242E-2</v>
      </c>
      <c r="BD661" s="23">
        <v>0.10665277883445198</v>
      </c>
      <c r="BE661" s="23">
        <v>9.438849084854764E-2</v>
      </c>
      <c r="BF661" s="23">
        <v>7.149564986855049E-2</v>
      </c>
      <c r="BG661" s="23">
        <v>0.10368571810536763</v>
      </c>
      <c r="BH661" s="23">
        <v>8.4970330952544637E-2</v>
      </c>
      <c r="BI661" s="23">
        <v>8.4593878877262704E-2</v>
      </c>
      <c r="BJ661" s="23">
        <v>5.7447105462779965E-2</v>
      </c>
      <c r="BK661" s="23">
        <v>8.5153852345557474E-2</v>
      </c>
      <c r="BL661" s="23">
        <v>7.4158058913035174E-2</v>
      </c>
      <c r="BM661" s="23">
        <v>7.5718189192107169E-2</v>
      </c>
      <c r="BN661" s="23">
        <v>7.3955559365675619E-2</v>
      </c>
    </row>
    <row r="662" spans="1:66" x14ac:dyDescent="0.25">
      <c r="A662" s="16">
        <v>4382</v>
      </c>
      <c r="B662" s="16" t="s">
        <v>856</v>
      </c>
      <c r="C662" s="17">
        <v>0</v>
      </c>
      <c r="D662" s="17">
        <f t="shared" si="379"/>
        <v>0</v>
      </c>
      <c r="E662" s="17">
        <f t="shared" si="380"/>
        <v>0</v>
      </c>
      <c r="F662" s="17">
        <f t="shared" si="381"/>
        <v>0</v>
      </c>
      <c r="G662" s="17">
        <f t="shared" si="382"/>
        <v>0</v>
      </c>
      <c r="H662" s="17">
        <f t="shared" si="383"/>
        <v>0</v>
      </c>
      <c r="I662" s="17">
        <f t="shared" si="384"/>
        <v>0</v>
      </c>
      <c r="J662" s="17">
        <f t="shared" si="385"/>
        <v>0</v>
      </c>
      <c r="K662" s="17">
        <f t="shared" si="386"/>
        <v>0</v>
      </c>
      <c r="L662" s="17">
        <f t="shared" si="387"/>
        <v>0</v>
      </c>
      <c r="M662" s="17">
        <f t="shared" si="388"/>
        <v>0</v>
      </c>
      <c r="N662" s="17">
        <f t="shared" si="389"/>
        <v>0</v>
      </c>
      <c r="O662" s="17">
        <f t="shared" si="390"/>
        <v>0</v>
      </c>
      <c r="P662" s="17">
        <v>0</v>
      </c>
      <c r="Q662" s="17">
        <f t="shared" si="391"/>
        <v>0</v>
      </c>
      <c r="R662" s="17">
        <f t="shared" si="392"/>
        <v>0</v>
      </c>
      <c r="S662" s="17">
        <f t="shared" si="393"/>
        <v>0</v>
      </c>
      <c r="T662" s="17">
        <f t="shared" si="394"/>
        <v>0</v>
      </c>
      <c r="U662" s="17">
        <f t="shared" si="395"/>
        <v>0</v>
      </c>
      <c r="V662" s="17">
        <f t="shared" si="396"/>
        <v>0</v>
      </c>
      <c r="W662" s="17">
        <f t="shared" si="397"/>
        <v>0</v>
      </c>
      <c r="X662" s="17">
        <f t="shared" si="398"/>
        <v>0</v>
      </c>
      <c r="Y662" s="17">
        <f t="shared" si="399"/>
        <v>0</v>
      </c>
      <c r="Z662" s="17">
        <f t="shared" si="400"/>
        <v>0</v>
      </c>
      <c r="AA662" s="17">
        <f t="shared" si="401"/>
        <v>0</v>
      </c>
      <c r="AB662" s="17">
        <f t="shared" si="402"/>
        <v>0</v>
      </c>
      <c r="AC662" s="17">
        <v>0</v>
      </c>
      <c r="AD662" s="17">
        <f t="shared" si="403"/>
        <v>0</v>
      </c>
      <c r="AE662" s="17">
        <f t="shared" si="404"/>
        <v>0</v>
      </c>
      <c r="AF662" s="17">
        <f t="shared" si="405"/>
        <v>0</v>
      </c>
      <c r="AG662" s="17">
        <f t="shared" si="406"/>
        <v>0</v>
      </c>
      <c r="AH662" s="17">
        <f t="shared" si="407"/>
        <v>0</v>
      </c>
      <c r="AI662" s="17">
        <f t="shared" si="408"/>
        <v>0</v>
      </c>
      <c r="AJ662" s="17">
        <f t="shared" si="409"/>
        <v>0</v>
      </c>
      <c r="AK662" s="17">
        <f t="shared" si="410"/>
        <v>0</v>
      </c>
      <c r="AL662" s="17">
        <f t="shared" si="411"/>
        <v>0</v>
      </c>
      <c r="AM662" s="17">
        <f t="shared" si="412"/>
        <v>0</v>
      </c>
      <c r="AN662" s="17">
        <f t="shared" si="413"/>
        <v>0</v>
      </c>
      <c r="AO662" s="17">
        <f t="shared" si="414"/>
        <v>0</v>
      </c>
      <c r="AP662" s="17">
        <f t="shared" si="415"/>
        <v>0</v>
      </c>
      <c r="AQ662" s="18">
        <v>0</v>
      </c>
      <c r="AR662" s="18">
        <v>0</v>
      </c>
      <c r="AS662" s="18">
        <v>0</v>
      </c>
      <c r="AT662" s="18">
        <v>0</v>
      </c>
      <c r="AU662" s="18">
        <v>0</v>
      </c>
      <c r="AV662" s="18">
        <v>0</v>
      </c>
      <c r="AW662" s="18">
        <v>0</v>
      </c>
      <c r="AX662" s="18">
        <v>0</v>
      </c>
      <c r="AY662" s="18">
        <v>0</v>
      </c>
      <c r="AZ662" s="18">
        <v>0</v>
      </c>
      <c r="BA662" s="18">
        <v>0</v>
      </c>
      <c r="BB662" s="18">
        <v>0</v>
      </c>
      <c r="BC662" s="23">
        <v>8.9181565948742242E-2</v>
      </c>
      <c r="BD662" s="23">
        <v>0.10665277883445198</v>
      </c>
      <c r="BE662" s="23">
        <v>9.438849084854764E-2</v>
      </c>
      <c r="BF662" s="23">
        <v>7.149564986855049E-2</v>
      </c>
      <c r="BG662" s="23">
        <v>0.10368571810536763</v>
      </c>
      <c r="BH662" s="23">
        <v>8.4970330952544637E-2</v>
      </c>
      <c r="BI662" s="23">
        <v>8.4593878877262704E-2</v>
      </c>
      <c r="BJ662" s="23">
        <v>5.7447105462779965E-2</v>
      </c>
      <c r="BK662" s="23">
        <v>8.5153852345557474E-2</v>
      </c>
      <c r="BL662" s="23">
        <v>7.4158058913035174E-2</v>
      </c>
      <c r="BM662" s="23">
        <v>7.5718189192107169E-2</v>
      </c>
      <c r="BN662" s="23">
        <v>7.3955559365675619E-2</v>
      </c>
    </row>
    <row r="663" spans="1:66" x14ac:dyDescent="0.25">
      <c r="A663" s="16">
        <v>4404</v>
      </c>
      <c r="B663" s="16" t="s">
        <v>857</v>
      </c>
      <c r="C663" s="17">
        <v>0</v>
      </c>
      <c r="D663" s="17">
        <f t="shared" si="379"/>
        <v>0</v>
      </c>
      <c r="E663" s="17">
        <f t="shared" si="380"/>
        <v>0</v>
      </c>
      <c r="F663" s="17">
        <f t="shared" si="381"/>
        <v>0</v>
      </c>
      <c r="G663" s="17">
        <f t="shared" si="382"/>
        <v>0</v>
      </c>
      <c r="H663" s="17">
        <f t="shared" si="383"/>
        <v>0</v>
      </c>
      <c r="I663" s="17">
        <f t="shared" si="384"/>
        <v>0</v>
      </c>
      <c r="J663" s="17">
        <f t="shared" si="385"/>
        <v>0</v>
      </c>
      <c r="K663" s="17">
        <f t="shared" si="386"/>
        <v>0</v>
      </c>
      <c r="L663" s="17">
        <f t="shared" si="387"/>
        <v>0</v>
      </c>
      <c r="M663" s="17">
        <f t="shared" si="388"/>
        <v>0</v>
      </c>
      <c r="N663" s="17">
        <f t="shared" si="389"/>
        <v>0</v>
      </c>
      <c r="O663" s="17">
        <f t="shared" si="390"/>
        <v>0</v>
      </c>
      <c r="P663" s="17">
        <v>4000</v>
      </c>
      <c r="Q663" s="17">
        <f t="shared" si="391"/>
        <v>356.72626379496899</v>
      </c>
      <c r="R663" s="17">
        <f t="shared" si="392"/>
        <v>426.61111533780792</v>
      </c>
      <c r="S663" s="17">
        <f t="shared" si="393"/>
        <v>377.55396339419059</v>
      </c>
      <c r="T663" s="17">
        <f t="shared" si="394"/>
        <v>285.98259947420195</v>
      </c>
      <c r="U663" s="17">
        <f t="shared" si="395"/>
        <v>414.74287242147051</v>
      </c>
      <c r="V663" s="17">
        <f t="shared" si="396"/>
        <v>339.88132381017857</v>
      </c>
      <c r="W663" s="17">
        <f t="shared" si="397"/>
        <v>338.37551550905084</v>
      </c>
      <c r="X663" s="17">
        <f t="shared" si="398"/>
        <v>229.78842185111986</v>
      </c>
      <c r="Y663" s="17">
        <f t="shared" si="399"/>
        <v>340.61540938222987</v>
      </c>
      <c r="Z663" s="17">
        <f t="shared" si="400"/>
        <v>296.63223565214071</v>
      </c>
      <c r="AA663" s="17">
        <f t="shared" si="401"/>
        <v>302.8727567684287</v>
      </c>
      <c r="AB663" s="17">
        <f t="shared" si="402"/>
        <v>295.8222374627025</v>
      </c>
      <c r="AC663" s="17">
        <v>0</v>
      </c>
      <c r="AD663" s="17">
        <f t="shared" si="403"/>
        <v>0</v>
      </c>
      <c r="AE663" s="17">
        <f t="shared" si="404"/>
        <v>0</v>
      </c>
      <c r="AF663" s="17">
        <f t="shared" si="405"/>
        <v>0</v>
      </c>
      <c r="AG663" s="17">
        <f t="shared" si="406"/>
        <v>0</v>
      </c>
      <c r="AH663" s="17">
        <f t="shared" si="407"/>
        <v>0</v>
      </c>
      <c r="AI663" s="17">
        <f t="shared" si="408"/>
        <v>0</v>
      </c>
      <c r="AJ663" s="17">
        <f t="shared" si="409"/>
        <v>0</v>
      </c>
      <c r="AK663" s="17">
        <f t="shared" si="410"/>
        <v>0</v>
      </c>
      <c r="AL663" s="17">
        <f t="shared" si="411"/>
        <v>0</v>
      </c>
      <c r="AM663" s="17">
        <f t="shared" si="412"/>
        <v>0</v>
      </c>
      <c r="AN663" s="17">
        <f t="shared" si="413"/>
        <v>0</v>
      </c>
      <c r="AO663" s="17">
        <f t="shared" si="414"/>
        <v>0</v>
      </c>
      <c r="AP663" s="17">
        <f t="shared" si="415"/>
        <v>4000</v>
      </c>
      <c r="AQ663" s="18">
        <v>0</v>
      </c>
      <c r="AR663" s="18">
        <v>0</v>
      </c>
      <c r="AS663" s="18">
        <v>0</v>
      </c>
      <c r="AT663" s="18">
        <v>0</v>
      </c>
      <c r="AU663" s="18">
        <v>0</v>
      </c>
      <c r="AV663" s="18">
        <v>0</v>
      </c>
      <c r="AW663" s="18">
        <v>0</v>
      </c>
      <c r="AX663" s="18">
        <v>0</v>
      </c>
      <c r="AY663" s="18">
        <v>0</v>
      </c>
      <c r="AZ663" s="18">
        <v>0</v>
      </c>
      <c r="BA663" s="18">
        <v>0</v>
      </c>
      <c r="BB663" s="18">
        <v>0</v>
      </c>
      <c r="BC663" s="23">
        <v>8.9181565948742242E-2</v>
      </c>
      <c r="BD663" s="23">
        <v>0.10665277883445198</v>
      </c>
      <c r="BE663" s="23">
        <v>9.438849084854764E-2</v>
      </c>
      <c r="BF663" s="23">
        <v>7.149564986855049E-2</v>
      </c>
      <c r="BG663" s="23">
        <v>0.10368571810536763</v>
      </c>
      <c r="BH663" s="23">
        <v>8.4970330952544637E-2</v>
      </c>
      <c r="BI663" s="23">
        <v>8.4593878877262704E-2</v>
      </c>
      <c r="BJ663" s="23">
        <v>5.7447105462779965E-2</v>
      </c>
      <c r="BK663" s="23">
        <v>8.5153852345557474E-2</v>
      </c>
      <c r="BL663" s="23">
        <v>7.4158058913035174E-2</v>
      </c>
      <c r="BM663" s="23">
        <v>7.5718189192107169E-2</v>
      </c>
      <c r="BN663" s="23">
        <v>7.3955559365675619E-2</v>
      </c>
    </row>
    <row r="664" spans="1:66" x14ac:dyDescent="0.25">
      <c r="A664" s="16">
        <v>4418</v>
      </c>
      <c r="B664" s="16" t="s">
        <v>858</v>
      </c>
      <c r="C664" s="17">
        <v>0</v>
      </c>
      <c r="D664" s="17">
        <f t="shared" si="379"/>
        <v>0</v>
      </c>
      <c r="E664" s="17">
        <f t="shared" si="380"/>
        <v>0</v>
      </c>
      <c r="F664" s="17">
        <f t="shared" si="381"/>
        <v>0</v>
      </c>
      <c r="G664" s="17">
        <f t="shared" si="382"/>
        <v>0</v>
      </c>
      <c r="H664" s="17">
        <f t="shared" si="383"/>
        <v>0</v>
      </c>
      <c r="I664" s="17">
        <f t="shared" si="384"/>
        <v>0</v>
      </c>
      <c r="J664" s="17">
        <f t="shared" si="385"/>
        <v>0</v>
      </c>
      <c r="K664" s="17">
        <f t="shared" si="386"/>
        <v>0</v>
      </c>
      <c r="L664" s="17">
        <f t="shared" si="387"/>
        <v>0</v>
      </c>
      <c r="M664" s="17">
        <f t="shared" si="388"/>
        <v>0</v>
      </c>
      <c r="N664" s="17">
        <f t="shared" si="389"/>
        <v>0</v>
      </c>
      <c r="O664" s="17">
        <f t="shared" si="390"/>
        <v>0</v>
      </c>
      <c r="P664" s="17">
        <v>0</v>
      </c>
      <c r="Q664" s="17">
        <f t="shared" si="391"/>
        <v>0</v>
      </c>
      <c r="R664" s="17">
        <f t="shared" si="392"/>
        <v>0</v>
      </c>
      <c r="S664" s="17">
        <f t="shared" si="393"/>
        <v>0</v>
      </c>
      <c r="T664" s="17">
        <f t="shared" si="394"/>
        <v>0</v>
      </c>
      <c r="U664" s="17">
        <f t="shared" si="395"/>
        <v>0</v>
      </c>
      <c r="V664" s="17">
        <f t="shared" si="396"/>
        <v>0</v>
      </c>
      <c r="W664" s="17">
        <f t="shared" si="397"/>
        <v>0</v>
      </c>
      <c r="X664" s="17">
        <f t="shared" si="398"/>
        <v>0</v>
      </c>
      <c r="Y664" s="17">
        <f t="shared" si="399"/>
        <v>0</v>
      </c>
      <c r="Z664" s="17">
        <f t="shared" si="400"/>
        <v>0</v>
      </c>
      <c r="AA664" s="17">
        <f t="shared" si="401"/>
        <v>0</v>
      </c>
      <c r="AB664" s="17">
        <f t="shared" si="402"/>
        <v>0</v>
      </c>
      <c r="AC664" s="17">
        <v>0</v>
      </c>
      <c r="AD664" s="17">
        <f t="shared" si="403"/>
        <v>0</v>
      </c>
      <c r="AE664" s="17">
        <f t="shared" si="404"/>
        <v>0</v>
      </c>
      <c r="AF664" s="17">
        <f t="shared" si="405"/>
        <v>0</v>
      </c>
      <c r="AG664" s="17">
        <f t="shared" si="406"/>
        <v>0</v>
      </c>
      <c r="AH664" s="17">
        <f t="shared" si="407"/>
        <v>0</v>
      </c>
      <c r="AI664" s="17">
        <f t="shared" si="408"/>
        <v>0</v>
      </c>
      <c r="AJ664" s="17">
        <f t="shared" si="409"/>
        <v>0</v>
      </c>
      <c r="AK664" s="17">
        <f t="shared" si="410"/>
        <v>0</v>
      </c>
      <c r="AL664" s="17">
        <f t="shared" si="411"/>
        <v>0</v>
      </c>
      <c r="AM664" s="17">
        <f t="shared" si="412"/>
        <v>0</v>
      </c>
      <c r="AN664" s="17">
        <f t="shared" si="413"/>
        <v>0</v>
      </c>
      <c r="AO664" s="17">
        <f t="shared" si="414"/>
        <v>0</v>
      </c>
      <c r="AP664" s="17">
        <f t="shared" si="415"/>
        <v>0</v>
      </c>
      <c r="AQ664" s="18">
        <v>170.89069766820535</v>
      </c>
      <c r="AR664" s="18">
        <v>204.3692279831441</v>
      </c>
      <c r="AS664" s="18">
        <v>180.86826443738636</v>
      </c>
      <c r="AT664" s="18">
        <v>137.00075073026503</v>
      </c>
      <c r="AU664" s="18">
        <v>198.68371357640464</v>
      </c>
      <c r="AV664" s="18">
        <v>162.82108284490653</v>
      </c>
      <c r="AW664" s="18">
        <v>162.09972123727846</v>
      </c>
      <c r="AX664" s="18">
        <v>110.08077540593908</v>
      </c>
      <c r="AY664" s="18">
        <v>163.17274855693304</v>
      </c>
      <c r="AZ664" s="18">
        <v>142.10248822780605</v>
      </c>
      <c r="BA664" s="18">
        <v>145.0920270299969</v>
      </c>
      <c r="BB664" s="18">
        <v>141.71445636766066</v>
      </c>
      <c r="BC664" s="23">
        <v>8.9181565948742242E-2</v>
      </c>
      <c r="BD664" s="23">
        <v>0.10665277883445198</v>
      </c>
      <c r="BE664" s="23">
        <v>9.438849084854764E-2</v>
      </c>
      <c r="BF664" s="23">
        <v>7.149564986855049E-2</v>
      </c>
      <c r="BG664" s="23">
        <v>0.10368571810536763</v>
      </c>
      <c r="BH664" s="23">
        <v>8.4970330952544637E-2</v>
      </c>
      <c r="BI664" s="23">
        <v>8.4593878877262704E-2</v>
      </c>
      <c r="BJ664" s="23">
        <v>5.7447105462779965E-2</v>
      </c>
      <c r="BK664" s="23">
        <v>8.5153852345557474E-2</v>
      </c>
      <c r="BL664" s="23">
        <v>7.4158058913035174E-2</v>
      </c>
      <c r="BM664" s="23">
        <v>7.5718189192107169E-2</v>
      </c>
      <c r="BN664" s="23">
        <v>7.3955559365675619E-2</v>
      </c>
    </row>
    <row r="665" spans="1:66" x14ac:dyDescent="0.25">
      <c r="A665" s="16">
        <v>4424</v>
      </c>
      <c r="B665" s="16" t="s">
        <v>859</v>
      </c>
      <c r="C665" s="17">
        <v>0</v>
      </c>
      <c r="D665" s="17">
        <f t="shared" si="379"/>
        <v>0</v>
      </c>
      <c r="E665" s="17">
        <f t="shared" si="380"/>
        <v>0</v>
      </c>
      <c r="F665" s="17">
        <f t="shared" si="381"/>
        <v>0</v>
      </c>
      <c r="G665" s="17">
        <f t="shared" si="382"/>
        <v>0</v>
      </c>
      <c r="H665" s="17">
        <f t="shared" si="383"/>
        <v>0</v>
      </c>
      <c r="I665" s="17">
        <f t="shared" si="384"/>
        <v>0</v>
      </c>
      <c r="J665" s="17">
        <f t="shared" si="385"/>
        <v>0</v>
      </c>
      <c r="K665" s="17">
        <f t="shared" si="386"/>
        <v>0</v>
      </c>
      <c r="L665" s="17">
        <f t="shared" si="387"/>
        <v>0</v>
      </c>
      <c r="M665" s="17">
        <f t="shared" si="388"/>
        <v>0</v>
      </c>
      <c r="N665" s="17">
        <f t="shared" si="389"/>
        <v>0</v>
      </c>
      <c r="O665" s="17">
        <f t="shared" si="390"/>
        <v>0</v>
      </c>
      <c r="P665" s="17">
        <v>500</v>
      </c>
      <c r="Q665" s="17">
        <f t="shared" si="391"/>
        <v>44.590782974371123</v>
      </c>
      <c r="R665" s="17">
        <f t="shared" si="392"/>
        <v>53.32638941722599</v>
      </c>
      <c r="S665" s="17">
        <f t="shared" si="393"/>
        <v>47.194245424273824</v>
      </c>
      <c r="T665" s="17">
        <f t="shared" si="394"/>
        <v>35.747824934275243</v>
      </c>
      <c r="U665" s="17">
        <f t="shared" si="395"/>
        <v>51.842859052683814</v>
      </c>
      <c r="V665" s="17">
        <f t="shared" si="396"/>
        <v>42.485165476272321</v>
      </c>
      <c r="W665" s="17">
        <f t="shared" si="397"/>
        <v>42.296939438631355</v>
      </c>
      <c r="X665" s="17">
        <f t="shared" si="398"/>
        <v>28.723552731389983</v>
      </c>
      <c r="Y665" s="17">
        <f t="shared" si="399"/>
        <v>42.576926172778734</v>
      </c>
      <c r="Z665" s="17">
        <f t="shared" si="400"/>
        <v>37.079029456517588</v>
      </c>
      <c r="AA665" s="17">
        <f t="shared" si="401"/>
        <v>37.859094596053588</v>
      </c>
      <c r="AB665" s="17">
        <f t="shared" si="402"/>
        <v>36.977779682837813</v>
      </c>
      <c r="AC665" s="17">
        <v>0</v>
      </c>
      <c r="AD665" s="17">
        <f t="shared" si="403"/>
        <v>0</v>
      </c>
      <c r="AE665" s="17">
        <f t="shared" si="404"/>
        <v>0</v>
      </c>
      <c r="AF665" s="17">
        <f t="shared" si="405"/>
        <v>0</v>
      </c>
      <c r="AG665" s="17">
        <f t="shared" si="406"/>
        <v>0</v>
      </c>
      <c r="AH665" s="17">
        <f t="shared" si="407"/>
        <v>0</v>
      </c>
      <c r="AI665" s="17">
        <f t="shared" si="408"/>
        <v>0</v>
      </c>
      <c r="AJ665" s="17">
        <f t="shared" si="409"/>
        <v>0</v>
      </c>
      <c r="AK665" s="17">
        <f t="shared" si="410"/>
        <v>0</v>
      </c>
      <c r="AL665" s="17">
        <f t="shared" si="411"/>
        <v>0</v>
      </c>
      <c r="AM665" s="17">
        <f t="shared" si="412"/>
        <v>0</v>
      </c>
      <c r="AN665" s="17">
        <f t="shared" si="413"/>
        <v>0</v>
      </c>
      <c r="AO665" s="17">
        <f t="shared" si="414"/>
        <v>0</v>
      </c>
      <c r="AP665" s="17">
        <f t="shared" si="415"/>
        <v>500</v>
      </c>
      <c r="AQ665" s="18">
        <v>6.5972063410582082</v>
      </c>
      <c r="AR665" s="18">
        <v>7.8896393142785861</v>
      </c>
      <c r="AS665" s="18">
        <v>6.9823886105213129</v>
      </c>
      <c r="AT665" s="18">
        <v>5.2888906990260232</v>
      </c>
      <c r="AU665" s="18">
        <v>7.6701509968445709</v>
      </c>
      <c r="AV665" s="18">
        <v>6.2856802322144905</v>
      </c>
      <c r="AW665" s="18">
        <v>6.2578321899455096</v>
      </c>
      <c r="AX665" s="18">
        <v>4.2496496266091484</v>
      </c>
      <c r="AY665" s="18">
        <v>6.2992562272626147</v>
      </c>
      <c r="AZ665" s="18">
        <v>5.485842408091778</v>
      </c>
      <c r="BA665" s="18">
        <v>5.6012530454861285</v>
      </c>
      <c r="BB665" s="18">
        <v>5.4708625040758543</v>
      </c>
      <c r="BC665" s="23">
        <v>8.9181565948742242E-2</v>
      </c>
      <c r="BD665" s="23">
        <v>0.10665277883445198</v>
      </c>
      <c r="BE665" s="23">
        <v>9.438849084854764E-2</v>
      </c>
      <c r="BF665" s="23">
        <v>7.149564986855049E-2</v>
      </c>
      <c r="BG665" s="23">
        <v>0.10368571810536763</v>
      </c>
      <c r="BH665" s="23">
        <v>8.4970330952544637E-2</v>
      </c>
      <c r="BI665" s="23">
        <v>8.4593878877262704E-2</v>
      </c>
      <c r="BJ665" s="23">
        <v>5.7447105462779965E-2</v>
      </c>
      <c r="BK665" s="23">
        <v>8.5153852345557474E-2</v>
      </c>
      <c r="BL665" s="23">
        <v>7.4158058913035174E-2</v>
      </c>
      <c r="BM665" s="23">
        <v>7.5718189192107169E-2</v>
      </c>
      <c r="BN665" s="23">
        <v>7.3955559365675619E-2</v>
      </c>
    </row>
    <row r="666" spans="1:66" x14ac:dyDescent="0.25">
      <c r="A666" s="16">
        <v>4485</v>
      </c>
      <c r="B666" s="16" t="s">
        <v>860</v>
      </c>
      <c r="C666" s="17">
        <v>0</v>
      </c>
      <c r="D666" s="17">
        <f t="shared" si="379"/>
        <v>0</v>
      </c>
      <c r="E666" s="17">
        <f t="shared" si="380"/>
        <v>0</v>
      </c>
      <c r="F666" s="17">
        <f t="shared" si="381"/>
        <v>0</v>
      </c>
      <c r="G666" s="17">
        <f t="shared" si="382"/>
        <v>0</v>
      </c>
      <c r="H666" s="17">
        <f t="shared" si="383"/>
        <v>0</v>
      </c>
      <c r="I666" s="17">
        <f t="shared" si="384"/>
        <v>0</v>
      </c>
      <c r="J666" s="17">
        <f t="shared" si="385"/>
        <v>0</v>
      </c>
      <c r="K666" s="17">
        <f t="shared" si="386"/>
        <v>0</v>
      </c>
      <c r="L666" s="17">
        <f t="shared" si="387"/>
        <v>0</v>
      </c>
      <c r="M666" s="17">
        <f t="shared" si="388"/>
        <v>0</v>
      </c>
      <c r="N666" s="17">
        <f t="shared" si="389"/>
        <v>0</v>
      </c>
      <c r="O666" s="17">
        <f t="shared" si="390"/>
        <v>0</v>
      </c>
      <c r="P666" s="17">
        <v>0</v>
      </c>
      <c r="Q666" s="17">
        <f t="shared" si="391"/>
        <v>0</v>
      </c>
      <c r="R666" s="17">
        <f t="shared" si="392"/>
        <v>0</v>
      </c>
      <c r="S666" s="17">
        <f t="shared" si="393"/>
        <v>0</v>
      </c>
      <c r="T666" s="17">
        <f t="shared" si="394"/>
        <v>0</v>
      </c>
      <c r="U666" s="17">
        <f t="shared" si="395"/>
        <v>0</v>
      </c>
      <c r="V666" s="17">
        <f t="shared" si="396"/>
        <v>0</v>
      </c>
      <c r="W666" s="17">
        <f t="shared" si="397"/>
        <v>0</v>
      </c>
      <c r="X666" s="17">
        <f t="shared" si="398"/>
        <v>0</v>
      </c>
      <c r="Y666" s="17">
        <f t="shared" si="399"/>
        <v>0</v>
      </c>
      <c r="Z666" s="17">
        <f t="shared" si="400"/>
        <v>0</v>
      </c>
      <c r="AA666" s="17">
        <f t="shared" si="401"/>
        <v>0</v>
      </c>
      <c r="AB666" s="17">
        <f t="shared" si="402"/>
        <v>0</v>
      </c>
      <c r="AC666" s="17">
        <v>0</v>
      </c>
      <c r="AD666" s="17">
        <f t="shared" si="403"/>
        <v>0</v>
      </c>
      <c r="AE666" s="17">
        <f t="shared" si="404"/>
        <v>0</v>
      </c>
      <c r="AF666" s="17">
        <f t="shared" si="405"/>
        <v>0</v>
      </c>
      <c r="AG666" s="17">
        <f t="shared" si="406"/>
        <v>0</v>
      </c>
      <c r="AH666" s="17">
        <f t="shared" si="407"/>
        <v>0</v>
      </c>
      <c r="AI666" s="17">
        <f t="shared" si="408"/>
        <v>0</v>
      </c>
      <c r="AJ666" s="17">
        <f t="shared" si="409"/>
        <v>0</v>
      </c>
      <c r="AK666" s="17">
        <f t="shared" si="410"/>
        <v>0</v>
      </c>
      <c r="AL666" s="17">
        <f t="shared" si="411"/>
        <v>0</v>
      </c>
      <c r="AM666" s="17">
        <f t="shared" si="412"/>
        <v>0</v>
      </c>
      <c r="AN666" s="17">
        <f t="shared" si="413"/>
        <v>0</v>
      </c>
      <c r="AO666" s="17">
        <f t="shared" si="414"/>
        <v>0</v>
      </c>
      <c r="AP666" s="17">
        <f t="shared" si="415"/>
        <v>0</v>
      </c>
      <c r="AQ666" s="18">
        <v>5.2973850173552897E-2</v>
      </c>
      <c r="AR666" s="18">
        <v>6.3351750627664488E-2</v>
      </c>
      <c r="AS666" s="18">
        <v>5.6066763564037309E-2</v>
      </c>
      <c r="AT666" s="18">
        <v>4.2468416021918996E-2</v>
      </c>
      <c r="AU666" s="18">
        <v>6.158931655458838E-2</v>
      </c>
      <c r="AV666" s="18">
        <v>5.0472376585811524E-2</v>
      </c>
      <c r="AW666" s="18">
        <v>5.0248764053094051E-2</v>
      </c>
      <c r="AX666" s="18">
        <v>3.4123580644891308E-2</v>
      </c>
      <c r="AY666" s="18">
        <v>5.0581388293261149E-2</v>
      </c>
      <c r="AZ666" s="18">
        <v>4.4049886994342903E-2</v>
      </c>
      <c r="BA666" s="18">
        <v>4.4976604380111668E-2</v>
      </c>
      <c r="BB666" s="18">
        <v>4.3929602263211326E-2</v>
      </c>
      <c r="BC666" s="23">
        <v>8.9181565948742242E-2</v>
      </c>
      <c r="BD666" s="23">
        <v>0.10665277883445198</v>
      </c>
      <c r="BE666" s="23">
        <v>9.438849084854764E-2</v>
      </c>
      <c r="BF666" s="23">
        <v>7.149564986855049E-2</v>
      </c>
      <c r="BG666" s="23">
        <v>0.10368571810536763</v>
      </c>
      <c r="BH666" s="23">
        <v>8.4970330952544637E-2</v>
      </c>
      <c r="BI666" s="23">
        <v>8.4593878877262704E-2</v>
      </c>
      <c r="BJ666" s="23">
        <v>5.7447105462779965E-2</v>
      </c>
      <c r="BK666" s="23">
        <v>8.5153852345557474E-2</v>
      </c>
      <c r="BL666" s="23">
        <v>7.4158058913035174E-2</v>
      </c>
      <c r="BM666" s="23">
        <v>7.5718189192107169E-2</v>
      </c>
      <c r="BN666" s="23">
        <v>7.3955559365675619E-2</v>
      </c>
    </row>
    <row r="667" spans="1:66" x14ac:dyDescent="0.25">
      <c r="A667" s="16">
        <v>4493</v>
      </c>
      <c r="B667" s="16" t="s">
        <v>861</v>
      </c>
      <c r="C667" s="17">
        <v>0</v>
      </c>
      <c r="D667" s="17">
        <f t="shared" si="379"/>
        <v>0</v>
      </c>
      <c r="E667" s="17">
        <f t="shared" si="380"/>
        <v>0</v>
      </c>
      <c r="F667" s="17">
        <f t="shared" si="381"/>
        <v>0</v>
      </c>
      <c r="G667" s="17">
        <f t="shared" si="382"/>
        <v>0</v>
      </c>
      <c r="H667" s="17">
        <f t="shared" si="383"/>
        <v>0</v>
      </c>
      <c r="I667" s="17">
        <f t="shared" si="384"/>
        <v>0</v>
      </c>
      <c r="J667" s="17">
        <f t="shared" si="385"/>
        <v>0</v>
      </c>
      <c r="K667" s="17">
        <f t="shared" si="386"/>
        <v>0</v>
      </c>
      <c r="L667" s="17">
        <f t="shared" si="387"/>
        <v>0</v>
      </c>
      <c r="M667" s="17">
        <f t="shared" si="388"/>
        <v>0</v>
      </c>
      <c r="N667" s="17">
        <f t="shared" si="389"/>
        <v>0</v>
      </c>
      <c r="O667" s="17">
        <f t="shared" si="390"/>
        <v>0</v>
      </c>
      <c r="P667" s="17">
        <v>0</v>
      </c>
      <c r="Q667" s="17">
        <f t="shared" si="391"/>
        <v>0</v>
      </c>
      <c r="R667" s="17">
        <f t="shared" si="392"/>
        <v>0</v>
      </c>
      <c r="S667" s="17">
        <f t="shared" si="393"/>
        <v>0</v>
      </c>
      <c r="T667" s="17">
        <f t="shared" si="394"/>
        <v>0</v>
      </c>
      <c r="U667" s="17">
        <f t="shared" si="395"/>
        <v>0</v>
      </c>
      <c r="V667" s="17">
        <f t="shared" si="396"/>
        <v>0</v>
      </c>
      <c r="W667" s="17">
        <f t="shared" si="397"/>
        <v>0</v>
      </c>
      <c r="X667" s="17">
        <f t="shared" si="398"/>
        <v>0</v>
      </c>
      <c r="Y667" s="17">
        <f t="shared" si="399"/>
        <v>0</v>
      </c>
      <c r="Z667" s="17">
        <f t="shared" si="400"/>
        <v>0</v>
      </c>
      <c r="AA667" s="17">
        <f t="shared" si="401"/>
        <v>0</v>
      </c>
      <c r="AB667" s="17">
        <f t="shared" si="402"/>
        <v>0</v>
      </c>
      <c r="AC667" s="17">
        <v>0</v>
      </c>
      <c r="AD667" s="17">
        <f t="shared" si="403"/>
        <v>0</v>
      </c>
      <c r="AE667" s="17">
        <f t="shared" si="404"/>
        <v>0</v>
      </c>
      <c r="AF667" s="17">
        <f t="shared" si="405"/>
        <v>0</v>
      </c>
      <c r="AG667" s="17">
        <f t="shared" si="406"/>
        <v>0</v>
      </c>
      <c r="AH667" s="17">
        <f t="shared" si="407"/>
        <v>0</v>
      </c>
      <c r="AI667" s="17">
        <f t="shared" si="408"/>
        <v>0</v>
      </c>
      <c r="AJ667" s="17">
        <f t="shared" si="409"/>
        <v>0</v>
      </c>
      <c r="AK667" s="17">
        <f t="shared" si="410"/>
        <v>0</v>
      </c>
      <c r="AL667" s="17">
        <f t="shared" si="411"/>
        <v>0</v>
      </c>
      <c r="AM667" s="17">
        <f t="shared" si="412"/>
        <v>0</v>
      </c>
      <c r="AN667" s="17">
        <f t="shared" si="413"/>
        <v>0</v>
      </c>
      <c r="AO667" s="17">
        <f t="shared" si="414"/>
        <v>0</v>
      </c>
      <c r="AP667" s="17">
        <f t="shared" si="415"/>
        <v>0</v>
      </c>
      <c r="AQ667" s="18">
        <v>0</v>
      </c>
      <c r="AR667" s="18">
        <v>0</v>
      </c>
      <c r="AS667" s="18">
        <v>0</v>
      </c>
      <c r="AT667" s="18">
        <v>0</v>
      </c>
      <c r="AU667" s="18">
        <v>0</v>
      </c>
      <c r="AV667" s="18">
        <v>0</v>
      </c>
      <c r="AW667" s="18">
        <v>0</v>
      </c>
      <c r="AX667" s="18">
        <v>0</v>
      </c>
      <c r="AY667" s="18">
        <v>0</v>
      </c>
      <c r="AZ667" s="18">
        <v>0</v>
      </c>
      <c r="BA667" s="18">
        <v>0</v>
      </c>
      <c r="BB667" s="18">
        <v>0</v>
      </c>
      <c r="BC667" s="23">
        <v>8.9181565948742242E-2</v>
      </c>
      <c r="BD667" s="23">
        <v>0.10665277883445198</v>
      </c>
      <c r="BE667" s="23">
        <v>9.438849084854764E-2</v>
      </c>
      <c r="BF667" s="23">
        <v>7.149564986855049E-2</v>
      </c>
      <c r="BG667" s="23">
        <v>0.10368571810536763</v>
      </c>
      <c r="BH667" s="23">
        <v>8.4970330952544637E-2</v>
      </c>
      <c r="BI667" s="23">
        <v>8.4593878877262704E-2</v>
      </c>
      <c r="BJ667" s="23">
        <v>5.7447105462779965E-2</v>
      </c>
      <c r="BK667" s="23">
        <v>8.5153852345557474E-2</v>
      </c>
      <c r="BL667" s="23">
        <v>7.4158058913035174E-2</v>
      </c>
      <c r="BM667" s="23">
        <v>7.5718189192107169E-2</v>
      </c>
      <c r="BN667" s="23">
        <v>7.3955559365675619E-2</v>
      </c>
    </row>
    <row r="668" spans="1:66" x14ac:dyDescent="0.25">
      <c r="A668" s="16">
        <v>4506</v>
      </c>
      <c r="B668" s="16" t="s">
        <v>862</v>
      </c>
      <c r="C668" s="17">
        <v>0</v>
      </c>
      <c r="D668" s="17">
        <f t="shared" si="379"/>
        <v>0</v>
      </c>
      <c r="E668" s="17">
        <f t="shared" si="380"/>
        <v>0</v>
      </c>
      <c r="F668" s="17">
        <f t="shared" si="381"/>
        <v>0</v>
      </c>
      <c r="G668" s="17">
        <f t="shared" si="382"/>
        <v>0</v>
      </c>
      <c r="H668" s="17">
        <f t="shared" si="383"/>
        <v>0</v>
      </c>
      <c r="I668" s="17">
        <f t="shared" si="384"/>
        <v>0</v>
      </c>
      <c r="J668" s="17">
        <f t="shared" si="385"/>
        <v>0</v>
      </c>
      <c r="K668" s="17">
        <f t="shared" si="386"/>
        <v>0</v>
      </c>
      <c r="L668" s="17">
        <f t="shared" si="387"/>
        <v>0</v>
      </c>
      <c r="M668" s="17">
        <f t="shared" si="388"/>
        <v>0</v>
      </c>
      <c r="N668" s="17">
        <f t="shared" si="389"/>
        <v>0</v>
      </c>
      <c r="O668" s="17">
        <f t="shared" si="390"/>
        <v>0</v>
      </c>
      <c r="P668" s="17">
        <v>0</v>
      </c>
      <c r="Q668" s="17">
        <f t="shared" si="391"/>
        <v>0</v>
      </c>
      <c r="R668" s="17">
        <f t="shared" si="392"/>
        <v>0</v>
      </c>
      <c r="S668" s="17">
        <f t="shared" si="393"/>
        <v>0</v>
      </c>
      <c r="T668" s="17">
        <f t="shared" si="394"/>
        <v>0</v>
      </c>
      <c r="U668" s="17">
        <f t="shared" si="395"/>
        <v>0</v>
      </c>
      <c r="V668" s="17">
        <f t="shared" si="396"/>
        <v>0</v>
      </c>
      <c r="W668" s="17">
        <f t="shared" si="397"/>
        <v>0</v>
      </c>
      <c r="X668" s="17">
        <f t="shared" si="398"/>
        <v>0</v>
      </c>
      <c r="Y668" s="17">
        <f t="shared" si="399"/>
        <v>0</v>
      </c>
      <c r="Z668" s="17">
        <f t="shared" si="400"/>
        <v>0</v>
      </c>
      <c r="AA668" s="17">
        <f t="shared" si="401"/>
        <v>0</v>
      </c>
      <c r="AB668" s="17">
        <f t="shared" si="402"/>
        <v>0</v>
      </c>
      <c r="AC668" s="17">
        <v>0</v>
      </c>
      <c r="AD668" s="17">
        <f t="shared" si="403"/>
        <v>0</v>
      </c>
      <c r="AE668" s="17">
        <f t="shared" si="404"/>
        <v>0</v>
      </c>
      <c r="AF668" s="17">
        <f t="shared" si="405"/>
        <v>0</v>
      </c>
      <c r="AG668" s="17">
        <f t="shared" si="406"/>
        <v>0</v>
      </c>
      <c r="AH668" s="17">
        <f t="shared" si="407"/>
        <v>0</v>
      </c>
      <c r="AI668" s="17">
        <f t="shared" si="408"/>
        <v>0</v>
      </c>
      <c r="AJ668" s="17">
        <f t="shared" si="409"/>
        <v>0</v>
      </c>
      <c r="AK668" s="17">
        <f t="shared" si="410"/>
        <v>0</v>
      </c>
      <c r="AL668" s="17">
        <f t="shared" si="411"/>
        <v>0</v>
      </c>
      <c r="AM668" s="17">
        <f t="shared" si="412"/>
        <v>0</v>
      </c>
      <c r="AN668" s="17">
        <f t="shared" si="413"/>
        <v>0</v>
      </c>
      <c r="AO668" s="17">
        <f t="shared" si="414"/>
        <v>0</v>
      </c>
      <c r="AP668" s="17">
        <f t="shared" si="415"/>
        <v>0</v>
      </c>
      <c r="AQ668" s="18">
        <v>13.243462543388222</v>
      </c>
      <c r="AR668" s="18">
        <v>15.83793765691612</v>
      </c>
      <c r="AS668" s="18">
        <v>14.016690891009324</v>
      </c>
      <c r="AT668" s="18">
        <v>10.617104005479748</v>
      </c>
      <c r="AU668" s="18">
        <v>15.397329138647093</v>
      </c>
      <c r="AV668" s="18">
        <v>12.618094146452879</v>
      </c>
      <c r="AW668" s="18">
        <v>12.562191013273512</v>
      </c>
      <c r="AX668" s="18">
        <v>8.5308951612228245</v>
      </c>
      <c r="AY668" s="18">
        <v>12.645347073315286</v>
      </c>
      <c r="AZ668" s="18">
        <v>11.012471748585723</v>
      </c>
      <c r="BA668" s="18">
        <v>11.244151095027915</v>
      </c>
      <c r="BB668" s="18">
        <v>10.982400565802829</v>
      </c>
      <c r="BC668" s="23">
        <v>8.9181565948742242E-2</v>
      </c>
      <c r="BD668" s="23">
        <v>0.10665277883445198</v>
      </c>
      <c r="BE668" s="23">
        <v>9.438849084854764E-2</v>
      </c>
      <c r="BF668" s="23">
        <v>7.149564986855049E-2</v>
      </c>
      <c r="BG668" s="23">
        <v>0.10368571810536763</v>
      </c>
      <c r="BH668" s="23">
        <v>8.4970330952544637E-2</v>
      </c>
      <c r="BI668" s="23">
        <v>8.4593878877262704E-2</v>
      </c>
      <c r="BJ668" s="23">
        <v>5.7447105462779965E-2</v>
      </c>
      <c r="BK668" s="23">
        <v>8.5153852345557474E-2</v>
      </c>
      <c r="BL668" s="23">
        <v>7.4158058913035174E-2</v>
      </c>
      <c r="BM668" s="23">
        <v>7.5718189192107169E-2</v>
      </c>
      <c r="BN668" s="23">
        <v>7.3955559365675619E-2</v>
      </c>
    </row>
    <row r="669" spans="1:66" x14ac:dyDescent="0.25">
      <c r="A669" s="16">
        <v>4513</v>
      </c>
      <c r="B669" s="16" t="s">
        <v>863</v>
      </c>
      <c r="C669" s="17">
        <v>0</v>
      </c>
      <c r="D669" s="17">
        <f t="shared" si="379"/>
        <v>0</v>
      </c>
      <c r="E669" s="17">
        <f t="shared" si="380"/>
        <v>0</v>
      </c>
      <c r="F669" s="17">
        <f t="shared" si="381"/>
        <v>0</v>
      </c>
      <c r="G669" s="17">
        <f t="shared" si="382"/>
        <v>0</v>
      </c>
      <c r="H669" s="17">
        <f t="shared" si="383"/>
        <v>0</v>
      </c>
      <c r="I669" s="17">
        <f t="shared" si="384"/>
        <v>0</v>
      </c>
      <c r="J669" s="17">
        <f t="shared" si="385"/>
        <v>0</v>
      </c>
      <c r="K669" s="17">
        <f t="shared" si="386"/>
        <v>0</v>
      </c>
      <c r="L669" s="17">
        <f t="shared" si="387"/>
        <v>0</v>
      </c>
      <c r="M669" s="17">
        <f t="shared" si="388"/>
        <v>0</v>
      </c>
      <c r="N669" s="17">
        <f t="shared" si="389"/>
        <v>0</v>
      </c>
      <c r="O669" s="17">
        <f t="shared" si="390"/>
        <v>0</v>
      </c>
      <c r="P669" s="17">
        <v>0</v>
      </c>
      <c r="Q669" s="17">
        <f t="shared" si="391"/>
        <v>0</v>
      </c>
      <c r="R669" s="17">
        <f t="shared" si="392"/>
        <v>0</v>
      </c>
      <c r="S669" s="17">
        <f t="shared" si="393"/>
        <v>0</v>
      </c>
      <c r="T669" s="17">
        <f t="shared" si="394"/>
        <v>0</v>
      </c>
      <c r="U669" s="17">
        <f t="shared" si="395"/>
        <v>0</v>
      </c>
      <c r="V669" s="17">
        <f t="shared" si="396"/>
        <v>0</v>
      </c>
      <c r="W669" s="17">
        <f t="shared" si="397"/>
        <v>0</v>
      </c>
      <c r="X669" s="17">
        <f t="shared" si="398"/>
        <v>0</v>
      </c>
      <c r="Y669" s="17">
        <f t="shared" si="399"/>
        <v>0</v>
      </c>
      <c r="Z669" s="17">
        <f t="shared" si="400"/>
        <v>0</v>
      </c>
      <c r="AA669" s="17">
        <f t="shared" si="401"/>
        <v>0</v>
      </c>
      <c r="AB669" s="17">
        <f t="shared" si="402"/>
        <v>0</v>
      </c>
      <c r="AC669" s="17">
        <v>0</v>
      </c>
      <c r="AD669" s="17">
        <f t="shared" si="403"/>
        <v>0</v>
      </c>
      <c r="AE669" s="17">
        <f t="shared" si="404"/>
        <v>0</v>
      </c>
      <c r="AF669" s="17">
        <f t="shared" si="405"/>
        <v>0</v>
      </c>
      <c r="AG669" s="17">
        <f t="shared" si="406"/>
        <v>0</v>
      </c>
      <c r="AH669" s="17">
        <f t="shared" si="407"/>
        <v>0</v>
      </c>
      <c r="AI669" s="17">
        <f t="shared" si="408"/>
        <v>0</v>
      </c>
      <c r="AJ669" s="17">
        <f t="shared" si="409"/>
        <v>0</v>
      </c>
      <c r="AK669" s="17">
        <f t="shared" si="410"/>
        <v>0</v>
      </c>
      <c r="AL669" s="17">
        <f t="shared" si="411"/>
        <v>0</v>
      </c>
      <c r="AM669" s="17">
        <f t="shared" si="412"/>
        <v>0</v>
      </c>
      <c r="AN669" s="17">
        <f t="shared" si="413"/>
        <v>0</v>
      </c>
      <c r="AO669" s="17">
        <f t="shared" si="414"/>
        <v>0</v>
      </c>
      <c r="AP669" s="17">
        <f t="shared" si="415"/>
        <v>0</v>
      </c>
      <c r="AQ669" s="18">
        <v>0</v>
      </c>
      <c r="AR669" s="18">
        <v>0</v>
      </c>
      <c r="AS669" s="18">
        <v>0</v>
      </c>
      <c r="AT669" s="18">
        <v>0</v>
      </c>
      <c r="AU669" s="18">
        <v>0</v>
      </c>
      <c r="AV669" s="18">
        <v>0</v>
      </c>
      <c r="AW669" s="18">
        <v>0</v>
      </c>
      <c r="AX669" s="18">
        <v>0</v>
      </c>
      <c r="AY669" s="18">
        <v>0</v>
      </c>
      <c r="AZ669" s="18">
        <v>0</v>
      </c>
      <c r="BA669" s="18">
        <v>0</v>
      </c>
      <c r="BB669" s="18">
        <v>0</v>
      </c>
      <c r="BC669" s="23">
        <v>8.9181565948742242E-2</v>
      </c>
      <c r="BD669" s="23">
        <v>0.10665277883445198</v>
      </c>
      <c r="BE669" s="23">
        <v>9.438849084854764E-2</v>
      </c>
      <c r="BF669" s="23">
        <v>7.149564986855049E-2</v>
      </c>
      <c r="BG669" s="23">
        <v>0.10368571810536763</v>
      </c>
      <c r="BH669" s="23">
        <v>8.4970330952544637E-2</v>
      </c>
      <c r="BI669" s="23">
        <v>8.4593878877262704E-2</v>
      </c>
      <c r="BJ669" s="23">
        <v>5.7447105462779965E-2</v>
      </c>
      <c r="BK669" s="23">
        <v>8.5153852345557474E-2</v>
      </c>
      <c r="BL669" s="23">
        <v>7.4158058913035174E-2</v>
      </c>
      <c r="BM669" s="23">
        <v>7.5718189192107169E-2</v>
      </c>
      <c r="BN669" s="23">
        <v>7.3955559365675619E-2</v>
      </c>
    </row>
    <row r="670" spans="1:66" x14ac:dyDescent="0.25">
      <c r="A670" s="16">
        <v>4534</v>
      </c>
      <c r="B670" s="16" t="s">
        <v>864</v>
      </c>
      <c r="C670" s="17">
        <v>500</v>
      </c>
      <c r="D670" s="17">
        <f t="shared" si="379"/>
        <v>44.590782974371123</v>
      </c>
      <c r="E670" s="17">
        <f t="shared" si="380"/>
        <v>53.32638941722599</v>
      </c>
      <c r="F670" s="17">
        <f t="shared" si="381"/>
        <v>47.194245424273824</v>
      </c>
      <c r="G670" s="17">
        <f t="shared" si="382"/>
        <v>35.747824934275243</v>
      </c>
      <c r="H670" s="17">
        <f t="shared" si="383"/>
        <v>51.842859052683814</v>
      </c>
      <c r="I670" s="17">
        <f t="shared" si="384"/>
        <v>42.485165476272321</v>
      </c>
      <c r="J670" s="17">
        <f t="shared" si="385"/>
        <v>42.296939438631355</v>
      </c>
      <c r="K670" s="17">
        <f t="shared" si="386"/>
        <v>28.723552731389983</v>
      </c>
      <c r="L670" s="17">
        <f t="shared" si="387"/>
        <v>42.576926172778734</v>
      </c>
      <c r="M670" s="17">
        <f t="shared" si="388"/>
        <v>37.079029456517588</v>
      </c>
      <c r="N670" s="17">
        <f t="shared" si="389"/>
        <v>37.859094596053588</v>
      </c>
      <c r="O670" s="17">
        <f t="shared" si="390"/>
        <v>36.977779682837813</v>
      </c>
      <c r="P670" s="17">
        <v>0</v>
      </c>
      <c r="Q670" s="17">
        <f t="shared" si="391"/>
        <v>0</v>
      </c>
      <c r="R670" s="17">
        <f t="shared" si="392"/>
        <v>0</v>
      </c>
      <c r="S670" s="17">
        <f t="shared" si="393"/>
        <v>0</v>
      </c>
      <c r="T670" s="17">
        <f t="shared" si="394"/>
        <v>0</v>
      </c>
      <c r="U670" s="17">
        <f t="shared" si="395"/>
        <v>0</v>
      </c>
      <c r="V670" s="17">
        <f t="shared" si="396"/>
        <v>0</v>
      </c>
      <c r="W670" s="17">
        <f t="shared" si="397"/>
        <v>0</v>
      </c>
      <c r="X670" s="17">
        <f t="shared" si="398"/>
        <v>0</v>
      </c>
      <c r="Y670" s="17">
        <f t="shared" si="399"/>
        <v>0</v>
      </c>
      <c r="Z670" s="17">
        <f t="shared" si="400"/>
        <v>0</v>
      </c>
      <c r="AA670" s="17">
        <f t="shared" si="401"/>
        <v>0</v>
      </c>
      <c r="AB670" s="17">
        <f t="shared" si="402"/>
        <v>0</v>
      </c>
      <c r="AC670" s="17">
        <v>0</v>
      </c>
      <c r="AD670" s="17">
        <f t="shared" si="403"/>
        <v>0</v>
      </c>
      <c r="AE670" s="17">
        <f t="shared" si="404"/>
        <v>0</v>
      </c>
      <c r="AF670" s="17">
        <f t="shared" si="405"/>
        <v>0</v>
      </c>
      <c r="AG670" s="17">
        <f t="shared" si="406"/>
        <v>0</v>
      </c>
      <c r="AH670" s="17">
        <f t="shared" si="407"/>
        <v>0</v>
      </c>
      <c r="AI670" s="17">
        <f t="shared" si="408"/>
        <v>0</v>
      </c>
      <c r="AJ670" s="17">
        <f t="shared" si="409"/>
        <v>0</v>
      </c>
      <c r="AK670" s="17">
        <f t="shared" si="410"/>
        <v>0</v>
      </c>
      <c r="AL670" s="17">
        <f t="shared" si="411"/>
        <v>0</v>
      </c>
      <c r="AM670" s="17">
        <f t="shared" si="412"/>
        <v>0</v>
      </c>
      <c r="AN670" s="17">
        <f t="shared" si="413"/>
        <v>0</v>
      </c>
      <c r="AO670" s="17">
        <f t="shared" si="414"/>
        <v>0</v>
      </c>
      <c r="AP670" s="17">
        <f t="shared" si="415"/>
        <v>500</v>
      </c>
      <c r="AQ670" s="18">
        <v>0</v>
      </c>
      <c r="AR670" s="18">
        <v>0</v>
      </c>
      <c r="AS670" s="18">
        <v>0</v>
      </c>
      <c r="AT670" s="18">
        <v>0</v>
      </c>
      <c r="AU670" s="18">
        <v>0</v>
      </c>
      <c r="AV670" s="18">
        <v>0</v>
      </c>
      <c r="AW670" s="18">
        <v>0</v>
      </c>
      <c r="AX670" s="18">
        <v>0</v>
      </c>
      <c r="AY670" s="18">
        <v>0</v>
      </c>
      <c r="AZ670" s="18">
        <v>0</v>
      </c>
      <c r="BA670" s="18">
        <v>0</v>
      </c>
      <c r="BB670" s="18">
        <v>0</v>
      </c>
      <c r="BC670" s="23">
        <v>8.9181565948742242E-2</v>
      </c>
      <c r="BD670" s="23">
        <v>0.10665277883445198</v>
      </c>
      <c r="BE670" s="23">
        <v>9.438849084854764E-2</v>
      </c>
      <c r="BF670" s="23">
        <v>7.149564986855049E-2</v>
      </c>
      <c r="BG670" s="23">
        <v>0.10368571810536763</v>
      </c>
      <c r="BH670" s="23">
        <v>8.4970330952544637E-2</v>
      </c>
      <c r="BI670" s="23">
        <v>8.4593878877262704E-2</v>
      </c>
      <c r="BJ670" s="23">
        <v>5.7447105462779965E-2</v>
      </c>
      <c r="BK670" s="23">
        <v>8.5153852345557474E-2</v>
      </c>
      <c r="BL670" s="23">
        <v>7.4158058913035174E-2</v>
      </c>
      <c r="BM670" s="23">
        <v>7.5718189192107169E-2</v>
      </c>
      <c r="BN670" s="23">
        <v>7.3955559365675619E-2</v>
      </c>
    </row>
    <row r="671" spans="1:66" x14ac:dyDescent="0.25">
      <c r="A671" s="16">
        <v>4545</v>
      </c>
      <c r="B671" s="16" t="s">
        <v>865</v>
      </c>
      <c r="C671" s="17">
        <v>0</v>
      </c>
      <c r="D671" s="17">
        <f t="shared" si="379"/>
        <v>0</v>
      </c>
      <c r="E671" s="17">
        <f t="shared" si="380"/>
        <v>0</v>
      </c>
      <c r="F671" s="17">
        <f t="shared" si="381"/>
        <v>0</v>
      </c>
      <c r="G671" s="17">
        <f t="shared" si="382"/>
        <v>0</v>
      </c>
      <c r="H671" s="17">
        <f t="shared" si="383"/>
        <v>0</v>
      </c>
      <c r="I671" s="17">
        <f t="shared" si="384"/>
        <v>0</v>
      </c>
      <c r="J671" s="17">
        <f t="shared" si="385"/>
        <v>0</v>
      </c>
      <c r="K671" s="17">
        <f t="shared" si="386"/>
        <v>0</v>
      </c>
      <c r="L671" s="17">
        <f t="shared" si="387"/>
        <v>0</v>
      </c>
      <c r="M671" s="17">
        <f t="shared" si="388"/>
        <v>0</v>
      </c>
      <c r="N671" s="17">
        <f t="shared" si="389"/>
        <v>0</v>
      </c>
      <c r="O671" s="17">
        <f t="shared" si="390"/>
        <v>0</v>
      </c>
      <c r="P671" s="17">
        <v>2500</v>
      </c>
      <c r="Q671" s="17">
        <f t="shared" si="391"/>
        <v>222.9539148718556</v>
      </c>
      <c r="R671" s="17">
        <f t="shared" si="392"/>
        <v>266.63194708612997</v>
      </c>
      <c r="S671" s="17">
        <f t="shared" si="393"/>
        <v>235.97122712136911</v>
      </c>
      <c r="T671" s="17">
        <f t="shared" si="394"/>
        <v>178.73912467137623</v>
      </c>
      <c r="U671" s="17">
        <f t="shared" si="395"/>
        <v>259.21429526341905</v>
      </c>
      <c r="V671" s="17">
        <f t="shared" si="396"/>
        <v>212.42582738136159</v>
      </c>
      <c r="W671" s="17">
        <f t="shared" si="397"/>
        <v>211.48469719315676</v>
      </c>
      <c r="X671" s="17">
        <f t="shared" si="398"/>
        <v>143.6177636569499</v>
      </c>
      <c r="Y671" s="17">
        <f t="shared" si="399"/>
        <v>212.88463086389368</v>
      </c>
      <c r="Z671" s="17">
        <f t="shared" si="400"/>
        <v>185.39514728258794</v>
      </c>
      <c r="AA671" s="17">
        <f t="shared" si="401"/>
        <v>189.29547298026793</v>
      </c>
      <c r="AB671" s="17">
        <f t="shared" si="402"/>
        <v>184.88889841418904</v>
      </c>
      <c r="AC671" s="17">
        <v>0</v>
      </c>
      <c r="AD671" s="17">
        <f t="shared" si="403"/>
        <v>0</v>
      </c>
      <c r="AE671" s="17">
        <f t="shared" si="404"/>
        <v>0</v>
      </c>
      <c r="AF671" s="17">
        <f t="shared" si="405"/>
        <v>0</v>
      </c>
      <c r="AG671" s="17">
        <f t="shared" si="406"/>
        <v>0</v>
      </c>
      <c r="AH671" s="17">
        <f t="shared" si="407"/>
        <v>0</v>
      </c>
      <c r="AI671" s="17">
        <f t="shared" si="408"/>
        <v>0</v>
      </c>
      <c r="AJ671" s="17">
        <f t="shared" si="409"/>
        <v>0</v>
      </c>
      <c r="AK671" s="17">
        <f t="shared" si="410"/>
        <v>0</v>
      </c>
      <c r="AL671" s="17">
        <f t="shared" si="411"/>
        <v>0</v>
      </c>
      <c r="AM671" s="17">
        <f t="shared" si="412"/>
        <v>0</v>
      </c>
      <c r="AN671" s="17">
        <f t="shared" si="413"/>
        <v>0</v>
      </c>
      <c r="AO671" s="17">
        <f t="shared" si="414"/>
        <v>0</v>
      </c>
      <c r="AP671" s="17">
        <f t="shared" si="415"/>
        <v>2500</v>
      </c>
      <c r="AQ671" s="18">
        <v>0</v>
      </c>
      <c r="AR671" s="18">
        <v>0</v>
      </c>
      <c r="AS671" s="18">
        <v>0</v>
      </c>
      <c r="AT671" s="18">
        <v>0</v>
      </c>
      <c r="AU671" s="18">
        <v>0</v>
      </c>
      <c r="AV671" s="18">
        <v>0</v>
      </c>
      <c r="AW671" s="18">
        <v>0</v>
      </c>
      <c r="AX671" s="18">
        <v>0</v>
      </c>
      <c r="AY671" s="18">
        <v>0</v>
      </c>
      <c r="AZ671" s="18">
        <v>0</v>
      </c>
      <c r="BA671" s="18">
        <v>0</v>
      </c>
      <c r="BB671" s="18">
        <v>0</v>
      </c>
      <c r="BC671" s="23">
        <v>8.9181565948742242E-2</v>
      </c>
      <c r="BD671" s="23">
        <v>0.10665277883445198</v>
      </c>
      <c r="BE671" s="23">
        <v>9.438849084854764E-2</v>
      </c>
      <c r="BF671" s="23">
        <v>7.149564986855049E-2</v>
      </c>
      <c r="BG671" s="23">
        <v>0.10368571810536763</v>
      </c>
      <c r="BH671" s="23">
        <v>8.4970330952544637E-2</v>
      </c>
      <c r="BI671" s="23">
        <v>8.4593878877262704E-2</v>
      </c>
      <c r="BJ671" s="23">
        <v>5.7447105462779965E-2</v>
      </c>
      <c r="BK671" s="23">
        <v>8.5153852345557474E-2</v>
      </c>
      <c r="BL671" s="23">
        <v>7.4158058913035174E-2</v>
      </c>
      <c r="BM671" s="23">
        <v>7.5718189192107169E-2</v>
      </c>
      <c r="BN671" s="23">
        <v>7.3955559365675619E-2</v>
      </c>
    </row>
    <row r="672" spans="1:66" x14ac:dyDescent="0.25">
      <c r="A672" s="16">
        <v>4553</v>
      </c>
      <c r="B672" s="16" t="s">
        <v>866</v>
      </c>
      <c r="C672" s="17">
        <v>0</v>
      </c>
      <c r="D672" s="17">
        <f t="shared" si="379"/>
        <v>0</v>
      </c>
      <c r="E672" s="17">
        <f t="shared" si="380"/>
        <v>0</v>
      </c>
      <c r="F672" s="17">
        <f t="shared" si="381"/>
        <v>0</v>
      </c>
      <c r="G672" s="17">
        <f t="shared" si="382"/>
        <v>0</v>
      </c>
      <c r="H672" s="17">
        <f t="shared" si="383"/>
        <v>0</v>
      </c>
      <c r="I672" s="17">
        <f t="shared" si="384"/>
        <v>0</v>
      </c>
      <c r="J672" s="17">
        <f t="shared" si="385"/>
        <v>0</v>
      </c>
      <c r="K672" s="17">
        <f t="shared" si="386"/>
        <v>0</v>
      </c>
      <c r="L672" s="17">
        <f t="shared" si="387"/>
        <v>0</v>
      </c>
      <c r="M672" s="17">
        <f t="shared" si="388"/>
        <v>0</v>
      </c>
      <c r="N672" s="17">
        <f t="shared" si="389"/>
        <v>0</v>
      </c>
      <c r="O672" s="17">
        <f t="shared" si="390"/>
        <v>0</v>
      </c>
      <c r="P672" s="17">
        <v>0</v>
      </c>
      <c r="Q672" s="17">
        <f t="shared" si="391"/>
        <v>0</v>
      </c>
      <c r="R672" s="17">
        <f t="shared" si="392"/>
        <v>0</v>
      </c>
      <c r="S672" s="17">
        <f t="shared" si="393"/>
        <v>0</v>
      </c>
      <c r="T672" s="17">
        <f t="shared" si="394"/>
        <v>0</v>
      </c>
      <c r="U672" s="17">
        <f t="shared" si="395"/>
        <v>0</v>
      </c>
      <c r="V672" s="17">
        <f t="shared" si="396"/>
        <v>0</v>
      </c>
      <c r="W672" s="17">
        <f t="shared" si="397"/>
        <v>0</v>
      </c>
      <c r="X672" s="17">
        <f t="shared" si="398"/>
        <v>0</v>
      </c>
      <c r="Y672" s="17">
        <f t="shared" si="399"/>
        <v>0</v>
      </c>
      <c r="Z672" s="17">
        <f t="shared" si="400"/>
        <v>0</v>
      </c>
      <c r="AA672" s="17">
        <f t="shared" si="401"/>
        <v>0</v>
      </c>
      <c r="AB672" s="17">
        <f t="shared" si="402"/>
        <v>0</v>
      </c>
      <c r="AC672" s="17">
        <v>0</v>
      </c>
      <c r="AD672" s="17">
        <f t="shared" si="403"/>
        <v>0</v>
      </c>
      <c r="AE672" s="17">
        <f t="shared" si="404"/>
        <v>0</v>
      </c>
      <c r="AF672" s="17">
        <f t="shared" si="405"/>
        <v>0</v>
      </c>
      <c r="AG672" s="17">
        <f t="shared" si="406"/>
        <v>0</v>
      </c>
      <c r="AH672" s="17">
        <f t="shared" si="407"/>
        <v>0</v>
      </c>
      <c r="AI672" s="17">
        <f t="shared" si="408"/>
        <v>0</v>
      </c>
      <c r="AJ672" s="17">
        <f t="shared" si="409"/>
        <v>0</v>
      </c>
      <c r="AK672" s="17">
        <f t="shared" si="410"/>
        <v>0</v>
      </c>
      <c r="AL672" s="17">
        <f t="shared" si="411"/>
        <v>0</v>
      </c>
      <c r="AM672" s="17">
        <f t="shared" si="412"/>
        <v>0</v>
      </c>
      <c r="AN672" s="17">
        <f t="shared" si="413"/>
        <v>0</v>
      </c>
      <c r="AO672" s="17">
        <f t="shared" si="414"/>
        <v>0</v>
      </c>
      <c r="AP672" s="17">
        <f t="shared" si="415"/>
        <v>0</v>
      </c>
      <c r="AQ672" s="18">
        <v>0</v>
      </c>
      <c r="AR672" s="18">
        <v>0</v>
      </c>
      <c r="AS672" s="18">
        <v>0</v>
      </c>
      <c r="AT672" s="18">
        <v>0</v>
      </c>
      <c r="AU672" s="18">
        <v>0</v>
      </c>
      <c r="AV672" s="18">
        <v>0</v>
      </c>
      <c r="AW672" s="18">
        <v>0</v>
      </c>
      <c r="AX672" s="18">
        <v>0</v>
      </c>
      <c r="AY672" s="18">
        <v>0</v>
      </c>
      <c r="AZ672" s="18">
        <v>0</v>
      </c>
      <c r="BA672" s="18">
        <v>0</v>
      </c>
      <c r="BB672" s="18">
        <v>0</v>
      </c>
      <c r="BC672" s="23">
        <v>8.9181565948742242E-2</v>
      </c>
      <c r="BD672" s="23">
        <v>0.10665277883445198</v>
      </c>
      <c r="BE672" s="23">
        <v>9.438849084854764E-2</v>
      </c>
      <c r="BF672" s="23">
        <v>7.149564986855049E-2</v>
      </c>
      <c r="BG672" s="23">
        <v>0.10368571810536763</v>
      </c>
      <c r="BH672" s="23">
        <v>8.4970330952544637E-2</v>
      </c>
      <c r="BI672" s="23">
        <v>8.4593878877262704E-2</v>
      </c>
      <c r="BJ672" s="23">
        <v>5.7447105462779965E-2</v>
      </c>
      <c r="BK672" s="23">
        <v>8.5153852345557474E-2</v>
      </c>
      <c r="BL672" s="23">
        <v>7.4158058913035174E-2</v>
      </c>
      <c r="BM672" s="23">
        <v>7.5718189192107169E-2</v>
      </c>
      <c r="BN672" s="23">
        <v>7.3955559365675619E-2</v>
      </c>
    </row>
    <row r="673" spans="1:66" x14ac:dyDescent="0.25">
      <c r="A673" s="16">
        <v>4573</v>
      </c>
      <c r="B673" s="16" t="s">
        <v>867</v>
      </c>
      <c r="C673" s="17">
        <v>0</v>
      </c>
      <c r="D673" s="17">
        <f t="shared" si="379"/>
        <v>0</v>
      </c>
      <c r="E673" s="17">
        <f t="shared" si="380"/>
        <v>0</v>
      </c>
      <c r="F673" s="17">
        <f t="shared" si="381"/>
        <v>0</v>
      </c>
      <c r="G673" s="17">
        <f t="shared" si="382"/>
        <v>0</v>
      </c>
      <c r="H673" s="17">
        <f t="shared" si="383"/>
        <v>0</v>
      </c>
      <c r="I673" s="17">
        <f t="shared" si="384"/>
        <v>0</v>
      </c>
      <c r="J673" s="17">
        <f t="shared" si="385"/>
        <v>0</v>
      </c>
      <c r="K673" s="17">
        <f t="shared" si="386"/>
        <v>0</v>
      </c>
      <c r="L673" s="17">
        <f t="shared" si="387"/>
        <v>0</v>
      </c>
      <c r="M673" s="17">
        <f t="shared" si="388"/>
        <v>0</v>
      </c>
      <c r="N673" s="17">
        <f t="shared" si="389"/>
        <v>0</v>
      </c>
      <c r="O673" s="17">
        <f t="shared" si="390"/>
        <v>0</v>
      </c>
      <c r="P673" s="17">
        <v>0</v>
      </c>
      <c r="Q673" s="17">
        <f t="shared" si="391"/>
        <v>0</v>
      </c>
      <c r="R673" s="17">
        <f t="shared" si="392"/>
        <v>0</v>
      </c>
      <c r="S673" s="17">
        <f t="shared" si="393"/>
        <v>0</v>
      </c>
      <c r="T673" s="17">
        <f t="shared" si="394"/>
        <v>0</v>
      </c>
      <c r="U673" s="17">
        <f t="shared" si="395"/>
        <v>0</v>
      </c>
      <c r="V673" s="17">
        <f t="shared" si="396"/>
        <v>0</v>
      </c>
      <c r="W673" s="17">
        <f t="shared" si="397"/>
        <v>0</v>
      </c>
      <c r="X673" s="17">
        <f t="shared" si="398"/>
        <v>0</v>
      </c>
      <c r="Y673" s="17">
        <f t="shared" si="399"/>
        <v>0</v>
      </c>
      <c r="Z673" s="17">
        <f t="shared" si="400"/>
        <v>0</v>
      </c>
      <c r="AA673" s="17">
        <f t="shared" si="401"/>
        <v>0</v>
      </c>
      <c r="AB673" s="17">
        <f t="shared" si="402"/>
        <v>0</v>
      </c>
      <c r="AC673" s="17">
        <v>0</v>
      </c>
      <c r="AD673" s="17">
        <f t="shared" si="403"/>
        <v>0</v>
      </c>
      <c r="AE673" s="17">
        <f t="shared" si="404"/>
        <v>0</v>
      </c>
      <c r="AF673" s="17">
        <f t="shared" si="405"/>
        <v>0</v>
      </c>
      <c r="AG673" s="17">
        <f t="shared" si="406"/>
        <v>0</v>
      </c>
      <c r="AH673" s="17">
        <f t="shared" si="407"/>
        <v>0</v>
      </c>
      <c r="AI673" s="17">
        <f t="shared" si="408"/>
        <v>0</v>
      </c>
      <c r="AJ673" s="17">
        <f t="shared" si="409"/>
        <v>0</v>
      </c>
      <c r="AK673" s="17">
        <f t="shared" si="410"/>
        <v>0</v>
      </c>
      <c r="AL673" s="17">
        <f t="shared" si="411"/>
        <v>0</v>
      </c>
      <c r="AM673" s="17">
        <f t="shared" si="412"/>
        <v>0</v>
      </c>
      <c r="AN673" s="17">
        <f t="shared" si="413"/>
        <v>0</v>
      </c>
      <c r="AO673" s="17">
        <f t="shared" si="414"/>
        <v>0</v>
      </c>
      <c r="AP673" s="17">
        <f t="shared" si="415"/>
        <v>0</v>
      </c>
      <c r="AQ673" s="18">
        <v>0</v>
      </c>
      <c r="AR673" s="18">
        <v>0</v>
      </c>
      <c r="AS673" s="18">
        <v>0</v>
      </c>
      <c r="AT673" s="18">
        <v>0</v>
      </c>
      <c r="AU673" s="18">
        <v>0</v>
      </c>
      <c r="AV673" s="18">
        <v>0</v>
      </c>
      <c r="AW673" s="18">
        <v>0</v>
      </c>
      <c r="AX673" s="18">
        <v>0</v>
      </c>
      <c r="AY673" s="18">
        <v>0</v>
      </c>
      <c r="AZ673" s="18">
        <v>0</v>
      </c>
      <c r="BA673" s="18">
        <v>0</v>
      </c>
      <c r="BB673" s="18">
        <v>0</v>
      </c>
      <c r="BC673" s="23">
        <v>8.9181565948742242E-2</v>
      </c>
      <c r="BD673" s="23">
        <v>0.10665277883445198</v>
      </c>
      <c r="BE673" s="23">
        <v>9.438849084854764E-2</v>
      </c>
      <c r="BF673" s="23">
        <v>7.149564986855049E-2</v>
      </c>
      <c r="BG673" s="23">
        <v>0.10368571810536763</v>
      </c>
      <c r="BH673" s="23">
        <v>8.4970330952544637E-2</v>
      </c>
      <c r="BI673" s="23">
        <v>8.4593878877262704E-2</v>
      </c>
      <c r="BJ673" s="23">
        <v>5.7447105462779965E-2</v>
      </c>
      <c r="BK673" s="23">
        <v>8.5153852345557474E-2</v>
      </c>
      <c r="BL673" s="23">
        <v>7.4158058913035174E-2</v>
      </c>
      <c r="BM673" s="23">
        <v>7.5718189192107169E-2</v>
      </c>
      <c r="BN673" s="23">
        <v>7.3955559365675619E-2</v>
      </c>
    </row>
    <row r="674" spans="1:66" x14ac:dyDescent="0.25">
      <c r="A674" s="16">
        <v>4574</v>
      </c>
      <c r="B674" s="16" t="s">
        <v>868</v>
      </c>
      <c r="C674" s="17">
        <v>0</v>
      </c>
      <c r="D674" s="17">
        <f t="shared" si="379"/>
        <v>0</v>
      </c>
      <c r="E674" s="17">
        <f t="shared" si="380"/>
        <v>0</v>
      </c>
      <c r="F674" s="17">
        <f t="shared" si="381"/>
        <v>0</v>
      </c>
      <c r="G674" s="17">
        <f t="shared" si="382"/>
        <v>0</v>
      </c>
      <c r="H674" s="17">
        <f t="shared" si="383"/>
        <v>0</v>
      </c>
      <c r="I674" s="17">
        <f t="shared" si="384"/>
        <v>0</v>
      </c>
      <c r="J674" s="17">
        <f t="shared" si="385"/>
        <v>0</v>
      </c>
      <c r="K674" s="17">
        <f t="shared" si="386"/>
        <v>0</v>
      </c>
      <c r="L674" s="17">
        <f t="shared" si="387"/>
        <v>0</v>
      </c>
      <c r="M674" s="17">
        <f t="shared" si="388"/>
        <v>0</v>
      </c>
      <c r="N674" s="17">
        <f t="shared" si="389"/>
        <v>0</v>
      </c>
      <c r="O674" s="17">
        <f t="shared" si="390"/>
        <v>0</v>
      </c>
      <c r="P674" s="17">
        <v>0</v>
      </c>
      <c r="Q674" s="17">
        <f t="shared" si="391"/>
        <v>0</v>
      </c>
      <c r="R674" s="17">
        <f t="shared" si="392"/>
        <v>0</v>
      </c>
      <c r="S674" s="17">
        <f t="shared" si="393"/>
        <v>0</v>
      </c>
      <c r="T674" s="17">
        <f t="shared" si="394"/>
        <v>0</v>
      </c>
      <c r="U674" s="17">
        <f t="shared" si="395"/>
        <v>0</v>
      </c>
      <c r="V674" s="17">
        <f t="shared" si="396"/>
        <v>0</v>
      </c>
      <c r="W674" s="17">
        <f t="shared" si="397"/>
        <v>0</v>
      </c>
      <c r="X674" s="17">
        <f t="shared" si="398"/>
        <v>0</v>
      </c>
      <c r="Y674" s="17">
        <f t="shared" si="399"/>
        <v>0</v>
      </c>
      <c r="Z674" s="17">
        <f t="shared" si="400"/>
        <v>0</v>
      </c>
      <c r="AA674" s="17">
        <f t="shared" si="401"/>
        <v>0</v>
      </c>
      <c r="AB674" s="17">
        <f t="shared" si="402"/>
        <v>0</v>
      </c>
      <c r="AC674" s="17">
        <v>0</v>
      </c>
      <c r="AD674" s="17">
        <f t="shared" si="403"/>
        <v>0</v>
      </c>
      <c r="AE674" s="17">
        <f t="shared" si="404"/>
        <v>0</v>
      </c>
      <c r="AF674" s="17">
        <f t="shared" si="405"/>
        <v>0</v>
      </c>
      <c r="AG674" s="17">
        <f t="shared" si="406"/>
        <v>0</v>
      </c>
      <c r="AH674" s="17">
        <f t="shared" si="407"/>
        <v>0</v>
      </c>
      <c r="AI674" s="17">
        <f t="shared" si="408"/>
        <v>0</v>
      </c>
      <c r="AJ674" s="17">
        <f t="shared" si="409"/>
        <v>0</v>
      </c>
      <c r="AK674" s="17">
        <f t="shared" si="410"/>
        <v>0</v>
      </c>
      <c r="AL674" s="17">
        <f t="shared" si="411"/>
        <v>0</v>
      </c>
      <c r="AM674" s="17">
        <f t="shared" si="412"/>
        <v>0</v>
      </c>
      <c r="AN674" s="17">
        <f t="shared" si="413"/>
        <v>0</v>
      </c>
      <c r="AO674" s="17">
        <f t="shared" si="414"/>
        <v>0</v>
      </c>
      <c r="AP674" s="17">
        <f t="shared" si="415"/>
        <v>0</v>
      </c>
      <c r="AQ674" s="18">
        <v>0</v>
      </c>
      <c r="AR674" s="18">
        <v>0</v>
      </c>
      <c r="AS674" s="18">
        <v>0</v>
      </c>
      <c r="AT674" s="18">
        <v>0</v>
      </c>
      <c r="AU674" s="18">
        <v>0</v>
      </c>
      <c r="AV674" s="18">
        <v>0</v>
      </c>
      <c r="AW674" s="18">
        <v>0</v>
      </c>
      <c r="AX674" s="18">
        <v>0</v>
      </c>
      <c r="AY674" s="18">
        <v>0</v>
      </c>
      <c r="AZ674" s="18">
        <v>0</v>
      </c>
      <c r="BA674" s="18">
        <v>0</v>
      </c>
      <c r="BB674" s="18">
        <v>0</v>
      </c>
      <c r="BC674" s="23">
        <v>8.9181565948742242E-2</v>
      </c>
      <c r="BD674" s="23">
        <v>0.10665277883445198</v>
      </c>
      <c r="BE674" s="23">
        <v>9.438849084854764E-2</v>
      </c>
      <c r="BF674" s="23">
        <v>7.149564986855049E-2</v>
      </c>
      <c r="BG674" s="23">
        <v>0.10368571810536763</v>
      </c>
      <c r="BH674" s="23">
        <v>8.4970330952544637E-2</v>
      </c>
      <c r="BI674" s="23">
        <v>8.4593878877262704E-2</v>
      </c>
      <c r="BJ674" s="23">
        <v>5.7447105462779965E-2</v>
      </c>
      <c r="BK674" s="23">
        <v>8.5153852345557474E-2</v>
      </c>
      <c r="BL674" s="23">
        <v>7.4158058913035174E-2</v>
      </c>
      <c r="BM674" s="23">
        <v>7.5718189192107169E-2</v>
      </c>
      <c r="BN674" s="23">
        <v>7.3955559365675619E-2</v>
      </c>
    </row>
    <row r="675" spans="1:66" x14ac:dyDescent="0.25">
      <c r="A675" s="16">
        <v>4618</v>
      </c>
      <c r="B675" s="16" t="s">
        <v>869</v>
      </c>
      <c r="C675" s="17">
        <v>0</v>
      </c>
      <c r="D675" s="17">
        <f t="shared" si="379"/>
        <v>0</v>
      </c>
      <c r="E675" s="17">
        <f t="shared" si="380"/>
        <v>0</v>
      </c>
      <c r="F675" s="17">
        <f t="shared" si="381"/>
        <v>0</v>
      </c>
      <c r="G675" s="17">
        <f t="shared" si="382"/>
        <v>0</v>
      </c>
      <c r="H675" s="17">
        <f t="shared" si="383"/>
        <v>0</v>
      </c>
      <c r="I675" s="17">
        <f t="shared" si="384"/>
        <v>0</v>
      </c>
      <c r="J675" s="17">
        <f t="shared" si="385"/>
        <v>0</v>
      </c>
      <c r="K675" s="17">
        <f t="shared" si="386"/>
        <v>0</v>
      </c>
      <c r="L675" s="17">
        <f t="shared" si="387"/>
        <v>0</v>
      </c>
      <c r="M675" s="17">
        <f t="shared" si="388"/>
        <v>0</v>
      </c>
      <c r="N675" s="17">
        <f t="shared" si="389"/>
        <v>0</v>
      </c>
      <c r="O675" s="17">
        <f t="shared" si="390"/>
        <v>0</v>
      </c>
      <c r="P675" s="17">
        <v>0</v>
      </c>
      <c r="Q675" s="17">
        <f t="shared" si="391"/>
        <v>0</v>
      </c>
      <c r="R675" s="17">
        <f t="shared" si="392"/>
        <v>0</v>
      </c>
      <c r="S675" s="17">
        <f t="shared" si="393"/>
        <v>0</v>
      </c>
      <c r="T675" s="17">
        <f t="shared" si="394"/>
        <v>0</v>
      </c>
      <c r="U675" s="17">
        <f t="shared" si="395"/>
        <v>0</v>
      </c>
      <c r="V675" s="17">
        <f t="shared" si="396"/>
        <v>0</v>
      </c>
      <c r="W675" s="17">
        <f t="shared" si="397"/>
        <v>0</v>
      </c>
      <c r="X675" s="17">
        <f t="shared" si="398"/>
        <v>0</v>
      </c>
      <c r="Y675" s="17">
        <f t="shared" si="399"/>
        <v>0</v>
      </c>
      <c r="Z675" s="17">
        <f t="shared" si="400"/>
        <v>0</v>
      </c>
      <c r="AA675" s="17">
        <f t="shared" si="401"/>
        <v>0</v>
      </c>
      <c r="AB675" s="17">
        <f t="shared" si="402"/>
        <v>0</v>
      </c>
      <c r="AC675" s="17">
        <v>0</v>
      </c>
      <c r="AD675" s="17">
        <f t="shared" si="403"/>
        <v>0</v>
      </c>
      <c r="AE675" s="17">
        <f t="shared" si="404"/>
        <v>0</v>
      </c>
      <c r="AF675" s="17">
        <f t="shared" si="405"/>
        <v>0</v>
      </c>
      <c r="AG675" s="17">
        <f t="shared" si="406"/>
        <v>0</v>
      </c>
      <c r="AH675" s="17">
        <f t="shared" si="407"/>
        <v>0</v>
      </c>
      <c r="AI675" s="17">
        <f t="shared" si="408"/>
        <v>0</v>
      </c>
      <c r="AJ675" s="17">
        <f t="shared" si="409"/>
        <v>0</v>
      </c>
      <c r="AK675" s="17">
        <f t="shared" si="410"/>
        <v>0</v>
      </c>
      <c r="AL675" s="17">
        <f t="shared" si="411"/>
        <v>0</v>
      </c>
      <c r="AM675" s="17">
        <f t="shared" si="412"/>
        <v>0</v>
      </c>
      <c r="AN675" s="17">
        <f t="shared" si="413"/>
        <v>0</v>
      </c>
      <c r="AO675" s="17">
        <f t="shared" si="414"/>
        <v>0</v>
      </c>
      <c r="AP675" s="17">
        <f t="shared" si="415"/>
        <v>0</v>
      </c>
      <c r="AQ675" s="18">
        <v>0</v>
      </c>
      <c r="AR675" s="18">
        <v>0</v>
      </c>
      <c r="AS675" s="18">
        <v>0</v>
      </c>
      <c r="AT675" s="18">
        <v>0</v>
      </c>
      <c r="AU675" s="18">
        <v>0</v>
      </c>
      <c r="AV675" s="18">
        <v>0</v>
      </c>
      <c r="AW675" s="18">
        <v>0</v>
      </c>
      <c r="AX675" s="18">
        <v>0</v>
      </c>
      <c r="AY675" s="18">
        <v>0</v>
      </c>
      <c r="AZ675" s="18">
        <v>0</v>
      </c>
      <c r="BA675" s="18">
        <v>0</v>
      </c>
      <c r="BB675" s="18">
        <v>0</v>
      </c>
      <c r="BC675" s="23">
        <v>8.9181565948742242E-2</v>
      </c>
      <c r="BD675" s="23">
        <v>0.10665277883445198</v>
      </c>
      <c r="BE675" s="23">
        <v>9.438849084854764E-2</v>
      </c>
      <c r="BF675" s="23">
        <v>7.149564986855049E-2</v>
      </c>
      <c r="BG675" s="23">
        <v>0.10368571810536763</v>
      </c>
      <c r="BH675" s="23">
        <v>8.4970330952544637E-2</v>
      </c>
      <c r="BI675" s="23">
        <v>8.4593878877262704E-2</v>
      </c>
      <c r="BJ675" s="23">
        <v>5.7447105462779965E-2</v>
      </c>
      <c r="BK675" s="23">
        <v>8.5153852345557474E-2</v>
      </c>
      <c r="BL675" s="23">
        <v>7.4158058913035174E-2</v>
      </c>
      <c r="BM675" s="23">
        <v>7.5718189192107169E-2</v>
      </c>
      <c r="BN675" s="23">
        <v>7.3955559365675619E-2</v>
      </c>
    </row>
    <row r="676" spans="1:66" x14ac:dyDescent="0.25">
      <c r="A676" s="16">
        <v>4638</v>
      </c>
      <c r="B676" s="16" t="s">
        <v>870</v>
      </c>
      <c r="C676" s="17">
        <v>0</v>
      </c>
      <c r="D676" s="17">
        <f t="shared" si="379"/>
        <v>0</v>
      </c>
      <c r="E676" s="17">
        <f t="shared" si="380"/>
        <v>0</v>
      </c>
      <c r="F676" s="17">
        <f t="shared" si="381"/>
        <v>0</v>
      </c>
      <c r="G676" s="17">
        <f t="shared" si="382"/>
        <v>0</v>
      </c>
      <c r="H676" s="17">
        <f t="shared" si="383"/>
        <v>0</v>
      </c>
      <c r="I676" s="17">
        <f t="shared" si="384"/>
        <v>0</v>
      </c>
      <c r="J676" s="17">
        <f t="shared" si="385"/>
        <v>0</v>
      </c>
      <c r="K676" s="17">
        <f t="shared" si="386"/>
        <v>0</v>
      </c>
      <c r="L676" s="17">
        <f t="shared" si="387"/>
        <v>0</v>
      </c>
      <c r="M676" s="17">
        <f t="shared" si="388"/>
        <v>0</v>
      </c>
      <c r="N676" s="17">
        <f t="shared" si="389"/>
        <v>0</v>
      </c>
      <c r="O676" s="17">
        <f t="shared" si="390"/>
        <v>0</v>
      </c>
      <c r="P676" s="17">
        <v>0</v>
      </c>
      <c r="Q676" s="17">
        <f t="shared" si="391"/>
        <v>0</v>
      </c>
      <c r="R676" s="17">
        <f t="shared" si="392"/>
        <v>0</v>
      </c>
      <c r="S676" s="17">
        <f t="shared" si="393"/>
        <v>0</v>
      </c>
      <c r="T676" s="17">
        <f t="shared" si="394"/>
        <v>0</v>
      </c>
      <c r="U676" s="17">
        <f t="shared" si="395"/>
        <v>0</v>
      </c>
      <c r="V676" s="17">
        <f t="shared" si="396"/>
        <v>0</v>
      </c>
      <c r="W676" s="17">
        <f t="shared" si="397"/>
        <v>0</v>
      </c>
      <c r="X676" s="17">
        <f t="shared" si="398"/>
        <v>0</v>
      </c>
      <c r="Y676" s="17">
        <f t="shared" si="399"/>
        <v>0</v>
      </c>
      <c r="Z676" s="17">
        <f t="shared" si="400"/>
        <v>0</v>
      </c>
      <c r="AA676" s="17">
        <f t="shared" si="401"/>
        <v>0</v>
      </c>
      <c r="AB676" s="17">
        <f t="shared" si="402"/>
        <v>0</v>
      </c>
      <c r="AC676" s="17">
        <v>0</v>
      </c>
      <c r="AD676" s="17">
        <f t="shared" si="403"/>
        <v>0</v>
      </c>
      <c r="AE676" s="17">
        <f t="shared" si="404"/>
        <v>0</v>
      </c>
      <c r="AF676" s="17">
        <f t="shared" si="405"/>
        <v>0</v>
      </c>
      <c r="AG676" s="17">
        <f t="shared" si="406"/>
        <v>0</v>
      </c>
      <c r="AH676" s="17">
        <f t="shared" si="407"/>
        <v>0</v>
      </c>
      <c r="AI676" s="17">
        <f t="shared" si="408"/>
        <v>0</v>
      </c>
      <c r="AJ676" s="17">
        <f t="shared" si="409"/>
        <v>0</v>
      </c>
      <c r="AK676" s="17">
        <f t="shared" si="410"/>
        <v>0</v>
      </c>
      <c r="AL676" s="17">
        <f t="shared" si="411"/>
        <v>0</v>
      </c>
      <c r="AM676" s="17">
        <f t="shared" si="412"/>
        <v>0</v>
      </c>
      <c r="AN676" s="17">
        <f t="shared" si="413"/>
        <v>0</v>
      </c>
      <c r="AO676" s="17">
        <f t="shared" si="414"/>
        <v>0</v>
      </c>
      <c r="AP676" s="17">
        <f t="shared" si="415"/>
        <v>0</v>
      </c>
      <c r="AQ676" s="18">
        <v>4.5037582619774312</v>
      </c>
      <c r="AR676" s="18">
        <v>5.3860719839186588</v>
      </c>
      <c r="AS676" s="18">
        <v>4.7667131763425035</v>
      </c>
      <c r="AT676" s="18">
        <v>3.6106018140116678</v>
      </c>
      <c r="AU676" s="18">
        <v>5.2362324500391697</v>
      </c>
      <c r="AV676" s="18">
        <v>4.2910866834344557</v>
      </c>
      <c r="AW676" s="18">
        <v>4.2720754771806426</v>
      </c>
      <c r="AX676" s="18">
        <v>2.9011362729758505</v>
      </c>
      <c r="AY676" s="18">
        <v>4.3003546973029971</v>
      </c>
      <c r="AZ676" s="18">
        <v>3.7450561331671888</v>
      </c>
      <c r="BA676" s="18">
        <v>3.8238442723906032</v>
      </c>
      <c r="BB676" s="18">
        <v>3.7348297035259836</v>
      </c>
      <c r="BC676" s="23">
        <v>8.9181565948742242E-2</v>
      </c>
      <c r="BD676" s="23">
        <v>0.10665277883445198</v>
      </c>
      <c r="BE676" s="23">
        <v>9.438849084854764E-2</v>
      </c>
      <c r="BF676" s="23">
        <v>7.149564986855049E-2</v>
      </c>
      <c r="BG676" s="23">
        <v>0.10368571810536763</v>
      </c>
      <c r="BH676" s="23">
        <v>8.4970330952544637E-2</v>
      </c>
      <c r="BI676" s="23">
        <v>8.4593878877262704E-2</v>
      </c>
      <c r="BJ676" s="23">
        <v>5.7447105462779965E-2</v>
      </c>
      <c r="BK676" s="23">
        <v>8.5153852345557474E-2</v>
      </c>
      <c r="BL676" s="23">
        <v>7.4158058913035174E-2</v>
      </c>
      <c r="BM676" s="23">
        <v>7.5718189192107169E-2</v>
      </c>
      <c r="BN676" s="23">
        <v>7.3955559365675619E-2</v>
      </c>
    </row>
    <row r="677" spans="1:66" x14ac:dyDescent="0.25">
      <c r="A677" s="16">
        <v>4649</v>
      </c>
      <c r="B677" s="16" t="s">
        <v>871</v>
      </c>
      <c r="C677" s="17">
        <v>0</v>
      </c>
      <c r="D677" s="17">
        <f t="shared" si="379"/>
        <v>0</v>
      </c>
      <c r="E677" s="17">
        <f t="shared" si="380"/>
        <v>0</v>
      </c>
      <c r="F677" s="17">
        <f t="shared" si="381"/>
        <v>0</v>
      </c>
      <c r="G677" s="17">
        <f t="shared" si="382"/>
        <v>0</v>
      </c>
      <c r="H677" s="17">
        <f t="shared" si="383"/>
        <v>0</v>
      </c>
      <c r="I677" s="17">
        <f t="shared" si="384"/>
        <v>0</v>
      </c>
      <c r="J677" s="17">
        <f t="shared" si="385"/>
        <v>0</v>
      </c>
      <c r="K677" s="17">
        <f t="shared" si="386"/>
        <v>0</v>
      </c>
      <c r="L677" s="17">
        <f t="shared" si="387"/>
        <v>0</v>
      </c>
      <c r="M677" s="17">
        <f t="shared" si="388"/>
        <v>0</v>
      </c>
      <c r="N677" s="17">
        <f t="shared" si="389"/>
        <v>0</v>
      </c>
      <c r="O677" s="17">
        <f t="shared" si="390"/>
        <v>0</v>
      </c>
      <c r="P677" s="17">
        <v>0</v>
      </c>
      <c r="Q677" s="17">
        <f t="shared" si="391"/>
        <v>0</v>
      </c>
      <c r="R677" s="17">
        <f t="shared" si="392"/>
        <v>0</v>
      </c>
      <c r="S677" s="17">
        <f t="shared" si="393"/>
        <v>0</v>
      </c>
      <c r="T677" s="17">
        <f t="shared" si="394"/>
        <v>0</v>
      </c>
      <c r="U677" s="17">
        <f t="shared" si="395"/>
        <v>0</v>
      </c>
      <c r="V677" s="17">
        <f t="shared" si="396"/>
        <v>0</v>
      </c>
      <c r="W677" s="17">
        <f t="shared" si="397"/>
        <v>0</v>
      </c>
      <c r="X677" s="17">
        <f t="shared" si="398"/>
        <v>0</v>
      </c>
      <c r="Y677" s="17">
        <f t="shared" si="399"/>
        <v>0</v>
      </c>
      <c r="Z677" s="17">
        <f t="shared" si="400"/>
        <v>0</v>
      </c>
      <c r="AA677" s="17">
        <f t="shared" si="401"/>
        <v>0</v>
      </c>
      <c r="AB677" s="17">
        <f t="shared" si="402"/>
        <v>0</v>
      </c>
      <c r="AC677" s="17">
        <v>0</v>
      </c>
      <c r="AD677" s="17">
        <f t="shared" si="403"/>
        <v>0</v>
      </c>
      <c r="AE677" s="17">
        <f t="shared" si="404"/>
        <v>0</v>
      </c>
      <c r="AF677" s="17">
        <f t="shared" si="405"/>
        <v>0</v>
      </c>
      <c r="AG677" s="17">
        <f t="shared" si="406"/>
        <v>0</v>
      </c>
      <c r="AH677" s="17">
        <f t="shared" si="407"/>
        <v>0</v>
      </c>
      <c r="AI677" s="17">
        <f t="shared" si="408"/>
        <v>0</v>
      </c>
      <c r="AJ677" s="17">
        <f t="shared" si="409"/>
        <v>0</v>
      </c>
      <c r="AK677" s="17">
        <f t="shared" si="410"/>
        <v>0</v>
      </c>
      <c r="AL677" s="17">
        <f t="shared" si="411"/>
        <v>0</v>
      </c>
      <c r="AM677" s="17">
        <f t="shared" si="412"/>
        <v>0</v>
      </c>
      <c r="AN677" s="17">
        <f t="shared" si="413"/>
        <v>0</v>
      </c>
      <c r="AO677" s="17">
        <f t="shared" si="414"/>
        <v>0</v>
      </c>
      <c r="AP677" s="17">
        <f t="shared" si="415"/>
        <v>0</v>
      </c>
      <c r="AQ677" s="18">
        <v>0</v>
      </c>
      <c r="AR677" s="18">
        <v>0</v>
      </c>
      <c r="AS677" s="18">
        <v>0</v>
      </c>
      <c r="AT677" s="18">
        <v>0</v>
      </c>
      <c r="AU677" s="18">
        <v>0</v>
      </c>
      <c r="AV677" s="18">
        <v>0</v>
      </c>
      <c r="AW677" s="18">
        <v>0</v>
      </c>
      <c r="AX677" s="18">
        <v>0</v>
      </c>
      <c r="AY677" s="18">
        <v>0</v>
      </c>
      <c r="AZ677" s="18">
        <v>0</v>
      </c>
      <c r="BA677" s="18">
        <v>0</v>
      </c>
      <c r="BB677" s="18">
        <v>0</v>
      </c>
      <c r="BC677" s="23">
        <v>8.9181565948742242E-2</v>
      </c>
      <c r="BD677" s="23">
        <v>0.10665277883445198</v>
      </c>
      <c r="BE677" s="23">
        <v>9.438849084854764E-2</v>
      </c>
      <c r="BF677" s="23">
        <v>7.149564986855049E-2</v>
      </c>
      <c r="BG677" s="23">
        <v>0.10368571810536763</v>
      </c>
      <c r="BH677" s="23">
        <v>8.4970330952544637E-2</v>
      </c>
      <c r="BI677" s="23">
        <v>8.4593878877262704E-2</v>
      </c>
      <c r="BJ677" s="23">
        <v>5.7447105462779965E-2</v>
      </c>
      <c r="BK677" s="23">
        <v>8.5153852345557474E-2</v>
      </c>
      <c r="BL677" s="23">
        <v>7.4158058913035174E-2</v>
      </c>
      <c r="BM677" s="23">
        <v>7.5718189192107169E-2</v>
      </c>
      <c r="BN677" s="23">
        <v>7.3955559365675619E-2</v>
      </c>
    </row>
    <row r="678" spans="1:66" x14ac:dyDescent="0.25">
      <c r="A678" s="16">
        <v>4658</v>
      </c>
      <c r="B678" s="16" t="s">
        <v>872</v>
      </c>
      <c r="C678" s="17">
        <v>0</v>
      </c>
      <c r="D678" s="17">
        <f t="shared" si="379"/>
        <v>0</v>
      </c>
      <c r="E678" s="17">
        <f t="shared" si="380"/>
        <v>0</v>
      </c>
      <c r="F678" s="17">
        <f t="shared" si="381"/>
        <v>0</v>
      </c>
      <c r="G678" s="17">
        <f t="shared" si="382"/>
        <v>0</v>
      </c>
      <c r="H678" s="17">
        <f t="shared" si="383"/>
        <v>0</v>
      </c>
      <c r="I678" s="17">
        <f t="shared" si="384"/>
        <v>0</v>
      </c>
      <c r="J678" s="17">
        <f t="shared" si="385"/>
        <v>0</v>
      </c>
      <c r="K678" s="17">
        <f t="shared" si="386"/>
        <v>0</v>
      </c>
      <c r="L678" s="17">
        <f t="shared" si="387"/>
        <v>0</v>
      </c>
      <c r="M678" s="17">
        <f t="shared" si="388"/>
        <v>0</v>
      </c>
      <c r="N678" s="17">
        <f t="shared" si="389"/>
        <v>0</v>
      </c>
      <c r="O678" s="17">
        <f t="shared" si="390"/>
        <v>0</v>
      </c>
      <c r="P678" s="17">
        <v>0</v>
      </c>
      <c r="Q678" s="17">
        <f t="shared" si="391"/>
        <v>0</v>
      </c>
      <c r="R678" s="17">
        <f t="shared" si="392"/>
        <v>0</v>
      </c>
      <c r="S678" s="17">
        <f t="shared" si="393"/>
        <v>0</v>
      </c>
      <c r="T678" s="17">
        <f t="shared" si="394"/>
        <v>0</v>
      </c>
      <c r="U678" s="17">
        <f t="shared" si="395"/>
        <v>0</v>
      </c>
      <c r="V678" s="17">
        <f t="shared" si="396"/>
        <v>0</v>
      </c>
      <c r="W678" s="17">
        <f t="shared" si="397"/>
        <v>0</v>
      </c>
      <c r="X678" s="17">
        <f t="shared" si="398"/>
        <v>0</v>
      </c>
      <c r="Y678" s="17">
        <f t="shared" si="399"/>
        <v>0</v>
      </c>
      <c r="Z678" s="17">
        <f t="shared" si="400"/>
        <v>0</v>
      </c>
      <c r="AA678" s="17">
        <f t="shared" si="401"/>
        <v>0</v>
      </c>
      <c r="AB678" s="17">
        <f t="shared" si="402"/>
        <v>0</v>
      </c>
      <c r="AC678" s="17">
        <v>0</v>
      </c>
      <c r="AD678" s="17">
        <f t="shared" si="403"/>
        <v>0</v>
      </c>
      <c r="AE678" s="17">
        <f t="shared" si="404"/>
        <v>0</v>
      </c>
      <c r="AF678" s="17">
        <f t="shared" si="405"/>
        <v>0</v>
      </c>
      <c r="AG678" s="17">
        <f t="shared" si="406"/>
        <v>0</v>
      </c>
      <c r="AH678" s="17">
        <f t="shared" si="407"/>
        <v>0</v>
      </c>
      <c r="AI678" s="17">
        <f t="shared" si="408"/>
        <v>0</v>
      </c>
      <c r="AJ678" s="17">
        <f t="shared" si="409"/>
        <v>0</v>
      </c>
      <c r="AK678" s="17">
        <f t="shared" si="410"/>
        <v>0</v>
      </c>
      <c r="AL678" s="17">
        <f t="shared" si="411"/>
        <v>0</v>
      </c>
      <c r="AM678" s="17">
        <f t="shared" si="412"/>
        <v>0</v>
      </c>
      <c r="AN678" s="17">
        <f t="shared" si="413"/>
        <v>0</v>
      </c>
      <c r="AO678" s="17">
        <f t="shared" si="414"/>
        <v>0</v>
      </c>
      <c r="AP678" s="17">
        <f t="shared" si="415"/>
        <v>0</v>
      </c>
      <c r="AQ678" s="18">
        <v>13.812440934141199</v>
      </c>
      <c r="AR678" s="18">
        <v>16.518382385879924</v>
      </c>
      <c r="AS678" s="18">
        <v>14.618889462623057</v>
      </c>
      <c r="AT678" s="18">
        <v>11.0732462516411</v>
      </c>
      <c r="AU678" s="18">
        <v>16.058844020159338</v>
      </c>
      <c r="AV678" s="18">
        <v>13.160204857930113</v>
      </c>
      <c r="AW678" s="18">
        <v>13.101899960510448</v>
      </c>
      <c r="AX678" s="18">
        <v>8.8974076940753601</v>
      </c>
      <c r="AY678" s="18">
        <v>13.188628651279942</v>
      </c>
      <c r="AZ678" s="18">
        <v>11.485600164450888</v>
      </c>
      <c r="BA678" s="18">
        <v>11.727233142073558</v>
      </c>
      <c r="BB678" s="18">
        <v>11.45423703455584</v>
      </c>
      <c r="BC678" s="23">
        <v>8.9181565948742242E-2</v>
      </c>
      <c r="BD678" s="23">
        <v>0.10665277883445198</v>
      </c>
      <c r="BE678" s="23">
        <v>9.438849084854764E-2</v>
      </c>
      <c r="BF678" s="23">
        <v>7.149564986855049E-2</v>
      </c>
      <c r="BG678" s="23">
        <v>0.10368571810536763</v>
      </c>
      <c r="BH678" s="23">
        <v>8.4970330952544637E-2</v>
      </c>
      <c r="BI678" s="23">
        <v>8.4593878877262704E-2</v>
      </c>
      <c r="BJ678" s="23">
        <v>5.7447105462779965E-2</v>
      </c>
      <c r="BK678" s="23">
        <v>8.5153852345557474E-2</v>
      </c>
      <c r="BL678" s="23">
        <v>7.4158058913035174E-2</v>
      </c>
      <c r="BM678" s="23">
        <v>7.5718189192107169E-2</v>
      </c>
      <c r="BN678" s="23">
        <v>7.3955559365675619E-2</v>
      </c>
    </row>
    <row r="679" spans="1:66" x14ac:dyDescent="0.25">
      <c r="A679" s="16">
        <v>4659</v>
      </c>
      <c r="B679" s="16" t="s">
        <v>873</v>
      </c>
      <c r="C679" s="17">
        <v>0</v>
      </c>
      <c r="D679" s="17">
        <f t="shared" si="379"/>
        <v>0</v>
      </c>
      <c r="E679" s="17">
        <f t="shared" si="380"/>
        <v>0</v>
      </c>
      <c r="F679" s="17">
        <f t="shared" si="381"/>
        <v>0</v>
      </c>
      <c r="G679" s="17">
        <f t="shared" si="382"/>
        <v>0</v>
      </c>
      <c r="H679" s="17">
        <f t="shared" si="383"/>
        <v>0</v>
      </c>
      <c r="I679" s="17">
        <f t="shared" si="384"/>
        <v>0</v>
      </c>
      <c r="J679" s="17">
        <f t="shared" si="385"/>
        <v>0</v>
      </c>
      <c r="K679" s="17">
        <f t="shared" si="386"/>
        <v>0</v>
      </c>
      <c r="L679" s="17">
        <f t="shared" si="387"/>
        <v>0</v>
      </c>
      <c r="M679" s="17">
        <f t="shared" si="388"/>
        <v>0</v>
      </c>
      <c r="N679" s="17">
        <f t="shared" si="389"/>
        <v>0</v>
      </c>
      <c r="O679" s="17">
        <f t="shared" si="390"/>
        <v>0</v>
      </c>
      <c r="P679" s="17">
        <v>0</v>
      </c>
      <c r="Q679" s="17">
        <f t="shared" si="391"/>
        <v>0</v>
      </c>
      <c r="R679" s="17">
        <f t="shared" si="392"/>
        <v>0</v>
      </c>
      <c r="S679" s="17">
        <f t="shared" si="393"/>
        <v>0</v>
      </c>
      <c r="T679" s="17">
        <f t="shared" si="394"/>
        <v>0</v>
      </c>
      <c r="U679" s="17">
        <f t="shared" si="395"/>
        <v>0</v>
      </c>
      <c r="V679" s="17">
        <f t="shared" si="396"/>
        <v>0</v>
      </c>
      <c r="W679" s="17">
        <f t="shared" si="397"/>
        <v>0</v>
      </c>
      <c r="X679" s="17">
        <f t="shared" si="398"/>
        <v>0</v>
      </c>
      <c r="Y679" s="17">
        <f t="shared" si="399"/>
        <v>0</v>
      </c>
      <c r="Z679" s="17">
        <f t="shared" si="400"/>
        <v>0</v>
      </c>
      <c r="AA679" s="17">
        <f t="shared" si="401"/>
        <v>0</v>
      </c>
      <c r="AB679" s="17">
        <f t="shared" si="402"/>
        <v>0</v>
      </c>
      <c r="AC679" s="17">
        <v>0</v>
      </c>
      <c r="AD679" s="17">
        <f t="shared" si="403"/>
        <v>0</v>
      </c>
      <c r="AE679" s="17">
        <f t="shared" si="404"/>
        <v>0</v>
      </c>
      <c r="AF679" s="17">
        <f t="shared" si="405"/>
        <v>0</v>
      </c>
      <c r="AG679" s="17">
        <f t="shared" si="406"/>
        <v>0</v>
      </c>
      <c r="AH679" s="17">
        <f t="shared" si="407"/>
        <v>0</v>
      </c>
      <c r="AI679" s="17">
        <f t="shared" si="408"/>
        <v>0</v>
      </c>
      <c r="AJ679" s="17">
        <f t="shared" si="409"/>
        <v>0</v>
      </c>
      <c r="AK679" s="17">
        <f t="shared" si="410"/>
        <v>0</v>
      </c>
      <c r="AL679" s="17">
        <f t="shared" si="411"/>
        <v>0</v>
      </c>
      <c r="AM679" s="17">
        <f t="shared" si="412"/>
        <v>0</v>
      </c>
      <c r="AN679" s="17">
        <f t="shared" si="413"/>
        <v>0</v>
      </c>
      <c r="AO679" s="17">
        <f t="shared" si="414"/>
        <v>0</v>
      </c>
      <c r="AP679" s="17">
        <f t="shared" si="415"/>
        <v>0</v>
      </c>
      <c r="AQ679" s="18">
        <v>15.996140757962102</v>
      </c>
      <c r="AR679" s="18">
        <v>19.129882328420315</v>
      </c>
      <c r="AS679" s="18">
        <v>16.930086049540598</v>
      </c>
      <c r="AT679" s="18">
        <v>12.823888734322429</v>
      </c>
      <c r="AU679" s="18">
        <v>18.59769251368737</v>
      </c>
      <c r="AV679" s="18">
        <v>15.240788381634122</v>
      </c>
      <c r="AW679" s="18">
        <v>15.173265678699103</v>
      </c>
      <c r="AX679" s="18">
        <v>10.304057518436991</v>
      </c>
      <c r="AY679" s="18">
        <v>15.273705879813264</v>
      </c>
      <c r="AZ679" s="18">
        <v>13.301434394995468</v>
      </c>
      <c r="BA679" s="18">
        <v>13.581268722631496</v>
      </c>
      <c r="BB679" s="18">
        <v>13.265112861183773</v>
      </c>
      <c r="BC679" s="23">
        <v>8.9181565948742242E-2</v>
      </c>
      <c r="BD679" s="23">
        <v>0.10665277883445198</v>
      </c>
      <c r="BE679" s="23">
        <v>9.438849084854764E-2</v>
      </c>
      <c r="BF679" s="23">
        <v>7.149564986855049E-2</v>
      </c>
      <c r="BG679" s="23">
        <v>0.10368571810536763</v>
      </c>
      <c r="BH679" s="23">
        <v>8.4970330952544637E-2</v>
      </c>
      <c r="BI679" s="23">
        <v>8.4593878877262704E-2</v>
      </c>
      <c r="BJ679" s="23">
        <v>5.7447105462779965E-2</v>
      </c>
      <c r="BK679" s="23">
        <v>8.5153852345557474E-2</v>
      </c>
      <c r="BL679" s="23">
        <v>7.4158058913035174E-2</v>
      </c>
      <c r="BM679" s="23">
        <v>7.5718189192107169E-2</v>
      </c>
      <c r="BN679" s="23">
        <v>7.3955559365675619E-2</v>
      </c>
    </row>
    <row r="680" spans="1:66" x14ac:dyDescent="0.25">
      <c r="A680" s="16">
        <v>4665</v>
      </c>
      <c r="B680" s="16" t="s">
        <v>874</v>
      </c>
      <c r="C680" s="17">
        <v>0</v>
      </c>
      <c r="D680" s="17">
        <f t="shared" si="379"/>
        <v>0</v>
      </c>
      <c r="E680" s="17">
        <f t="shared" si="380"/>
        <v>0</v>
      </c>
      <c r="F680" s="17">
        <f t="shared" si="381"/>
        <v>0</v>
      </c>
      <c r="G680" s="17">
        <f t="shared" si="382"/>
        <v>0</v>
      </c>
      <c r="H680" s="17">
        <f t="shared" si="383"/>
        <v>0</v>
      </c>
      <c r="I680" s="17">
        <f t="shared" si="384"/>
        <v>0</v>
      </c>
      <c r="J680" s="17">
        <f t="shared" si="385"/>
        <v>0</v>
      </c>
      <c r="K680" s="17">
        <f t="shared" si="386"/>
        <v>0</v>
      </c>
      <c r="L680" s="17">
        <f t="shared" si="387"/>
        <v>0</v>
      </c>
      <c r="M680" s="17">
        <f t="shared" si="388"/>
        <v>0</v>
      </c>
      <c r="N680" s="17">
        <f t="shared" si="389"/>
        <v>0</v>
      </c>
      <c r="O680" s="17">
        <f t="shared" si="390"/>
        <v>0</v>
      </c>
      <c r="P680" s="17">
        <v>0</v>
      </c>
      <c r="Q680" s="17">
        <f t="shared" si="391"/>
        <v>0</v>
      </c>
      <c r="R680" s="17">
        <f t="shared" si="392"/>
        <v>0</v>
      </c>
      <c r="S680" s="17">
        <f t="shared" si="393"/>
        <v>0</v>
      </c>
      <c r="T680" s="17">
        <f t="shared" si="394"/>
        <v>0</v>
      </c>
      <c r="U680" s="17">
        <f t="shared" si="395"/>
        <v>0</v>
      </c>
      <c r="V680" s="17">
        <f t="shared" si="396"/>
        <v>0</v>
      </c>
      <c r="W680" s="17">
        <f t="shared" si="397"/>
        <v>0</v>
      </c>
      <c r="X680" s="17">
        <f t="shared" si="398"/>
        <v>0</v>
      </c>
      <c r="Y680" s="17">
        <f t="shared" si="399"/>
        <v>0</v>
      </c>
      <c r="Z680" s="17">
        <f t="shared" si="400"/>
        <v>0</v>
      </c>
      <c r="AA680" s="17">
        <f t="shared" si="401"/>
        <v>0</v>
      </c>
      <c r="AB680" s="17">
        <f t="shared" si="402"/>
        <v>0</v>
      </c>
      <c r="AC680" s="17">
        <v>0</v>
      </c>
      <c r="AD680" s="17">
        <f t="shared" si="403"/>
        <v>0</v>
      </c>
      <c r="AE680" s="17">
        <f t="shared" si="404"/>
        <v>0</v>
      </c>
      <c r="AF680" s="17">
        <f t="shared" si="405"/>
        <v>0</v>
      </c>
      <c r="AG680" s="17">
        <f t="shared" si="406"/>
        <v>0</v>
      </c>
      <c r="AH680" s="17">
        <f t="shared" si="407"/>
        <v>0</v>
      </c>
      <c r="AI680" s="17">
        <f t="shared" si="408"/>
        <v>0</v>
      </c>
      <c r="AJ680" s="17">
        <f t="shared" si="409"/>
        <v>0</v>
      </c>
      <c r="AK680" s="17">
        <f t="shared" si="410"/>
        <v>0</v>
      </c>
      <c r="AL680" s="17">
        <f t="shared" si="411"/>
        <v>0</v>
      </c>
      <c r="AM680" s="17">
        <f t="shared" si="412"/>
        <v>0</v>
      </c>
      <c r="AN680" s="17">
        <f t="shared" si="413"/>
        <v>0</v>
      </c>
      <c r="AO680" s="17">
        <f t="shared" si="414"/>
        <v>0</v>
      </c>
      <c r="AP680" s="17">
        <f t="shared" si="415"/>
        <v>0</v>
      </c>
      <c r="AQ680" s="18">
        <v>72.594775679501623</v>
      </c>
      <c r="AR680" s="18">
        <v>86.816535151811095</v>
      </c>
      <c r="AS680" s="18">
        <v>76.833269824117124</v>
      </c>
      <c r="AT680" s="18">
        <v>58.198245445148657</v>
      </c>
      <c r="AU680" s="18">
        <v>84.401315080668411</v>
      </c>
      <c r="AV680" s="18">
        <v>69.166784069011825</v>
      </c>
      <c r="AW680" s="18">
        <v>68.860347938759503</v>
      </c>
      <c r="AX680" s="18">
        <v>46.762575764862987</v>
      </c>
      <c r="AY680" s="18">
        <v>69.316172501659594</v>
      </c>
      <c r="AZ680" s="18">
        <v>60.365475693858684</v>
      </c>
      <c r="BA680" s="18">
        <v>61.635438902456357</v>
      </c>
      <c r="BB680" s="18">
        <v>60.200638834812985</v>
      </c>
      <c r="BC680" s="23">
        <v>8.9181565948742242E-2</v>
      </c>
      <c r="BD680" s="23">
        <v>0.10665277883445198</v>
      </c>
      <c r="BE680" s="23">
        <v>9.438849084854764E-2</v>
      </c>
      <c r="BF680" s="23">
        <v>7.149564986855049E-2</v>
      </c>
      <c r="BG680" s="23">
        <v>0.10368571810536763</v>
      </c>
      <c r="BH680" s="23">
        <v>8.4970330952544637E-2</v>
      </c>
      <c r="BI680" s="23">
        <v>8.4593878877262704E-2</v>
      </c>
      <c r="BJ680" s="23">
        <v>5.7447105462779965E-2</v>
      </c>
      <c r="BK680" s="23">
        <v>8.5153852345557474E-2</v>
      </c>
      <c r="BL680" s="23">
        <v>7.4158058913035174E-2</v>
      </c>
      <c r="BM680" s="23">
        <v>7.5718189192107169E-2</v>
      </c>
      <c r="BN680" s="23">
        <v>7.3955559365675619E-2</v>
      </c>
    </row>
    <row r="681" spans="1:66" x14ac:dyDescent="0.25">
      <c r="A681" s="16">
        <v>4708</v>
      </c>
      <c r="B681" s="16" t="s">
        <v>875</v>
      </c>
      <c r="C681" s="17">
        <v>0</v>
      </c>
      <c r="D681" s="17">
        <f t="shared" si="379"/>
        <v>0</v>
      </c>
      <c r="E681" s="17">
        <f t="shared" si="380"/>
        <v>0</v>
      </c>
      <c r="F681" s="17">
        <f t="shared" si="381"/>
        <v>0</v>
      </c>
      <c r="G681" s="17">
        <f t="shared" si="382"/>
        <v>0</v>
      </c>
      <c r="H681" s="17">
        <f t="shared" si="383"/>
        <v>0</v>
      </c>
      <c r="I681" s="17">
        <f t="shared" si="384"/>
        <v>0</v>
      </c>
      <c r="J681" s="17">
        <f t="shared" si="385"/>
        <v>0</v>
      </c>
      <c r="K681" s="17">
        <f t="shared" si="386"/>
        <v>0</v>
      </c>
      <c r="L681" s="17">
        <f t="shared" si="387"/>
        <v>0</v>
      </c>
      <c r="M681" s="17">
        <f t="shared" si="388"/>
        <v>0</v>
      </c>
      <c r="N681" s="17">
        <f t="shared" si="389"/>
        <v>0</v>
      </c>
      <c r="O681" s="17">
        <f t="shared" si="390"/>
        <v>0</v>
      </c>
      <c r="P681" s="17">
        <v>0</v>
      </c>
      <c r="Q681" s="17">
        <f t="shared" si="391"/>
        <v>0</v>
      </c>
      <c r="R681" s="17">
        <f t="shared" si="392"/>
        <v>0</v>
      </c>
      <c r="S681" s="17">
        <f t="shared" si="393"/>
        <v>0</v>
      </c>
      <c r="T681" s="17">
        <f t="shared" si="394"/>
        <v>0</v>
      </c>
      <c r="U681" s="17">
        <f t="shared" si="395"/>
        <v>0</v>
      </c>
      <c r="V681" s="17">
        <f t="shared" si="396"/>
        <v>0</v>
      </c>
      <c r="W681" s="17">
        <f t="shared" si="397"/>
        <v>0</v>
      </c>
      <c r="X681" s="17">
        <f t="shared" si="398"/>
        <v>0</v>
      </c>
      <c r="Y681" s="17">
        <f t="shared" si="399"/>
        <v>0</v>
      </c>
      <c r="Z681" s="17">
        <f t="shared" si="400"/>
        <v>0</v>
      </c>
      <c r="AA681" s="17">
        <f t="shared" si="401"/>
        <v>0</v>
      </c>
      <c r="AB681" s="17">
        <f t="shared" si="402"/>
        <v>0</v>
      </c>
      <c r="AC681" s="17">
        <v>0</v>
      </c>
      <c r="AD681" s="17">
        <f t="shared" si="403"/>
        <v>0</v>
      </c>
      <c r="AE681" s="17">
        <f t="shared" si="404"/>
        <v>0</v>
      </c>
      <c r="AF681" s="17">
        <f t="shared" si="405"/>
        <v>0</v>
      </c>
      <c r="AG681" s="17">
        <f t="shared" si="406"/>
        <v>0</v>
      </c>
      <c r="AH681" s="17">
        <f t="shared" si="407"/>
        <v>0</v>
      </c>
      <c r="AI681" s="17">
        <f t="shared" si="408"/>
        <v>0</v>
      </c>
      <c r="AJ681" s="17">
        <f t="shared" si="409"/>
        <v>0</v>
      </c>
      <c r="AK681" s="17">
        <f t="shared" si="410"/>
        <v>0</v>
      </c>
      <c r="AL681" s="17">
        <f t="shared" si="411"/>
        <v>0</v>
      </c>
      <c r="AM681" s="17">
        <f t="shared" si="412"/>
        <v>0</v>
      </c>
      <c r="AN681" s="17">
        <f t="shared" si="413"/>
        <v>0</v>
      </c>
      <c r="AO681" s="17">
        <f t="shared" si="414"/>
        <v>0</v>
      </c>
      <c r="AP681" s="17">
        <f t="shared" si="415"/>
        <v>0</v>
      </c>
      <c r="AQ681" s="18">
        <v>0</v>
      </c>
      <c r="AR681" s="18">
        <v>0</v>
      </c>
      <c r="AS681" s="18">
        <v>0</v>
      </c>
      <c r="AT681" s="18">
        <v>0</v>
      </c>
      <c r="AU681" s="18">
        <v>0</v>
      </c>
      <c r="AV681" s="18">
        <v>0</v>
      </c>
      <c r="AW681" s="18">
        <v>0</v>
      </c>
      <c r="AX681" s="18">
        <v>0</v>
      </c>
      <c r="AY681" s="18">
        <v>0</v>
      </c>
      <c r="AZ681" s="18">
        <v>0</v>
      </c>
      <c r="BA681" s="18">
        <v>0</v>
      </c>
      <c r="BB681" s="18">
        <v>0</v>
      </c>
      <c r="BC681" s="23">
        <v>8.9181565948742242E-2</v>
      </c>
      <c r="BD681" s="23">
        <v>0.10665277883445198</v>
      </c>
      <c r="BE681" s="23">
        <v>9.438849084854764E-2</v>
      </c>
      <c r="BF681" s="23">
        <v>7.149564986855049E-2</v>
      </c>
      <c r="BG681" s="23">
        <v>0.10368571810536763</v>
      </c>
      <c r="BH681" s="23">
        <v>8.4970330952544637E-2</v>
      </c>
      <c r="BI681" s="23">
        <v>8.4593878877262704E-2</v>
      </c>
      <c r="BJ681" s="23">
        <v>5.7447105462779965E-2</v>
      </c>
      <c r="BK681" s="23">
        <v>8.5153852345557474E-2</v>
      </c>
      <c r="BL681" s="23">
        <v>7.4158058913035174E-2</v>
      </c>
      <c r="BM681" s="23">
        <v>7.5718189192107169E-2</v>
      </c>
      <c r="BN681" s="23">
        <v>7.3955559365675619E-2</v>
      </c>
    </row>
    <row r="682" spans="1:66" x14ac:dyDescent="0.25">
      <c r="A682" s="16">
        <v>4772</v>
      </c>
      <c r="B682" s="16" t="s">
        <v>876</v>
      </c>
      <c r="C682" s="17">
        <v>0</v>
      </c>
      <c r="D682" s="17">
        <f t="shared" si="379"/>
        <v>0</v>
      </c>
      <c r="E682" s="17">
        <f t="shared" si="380"/>
        <v>0</v>
      </c>
      <c r="F682" s="17">
        <f t="shared" si="381"/>
        <v>0</v>
      </c>
      <c r="G682" s="17">
        <f t="shared" si="382"/>
        <v>0</v>
      </c>
      <c r="H682" s="17">
        <f t="shared" si="383"/>
        <v>0</v>
      </c>
      <c r="I682" s="17">
        <f t="shared" si="384"/>
        <v>0</v>
      </c>
      <c r="J682" s="17">
        <f t="shared" si="385"/>
        <v>0</v>
      </c>
      <c r="K682" s="17">
        <f t="shared" si="386"/>
        <v>0</v>
      </c>
      <c r="L682" s="17">
        <f t="shared" si="387"/>
        <v>0</v>
      </c>
      <c r="M682" s="17">
        <f t="shared" si="388"/>
        <v>0</v>
      </c>
      <c r="N682" s="17">
        <f t="shared" si="389"/>
        <v>0</v>
      </c>
      <c r="O682" s="17">
        <f t="shared" si="390"/>
        <v>0</v>
      </c>
      <c r="P682" s="17">
        <v>0</v>
      </c>
      <c r="Q682" s="17">
        <f t="shared" si="391"/>
        <v>0</v>
      </c>
      <c r="R682" s="17">
        <f t="shared" si="392"/>
        <v>0</v>
      </c>
      <c r="S682" s="17">
        <f t="shared" si="393"/>
        <v>0</v>
      </c>
      <c r="T682" s="17">
        <f t="shared" si="394"/>
        <v>0</v>
      </c>
      <c r="U682" s="17">
        <f t="shared" si="395"/>
        <v>0</v>
      </c>
      <c r="V682" s="17">
        <f t="shared" si="396"/>
        <v>0</v>
      </c>
      <c r="W682" s="17">
        <f t="shared" si="397"/>
        <v>0</v>
      </c>
      <c r="X682" s="17">
        <f t="shared" si="398"/>
        <v>0</v>
      </c>
      <c r="Y682" s="17">
        <f t="shared" si="399"/>
        <v>0</v>
      </c>
      <c r="Z682" s="17">
        <f t="shared" si="400"/>
        <v>0</v>
      </c>
      <c r="AA682" s="17">
        <f t="shared" si="401"/>
        <v>0</v>
      </c>
      <c r="AB682" s="17">
        <f t="shared" si="402"/>
        <v>0</v>
      </c>
      <c r="AC682" s="17">
        <v>0</v>
      </c>
      <c r="AD682" s="17">
        <f t="shared" si="403"/>
        <v>0</v>
      </c>
      <c r="AE682" s="17">
        <f t="shared" si="404"/>
        <v>0</v>
      </c>
      <c r="AF682" s="17">
        <f t="shared" si="405"/>
        <v>0</v>
      </c>
      <c r="AG682" s="17">
        <f t="shared" si="406"/>
        <v>0</v>
      </c>
      <c r="AH682" s="17">
        <f t="shared" si="407"/>
        <v>0</v>
      </c>
      <c r="AI682" s="17">
        <f t="shared" si="408"/>
        <v>0</v>
      </c>
      <c r="AJ682" s="17">
        <f t="shared" si="409"/>
        <v>0</v>
      </c>
      <c r="AK682" s="17">
        <f t="shared" si="410"/>
        <v>0</v>
      </c>
      <c r="AL682" s="17">
        <f t="shared" si="411"/>
        <v>0</v>
      </c>
      <c r="AM682" s="17">
        <f t="shared" si="412"/>
        <v>0</v>
      </c>
      <c r="AN682" s="17">
        <f t="shared" si="413"/>
        <v>0</v>
      </c>
      <c r="AO682" s="17">
        <f t="shared" si="414"/>
        <v>0</v>
      </c>
      <c r="AP682" s="17">
        <f t="shared" si="415"/>
        <v>0</v>
      </c>
      <c r="AQ682" s="18">
        <v>10.30047086707973</v>
      </c>
      <c r="AR682" s="18">
        <v>12.318395955379206</v>
      </c>
      <c r="AS682" s="18">
        <v>10.901870693007254</v>
      </c>
      <c r="AT682" s="18">
        <v>8.2577475598175827</v>
      </c>
      <c r="AU682" s="18">
        <v>11.975700441169963</v>
      </c>
      <c r="AV682" s="18">
        <v>9.8140732250189071</v>
      </c>
      <c r="AW682" s="18">
        <v>9.770593010323843</v>
      </c>
      <c r="AX682" s="18">
        <v>6.6351406809510864</v>
      </c>
      <c r="AY682" s="18">
        <v>9.8352699459118895</v>
      </c>
      <c r="AZ682" s="18">
        <v>8.565255804455564</v>
      </c>
      <c r="BA682" s="18">
        <v>8.7454508516883784</v>
      </c>
      <c r="BB682" s="18">
        <v>8.5418671067355358</v>
      </c>
      <c r="BC682" s="23">
        <v>8.9181565948742242E-2</v>
      </c>
      <c r="BD682" s="23">
        <v>0.10665277883445198</v>
      </c>
      <c r="BE682" s="23">
        <v>9.438849084854764E-2</v>
      </c>
      <c r="BF682" s="23">
        <v>7.149564986855049E-2</v>
      </c>
      <c r="BG682" s="23">
        <v>0.10368571810536763</v>
      </c>
      <c r="BH682" s="23">
        <v>8.4970330952544637E-2</v>
      </c>
      <c r="BI682" s="23">
        <v>8.4593878877262704E-2</v>
      </c>
      <c r="BJ682" s="23">
        <v>5.7447105462779965E-2</v>
      </c>
      <c r="BK682" s="23">
        <v>8.5153852345557474E-2</v>
      </c>
      <c r="BL682" s="23">
        <v>7.4158058913035174E-2</v>
      </c>
      <c r="BM682" s="23">
        <v>7.5718189192107169E-2</v>
      </c>
      <c r="BN682" s="23">
        <v>7.3955559365675619E-2</v>
      </c>
    </row>
    <row r="683" spans="1:66" x14ac:dyDescent="0.25">
      <c r="A683" s="16">
        <v>4790</v>
      </c>
      <c r="B683" s="16" t="s">
        <v>877</v>
      </c>
      <c r="C683" s="17">
        <v>0</v>
      </c>
      <c r="D683" s="17">
        <f t="shared" si="379"/>
        <v>0</v>
      </c>
      <c r="E683" s="17">
        <f t="shared" si="380"/>
        <v>0</v>
      </c>
      <c r="F683" s="17">
        <f t="shared" si="381"/>
        <v>0</v>
      </c>
      <c r="G683" s="17">
        <f t="shared" si="382"/>
        <v>0</v>
      </c>
      <c r="H683" s="17">
        <f t="shared" si="383"/>
        <v>0</v>
      </c>
      <c r="I683" s="17">
        <f t="shared" si="384"/>
        <v>0</v>
      </c>
      <c r="J683" s="17">
        <f t="shared" si="385"/>
        <v>0</v>
      </c>
      <c r="K683" s="17">
        <f t="shared" si="386"/>
        <v>0</v>
      </c>
      <c r="L683" s="17">
        <f t="shared" si="387"/>
        <v>0</v>
      </c>
      <c r="M683" s="17">
        <f t="shared" si="388"/>
        <v>0</v>
      </c>
      <c r="N683" s="17">
        <f t="shared" si="389"/>
        <v>0</v>
      </c>
      <c r="O683" s="17">
        <f t="shared" si="390"/>
        <v>0</v>
      </c>
      <c r="P683" s="17">
        <v>0</v>
      </c>
      <c r="Q683" s="17">
        <f t="shared" si="391"/>
        <v>0</v>
      </c>
      <c r="R683" s="17">
        <f t="shared" si="392"/>
        <v>0</v>
      </c>
      <c r="S683" s="17">
        <f t="shared" si="393"/>
        <v>0</v>
      </c>
      <c r="T683" s="17">
        <f t="shared" si="394"/>
        <v>0</v>
      </c>
      <c r="U683" s="17">
        <f t="shared" si="395"/>
        <v>0</v>
      </c>
      <c r="V683" s="17">
        <f t="shared" si="396"/>
        <v>0</v>
      </c>
      <c r="W683" s="17">
        <f t="shared" si="397"/>
        <v>0</v>
      </c>
      <c r="X683" s="17">
        <f t="shared" si="398"/>
        <v>0</v>
      </c>
      <c r="Y683" s="17">
        <f t="shared" si="399"/>
        <v>0</v>
      </c>
      <c r="Z683" s="17">
        <f t="shared" si="400"/>
        <v>0</v>
      </c>
      <c r="AA683" s="17">
        <f t="shared" si="401"/>
        <v>0</v>
      </c>
      <c r="AB683" s="17">
        <f t="shared" si="402"/>
        <v>0</v>
      </c>
      <c r="AC683" s="17">
        <v>0</v>
      </c>
      <c r="AD683" s="17">
        <f t="shared" si="403"/>
        <v>0</v>
      </c>
      <c r="AE683" s="17">
        <f t="shared" si="404"/>
        <v>0</v>
      </c>
      <c r="AF683" s="17">
        <f t="shared" si="405"/>
        <v>0</v>
      </c>
      <c r="AG683" s="17">
        <f t="shared" si="406"/>
        <v>0</v>
      </c>
      <c r="AH683" s="17">
        <f t="shared" si="407"/>
        <v>0</v>
      </c>
      <c r="AI683" s="17">
        <f t="shared" si="408"/>
        <v>0</v>
      </c>
      <c r="AJ683" s="17">
        <f t="shared" si="409"/>
        <v>0</v>
      </c>
      <c r="AK683" s="17">
        <f t="shared" si="410"/>
        <v>0</v>
      </c>
      <c r="AL683" s="17">
        <f t="shared" si="411"/>
        <v>0</v>
      </c>
      <c r="AM683" s="17">
        <f t="shared" si="412"/>
        <v>0</v>
      </c>
      <c r="AN683" s="17">
        <f t="shared" si="413"/>
        <v>0</v>
      </c>
      <c r="AO683" s="17">
        <f t="shared" si="414"/>
        <v>0</v>
      </c>
      <c r="AP683" s="17">
        <f t="shared" si="415"/>
        <v>0</v>
      </c>
      <c r="AQ683" s="18">
        <v>0</v>
      </c>
      <c r="AR683" s="18">
        <v>0</v>
      </c>
      <c r="AS683" s="18">
        <v>0</v>
      </c>
      <c r="AT683" s="18">
        <v>0</v>
      </c>
      <c r="AU683" s="18">
        <v>0</v>
      </c>
      <c r="AV683" s="18">
        <v>0</v>
      </c>
      <c r="AW683" s="18">
        <v>0</v>
      </c>
      <c r="AX683" s="18">
        <v>0</v>
      </c>
      <c r="AY683" s="18">
        <v>0</v>
      </c>
      <c r="AZ683" s="18">
        <v>0</v>
      </c>
      <c r="BA683" s="18">
        <v>0</v>
      </c>
      <c r="BB683" s="18">
        <v>0</v>
      </c>
      <c r="BC683" s="23">
        <v>8.9181565948742242E-2</v>
      </c>
      <c r="BD683" s="23">
        <v>0.10665277883445198</v>
      </c>
      <c r="BE683" s="23">
        <v>9.438849084854764E-2</v>
      </c>
      <c r="BF683" s="23">
        <v>7.149564986855049E-2</v>
      </c>
      <c r="BG683" s="23">
        <v>0.10368571810536763</v>
      </c>
      <c r="BH683" s="23">
        <v>8.4970330952544637E-2</v>
      </c>
      <c r="BI683" s="23">
        <v>8.4593878877262704E-2</v>
      </c>
      <c r="BJ683" s="23">
        <v>5.7447105462779965E-2</v>
      </c>
      <c r="BK683" s="23">
        <v>8.5153852345557474E-2</v>
      </c>
      <c r="BL683" s="23">
        <v>7.4158058913035174E-2</v>
      </c>
      <c r="BM683" s="23">
        <v>7.5718189192107169E-2</v>
      </c>
      <c r="BN683" s="23">
        <v>7.3955559365675619E-2</v>
      </c>
    </row>
    <row r="684" spans="1:66" x14ac:dyDescent="0.25">
      <c r="A684" s="16">
        <v>4805</v>
      </c>
      <c r="B684" s="16" t="s">
        <v>878</v>
      </c>
      <c r="C684" s="17">
        <v>0</v>
      </c>
      <c r="D684" s="17">
        <f t="shared" si="379"/>
        <v>0</v>
      </c>
      <c r="E684" s="17">
        <f t="shared" si="380"/>
        <v>0</v>
      </c>
      <c r="F684" s="17">
        <f t="shared" si="381"/>
        <v>0</v>
      </c>
      <c r="G684" s="17">
        <f t="shared" si="382"/>
        <v>0</v>
      </c>
      <c r="H684" s="17">
        <f t="shared" si="383"/>
        <v>0</v>
      </c>
      <c r="I684" s="17">
        <f t="shared" si="384"/>
        <v>0</v>
      </c>
      <c r="J684" s="17">
        <f t="shared" si="385"/>
        <v>0</v>
      </c>
      <c r="K684" s="17">
        <f t="shared" si="386"/>
        <v>0</v>
      </c>
      <c r="L684" s="17">
        <f t="shared" si="387"/>
        <v>0</v>
      </c>
      <c r="M684" s="17">
        <f t="shared" si="388"/>
        <v>0</v>
      </c>
      <c r="N684" s="17">
        <f t="shared" si="389"/>
        <v>0</v>
      </c>
      <c r="O684" s="17">
        <f t="shared" si="390"/>
        <v>0</v>
      </c>
      <c r="P684" s="17">
        <v>1000</v>
      </c>
      <c r="Q684" s="17">
        <f t="shared" si="391"/>
        <v>89.181565948742247</v>
      </c>
      <c r="R684" s="17">
        <f t="shared" si="392"/>
        <v>106.65277883445198</v>
      </c>
      <c r="S684" s="17">
        <f t="shared" si="393"/>
        <v>94.388490848547647</v>
      </c>
      <c r="T684" s="17">
        <f t="shared" si="394"/>
        <v>71.495649868550487</v>
      </c>
      <c r="U684" s="17">
        <f t="shared" si="395"/>
        <v>103.68571810536763</v>
      </c>
      <c r="V684" s="17">
        <f t="shared" si="396"/>
        <v>84.970330952544643</v>
      </c>
      <c r="W684" s="17">
        <f t="shared" si="397"/>
        <v>84.593878877262711</v>
      </c>
      <c r="X684" s="17">
        <f t="shared" si="398"/>
        <v>57.447105462779966</v>
      </c>
      <c r="Y684" s="17">
        <f t="shared" si="399"/>
        <v>85.153852345557468</v>
      </c>
      <c r="Z684" s="17">
        <f t="shared" si="400"/>
        <v>74.158058913035177</v>
      </c>
      <c r="AA684" s="17">
        <f t="shared" si="401"/>
        <v>75.718189192107175</v>
      </c>
      <c r="AB684" s="17">
        <f t="shared" si="402"/>
        <v>73.955559365675626</v>
      </c>
      <c r="AC684" s="17">
        <v>0</v>
      </c>
      <c r="AD684" s="17">
        <f t="shared" si="403"/>
        <v>0</v>
      </c>
      <c r="AE684" s="17">
        <f t="shared" si="404"/>
        <v>0</v>
      </c>
      <c r="AF684" s="17">
        <f t="shared" si="405"/>
        <v>0</v>
      </c>
      <c r="AG684" s="17">
        <f t="shared" si="406"/>
        <v>0</v>
      </c>
      <c r="AH684" s="17">
        <f t="shared" si="407"/>
        <v>0</v>
      </c>
      <c r="AI684" s="17">
        <f t="shared" si="408"/>
        <v>0</v>
      </c>
      <c r="AJ684" s="17">
        <f t="shared" si="409"/>
        <v>0</v>
      </c>
      <c r="AK684" s="17">
        <f t="shared" si="410"/>
        <v>0</v>
      </c>
      <c r="AL684" s="17">
        <f t="shared" si="411"/>
        <v>0</v>
      </c>
      <c r="AM684" s="17">
        <f t="shared" si="412"/>
        <v>0</v>
      </c>
      <c r="AN684" s="17">
        <f t="shared" si="413"/>
        <v>0</v>
      </c>
      <c r="AO684" s="17">
        <f t="shared" si="414"/>
        <v>0</v>
      </c>
      <c r="AP684" s="17">
        <f t="shared" si="415"/>
        <v>1000</v>
      </c>
      <c r="AQ684" s="18">
        <v>70.631800231403872</v>
      </c>
      <c r="AR684" s="18">
        <v>84.469000836885982</v>
      </c>
      <c r="AS684" s="18">
        <v>74.755684752049746</v>
      </c>
      <c r="AT684" s="18">
        <v>56.624554695891995</v>
      </c>
      <c r="AU684" s="18">
        <v>82.119088739451172</v>
      </c>
      <c r="AV684" s="18">
        <v>67.296502114415361</v>
      </c>
      <c r="AW684" s="18">
        <v>66.998352070792066</v>
      </c>
      <c r="AX684" s="18">
        <v>45.498107526521736</v>
      </c>
      <c r="AY684" s="18">
        <v>67.441851057681532</v>
      </c>
      <c r="AZ684" s="18">
        <v>58.733182659123869</v>
      </c>
      <c r="BA684" s="18">
        <v>59.968805840148889</v>
      </c>
      <c r="BB684" s="18">
        <v>58.572803017615101</v>
      </c>
      <c r="BC684" s="23">
        <v>8.9181565948742242E-2</v>
      </c>
      <c r="BD684" s="23">
        <v>0.10665277883445198</v>
      </c>
      <c r="BE684" s="23">
        <v>9.438849084854764E-2</v>
      </c>
      <c r="BF684" s="23">
        <v>7.149564986855049E-2</v>
      </c>
      <c r="BG684" s="23">
        <v>0.10368571810536763</v>
      </c>
      <c r="BH684" s="23">
        <v>8.4970330952544637E-2</v>
      </c>
      <c r="BI684" s="23">
        <v>8.4593878877262704E-2</v>
      </c>
      <c r="BJ684" s="23">
        <v>5.7447105462779965E-2</v>
      </c>
      <c r="BK684" s="23">
        <v>8.5153852345557474E-2</v>
      </c>
      <c r="BL684" s="23">
        <v>7.4158058913035174E-2</v>
      </c>
      <c r="BM684" s="23">
        <v>7.5718189192107169E-2</v>
      </c>
      <c r="BN684" s="23">
        <v>7.3955559365675619E-2</v>
      </c>
    </row>
    <row r="685" spans="1:66" x14ac:dyDescent="0.25">
      <c r="A685" s="16">
        <v>4806</v>
      </c>
      <c r="B685" s="16" t="s">
        <v>879</v>
      </c>
      <c r="C685" s="17">
        <v>0</v>
      </c>
      <c r="D685" s="17">
        <f t="shared" si="379"/>
        <v>0</v>
      </c>
      <c r="E685" s="17">
        <f t="shared" si="380"/>
        <v>0</v>
      </c>
      <c r="F685" s="17">
        <f t="shared" si="381"/>
        <v>0</v>
      </c>
      <c r="G685" s="17">
        <f t="shared" si="382"/>
        <v>0</v>
      </c>
      <c r="H685" s="17">
        <f t="shared" si="383"/>
        <v>0</v>
      </c>
      <c r="I685" s="17">
        <f t="shared" si="384"/>
        <v>0</v>
      </c>
      <c r="J685" s="17">
        <f t="shared" si="385"/>
        <v>0</v>
      </c>
      <c r="K685" s="17">
        <f t="shared" si="386"/>
        <v>0</v>
      </c>
      <c r="L685" s="17">
        <f t="shared" si="387"/>
        <v>0</v>
      </c>
      <c r="M685" s="17">
        <f t="shared" si="388"/>
        <v>0</v>
      </c>
      <c r="N685" s="17">
        <f t="shared" si="389"/>
        <v>0</v>
      </c>
      <c r="O685" s="17">
        <f t="shared" si="390"/>
        <v>0</v>
      </c>
      <c r="P685" s="17">
        <v>0</v>
      </c>
      <c r="Q685" s="17">
        <f t="shared" si="391"/>
        <v>0</v>
      </c>
      <c r="R685" s="17">
        <f t="shared" si="392"/>
        <v>0</v>
      </c>
      <c r="S685" s="17">
        <f t="shared" si="393"/>
        <v>0</v>
      </c>
      <c r="T685" s="17">
        <f t="shared" si="394"/>
        <v>0</v>
      </c>
      <c r="U685" s="17">
        <f t="shared" si="395"/>
        <v>0</v>
      </c>
      <c r="V685" s="17">
        <f t="shared" si="396"/>
        <v>0</v>
      </c>
      <c r="W685" s="17">
        <f t="shared" si="397"/>
        <v>0</v>
      </c>
      <c r="X685" s="17">
        <f t="shared" si="398"/>
        <v>0</v>
      </c>
      <c r="Y685" s="17">
        <f t="shared" si="399"/>
        <v>0</v>
      </c>
      <c r="Z685" s="17">
        <f t="shared" si="400"/>
        <v>0</v>
      </c>
      <c r="AA685" s="17">
        <f t="shared" si="401"/>
        <v>0</v>
      </c>
      <c r="AB685" s="17">
        <f t="shared" si="402"/>
        <v>0</v>
      </c>
      <c r="AC685" s="17">
        <v>0</v>
      </c>
      <c r="AD685" s="17">
        <f t="shared" si="403"/>
        <v>0</v>
      </c>
      <c r="AE685" s="17">
        <f t="shared" si="404"/>
        <v>0</v>
      </c>
      <c r="AF685" s="17">
        <f t="shared" si="405"/>
        <v>0</v>
      </c>
      <c r="AG685" s="17">
        <f t="shared" si="406"/>
        <v>0</v>
      </c>
      <c r="AH685" s="17">
        <f t="shared" si="407"/>
        <v>0</v>
      </c>
      <c r="AI685" s="17">
        <f t="shared" si="408"/>
        <v>0</v>
      </c>
      <c r="AJ685" s="17">
        <f t="shared" si="409"/>
        <v>0</v>
      </c>
      <c r="AK685" s="17">
        <f t="shared" si="410"/>
        <v>0</v>
      </c>
      <c r="AL685" s="17">
        <f t="shared" si="411"/>
        <v>0</v>
      </c>
      <c r="AM685" s="17">
        <f t="shared" si="412"/>
        <v>0</v>
      </c>
      <c r="AN685" s="17">
        <f t="shared" si="413"/>
        <v>0</v>
      </c>
      <c r="AO685" s="17">
        <f t="shared" si="414"/>
        <v>0</v>
      </c>
      <c r="AP685" s="17">
        <f t="shared" si="415"/>
        <v>0</v>
      </c>
      <c r="AQ685" s="18">
        <v>238.18906932757713</v>
      </c>
      <c r="AR685" s="18">
        <v>284.85176125275598</v>
      </c>
      <c r="AS685" s="18">
        <v>252.09589617849909</v>
      </c>
      <c r="AT685" s="18">
        <v>190.95294102537034</v>
      </c>
      <c r="AU685" s="18">
        <v>276.92723754451339</v>
      </c>
      <c r="AV685" s="18">
        <v>226.9415639289777</v>
      </c>
      <c r="AW685" s="18">
        <v>225.93612330339622</v>
      </c>
      <c r="AX685" s="18">
        <v>153.43162502447302</v>
      </c>
      <c r="AY685" s="18">
        <v>227.43171892164236</v>
      </c>
      <c r="AZ685" s="18">
        <v>198.06379096087852</v>
      </c>
      <c r="BA685" s="18">
        <v>202.2306383945232</v>
      </c>
      <c r="BB685" s="18">
        <v>197.52294848730554</v>
      </c>
      <c r="BC685" s="23">
        <v>8.9181565948742242E-2</v>
      </c>
      <c r="BD685" s="23">
        <v>0.10665277883445198</v>
      </c>
      <c r="BE685" s="23">
        <v>9.438849084854764E-2</v>
      </c>
      <c r="BF685" s="23">
        <v>7.149564986855049E-2</v>
      </c>
      <c r="BG685" s="23">
        <v>0.10368571810536763</v>
      </c>
      <c r="BH685" s="23">
        <v>8.4970330952544637E-2</v>
      </c>
      <c r="BI685" s="23">
        <v>8.4593878877262704E-2</v>
      </c>
      <c r="BJ685" s="23">
        <v>5.7447105462779965E-2</v>
      </c>
      <c r="BK685" s="23">
        <v>8.5153852345557474E-2</v>
      </c>
      <c r="BL685" s="23">
        <v>7.4158058913035174E-2</v>
      </c>
      <c r="BM685" s="23">
        <v>7.5718189192107169E-2</v>
      </c>
      <c r="BN685" s="23">
        <v>7.3955559365675619E-2</v>
      </c>
    </row>
    <row r="686" spans="1:66" x14ac:dyDescent="0.25">
      <c r="A686" s="16">
        <v>4814</v>
      </c>
      <c r="B686" s="16" t="s">
        <v>880</v>
      </c>
      <c r="C686" s="17">
        <v>0</v>
      </c>
      <c r="D686" s="17">
        <f t="shared" si="379"/>
        <v>0</v>
      </c>
      <c r="E686" s="17">
        <f t="shared" si="380"/>
        <v>0</v>
      </c>
      <c r="F686" s="17">
        <f t="shared" si="381"/>
        <v>0</v>
      </c>
      <c r="G686" s="17">
        <f t="shared" si="382"/>
        <v>0</v>
      </c>
      <c r="H686" s="17">
        <f t="shared" si="383"/>
        <v>0</v>
      </c>
      <c r="I686" s="17">
        <f t="shared" si="384"/>
        <v>0</v>
      </c>
      <c r="J686" s="17">
        <f t="shared" si="385"/>
        <v>0</v>
      </c>
      <c r="K686" s="17">
        <f t="shared" si="386"/>
        <v>0</v>
      </c>
      <c r="L686" s="17">
        <f t="shared" si="387"/>
        <v>0</v>
      </c>
      <c r="M686" s="17">
        <f t="shared" si="388"/>
        <v>0</v>
      </c>
      <c r="N686" s="17">
        <f t="shared" si="389"/>
        <v>0</v>
      </c>
      <c r="O686" s="17">
        <f t="shared" si="390"/>
        <v>0</v>
      </c>
      <c r="P686" s="17">
        <v>4000</v>
      </c>
      <c r="Q686" s="17">
        <f t="shared" si="391"/>
        <v>356.72626379496899</v>
      </c>
      <c r="R686" s="17">
        <f t="shared" si="392"/>
        <v>426.61111533780792</v>
      </c>
      <c r="S686" s="17">
        <f t="shared" si="393"/>
        <v>377.55396339419059</v>
      </c>
      <c r="T686" s="17">
        <f t="shared" si="394"/>
        <v>285.98259947420195</v>
      </c>
      <c r="U686" s="17">
        <f t="shared" si="395"/>
        <v>414.74287242147051</v>
      </c>
      <c r="V686" s="17">
        <f t="shared" si="396"/>
        <v>339.88132381017857</v>
      </c>
      <c r="W686" s="17">
        <f t="shared" si="397"/>
        <v>338.37551550905084</v>
      </c>
      <c r="X686" s="17">
        <f t="shared" si="398"/>
        <v>229.78842185111986</v>
      </c>
      <c r="Y686" s="17">
        <f t="shared" si="399"/>
        <v>340.61540938222987</v>
      </c>
      <c r="Z686" s="17">
        <f t="shared" si="400"/>
        <v>296.63223565214071</v>
      </c>
      <c r="AA686" s="17">
        <f t="shared" si="401"/>
        <v>302.8727567684287</v>
      </c>
      <c r="AB686" s="17">
        <f t="shared" si="402"/>
        <v>295.8222374627025</v>
      </c>
      <c r="AC686" s="17">
        <v>0</v>
      </c>
      <c r="AD686" s="17">
        <f t="shared" si="403"/>
        <v>0</v>
      </c>
      <c r="AE686" s="17">
        <f t="shared" si="404"/>
        <v>0</v>
      </c>
      <c r="AF686" s="17">
        <f t="shared" si="405"/>
        <v>0</v>
      </c>
      <c r="AG686" s="17">
        <f t="shared" si="406"/>
        <v>0</v>
      </c>
      <c r="AH686" s="17">
        <f t="shared" si="407"/>
        <v>0</v>
      </c>
      <c r="AI686" s="17">
        <f t="shared" si="408"/>
        <v>0</v>
      </c>
      <c r="AJ686" s="17">
        <f t="shared" si="409"/>
        <v>0</v>
      </c>
      <c r="AK686" s="17">
        <f t="shared" si="410"/>
        <v>0</v>
      </c>
      <c r="AL686" s="17">
        <f t="shared" si="411"/>
        <v>0</v>
      </c>
      <c r="AM686" s="17">
        <f t="shared" si="412"/>
        <v>0</v>
      </c>
      <c r="AN686" s="17">
        <f t="shared" si="413"/>
        <v>0</v>
      </c>
      <c r="AO686" s="17">
        <f t="shared" si="414"/>
        <v>0</v>
      </c>
      <c r="AP686" s="17">
        <f t="shared" si="415"/>
        <v>4000</v>
      </c>
      <c r="AQ686" s="18">
        <v>0</v>
      </c>
      <c r="AR686" s="18">
        <v>0</v>
      </c>
      <c r="AS686" s="18">
        <v>0</v>
      </c>
      <c r="AT686" s="18">
        <v>0</v>
      </c>
      <c r="AU686" s="18">
        <v>0</v>
      </c>
      <c r="AV686" s="18">
        <v>0</v>
      </c>
      <c r="AW686" s="18">
        <v>0</v>
      </c>
      <c r="AX686" s="18">
        <v>0</v>
      </c>
      <c r="AY686" s="18">
        <v>0</v>
      </c>
      <c r="AZ686" s="18">
        <v>0</v>
      </c>
      <c r="BA686" s="18">
        <v>0</v>
      </c>
      <c r="BB686" s="18">
        <v>0</v>
      </c>
      <c r="BC686" s="23">
        <v>8.9181565948742242E-2</v>
      </c>
      <c r="BD686" s="23">
        <v>0.10665277883445198</v>
      </c>
      <c r="BE686" s="23">
        <v>9.438849084854764E-2</v>
      </c>
      <c r="BF686" s="23">
        <v>7.149564986855049E-2</v>
      </c>
      <c r="BG686" s="23">
        <v>0.10368571810536763</v>
      </c>
      <c r="BH686" s="23">
        <v>8.4970330952544637E-2</v>
      </c>
      <c r="BI686" s="23">
        <v>8.4593878877262704E-2</v>
      </c>
      <c r="BJ686" s="23">
        <v>5.7447105462779965E-2</v>
      </c>
      <c r="BK686" s="23">
        <v>8.5153852345557474E-2</v>
      </c>
      <c r="BL686" s="23">
        <v>7.4158058913035174E-2</v>
      </c>
      <c r="BM686" s="23">
        <v>7.5718189192107169E-2</v>
      </c>
      <c r="BN686" s="23">
        <v>7.3955559365675619E-2</v>
      </c>
    </row>
    <row r="687" spans="1:66" x14ac:dyDescent="0.25">
      <c r="A687" s="16">
        <v>4845</v>
      </c>
      <c r="B687" s="16" t="s">
        <v>881</v>
      </c>
      <c r="C687" s="17">
        <v>0</v>
      </c>
      <c r="D687" s="17">
        <f t="shared" si="379"/>
        <v>0</v>
      </c>
      <c r="E687" s="17">
        <f t="shared" si="380"/>
        <v>0</v>
      </c>
      <c r="F687" s="17">
        <f t="shared" si="381"/>
        <v>0</v>
      </c>
      <c r="G687" s="17">
        <f t="shared" si="382"/>
        <v>0</v>
      </c>
      <c r="H687" s="17">
        <f t="shared" si="383"/>
        <v>0</v>
      </c>
      <c r="I687" s="17">
        <f t="shared" si="384"/>
        <v>0</v>
      </c>
      <c r="J687" s="17">
        <f t="shared" si="385"/>
        <v>0</v>
      </c>
      <c r="K687" s="17">
        <f t="shared" si="386"/>
        <v>0</v>
      </c>
      <c r="L687" s="17">
        <f t="shared" si="387"/>
        <v>0</v>
      </c>
      <c r="M687" s="17">
        <f t="shared" si="388"/>
        <v>0</v>
      </c>
      <c r="N687" s="17">
        <f t="shared" si="389"/>
        <v>0</v>
      </c>
      <c r="O687" s="17">
        <f t="shared" si="390"/>
        <v>0</v>
      </c>
      <c r="P687" s="17">
        <v>1500</v>
      </c>
      <c r="Q687" s="17">
        <f t="shared" si="391"/>
        <v>133.77234892311336</v>
      </c>
      <c r="R687" s="17">
        <f t="shared" si="392"/>
        <v>159.97916825167798</v>
      </c>
      <c r="S687" s="17">
        <f t="shared" si="393"/>
        <v>141.58273627282145</v>
      </c>
      <c r="T687" s="17">
        <f t="shared" si="394"/>
        <v>107.24347480282573</v>
      </c>
      <c r="U687" s="17">
        <f t="shared" si="395"/>
        <v>155.52857715805143</v>
      </c>
      <c r="V687" s="17">
        <f t="shared" si="396"/>
        <v>127.45549642881696</v>
      </c>
      <c r="W687" s="17">
        <f t="shared" si="397"/>
        <v>126.89081831589405</v>
      </c>
      <c r="X687" s="17">
        <f t="shared" si="398"/>
        <v>86.170658194169945</v>
      </c>
      <c r="Y687" s="17">
        <f t="shared" si="399"/>
        <v>127.73077851833621</v>
      </c>
      <c r="Z687" s="17">
        <f t="shared" si="400"/>
        <v>111.23708836955277</v>
      </c>
      <c r="AA687" s="17">
        <f t="shared" si="401"/>
        <v>113.57728378816076</v>
      </c>
      <c r="AB687" s="17">
        <f t="shared" si="402"/>
        <v>110.93333904851343</v>
      </c>
      <c r="AC687" s="17">
        <v>0</v>
      </c>
      <c r="AD687" s="17">
        <f t="shared" si="403"/>
        <v>0</v>
      </c>
      <c r="AE687" s="17">
        <f t="shared" si="404"/>
        <v>0</v>
      </c>
      <c r="AF687" s="17">
        <f t="shared" si="405"/>
        <v>0</v>
      </c>
      <c r="AG687" s="17">
        <f t="shared" si="406"/>
        <v>0</v>
      </c>
      <c r="AH687" s="17">
        <f t="shared" si="407"/>
        <v>0</v>
      </c>
      <c r="AI687" s="17">
        <f t="shared" si="408"/>
        <v>0</v>
      </c>
      <c r="AJ687" s="17">
        <f t="shared" si="409"/>
        <v>0</v>
      </c>
      <c r="AK687" s="17">
        <f t="shared" si="410"/>
        <v>0</v>
      </c>
      <c r="AL687" s="17">
        <f t="shared" si="411"/>
        <v>0</v>
      </c>
      <c r="AM687" s="17">
        <f t="shared" si="412"/>
        <v>0</v>
      </c>
      <c r="AN687" s="17">
        <f t="shared" si="413"/>
        <v>0</v>
      </c>
      <c r="AO687" s="17">
        <f t="shared" si="414"/>
        <v>0</v>
      </c>
      <c r="AP687" s="17">
        <f t="shared" si="415"/>
        <v>1500</v>
      </c>
      <c r="AQ687" s="18">
        <v>0</v>
      </c>
      <c r="AR687" s="18">
        <v>0</v>
      </c>
      <c r="AS687" s="18">
        <v>0</v>
      </c>
      <c r="AT687" s="18">
        <v>0</v>
      </c>
      <c r="AU687" s="18">
        <v>0</v>
      </c>
      <c r="AV687" s="18">
        <v>0</v>
      </c>
      <c r="AW687" s="18">
        <v>0</v>
      </c>
      <c r="AX687" s="18">
        <v>0</v>
      </c>
      <c r="AY687" s="18">
        <v>0</v>
      </c>
      <c r="AZ687" s="18">
        <v>0</v>
      </c>
      <c r="BA687" s="18">
        <v>0</v>
      </c>
      <c r="BB687" s="18">
        <v>0</v>
      </c>
      <c r="BC687" s="23">
        <v>8.9181565948742242E-2</v>
      </c>
      <c r="BD687" s="23">
        <v>0.10665277883445198</v>
      </c>
      <c r="BE687" s="23">
        <v>9.438849084854764E-2</v>
      </c>
      <c r="BF687" s="23">
        <v>7.149564986855049E-2</v>
      </c>
      <c r="BG687" s="23">
        <v>0.10368571810536763</v>
      </c>
      <c r="BH687" s="23">
        <v>8.4970330952544637E-2</v>
      </c>
      <c r="BI687" s="23">
        <v>8.4593878877262704E-2</v>
      </c>
      <c r="BJ687" s="23">
        <v>5.7447105462779965E-2</v>
      </c>
      <c r="BK687" s="23">
        <v>8.5153852345557474E-2</v>
      </c>
      <c r="BL687" s="23">
        <v>7.4158058913035174E-2</v>
      </c>
      <c r="BM687" s="23">
        <v>7.5718189192107169E-2</v>
      </c>
      <c r="BN687" s="23">
        <v>7.3955559365675619E-2</v>
      </c>
    </row>
    <row r="688" spans="1:66" x14ac:dyDescent="0.25">
      <c r="A688" s="16">
        <v>4874</v>
      </c>
      <c r="B688" s="16" t="s">
        <v>882</v>
      </c>
      <c r="C688" s="17">
        <v>0</v>
      </c>
      <c r="D688" s="17">
        <f t="shared" si="379"/>
        <v>0</v>
      </c>
      <c r="E688" s="17">
        <f t="shared" si="380"/>
        <v>0</v>
      </c>
      <c r="F688" s="17">
        <f t="shared" si="381"/>
        <v>0</v>
      </c>
      <c r="G688" s="17">
        <f t="shared" si="382"/>
        <v>0</v>
      </c>
      <c r="H688" s="17">
        <f t="shared" si="383"/>
        <v>0</v>
      </c>
      <c r="I688" s="17">
        <f t="shared" si="384"/>
        <v>0</v>
      </c>
      <c r="J688" s="17">
        <f t="shared" si="385"/>
        <v>0</v>
      </c>
      <c r="K688" s="17">
        <f t="shared" si="386"/>
        <v>0</v>
      </c>
      <c r="L688" s="17">
        <f t="shared" si="387"/>
        <v>0</v>
      </c>
      <c r="M688" s="17">
        <f t="shared" si="388"/>
        <v>0</v>
      </c>
      <c r="N688" s="17">
        <f t="shared" si="389"/>
        <v>0</v>
      </c>
      <c r="O688" s="17">
        <f t="shared" si="390"/>
        <v>0</v>
      </c>
      <c r="P688" s="17">
        <v>4000</v>
      </c>
      <c r="Q688" s="17">
        <f t="shared" si="391"/>
        <v>356.72626379496899</v>
      </c>
      <c r="R688" s="17">
        <f t="shared" si="392"/>
        <v>426.61111533780792</v>
      </c>
      <c r="S688" s="17">
        <f t="shared" si="393"/>
        <v>377.55396339419059</v>
      </c>
      <c r="T688" s="17">
        <f t="shared" si="394"/>
        <v>285.98259947420195</v>
      </c>
      <c r="U688" s="17">
        <f t="shared" si="395"/>
        <v>414.74287242147051</v>
      </c>
      <c r="V688" s="17">
        <f t="shared" si="396"/>
        <v>339.88132381017857</v>
      </c>
      <c r="W688" s="17">
        <f t="shared" si="397"/>
        <v>338.37551550905084</v>
      </c>
      <c r="X688" s="17">
        <f t="shared" si="398"/>
        <v>229.78842185111986</v>
      </c>
      <c r="Y688" s="17">
        <f t="shared" si="399"/>
        <v>340.61540938222987</v>
      </c>
      <c r="Z688" s="17">
        <f t="shared" si="400"/>
        <v>296.63223565214071</v>
      </c>
      <c r="AA688" s="17">
        <f t="shared" si="401"/>
        <v>302.8727567684287</v>
      </c>
      <c r="AB688" s="17">
        <f t="shared" si="402"/>
        <v>295.8222374627025</v>
      </c>
      <c r="AC688" s="17">
        <v>0</v>
      </c>
      <c r="AD688" s="17">
        <f t="shared" si="403"/>
        <v>0</v>
      </c>
      <c r="AE688" s="17">
        <f t="shared" si="404"/>
        <v>0</v>
      </c>
      <c r="AF688" s="17">
        <f t="shared" si="405"/>
        <v>0</v>
      </c>
      <c r="AG688" s="17">
        <f t="shared" si="406"/>
        <v>0</v>
      </c>
      <c r="AH688" s="17">
        <f t="shared" si="407"/>
        <v>0</v>
      </c>
      <c r="AI688" s="17">
        <f t="shared" si="408"/>
        <v>0</v>
      </c>
      <c r="AJ688" s="17">
        <f t="shared" si="409"/>
        <v>0</v>
      </c>
      <c r="AK688" s="17">
        <f t="shared" si="410"/>
        <v>0</v>
      </c>
      <c r="AL688" s="17">
        <f t="shared" si="411"/>
        <v>0</v>
      </c>
      <c r="AM688" s="17">
        <f t="shared" si="412"/>
        <v>0</v>
      </c>
      <c r="AN688" s="17">
        <f t="shared" si="413"/>
        <v>0</v>
      </c>
      <c r="AO688" s="17">
        <f t="shared" si="414"/>
        <v>0</v>
      </c>
      <c r="AP688" s="17">
        <f t="shared" si="415"/>
        <v>4000</v>
      </c>
      <c r="AQ688" s="18">
        <v>39.337988739990202</v>
      </c>
      <c r="AR688" s="18">
        <v>47.044540743876773</v>
      </c>
      <c r="AS688" s="18">
        <v>41.634763313294364</v>
      </c>
      <c r="AT688" s="18">
        <v>31.536731157017623</v>
      </c>
      <c r="AU688" s="18">
        <v>45.735770256277661</v>
      </c>
      <c r="AV688" s="18">
        <v>37.48041298316744</v>
      </c>
      <c r="AW688" s="18">
        <v>37.314359972760577</v>
      </c>
      <c r="AX688" s="18">
        <v>25.339918219632246</v>
      </c>
      <c r="AY688" s="18">
        <v>37.5613642696254</v>
      </c>
      <c r="AZ688" s="18">
        <v>32.711119786539818</v>
      </c>
      <c r="BA688" s="18">
        <v>33.399293252638472</v>
      </c>
      <c r="BB688" s="18">
        <v>32.621797236199519</v>
      </c>
      <c r="BC688" s="23">
        <v>8.9181565948742242E-2</v>
      </c>
      <c r="BD688" s="23">
        <v>0.10665277883445198</v>
      </c>
      <c r="BE688" s="23">
        <v>9.438849084854764E-2</v>
      </c>
      <c r="BF688" s="23">
        <v>7.149564986855049E-2</v>
      </c>
      <c r="BG688" s="23">
        <v>0.10368571810536763</v>
      </c>
      <c r="BH688" s="23">
        <v>8.4970330952544637E-2</v>
      </c>
      <c r="BI688" s="23">
        <v>8.4593878877262704E-2</v>
      </c>
      <c r="BJ688" s="23">
        <v>5.7447105462779965E-2</v>
      </c>
      <c r="BK688" s="23">
        <v>8.5153852345557474E-2</v>
      </c>
      <c r="BL688" s="23">
        <v>7.4158058913035174E-2</v>
      </c>
      <c r="BM688" s="23">
        <v>7.5718189192107169E-2</v>
      </c>
      <c r="BN688" s="23">
        <v>7.3955559365675619E-2</v>
      </c>
    </row>
    <row r="689" spans="1:66" x14ac:dyDescent="0.25">
      <c r="A689" s="16">
        <v>4906</v>
      </c>
      <c r="B689" s="16" t="s">
        <v>883</v>
      </c>
      <c r="C689" s="17">
        <v>0</v>
      </c>
      <c r="D689" s="17">
        <f t="shared" si="379"/>
        <v>0</v>
      </c>
      <c r="E689" s="17">
        <f t="shared" si="380"/>
        <v>0</v>
      </c>
      <c r="F689" s="17">
        <f t="shared" si="381"/>
        <v>0</v>
      </c>
      <c r="G689" s="17">
        <f t="shared" si="382"/>
        <v>0</v>
      </c>
      <c r="H689" s="17">
        <f t="shared" si="383"/>
        <v>0</v>
      </c>
      <c r="I689" s="17">
        <f t="shared" si="384"/>
        <v>0</v>
      </c>
      <c r="J689" s="17">
        <f t="shared" si="385"/>
        <v>0</v>
      </c>
      <c r="K689" s="17">
        <f t="shared" si="386"/>
        <v>0</v>
      </c>
      <c r="L689" s="17">
        <f t="shared" si="387"/>
        <v>0</v>
      </c>
      <c r="M689" s="17">
        <f t="shared" si="388"/>
        <v>0</v>
      </c>
      <c r="N689" s="17">
        <f t="shared" si="389"/>
        <v>0</v>
      </c>
      <c r="O689" s="17">
        <f t="shared" si="390"/>
        <v>0</v>
      </c>
      <c r="P689" s="17">
        <v>0</v>
      </c>
      <c r="Q689" s="17">
        <f t="shared" si="391"/>
        <v>0</v>
      </c>
      <c r="R689" s="17">
        <f t="shared" si="392"/>
        <v>0</v>
      </c>
      <c r="S689" s="17">
        <f t="shared" si="393"/>
        <v>0</v>
      </c>
      <c r="T689" s="17">
        <f t="shared" si="394"/>
        <v>0</v>
      </c>
      <c r="U689" s="17">
        <f t="shared" si="395"/>
        <v>0</v>
      </c>
      <c r="V689" s="17">
        <f t="shared" si="396"/>
        <v>0</v>
      </c>
      <c r="W689" s="17">
        <f t="shared" si="397"/>
        <v>0</v>
      </c>
      <c r="X689" s="17">
        <f t="shared" si="398"/>
        <v>0</v>
      </c>
      <c r="Y689" s="17">
        <f t="shared" si="399"/>
        <v>0</v>
      </c>
      <c r="Z689" s="17">
        <f t="shared" si="400"/>
        <v>0</v>
      </c>
      <c r="AA689" s="17">
        <f t="shared" si="401"/>
        <v>0</v>
      </c>
      <c r="AB689" s="17">
        <f t="shared" si="402"/>
        <v>0</v>
      </c>
      <c r="AC689" s="17">
        <v>0</v>
      </c>
      <c r="AD689" s="17">
        <f t="shared" si="403"/>
        <v>0</v>
      </c>
      <c r="AE689" s="17">
        <f t="shared" si="404"/>
        <v>0</v>
      </c>
      <c r="AF689" s="17">
        <f t="shared" si="405"/>
        <v>0</v>
      </c>
      <c r="AG689" s="17">
        <f t="shared" si="406"/>
        <v>0</v>
      </c>
      <c r="AH689" s="17">
        <f t="shared" si="407"/>
        <v>0</v>
      </c>
      <c r="AI689" s="17">
        <f t="shared" si="408"/>
        <v>0</v>
      </c>
      <c r="AJ689" s="17">
        <f t="shared" si="409"/>
        <v>0</v>
      </c>
      <c r="AK689" s="17">
        <f t="shared" si="410"/>
        <v>0</v>
      </c>
      <c r="AL689" s="17">
        <f t="shared" si="411"/>
        <v>0</v>
      </c>
      <c r="AM689" s="17">
        <f t="shared" si="412"/>
        <v>0</v>
      </c>
      <c r="AN689" s="17">
        <f t="shared" si="413"/>
        <v>0</v>
      </c>
      <c r="AO689" s="17">
        <f t="shared" si="414"/>
        <v>0</v>
      </c>
      <c r="AP689" s="17">
        <f t="shared" si="415"/>
        <v>0</v>
      </c>
      <c r="AQ689" s="18">
        <v>0</v>
      </c>
      <c r="AR689" s="18">
        <v>0</v>
      </c>
      <c r="AS689" s="18">
        <v>0</v>
      </c>
      <c r="AT689" s="18">
        <v>0</v>
      </c>
      <c r="AU689" s="18">
        <v>0</v>
      </c>
      <c r="AV689" s="18">
        <v>0</v>
      </c>
      <c r="AW689" s="18">
        <v>0</v>
      </c>
      <c r="AX689" s="18">
        <v>0</v>
      </c>
      <c r="AY689" s="18">
        <v>0</v>
      </c>
      <c r="AZ689" s="18">
        <v>0</v>
      </c>
      <c r="BA689" s="18">
        <v>0</v>
      </c>
      <c r="BB689" s="18">
        <v>0</v>
      </c>
      <c r="BC689" s="23">
        <v>8.9181565948742242E-2</v>
      </c>
      <c r="BD689" s="23">
        <v>0.10665277883445198</v>
      </c>
      <c r="BE689" s="23">
        <v>9.438849084854764E-2</v>
      </c>
      <c r="BF689" s="23">
        <v>7.149564986855049E-2</v>
      </c>
      <c r="BG689" s="23">
        <v>0.10368571810536763</v>
      </c>
      <c r="BH689" s="23">
        <v>8.4970330952544637E-2</v>
      </c>
      <c r="BI689" s="23">
        <v>8.4593878877262704E-2</v>
      </c>
      <c r="BJ689" s="23">
        <v>5.7447105462779965E-2</v>
      </c>
      <c r="BK689" s="23">
        <v>8.5153852345557474E-2</v>
      </c>
      <c r="BL689" s="23">
        <v>7.4158058913035174E-2</v>
      </c>
      <c r="BM689" s="23">
        <v>7.5718189192107169E-2</v>
      </c>
      <c r="BN689" s="23">
        <v>7.3955559365675619E-2</v>
      </c>
    </row>
    <row r="690" spans="1:66" x14ac:dyDescent="0.25">
      <c r="A690" s="16">
        <v>4912</v>
      </c>
      <c r="B690" s="16" t="s">
        <v>884</v>
      </c>
      <c r="C690" s="17">
        <v>0</v>
      </c>
      <c r="D690" s="17">
        <f t="shared" si="379"/>
        <v>0</v>
      </c>
      <c r="E690" s="17">
        <f t="shared" si="380"/>
        <v>0</v>
      </c>
      <c r="F690" s="17">
        <f t="shared" si="381"/>
        <v>0</v>
      </c>
      <c r="G690" s="17">
        <f t="shared" si="382"/>
        <v>0</v>
      </c>
      <c r="H690" s="17">
        <f t="shared" si="383"/>
        <v>0</v>
      </c>
      <c r="I690" s="17">
        <f t="shared" si="384"/>
        <v>0</v>
      </c>
      <c r="J690" s="17">
        <f t="shared" si="385"/>
        <v>0</v>
      </c>
      <c r="K690" s="17">
        <f t="shared" si="386"/>
        <v>0</v>
      </c>
      <c r="L690" s="17">
        <f t="shared" si="387"/>
        <v>0</v>
      </c>
      <c r="M690" s="17">
        <f t="shared" si="388"/>
        <v>0</v>
      </c>
      <c r="N690" s="17">
        <f t="shared" si="389"/>
        <v>0</v>
      </c>
      <c r="O690" s="17">
        <f t="shared" si="390"/>
        <v>0</v>
      </c>
      <c r="P690" s="17">
        <v>0</v>
      </c>
      <c r="Q690" s="17">
        <f t="shared" si="391"/>
        <v>0</v>
      </c>
      <c r="R690" s="17">
        <f t="shared" si="392"/>
        <v>0</v>
      </c>
      <c r="S690" s="17">
        <f t="shared" si="393"/>
        <v>0</v>
      </c>
      <c r="T690" s="17">
        <f t="shared" si="394"/>
        <v>0</v>
      </c>
      <c r="U690" s="17">
        <f t="shared" si="395"/>
        <v>0</v>
      </c>
      <c r="V690" s="17">
        <f t="shared" si="396"/>
        <v>0</v>
      </c>
      <c r="W690" s="17">
        <f t="shared" si="397"/>
        <v>0</v>
      </c>
      <c r="X690" s="17">
        <f t="shared" si="398"/>
        <v>0</v>
      </c>
      <c r="Y690" s="17">
        <f t="shared" si="399"/>
        <v>0</v>
      </c>
      <c r="Z690" s="17">
        <f t="shared" si="400"/>
        <v>0</v>
      </c>
      <c r="AA690" s="17">
        <f t="shared" si="401"/>
        <v>0</v>
      </c>
      <c r="AB690" s="17">
        <f t="shared" si="402"/>
        <v>0</v>
      </c>
      <c r="AC690" s="17">
        <v>0</v>
      </c>
      <c r="AD690" s="17">
        <f t="shared" si="403"/>
        <v>0</v>
      </c>
      <c r="AE690" s="17">
        <f t="shared" si="404"/>
        <v>0</v>
      </c>
      <c r="AF690" s="17">
        <f t="shared" si="405"/>
        <v>0</v>
      </c>
      <c r="AG690" s="17">
        <f t="shared" si="406"/>
        <v>0</v>
      </c>
      <c r="AH690" s="17">
        <f t="shared" si="407"/>
        <v>0</v>
      </c>
      <c r="AI690" s="17">
        <f t="shared" si="408"/>
        <v>0</v>
      </c>
      <c r="AJ690" s="17">
        <f t="shared" si="409"/>
        <v>0</v>
      </c>
      <c r="AK690" s="17">
        <f t="shared" si="410"/>
        <v>0</v>
      </c>
      <c r="AL690" s="17">
        <f t="shared" si="411"/>
        <v>0</v>
      </c>
      <c r="AM690" s="17">
        <f t="shared" si="412"/>
        <v>0</v>
      </c>
      <c r="AN690" s="17">
        <f t="shared" si="413"/>
        <v>0</v>
      </c>
      <c r="AO690" s="17">
        <f t="shared" si="414"/>
        <v>0</v>
      </c>
      <c r="AP690" s="17">
        <f t="shared" si="415"/>
        <v>0</v>
      </c>
      <c r="AQ690" s="18">
        <v>0.36296897341138096</v>
      </c>
      <c r="AR690" s="18">
        <v>0.4340768098562196</v>
      </c>
      <c r="AS690" s="18">
        <v>0.38416115775358894</v>
      </c>
      <c r="AT690" s="18">
        <v>0.29098729496500053</v>
      </c>
      <c r="AU690" s="18">
        <v>0.42200087268884628</v>
      </c>
      <c r="AV690" s="18">
        <v>0.34582924697685669</v>
      </c>
      <c r="AW690" s="18">
        <v>0.34429708703045925</v>
      </c>
      <c r="AX690" s="18">
        <v>0.23380971923351448</v>
      </c>
      <c r="AY690" s="18">
        <v>0.34657617904641896</v>
      </c>
      <c r="AZ690" s="18">
        <v>0.30182329977605316</v>
      </c>
      <c r="BA690" s="18">
        <v>0.30817303001187618</v>
      </c>
      <c r="BB690" s="18">
        <v>0.30099912661829981</v>
      </c>
      <c r="BC690" s="23">
        <v>8.9181565948742242E-2</v>
      </c>
      <c r="BD690" s="23">
        <v>0.10665277883445198</v>
      </c>
      <c r="BE690" s="23">
        <v>9.438849084854764E-2</v>
      </c>
      <c r="BF690" s="23">
        <v>7.149564986855049E-2</v>
      </c>
      <c r="BG690" s="23">
        <v>0.10368571810536763</v>
      </c>
      <c r="BH690" s="23">
        <v>8.4970330952544637E-2</v>
      </c>
      <c r="BI690" s="23">
        <v>8.4593878877262704E-2</v>
      </c>
      <c r="BJ690" s="23">
        <v>5.7447105462779965E-2</v>
      </c>
      <c r="BK690" s="23">
        <v>8.5153852345557474E-2</v>
      </c>
      <c r="BL690" s="23">
        <v>7.4158058913035174E-2</v>
      </c>
      <c r="BM690" s="23">
        <v>7.5718189192107169E-2</v>
      </c>
      <c r="BN690" s="23">
        <v>7.3955559365675619E-2</v>
      </c>
    </row>
    <row r="691" spans="1:66" x14ac:dyDescent="0.25">
      <c r="A691" s="16">
        <v>4919</v>
      </c>
      <c r="B691" s="16" t="s">
        <v>885</v>
      </c>
      <c r="C691" s="17">
        <v>0</v>
      </c>
      <c r="D691" s="17">
        <f t="shared" si="379"/>
        <v>0</v>
      </c>
      <c r="E691" s="17">
        <f t="shared" si="380"/>
        <v>0</v>
      </c>
      <c r="F691" s="17">
        <f t="shared" si="381"/>
        <v>0</v>
      </c>
      <c r="G691" s="17">
        <f t="shared" si="382"/>
        <v>0</v>
      </c>
      <c r="H691" s="17">
        <f t="shared" si="383"/>
        <v>0</v>
      </c>
      <c r="I691" s="17">
        <f t="shared" si="384"/>
        <v>0</v>
      </c>
      <c r="J691" s="17">
        <f t="shared" si="385"/>
        <v>0</v>
      </c>
      <c r="K691" s="17">
        <f t="shared" si="386"/>
        <v>0</v>
      </c>
      <c r="L691" s="17">
        <f t="shared" si="387"/>
        <v>0</v>
      </c>
      <c r="M691" s="17">
        <f t="shared" si="388"/>
        <v>0</v>
      </c>
      <c r="N691" s="17">
        <f t="shared" si="389"/>
        <v>0</v>
      </c>
      <c r="O691" s="17">
        <f t="shared" si="390"/>
        <v>0</v>
      </c>
      <c r="P691" s="17">
        <v>500</v>
      </c>
      <c r="Q691" s="17">
        <f t="shared" si="391"/>
        <v>44.590782974371123</v>
      </c>
      <c r="R691" s="17">
        <f t="shared" si="392"/>
        <v>53.32638941722599</v>
      </c>
      <c r="S691" s="17">
        <f t="shared" si="393"/>
        <v>47.194245424273824</v>
      </c>
      <c r="T691" s="17">
        <f t="shared" si="394"/>
        <v>35.747824934275243</v>
      </c>
      <c r="U691" s="17">
        <f t="shared" si="395"/>
        <v>51.842859052683814</v>
      </c>
      <c r="V691" s="17">
        <f t="shared" si="396"/>
        <v>42.485165476272321</v>
      </c>
      <c r="W691" s="17">
        <f t="shared" si="397"/>
        <v>42.296939438631355</v>
      </c>
      <c r="X691" s="17">
        <f t="shared" si="398"/>
        <v>28.723552731389983</v>
      </c>
      <c r="Y691" s="17">
        <f t="shared" si="399"/>
        <v>42.576926172778734</v>
      </c>
      <c r="Z691" s="17">
        <f t="shared" si="400"/>
        <v>37.079029456517588</v>
      </c>
      <c r="AA691" s="17">
        <f t="shared" si="401"/>
        <v>37.859094596053588</v>
      </c>
      <c r="AB691" s="17">
        <f t="shared" si="402"/>
        <v>36.977779682837813</v>
      </c>
      <c r="AC691" s="17">
        <v>0</v>
      </c>
      <c r="AD691" s="17">
        <f t="shared" si="403"/>
        <v>0</v>
      </c>
      <c r="AE691" s="17">
        <f t="shared" si="404"/>
        <v>0</v>
      </c>
      <c r="AF691" s="17">
        <f t="shared" si="405"/>
        <v>0</v>
      </c>
      <c r="AG691" s="17">
        <f t="shared" si="406"/>
        <v>0</v>
      </c>
      <c r="AH691" s="17">
        <f t="shared" si="407"/>
        <v>0</v>
      </c>
      <c r="AI691" s="17">
        <f t="shared" si="408"/>
        <v>0</v>
      </c>
      <c r="AJ691" s="17">
        <f t="shared" si="409"/>
        <v>0</v>
      </c>
      <c r="AK691" s="17">
        <f t="shared" si="410"/>
        <v>0</v>
      </c>
      <c r="AL691" s="17">
        <f t="shared" si="411"/>
        <v>0</v>
      </c>
      <c r="AM691" s="17">
        <f t="shared" si="412"/>
        <v>0</v>
      </c>
      <c r="AN691" s="17">
        <f t="shared" si="413"/>
        <v>0</v>
      </c>
      <c r="AO691" s="17">
        <f t="shared" si="414"/>
        <v>0</v>
      </c>
      <c r="AP691" s="17">
        <f t="shared" si="415"/>
        <v>500</v>
      </c>
      <c r="AQ691" s="18">
        <v>0</v>
      </c>
      <c r="AR691" s="18">
        <v>0</v>
      </c>
      <c r="AS691" s="18">
        <v>0</v>
      </c>
      <c r="AT691" s="18">
        <v>0</v>
      </c>
      <c r="AU691" s="18">
        <v>0</v>
      </c>
      <c r="AV691" s="18">
        <v>0</v>
      </c>
      <c r="AW691" s="18">
        <v>0</v>
      </c>
      <c r="AX691" s="18">
        <v>0</v>
      </c>
      <c r="AY691" s="18">
        <v>0</v>
      </c>
      <c r="AZ691" s="18">
        <v>0</v>
      </c>
      <c r="BA691" s="18">
        <v>0</v>
      </c>
      <c r="BB691" s="18">
        <v>0</v>
      </c>
      <c r="BC691" s="23">
        <v>8.9181565948742242E-2</v>
      </c>
      <c r="BD691" s="23">
        <v>0.10665277883445198</v>
      </c>
      <c r="BE691" s="23">
        <v>9.438849084854764E-2</v>
      </c>
      <c r="BF691" s="23">
        <v>7.149564986855049E-2</v>
      </c>
      <c r="BG691" s="23">
        <v>0.10368571810536763</v>
      </c>
      <c r="BH691" s="23">
        <v>8.4970330952544637E-2</v>
      </c>
      <c r="BI691" s="23">
        <v>8.4593878877262704E-2</v>
      </c>
      <c r="BJ691" s="23">
        <v>5.7447105462779965E-2</v>
      </c>
      <c r="BK691" s="23">
        <v>8.5153852345557474E-2</v>
      </c>
      <c r="BL691" s="23">
        <v>7.4158058913035174E-2</v>
      </c>
      <c r="BM691" s="23">
        <v>7.5718189192107169E-2</v>
      </c>
      <c r="BN691" s="23">
        <v>7.3955559365675619E-2</v>
      </c>
    </row>
    <row r="692" spans="1:66" x14ac:dyDescent="0.25">
      <c r="A692" s="16">
        <v>4921</v>
      </c>
      <c r="B692" s="16" t="s">
        <v>886</v>
      </c>
      <c r="C692" s="17">
        <v>0</v>
      </c>
      <c r="D692" s="17">
        <f t="shared" si="379"/>
        <v>0</v>
      </c>
      <c r="E692" s="17">
        <f t="shared" si="380"/>
        <v>0</v>
      </c>
      <c r="F692" s="17">
        <f t="shared" si="381"/>
        <v>0</v>
      </c>
      <c r="G692" s="17">
        <f t="shared" si="382"/>
        <v>0</v>
      </c>
      <c r="H692" s="17">
        <f t="shared" si="383"/>
        <v>0</v>
      </c>
      <c r="I692" s="17">
        <f t="shared" si="384"/>
        <v>0</v>
      </c>
      <c r="J692" s="17">
        <f t="shared" si="385"/>
        <v>0</v>
      </c>
      <c r="K692" s="17">
        <f t="shared" si="386"/>
        <v>0</v>
      </c>
      <c r="L692" s="17">
        <f t="shared" si="387"/>
        <v>0</v>
      </c>
      <c r="M692" s="17">
        <f t="shared" si="388"/>
        <v>0</v>
      </c>
      <c r="N692" s="17">
        <f t="shared" si="389"/>
        <v>0</v>
      </c>
      <c r="O692" s="17">
        <f t="shared" si="390"/>
        <v>0</v>
      </c>
      <c r="P692" s="17">
        <v>0</v>
      </c>
      <c r="Q692" s="17">
        <f t="shared" si="391"/>
        <v>0</v>
      </c>
      <c r="R692" s="17">
        <f t="shared" si="392"/>
        <v>0</v>
      </c>
      <c r="S692" s="17">
        <f t="shared" si="393"/>
        <v>0</v>
      </c>
      <c r="T692" s="17">
        <f t="shared" si="394"/>
        <v>0</v>
      </c>
      <c r="U692" s="17">
        <f t="shared" si="395"/>
        <v>0</v>
      </c>
      <c r="V692" s="17">
        <f t="shared" si="396"/>
        <v>0</v>
      </c>
      <c r="W692" s="17">
        <f t="shared" si="397"/>
        <v>0</v>
      </c>
      <c r="X692" s="17">
        <f t="shared" si="398"/>
        <v>0</v>
      </c>
      <c r="Y692" s="17">
        <f t="shared" si="399"/>
        <v>0</v>
      </c>
      <c r="Z692" s="17">
        <f t="shared" si="400"/>
        <v>0</v>
      </c>
      <c r="AA692" s="17">
        <f t="shared" si="401"/>
        <v>0</v>
      </c>
      <c r="AB692" s="17">
        <f t="shared" si="402"/>
        <v>0</v>
      </c>
      <c r="AC692" s="17">
        <v>0</v>
      </c>
      <c r="AD692" s="17">
        <f t="shared" si="403"/>
        <v>0</v>
      </c>
      <c r="AE692" s="17">
        <f t="shared" si="404"/>
        <v>0</v>
      </c>
      <c r="AF692" s="17">
        <f t="shared" si="405"/>
        <v>0</v>
      </c>
      <c r="AG692" s="17">
        <f t="shared" si="406"/>
        <v>0</v>
      </c>
      <c r="AH692" s="17">
        <f t="shared" si="407"/>
        <v>0</v>
      </c>
      <c r="AI692" s="17">
        <f t="shared" si="408"/>
        <v>0</v>
      </c>
      <c r="AJ692" s="17">
        <f t="shared" si="409"/>
        <v>0</v>
      </c>
      <c r="AK692" s="17">
        <f t="shared" si="410"/>
        <v>0</v>
      </c>
      <c r="AL692" s="17">
        <f t="shared" si="411"/>
        <v>0</v>
      </c>
      <c r="AM692" s="17">
        <f t="shared" si="412"/>
        <v>0</v>
      </c>
      <c r="AN692" s="17">
        <f t="shared" si="413"/>
        <v>0</v>
      </c>
      <c r="AO692" s="17">
        <f t="shared" si="414"/>
        <v>0</v>
      </c>
      <c r="AP692" s="17">
        <f t="shared" si="415"/>
        <v>0</v>
      </c>
      <c r="AQ692" s="18">
        <v>29.65064113880808</v>
      </c>
      <c r="AR692" s="18">
        <v>35.459382642984423</v>
      </c>
      <c r="AS692" s="18">
        <v>31.38181349487088</v>
      </c>
      <c r="AT692" s="18">
        <v>23.770516190046326</v>
      </c>
      <c r="AU692" s="18">
        <v>34.472909127082104</v>
      </c>
      <c r="AV692" s="18">
        <v>28.250510783447279</v>
      </c>
      <c r="AW692" s="18">
        <v>28.12534987971792</v>
      </c>
      <c r="AX692" s="18">
        <v>19.099726388737771</v>
      </c>
      <c r="AY692" s="18">
        <v>28.311527058589224</v>
      </c>
      <c r="AZ692" s="18">
        <v>24.655700637111373</v>
      </c>
      <c r="BA692" s="18">
        <v>25.174404951645833</v>
      </c>
      <c r="BB692" s="18">
        <v>24.588374600103002</v>
      </c>
      <c r="BC692" s="23">
        <v>8.9181565948742242E-2</v>
      </c>
      <c r="BD692" s="23">
        <v>0.10665277883445198</v>
      </c>
      <c r="BE692" s="23">
        <v>9.438849084854764E-2</v>
      </c>
      <c r="BF692" s="23">
        <v>7.149564986855049E-2</v>
      </c>
      <c r="BG692" s="23">
        <v>0.10368571810536763</v>
      </c>
      <c r="BH692" s="23">
        <v>8.4970330952544637E-2</v>
      </c>
      <c r="BI692" s="23">
        <v>8.4593878877262704E-2</v>
      </c>
      <c r="BJ692" s="23">
        <v>5.7447105462779965E-2</v>
      </c>
      <c r="BK692" s="23">
        <v>8.5153852345557474E-2</v>
      </c>
      <c r="BL692" s="23">
        <v>7.4158058913035174E-2</v>
      </c>
      <c r="BM692" s="23">
        <v>7.5718189192107169E-2</v>
      </c>
      <c r="BN692" s="23">
        <v>7.3955559365675619E-2</v>
      </c>
    </row>
    <row r="693" spans="1:66" x14ac:dyDescent="0.25">
      <c r="A693" s="16">
        <v>4928</v>
      </c>
      <c r="B693" s="16" t="s">
        <v>887</v>
      </c>
      <c r="C693" s="17">
        <v>0</v>
      </c>
      <c r="D693" s="17">
        <f t="shared" si="379"/>
        <v>0</v>
      </c>
      <c r="E693" s="17">
        <f t="shared" si="380"/>
        <v>0</v>
      </c>
      <c r="F693" s="17">
        <f t="shared" si="381"/>
        <v>0</v>
      </c>
      <c r="G693" s="17">
        <f t="shared" si="382"/>
        <v>0</v>
      </c>
      <c r="H693" s="17">
        <f t="shared" si="383"/>
        <v>0</v>
      </c>
      <c r="I693" s="17">
        <f t="shared" si="384"/>
        <v>0</v>
      </c>
      <c r="J693" s="17">
        <f t="shared" si="385"/>
        <v>0</v>
      </c>
      <c r="K693" s="17">
        <f t="shared" si="386"/>
        <v>0</v>
      </c>
      <c r="L693" s="17">
        <f t="shared" si="387"/>
        <v>0</v>
      </c>
      <c r="M693" s="17">
        <f t="shared" si="388"/>
        <v>0</v>
      </c>
      <c r="N693" s="17">
        <f t="shared" si="389"/>
        <v>0</v>
      </c>
      <c r="O693" s="17">
        <f t="shared" si="390"/>
        <v>0</v>
      </c>
      <c r="P693" s="17">
        <v>0</v>
      </c>
      <c r="Q693" s="17">
        <f t="shared" si="391"/>
        <v>0</v>
      </c>
      <c r="R693" s="17">
        <f t="shared" si="392"/>
        <v>0</v>
      </c>
      <c r="S693" s="17">
        <f t="shared" si="393"/>
        <v>0</v>
      </c>
      <c r="T693" s="17">
        <f t="shared" si="394"/>
        <v>0</v>
      </c>
      <c r="U693" s="17">
        <f t="shared" si="395"/>
        <v>0</v>
      </c>
      <c r="V693" s="17">
        <f t="shared" si="396"/>
        <v>0</v>
      </c>
      <c r="W693" s="17">
        <f t="shared" si="397"/>
        <v>0</v>
      </c>
      <c r="X693" s="17">
        <f t="shared" si="398"/>
        <v>0</v>
      </c>
      <c r="Y693" s="17">
        <f t="shared" si="399"/>
        <v>0</v>
      </c>
      <c r="Z693" s="17">
        <f t="shared" si="400"/>
        <v>0</v>
      </c>
      <c r="AA693" s="17">
        <f t="shared" si="401"/>
        <v>0</v>
      </c>
      <c r="AB693" s="17">
        <f t="shared" si="402"/>
        <v>0</v>
      </c>
      <c r="AC693" s="17">
        <v>0</v>
      </c>
      <c r="AD693" s="17">
        <f t="shared" si="403"/>
        <v>0</v>
      </c>
      <c r="AE693" s="17">
        <f t="shared" si="404"/>
        <v>0</v>
      </c>
      <c r="AF693" s="17">
        <f t="shared" si="405"/>
        <v>0</v>
      </c>
      <c r="AG693" s="17">
        <f t="shared" si="406"/>
        <v>0</v>
      </c>
      <c r="AH693" s="17">
        <f t="shared" si="407"/>
        <v>0</v>
      </c>
      <c r="AI693" s="17">
        <f t="shared" si="408"/>
        <v>0</v>
      </c>
      <c r="AJ693" s="17">
        <f t="shared" si="409"/>
        <v>0</v>
      </c>
      <c r="AK693" s="17">
        <f t="shared" si="410"/>
        <v>0</v>
      </c>
      <c r="AL693" s="17">
        <f t="shared" si="411"/>
        <v>0</v>
      </c>
      <c r="AM693" s="17">
        <f t="shared" si="412"/>
        <v>0</v>
      </c>
      <c r="AN693" s="17">
        <f t="shared" si="413"/>
        <v>0</v>
      </c>
      <c r="AO693" s="17">
        <f t="shared" si="414"/>
        <v>0</v>
      </c>
      <c r="AP693" s="17">
        <f t="shared" si="415"/>
        <v>0</v>
      </c>
      <c r="AQ693" s="18">
        <v>16.480753387327567</v>
      </c>
      <c r="AR693" s="18">
        <v>19.709433528606727</v>
      </c>
      <c r="AS693" s="18">
        <v>17.442993108811606</v>
      </c>
      <c r="AT693" s="18">
        <v>13.212396095708131</v>
      </c>
      <c r="AU693" s="18">
        <v>19.161120705871937</v>
      </c>
      <c r="AV693" s="18">
        <v>15.702517160030251</v>
      </c>
      <c r="AW693" s="18">
        <v>15.632948816518148</v>
      </c>
      <c r="AX693" s="18">
        <v>10.616225089521738</v>
      </c>
      <c r="AY693" s="18">
        <v>15.736431913459022</v>
      </c>
      <c r="AZ693" s="18">
        <v>13.7044092871289</v>
      </c>
      <c r="BA693" s="18">
        <v>13.992721362701406</v>
      </c>
      <c r="BB693" s="18">
        <v>13.666987370776855</v>
      </c>
      <c r="BC693" s="23">
        <v>8.9181565948742242E-2</v>
      </c>
      <c r="BD693" s="23">
        <v>0.10665277883445198</v>
      </c>
      <c r="BE693" s="23">
        <v>9.438849084854764E-2</v>
      </c>
      <c r="BF693" s="23">
        <v>7.149564986855049E-2</v>
      </c>
      <c r="BG693" s="23">
        <v>0.10368571810536763</v>
      </c>
      <c r="BH693" s="23">
        <v>8.4970330952544637E-2</v>
      </c>
      <c r="BI693" s="23">
        <v>8.4593878877262704E-2</v>
      </c>
      <c r="BJ693" s="23">
        <v>5.7447105462779965E-2</v>
      </c>
      <c r="BK693" s="23">
        <v>8.5153852345557474E-2</v>
      </c>
      <c r="BL693" s="23">
        <v>7.4158058913035174E-2</v>
      </c>
      <c r="BM693" s="23">
        <v>7.5718189192107169E-2</v>
      </c>
      <c r="BN693" s="23">
        <v>7.3955559365675619E-2</v>
      </c>
    </row>
    <row r="694" spans="1:66" x14ac:dyDescent="0.25">
      <c r="A694" s="16">
        <v>4933</v>
      </c>
      <c r="B694" s="16" t="s">
        <v>888</v>
      </c>
      <c r="C694" s="17">
        <v>0</v>
      </c>
      <c r="D694" s="17">
        <f t="shared" si="379"/>
        <v>0</v>
      </c>
      <c r="E694" s="17">
        <f t="shared" si="380"/>
        <v>0</v>
      </c>
      <c r="F694" s="17">
        <f t="shared" si="381"/>
        <v>0</v>
      </c>
      <c r="G694" s="17">
        <f t="shared" si="382"/>
        <v>0</v>
      </c>
      <c r="H694" s="17">
        <f t="shared" si="383"/>
        <v>0</v>
      </c>
      <c r="I694" s="17">
        <f t="shared" si="384"/>
        <v>0</v>
      </c>
      <c r="J694" s="17">
        <f t="shared" si="385"/>
        <v>0</v>
      </c>
      <c r="K694" s="17">
        <f t="shared" si="386"/>
        <v>0</v>
      </c>
      <c r="L694" s="17">
        <f t="shared" si="387"/>
        <v>0</v>
      </c>
      <c r="M694" s="17">
        <f t="shared" si="388"/>
        <v>0</v>
      </c>
      <c r="N694" s="17">
        <f t="shared" si="389"/>
        <v>0</v>
      </c>
      <c r="O694" s="17">
        <f t="shared" si="390"/>
        <v>0</v>
      </c>
      <c r="P694" s="17">
        <v>0</v>
      </c>
      <c r="Q694" s="17">
        <f t="shared" si="391"/>
        <v>0</v>
      </c>
      <c r="R694" s="17">
        <f t="shared" si="392"/>
        <v>0</v>
      </c>
      <c r="S694" s="17">
        <f t="shared" si="393"/>
        <v>0</v>
      </c>
      <c r="T694" s="17">
        <f t="shared" si="394"/>
        <v>0</v>
      </c>
      <c r="U694" s="17">
        <f t="shared" si="395"/>
        <v>0</v>
      </c>
      <c r="V694" s="17">
        <f t="shared" si="396"/>
        <v>0</v>
      </c>
      <c r="W694" s="17">
        <f t="shared" si="397"/>
        <v>0</v>
      </c>
      <c r="X694" s="17">
        <f t="shared" si="398"/>
        <v>0</v>
      </c>
      <c r="Y694" s="17">
        <f t="shared" si="399"/>
        <v>0</v>
      </c>
      <c r="Z694" s="17">
        <f t="shared" si="400"/>
        <v>0</v>
      </c>
      <c r="AA694" s="17">
        <f t="shared" si="401"/>
        <v>0</v>
      </c>
      <c r="AB694" s="17">
        <f t="shared" si="402"/>
        <v>0</v>
      </c>
      <c r="AC694" s="17">
        <v>0</v>
      </c>
      <c r="AD694" s="17">
        <f t="shared" si="403"/>
        <v>0</v>
      </c>
      <c r="AE694" s="17">
        <f t="shared" si="404"/>
        <v>0</v>
      </c>
      <c r="AF694" s="17">
        <f t="shared" si="405"/>
        <v>0</v>
      </c>
      <c r="AG694" s="17">
        <f t="shared" si="406"/>
        <v>0</v>
      </c>
      <c r="AH694" s="17">
        <f t="shared" si="407"/>
        <v>0</v>
      </c>
      <c r="AI694" s="17">
        <f t="shared" si="408"/>
        <v>0</v>
      </c>
      <c r="AJ694" s="17">
        <f t="shared" si="409"/>
        <v>0</v>
      </c>
      <c r="AK694" s="17">
        <f t="shared" si="410"/>
        <v>0</v>
      </c>
      <c r="AL694" s="17">
        <f t="shared" si="411"/>
        <v>0</v>
      </c>
      <c r="AM694" s="17">
        <f t="shared" si="412"/>
        <v>0</v>
      </c>
      <c r="AN694" s="17">
        <f t="shared" si="413"/>
        <v>0</v>
      </c>
      <c r="AO694" s="17">
        <f t="shared" si="414"/>
        <v>0</v>
      </c>
      <c r="AP694" s="17">
        <f t="shared" si="415"/>
        <v>0</v>
      </c>
      <c r="AQ694" s="18">
        <v>0</v>
      </c>
      <c r="AR694" s="18">
        <v>0</v>
      </c>
      <c r="AS694" s="18">
        <v>0</v>
      </c>
      <c r="AT694" s="18">
        <v>0</v>
      </c>
      <c r="AU694" s="18">
        <v>0</v>
      </c>
      <c r="AV694" s="18">
        <v>0</v>
      </c>
      <c r="AW694" s="18">
        <v>0</v>
      </c>
      <c r="AX694" s="18">
        <v>0</v>
      </c>
      <c r="AY694" s="18">
        <v>0</v>
      </c>
      <c r="AZ694" s="18">
        <v>0</v>
      </c>
      <c r="BA694" s="18">
        <v>0</v>
      </c>
      <c r="BB694" s="18">
        <v>0</v>
      </c>
      <c r="BC694" s="23">
        <v>8.9181565948742242E-2</v>
      </c>
      <c r="BD694" s="23">
        <v>0.10665277883445198</v>
      </c>
      <c r="BE694" s="23">
        <v>9.438849084854764E-2</v>
      </c>
      <c r="BF694" s="23">
        <v>7.149564986855049E-2</v>
      </c>
      <c r="BG694" s="23">
        <v>0.10368571810536763</v>
      </c>
      <c r="BH694" s="23">
        <v>8.4970330952544637E-2</v>
      </c>
      <c r="BI694" s="23">
        <v>8.4593878877262704E-2</v>
      </c>
      <c r="BJ694" s="23">
        <v>5.7447105462779965E-2</v>
      </c>
      <c r="BK694" s="23">
        <v>8.5153852345557474E-2</v>
      </c>
      <c r="BL694" s="23">
        <v>7.4158058913035174E-2</v>
      </c>
      <c r="BM694" s="23">
        <v>7.5718189192107169E-2</v>
      </c>
      <c r="BN694" s="23">
        <v>7.3955559365675619E-2</v>
      </c>
    </row>
    <row r="695" spans="1:66" x14ac:dyDescent="0.25">
      <c r="A695" s="16">
        <v>4940</v>
      </c>
      <c r="B695" s="16" t="s">
        <v>889</v>
      </c>
      <c r="C695" s="17">
        <v>0</v>
      </c>
      <c r="D695" s="17">
        <f t="shared" si="379"/>
        <v>0</v>
      </c>
      <c r="E695" s="17">
        <f t="shared" si="380"/>
        <v>0</v>
      </c>
      <c r="F695" s="17">
        <f t="shared" si="381"/>
        <v>0</v>
      </c>
      <c r="G695" s="17">
        <f t="shared" si="382"/>
        <v>0</v>
      </c>
      <c r="H695" s="17">
        <f t="shared" si="383"/>
        <v>0</v>
      </c>
      <c r="I695" s="17">
        <f t="shared" si="384"/>
        <v>0</v>
      </c>
      <c r="J695" s="17">
        <f t="shared" si="385"/>
        <v>0</v>
      </c>
      <c r="K695" s="17">
        <f t="shared" si="386"/>
        <v>0</v>
      </c>
      <c r="L695" s="17">
        <f t="shared" si="387"/>
        <v>0</v>
      </c>
      <c r="M695" s="17">
        <f t="shared" si="388"/>
        <v>0</v>
      </c>
      <c r="N695" s="17">
        <f t="shared" si="389"/>
        <v>0</v>
      </c>
      <c r="O695" s="17">
        <f t="shared" si="390"/>
        <v>0</v>
      </c>
      <c r="P695" s="17">
        <v>0</v>
      </c>
      <c r="Q695" s="17">
        <f t="shared" si="391"/>
        <v>0</v>
      </c>
      <c r="R695" s="17">
        <f t="shared" si="392"/>
        <v>0</v>
      </c>
      <c r="S695" s="17">
        <f t="shared" si="393"/>
        <v>0</v>
      </c>
      <c r="T695" s="17">
        <f t="shared" si="394"/>
        <v>0</v>
      </c>
      <c r="U695" s="17">
        <f t="shared" si="395"/>
        <v>0</v>
      </c>
      <c r="V695" s="17">
        <f t="shared" si="396"/>
        <v>0</v>
      </c>
      <c r="W695" s="17">
        <f t="shared" si="397"/>
        <v>0</v>
      </c>
      <c r="X695" s="17">
        <f t="shared" si="398"/>
        <v>0</v>
      </c>
      <c r="Y695" s="17">
        <f t="shared" si="399"/>
        <v>0</v>
      </c>
      <c r="Z695" s="17">
        <f t="shared" si="400"/>
        <v>0</v>
      </c>
      <c r="AA695" s="17">
        <f t="shared" si="401"/>
        <v>0</v>
      </c>
      <c r="AB695" s="17">
        <f t="shared" si="402"/>
        <v>0</v>
      </c>
      <c r="AC695" s="17">
        <v>0</v>
      </c>
      <c r="AD695" s="17">
        <f t="shared" si="403"/>
        <v>0</v>
      </c>
      <c r="AE695" s="17">
        <f t="shared" si="404"/>
        <v>0</v>
      </c>
      <c r="AF695" s="17">
        <f t="shared" si="405"/>
        <v>0</v>
      </c>
      <c r="AG695" s="17">
        <f t="shared" si="406"/>
        <v>0</v>
      </c>
      <c r="AH695" s="17">
        <f t="shared" si="407"/>
        <v>0</v>
      </c>
      <c r="AI695" s="17">
        <f t="shared" si="408"/>
        <v>0</v>
      </c>
      <c r="AJ695" s="17">
        <f t="shared" si="409"/>
        <v>0</v>
      </c>
      <c r="AK695" s="17">
        <f t="shared" si="410"/>
        <v>0</v>
      </c>
      <c r="AL695" s="17">
        <f t="shared" si="411"/>
        <v>0</v>
      </c>
      <c r="AM695" s="17">
        <f t="shared" si="412"/>
        <v>0</v>
      </c>
      <c r="AN695" s="17">
        <f t="shared" si="413"/>
        <v>0</v>
      </c>
      <c r="AO695" s="17">
        <f t="shared" si="414"/>
        <v>0</v>
      </c>
      <c r="AP695" s="17">
        <f t="shared" si="415"/>
        <v>0</v>
      </c>
      <c r="AQ695" s="18">
        <v>151.07357271716938</v>
      </c>
      <c r="AR695" s="18">
        <v>180.66980734556168</v>
      </c>
      <c r="AS695" s="18">
        <v>159.89410349743972</v>
      </c>
      <c r="AT695" s="18">
        <v>121.11363087732455</v>
      </c>
      <c r="AU695" s="18">
        <v>175.64360647049278</v>
      </c>
      <c r="AV695" s="18">
        <v>143.93974063361063</v>
      </c>
      <c r="AW695" s="18">
        <v>143.30203081808304</v>
      </c>
      <c r="AX695" s="18">
        <v>97.315396653949279</v>
      </c>
      <c r="AY695" s="18">
        <v>144.25062587337439</v>
      </c>
      <c r="AZ695" s="18">
        <v>125.6237517986816</v>
      </c>
      <c r="BA695" s="18">
        <v>128.26661249142956</v>
      </c>
      <c r="BB695" s="18">
        <v>125.28071756545451</v>
      </c>
      <c r="BC695" s="23">
        <v>8.9181565948742242E-2</v>
      </c>
      <c r="BD695" s="23">
        <v>0.10665277883445198</v>
      </c>
      <c r="BE695" s="23">
        <v>9.438849084854764E-2</v>
      </c>
      <c r="BF695" s="23">
        <v>7.149564986855049E-2</v>
      </c>
      <c r="BG695" s="23">
        <v>0.10368571810536763</v>
      </c>
      <c r="BH695" s="23">
        <v>8.4970330952544637E-2</v>
      </c>
      <c r="BI695" s="23">
        <v>8.4593878877262704E-2</v>
      </c>
      <c r="BJ695" s="23">
        <v>5.7447105462779965E-2</v>
      </c>
      <c r="BK695" s="23">
        <v>8.5153852345557474E-2</v>
      </c>
      <c r="BL695" s="23">
        <v>7.4158058913035174E-2</v>
      </c>
      <c r="BM695" s="23">
        <v>7.5718189192107169E-2</v>
      </c>
      <c r="BN695" s="23">
        <v>7.3955559365675619E-2</v>
      </c>
    </row>
    <row r="696" spans="1:66" x14ac:dyDescent="0.25">
      <c r="A696" s="16">
        <v>4947</v>
      </c>
      <c r="B696" s="16" t="s">
        <v>890</v>
      </c>
      <c r="C696" s="17">
        <v>0</v>
      </c>
      <c r="D696" s="17">
        <f t="shared" si="379"/>
        <v>0</v>
      </c>
      <c r="E696" s="17">
        <f t="shared" si="380"/>
        <v>0</v>
      </c>
      <c r="F696" s="17">
        <f t="shared" si="381"/>
        <v>0</v>
      </c>
      <c r="G696" s="17">
        <f t="shared" si="382"/>
        <v>0</v>
      </c>
      <c r="H696" s="17">
        <f t="shared" si="383"/>
        <v>0</v>
      </c>
      <c r="I696" s="17">
        <f t="shared" si="384"/>
        <v>0</v>
      </c>
      <c r="J696" s="17">
        <f t="shared" si="385"/>
        <v>0</v>
      </c>
      <c r="K696" s="17">
        <f t="shared" si="386"/>
        <v>0</v>
      </c>
      <c r="L696" s="17">
        <f t="shared" si="387"/>
        <v>0</v>
      </c>
      <c r="M696" s="17">
        <f t="shared" si="388"/>
        <v>0</v>
      </c>
      <c r="N696" s="17">
        <f t="shared" si="389"/>
        <v>0</v>
      </c>
      <c r="O696" s="17">
        <f t="shared" si="390"/>
        <v>0</v>
      </c>
      <c r="P696" s="17">
        <v>0</v>
      </c>
      <c r="Q696" s="17">
        <f t="shared" si="391"/>
        <v>0</v>
      </c>
      <c r="R696" s="17">
        <f t="shared" si="392"/>
        <v>0</v>
      </c>
      <c r="S696" s="17">
        <f t="shared" si="393"/>
        <v>0</v>
      </c>
      <c r="T696" s="17">
        <f t="shared" si="394"/>
        <v>0</v>
      </c>
      <c r="U696" s="17">
        <f t="shared" si="395"/>
        <v>0</v>
      </c>
      <c r="V696" s="17">
        <f t="shared" si="396"/>
        <v>0</v>
      </c>
      <c r="W696" s="17">
        <f t="shared" si="397"/>
        <v>0</v>
      </c>
      <c r="X696" s="17">
        <f t="shared" si="398"/>
        <v>0</v>
      </c>
      <c r="Y696" s="17">
        <f t="shared" si="399"/>
        <v>0</v>
      </c>
      <c r="Z696" s="17">
        <f t="shared" si="400"/>
        <v>0</v>
      </c>
      <c r="AA696" s="17">
        <f t="shared" si="401"/>
        <v>0</v>
      </c>
      <c r="AB696" s="17">
        <f t="shared" si="402"/>
        <v>0</v>
      </c>
      <c r="AC696" s="17">
        <v>0</v>
      </c>
      <c r="AD696" s="17">
        <f t="shared" si="403"/>
        <v>0</v>
      </c>
      <c r="AE696" s="17">
        <f t="shared" si="404"/>
        <v>0</v>
      </c>
      <c r="AF696" s="17">
        <f t="shared" si="405"/>
        <v>0</v>
      </c>
      <c r="AG696" s="17">
        <f t="shared" si="406"/>
        <v>0</v>
      </c>
      <c r="AH696" s="17">
        <f t="shared" si="407"/>
        <v>0</v>
      </c>
      <c r="AI696" s="17">
        <f t="shared" si="408"/>
        <v>0</v>
      </c>
      <c r="AJ696" s="17">
        <f t="shared" si="409"/>
        <v>0</v>
      </c>
      <c r="AK696" s="17">
        <f t="shared" si="410"/>
        <v>0</v>
      </c>
      <c r="AL696" s="17">
        <f t="shared" si="411"/>
        <v>0</v>
      </c>
      <c r="AM696" s="17">
        <f t="shared" si="412"/>
        <v>0</v>
      </c>
      <c r="AN696" s="17">
        <f t="shared" si="413"/>
        <v>0</v>
      </c>
      <c r="AO696" s="17">
        <f t="shared" si="414"/>
        <v>0</v>
      </c>
      <c r="AP696" s="17">
        <f t="shared" si="415"/>
        <v>0</v>
      </c>
      <c r="AQ696" s="18">
        <v>3.6257657452120653</v>
      </c>
      <c r="AR696" s="18">
        <v>4.3360753762934801</v>
      </c>
      <c r="AS696" s="18">
        <v>3.8374584839385535</v>
      </c>
      <c r="AT696" s="18">
        <v>2.9067271410557893</v>
      </c>
      <c r="AU696" s="18">
        <v>4.2154465552918268</v>
      </c>
      <c r="AV696" s="18">
        <v>3.4545537752066551</v>
      </c>
      <c r="AW696" s="18">
        <v>3.4392487396339928</v>
      </c>
      <c r="AX696" s="18">
        <v>2.3355695196947828</v>
      </c>
      <c r="AY696" s="18">
        <v>3.462015020960985</v>
      </c>
      <c r="AZ696" s="18">
        <v>3.0149700431683586</v>
      </c>
      <c r="BA696" s="18">
        <v>3.0783986997943096</v>
      </c>
      <c r="BB696" s="18">
        <v>3.0067372215709085</v>
      </c>
      <c r="BC696" s="23">
        <v>8.9181565948742242E-2</v>
      </c>
      <c r="BD696" s="23">
        <v>0.10665277883445198</v>
      </c>
      <c r="BE696" s="23">
        <v>9.438849084854764E-2</v>
      </c>
      <c r="BF696" s="23">
        <v>7.149564986855049E-2</v>
      </c>
      <c r="BG696" s="23">
        <v>0.10368571810536763</v>
      </c>
      <c r="BH696" s="23">
        <v>8.4970330952544637E-2</v>
      </c>
      <c r="BI696" s="23">
        <v>8.4593878877262704E-2</v>
      </c>
      <c r="BJ696" s="23">
        <v>5.7447105462779965E-2</v>
      </c>
      <c r="BK696" s="23">
        <v>8.5153852345557474E-2</v>
      </c>
      <c r="BL696" s="23">
        <v>7.4158058913035174E-2</v>
      </c>
      <c r="BM696" s="23">
        <v>7.5718189192107169E-2</v>
      </c>
      <c r="BN696" s="23">
        <v>7.3955559365675619E-2</v>
      </c>
    </row>
    <row r="697" spans="1:66" x14ac:dyDescent="0.25">
      <c r="A697" s="16">
        <v>4959</v>
      </c>
      <c r="B697" s="16" t="s">
        <v>891</v>
      </c>
      <c r="C697" s="17">
        <v>0</v>
      </c>
      <c r="D697" s="17">
        <f t="shared" si="379"/>
        <v>0</v>
      </c>
      <c r="E697" s="17">
        <f t="shared" si="380"/>
        <v>0</v>
      </c>
      <c r="F697" s="17">
        <f t="shared" si="381"/>
        <v>0</v>
      </c>
      <c r="G697" s="17">
        <f t="shared" si="382"/>
        <v>0</v>
      </c>
      <c r="H697" s="17">
        <f t="shared" si="383"/>
        <v>0</v>
      </c>
      <c r="I697" s="17">
        <f t="shared" si="384"/>
        <v>0</v>
      </c>
      <c r="J697" s="17">
        <f t="shared" si="385"/>
        <v>0</v>
      </c>
      <c r="K697" s="17">
        <f t="shared" si="386"/>
        <v>0</v>
      </c>
      <c r="L697" s="17">
        <f t="shared" si="387"/>
        <v>0</v>
      </c>
      <c r="M697" s="17">
        <f t="shared" si="388"/>
        <v>0</v>
      </c>
      <c r="N697" s="17">
        <f t="shared" si="389"/>
        <v>0</v>
      </c>
      <c r="O697" s="17">
        <f t="shared" si="390"/>
        <v>0</v>
      </c>
      <c r="P697" s="17">
        <v>0</v>
      </c>
      <c r="Q697" s="17">
        <f t="shared" si="391"/>
        <v>0</v>
      </c>
      <c r="R697" s="17">
        <f t="shared" si="392"/>
        <v>0</v>
      </c>
      <c r="S697" s="17">
        <f t="shared" si="393"/>
        <v>0</v>
      </c>
      <c r="T697" s="17">
        <f t="shared" si="394"/>
        <v>0</v>
      </c>
      <c r="U697" s="17">
        <f t="shared" si="395"/>
        <v>0</v>
      </c>
      <c r="V697" s="17">
        <f t="shared" si="396"/>
        <v>0</v>
      </c>
      <c r="W697" s="17">
        <f t="shared" si="397"/>
        <v>0</v>
      </c>
      <c r="X697" s="17">
        <f t="shared" si="398"/>
        <v>0</v>
      </c>
      <c r="Y697" s="17">
        <f t="shared" si="399"/>
        <v>0</v>
      </c>
      <c r="Z697" s="17">
        <f t="shared" si="400"/>
        <v>0</v>
      </c>
      <c r="AA697" s="17">
        <f t="shared" si="401"/>
        <v>0</v>
      </c>
      <c r="AB697" s="17">
        <f t="shared" si="402"/>
        <v>0</v>
      </c>
      <c r="AC697" s="17">
        <v>0</v>
      </c>
      <c r="AD697" s="17">
        <f t="shared" si="403"/>
        <v>0</v>
      </c>
      <c r="AE697" s="17">
        <f t="shared" si="404"/>
        <v>0</v>
      </c>
      <c r="AF697" s="17">
        <f t="shared" si="405"/>
        <v>0</v>
      </c>
      <c r="AG697" s="17">
        <f t="shared" si="406"/>
        <v>0</v>
      </c>
      <c r="AH697" s="17">
        <f t="shared" si="407"/>
        <v>0</v>
      </c>
      <c r="AI697" s="17">
        <f t="shared" si="408"/>
        <v>0</v>
      </c>
      <c r="AJ697" s="17">
        <f t="shared" si="409"/>
        <v>0</v>
      </c>
      <c r="AK697" s="17">
        <f t="shared" si="410"/>
        <v>0</v>
      </c>
      <c r="AL697" s="17">
        <f t="shared" si="411"/>
        <v>0</v>
      </c>
      <c r="AM697" s="17">
        <f t="shared" si="412"/>
        <v>0</v>
      </c>
      <c r="AN697" s="17">
        <f t="shared" si="413"/>
        <v>0</v>
      </c>
      <c r="AO697" s="17">
        <f t="shared" si="414"/>
        <v>0</v>
      </c>
      <c r="AP697" s="17">
        <f t="shared" si="415"/>
        <v>0</v>
      </c>
      <c r="AQ697" s="18">
        <v>19.987818468261857</v>
      </c>
      <c r="AR697" s="18">
        <v>23.903554056271552</v>
      </c>
      <c r="AS697" s="18">
        <v>21.154820511430742</v>
      </c>
      <c r="AT697" s="18">
        <v>16.023962526788882</v>
      </c>
      <c r="AU697" s="18">
        <v>23.238561570365523</v>
      </c>
      <c r="AV697" s="18">
        <v>19.04397542473907</v>
      </c>
      <c r="AW697" s="18">
        <v>18.959603103366504</v>
      </c>
      <c r="AX697" s="18">
        <v>12.875332511845562</v>
      </c>
      <c r="AY697" s="18">
        <v>19.085107156948069</v>
      </c>
      <c r="AZ697" s="18">
        <v>16.620674953884009</v>
      </c>
      <c r="BA697" s="18">
        <v>16.970339152681021</v>
      </c>
      <c r="BB697" s="18">
        <v>16.575289742832052</v>
      </c>
      <c r="BC697" s="23">
        <v>8.9181565948742242E-2</v>
      </c>
      <c r="BD697" s="23">
        <v>0.10665277883445198</v>
      </c>
      <c r="BE697" s="23">
        <v>9.438849084854764E-2</v>
      </c>
      <c r="BF697" s="23">
        <v>7.149564986855049E-2</v>
      </c>
      <c r="BG697" s="23">
        <v>0.10368571810536763</v>
      </c>
      <c r="BH697" s="23">
        <v>8.4970330952544637E-2</v>
      </c>
      <c r="BI697" s="23">
        <v>8.4593878877262704E-2</v>
      </c>
      <c r="BJ697" s="23">
        <v>5.7447105462779965E-2</v>
      </c>
      <c r="BK697" s="23">
        <v>8.5153852345557474E-2</v>
      </c>
      <c r="BL697" s="23">
        <v>7.4158058913035174E-2</v>
      </c>
      <c r="BM697" s="23">
        <v>7.5718189192107169E-2</v>
      </c>
      <c r="BN697" s="23">
        <v>7.3955559365675619E-2</v>
      </c>
    </row>
    <row r="698" spans="1:66" x14ac:dyDescent="0.25">
      <c r="A698" s="16">
        <v>4960</v>
      </c>
      <c r="B698" s="16" t="s">
        <v>892</v>
      </c>
      <c r="C698" s="17">
        <v>0</v>
      </c>
      <c r="D698" s="17">
        <f t="shared" si="379"/>
        <v>0</v>
      </c>
      <c r="E698" s="17">
        <f t="shared" si="380"/>
        <v>0</v>
      </c>
      <c r="F698" s="17">
        <f t="shared" si="381"/>
        <v>0</v>
      </c>
      <c r="G698" s="17">
        <f t="shared" si="382"/>
        <v>0</v>
      </c>
      <c r="H698" s="17">
        <f t="shared" si="383"/>
        <v>0</v>
      </c>
      <c r="I698" s="17">
        <f t="shared" si="384"/>
        <v>0</v>
      </c>
      <c r="J698" s="17">
        <f t="shared" si="385"/>
        <v>0</v>
      </c>
      <c r="K698" s="17">
        <f t="shared" si="386"/>
        <v>0</v>
      </c>
      <c r="L698" s="17">
        <f t="shared" si="387"/>
        <v>0</v>
      </c>
      <c r="M698" s="17">
        <f t="shared" si="388"/>
        <v>0</v>
      </c>
      <c r="N698" s="17">
        <f t="shared" si="389"/>
        <v>0</v>
      </c>
      <c r="O698" s="17">
        <f t="shared" si="390"/>
        <v>0</v>
      </c>
      <c r="P698" s="17">
        <v>0</v>
      </c>
      <c r="Q698" s="17">
        <f t="shared" si="391"/>
        <v>0</v>
      </c>
      <c r="R698" s="17">
        <f t="shared" si="392"/>
        <v>0</v>
      </c>
      <c r="S698" s="17">
        <f t="shared" si="393"/>
        <v>0</v>
      </c>
      <c r="T698" s="17">
        <f t="shared" si="394"/>
        <v>0</v>
      </c>
      <c r="U698" s="17">
        <f t="shared" si="395"/>
        <v>0</v>
      </c>
      <c r="V698" s="17">
        <f t="shared" si="396"/>
        <v>0</v>
      </c>
      <c r="W698" s="17">
        <f t="shared" si="397"/>
        <v>0</v>
      </c>
      <c r="X698" s="17">
        <f t="shared" si="398"/>
        <v>0</v>
      </c>
      <c r="Y698" s="17">
        <f t="shared" si="399"/>
        <v>0</v>
      </c>
      <c r="Z698" s="17">
        <f t="shared" si="400"/>
        <v>0</v>
      </c>
      <c r="AA698" s="17">
        <f t="shared" si="401"/>
        <v>0</v>
      </c>
      <c r="AB698" s="17">
        <f t="shared" si="402"/>
        <v>0</v>
      </c>
      <c r="AC698" s="17">
        <v>0</v>
      </c>
      <c r="AD698" s="17">
        <f t="shared" si="403"/>
        <v>0</v>
      </c>
      <c r="AE698" s="17">
        <f t="shared" si="404"/>
        <v>0</v>
      </c>
      <c r="AF698" s="17">
        <f t="shared" si="405"/>
        <v>0</v>
      </c>
      <c r="AG698" s="17">
        <f t="shared" si="406"/>
        <v>0</v>
      </c>
      <c r="AH698" s="17">
        <f t="shared" si="407"/>
        <v>0</v>
      </c>
      <c r="AI698" s="17">
        <f t="shared" si="408"/>
        <v>0</v>
      </c>
      <c r="AJ698" s="17">
        <f t="shared" si="409"/>
        <v>0</v>
      </c>
      <c r="AK698" s="17">
        <f t="shared" si="410"/>
        <v>0</v>
      </c>
      <c r="AL698" s="17">
        <f t="shared" si="411"/>
        <v>0</v>
      </c>
      <c r="AM698" s="17">
        <f t="shared" si="412"/>
        <v>0</v>
      </c>
      <c r="AN698" s="17">
        <f t="shared" si="413"/>
        <v>0</v>
      </c>
      <c r="AO698" s="17">
        <f t="shared" si="414"/>
        <v>0</v>
      </c>
      <c r="AP698" s="17">
        <f t="shared" si="415"/>
        <v>0</v>
      </c>
      <c r="AQ698" s="18">
        <v>143.42179435876727</v>
      </c>
      <c r="AR698" s="18">
        <v>171.5189989215657</v>
      </c>
      <c r="AS698" s="18">
        <v>151.79557098263433</v>
      </c>
      <c r="AT698" s="18">
        <v>114.9793041186029</v>
      </c>
      <c r="AU698" s="18">
        <v>166.74737185705223</v>
      </c>
      <c r="AV698" s="18">
        <v>136.64928623788228</v>
      </c>
      <c r="AW698" s="18">
        <v>136.0438760104139</v>
      </c>
      <c r="AX698" s="18">
        <v>92.386435005242745</v>
      </c>
      <c r="AY698" s="18">
        <v>136.94442534212553</v>
      </c>
      <c r="AZ698" s="18">
        <v>119.26099034394318</v>
      </c>
      <c r="BA698" s="18">
        <v>121.76999185874675</v>
      </c>
      <c r="BB698" s="18">
        <v>118.93533057187953</v>
      </c>
      <c r="BC698" s="23">
        <v>8.9181565948742242E-2</v>
      </c>
      <c r="BD698" s="23">
        <v>0.10665277883445198</v>
      </c>
      <c r="BE698" s="23">
        <v>9.438849084854764E-2</v>
      </c>
      <c r="BF698" s="23">
        <v>7.149564986855049E-2</v>
      </c>
      <c r="BG698" s="23">
        <v>0.10368571810536763</v>
      </c>
      <c r="BH698" s="23">
        <v>8.4970330952544637E-2</v>
      </c>
      <c r="BI698" s="23">
        <v>8.4593878877262704E-2</v>
      </c>
      <c r="BJ698" s="23">
        <v>5.7447105462779965E-2</v>
      </c>
      <c r="BK698" s="23">
        <v>8.5153852345557474E-2</v>
      </c>
      <c r="BL698" s="23">
        <v>7.4158058913035174E-2</v>
      </c>
      <c r="BM698" s="23">
        <v>7.5718189192107169E-2</v>
      </c>
      <c r="BN698" s="23">
        <v>7.3955559365675619E-2</v>
      </c>
    </row>
    <row r="699" spans="1:66" x14ac:dyDescent="0.25">
      <c r="A699" s="16">
        <v>4964</v>
      </c>
      <c r="B699" s="16" t="s">
        <v>893</v>
      </c>
      <c r="C699" s="17">
        <v>0</v>
      </c>
      <c r="D699" s="17">
        <f t="shared" si="379"/>
        <v>0</v>
      </c>
      <c r="E699" s="17">
        <f t="shared" si="380"/>
        <v>0</v>
      </c>
      <c r="F699" s="17">
        <f t="shared" si="381"/>
        <v>0</v>
      </c>
      <c r="G699" s="17">
        <f t="shared" si="382"/>
        <v>0</v>
      </c>
      <c r="H699" s="17">
        <f t="shared" si="383"/>
        <v>0</v>
      </c>
      <c r="I699" s="17">
        <f t="shared" si="384"/>
        <v>0</v>
      </c>
      <c r="J699" s="17">
        <f t="shared" si="385"/>
        <v>0</v>
      </c>
      <c r="K699" s="17">
        <f t="shared" si="386"/>
        <v>0</v>
      </c>
      <c r="L699" s="17">
        <f t="shared" si="387"/>
        <v>0</v>
      </c>
      <c r="M699" s="17">
        <f t="shared" si="388"/>
        <v>0</v>
      </c>
      <c r="N699" s="17">
        <f t="shared" si="389"/>
        <v>0</v>
      </c>
      <c r="O699" s="17">
        <f t="shared" si="390"/>
        <v>0</v>
      </c>
      <c r="P699" s="17">
        <v>0</v>
      </c>
      <c r="Q699" s="17">
        <f t="shared" si="391"/>
        <v>0</v>
      </c>
      <c r="R699" s="17">
        <f t="shared" si="392"/>
        <v>0</v>
      </c>
      <c r="S699" s="17">
        <f t="shared" si="393"/>
        <v>0</v>
      </c>
      <c r="T699" s="17">
        <f t="shared" si="394"/>
        <v>0</v>
      </c>
      <c r="U699" s="17">
        <f t="shared" si="395"/>
        <v>0</v>
      </c>
      <c r="V699" s="17">
        <f t="shared" si="396"/>
        <v>0</v>
      </c>
      <c r="W699" s="17">
        <f t="shared" si="397"/>
        <v>0</v>
      </c>
      <c r="X699" s="17">
        <f t="shared" si="398"/>
        <v>0</v>
      </c>
      <c r="Y699" s="17">
        <f t="shared" si="399"/>
        <v>0</v>
      </c>
      <c r="Z699" s="17">
        <f t="shared" si="400"/>
        <v>0</v>
      </c>
      <c r="AA699" s="17">
        <f t="shared" si="401"/>
        <v>0</v>
      </c>
      <c r="AB699" s="17">
        <f t="shared" si="402"/>
        <v>0</v>
      </c>
      <c r="AC699" s="17">
        <v>0</v>
      </c>
      <c r="AD699" s="17">
        <f t="shared" si="403"/>
        <v>0</v>
      </c>
      <c r="AE699" s="17">
        <f t="shared" si="404"/>
        <v>0</v>
      </c>
      <c r="AF699" s="17">
        <f t="shared" si="405"/>
        <v>0</v>
      </c>
      <c r="AG699" s="17">
        <f t="shared" si="406"/>
        <v>0</v>
      </c>
      <c r="AH699" s="17">
        <f t="shared" si="407"/>
        <v>0</v>
      </c>
      <c r="AI699" s="17">
        <f t="shared" si="408"/>
        <v>0</v>
      </c>
      <c r="AJ699" s="17">
        <f t="shared" si="409"/>
        <v>0</v>
      </c>
      <c r="AK699" s="17">
        <f t="shared" si="410"/>
        <v>0</v>
      </c>
      <c r="AL699" s="17">
        <f t="shared" si="411"/>
        <v>0</v>
      </c>
      <c r="AM699" s="17">
        <f t="shared" si="412"/>
        <v>0</v>
      </c>
      <c r="AN699" s="17">
        <f t="shared" si="413"/>
        <v>0</v>
      </c>
      <c r="AO699" s="17">
        <f t="shared" si="414"/>
        <v>0</v>
      </c>
      <c r="AP699" s="17">
        <f t="shared" si="415"/>
        <v>0</v>
      </c>
      <c r="AQ699" s="18">
        <v>0.70631800231403863</v>
      </c>
      <c r="AR699" s="18">
        <v>0.84469000836885977</v>
      </c>
      <c r="AS699" s="18">
        <v>0.74755684752049734</v>
      </c>
      <c r="AT699" s="18">
        <v>0.56624554695891993</v>
      </c>
      <c r="AU699" s="18">
        <v>0.82119088739451174</v>
      </c>
      <c r="AV699" s="18">
        <v>0.67296502114415357</v>
      </c>
      <c r="AW699" s="18">
        <v>0.66998352070792067</v>
      </c>
      <c r="AX699" s="18">
        <v>0.45498107526521736</v>
      </c>
      <c r="AY699" s="18">
        <v>0.67441851057681523</v>
      </c>
      <c r="AZ699" s="18">
        <v>0.58733182659123861</v>
      </c>
      <c r="BA699" s="18">
        <v>0.59968805840148887</v>
      </c>
      <c r="BB699" s="18">
        <v>0.58572803017615094</v>
      </c>
      <c r="BC699" s="23">
        <v>8.9181565948742242E-2</v>
      </c>
      <c r="BD699" s="23">
        <v>0.10665277883445198</v>
      </c>
      <c r="BE699" s="23">
        <v>9.438849084854764E-2</v>
      </c>
      <c r="BF699" s="23">
        <v>7.149564986855049E-2</v>
      </c>
      <c r="BG699" s="23">
        <v>0.10368571810536763</v>
      </c>
      <c r="BH699" s="23">
        <v>8.4970330952544637E-2</v>
      </c>
      <c r="BI699" s="23">
        <v>8.4593878877262704E-2</v>
      </c>
      <c r="BJ699" s="23">
        <v>5.7447105462779965E-2</v>
      </c>
      <c r="BK699" s="23">
        <v>8.5153852345557474E-2</v>
      </c>
      <c r="BL699" s="23">
        <v>7.4158058913035174E-2</v>
      </c>
      <c r="BM699" s="23">
        <v>7.5718189192107169E-2</v>
      </c>
      <c r="BN699" s="23">
        <v>7.3955559365675619E-2</v>
      </c>
    </row>
    <row r="700" spans="1:66" x14ac:dyDescent="0.25">
      <c r="A700" s="16">
        <v>4982</v>
      </c>
      <c r="B700" s="16" t="s">
        <v>894</v>
      </c>
      <c r="C700" s="17">
        <v>0</v>
      </c>
      <c r="D700" s="17">
        <f t="shared" si="379"/>
        <v>0</v>
      </c>
      <c r="E700" s="17">
        <f t="shared" si="380"/>
        <v>0</v>
      </c>
      <c r="F700" s="17">
        <f t="shared" si="381"/>
        <v>0</v>
      </c>
      <c r="G700" s="17">
        <f t="shared" si="382"/>
        <v>0</v>
      </c>
      <c r="H700" s="17">
        <f t="shared" si="383"/>
        <v>0</v>
      </c>
      <c r="I700" s="17">
        <f t="shared" si="384"/>
        <v>0</v>
      </c>
      <c r="J700" s="17">
        <f t="shared" si="385"/>
        <v>0</v>
      </c>
      <c r="K700" s="17">
        <f t="shared" si="386"/>
        <v>0</v>
      </c>
      <c r="L700" s="17">
        <f t="shared" si="387"/>
        <v>0</v>
      </c>
      <c r="M700" s="17">
        <f t="shared" si="388"/>
        <v>0</v>
      </c>
      <c r="N700" s="17">
        <f t="shared" si="389"/>
        <v>0</v>
      </c>
      <c r="O700" s="17">
        <f t="shared" si="390"/>
        <v>0</v>
      </c>
      <c r="P700" s="17">
        <v>0</v>
      </c>
      <c r="Q700" s="17">
        <f t="shared" si="391"/>
        <v>0</v>
      </c>
      <c r="R700" s="17">
        <f t="shared" si="392"/>
        <v>0</v>
      </c>
      <c r="S700" s="17">
        <f t="shared" si="393"/>
        <v>0</v>
      </c>
      <c r="T700" s="17">
        <f t="shared" si="394"/>
        <v>0</v>
      </c>
      <c r="U700" s="17">
        <f t="shared" si="395"/>
        <v>0</v>
      </c>
      <c r="V700" s="17">
        <f t="shared" si="396"/>
        <v>0</v>
      </c>
      <c r="W700" s="17">
        <f t="shared" si="397"/>
        <v>0</v>
      </c>
      <c r="X700" s="17">
        <f t="shared" si="398"/>
        <v>0</v>
      </c>
      <c r="Y700" s="17">
        <f t="shared" si="399"/>
        <v>0</v>
      </c>
      <c r="Z700" s="17">
        <f t="shared" si="400"/>
        <v>0</v>
      </c>
      <c r="AA700" s="17">
        <f t="shared" si="401"/>
        <v>0</v>
      </c>
      <c r="AB700" s="17">
        <f t="shared" si="402"/>
        <v>0</v>
      </c>
      <c r="AC700" s="17">
        <v>0</v>
      </c>
      <c r="AD700" s="17">
        <f t="shared" si="403"/>
        <v>0</v>
      </c>
      <c r="AE700" s="17">
        <f t="shared" si="404"/>
        <v>0</v>
      </c>
      <c r="AF700" s="17">
        <f t="shared" si="405"/>
        <v>0</v>
      </c>
      <c r="AG700" s="17">
        <f t="shared" si="406"/>
        <v>0</v>
      </c>
      <c r="AH700" s="17">
        <f t="shared" si="407"/>
        <v>0</v>
      </c>
      <c r="AI700" s="17">
        <f t="shared" si="408"/>
        <v>0</v>
      </c>
      <c r="AJ700" s="17">
        <f t="shared" si="409"/>
        <v>0</v>
      </c>
      <c r="AK700" s="17">
        <f t="shared" si="410"/>
        <v>0</v>
      </c>
      <c r="AL700" s="17">
        <f t="shared" si="411"/>
        <v>0</v>
      </c>
      <c r="AM700" s="17">
        <f t="shared" si="412"/>
        <v>0</v>
      </c>
      <c r="AN700" s="17">
        <f t="shared" si="413"/>
        <v>0</v>
      </c>
      <c r="AO700" s="17">
        <f t="shared" si="414"/>
        <v>0</v>
      </c>
      <c r="AP700" s="17">
        <f t="shared" si="415"/>
        <v>0</v>
      </c>
      <c r="AQ700" s="18">
        <v>0</v>
      </c>
      <c r="AR700" s="18">
        <v>0</v>
      </c>
      <c r="AS700" s="18">
        <v>0</v>
      </c>
      <c r="AT700" s="18">
        <v>0</v>
      </c>
      <c r="AU700" s="18">
        <v>0</v>
      </c>
      <c r="AV700" s="18">
        <v>0</v>
      </c>
      <c r="AW700" s="18">
        <v>0</v>
      </c>
      <c r="AX700" s="18">
        <v>0</v>
      </c>
      <c r="AY700" s="18">
        <v>0</v>
      </c>
      <c r="AZ700" s="18">
        <v>0</v>
      </c>
      <c r="BA700" s="18">
        <v>0</v>
      </c>
      <c r="BB700" s="18">
        <v>0</v>
      </c>
      <c r="BC700" s="23">
        <v>8.9181565948742242E-2</v>
      </c>
      <c r="BD700" s="23">
        <v>0.10665277883445198</v>
      </c>
      <c r="BE700" s="23">
        <v>9.438849084854764E-2</v>
      </c>
      <c r="BF700" s="23">
        <v>7.149564986855049E-2</v>
      </c>
      <c r="BG700" s="23">
        <v>0.10368571810536763</v>
      </c>
      <c r="BH700" s="23">
        <v>8.4970330952544637E-2</v>
      </c>
      <c r="BI700" s="23">
        <v>8.4593878877262704E-2</v>
      </c>
      <c r="BJ700" s="23">
        <v>5.7447105462779965E-2</v>
      </c>
      <c r="BK700" s="23">
        <v>8.5153852345557474E-2</v>
      </c>
      <c r="BL700" s="23">
        <v>7.4158058913035174E-2</v>
      </c>
      <c r="BM700" s="23">
        <v>7.5718189192107169E-2</v>
      </c>
      <c r="BN700" s="23">
        <v>7.3955559365675619E-2</v>
      </c>
    </row>
    <row r="701" spans="1:66" x14ac:dyDescent="0.25">
      <c r="A701" s="16">
        <v>4986</v>
      </c>
      <c r="B701" s="16" t="s">
        <v>895</v>
      </c>
      <c r="C701" s="17">
        <v>0</v>
      </c>
      <c r="D701" s="17">
        <f t="shared" si="379"/>
        <v>0</v>
      </c>
      <c r="E701" s="17">
        <f t="shared" si="380"/>
        <v>0</v>
      </c>
      <c r="F701" s="17">
        <f t="shared" si="381"/>
        <v>0</v>
      </c>
      <c r="G701" s="17">
        <f t="shared" si="382"/>
        <v>0</v>
      </c>
      <c r="H701" s="17">
        <f t="shared" si="383"/>
        <v>0</v>
      </c>
      <c r="I701" s="17">
        <f t="shared" si="384"/>
        <v>0</v>
      </c>
      <c r="J701" s="17">
        <f t="shared" si="385"/>
        <v>0</v>
      </c>
      <c r="K701" s="17">
        <f t="shared" si="386"/>
        <v>0</v>
      </c>
      <c r="L701" s="17">
        <f t="shared" si="387"/>
        <v>0</v>
      </c>
      <c r="M701" s="17">
        <f t="shared" si="388"/>
        <v>0</v>
      </c>
      <c r="N701" s="17">
        <f t="shared" si="389"/>
        <v>0</v>
      </c>
      <c r="O701" s="17">
        <f t="shared" si="390"/>
        <v>0</v>
      </c>
      <c r="P701" s="17">
        <v>0</v>
      </c>
      <c r="Q701" s="17">
        <f t="shared" si="391"/>
        <v>0</v>
      </c>
      <c r="R701" s="17">
        <f t="shared" si="392"/>
        <v>0</v>
      </c>
      <c r="S701" s="17">
        <f t="shared" si="393"/>
        <v>0</v>
      </c>
      <c r="T701" s="17">
        <f t="shared" si="394"/>
        <v>0</v>
      </c>
      <c r="U701" s="17">
        <f t="shared" si="395"/>
        <v>0</v>
      </c>
      <c r="V701" s="17">
        <f t="shared" si="396"/>
        <v>0</v>
      </c>
      <c r="W701" s="17">
        <f t="shared" si="397"/>
        <v>0</v>
      </c>
      <c r="X701" s="17">
        <f t="shared" si="398"/>
        <v>0</v>
      </c>
      <c r="Y701" s="17">
        <f t="shared" si="399"/>
        <v>0</v>
      </c>
      <c r="Z701" s="17">
        <f t="shared" si="400"/>
        <v>0</v>
      </c>
      <c r="AA701" s="17">
        <f t="shared" si="401"/>
        <v>0</v>
      </c>
      <c r="AB701" s="17">
        <f t="shared" si="402"/>
        <v>0</v>
      </c>
      <c r="AC701" s="17">
        <v>0</v>
      </c>
      <c r="AD701" s="17">
        <f t="shared" si="403"/>
        <v>0</v>
      </c>
      <c r="AE701" s="17">
        <f t="shared" si="404"/>
        <v>0</v>
      </c>
      <c r="AF701" s="17">
        <f t="shared" si="405"/>
        <v>0</v>
      </c>
      <c r="AG701" s="17">
        <f t="shared" si="406"/>
        <v>0</v>
      </c>
      <c r="AH701" s="17">
        <f t="shared" si="407"/>
        <v>0</v>
      </c>
      <c r="AI701" s="17">
        <f t="shared" si="408"/>
        <v>0</v>
      </c>
      <c r="AJ701" s="17">
        <f t="shared" si="409"/>
        <v>0</v>
      </c>
      <c r="AK701" s="17">
        <f t="shared" si="410"/>
        <v>0</v>
      </c>
      <c r="AL701" s="17">
        <f t="shared" si="411"/>
        <v>0</v>
      </c>
      <c r="AM701" s="17">
        <f t="shared" si="412"/>
        <v>0</v>
      </c>
      <c r="AN701" s="17">
        <f t="shared" si="413"/>
        <v>0</v>
      </c>
      <c r="AO701" s="17">
        <f t="shared" si="414"/>
        <v>0</v>
      </c>
      <c r="AP701" s="17">
        <f t="shared" si="415"/>
        <v>0</v>
      </c>
      <c r="AQ701" s="18">
        <v>0</v>
      </c>
      <c r="AR701" s="18">
        <v>0</v>
      </c>
      <c r="AS701" s="18">
        <v>0</v>
      </c>
      <c r="AT701" s="18">
        <v>0</v>
      </c>
      <c r="AU701" s="18">
        <v>0</v>
      </c>
      <c r="AV701" s="18">
        <v>0</v>
      </c>
      <c r="AW701" s="18">
        <v>0</v>
      </c>
      <c r="AX701" s="18">
        <v>0</v>
      </c>
      <c r="AY701" s="18">
        <v>0</v>
      </c>
      <c r="AZ701" s="18">
        <v>0</v>
      </c>
      <c r="BA701" s="18">
        <v>0</v>
      </c>
      <c r="BB701" s="18">
        <v>0</v>
      </c>
      <c r="BC701" s="23">
        <v>8.9181565948742242E-2</v>
      </c>
      <c r="BD701" s="23">
        <v>0.10665277883445198</v>
      </c>
      <c r="BE701" s="23">
        <v>9.438849084854764E-2</v>
      </c>
      <c r="BF701" s="23">
        <v>7.149564986855049E-2</v>
      </c>
      <c r="BG701" s="23">
        <v>0.10368571810536763</v>
      </c>
      <c r="BH701" s="23">
        <v>8.4970330952544637E-2</v>
      </c>
      <c r="BI701" s="23">
        <v>8.4593878877262704E-2</v>
      </c>
      <c r="BJ701" s="23">
        <v>5.7447105462779965E-2</v>
      </c>
      <c r="BK701" s="23">
        <v>8.5153852345557474E-2</v>
      </c>
      <c r="BL701" s="23">
        <v>7.4158058913035174E-2</v>
      </c>
      <c r="BM701" s="23">
        <v>7.5718189192107169E-2</v>
      </c>
      <c r="BN701" s="23">
        <v>7.3955559365675619E-2</v>
      </c>
    </row>
    <row r="702" spans="1:66" x14ac:dyDescent="0.25">
      <c r="A702" s="16">
        <v>4987</v>
      </c>
      <c r="B702" s="16" t="s">
        <v>896</v>
      </c>
      <c r="C702" s="17">
        <v>0</v>
      </c>
      <c r="D702" s="17">
        <f t="shared" si="379"/>
        <v>0</v>
      </c>
      <c r="E702" s="17">
        <f t="shared" si="380"/>
        <v>0</v>
      </c>
      <c r="F702" s="17">
        <f t="shared" si="381"/>
        <v>0</v>
      </c>
      <c r="G702" s="17">
        <f t="shared" si="382"/>
        <v>0</v>
      </c>
      <c r="H702" s="17">
        <f t="shared" si="383"/>
        <v>0</v>
      </c>
      <c r="I702" s="17">
        <f t="shared" si="384"/>
        <v>0</v>
      </c>
      <c r="J702" s="17">
        <f t="shared" si="385"/>
        <v>0</v>
      </c>
      <c r="K702" s="17">
        <f t="shared" si="386"/>
        <v>0</v>
      </c>
      <c r="L702" s="17">
        <f t="shared" si="387"/>
        <v>0</v>
      </c>
      <c r="M702" s="17">
        <f t="shared" si="388"/>
        <v>0</v>
      </c>
      <c r="N702" s="17">
        <f t="shared" si="389"/>
        <v>0</v>
      </c>
      <c r="O702" s="17">
        <f t="shared" si="390"/>
        <v>0</v>
      </c>
      <c r="P702" s="17">
        <v>0</v>
      </c>
      <c r="Q702" s="17">
        <f t="shared" si="391"/>
        <v>0</v>
      </c>
      <c r="R702" s="17">
        <f t="shared" si="392"/>
        <v>0</v>
      </c>
      <c r="S702" s="17">
        <f t="shared" si="393"/>
        <v>0</v>
      </c>
      <c r="T702" s="17">
        <f t="shared" si="394"/>
        <v>0</v>
      </c>
      <c r="U702" s="17">
        <f t="shared" si="395"/>
        <v>0</v>
      </c>
      <c r="V702" s="17">
        <f t="shared" si="396"/>
        <v>0</v>
      </c>
      <c r="W702" s="17">
        <f t="shared" si="397"/>
        <v>0</v>
      </c>
      <c r="X702" s="17">
        <f t="shared" si="398"/>
        <v>0</v>
      </c>
      <c r="Y702" s="17">
        <f t="shared" si="399"/>
        <v>0</v>
      </c>
      <c r="Z702" s="17">
        <f t="shared" si="400"/>
        <v>0</v>
      </c>
      <c r="AA702" s="17">
        <f t="shared" si="401"/>
        <v>0</v>
      </c>
      <c r="AB702" s="17">
        <f t="shared" si="402"/>
        <v>0</v>
      </c>
      <c r="AC702" s="17">
        <v>0</v>
      </c>
      <c r="AD702" s="17">
        <f t="shared" si="403"/>
        <v>0</v>
      </c>
      <c r="AE702" s="17">
        <f t="shared" si="404"/>
        <v>0</v>
      </c>
      <c r="AF702" s="17">
        <f t="shared" si="405"/>
        <v>0</v>
      </c>
      <c r="AG702" s="17">
        <f t="shared" si="406"/>
        <v>0</v>
      </c>
      <c r="AH702" s="17">
        <f t="shared" si="407"/>
        <v>0</v>
      </c>
      <c r="AI702" s="17">
        <f t="shared" si="408"/>
        <v>0</v>
      </c>
      <c r="AJ702" s="17">
        <f t="shared" si="409"/>
        <v>0</v>
      </c>
      <c r="AK702" s="17">
        <f t="shared" si="410"/>
        <v>0</v>
      </c>
      <c r="AL702" s="17">
        <f t="shared" si="411"/>
        <v>0</v>
      </c>
      <c r="AM702" s="17">
        <f t="shared" si="412"/>
        <v>0</v>
      </c>
      <c r="AN702" s="17">
        <f t="shared" si="413"/>
        <v>0</v>
      </c>
      <c r="AO702" s="17">
        <f t="shared" si="414"/>
        <v>0</v>
      </c>
      <c r="AP702" s="17">
        <f t="shared" si="415"/>
        <v>0</v>
      </c>
      <c r="AQ702" s="18">
        <v>0</v>
      </c>
      <c r="AR702" s="18">
        <v>0</v>
      </c>
      <c r="AS702" s="18">
        <v>0</v>
      </c>
      <c r="AT702" s="18">
        <v>0</v>
      </c>
      <c r="AU702" s="18">
        <v>0</v>
      </c>
      <c r="AV702" s="18">
        <v>0</v>
      </c>
      <c r="AW702" s="18">
        <v>0</v>
      </c>
      <c r="AX702" s="18">
        <v>0</v>
      </c>
      <c r="AY702" s="18">
        <v>0</v>
      </c>
      <c r="AZ702" s="18">
        <v>0</v>
      </c>
      <c r="BA702" s="18">
        <v>0</v>
      </c>
      <c r="BB702" s="18">
        <v>0</v>
      </c>
      <c r="BC702" s="23">
        <v>8.9181565948742242E-2</v>
      </c>
      <c r="BD702" s="23">
        <v>0.10665277883445198</v>
      </c>
      <c r="BE702" s="23">
        <v>9.438849084854764E-2</v>
      </c>
      <c r="BF702" s="23">
        <v>7.149564986855049E-2</v>
      </c>
      <c r="BG702" s="23">
        <v>0.10368571810536763</v>
      </c>
      <c r="BH702" s="23">
        <v>8.4970330952544637E-2</v>
      </c>
      <c r="BI702" s="23">
        <v>8.4593878877262704E-2</v>
      </c>
      <c r="BJ702" s="23">
        <v>5.7447105462779965E-2</v>
      </c>
      <c r="BK702" s="23">
        <v>8.5153852345557474E-2</v>
      </c>
      <c r="BL702" s="23">
        <v>7.4158058913035174E-2</v>
      </c>
      <c r="BM702" s="23">
        <v>7.5718189192107169E-2</v>
      </c>
      <c r="BN702" s="23">
        <v>7.3955559365675619E-2</v>
      </c>
    </row>
    <row r="703" spans="1:66" x14ac:dyDescent="0.25">
      <c r="A703" s="16">
        <v>4990</v>
      </c>
      <c r="B703" s="16" t="s">
        <v>897</v>
      </c>
      <c r="C703" s="17">
        <v>0</v>
      </c>
      <c r="D703" s="17">
        <f t="shared" si="379"/>
        <v>0</v>
      </c>
      <c r="E703" s="17">
        <f t="shared" si="380"/>
        <v>0</v>
      </c>
      <c r="F703" s="17">
        <f t="shared" si="381"/>
        <v>0</v>
      </c>
      <c r="G703" s="17">
        <f t="shared" si="382"/>
        <v>0</v>
      </c>
      <c r="H703" s="17">
        <f t="shared" si="383"/>
        <v>0</v>
      </c>
      <c r="I703" s="17">
        <f t="shared" si="384"/>
        <v>0</v>
      </c>
      <c r="J703" s="17">
        <f t="shared" si="385"/>
        <v>0</v>
      </c>
      <c r="K703" s="17">
        <f t="shared" si="386"/>
        <v>0</v>
      </c>
      <c r="L703" s="17">
        <f t="shared" si="387"/>
        <v>0</v>
      </c>
      <c r="M703" s="17">
        <f t="shared" si="388"/>
        <v>0</v>
      </c>
      <c r="N703" s="17">
        <f t="shared" si="389"/>
        <v>0</v>
      </c>
      <c r="O703" s="17">
        <f t="shared" si="390"/>
        <v>0</v>
      </c>
      <c r="P703" s="17">
        <v>0</v>
      </c>
      <c r="Q703" s="17">
        <f t="shared" si="391"/>
        <v>0</v>
      </c>
      <c r="R703" s="17">
        <f t="shared" si="392"/>
        <v>0</v>
      </c>
      <c r="S703" s="17">
        <f t="shared" si="393"/>
        <v>0</v>
      </c>
      <c r="T703" s="17">
        <f t="shared" si="394"/>
        <v>0</v>
      </c>
      <c r="U703" s="17">
        <f t="shared" si="395"/>
        <v>0</v>
      </c>
      <c r="V703" s="17">
        <f t="shared" si="396"/>
        <v>0</v>
      </c>
      <c r="W703" s="17">
        <f t="shared" si="397"/>
        <v>0</v>
      </c>
      <c r="X703" s="17">
        <f t="shared" si="398"/>
        <v>0</v>
      </c>
      <c r="Y703" s="17">
        <f t="shared" si="399"/>
        <v>0</v>
      </c>
      <c r="Z703" s="17">
        <f t="shared" si="400"/>
        <v>0</v>
      </c>
      <c r="AA703" s="17">
        <f t="shared" si="401"/>
        <v>0</v>
      </c>
      <c r="AB703" s="17">
        <f t="shared" si="402"/>
        <v>0</v>
      </c>
      <c r="AC703" s="17">
        <v>0</v>
      </c>
      <c r="AD703" s="17">
        <f t="shared" si="403"/>
        <v>0</v>
      </c>
      <c r="AE703" s="17">
        <f t="shared" si="404"/>
        <v>0</v>
      </c>
      <c r="AF703" s="17">
        <f t="shared" si="405"/>
        <v>0</v>
      </c>
      <c r="AG703" s="17">
        <f t="shared" si="406"/>
        <v>0</v>
      </c>
      <c r="AH703" s="17">
        <f t="shared" si="407"/>
        <v>0</v>
      </c>
      <c r="AI703" s="17">
        <f t="shared" si="408"/>
        <v>0</v>
      </c>
      <c r="AJ703" s="17">
        <f t="shared" si="409"/>
        <v>0</v>
      </c>
      <c r="AK703" s="17">
        <f t="shared" si="410"/>
        <v>0</v>
      </c>
      <c r="AL703" s="17">
        <f t="shared" si="411"/>
        <v>0</v>
      </c>
      <c r="AM703" s="17">
        <f t="shared" si="412"/>
        <v>0</v>
      </c>
      <c r="AN703" s="17">
        <f t="shared" si="413"/>
        <v>0</v>
      </c>
      <c r="AO703" s="17">
        <f t="shared" si="414"/>
        <v>0</v>
      </c>
      <c r="AP703" s="17">
        <f t="shared" si="415"/>
        <v>0</v>
      </c>
      <c r="AQ703" s="18">
        <v>0</v>
      </c>
      <c r="AR703" s="18">
        <v>0</v>
      </c>
      <c r="AS703" s="18">
        <v>0</v>
      </c>
      <c r="AT703" s="18">
        <v>0</v>
      </c>
      <c r="AU703" s="18">
        <v>0</v>
      </c>
      <c r="AV703" s="18">
        <v>0</v>
      </c>
      <c r="AW703" s="18">
        <v>0</v>
      </c>
      <c r="AX703" s="18">
        <v>0</v>
      </c>
      <c r="AY703" s="18">
        <v>0</v>
      </c>
      <c r="AZ703" s="18">
        <v>0</v>
      </c>
      <c r="BA703" s="18">
        <v>0</v>
      </c>
      <c r="BB703" s="18">
        <v>0</v>
      </c>
      <c r="BC703" s="23">
        <v>8.9181565948742242E-2</v>
      </c>
      <c r="BD703" s="23">
        <v>0.10665277883445198</v>
      </c>
      <c r="BE703" s="23">
        <v>9.438849084854764E-2</v>
      </c>
      <c r="BF703" s="23">
        <v>7.149564986855049E-2</v>
      </c>
      <c r="BG703" s="23">
        <v>0.10368571810536763</v>
      </c>
      <c r="BH703" s="23">
        <v>8.4970330952544637E-2</v>
      </c>
      <c r="BI703" s="23">
        <v>8.4593878877262704E-2</v>
      </c>
      <c r="BJ703" s="23">
        <v>5.7447105462779965E-2</v>
      </c>
      <c r="BK703" s="23">
        <v>8.5153852345557474E-2</v>
      </c>
      <c r="BL703" s="23">
        <v>7.4158058913035174E-2</v>
      </c>
      <c r="BM703" s="23">
        <v>7.5718189192107169E-2</v>
      </c>
      <c r="BN703" s="23">
        <v>7.3955559365675619E-2</v>
      </c>
    </row>
    <row r="704" spans="1:66" x14ac:dyDescent="0.25">
      <c r="A704" s="16">
        <v>5005</v>
      </c>
      <c r="B704" s="16" t="s">
        <v>898</v>
      </c>
      <c r="C704" s="17">
        <v>0</v>
      </c>
      <c r="D704" s="17">
        <f t="shared" si="379"/>
        <v>0</v>
      </c>
      <c r="E704" s="17">
        <f t="shared" si="380"/>
        <v>0</v>
      </c>
      <c r="F704" s="17">
        <f t="shared" si="381"/>
        <v>0</v>
      </c>
      <c r="G704" s="17">
        <f t="shared" si="382"/>
        <v>0</v>
      </c>
      <c r="H704" s="17">
        <f t="shared" si="383"/>
        <v>0</v>
      </c>
      <c r="I704" s="17">
        <f t="shared" si="384"/>
        <v>0</v>
      </c>
      <c r="J704" s="17">
        <f t="shared" si="385"/>
        <v>0</v>
      </c>
      <c r="K704" s="17">
        <f t="shared" si="386"/>
        <v>0</v>
      </c>
      <c r="L704" s="17">
        <f t="shared" si="387"/>
        <v>0</v>
      </c>
      <c r="M704" s="17">
        <f t="shared" si="388"/>
        <v>0</v>
      </c>
      <c r="N704" s="17">
        <f t="shared" si="389"/>
        <v>0</v>
      </c>
      <c r="O704" s="17">
        <f t="shared" si="390"/>
        <v>0</v>
      </c>
      <c r="P704" s="17">
        <v>500</v>
      </c>
      <c r="Q704" s="17">
        <f t="shared" si="391"/>
        <v>44.590782974371123</v>
      </c>
      <c r="R704" s="17">
        <f t="shared" si="392"/>
        <v>53.32638941722599</v>
      </c>
      <c r="S704" s="17">
        <f t="shared" si="393"/>
        <v>47.194245424273824</v>
      </c>
      <c r="T704" s="17">
        <f t="shared" si="394"/>
        <v>35.747824934275243</v>
      </c>
      <c r="U704" s="17">
        <f t="shared" si="395"/>
        <v>51.842859052683814</v>
      </c>
      <c r="V704" s="17">
        <f t="shared" si="396"/>
        <v>42.485165476272321</v>
      </c>
      <c r="W704" s="17">
        <f t="shared" si="397"/>
        <v>42.296939438631355</v>
      </c>
      <c r="X704" s="17">
        <f t="shared" si="398"/>
        <v>28.723552731389983</v>
      </c>
      <c r="Y704" s="17">
        <f t="shared" si="399"/>
        <v>42.576926172778734</v>
      </c>
      <c r="Z704" s="17">
        <f t="shared" si="400"/>
        <v>37.079029456517588</v>
      </c>
      <c r="AA704" s="17">
        <f t="shared" si="401"/>
        <v>37.859094596053588</v>
      </c>
      <c r="AB704" s="17">
        <f t="shared" si="402"/>
        <v>36.977779682837813</v>
      </c>
      <c r="AC704" s="17">
        <v>0</v>
      </c>
      <c r="AD704" s="17">
        <f t="shared" si="403"/>
        <v>0</v>
      </c>
      <c r="AE704" s="17">
        <f t="shared" si="404"/>
        <v>0</v>
      </c>
      <c r="AF704" s="17">
        <f t="shared" si="405"/>
        <v>0</v>
      </c>
      <c r="AG704" s="17">
        <f t="shared" si="406"/>
        <v>0</v>
      </c>
      <c r="AH704" s="17">
        <f t="shared" si="407"/>
        <v>0</v>
      </c>
      <c r="AI704" s="17">
        <f t="shared" si="408"/>
        <v>0</v>
      </c>
      <c r="AJ704" s="17">
        <f t="shared" si="409"/>
        <v>0</v>
      </c>
      <c r="AK704" s="17">
        <f t="shared" si="410"/>
        <v>0</v>
      </c>
      <c r="AL704" s="17">
        <f t="shared" si="411"/>
        <v>0</v>
      </c>
      <c r="AM704" s="17">
        <f t="shared" si="412"/>
        <v>0</v>
      </c>
      <c r="AN704" s="17">
        <f t="shared" si="413"/>
        <v>0</v>
      </c>
      <c r="AO704" s="17">
        <f t="shared" si="414"/>
        <v>0</v>
      </c>
      <c r="AP704" s="17">
        <f t="shared" si="415"/>
        <v>500</v>
      </c>
      <c r="AQ704" s="18">
        <v>0</v>
      </c>
      <c r="AR704" s="18">
        <v>0</v>
      </c>
      <c r="AS704" s="18">
        <v>0</v>
      </c>
      <c r="AT704" s="18">
        <v>0</v>
      </c>
      <c r="AU704" s="18">
        <v>0</v>
      </c>
      <c r="AV704" s="18">
        <v>0</v>
      </c>
      <c r="AW704" s="18">
        <v>0</v>
      </c>
      <c r="AX704" s="18">
        <v>0</v>
      </c>
      <c r="AY704" s="18">
        <v>0</v>
      </c>
      <c r="AZ704" s="18">
        <v>0</v>
      </c>
      <c r="BA704" s="18">
        <v>0</v>
      </c>
      <c r="BB704" s="18">
        <v>0</v>
      </c>
      <c r="BC704" s="23">
        <v>8.9181565948742242E-2</v>
      </c>
      <c r="BD704" s="23">
        <v>0.10665277883445198</v>
      </c>
      <c r="BE704" s="23">
        <v>9.438849084854764E-2</v>
      </c>
      <c r="BF704" s="23">
        <v>7.149564986855049E-2</v>
      </c>
      <c r="BG704" s="23">
        <v>0.10368571810536763</v>
      </c>
      <c r="BH704" s="23">
        <v>8.4970330952544637E-2</v>
      </c>
      <c r="BI704" s="23">
        <v>8.4593878877262704E-2</v>
      </c>
      <c r="BJ704" s="23">
        <v>5.7447105462779965E-2</v>
      </c>
      <c r="BK704" s="23">
        <v>8.5153852345557474E-2</v>
      </c>
      <c r="BL704" s="23">
        <v>7.4158058913035174E-2</v>
      </c>
      <c r="BM704" s="23">
        <v>7.5718189192107169E-2</v>
      </c>
      <c r="BN704" s="23">
        <v>7.3955559365675619E-2</v>
      </c>
    </row>
    <row r="705" spans="1:66" x14ac:dyDescent="0.25">
      <c r="A705" s="16">
        <v>5016</v>
      </c>
      <c r="B705" s="16" t="s">
        <v>899</v>
      </c>
      <c r="C705" s="17">
        <v>0</v>
      </c>
      <c r="D705" s="17">
        <f t="shared" si="379"/>
        <v>0</v>
      </c>
      <c r="E705" s="17">
        <f t="shared" si="380"/>
        <v>0</v>
      </c>
      <c r="F705" s="17">
        <f t="shared" si="381"/>
        <v>0</v>
      </c>
      <c r="G705" s="17">
        <f t="shared" si="382"/>
        <v>0</v>
      </c>
      <c r="H705" s="17">
        <f t="shared" si="383"/>
        <v>0</v>
      </c>
      <c r="I705" s="17">
        <f t="shared" si="384"/>
        <v>0</v>
      </c>
      <c r="J705" s="17">
        <f t="shared" si="385"/>
        <v>0</v>
      </c>
      <c r="K705" s="17">
        <f t="shared" si="386"/>
        <v>0</v>
      </c>
      <c r="L705" s="17">
        <f t="shared" si="387"/>
        <v>0</v>
      </c>
      <c r="M705" s="17">
        <f t="shared" si="388"/>
        <v>0</v>
      </c>
      <c r="N705" s="17">
        <f t="shared" si="389"/>
        <v>0</v>
      </c>
      <c r="O705" s="17">
        <f t="shared" si="390"/>
        <v>0</v>
      </c>
      <c r="P705" s="17">
        <v>0</v>
      </c>
      <c r="Q705" s="17">
        <f t="shared" si="391"/>
        <v>0</v>
      </c>
      <c r="R705" s="17">
        <f t="shared" si="392"/>
        <v>0</v>
      </c>
      <c r="S705" s="17">
        <f t="shared" si="393"/>
        <v>0</v>
      </c>
      <c r="T705" s="17">
        <f t="shared" si="394"/>
        <v>0</v>
      </c>
      <c r="U705" s="17">
        <f t="shared" si="395"/>
        <v>0</v>
      </c>
      <c r="V705" s="17">
        <f t="shared" si="396"/>
        <v>0</v>
      </c>
      <c r="W705" s="17">
        <f t="shared" si="397"/>
        <v>0</v>
      </c>
      <c r="X705" s="17">
        <f t="shared" si="398"/>
        <v>0</v>
      </c>
      <c r="Y705" s="17">
        <f t="shared" si="399"/>
        <v>0</v>
      </c>
      <c r="Z705" s="17">
        <f t="shared" si="400"/>
        <v>0</v>
      </c>
      <c r="AA705" s="17">
        <f t="shared" si="401"/>
        <v>0</v>
      </c>
      <c r="AB705" s="17">
        <f t="shared" si="402"/>
        <v>0</v>
      </c>
      <c r="AC705" s="17">
        <v>0</v>
      </c>
      <c r="AD705" s="17">
        <f t="shared" si="403"/>
        <v>0</v>
      </c>
      <c r="AE705" s="17">
        <f t="shared" si="404"/>
        <v>0</v>
      </c>
      <c r="AF705" s="17">
        <f t="shared" si="405"/>
        <v>0</v>
      </c>
      <c r="AG705" s="17">
        <f t="shared" si="406"/>
        <v>0</v>
      </c>
      <c r="AH705" s="17">
        <f t="shared" si="407"/>
        <v>0</v>
      </c>
      <c r="AI705" s="17">
        <f t="shared" si="408"/>
        <v>0</v>
      </c>
      <c r="AJ705" s="17">
        <f t="shared" si="409"/>
        <v>0</v>
      </c>
      <c r="AK705" s="17">
        <f t="shared" si="410"/>
        <v>0</v>
      </c>
      <c r="AL705" s="17">
        <f t="shared" si="411"/>
        <v>0</v>
      </c>
      <c r="AM705" s="17">
        <f t="shared" si="412"/>
        <v>0</v>
      </c>
      <c r="AN705" s="17">
        <f t="shared" si="413"/>
        <v>0</v>
      </c>
      <c r="AO705" s="17">
        <f t="shared" si="414"/>
        <v>0</v>
      </c>
      <c r="AP705" s="17">
        <f t="shared" si="415"/>
        <v>0</v>
      </c>
      <c r="AQ705" s="18">
        <v>40.181646353865311</v>
      </c>
      <c r="AR705" s="18">
        <v>48.053476031650689</v>
      </c>
      <c r="AS705" s="18">
        <v>42.527678436721629</v>
      </c>
      <c r="AT705" s="18">
        <v>32.213080004774113</v>
      </c>
      <c r="AU705" s="18">
        <v>46.716637149554444</v>
      </c>
      <c r="AV705" s="18">
        <v>38.284232313978514</v>
      </c>
      <c r="AW705" s="18">
        <v>38.114618066939492</v>
      </c>
      <c r="AX705" s="18">
        <v>25.883367837310146</v>
      </c>
      <c r="AY705" s="18">
        <v>38.366919712814379</v>
      </c>
      <c r="AZ705" s="18">
        <v>33.412655023857134</v>
      </c>
      <c r="BA705" s="18">
        <v>34.115587322395811</v>
      </c>
      <c r="BB705" s="18">
        <v>33.321416827798814</v>
      </c>
      <c r="BC705" s="23">
        <v>8.9181565948742242E-2</v>
      </c>
      <c r="BD705" s="23">
        <v>0.10665277883445198</v>
      </c>
      <c r="BE705" s="23">
        <v>9.438849084854764E-2</v>
      </c>
      <c r="BF705" s="23">
        <v>7.149564986855049E-2</v>
      </c>
      <c r="BG705" s="23">
        <v>0.10368571810536763</v>
      </c>
      <c r="BH705" s="23">
        <v>8.4970330952544637E-2</v>
      </c>
      <c r="BI705" s="23">
        <v>8.4593878877262704E-2</v>
      </c>
      <c r="BJ705" s="23">
        <v>5.7447105462779965E-2</v>
      </c>
      <c r="BK705" s="23">
        <v>8.5153852345557474E-2</v>
      </c>
      <c r="BL705" s="23">
        <v>7.4158058913035174E-2</v>
      </c>
      <c r="BM705" s="23">
        <v>7.5718189192107169E-2</v>
      </c>
      <c r="BN705" s="23">
        <v>7.3955559365675619E-2</v>
      </c>
    </row>
    <row r="706" spans="1:66" x14ac:dyDescent="0.25">
      <c r="A706" s="16">
        <v>5038</v>
      </c>
      <c r="B706" s="16" t="s">
        <v>900</v>
      </c>
      <c r="C706" s="17">
        <v>0</v>
      </c>
      <c r="D706" s="17">
        <f t="shared" si="379"/>
        <v>0</v>
      </c>
      <c r="E706" s="17">
        <f t="shared" si="380"/>
        <v>0</v>
      </c>
      <c r="F706" s="17">
        <f t="shared" si="381"/>
        <v>0</v>
      </c>
      <c r="G706" s="17">
        <f t="shared" si="382"/>
        <v>0</v>
      </c>
      <c r="H706" s="17">
        <f t="shared" si="383"/>
        <v>0</v>
      </c>
      <c r="I706" s="17">
        <f t="shared" si="384"/>
        <v>0</v>
      </c>
      <c r="J706" s="17">
        <f t="shared" si="385"/>
        <v>0</v>
      </c>
      <c r="K706" s="17">
        <f t="shared" si="386"/>
        <v>0</v>
      </c>
      <c r="L706" s="17">
        <f t="shared" si="387"/>
        <v>0</v>
      </c>
      <c r="M706" s="17">
        <f t="shared" si="388"/>
        <v>0</v>
      </c>
      <c r="N706" s="17">
        <f t="shared" si="389"/>
        <v>0</v>
      </c>
      <c r="O706" s="17">
        <f t="shared" si="390"/>
        <v>0</v>
      </c>
      <c r="P706" s="17">
        <v>0</v>
      </c>
      <c r="Q706" s="17">
        <f t="shared" si="391"/>
        <v>0</v>
      </c>
      <c r="R706" s="17">
        <f t="shared" si="392"/>
        <v>0</v>
      </c>
      <c r="S706" s="17">
        <f t="shared" si="393"/>
        <v>0</v>
      </c>
      <c r="T706" s="17">
        <f t="shared" si="394"/>
        <v>0</v>
      </c>
      <c r="U706" s="17">
        <f t="shared" si="395"/>
        <v>0</v>
      </c>
      <c r="V706" s="17">
        <f t="shared" si="396"/>
        <v>0</v>
      </c>
      <c r="W706" s="17">
        <f t="shared" si="397"/>
        <v>0</v>
      </c>
      <c r="X706" s="17">
        <f t="shared" si="398"/>
        <v>0</v>
      </c>
      <c r="Y706" s="17">
        <f t="shared" si="399"/>
        <v>0</v>
      </c>
      <c r="Z706" s="17">
        <f t="shared" si="400"/>
        <v>0</v>
      </c>
      <c r="AA706" s="17">
        <f t="shared" si="401"/>
        <v>0</v>
      </c>
      <c r="AB706" s="17">
        <f t="shared" si="402"/>
        <v>0</v>
      </c>
      <c r="AC706" s="17">
        <v>0</v>
      </c>
      <c r="AD706" s="17">
        <f t="shared" si="403"/>
        <v>0</v>
      </c>
      <c r="AE706" s="17">
        <f t="shared" si="404"/>
        <v>0</v>
      </c>
      <c r="AF706" s="17">
        <f t="shared" si="405"/>
        <v>0</v>
      </c>
      <c r="AG706" s="17">
        <f t="shared" si="406"/>
        <v>0</v>
      </c>
      <c r="AH706" s="17">
        <f t="shared" si="407"/>
        <v>0</v>
      </c>
      <c r="AI706" s="17">
        <f t="shared" si="408"/>
        <v>0</v>
      </c>
      <c r="AJ706" s="17">
        <f t="shared" si="409"/>
        <v>0</v>
      </c>
      <c r="AK706" s="17">
        <f t="shared" si="410"/>
        <v>0</v>
      </c>
      <c r="AL706" s="17">
        <f t="shared" si="411"/>
        <v>0</v>
      </c>
      <c r="AM706" s="17">
        <f t="shared" si="412"/>
        <v>0</v>
      </c>
      <c r="AN706" s="17">
        <f t="shared" si="413"/>
        <v>0</v>
      </c>
      <c r="AO706" s="17">
        <f t="shared" si="414"/>
        <v>0</v>
      </c>
      <c r="AP706" s="17">
        <f t="shared" si="415"/>
        <v>0</v>
      </c>
      <c r="AQ706" s="18">
        <v>0</v>
      </c>
      <c r="AR706" s="18">
        <v>0</v>
      </c>
      <c r="AS706" s="18">
        <v>0</v>
      </c>
      <c r="AT706" s="18">
        <v>0</v>
      </c>
      <c r="AU706" s="18">
        <v>0</v>
      </c>
      <c r="AV706" s="18">
        <v>0</v>
      </c>
      <c r="AW706" s="18">
        <v>0</v>
      </c>
      <c r="AX706" s="18">
        <v>0</v>
      </c>
      <c r="AY706" s="18">
        <v>0</v>
      </c>
      <c r="AZ706" s="18">
        <v>0</v>
      </c>
      <c r="BA706" s="18">
        <v>0</v>
      </c>
      <c r="BB706" s="18">
        <v>0</v>
      </c>
      <c r="BC706" s="23">
        <v>8.9181565948742242E-2</v>
      </c>
      <c r="BD706" s="23">
        <v>0.10665277883445198</v>
      </c>
      <c r="BE706" s="23">
        <v>9.438849084854764E-2</v>
      </c>
      <c r="BF706" s="23">
        <v>7.149564986855049E-2</v>
      </c>
      <c r="BG706" s="23">
        <v>0.10368571810536763</v>
      </c>
      <c r="BH706" s="23">
        <v>8.4970330952544637E-2</v>
      </c>
      <c r="BI706" s="23">
        <v>8.4593878877262704E-2</v>
      </c>
      <c r="BJ706" s="23">
        <v>5.7447105462779965E-2</v>
      </c>
      <c r="BK706" s="23">
        <v>8.5153852345557474E-2</v>
      </c>
      <c r="BL706" s="23">
        <v>7.4158058913035174E-2</v>
      </c>
      <c r="BM706" s="23">
        <v>7.5718189192107169E-2</v>
      </c>
      <c r="BN706" s="23">
        <v>7.3955559365675619E-2</v>
      </c>
    </row>
    <row r="707" spans="1:66" x14ac:dyDescent="0.25">
      <c r="A707" s="16">
        <v>5040</v>
      </c>
      <c r="B707" s="16" t="s">
        <v>901</v>
      </c>
      <c r="C707" s="17">
        <v>0</v>
      </c>
      <c r="D707" s="17">
        <f t="shared" si="379"/>
        <v>0</v>
      </c>
      <c r="E707" s="17">
        <f t="shared" si="380"/>
        <v>0</v>
      </c>
      <c r="F707" s="17">
        <f t="shared" si="381"/>
        <v>0</v>
      </c>
      <c r="G707" s="17">
        <f t="shared" si="382"/>
        <v>0</v>
      </c>
      <c r="H707" s="17">
        <f t="shared" si="383"/>
        <v>0</v>
      </c>
      <c r="I707" s="17">
        <f t="shared" si="384"/>
        <v>0</v>
      </c>
      <c r="J707" s="17">
        <f t="shared" si="385"/>
        <v>0</v>
      </c>
      <c r="K707" s="17">
        <f t="shared" si="386"/>
        <v>0</v>
      </c>
      <c r="L707" s="17">
        <f t="shared" si="387"/>
        <v>0</v>
      </c>
      <c r="M707" s="17">
        <f t="shared" si="388"/>
        <v>0</v>
      </c>
      <c r="N707" s="17">
        <f t="shared" si="389"/>
        <v>0</v>
      </c>
      <c r="O707" s="17">
        <f t="shared" si="390"/>
        <v>0</v>
      </c>
      <c r="P707" s="17">
        <v>0</v>
      </c>
      <c r="Q707" s="17">
        <f t="shared" si="391"/>
        <v>0</v>
      </c>
      <c r="R707" s="17">
        <f t="shared" si="392"/>
        <v>0</v>
      </c>
      <c r="S707" s="17">
        <f t="shared" si="393"/>
        <v>0</v>
      </c>
      <c r="T707" s="17">
        <f t="shared" si="394"/>
        <v>0</v>
      </c>
      <c r="U707" s="17">
        <f t="shared" si="395"/>
        <v>0</v>
      </c>
      <c r="V707" s="17">
        <f t="shared" si="396"/>
        <v>0</v>
      </c>
      <c r="W707" s="17">
        <f t="shared" si="397"/>
        <v>0</v>
      </c>
      <c r="X707" s="17">
        <f t="shared" si="398"/>
        <v>0</v>
      </c>
      <c r="Y707" s="17">
        <f t="shared" si="399"/>
        <v>0</v>
      </c>
      <c r="Z707" s="17">
        <f t="shared" si="400"/>
        <v>0</v>
      </c>
      <c r="AA707" s="17">
        <f t="shared" si="401"/>
        <v>0</v>
      </c>
      <c r="AB707" s="17">
        <f t="shared" si="402"/>
        <v>0</v>
      </c>
      <c r="AC707" s="17">
        <v>0</v>
      </c>
      <c r="AD707" s="17">
        <f t="shared" si="403"/>
        <v>0</v>
      </c>
      <c r="AE707" s="17">
        <f t="shared" si="404"/>
        <v>0</v>
      </c>
      <c r="AF707" s="17">
        <f t="shared" si="405"/>
        <v>0</v>
      </c>
      <c r="AG707" s="17">
        <f t="shared" si="406"/>
        <v>0</v>
      </c>
      <c r="AH707" s="17">
        <f t="shared" si="407"/>
        <v>0</v>
      </c>
      <c r="AI707" s="17">
        <f t="shared" si="408"/>
        <v>0</v>
      </c>
      <c r="AJ707" s="17">
        <f t="shared" si="409"/>
        <v>0</v>
      </c>
      <c r="AK707" s="17">
        <f t="shared" si="410"/>
        <v>0</v>
      </c>
      <c r="AL707" s="17">
        <f t="shared" si="411"/>
        <v>0</v>
      </c>
      <c r="AM707" s="17">
        <f t="shared" si="412"/>
        <v>0</v>
      </c>
      <c r="AN707" s="17">
        <f t="shared" si="413"/>
        <v>0</v>
      </c>
      <c r="AO707" s="17">
        <f t="shared" si="414"/>
        <v>0</v>
      </c>
      <c r="AP707" s="17">
        <f t="shared" si="415"/>
        <v>0</v>
      </c>
      <c r="AQ707" s="18">
        <v>0</v>
      </c>
      <c r="AR707" s="18">
        <v>0</v>
      </c>
      <c r="AS707" s="18">
        <v>0</v>
      </c>
      <c r="AT707" s="18">
        <v>0</v>
      </c>
      <c r="AU707" s="18">
        <v>0</v>
      </c>
      <c r="AV707" s="18">
        <v>0</v>
      </c>
      <c r="AW707" s="18">
        <v>0</v>
      </c>
      <c r="AX707" s="18">
        <v>0</v>
      </c>
      <c r="AY707" s="18">
        <v>0</v>
      </c>
      <c r="AZ707" s="18">
        <v>0</v>
      </c>
      <c r="BA707" s="18">
        <v>0</v>
      </c>
      <c r="BB707" s="18">
        <v>0</v>
      </c>
      <c r="BC707" s="23">
        <v>8.9181565948742242E-2</v>
      </c>
      <c r="BD707" s="23">
        <v>0.10665277883445198</v>
      </c>
      <c r="BE707" s="23">
        <v>9.438849084854764E-2</v>
      </c>
      <c r="BF707" s="23">
        <v>7.149564986855049E-2</v>
      </c>
      <c r="BG707" s="23">
        <v>0.10368571810536763</v>
      </c>
      <c r="BH707" s="23">
        <v>8.4970330952544637E-2</v>
      </c>
      <c r="BI707" s="23">
        <v>8.4593878877262704E-2</v>
      </c>
      <c r="BJ707" s="23">
        <v>5.7447105462779965E-2</v>
      </c>
      <c r="BK707" s="23">
        <v>8.5153852345557474E-2</v>
      </c>
      <c r="BL707" s="23">
        <v>7.4158058913035174E-2</v>
      </c>
      <c r="BM707" s="23">
        <v>7.5718189192107169E-2</v>
      </c>
      <c r="BN707" s="23">
        <v>7.3955559365675619E-2</v>
      </c>
    </row>
    <row r="708" spans="1:66" x14ac:dyDescent="0.25">
      <c r="A708" s="16">
        <v>5044</v>
      </c>
      <c r="B708" s="16" t="s">
        <v>902</v>
      </c>
      <c r="C708" s="17">
        <v>0</v>
      </c>
      <c r="D708" s="17">
        <f t="shared" ref="D708:D771" si="416">+$C708*BC708</f>
        <v>0</v>
      </c>
      <c r="E708" s="17">
        <f t="shared" ref="E708:E771" si="417">+$C708*BD708</f>
        <v>0</v>
      </c>
      <c r="F708" s="17">
        <f t="shared" ref="F708:F771" si="418">+$C708*BE708</f>
        <v>0</v>
      </c>
      <c r="G708" s="17">
        <f t="shared" ref="G708:G771" si="419">+$C708*BF708</f>
        <v>0</v>
      </c>
      <c r="H708" s="17">
        <f t="shared" ref="H708:H771" si="420">+$C708*BG708</f>
        <v>0</v>
      </c>
      <c r="I708" s="17">
        <f t="shared" ref="I708:I771" si="421">+$C708*BH708</f>
        <v>0</v>
      </c>
      <c r="J708" s="17">
        <f t="shared" ref="J708:J771" si="422">+$C708*BI708</f>
        <v>0</v>
      </c>
      <c r="K708" s="17">
        <f t="shared" ref="K708:K771" si="423">+$C708*BJ708</f>
        <v>0</v>
      </c>
      <c r="L708" s="17">
        <f t="shared" ref="L708:L771" si="424">+$C708*BK708</f>
        <v>0</v>
      </c>
      <c r="M708" s="17">
        <f t="shared" ref="M708:M771" si="425">+$C708*BL708</f>
        <v>0</v>
      </c>
      <c r="N708" s="17">
        <f t="shared" ref="N708:N771" si="426">+$C708*BM708</f>
        <v>0</v>
      </c>
      <c r="O708" s="17">
        <f t="shared" ref="O708:O771" si="427">+$C708*BN708</f>
        <v>0</v>
      </c>
      <c r="P708" s="17">
        <v>0</v>
      </c>
      <c r="Q708" s="17">
        <f t="shared" ref="Q708:Q771" si="428">+$P708*BC708</f>
        <v>0</v>
      </c>
      <c r="R708" s="17">
        <f t="shared" ref="R708:R771" si="429">+$P708*BD708</f>
        <v>0</v>
      </c>
      <c r="S708" s="17">
        <f t="shared" ref="S708:S771" si="430">+$P708*BE708</f>
        <v>0</v>
      </c>
      <c r="T708" s="17">
        <f t="shared" ref="T708:T771" si="431">+$P708*BF708</f>
        <v>0</v>
      </c>
      <c r="U708" s="17">
        <f t="shared" ref="U708:U771" si="432">+$P708*BG708</f>
        <v>0</v>
      </c>
      <c r="V708" s="17">
        <f t="shared" ref="V708:V771" si="433">+$P708*BH708</f>
        <v>0</v>
      </c>
      <c r="W708" s="17">
        <f t="shared" ref="W708:W771" si="434">+$P708*BI708</f>
        <v>0</v>
      </c>
      <c r="X708" s="17">
        <f t="shared" ref="X708:X771" si="435">+$P708*BJ708</f>
        <v>0</v>
      </c>
      <c r="Y708" s="17">
        <f t="shared" ref="Y708:Y771" si="436">+$P708*BK708</f>
        <v>0</v>
      </c>
      <c r="Z708" s="17">
        <f t="shared" ref="Z708:Z771" si="437">+$P708*BL708</f>
        <v>0</v>
      </c>
      <c r="AA708" s="17">
        <f t="shared" ref="AA708:AA771" si="438">+$P708*BM708</f>
        <v>0</v>
      </c>
      <c r="AB708" s="17">
        <f t="shared" ref="AB708:AB771" si="439">+$P708*BN708</f>
        <v>0</v>
      </c>
      <c r="AC708" s="17">
        <v>0</v>
      </c>
      <c r="AD708" s="17">
        <f t="shared" ref="AD708:AD771" si="440">+$AC708*BC708</f>
        <v>0</v>
      </c>
      <c r="AE708" s="17">
        <f t="shared" ref="AE708:AE771" si="441">+$AC708*BD708</f>
        <v>0</v>
      </c>
      <c r="AF708" s="17">
        <f t="shared" ref="AF708:AF771" si="442">+$AC708*BE708</f>
        <v>0</v>
      </c>
      <c r="AG708" s="17">
        <f t="shared" ref="AG708:AG771" si="443">+$AC708*BF708</f>
        <v>0</v>
      </c>
      <c r="AH708" s="17">
        <f t="shared" ref="AH708:AH771" si="444">+$AC708*BG708</f>
        <v>0</v>
      </c>
      <c r="AI708" s="17">
        <f t="shared" ref="AI708:AI771" si="445">+$AC708*BH708</f>
        <v>0</v>
      </c>
      <c r="AJ708" s="17">
        <f t="shared" ref="AJ708:AJ771" si="446">+$AC708*BI708</f>
        <v>0</v>
      </c>
      <c r="AK708" s="17">
        <f t="shared" ref="AK708:AK771" si="447">+$AC708*BJ708</f>
        <v>0</v>
      </c>
      <c r="AL708" s="17">
        <f t="shared" ref="AL708:AL771" si="448">+$AC708*BK708</f>
        <v>0</v>
      </c>
      <c r="AM708" s="17">
        <f t="shared" ref="AM708:AM771" si="449">+$AC708*BL708</f>
        <v>0</v>
      </c>
      <c r="AN708" s="17">
        <f t="shared" ref="AN708:AN771" si="450">+$AC708*BM708</f>
        <v>0</v>
      </c>
      <c r="AO708" s="17">
        <f t="shared" ref="AO708:AO771" si="451">+$AC708*BN708</f>
        <v>0</v>
      </c>
      <c r="AP708" s="17">
        <f t="shared" ref="AP708:AP771" si="452">+AC708+P708+C708</f>
        <v>0</v>
      </c>
      <c r="AQ708" s="18">
        <v>0</v>
      </c>
      <c r="AR708" s="18">
        <v>0</v>
      </c>
      <c r="AS708" s="18">
        <v>0</v>
      </c>
      <c r="AT708" s="18">
        <v>0</v>
      </c>
      <c r="AU708" s="18">
        <v>0</v>
      </c>
      <c r="AV708" s="18">
        <v>0</v>
      </c>
      <c r="AW708" s="18">
        <v>0</v>
      </c>
      <c r="AX708" s="18">
        <v>0</v>
      </c>
      <c r="AY708" s="18">
        <v>0</v>
      </c>
      <c r="AZ708" s="18">
        <v>0</v>
      </c>
      <c r="BA708" s="18">
        <v>0</v>
      </c>
      <c r="BB708" s="18">
        <v>0</v>
      </c>
      <c r="BC708" s="23">
        <v>8.9181565948742242E-2</v>
      </c>
      <c r="BD708" s="23">
        <v>0.10665277883445198</v>
      </c>
      <c r="BE708" s="23">
        <v>9.438849084854764E-2</v>
      </c>
      <c r="BF708" s="23">
        <v>7.149564986855049E-2</v>
      </c>
      <c r="BG708" s="23">
        <v>0.10368571810536763</v>
      </c>
      <c r="BH708" s="23">
        <v>8.4970330952544637E-2</v>
      </c>
      <c r="BI708" s="23">
        <v>8.4593878877262704E-2</v>
      </c>
      <c r="BJ708" s="23">
        <v>5.7447105462779965E-2</v>
      </c>
      <c r="BK708" s="23">
        <v>8.5153852345557474E-2</v>
      </c>
      <c r="BL708" s="23">
        <v>7.4158058913035174E-2</v>
      </c>
      <c r="BM708" s="23">
        <v>7.5718189192107169E-2</v>
      </c>
      <c r="BN708" s="23">
        <v>7.3955559365675619E-2</v>
      </c>
    </row>
    <row r="709" spans="1:66" x14ac:dyDescent="0.25">
      <c r="A709" s="16">
        <v>5047</v>
      </c>
      <c r="B709" s="16" t="s">
        <v>903</v>
      </c>
      <c r="C709" s="17">
        <v>0</v>
      </c>
      <c r="D709" s="17">
        <f t="shared" si="416"/>
        <v>0</v>
      </c>
      <c r="E709" s="17">
        <f t="shared" si="417"/>
        <v>0</v>
      </c>
      <c r="F709" s="17">
        <f t="shared" si="418"/>
        <v>0</v>
      </c>
      <c r="G709" s="17">
        <f t="shared" si="419"/>
        <v>0</v>
      </c>
      <c r="H709" s="17">
        <f t="shared" si="420"/>
        <v>0</v>
      </c>
      <c r="I709" s="17">
        <f t="shared" si="421"/>
        <v>0</v>
      </c>
      <c r="J709" s="17">
        <f t="shared" si="422"/>
        <v>0</v>
      </c>
      <c r="K709" s="17">
        <f t="shared" si="423"/>
        <v>0</v>
      </c>
      <c r="L709" s="17">
        <f t="shared" si="424"/>
        <v>0</v>
      </c>
      <c r="M709" s="17">
        <f t="shared" si="425"/>
        <v>0</v>
      </c>
      <c r="N709" s="17">
        <f t="shared" si="426"/>
        <v>0</v>
      </c>
      <c r="O709" s="17">
        <f t="shared" si="427"/>
        <v>0</v>
      </c>
      <c r="P709" s="17">
        <v>0</v>
      </c>
      <c r="Q709" s="17">
        <f t="shared" si="428"/>
        <v>0</v>
      </c>
      <c r="R709" s="17">
        <f t="shared" si="429"/>
        <v>0</v>
      </c>
      <c r="S709" s="17">
        <f t="shared" si="430"/>
        <v>0</v>
      </c>
      <c r="T709" s="17">
        <f t="shared" si="431"/>
        <v>0</v>
      </c>
      <c r="U709" s="17">
        <f t="shared" si="432"/>
        <v>0</v>
      </c>
      <c r="V709" s="17">
        <f t="shared" si="433"/>
        <v>0</v>
      </c>
      <c r="W709" s="17">
        <f t="shared" si="434"/>
        <v>0</v>
      </c>
      <c r="X709" s="17">
        <f t="shared" si="435"/>
        <v>0</v>
      </c>
      <c r="Y709" s="17">
        <f t="shared" si="436"/>
        <v>0</v>
      </c>
      <c r="Z709" s="17">
        <f t="shared" si="437"/>
        <v>0</v>
      </c>
      <c r="AA709" s="17">
        <f t="shared" si="438"/>
        <v>0</v>
      </c>
      <c r="AB709" s="17">
        <f t="shared" si="439"/>
        <v>0</v>
      </c>
      <c r="AC709" s="17">
        <v>0</v>
      </c>
      <c r="AD709" s="17">
        <f t="shared" si="440"/>
        <v>0</v>
      </c>
      <c r="AE709" s="17">
        <f t="shared" si="441"/>
        <v>0</v>
      </c>
      <c r="AF709" s="17">
        <f t="shared" si="442"/>
        <v>0</v>
      </c>
      <c r="AG709" s="17">
        <f t="shared" si="443"/>
        <v>0</v>
      </c>
      <c r="AH709" s="17">
        <f t="shared" si="444"/>
        <v>0</v>
      </c>
      <c r="AI709" s="17">
        <f t="shared" si="445"/>
        <v>0</v>
      </c>
      <c r="AJ709" s="17">
        <f t="shared" si="446"/>
        <v>0</v>
      </c>
      <c r="AK709" s="17">
        <f t="shared" si="447"/>
        <v>0</v>
      </c>
      <c r="AL709" s="17">
        <f t="shared" si="448"/>
        <v>0</v>
      </c>
      <c r="AM709" s="17">
        <f t="shared" si="449"/>
        <v>0</v>
      </c>
      <c r="AN709" s="17">
        <f t="shared" si="450"/>
        <v>0</v>
      </c>
      <c r="AO709" s="17">
        <f t="shared" si="451"/>
        <v>0</v>
      </c>
      <c r="AP709" s="17">
        <f t="shared" si="452"/>
        <v>0</v>
      </c>
      <c r="AQ709" s="18">
        <v>0</v>
      </c>
      <c r="AR709" s="18">
        <v>0</v>
      </c>
      <c r="AS709" s="18">
        <v>0</v>
      </c>
      <c r="AT709" s="18">
        <v>0</v>
      </c>
      <c r="AU709" s="18">
        <v>0</v>
      </c>
      <c r="AV709" s="18">
        <v>0</v>
      </c>
      <c r="AW709" s="18">
        <v>0</v>
      </c>
      <c r="AX709" s="18">
        <v>0</v>
      </c>
      <c r="AY709" s="18">
        <v>0</v>
      </c>
      <c r="AZ709" s="18">
        <v>0</v>
      </c>
      <c r="BA709" s="18">
        <v>0</v>
      </c>
      <c r="BB709" s="18">
        <v>0</v>
      </c>
      <c r="BC709" s="23">
        <v>8.9181565948742242E-2</v>
      </c>
      <c r="BD709" s="23">
        <v>0.10665277883445198</v>
      </c>
      <c r="BE709" s="23">
        <v>9.438849084854764E-2</v>
      </c>
      <c r="BF709" s="23">
        <v>7.149564986855049E-2</v>
      </c>
      <c r="BG709" s="23">
        <v>0.10368571810536763</v>
      </c>
      <c r="BH709" s="23">
        <v>8.4970330952544637E-2</v>
      </c>
      <c r="BI709" s="23">
        <v>8.4593878877262704E-2</v>
      </c>
      <c r="BJ709" s="23">
        <v>5.7447105462779965E-2</v>
      </c>
      <c r="BK709" s="23">
        <v>8.5153852345557474E-2</v>
      </c>
      <c r="BL709" s="23">
        <v>7.4158058913035174E-2</v>
      </c>
      <c r="BM709" s="23">
        <v>7.5718189192107169E-2</v>
      </c>
      <c r="BN709" s="23">
        <v>7.3955559365675619E-2</v>
      </c>
    </row>
    <row r="710" spans="1:66" x14ac:dyDescent="0.25">
      <c r="A710" s="16">
        <v>5050</v>
      </c>
      <c r="B710" s="16" t="s">
        <v>904</v>
      </c>
      <c r="C710" s="17">
        <v>0</v>
      </c>
      <c r="D710" s="17">
        <f t="shared" si="416"/>
        <v>0</v>
      </c>
      <c r="E710" s="17">
        <f t="shared" si="417"/>
        <v>0</v>
      </c>
      <c r="F710" s="17">
        <f t="shared" si="418"/>
        <v>0</v>
      </c>
      <c r="G710" s="17">
        <f t="shared" si="419"/>
        <v>0</v>
      </c>
      <c r="H710" s="17">
        <f t="shared" si="420"/>
        <v>0</v>
      </c>
      <c r="I710" s="17">
        <f t="shared" si="421"/>
        <v>0</v>
      </c>
      <c r="J710" s="17">
        <f t="shared" si="422"/>
        <v>0</v>
      </c>
      <c r="K710" s="17">
        <f t="shared" si="423"/>
        <v>0</v>
      </c>
      <c r="L710" s="17">
        <f t="shared" si="424"/>
        <v>0</v>
      </c>
      <c r="M710" s="17">
        <f t="shared" si="425"/>
        <v>0</v>
      </c>
      <c r="N710" s="17">
        <f t="shared" si="426"/>
        <v>0</v>
      </c>
      <c r="O710" s="17">
        <f t="shared" si="427"/>
        <v>0</v>
      </c>
      <c r="P710" s="17">
        <v>0</v>
      </c>
      <c r="Q710" s="17">
        <f t="shared" si="428"/>
        <v>0</v>
      </c>
      <c r="R710" s="17">
        <f t="shared" si="429"/>
        <v>0</v>
      </c>
      <c r="S710" s="17">
        <f t="shared" si="430"/>
        <v>0</v>
      </c>
      <c r="T710" s="17">
        <f t="shared" si="431"/>
        <v>0</v>
      </c>
      <c r="U710" s="17">
        <f t="shared" si="432"/>
        <v>0</v>
      </c>
      <c r="V710" s="17">
        <f t="shared" si="433"/>
        <v>0</v>
      </c>
      <c r="W710" s="17">
        <f t="shared" si="434"/>
        <v>0</v>
      </c>
      <c r="X710" s="17">
        <f t="shared" si="435"/>
        <v>0</v>
      </c>
      <c r="Y710" s="17">
        <f t="shared" si="436"/>
        <v>0</v>
      </c>
      <c r="Z710" s="17">
        <f t="shared" si="437"/>
        <v>0</v>
      </c>
      <c r="AA710" s="17">
        <f t="shared" si="438"/>
        <v>0</v>
      </c>
      <c r="AB710" s="17">
        <f t="shared" si="439"/>
        <v>0</v>
      </c>
      <c r="AC710" s="17">
        <v>0</v>
      </c>
      <c r="AD710" s="17">
        <f t="shared" si="440"/>
        <v>0</v>
      </c>
      <c r="AE710" s="17">
        <f t="shared" si="441"/>
        <v>0</v>
      </c>
      <c r="AF710" s="17">
        <f t="shared" si="442"/>
        <v>0</v>
      </c>
      <c r="AG710" s="17">
        <f t="shared" si="443"/>
        <v>0</v>
      </c>
      <c r="AH710" s="17">
        <f t="shared" si="444"/>
        <v>0</v>
      </c>
      <c r="AI710" s="17">
        <f t="shared" si="445"/>
        <v>0</v>
      </c>
      <c r="AJ710" s="17">
        <f t="shared" si="446"/>
        <v>0</v>
      </c>
      <c r="AK710" s="17">
        <f t="shared" si="447"/>
        <v>0</v>
      </c>
      <c r="AL710" s="17">
        <f t="shared" si="448"/>
        <v>0</v>
      </c>
      <c r="AM710" s="17">
        <f t="shared" si="449"/>
        <v>0</v>
      </c>
      <c r="AN710" s="17">
        <f t="shared" si="450"/>
        <v>0</v>
      </c>
      <c r="AO710" s="17">
        <f t="shared" si="451"/>
        <v>0</v>
      </c>
      <c r="AP710" s="17">
        <f t="shared" si="452"/>
        <v>0</v>
      </c>
      <c r="AQ710" s="18">
        <v>0</v>
      </c>
      <c r="AR710" s="18">
        <v>0</v>
      </c>
      <c r="AS710" s="18">
        <v>0</v>
      </c>
      <c r="AT710" s="18">
        <v>0</v>
      </c>
      <c r="AU710" s="18">
        <v>0</v>
      </c>
      <c r="AV710" s="18">
        <v>0</v>
      </c>
      <c r="AW710" s="18">
        <v>0</v>
      </c>
      <c r="AX710" s="18">
        <v>0</v>
      </c>
      <c r="AY710" s="18">
        <v>0</v>
      </c>
      <c r="AZ710" s="18">
        <v>0</v>
      </c>
      <c r="BA710" s="18">
        <v>0</v>
      </c>
      <c r="BB710" s="18">
        <v>0</v>
      </c>
      <c r="BC710" s="23">
        <v>8.9181565948742242E-2</v>
      </c>
      <c r="BD710" s="23">
        <v>0.10665277883445198</v>
      </c>
      <c r="BE710" s="23">
        <v>9.438849084854764E-2</v>
      </c>
      <c r="BF710" s="23">
        <v>7.149564986855049E-2</v>
      </c>
      <c r="BG710" s="23">
        <v>0.10368571810536763</v>
      </c>
      <c r="BH710" s="23">
        <v>8.4970330952544637E-2</v>
      </c>
      <c r="BI710" s="23">
        <v>8.4593878877262704E-2</v>
      </c>
      <c r="BJ710" s="23">
        <v>5.7447105462779965E-2</v>
      </c>
      <c r="BK710" s="23">
        <v>8.5153852345557474E-2</v>
      </c>
      <c r="BL710" s="23">
        <v>7.4158058913035174E-2</v>
      </c>
      <c r="BM710" s="23">
        <v>7.5718189192107169E-2</v>
      </c>
      <c r="BN710" s="23">
        <v>7.3955559365675619E-2</v>
      </c>
    </row>
    <row r="711" spans="1:66" x14ac:dyDescent="0.25">
      <c r="A711" s="16">
        <v>5065</v>
      </c>
      <c r="B711" s="16" t="s">
        <v>905</v>
      </c>
      <c r="C711" s="17">
        <v>0</v>
      </c>
      <c r="D711" s="17">
        <f t="shared" si="416"/>
        <v>0</v>
      </c>
      <c r="E711" s="17">
        <f t="shared" si="417"/>
        <v>0</v>
      </c>
      <c r="F711" s="17">
        <f t="shared" si="418"/>
        <v>0</v>
      </c>
      <c r="G711" s="17">
        <f t="shared" si="419"/>
        <v>0</v>
      </c>
      <c r="H711" s="17">
        <f t="shared" si="420"/>
        <v>0</v>
      </c>
      <c r="I711" s="17">
        <f t="shared" si="421"/>
        <v>0</v>
      </c>
      <c r="J711" s="17">
        <f t="shared" si="422"/>
        <v>0</v>
      </c>
      <c r="K711" s="17">
        <f t="shared" si="423"/>
        <v>0</v>
      </c>
      <c r="L711" s="17">
        <f t="shared" si="424"/>
        <v>0</v>
      </c>
      <c r="M711" s="17">
        <f t="shared" si="425"/>
        <v>0</v>
      </c>
      <c r="N711" s="17">
        <f t="shared" si="426"/>
        <v>0</v>
      </c>
      <c r="O711" s="17">
        <f t="shared" si="427"/>
        <v>0</v>
      </c>
      <c r="P711" s="17">
        <v>3000</v>
      </c>
      <c r="Q711" s="17">
        <f t="shared" si="428"/>
        <v>267.54469784622671</v>
      </c>
      <c r="R711" s="17">
        <f t="shared" si="429"/>
        <v>319.95833650335595</v>
      </c>
      <c r="S711" s="17">
        <f t="shared" si="430"/>
        <v>283.1654725456429</v>
      </c>
      <c r="T711" s="17">
        <f t="shared" si="431"/>
        <v>214.48694960565146</v>
      </c>
      <c r="U711" s="17">
        <f t="shared" si="432"/>
        <v>311.05715431610287</v>
      </c>
      <c r="V711" s="17">
        <f t="shared" si="433"/>
        <v>254.91099285763391</v>
      </c>
      <c r="W711" s="17">
        <f t="shared" si="434"/>
        <v>253.7816366317881</v>
      </c>
      <c r="X711" s="17">
        <f t="shared" si="435"/>
        <v>172.34131638833989</v>
      </c>
      <c r="Y711" s="17">
        <f t="shared" si="436"/>
        <v>255.46155703667242</v>
      </c>
      <c r="Z711" s="17">
        <f t="shared" si="437"/>
        <v>222.47417673910553</v>
      </c>
      <c r="AA711" s="17">
        <f t="shared" si="438"/>
        <v>227.15456757632151</v>
      </c>
      <c r="AB711" s="17">
        <f t="shared" si="439"/>
        <v>221.86667809702686</v>
      </c>
      <c r="AC711" s="17">
        <v>0</v>
      </c>
      <c r="AD711" s="17">
        <f t="shared" si="440"/>
        <v>0</v>
      </c>
      <c r="AE711" s="17">
        <f t="shared" si="441"/>
        <v>0</v>
      </c>
      <c r="AF711" s="17">
        <f t="shared" si="442"/>
        <v>0</v>
      </c>
      <c r="AG711" s="17">
        <f t="shared" si="443"/>
        <v>0</v>
      </c>
      <c r="AH711" s="17">
        <f t="shared" si="444"/>
        <v>0</v>
      </c>
      <c r="AI711" s="17">
        <f t="shared" si="445"/>
        <v>0</v>
      </c>
      <c r="AJ711" s="17">
        <f t="shared" si="446"/>
        <v>0</v>
      </c>
      <c r="AK711" s="17">
        <f t="shared" si="447"/>
        <v>0</v>
      </c>
      <c r="AL711" s="17">
        <f t="shared" si="448"/>
        <v>0</v>
      </c>
      <c r="AM711" s="17">
        <f t="shared" si="449"/>
        <v>0</v>
      </c>
      <c r="AN711" s="17">
        <f t="shared" si="450"/>
        <v>0</v>
      </c>
      <c r="AO711" s="17">
        <f t="shared" si="451"/>
        <v>0</v>
      </c>
      <c r="AP711" s="17">
        <f t="shared" si="452"/>
        <v>3000</v>
      </c>
      <c r="AQ711" s="18">
        <v>0</v>
      </c>
      <c r="AR711" s="18">
        <v>0</v>
      </c>
      <c r="AS711" s="18">
        <v>0</v>
      </c>
      <c r="AT711" s="18">
        <v>0</v>
      </c>
      <c r="AU711" s="18">
        <v>0</v>
      </c>
      <c r="AV711" s="18">
        <v>0</v>
      </c>
      <c r="AW711" s="18">
        <v>0</v>
      </c>
      <c r="AX711" s="18">
        <v>0</v>
      </c>
      <c r="AY711" s="18">
        <v>0</v>
      </c>
      <c r="AZ711" s="18">
        <v>0</v>
      </c>
      <c r="BA711" s="18">
        <v>0</v>
      </c>
      <c r="BB711" s="18">
        <v>0</v>
      </c>
      <c r="BC711" s="23">
        <v>8.9181565948742242E-2</v>
      </c>
      <c r="BD711" s="23">
        <v>0.10665277883445198</v>
      </c>
      <c r="BE711" s="23">
        <v>9.438849084854764E-2</v>
      </c>
      <c r="BF711" s="23">
        <v>7.149564986855049E-2</v>
      </c>
      <c r="BG711" s="23">
        <v>0.10368571810536763</v>
      </c>
      <c r="BH711" s="23">
        <v>8.4970330952544637E-2</v>
      </c>
      <c r="BI711" s="23">
        <v>8.4593878877262704E-2</v>
      </c>
      <c r="BJ711" s="23">
        <v>5.7447105462779965E-2</v>
      </c>
      <c r="BK711" s="23">
        <v>8.5153852345557474E-2</v>
      </c>
      <c r="BL711" s="23">
        <v>7.4158058913035174E-2</v>
      </c>
      <c r="BM711" s="23">
        <v>7.5718189192107169E-2</v>
      </c>
      <c r="BN711" s="23">
        <v>7.3955559365675619E-2</v>
      </c>
    </row>
    <row r="712" spans="1:66" x14ac:dyDescent="0.25">
      <c r="A712" s="16">
        <v>5070</v>
      </c>
      <c r="B712" s="16" t="s">
        <v>906</v>
      </c>
      <c r="C712" s="17">
        <v>0</v>
      </c>
      <c r="D712" s="17">
        <f t="shared" si="416"/>
        <v>0</v>
      </c>
      <c r="E712" s="17">
        <f t="shared" si="417"/>
        <v>0</v>
      </c>
      <c r="F712" s="17">
        <f t="shared" si="418"/>
        <v>0</v>
      </c>
      <c r="G712" s="17">
        <f t="shared" si="419"/>
        <v>0</v>
      </c>
      <c r="H712" s="17">
        <f t="shared" si="420"/>
        <v>0</v>
      </c>
      <c r="I712" s="17">
        <f t="shared" si="421"/>
        <v>0</v>
      </c>
      <c r="J712" s="17">
        <f t="shared" si="422"/>
        <v>0</v>
      </c>
      <c r="K712" s="17">
        <f t="shared" si="423"/>
        <v>0</v>
      </c>
      <c r="L712" s="17">
        <f t="shared" si="424"/>
        <v>0</v>
      </c>
      <c r="M712" s="17">
        <f t="shared" si="425"/>
        <v>0</v>
      </c>
      <c r="N712" s="17">
        <f t="shared" si="426"/>
        <v>0</v>
      </c>
      <c r="O712" s="17">
        <f t="shared" si="427"/>
        <v>0</v>
      </c>
      <c r="P712" s="17">
        <v>0</v>
      </c>
      <c r="Q712" s="17">
        <f t="shared" si="428"/>
        <v>0</v>
      </c>
      <c r="R712" s="17">
        <f t="shared" si="429"/>
        <v>0</v>
      </c>
      <c r="S712" s="17">
        <f t="shared" si="430"/>
        <v>0</v>
      </c>
      <c r="T712" s="17">
        <f t="shared" si="431"/>
        <v>0</v>
      </c>
      <c r="U712" s="17">
        <f t="shared" si="432"/>
        <v>0</v>
      </c>
      <c r="V712" s="17">
        <f t="shared" si="433"/>
        <v>0</v>
      </c>
      <c r="W712" s="17">
        <f t="shared" si="434"/>
        <v>0</v>
      </c>
      <c r="X712" s="17">
        <f t="shared" si="435"/>
        <v>0</v>
      </c>
      <c r="Y712" s="17">
        <f t="shared" si="436"/>
        <v>0</v>
      </c>
      <c r="Z712" s="17">
        <f t="shared" si="437"/>
        <v>0</v>
      </c>
      <c r="AA712" s="17">
        <f t="shared" si="438"/>
        <v>0</v>
      </c>
      <c r="AB712" s="17">
        <f t="shared" si="439"/>
        <v>0</v>
      </c>
      <c r="AC712" s="17">
        <v>0</v>
      </c>
      <c r="AD712" s="17">
        <f t="shared" si="440"/>
        <v>0</v>
      </c>
      <c r="AE712" s="17">
        <f t="shared" si="441"/>
        <v>0</v>
      </c>
      <c r="AF712" s="17">
        <f t="shared" si="442"/>
        <v>0</v>
      </c>
      <c r="AG712" s="17">
        <f t="shared" si="443"/>
        <v>0</v>
      </c>
      <c r="AH712" s="17">
        <f t="shared" si="444"/>
        <v>0</v>
      </c>
      <c r="AI712" s="17">
        <f t="shared" si="445"/>
        <v>0</v>
      </c>
      <c r="AJ712" s="17">
        <f t="shared" si="446"/>
        <v>0</v>
      </c>
      <c r="AK712" s="17">
        <f t="shared" si="447"/>
        <v>0</v>
      </c>
      <c r="AL712" s="17">
        <f t="shared" si="448"/>
        <v>0</v>
      </c>
      <c r="AM712" s="17">
        <f t="shared" si="449"/>
        <v>0</v>
      </c>
      <c r="AN712" s="17">
        <f t="shared" si="450"/>
        <v>0</v>
      </c>
      <c r="AO712" s="17">
        <f t="shared" si="451"/>
        <v>0</v>
      </c>
      <c r="AP712" s="17">
        <f t="shared" si="452"/>
        <v>0</v>
      </c>
      <c r="AQ712" s="18">
        <v>0</v>
      </c>
      <c r="AR712" s="18">
        <v>0</v>
      </c>
      <c r="AS712" s="18">
        <v>0</v>
      </c>
      <c r="AT712" s="18">
        <v>0</v>
      </c>
      <c r="AU712" s="18">
        <v>0</v>
      </c>
      <c r="AV712" s="18">
        <v>0</v>
      </c>
      <c r="AW712" s="18">
        <v>0</v>
      </c>
      <c r="AX712" s="18">
        <v>0</v>
      </c>
      <c r="AY712" s="18">
        <v>0</v>
      </c>
      <c r="AZ712" s="18">
        <v>0</v>
      </c>
      <c r="BA712" s="18">
        <v>0</v>
      </c>
      <c r="BB712" s="18">
        <v>0</v>
      </c>
      <c r="BC712" s="23">
        <v>8.9181565948742242E-2</v>
      </c>
      <c r="BD712" s="23">
        <v>0.10665277883445198</v>
      </c>
      <c r="BE712" s="23">
        <v>9.438849084854764E-2</v>
      </c>
      <c r="BF712" s="23">
        <v>7.149564986855049E-2</v>
      </c>
      <c r="BG712" s="23">
        <v>0.10368571810536763</v>
      </c>
      <c r="BH712" s="23">
        <v>8.4970330952544637E-2</v>
      </c>
      <c r="BI712" s="23">
        <v>8.4593878877262704E-2</v>
      </c>
      <c r="BJ712" s="23">
        <v>5.7447105462779965E-2</v>
      </c>
      <c r="BK712" s="23">
        <v>8.5153852345557474E-2</v>
      </c>
      <c r="BL712" s="23">
        <v>7.4158058913035174E-2</v>
      </c>
      <c r="BM712" s="23">
        <v>7.5718189192107169E-2</v>
      </c>
      <c r="BN712" s="23">
        <v>7.3955559365675619E-2</v>
      </c>
    </row>
    <row r="713" spans="1:66" x14ac:dyDescent="0.25">
      <c r="A713" s="16">
        <v>5072</v>
      </c>
      <c r="B713" s="16" t="s">
        <v>907</v>
      </c>
      <c r="C713" s="17">
        <v>0</v>
      </c>
      <c r="D713" s="17">
        <f t="shared" si="416"/>
        <v>0</v>
      </c>
      <c r="E713" s="17">
        <f t="shared" si="417"/>
        <v>0</v>
      </c>
      <c r="F713" s="17">
        <f t="shared" si="418"/>
        <v>0</v>
      </c>
      <c r="G713" s="17">
        <f t="shared" si="419"/>
        <v>0</v>
      </c>
      <c r="H713" s="17">
        <f t="shared" si="420"/>
        <v>0</v>
      </c>
      <c r="I713" s="17">
        <f t="shared" si="421"/>
        <v>0</v>
      </c>
      <c r="J713" s="17">
        <f t="shared" si="422"/>
        <v>0</v>
      </c>
      <c r="K713" s="17">
        <f t="shared" si="423"/>
        <v>0</v>
      </c>
      <c r="L713" s="17">
        <f t="shared" si="424"/>
        <v>0</v>
      </c>
      <c r="M713" s="17">
        <f t="shared" si="425"/>
        <v>0</v>
      </c>
      <c r="N713" s="17">
        <f t="shared" si="426"/>
        <v>0</v>
      </c>
      <c r="O713" s="17">
        <f t="shared" si="427"/>
        <v>0</v>
      </c>
      <c r="P713" s="17">
        <v>1000</v>
      </c>
      <c r="Q713" s="17">
        <f t="shared" si="428"/>
        <v>89.181565948742247</v>
      </c>
      <c r="R713" s="17">
        <f t="shared" si="429"/>
        <v>106.65277883445198</v>
      </c>
      <c r="S713" s="17">
        <f t="shared" si="430"/>
        <v>94.388490848547647</v>
      </c>
      <c r="T713" s="17">
        <f t="shared" si="431"/>
        <v>71.495649868550487</v>
      </c>
      <c r="U713" s="17">
        <f t="shared" si="432"/>
        <v>103.68571810536763</v>
      </c>
      <c r="V713" s="17">
        <f t="shared" si="433"/>
        <v>84.970330952544643</v>
      </c>
      <c r="W713" s="17">
        <f t="shared" si="434"/>
        <v>84.593878877262711</v>
      </c>
      <c r="X713" s="17">
        <f t="shared" si="435"/>
        <v>57.447105462779966</v>
      </c>
      <c r="Y713" s="17">
        <f t="shared" si="436"/>
        <v>85.153852345557468</v>
      </c>
      <c r="Z713" s="17">
        <f t="shared" si="437"/>
        <v>74.158058913035177</v>
      </c>
      <c r="AA713" s="17">
        <f t="shared" si="438"/>
        <v>75.718189192107175</v>
      </c>
      <c r="AB713" s="17">
        <f t="shared" si="439"/>
        <v>73.955559365675626</v>
      </c>
      <c r="AC713" s="17">
        <v>0</v>
      </c>
      <c r="AD713" s="17">
        <f t="shared" si="440"/>
        <v>0</v>
      </c>
      <c r="AE713" s="17">
        <f t="shared" si="441"/>
        <v>0</v>
      </c>
      <c r="AF713" s="17">
        <f t="shared" si="442"/>
        <v>0</v>
      </c>
      <c r="AG713" s="17">
        <f t="shared" si="443"/>
        <v>0</v>
      </c>
      <c r="AH713" s="17">
        <f t="shared" si="444"/>
        <v>0</v>
      </c>
      <c r="AI713" s="17">
        <f t="shared" si="445"/>
        <v>0</v>
      </c>
      <c r="AJ713" s="17">
        <f t="shared" si="446"/>
        <v>0</v>
      </c>
      <c r="AK713" s="17">
        <f t="shared" si="447"/>
        <v>0</v>
      </c>
      <c r="AL713" s="17">
        <f t="shared" si="448"/>
        <v>0</v>
      </c>
      <c r="AM713" s="17">
        <f t="shared" si="449"/>
        <v>0</v>
      </c>
      <c r="AN713" s="17">
        <f t="shared" si="450"/>
        <v>0</v>
      </c>
      <c r="AO713" s="17">
        <f t="shared" si="451"/>
        <v>0</v>
      </c>
      <c r="AP713" s="17">
        <f t="shared" si="452"/>
        <v>1000</v>
      </c>
      <c r="AQ713" s="18">
        <v>135.89264065354473</v>
      </c>
      <c r="AR713" s="18">
        <v>162.51483806846707</v>
      </c>
      <c r="AS713" s="18">
        <v>143.8268226427457</v>
      </c>
      <c r="AT713" s="18">
        <v>108.94328387845053</v>
      </c>
      <c r="AU713" s="18">
        <v>157.99370510600656</v>
      </c>
      <c r="AV713" s="18">
        <v>129.47566604721371</v>
      </c>
      <c r="AW713" s="18">
        <v>128.90203778620099</v>
      </c>
      <c r="AX713" s="18">
        <v>87.536463126547545</v>
      </c>
      <c r="AY713" s="18">
        <v>129.75531135785184</v>
      </c>
      <c r="AZ713" s="18">
        <v>113.00019622021019</v>
      </c>
      <c r="BA713" s="18">
        <v>115.3774837362031</v>
      </c>
      <c r="BB713" s="18">
        <v>112.69163247243237</v>
      </c>
      <c r="BC713" s="23">
        <v>8.9181565948742242E-2</v>
      </c>
      <c r="BD713" s="23">
        <v>0.10665277883445198</v>
      </c>
      <c r="BE713" s="23">
        <v>9.438849084854764E-2</v>
      </c>
      <c r="BF713" s="23">
        <v>7.149564986855049E-2</v>
      </c>
      <c r="BG713" s="23">
        <v>0.10368571810536763</v>
      </c>
      <c r="BH713" s="23">
        <v>8.4970330952544637E-2</v>
      </c>
      <c r="BI713" s="23">
        <v>8.4593878877262704E-2</v>
      </c>
      <c r="BJ713" s="23">
        <v>5.7447105462779965E-2</v>
      </c>
      <c r="BK713" s="23">
        <v>8.5153852345557474E-2</v>
      </c>
      <c r="BL713" s="23">
        <v>7.4158058913035174E-2</v>
      </c>
      <c r="BM713" s="23">
        <v>7.5718189192107169E-2</v>
      </c>
      <c r="BN713" s="23">
        <v>7.3955559365675619E-2</v>
      </c>
    </row>
    <row r="714" spans="1:66" x14ac:dyDescent="0.25">
      <c r="A714" s="16">
        <v>5081</v>
      </c>
      <c r="B714" s="16" t="s">
        <v>908</v>
      </c>
      <c r="C714" s="17">
        <v>0</v>
      </c>
      <c r="D714" s="17">
        <f t="shared" si="416"/>
        <v>0</v>
      </c>
      <c r="E714" s="17">
        <f t="shared" si="417"/>
        <v>0</v>
      </c>
      <c r="F714" s="17">
        <f t="shared" si="418"/>
        <v>0</v>
      </c>
      <c r="G714" s="17">
        <f t="shared" si="419"/>
        <v>0</v>
      </c>
      <c r="H714" s="17">
        <f t="shared" si="420"/>
        <v>0</v>
      </c>
      <c r="I714" s="17">
        <f t="shared" si="421"/>
        <v>0</v>
      </c>
      <c r="J714" s="17">
        <f t="shared" si="422"/>
        <v>0</v>
      </c>
      <c r="K714" s="17">
        <f t="shared" si="423"/>
        <v>0</v>
      </c>
      <c r="L714" s="17">
        <f t="shared" si="424"/>
        <v>0</v>
      </c>
      <c r="M714" s="17">
        <f t="shared" si="425"/>
        <v>0</v>
      </c>
      <c r="N714" s="17">
        <f t="shared" si="426"/>
        <v>0</v>
      </c>
      <c r="O714" s="17">
        <f t="shared" si="427"/>
        <v>0</v>
      </c>
      <c r="P714" s="17">
        <v>0</v>
      </c>
      <c r="Q714" s="17">
        <f t="shared" si="428"/>
        <v>0</v>
      </c>
      <c r="R714" s="17">
        <f t="shared" si="429"/>
        <v>0</v>
      </c>
      <c r="S714" s="17">
        <f t="shared" si="430"/>
        <v>0</v>
      </c>
      <c r="T714" s="17">
        <f t="shared" si="431"/>
        <v>0</v>
      </c>
      <c r="U714" s="17">
        <f t="shared" si="432"/>
        <v>0</v>
      </c>
      <c r="V714" s="17">
        <f t="shared" si="433"/>
        <v>0</v>
      </c>
      <c r="W714" s="17">
        <f t="shared" si="434"/>
        <v>0</v>
      </c>
      <c r="X714" s="17">
        <f t="shared" si="435"/>
        <v>0</v>
      </c>
      <c r="Y714" s="17">
        <f t="shared" si="436"/>
        <v>0</v>
      </c>
      <c r="Z714" s="17">
        <f t="shared" si="437"/>
        <v>0</v>
      </c>
      <c r="AA714" s="17">
        <f t="shared" si="438"/>
        <v>0</v>
      </c>
      <c r="AB714" s="17">
        <f t="shared" si="439"/>
        <v>0</v>
      </c>
      <c r="AC714" s="17">
        <v>0</v>
      </c>
      <c r="AD714" s="17">
        <f t="shared" si="440"/>
        <v>0</v>
      </c>
      <c r="AE714" s="17">
        <f t="shared" si="441"/>
        <v>0</v>
      </c>
      <c r="AF714" s="17">
        <f t="shared" si="442"/>
        <v>0</v>
      </c>
      <c r="AG714" s="17">
        <f t="shared" si="443"/>
        <v>0</v>
      </c>
      <c r="AH714" s="17">
        <f t="shared" si="444"/>
        <v>0</v>
      </c>
      <c r="AI714" s="17">
        <f t="shared" si="445"/>
        <v>0</v>
      </c>
      <c r="AJ714" s="17">
        <f t="shared" si="446"/>
        <v>0</v>
      </c>
      <c r="AK714" s="17">
        <f t="shared" si="447"/>
        <v>0</v>
      </c>
      <c r="AL714" s="17">
        <f t="shared" si="448"/>
        <v>0</v>
      </c>
      <c r="AM714" s="17">
        <f t="shared" si="449"/>
        <v>0</v>
      </c>
      <c r="AN714" s="17">
        <f t="shared" si="450"/>
        <v>0</v>
      </c>
      <c r="AO714" s="17">
        <f t="shared" si="451"/>
        <v>0</v>
      </c>
      <c r="AP714" s="17">
        <f t="shared" si="452"/>
        <v>0</v>
      </c>
      <c r="AQ714" s="18">
        <v>89.616058538044527</v>
      </c>
      <c r="AR714" s="18">
        <v>107.17239117293344</v>
      </c>
      <c r="AS714" s="18">
        <v>94.848351575961772</v>
      </c>
      <c r="AT714" s="18">
        <v>71.843976674710078</v>
      </c>
      <c r="AU714" s="18">
        <v>104.19087492397699</v>
      </c>
      <c r="AV714" s="18">
        <v>85.384306404945434</v>
      </c>
      <c r="AW714" s="18">
        <v>85.006020255152734</v>
      </c>
      <c r="AX714" s="18">
        <v>57.726987760594632</v>
      </c>
      <c r="AY714" s="18">
        <v>85.568721914185033</v>
      </c>
      <c r="AZ714" s="18">
        <v>74.519356976059484</v>
      </c>
      <c r="BA714" s="18">
        <v>76.087088209851117</v>
      </c>
      <c r="BB714" s="18">
        <v>74.315870850905199</v>
      </c>
      <c r="BC714" s="23">
        <v>8.9181565948742242E-2</v>
      </c>
      <c r="BD714" s="23">
        <v>0.10665277883445198</v>
      </c>
      <c r="BE714" s="23">
        <v>9.438849084854764E-2</v>
      </c>
      <c r="BF714" s="23">
        <v>7.149564986855049E-2</v>
      </c>
      <c r="BG714" s="23">
        <v>0.10368571810536763</v>
      </c>
      <c r="BH714" s="23">
        <v>8.4970330952544637E-2</v>
      </c>
      <c r="BI714" s="23">
        <v>8.4593878877262704E-2</v>
      </c>
      <c r="BJ714" s="23">
        <v>5.7447105462779965E-2</v>
      </c>
      <c r="BK714" s="23">
        <v>8.5153852345557474E-2</v>
      </c>
      <c r="BL714" s="23">
        <v>7.4158058913035174E-2</v>
      </c>
      <c r="BM714" s="23">
        <v>7.5718189192107169E-2</v>
      </c>
      <c r="BN714" s="23">
        <v>7.3955559365675619E-2</v>
      </c>
    </row>
    <row r="715" spans="1:66" x14ac:dyDescent="0.25">
      <c r="A715" s="16">
        <v>5085</v>
      </c>
      <c r="B715" s="16" t="s">
        <v>909</v>
      </c>
      <c r="C715" s="17">
        <v>0</v>
      </c>
      <c r="D715" s="17">
        <f t="shared" si="416"/>
        <v>0</v>
      </c>
      <c r="E715" s="17">
        <f t="shared" si="417"/>
        <v>0</v>
      </c>
      <c r="F715" s="17">
        <f t="shared" si="418"/>
        <v>0</v>
      </c>
      <c r="G715" s="17">
        <f t="shared" si="419"/>
        <v>0</v>
      </c>
      <c r="H715" s="17">
        <f t="shared" si="420"/>
        <v>0</v>
      </c>
      <c r="I715" s="17">
        <f t="shared" si="421"/>
        <v>0</v>
      </c>
      <c r="J715" s="17">
        <f t="shared" si="422"/>
        <v>0</v>
      </c>
      <c r="K715" s="17">
        <f t="shared" si="423"/>
        <v>0</v>
      </c>
      <c r="L715" s="17">
        <f t="shared" si="424"/>
        <v>0</v>
      </c>
      <c r="M715" s="17">
        <f t="shared" si="425"/>
        <v>0</v>
      </c>
      <c r="N715" s="17">
        <f t="shared" si="426"/>
        <v>0</v>
      </c>
      <c r="O715" s="17">
        <f t="shared" si="427"/>
        <v>0</v>
      </c>
      <c r="P715" s="17">
        <v>0</v>
      </c>
      <c r="Q715" s="17">
        <f t="shared" si="428"/>
        <v>0</v>
      </c>
      <c r="R715" s="17">
        <f t="shared" si="429"/>
        <v>0</v>
      </c>
      <c r="S715" s="17">
        <f t="shared" si="430"/>
        <v>0</v>
      </c>
      <c r="T715" s="17">
        <f t="shared" si="431"/>
        <v>0</v>
      </c>
      <c r="U715" s="17">
        <f t="shared" si="432"/>
        <v>0</v>
      </c>
      <c r="V715" s="17">
        <f t="shared" si="433"/>
        <v>0</v>
      </c>
      <c r="W715" s="17">
        <f t="shared" si="434"/>
        <v>0</v>
      </c>
      <c r="X715" s="17">
        <f t="shared" si="435"/>
        <v>0</v>
      </c>
      <c r="Y715" s="17">
        <f t="shared" si="436"/>
        <v>0</v>
      </c>
      <c r="Z715" s="17">
        <f t="shared" si="437"/>
        <v>0</v>
      </c>
      <c r="AA715" s="17">
        <f t="shared" si="438"/>
        <v>0</v>
      </c>
      <c r="AB715" s="17">
        <f t="shared" si="439"/>
        <v>0</v>
      </c>
      <c r="AC715" s="17">
        <v>0</v>
      </c>
      <c r="AD715" s="17">
        <f t="shared" si="440"/>
        <v>0</v>
      </c>
      <c r="AE715" s="17">
        <f t="shared" si="441"/>
        <v>0</v>
      </c>
      <c r="AF715" s="17">
        <f t="shared" si="442"/>
        <v>0</v>
      </c>
      <c r="AG715" s="17">
        <f t="shared" si="443"/>
        <v>0</v>
      </c>
      <c r="AH715" s="17">
        <f t="shared" si="444"/>
        <v>0</v>
      </c>
      <c r="AI715" s="17">
        <f t="shared" si="445"/>
        <v>0</v>
      </c>
      <c r="AJ715" s="17">
        <f t="shared" si="446"/>
        <v>0</v>
      </c>
      <c r="AK715" s="17">
        <f t="shared" si="447"/>
        <v>0</v>
      </c>
      <c r="AL715" s="17">
        <f t="shared" si="448"/>
        <v>0</v>
      </c>
      <c r="AM715" s="17">
        <f t="shared" si="449"/>
        <v>0</v>
      </c>
      <c r="AN715" s="17">
        <f t="shared" si="450"/>
        <v>0</v>
      </c>
      <c r="AO715" s="17">
        <f t="shared" si="451"/>
        <v>0</v>
      </c>
      <c r="AP715" s="17">
        <f t="shared" si="452"/>
        <v>0</v>
      </c>
      <c r="AQ715" s="18">
        <v>0</v>
      </c>
      <c r="AR715" s="18">
        <v>0</v>
      </c>
      <c r="AS715" s="18">
        <v>0</v>
      </c>
      <c r="AT715" s="18">
        <v>0</v>
      </c>
      <c r="AU715" s="18">
        <v>0</v>
      </c>
      <c r="AV715" s="18">
        <v>0</v>
      </c>
      <c r="AW715" s="18">
        <v>0</v>
      </c>
      <c r="AX715" s="18">
        <v>0</v>
      </c>
      <c r="AY715" s="18">
        <v>0</v>
      </c>
      <c r="AZ715" s="18">
        <v>0</v>
      </c>
      <c r="BA715" s="18">
        <v>0</v>
      </c>
      <c r="BB715" s="18">
        <v>0</v>
      </c>
      <c r="BC715" s="23">
        <v>8.9181565948742242E-2</v>
      </c>
      <c r="BD715" s="23">
        <v>0.10665277883445198</v>
      </c>
      <c r="BE715" s="23">
        <v>9.438849084854764E-2</v>
      </c>
      <c r="BF715" s="23">
        <v>7.149564986855049E-2</v>
      </c>
      <c r="BG715" s="23">
        <v>0.10368571810536763</v>
      </c>
      <c r="BH715" s="23">
        <v>8.4970330952544637E-2</v>
      </c>
      <c r="BI715" s="23">
        <v>8.4593878877262704E-2</v>
      </c>
      <c r="BJ715" s="23">
        <v>5.7447105462779965E-2</v>
      </c>
      <c r="BK715" s="23">
        <v>8.5153852345557474E-2</v>
      </c>
      <c r="BL715" s="23">
        <v>7.4158058913035174E-2</v>
      </c>
      <c r="BM715" s="23">
        <v>7.5718189192107169E-2</v>
      </c>
      <c r="BN715" s="23">
        <v>7.3955559365675619E-2</v>
      </c>
    </row>
    <row r="716" spans="1:66" x14ac:dyDescent="0.25">
      <c r="A716" s="16">
        <v>5096</v>
      </c>
      <c r="B716" s="16" t="s">
        <v>910</v>
      </c>
      <c r="C716" s="17">
        <v>0</v>
      </c>
      <c r="D716" s="17">
        <f t="shared" si="416"/>
        <v>0</v>
      </c>
      <c r="E716" s="17">
        <f t="shared" si="417"/>
        <v>0</v>
      </c>
      <c r="F716" s="17">
        <f t="shared" si="418"/>
        <v>0</v>
      </c>
      <c r="G716" s="17">
        <f t="shared" si="419"/>
        <v>0</v>
      </c>
      <c r="H716" s="17">
        <f t="shared" si="420"/>
        <v>0</v>
      </c>
      <c r="I716" s="17">
        <f t="shared" si="421"/>
        <v>0</v>
      </c>
      <c r="J716" s="17">
        <f t="shared" si="422"/>
        <v>0</v>
      </c>
      <c r="K716" s="17">
        <f t="shared" si="423"/>
        <v>0</v>
      </c>
      <c r="L716" s="17">
        <f t="shared" si="424"/>
        <v>0</v>
      </c>
      <c r="M716" s="17">
        <f t="shared" si="425"/>
        <v>0</v>
      </c>
      <c r="N716" s="17">
        <f t="shared" si="426"/>
        <v>0</v>
      </c>
      <c r="O716" s="17">
        <f t="shared" si="427"/>
        <v>0</v>
      </c>
      <c r="P716" s="17">
        <v>0</v>
      </c>
      <c r="Q716" s="17">
        <f t="shared" si="428"/>
        <v>0</v>
      </c>
      <c r="R716" s="17">
        <f t="shared" si="429"/>
        <v>0</v>
      </c>
      <c r="S716" s="17">
        <f t="shared" si="430"/>
        <v>0</v>
      </c>
      <c r="T716" s="17">
        <f t="shared" si="431"/>
        <v>0</v>
      </c>
      <c r="U716" s="17">
        <f t="shared" si="432"/>
        <v>0</v>
      </c>
      <c r="V716" s="17">
        <f t="shared" si="433"/>
        <v>0</v>
      </c>
      <c r="W716" s="17">
        <f t="shared" si="434"/>
        <v>0</v>
      </c>
      <c r="X716" s="17">
        <f t="shared" si="435"/>
        <v>0</v>
      </c>
      <c r="Y716" s="17">
        <f t="shared" si="436"/>
        <v>0</v>
      </c>
      <c r="Z716" s="17">
        <f t="shared" si="437"/>
        <v>0</v>
      </c>
      <c r="AA716" s="17">
        <f t="shared" si="438"/>
        <v>0</v>
      </c>
      <c r="AB716" s="17">
        <f t="shared" si="439"/>
        <v>0</v>
      </c>
      <c r="AC716" s="17">
        <v>0</v>
      </c>
      <c r="AD716" s="17">
        <f t="shared" si="440"/>
        <v>0</v>
      </c>
      <c r="AE716" s="17">
        <f t="shared" si="441"/>
        <v>0</v>
      </c>
      <c r="AF716" s="17">
        <f t="shared" si="442"/>
        <v>0</v>
      </c>
      <c r="AG716" s="17">
        <f t="shared" si="443"/>
        <v>0</v>
      </c>
      <c r="AH716" s="17">
        <f t="shared" si="444"/>
        <v>0</v>
      </c>
      <c r="AI716" s="17">
        <f t="shared" si="445"/>
        <v>0</v>
      </c>
      <c r="AJ716" s="17">
        <f t="shared" si="446"/>
        <v>0</v>
      </c>
      <c r="AK716" s="17">
        <f t="shared" si="447"/>
        <v>0</v>
      </c>
      <c r="AL716" s="17">
        <f t="shared" si="448"/>
        <v>0</v>
      </c>
      <c r="AM716" s="17">
        <f t="shared" si="449"/>
        <v>0</v>
      </c>
      <c r="AN716" s="17">
        <f t="shared" si="450"/>
        <v>0</v>
      </c>
      <c r="AO716" s="17">
        <f t="shared" si="451"/>
        <v>0</v>
      </c>
      <c r="AP716" s="17">
        <f t="shared" si="452"/>
        <v>0</v>
      </c>
      <c r="AQ716" s="18">
        <v>47.578365433653985</v>
      </c>
      <c r="AR716" s="18">
        <v>56.899257508180135</v>
      </c>
      <c r="AS716" s="18">
        <v>50.356259867700167</v>
      </c>
      <c r="AT716" s="18">
        <v>38.142929204871685</v>
      </c>
      <c r="AU716" s="18">
        <v>55.31633060921363</v>
      </c>
      <c r="AV716" s="18">
        <v>45.331671563182567</v>
      </c>
      <c r="AW716" s="18">
        <v>45.130834381019653</v>
      </c>
      <c r="AX716" s="18">
        <v>30.648030764393113</v>
      </c>
      <c r="AY716" s="18">
        <v>45.429580226354915</v>
      </c>
      <c r="AZ716" s="18">
        <v>39.563324430104267</v>
      </c>
      <c r="BA716" s="18">
        <v>40.395653933989173</v>
      </c>
      <c r="BB716" s="18">
        <v>39.455290921587945</v>
      </c>
      <c r="BC716" s="23">
        <v>8.9181565948742242E-2</v>
      </c>
      <c r="BD716" s="23">
        <v>0.10665277883445198</v>
      </c>
      <c r="BE716" s="23">
        <v>9.438849084854764E-2</v>
      </c>
      <c r="BF716" s="23">
        <v>7.149564986855049E-2</v>
      </c>
      <c r="BG716" s="23">
        <v>0.10368571810536763</v>
      </c>
      <c r="BH716" s="23">
        <v>8.4970330952544637E-2</v>
      </c>
      <c r="BI716" s="23">
        <v>8.4593878877262704E-2</v>
      </c>
      <c r="BJ716" s="23">
        <v>5.7447105462779965E-2</v>
      </c>
      <c r="BK716" s="23">
        <v>8.5153852345557474E-2</v>
      </c>
      <c r="BL716" s="23">
        <v>7.4158058913035174E-2</v>
      </c>
      <c r="BM716" s="23">
        <v>7.5718189192107169E-2</v>
      </c>
      <c r="BN716" s="23">
        <v>7.3955559365675619E-2</v>
      </c>
    </row>
    <row r="717" spans="1:66" x14ac:dyDescent="0.25">
      <c r="A717" s="16">
        <v>5109</v>
      </c>
      <c r="B717" s="16" t="s">
        <v>911</v>
      </c>
      <c r="C717" s="17">
        <v>0</v>
      </c>
      <c r="D717" s="17">
        <f t="shared" si="416"/>
        <v>0</v>
      </c>
      <c r="E717" s="17">
        <f t="shared" si="417"/>
        <v>0</v>
      </c>
      <c r="F717" s="17">
        <f t="shared" si="418"/>
        <v>0</v>
      </c>
      <c r="G717" s="17">
        <f t="shared" si="419"/>
        <v>0</v>
      </c>
      <c r="H717" s="17">
        <f t="shared" si="420"/>
        <v>0</v>
      </c>
      <c r="I717" s="17">
        <f t="shared" si="421"/>
        <v>0</v>
      </c>
      <c r="J717" s="17">
        <f t="shared" si="422"/>
        <v>0</v>
      </c>
      <c r="K717" s="17">
        <f t="shared" si="423"/>
        <v>0</v>
      </c>
      <c r="L717" s="17">
        <f t="shared" si="424"/>
        <v>0</v>
      </c>
      <c r="M717" s="17">
        <f t="shared" si="425"/>
        <v>0</v>
      </c>
      <c r="N717" s="17">
        <f t="shared" si="426"/>
        <v>0</v>
      </c>
      <c r="O717" s="17">
        <f t="shared" si="427"/>
        <v>0</v>
      </c>
      <c r="P717" s="17">
        <v>0</v>
      </c>
      <c r="Q717" s="17">
        <f t="shared" si="428"/>
        <v>0</v>
      </c>
      <c r="R717" s="17">
        <f t="shared" si="429"/>
        <v>0</v>
      </c>
      <c r="S717" s="17">
        <f t="shared" si="430"/>
        <v>0</v>
      </c>
      <c r="T717" s="17">
        <f t="shared" si="431"/>
        <v>0</v>
      </c>
      <c r="U717" s="17">
        <f t="shared" si="432"/>
        <v>0</v>
      </c>
      <c r="V717" s="17">
        <f t="shared" si="433"/>
        <v>0</v>
      </c>
      <c r="W717" s="17">
        <f t="shared" si="434"/>
        <v>0</v>
      </c>
      <c r="X717" s="17">
        <f t="shared" si="435"/>
        <v>0</v>
      </c>
      <c r="Y717" s="17">
        <f t="shared" si="436"/>
        <v>0</v>
      </c>
      <c r="Z717" s="17">
        <f t="shared" si="437"/>
        <v>0</v>
      </c>
      <c r="AA717" s="17">
        <f t="shared" si="438"/>
        <v>0</v>
      </c>
      <c r="AB717" s="17">
        <f t="shared" si="439"/>
        <v>0</v>
      </c>
      <c r="AC717" s="17">
        <v>0</v>
      </c>
      <c r="AD717" s="17">
        <f t="shared" si="440"/>
        <v>0</v>
      </c>
      <c r="AE717" s="17">
        <f t="shared" si="441"/>
        <v>0</v>
      </c>
      <c r="AF717" s="17">
        <f t="shared" si="442"/>
        <v>0</v>
      </c>
      <c r="AG717" s="17">
        <f t="shared" si="443"/>
        <v>0</v>
      </c>
      <c r="AH717" s="17">
        <f t="shared" si="444"/>
        <v>0</v>
      </c>
      <c r="AI717" s="17">
        <f t="shared" si="445"/>
        <v>0</v>
      </c>
      <c r="AJ717" s="17">
        <f t="shared" si="446"/>
        <v>0</v>
      </c>
      <c r="AK717" s="17">
        <f t="shared" si="447"/>
        <v>0</v>
      </c>
      <c r="AL717" s="17">
        <f t="shared" si="448"/>
        <v>0</v>
      </c>
      <c r="AM717" s="17">
        <f t="shared" si="449"/>
        <v>0</v>
      </c>
      <c r="AN717" s="17">
        <f t="shared" si="450"/>
        <v>0</v>
      </c>
      <c r="AO717" s="17">
        <f t="shared" si="451"/>
        <v>0</v>
      </c>
      <c r="AP717" s="17">
        <f t="shared" si="452"/>
        <v>0</v>
      </c>
      <c r="AQ717" s="18">
        <v>0</v>
      </c>
      <c r="AR717" s="18">
        <v>0</v>
      </c>
      <c r="AS717" s="18">
        <v>0</v>
      </c>
      <c r="AT717" s="18">
        <v>0</v>
      </c>
      <c r="AU717" s="18">
        <v>0</v>
      </c>
      <c r="AV717" s="18">
        <v>0</v>
      </c>
      <c r="AW717" s="18">
        <v>0</v>
      </c>
      <c r="AX717" s="18">
        <v>0</v>
      </c>
      <c r="AY717" s="18">
        <v>0</v>
      </c>
      <c r="AZ717" s="18">
        <v>0</v>
      </c>
      <c r="BA717" s="18">
        <v>0</v>
      </c>
      <c r="BB717" s="18">
        <v>0</v>
      </c>
      <c r="BC717" s="23">
        <v>8.9181565948742242E-2</v>
      </c>
      <c r="BD717" s="23">
        <v>0.10665277883445198</v>
      </c>
      <c r="BE717" s="23">
        <v>9.438849084854764E-2</v>
      </c>
      <c r="BF717" s="23">
        <v>7.149564986855049E-2</v>
      </c>
      <c r="BG717" s="23">
        <v>0.10368571810536763</v>
      </c>
      <c r="BH717" s="23">
        <v>8.4970330952544637E-2</v>
      </c>
      <c r="BI717" s="23">
        <v>8.4593878877262704E-2</v>
      </c>
      <c r="BJ717" s="23">
        <v>5.7447105462779965E-2</v>
      </c>
      <c r="BK717" s="23">
        <v>8.5153852345557474E-2</v>
      </c>
      <c r="BL717" s="23">
        <v>7.4158058913035174E-2</v>
      </c>
      <c r="BM717" s="23">
        <v>7.5718189192107169E-2</v>
      </c>
      <c r="BN717" s="23">
        <v>7.3955559365675619E-2</v>
      </c>
    </row>
    <row r="718" spans="1:66" x14ac:dyDescent="0.25">
      <c r="A718" s="16">
        <v>5131</v>
      </c>
      <c r="B718" s="16" t="s">
        <v>912</v>
      </c>
      <c r="C718" s="17">
        <v>0</v>
      </c>
      <c r="D718" s="17">
        <f t="shared" si="416"/>
        <v>0</v>
      </c>
      <c r="E718" s="17">
        <f t="shared" si="417"/>
        <v>0</v>
      </c>
      <c r="F718" s="17">
        <f t="shared" si="418"/>
        <v>0</v>
      </c>
      <c r="G718" s="17">
        <f t="shared" si="419"/>
        <v>0</v>
      </c>
      <c r="H718" s="17">
        <f t="shared" si="420"/>
        <v>0</v>
      </c>
      <c r="I718" s="17">
        <f t="shared" si="421"/>
        <v>0</v>
      </c>
      <c r="J718" s="17">
        <f t="shared" si="422"/>
        <v>0</v>
      </c>
      <c r="K718" s="17">
        <f t="shared" si="423"/>
        <v>0</v>
      </c>
      <c r="L718" s="17">
        <f t="shared" si="424"/>
        <v>0</v>
      </c>
      <c r="M718" s="17">
        <f t="shared" si="425"/>
        <v>0</v>
      </c>
      <c r="N718" s="17">
        <f t="shared" si="426"/>
        <v>0</v>
      </c>
      <c r="O718" s="17">
        <f t="shared" si="427"/>
        <v>0</v>
      </c>
      <c r="P718" s="17">
        <v>0</v>
      </c>
      <c r="Q718" s="17">
        <f t="shared" si="428"/>
        <v>0</v>
      </c>
      <c r="R718" s="17">
        <f t="shared" si="429"/>
        <v>0</v>
      </c>
      <c r="S718" s="17">
        <f t="shared" si="430"/>
        <v>0</v>
      </c>
      <c r="T718" s="17">
        <f t="shared" si="431"/>
        <v>0</v>
      </c>
      <c r="U718" s="17">
        <f t="shared" si="432"/>
        <v>0</v>
      </c>
      <c r="V718" s="17">
        <f t="shared" si="433"/>
        <v>0</v>
      </c>
      <c r="W718" s="17">
        <f t="shared" si="434"/>
        <v>0</v>
      </c>
      <c r="X718" s="17">
        <f t="shared" si="435"/>
        <v>0</v>
      </c>
      <c r="Y718" s="17">
        <f t="shared" si="436"/>
        <v>0</v>
      </c>
      <c r="Z718" s="17">
        <f t="shared" si="437"/>
        <v>0</v>
      </c>
      <c r="AA718" s="17">
        <f t="shared" si="438"/>
        <v>0</v>
      </c>
      <c r="AB718" s="17">
        <f t="shared" si="439"/>
        <v>0</v>
      </c>
      <c r="AC718" s="17">
        <v>0</v>
      </c>
      <c r="AD718" s="17">
        <f t="shared" si="440"/>
        <v>0</v>
      </c>
      <c r="AE718" s="17">
        <f t="shared" si="441"/>
        <v>0</v>
      </c>
      <c r="AF718" s="17">
        <f t="shared" si="442"/>
        <v>0</v>
      </c>
      <c r="AG718" s="17">
        <f t="shared" si="443"/>
        <v>0</v>
      </c>
      <c r="AH718" s="17">
        <f t="shared" si="444"/>
        <v>0</v>
      </c>
      <c r="AI718" s="17">
        <f t="shared" si="445"/>
        <v>0</v>
      </c>
      <c r="AJ718" s="17">
        <f t="shared" si="446"/>
        <v>0</v>
      </c>
      <c r="AK718" s="17">
        <f t="shared" si="447"/>
        <v>0</v>
      </c>
      <c r="AL718" s="17">
        <f t="shared" si="448"/>
        <v>0</v>
      </c>
      <c r="AM718" s="17">
        <f t="shared" si="449"/>
        <v>0</v>
      </c>
      <c r="AN718" s="17">
        <f t="shared" si="450"/>
        <v>0</v>
      </c>
      <c r="AO718" s="17">
        <f t="shared" si="451"/>
        <v>0</v>
      </c>
      <c r="AP718" s="17">
        <f t="shared" si="452"/>
        <v>0</v>
      </c>
      <c r="AQ718" s="18">
        <v>18.835146728374362</v>
      </c>
      <c r="AR718" s="18">
        <v>22.52506688983626</v>
      </c>
      <c r="AS718" s="18">
        <v>19.934849267213263</v>
      </c>
      <c r="AT718" s="18">
        <v>15.099881252237864</v>
      </c>
      <c r="AU718" s="18">
        <v>21.898423663853645</v>
      </c>
      <c r="AV718" s="18">
        <v>17.94573389717743</v>
      </c>
      <c r="AW718" s="18">
        <v>17.866227218877885</v>
      </c>
      <c r="AX718" s="18">
        <v>12.13282867373913</v>
      </c>
      <c r="AY718" s="18">
        <v>17.984493615381741</v>
      </c>
      <c r="AZ718" s="18">
        <v>15.662182042433031</v>
      </c>
      <c r="BA718" s="18">
        <v>15.991681557373035</v>
      </c>
      <c r="BB718" s="18">
        <v>15.619414138030692</v>
      </c>
      <c r="BC718" s="23">
        <v>8.9181565948742242E-2</v>
      </c>
      <c r="BD718" s="23">
        <v>0.10665277883445198</v>
      </c>
      <c r="BE718" s="23">
        <v>9.438849084854764E-2</v>
      </c>
      <c r="BF718" s="23">
        <v>7.149564986855049E-2</v>
      </c>
      <c r="BG718" s="23">
        <v>0.10368571810536763</v>
      </c>
      <c r="BH718" s="23">
        <v>8.4970330952544637E-2</v>
      </c>
      <c r="BI718" s="23">
        <v>8.4593878877262704E-2</v>
      </c>
      <c r="BJ718" s="23">
        <v>5.7447105462779965E-2</v>
      </c>
      <c r="BK718" s="23">
        <v>8.5153852345557474E-2</v>
      </c>
      <c r="BL718" s="23">
        <v>7.4158058913035174E-2</v>
      </c>
      <c r="BM718" s="23">
        <v>7.5718189192107169E-2</v>
      </c>
      <c r="BN718" s="23">
        <v>7.3955559365675619E-2</v>
      </c>
    </row>
    <row r="719" spans="1:66" x14ac:dyDescent="0.25">
      <c r="A719" s="16">
        <v>5137</v>
      </c>
      <c r="B719" s="16" t="s">
        <v>913</v>
      </c>
      <c r="C719" s="17">
        <v>0</v>
      </c>
      <c r="D719" s="17">
        <f t="shared" si="416"/>
        <v>0</v>
      </c>
      <c r="E719" s="17">
        <f t="shared" si="417"/>
        <v>0</v>
      </c>
      <c r="F719" s="17">
        <f t="shared" si="418"/>
        <v>0</v>
      </c>
      <c r="G719" s="17">
        <f t="shared" si="419"/>
        <v>0</v>
      </c>
      <c r="H719" s="17">
        <f t="shared" si="420"/>
        <v>0</v>
      </c>
      <c r="I719" s="17">
        <f t="shared" si="421"/>
        <v>0</v>
      </c>
      <c r="J719" s="17">
        <f t="shared" si="422"/>
        <v>0</v>
      </c>
      <c r="K719" s="17">
        <f t="shared" si="423"/>
        <v>0</v>
      </c>
      <c r="L719" s="17">
        <f t="shared" si="424"/>
        <v>0</v>
      </c>
      <c r="M719" s="17">
        <f t="shared" si="425"/>
        <v>0</v>
      </c>
      <c r="N719" s="17">
        <f t="shared" si="426"/>
        <v>0</v>
      </c>
      <c r="O719" s="17">
        <f t="shared" si="427"/>
        <v>0</v>
      </c>
      <c r="P719" s="17">
        <v>0</v>
      </c>
      <c r="Q719" s="17">
        <f t="shared" si="428"/>
        <v>0</v>
      </c>
      <c r="R719" s="17">
        <f t="shared" si="429"/>
        <v>0</v>
      </c>
      <c r="S719" s="17">
        <f t="shared" si="430"/>
        <v>0</v>
      </c>
      <c r="T719" s="17">
        <f t="shared" si="431"/>
        <v>0</v>
      </c>
      <c r="U719" s="17">
        <f t="shared" si="432"/>
        <v>0</v>
      </c>
      <c r="V719" s="17">
        <f t="shared" si="433"/>
        <v>0</v>
      </c>
      <c r="W719" s="17">
        <f t="shared" si="434"/>
        <v>0</v>
      </c>
      <c r="X719" s="17">
        <f t="shared" si="435"/>
        <v>0</v>
      </c>
      <c r="Y719" s="17">
        <f t="shared" si="436"/>
        <v>0</v>
      </c>
      <c r="Z719" s="17">
        <f t="shared" si="437"/>
        <v>0</v>
      </c>
      <c r="AA719" s="17">
        <f t="shared" si="438"/>
        <v>0</v>
      </c>
      <c r="AB719" s="17">
        <f t="shared" si="439"/>
        <v>0</v>
      </c>
      <c r="AC719" s="17">
        <v>0</v>
      </c>
      <c r="AD719" s="17">
        <f t="shared" si="440"/>
        <v>0</v>
      </c>
      <c r="AE719" s="17">
        <f t="shared" si="441"/>
        <v>0</v>
      </c>
      <c r="AF719" s="17">
        <f t="shared" si="442"/>
        <v>0</v>
      </c>
      <c r="AG719" s="17">
        <f t="shared" si="443"/>
        <v>0</v>
      </c>
      <c r="AH719" s="17">
        <f t="shared" si="444"/>
        <v>0</v>
      </c>
      <c r="AI719" s="17">
        <f t="shared" si="445"/>
        <v>0</v>
      </c>
      <c r="AJ719" s="17">
        <f t="shared" si="446"/>
        <v>0</v>
      </c>
      <c r="AK719" s="17">
        <f t="shared" si="447"/>
        <v>0</v>
      </c>
      <c r="AL719" s="17">
        <f t="shared" si="448"/>
        <v>0</v>
      </c>
      <c r="AM719" s="17">
        <f t="shared" si="449"/>
        <v>0</v>
      </c>
      <c r="AN719" s="17">
        <f t="shared" si="450"/>
        <v>0</v>
      </c>
      <c r="AO719" s="17">
        <f t="shared" si="451"/>
        <v>0</v>
      </c>
      <c r="AP719" s="17">
        <f t="shared" si="452"/>
        <v>0</v>
      </c>
      <c r="AQ719" s="18">
        <v>60.949357616348905</v>
      </c>
      <c r="AR719" s="18">
        <v>72.889708638829518</v>
      </c>
      <c r="AS719" s="18">
        <v>64.507926300622913</v>
      </c>
      <c r="AT719" s="18">
        <v>48.862271989663455</v>
      </c>
      <c r="AU719" s="18">
        <v>70.861930324751398</v>
      </c>
      <c r="AV719" s="18">
        <v>58.071273282897579</v>
      </c>
      <c r="AW719" s="18">
        <v>57.813994641087646</v>
      </c>
      <c r="AX719" s="18">
        <v>39.261075286427712</v>
      </c>
      <c r="AY719" s="18">
        <v>58.196697308524342</v>
      </c>
      <c r="AZ719" s="18">
        <v>50.681842202935627</v>
      </c>
      <c r="BA719" s="18">
        <v>51.748082039561801</v>
      </c>
      <c r="BB719" s="18">
        <v>50.543447937283688</v>
      </c>
      <c r="BC719" s="23">
        <v>8.9181565948742242E-2</v>
      </c>
      <c r="BD719" s="23">
        <v>0.10665277883445198</v>
      </c>
      <c r="BE719" s="23">
        <v>9.438849084854764E-2</v>
      </c>
      <c r="BF719" s="23">
        <v>7.149564986855049E-2</v>
      </c>
      <c r="BG719" s="23">
        <v>0.10368571810536763</v>
      </c>
      <c r="BH719" s="23">
        <v>8.4970330952544637E-2</v>
      </c>
      <c r="BI719" s="23">
        <v>8.4593878877262704E-2</v>
      </c>
      <c r="BJ719" s="23">
        <v>5.7447105462779965E-2</v>
      </c>
      <c r="BK719" s="23">
        <v>8.5153852345557474E-2</v>
      </c>
      <c r="BL719" s="23">
        <v>7.4158058913035174E-2</v>
      </c>
      <c r="BM719" s="23">
        <v>7.5718189192107169E-2</v>
      </c>
      <c r="BN719" s="23">
        <v>7.3955559365675619E-2</v>
      </c>
    </row>
    <row r="720" spans="1:66" x14ac:dyDescent="0.25">
      <c r="A720" s="16">
        <v>5141</v>
      </c>
      <c r="B720" s="16" t="s">
        <v>914</v>
      </c>
      <c r="C720" s="17">
        <v>0</v>
      </c>
      <c r="D720" s="17">
        <f t="shared" si="416"/>
        <v>0</v>
      </c>
      <c r="E720" s="17">
        <f t="shared" si="417"/>
        <v>0</v>
      </c>
      <c r="F720" s="17">
        <f t="shared" si="418"/>
        <v>0</v>
      </c>
      <c r="G720" s="17">
        <f t="shared" si="419"/>
        <v>0</v>
      </c>
      <c r="H720" s="17">
        <f t="shared" si="420"/>
        <v>0</v>
      </c>
      <c r="I720" s="17">
        <f t="shared" si="421"/>
        <v>0</v>
      </c>
      <c r="J720" s="17">
        <f t="shared" si="422"/>
        <v>0</v>
      </c>
      <c r="K720" s="17">
        <f t="shared" si="423"/>
        <v>0</v>
      </c>
      <c r="L720" s="17">
        <f t="shared" si="424"/>
        <v>0</v>
      </c>
      <c r="M720" s="17">
        <f t="shared" si="425"/>
        <v>0</v>
      </c>
      <c r="N720" s="17">
        <f t="shared" si="426"/>
        <v>0</v>
      </c>
      <c r="O720" s="17">
        <f t="shared" si="427"/>
        <v>0</v>
      </c>
      <c r="P720" s="17">
        <v>0</v>
      </c>
      <c r="Q720" s="17">
        <f t="shared" si="428"/>
        <v>0</v>
      </c>
      <c r="R720" s="17">
        <f t="shared" si="429"/>
        <v>0</v>
      </c>
      <c r="S720" s="17">
        <f t="shared" si="430"/>
        <v>0</v>
      </c>
      <c r="T720" s="17">
        <f t="shared" si="431"/>
        <v>0</v>
      </c>
      <c r="U720" s="17">
        <f t="shared" si="432"/>
        <v>0</v>
      </c>
      <c r="V720" s="17">
        <f t="shared" si="433"/>
        <v>0</v>
      </c>
      <c r="W720" s="17">
        <f t="shared" si="434"/>
        <v>0</v>
      </c>
      <c r="X720" s="17">
        <f t="shared" si="435"/>
        <v>0</v>
      </c>
      <c r="Y720" s="17">
        <f t="shared" si="436"/>
        <v>0</v>
      </c>
      <c r="Z720" s="17">
        <f t="shared" si="437"/>
        <v>0</v>
      </c>
      <c r="AA720" s="17">
        <f t="shared" si="438"/>
        <v>0</v>
      </c>
      <c r="AB720" s="17">
        <f t="shared" si="439"/>
        <v>0</v>
      </c>
      <c r="AC720" s="17">
        <v>0</v>
      </c>
      <c r="AD720" s="17">
        <f t="shared" si="440"/>
        <v>0</v>
      </c>
      <c r="AE720" s="17">
        <f t="shared" si="441"/>
        <v>0</v>
      </c>
      <c r="AF720" s="17">
        <f t="shared" si="442"/>
        <v>0</v>
      </c>
      <c r="AG720" s="17">
        <f t="shared" si="443"/>
        <v>0</v>
      </c>
      <c r="AH720" s="17">
        <f t="shared" si="444"/>
        <v>0</v>
      </c>
      <c r="AI720" s="17">
        <f t="shared" si="445"/>
        <v>0</v>
      </c>
      <c r="AJ720" s="17">
        <f t="shared" si="446"/>
        <v>0</v>
      </c>
      <c r="AK720" s="17">
        <f t="shared" si="447"/>
        <v>0</v>
      </c>
      <c r="AL720" s="17">
        <f t="shared" si="448"/>
        <v>0</v>
      </c>
      <c r="AM720" s="17">
        <f t="shared" si="449"/>
        <v>0</v>
      </c>
      <c r="AN720" s="17">
        <f t="shared" si="450"/>
        <v>0</v>
      </c>
      <c r="AO720" s="17">
        <f t="shared" si="451"/>
        <v>0</v>
      </c>
      <c r="AP720" s="17">
        <f t="shared" si="452"/>
        <v>0</v>
      </c>
      <c r="AQ720" s="18">
        <v>7.0631800231403856</v>
      </c>
      <c r="AR720" s="18">
        <v>8.4469000836885968</v>
      </c>
      <c r="AS720" s="18">
        <v>7.4755684752049731</v>
      </c>
      <c r="AT720" s="18">
        <v>5.6624554695891991</v>
      </c>
      <c r="AU720" s="18">
        <v>8.2119088739451165</v>
      </c>
      <c r="AV720" s="18">
        <v>6.7296502114415357</v>
      </c>
      <c r="AW720" s="18">
        <v>6.6998352070792064</v>
      </c>
      <c r="AX720" s="18">
        <v>4.5498107526521734</v>
      </c>
      <c r="AY720" s="18">
        <v>6.7441851057681523</v>
      </c>
      <c r="AZ720" s="18">
        <v>5.8733182659123857</v>
      </c>
      <c r="BA720" s="18">
        <v>5.996880584014888</v>
      </c>
      <c r="BB720" s="18">
        <v>5.8572803017615094</v>
      </c>
      <c r="BC720" s="23">
        <v>8.9181565948742242E-2</v>
      </c>
      <c r="BD720" s="23">
        <v>0.10665277883445198</v>
      </c>
      <c r="BE720" s="23">
        <v>9.438849084854764E-2</v>
      </c>
      <c r="BF720" s="23">
        <v>7.149564986855049E-2</v>
      </c>
      <c r="BG720" s="23">
        <v>0.10368571810536763</v>
      </c>
      <c r="BH720" s="23">
        <v>8.4970330952544637E-2</v>
      </c>
      <c r="BI720" s="23">
        <v>8.4593878877262704E-2</v>
      </c>
      <c r="BJ720" s="23">
        <v>5.7447105462779965E-2</v>
      </c>
      <c r="BK720" s="23">
        <v>8.5153852345557474E-2</v>
      </c>
      <c r="BL720" s="23">
        <v>7.4158058913035174E-2</v>
      </c>
      <c r="BM720" s="23">
        <v>7.5718189192107169E-2</v>
      </c>
      <c r="BN720" s="23">
        <v>7.3955559365675619E-2</v>
      </c>
    </row>
    <row r="721" spans="1:66" x14ac:dyDescent="0.25">
      <c r="A721" s="16">
        <v>5142</v>
      </c>
      <c r="B721" s="16" t="s">
        <v>915</v>
      </c>
      <c r="C721" s="17">
        <v>0</v>
      </c>
      <c r="D721" s="17">
        <f t="shared" si="416"/>
        <v>0</v>
      </c>
      <c r="E721" s="17">
        <f t="shared" si="417"/>
        <v>0</v>
      </c>
      <c r="F721" s="17">
        <f t="shared" si="418"/>
        <v>0</v>
      </c>
      <c r="G721" s="17">
        <f t="shared" si="419"/>
        <v>0</v>
      </c>
      <c r="H721" s="17">
        <f t="shared" si="420"/>
        <v>0</v>
      </c>
      <c r="I721" s="17">
        <f t="shared" si="421"/>
        <v>0</v>
      </c>
      <c r="J721" s="17">
        <f t="shared" si="422"/>
        <v>0</v>
      </c>
      <c r="K721" s="17">
        <f t="shared" si="423"/>
        <v>0</v>
      </c>
      <c r="L721" s="17">
        <f t="shared" si="424"/>
        <v>0</v>
      </c>
      <c r="M721" s="17">
        <f t="shared" si="425"/>
        <v>0</v>
      </c>
      <c r="N721" s="17">
        <f t="shared" si="426"/>
        <v>0</v>
      </c>
      <c r="O721" s="17">
        <f t="shared" si="427"/>
        <v>0</v>
      </c>
      <c r="P721" s="17">
        <v>0</v>
      </c>
      <c r="Q721" s="17">
        <f t="shared" si="428"/>
        <v>0</v>
      </c>
      <c r="R721" s="17">
        <f t="shared" si="429"/>
        <v>0</v>
      </c>
      <c r="S721" s="17">
        <f t="shared" si="430"/>
        <v>0</v>
      </c>
      <c r="T721" s="17">
        <f t="shared" si="431"/>
        <v>0</v>
      </c>
      <c r="U721" s="17">
        <f t="shared" si="432"/>
        <v>0</v>
      </c>
      <c r="V721" s="17">
        <f t="shared" si="433"/>
        <v>0</v>
      </c>
      <c r="W721" s="17">
        <f t="shared" si="434"/>
        <v>0</v>
      </c>
      <c r="X721" s="17">
        <f t="shared" si="435"/>
        <v>0</v>
      </c>
      <c r="Y721" s="17">
        <f t="shared" si="436"/>
        <v>0</v>
      </c>
      <c r="Z721" s="17">
        <f t="shared" si="437"/>
        <v>0</v>
      </c>
      <c r="AA721" s="17">
        <f t="shared" si="438"/>
        <v>0</v>
      </c>
      <c r="AB721" s="17">
        <f t="shared" si="439"/>
        <v>0</v>
      </c>
      <c r="AC721" s="17">
        <v>0</v>
      </c>
      <c r="AD721" s="17">
        <f t="shared" si="440"/>
        <v>0</v>
      </c>
      <c r="AE721" s="17">
        <f t="shared" si="441"/>
        <v>0</v>
      </c>
      <c r="AF721" s="17">
        <f t="shared" si="442"/>
        <v>0</v>
      </c>
      <c r="AG721" s="17">
        <f t="shared" si="443"/>
        <v>0</v>
      </c>
      <c r="AH721" s="17">
        <f t="shared" si="444"/>
        <v>0</v>
      </c>
      <c r="AI721" s="17">
        <f t="shared" si="445"/>
        <v>0</v>
      </c>
      <c r="AJ721" s="17">
        <f t="shared" si="446"/>
        <v>0</v>
      </c>
      <c r="AK721" s="17">
        <f t="shared" si="447"/>
        <v>0</v>
      </c>
      <c r="AL721" s="17">
        <f t="shared" si="448"/>
        <v>0</v>
      </c>
      <c r="AM721" s="17">
        <f t="shared" si="449"/>
        <v>0</v>
      </c>
      <c r="AN721" s="17">
        <f t="shared" si="450"/>
        <v>0</v>
      </c>
      <c r="AO721" s="17">
        <f t="shared" si="451"/>
        <v>0</v>
      </c>
      <c r="AP721" s="17">
        <f t="shared" si="452"/>
        <v>0</v>
      </c>
      <c r="AQ721" s="18">
        <v>0</v>
      </c>
      <c r="AR721" s="18">
        <v>0</v>
      </c>
      <c r="AS721" s="18">
        <v>0</v>
      </c>
      <c r="AT721" s="18">
        <v>0</v>
      </c>
      <c r="AU721" s="18">
        <v>0</v>
      </c>
      <c r="AV721" s="18">
        <v>0</v>
      </c>
      <c r="AW721" s="18">
        <v>0</v>
      </c>
      <c r="AX721" s="18">
        <v>0</v>
      </c>
      <c r="AY721" s="18">
        <v>0</v>
      </c>
      <c r="AZ721" s="18">
        <v>0</v>
      </c>
      <c r="BA721" s="18">
        <v>0</v>
      </c>
      <c r="BB721" s="18">
        <v>0</v>
      </c>
      <c r="BC721" s="23">
        <v>8.9181565948742242E-2</v>
      </c>
      <c r="BD721" s="23">
        <v>0.10665277883445198</v>
      </c>
      <c r="BE721" s="23">
        <v>9.438849084854764E-2</v>
      </c>
      <c r="BF721" s="23">
        <v>7.149564986855049E-2</v>
      </c>
      <c r="BG721" s="23">
        <v>0.10368571810536763</v>
      </c>
      <c r="BH721" s="23">
        <v>8.4970330952544637E-2</v>
      </c>
      <c r="BI721" s="23">
        <v>8.4593878877262704E-2</v>
      </c>
      <c r="BJ721" s="23">
        <v>5.7447105462779965E-2</v>
      </c>
      <c r="BK721" s="23">
        <v>8.5153852345557474E-2</v>
      </c>
      <c r="BL721" s="23">
        <v>7.4158058913035174E-2</v>
      </c>
      <c r="BM721" s="23">
        <v>7.5718189192107169E-2</v>
      </c>
      <c r="BN721" s="23">
        <v>7.3955559365675619E-2</v>
      </c>
    </row>
    <row r="722" spans="1:66" x14ac:dyDescent="0.25">
      <c r="A722" s="16">
        <v>5143</v>
      </c>
      <c r="B722" s="16" t="s">
        <v>916</v>
      </c>
      <c r="C722" s="17">
        <v>0</v>
      </c>
      <c r="D722" s="17">
        <f t="shared" si="416"/>
        <v>0</v>
      </c>
      <c r="E722" s="17">
        <f t="shared" si="417"/>
        <v>0</v>
      </c>
      <c r="F722" s="17">
        <f t="shared" si="418"/>
        <v>0</v>
      </c>
      <c r="G722" s="17">
        <f t="shared" si="419"/>
        <v>0</v>
      </c>
      <c r="H722" s="17">
        <f t="shared" si="420"/>
        <v>0</v>
      </c>
      <c r="I722" s="17">
        <f t="shared" si="421"/>
        <v>0</v>
      </c>
      <c r="J722" s="17">
        <f t="shared" si="422"/>
        <v>0</v>
      </c>
      <c r="K722" s="17">
        <f t="shared" si="423"/>
        <v>0</v>
      </c>
      <c r="L722" s="17">
        <f t="shared" si="424"/>
        <v>0</v>
      </c>
      <c r="M722" s="17">
        <f t="shared" si="425"/>
        <v>0</v>
      </c>
      <c r="N722" s="17">
        <f t="shared" si="426"/>
        <v>0</v>
      </c>
      <c r="O722" s="17">
        <f t="shared" si="427"/>
        <v>0</v>
      </c>
      <c r="P722" s="17">
        <v>0</v>
      </c>
      <c r="Q722" s="17">
        <f t="shared" si="428"/>
        <v>0</v>
      </c>
      <c r="R722" s="17">
        <f t="shared" si="429"/>
        <v>0</v>
      </c>
      <c r="S722" s="17">
        <f t="shared" si="430"/>
        <v>0</v>
      </c>
      <c r="T722" s="17">
        <f t="shared" si="431"/>
        <v>0</v>
      </c>
      <c r="U722" s="17">
        <f t="shared" si="432"/>
        <v>0</v>
      </c>
      <c r="V722" s="17">
        <f t="shared" si="433"/>
        <v>0</v>
      </c>
      <c r="W722" s="17">
        <f t="shared" si="434"/>
        <v>0</v>
      </c>
      <c r="X722" s="17">
        <f t="shared" si="435"/>
        <v>0</v>
      </c>
      <c r="Y722" s="17">
        <f t="shared" si="436"/>
        <v>0</v>
      </c>
      <c r="Z722" s="17">
        <f t="shared" si="437"/>
        <v>0</v>
      </c>
      <c r="AA722" s="17">
        <f t="shared" si="438"/>
        <v>0</v>
      </c>
      <c r="AB722" s="17">
        <f t="shared" si="439"/>
        <v>0</v>
      </c>
      <c r="AC722" s="17">
        <v>0</v>
      </c>
      <c r="AD722" s="17">
        <f t="shared" si="440"/>
        <v>0</v>
      </c>
      <c r="AE722" s="17">
        <f t="shared" si="441"/>
        <v>0</v>
      </c>
      <c r="AF722" s="17">
        <f t="shared" si="442"/>
        <v>0</v>
      </c>
      <c r="AG722" s="17">
        <f t="shared" si="443"/>
        <v>0</v>
      </c>
      <c r="AH722" s="17">
        <f t="shared" si="444"/>
        <v>0</v>
      </c>
      <c r="AI722" s="17">
        <f t="shared" si="445"/>
        <v>0</v>
      </c>
      <c r="AJ722" s="17">
        <f t="shared" si="446"/>
        <v>0</v>
      </c>
      <c r="AK722" s="17">
        <f t="shared" si="447"/>
        <v>0</v>
      </c>
      <c r="AL722" s="17">
        <f t="shared" si="448"/>
        <v>0</v>
      </c>
      <c r="AM722" s="17">
        <f t="shared" si="449"/>
        <v>0</v>
      </c>
      <c r="AN722" s="17">
        <f t="shared" si="450"/>
        <v>0</v>
      </c>
      <c r="AO722" s="17">
        <f t="shared" si="451"/>
        <v>0</v>
      </c>
      <c r="AP722" s="17">
        <f t="shared" si="452"/>
        <v>0</v>
      </c>
      <c r="AQ722" s="18">
        <v>0</v>
      </c>
      <c r="AR722" s="18">
        <v>0</v>
      </c>
      <c r="AS722" s="18">
        <v>0</v>
      </c>
      <c r="AT722" s="18">
        <v>0</v>
      </c>
      <c r="AU722" s="18">
        <v>0</v>
      </c>
      <c r="AV722" s="18">
        <v>0</v>
      </c>
      <c r="AW722" s="18">
        <v>0</v>
      </c>
      <c r="AX722" s="18">
        <v>0</v>
      </c>
      <c r="AY722" s="18">
        <v>0</v>
      </c>
      <c r="AZ722" s="18">
        <v>0</v>
      </c>
      <c r="BA722" s="18">
        <v>0</v>
      </c>
      <c r="BB722" s="18">
        <v>0</v>
      </c>
      <c r="BC722" s="23">
        <v>8.9181565948742242E-2</v>
      </c>
      <c r="BD722" s="23">
        <v>0.10665277883445198</v>
      </c>
      <c r="BE722" s="23">
        <v>9.438849084854764E-2</v>
      </c>
      <c r="BF722" s="23">
        <v>7.149564986855049E-2</v>
      </c>
      <c r="BG722" s="23">
        <v>0.10368571810536763</v>
      </c>
      <c r="BH722" s="23">
        <v>8.4970330952544637E-2</v>
      </c>
      <c r="BI722" s="23">
        <v>8.4593878877262704E-2</v>
      </c>
      <c r="BJ722" s="23">
        <v>5.7447105462779965E-2</v>
      </c>
      <c r="BK722" s="23">
        <v>8.5153852345557474E-2</v>
      </c>
      <c r="BL722" s="23">
        <v>7.4158058913035174E-2</v>
      </c>
      <c r="BM722" s="23">
        <v>7.5718189192107169E-2</v>
      </c>
      <c r="BN722" s="23">
        <v>7.3955559365675619E-2</v>
      </c>
    </row>
    <row r="723" spans="1:66" x14ac:dyDescent="0.25">
      <c r="A723" s="16">
        <v>5144</v>
      </c>
      <c r="B723" s="16" t="s">
        <v>917</v>
      </c>
      <c r="C723" s="17">
        <v>0</v>
      </c>
      <c r="D723" s="17">
        <f t="shared" si="416"/>
        <v>0</v>
      </c>
      <c r="E723" s="17">
        <f t="shared" si="417"/>
        <v>0</v>
      </c>
      <c r="F723" s="17">
        <f t="shared" si="418"/>
        <v>0</v>
      </c>
      <c r="G723" s="17">
        <f t="shared" si="419"/>
        <v>0</v>
      </c>
      <c r="H723" s="17">
        <f t="shared" si="420"/>
        <v>0</v>
      </c>
      <c r="I723" s="17">
        <f t="shared" si="421"/>
        <v>0</v>
      </c>
      <c r="J723" s="17">
        <f t="shared" si="422"/>
        <v>0</v>
      </c>
      <c r="K723" s="17">
        <f t="shared" si="423"/>
        <v>0</v>
      </c>
      <c r="L723" s="17">
        <f t="shared" si="424"/>
        <v>0</v>
      </c>
      <c r="M723" s="17">
        <f t="shared" si="425"/>
        <v>0</v>
      </c>
      <c r="N723" s="17">
        <f t="shared" si="426"/>
        <v>0</v>
      </c>
      <c r="O723" s="17">
        <f t="shared" si="427"/>
        <v>0</v>
      </c>
      <c r="P723" s="17">
        <v>0</v>
      </c>
      <c r="Q723" s="17">
        <f t="shared" si="428"/>
        <v>0</v>
      </c>
      <c r="R723" s="17">
        <f t="shared" si="429"/>
        <v>0</v>
      </c>
      <c r="S723" s="17">
        <f t="shared" si="430"/>
        <v>0</v>
      </c>
      <c r="T723" s="17">
        <f t="shared" si="431"/>
        <v>0</v>
      </c>
      <c r="U723" s="17">
        <f t="shared" si="432"/>
        <v>0</v>
      </c>
      <c r="V723" s="17">
        <f t="shared" si="433"/>
        <v>0</v>
      </c>
      <c r="W723" s="17">
        <f t="shared" si="434"/>
        <v>0</v>
      </c>
      <c r="X723" s="17">
        <f t="shared" si="435"/>
        <v>0</v>
      </c>
      <c r="Y723" s="17">
        <f t="shared" si="436"/>
        <v>0</v>
      </c>
      <c r="Z723" s="17">
        <f t="shared" si="437"/>
        <v>0</v>
      </c>
      <c r="AA723" s="17">
        <f t="shared" si="438"/>
        <v>0</v>
      </c>
      <c r="AB723" s="17">
        <f t="shared" si="439"/>
        <v>0</v>
      </c>
      <c r="AC723" s="17">
        <v>0</v>
      </c>
      <c r="AD723" s="17">
        <f t="shared" si="440"/>
        <v>0</v>
      </c>
      <c r="AE723" s="17">
        <f t="shared" si="441"/>
        <v>0</v>
      </c>
      <c r="AF723" s="17">
        <f t="shared" si="442"/>
        <v>0</v>
      </c>
      <c r="AG723" s="17">
        <f t="shared" si="443"/>
        <v>0</v>
      </c>
      <c r="AH723" s="17">
        <f t="shared" si="444"/>
        <v>0</v>
      </c>
      <c r="AI723" s="17">
        <f t="shared" si="445"/>
        <v>0</v>
      </c>
      <c r="AJ723" s="17">
        <f t="shared" si="446"/>
        <v>0</v>
      </c>
      <c r="AK723" s="17">
        <f t="shared" si="447"/>
        <v>0</v>
      </c>
      <c r="AL723" s="17">
        <f t="shared" si="448"/>
        <v>0</v>
      </c>
      <c r="AM723" s="17">
        <f t="shared" si="449"/>
        <v>0</v>
      </c>
      <c r="AN723" s="17">
        <f t="shared" si="450"/>
        <v>0</v>
      </c>
      <c r="AO723" s="17">
        <f t="shared" si="451"/>
        <v>0</v>
      </c>
      <c r="AP723" s="17">
        <f t="shared" si="452"/>
        <v>0</v>
      </c>
      <c r="AQ723" s="18">
        <v>5.1600454057942269</v>
      </c>
      <c r="AR723" s="18">
        <v>6.1709297833613928</v>
      </c>
      <c r="AS723" s="18">
        <v>5.4613180804969668</v>
      </c>
      <c r="AT723" s="18">
        <v>4.136738301394332</v>
      </c>
      <c r="AU723" s="18">
        <v>5.9992556495765719</v>
      </c>
      <c r="AV723" s="18">
        <v>4.9163833489142332</v>
      </c>
      <c r="AW723" s="18">
        <v>4.894601831838421</v>
      </c>
      <c r="AX723" s="18">
        <v>3.3238895220764491</v>
      </c>
      <c r="AY723" s="18">
        <v>4.9270018967139562</v>
      </c>
      <c r="AZ723" s="18">
        <v>4.2907852887082161</v>
      </c>
      <c r="BA723" s="18">
        <v>4.3810544266553215</v>
      </c>
      <c r="BB723" s="18">
        <v>4.2790686648979914</v>
      </c>
      <c r="BC723" s="23">
        <v>8.9181565948742242E-2</v>
      </c>
      <c r="BD723" s="23">
        <v>0.10665277883445198</v>
      </c>
      <c r="BE723" s="23">
        <v>9.438849084854764E-2</v>
      </c>
      <c r="BF723" s="23">
        <v>7.149564986855049E-2</v>
      </c>
      <c r="BG723" s="23">
        <v>0.10368571810536763</v>
      </c>
      <c r="BH723" s="23">
        <v>8.4970330952544637E-2</v>
      </c>
      <c r="BI723" s="23">
        <v>8.4593878877262704E-2</v>
      </c>
      <c r="BJ723" s="23">
        <v>5.7447105462779965E-2</v>
      </c>
      <c r="BK723" s="23">
        <v>8.5153852345557474E-2</v>
      </c>
      <c r="BL723" s="23">
        <v>7.4158058913035174E-2</v>
      </c>
      <c r="BM723" s="23">
        <v>7.5718189192107169E-2</v>
      </c>
      <c r="BN723" s="23">
        <v>7.3955559365675619E-2</v>
      </c>
    </row>
    <row r="724" spans="1:66" x14ac:dyDescent="0.25">
      <c r="A724" s="16">
        <v>5159</v>
      </c>
      <c r="B724" s="16" t="s">
        <v>918</v>
      </c>
      <c r="C724" s="17">
        <v>0</v>
      </c>
      <c r="D724" s="17">
        <f t="shared" si="416"/>
        <v>0</v>
      </c>
      <c r="E724" s="17">
        <f t="shared" si="417"/>
        <v>0</v>
      </c>
      <c r="F724" s="17">
        <f t="shared" si="418"/>
        <v>0</v>
      </c>
      <c r="G724" s="17">
        <f t="shared" si="419"/>
        <v>0</v>
      </c>
      <c r="H724" s="17">
        <f t="shared" si="420"/>
        <v>0</v>
      </c>
      <c r="I724" s="17">
        <f t="shared" si="421"/>
        <v>0</v>
      </c>
      <c r="J724" s="17">
        <f t="shared" si="422"/>
        <v>0</v>
      </c>
      <c r="K724" s="17">
        <f t="shared" si="423"/>
        <v>0</v>
      </c>
      <c r="L724" s="17">
        <f t="shared" si="424"/>
        <v>0</v>
      </c>
      <c r="M724" s="17">
        <f t="shared" si="425"/>
        <v>0</v>
      </c>
      <c r="N724" s="17">
        <f t="shared" si="426"/>
        <v>0</v>
      </c>
      <c r="O724" s="17">
        <f t="shared" si="427"/>
        <v>0</v>
      </c>
      <c r="P724" s="17">
        <v>0</v>
      </c>
      <c r="Q724" s="17">
        <f t="shared" si="428"/>
        <v>0</v>
      </c>
      <c r="R724" s="17">
        <f t="shared" si="429"/>
        <v>0</v>
      </c>
      <c r="S724" s="17">
        <f t="shared" si="430"/>
        <v>0</v>
      </c>
      <c r="T724" s="17">
        <f t="shared" si="431"/>
        <v>0</v>
      </c>
      <c r="U724" s="17">
        <f t="shared" si="432"/>
        <v>0</v>
      </c>
      <c r="V724" s="17">
        <f t="shared" si="433"/>
        <v>0</v>
      </c>
      <c r="W724" s="17">
        <f t="shared" si="434"/>
        <v>0</v>
      </c>
      <c r="X724" s="17">
        <f t="shared" si="435"/>
        <v>0</v>
      </c>
      <c r="Y724" s="17">
        <f t="shared" si="436"/>
        <v>0</v>
      </c>
      <c r="Z724" s="17">
        <f t="shared" si="437"/>
        <v>0</v>
      </c>
      <c r="AA724" s="17">
        <f t="shared" si="438"/>
        <v>0</v>
      </c>
      <c r="AB724" s="17">
        <f t="shared" si="439"/>
        <v>0</v>
      </c>
      <c r="AC724" s="17">
        <v>0</v>
      </c>
      <c r="AD724" s="17">
        <f t="shared" si="440"/>
        <v>0</v>
      </c>
      <c r="AE724" s="17">
        <f t="shared" si="441"/>
        <v>0</v>
      </c>
      <c r="AF724" s="17">
        <f t="shared" si="442"/>
        <v>0</v>
      </c>
      <c r="AG724" s="17">
        <f t="shared" si="443"/>
        <v>0</v>
      </c>
      <c r="AH724" s="17">
        <f t="shared" si="444"/>
        <v>0</v>
      </c>
      <c r="AI724" s="17">
        <f t="shared" si="445"/>
        <v>0</v>
      </c>
      <c r="AJ724" s="17">
        <f t="shared" si="446"/>
        <v>0</v>
      </c>
      <c r="AK724" s="17">
        <f t="shared" si="447"/>
        <v>0</v>
      </c>
      <c r="AL724" s="17">
        <f t="shared" si="448"/>
        <v>0</v>
      </c>
      <c r="AM724" s="17">
        <f t="shared" si="449"/>
        <v>0</v>
      </c>
      <c r="AN724" s="17">
        <f t="shared" si="450"/>
        <v>0</v>
      </c>
      <c r="AO724" s="17">
        <f t="shared" si="451"/>
        <v>0</v>
      </c>
      <c r="AP724" s="17">
        <f t="shared" si="452"/>
        <v>0</v>
      </c>
      <c r="AQ724" s="18">
        <v>0</v>
      </c>
      <c r="AR724" s="18">
        <v>0</v>
      </c>
      <c r="AS724" s="18">
        <v>0</v>
      </c>
      <c r="AT724" s="18">
        <v>0</v>
      </c>
      <c r="AU724" s="18">
        <v>0</v>
      </c>
      <c r="AV724" s="18">
        <v>0</v>
      </c>
      <c r="AW724" s="18">
        <v>0</v>
      </c>
      <c r="AX724" s="18">
        <v>0</v>
      </c>
      <c r="AY724" s="18">
        <v>0</v>
      </c>
      <c r="AZ724" s="18">
        <v>0</v>
      </c>
      <c r="BA724" s="18">
        <v>0</v>
      </c>
      <c r="BB724" s="18">
        <v>0</v>
      </c>
      <c r="BC724" s="23">
        <v>8.9181565948742242E-2</v>
      </c>
      <c r="BD724" s="23">
        <v>0.10665277883445198</v>
      </c>
      <c r="BE724" s="23">
        <v>9.438849084854764E-2</v>
      </c>
      <c r="BF724" s="23">
        <v>7.149564986855049E-2</v>
      </c>
      <c r="BG724" s="23">
        <v>0.10368571810536763</v>
      </c>
      <c r="BH724" s="23">
        <v>8.4970330952544637E-2</v>
      </c>
      <c r="BI724" s="23">
        <v>8.4593878877262704E-2</v>
      </c>
      <c r="BJ724" s="23">
        <v>5.7447105462779965E-2</v>
      </c>
      <c r="BK724" s="23">
        <v>8.5153852345557474E-2</v>
      </c>
      <c r="BL724" s="23">
        <v>7.4158058913035174E-2</v>
      </c>
      <c r="BM724" s="23">
        <v>7.5718189192107169E-2</v>
      </c>
      <c r="BN724" s="23">
        <v>7.3955559365675619E-2</v>
      </c>
    </row>
    <row r="725" spans="1:66" x14ac:dyDescent="0.25">
      <c r="A725" s="16">
        <v>5161</v>
      </c>
      <c r="B725" s="16" t="s">
        <v>919</v>
      </c>
      <c r="C725" s="17">
        <v>1000</v>
      </c>
      <c r="D725" s="17">
        <f t="shared" si="416"/>
        <v>89.181565948742247</v>
      </c>
      <c r="E725" s="17">
        <f t="shared" si="417"/>
        <v>106.65277883445198</v>
      </c>
      <c r="F725" s="17">
        <f t="shared" si="418"/>
        <v>94.388490848547647</v>
      </c>
      <c r="G725" s="17">
        <f t="shared" si="419"/>
        <v>71.495649868550487</v>
      </c>
      <c r="H725" s="17">
        <f t="shared" si="420"/>
        <v>103.68571810536763</v>
      </c>
      <c r="I725" s="17">
        <f t="shared" si="421"/>
        <v>84.970330952544643</v>
      </c>
      <c r="J725" s="17">
        <f t="shared" si="422"/>
        <v>84.593878877262711</v>
      </c>
      <c r="K725" s="17">
        <f t="shared" si="423"/>
        <v>57.447105462779966</v>
      </c>
      <c r="L725" s="17">
        <f t="shared" si="424"/>
        <v>85.153852345557468</v>
      </c>
      <c r="M725" s="17">
        <f t="shared" si="425"/>
        <v>74.158058913035177</v>
      </c>
      <c r="N725" s="17">
        <f t="shared" si="426"/>
        <v>75.718189192107175</v>
      </c>
      <c r="O725" s="17">
        <f t="shared" si="427"/>
        <v>73.955559365675626</v>
      </c>
      <c r="P725" s="17">
        <v>0</v>
      </c>
      <c r="Q725" s="17">
        <f t="shared" si="428"/>
        <v>0</v>
      </c>
      <c r="R725" s="17">
        <f t="shared" si="429"/>
        <v>0</v>
      </c>
      <c r="S725" s="17">
        <f t="shared" si="430"/>
        <v>0</v>
      </c>
      <c r="T725" s="17">
        <f t="shared" si="431"/>
        <v>0</v>
      </c>
      <c r="U725" s="17">
        <f t="shared" si="432"/>
        <v>0</v>
      </c>
      <c r="V725" s="17">
        <f t="shared" si="433"/>
        <v>0</v>
      </c>
      <c r="W725" s="17">
        <f t="shared" si="434"/>
        <v>0</v>
      </c>
      <c r="X725" s="17">
        <f t="shared" si="435"/>
        <v>0</v>
      </c>
      <c r="Y725" s="17">
        <f t="shared" si="436"/>
        <v>0</v>
      </c>
      <c r="Z725" s="17">
        <f t="shared" si="437"/>
        <v>0</v>
      </c>
      <c r="AA725" s="17">
        <f t="shared" si="438"/>
        <v>0</v>
      </c>
      <c r="AB725" s="17">
        <f t="shared" si="439"/>
        <v>0</v>
      </c>
      <c r="AC725" s="17">
        <v>0</v>
      </c>
      <c r="AD725" s="17">
        <f t="shared" si="440"/>
        <v>0</v>
      </c>
      <c r="AE725" s="17">
        <f t="shared" si="441"/>
        <v>0</v>
      </c>
      <c r="AF725" s="17">
        <f t="shared" si="442"/>
        <v>0</v>
      </c>
      <c r="AG725" s="17">
        <f t="shared" si="443"/>
        <v>0</v>
      </c>
      <c r="AH725" s="17">
        <f t="shared" si="444"/>
        <v>0</v>
      </c>
      <c r="AI725" s="17">
        <f t="shared" si="445"/>
        <v>0</v>
      </c>
      <c r="AJ725" s="17">
        <f t="shared" si="446"/>
        <v>0</v>
      </c>
      <c r="AK725" s="17">
        <f t="shared" si="447"/>
        <v>0</v>
      </c>
      <c r="AL725" s="17">
        <f t="shared" si="448"/>
        <v>0</v>
      </c>
      <c r="AM725" s="17">
        <f t="shared" si="449"/>
        <v>0</v>
      </c>
      <c r="AN725" s="17">
        <f t="shared" si="450"/>
        <v>0</v>
      </c>
      <c r="AO725" s="17">
        <f t="shared" si="451"/>
        <v>0</v>
      </c>
      <c r="AP725" s="17">
        <f t="shared" si="452"/>
        <v>1000</v>
      </c>
      <c r="AQ725" s="18">
        <v>0</v>
      </c>
      <c r="AR725" s="18">
        <v>0</v>
      </c>
      <c r="AS725" s="18">
        <v>0</v>
      </c>
      <c r="AT725" s="18">
        <v>0</v>
      </c>
      <c r="AU725" s="18">
        <v>0</v>
      </c>
      <c r="AV725" s="18">
        <v>0</v>
      </c>
      <c r="AW725" s="18">
        <v>0</v>
      </c>
      <c r="AX725" s="18">
        <v>0</v>
      </c>
      <c r="AY725" s="18">
        <v>0</v>
      </c>
      <c r="AZ725" s="18">
        <v>0</v>
      </c>
      <c r="BA725" s="18">
        <v>0</v>
      </c>
      <c r="BB725" s="18">
        <v>0</v>
      </c>
      <c r="BC725" s="23">
        <v>8.9181565948742242E-2</v>
      </c>
      <c r="BD725" s="23">
        <v>0.10665277883445198</v>
      </c>
      <c r="BE725" s="23">
        <v>9.438849084854764E-2</v>
      </c>
      <c r="BF725" s="23">
        <v>7.149564986855049E-2</v>
      </c>
      <c r="BG725" s="23">
        <v>0.10368571810536763</v>
      </c>
      <c r="BH725" s="23">
        <v>8.4970330952544637E-2</v>
      </c>
      <c r="BI725" s="23">
        <v>8.4593878877262704E-2</v>
      </c>
      <c r="BJ725" s="23">
        <v>5.7447105462779965E-2</v>
      </c>
      <c r="BK725" s="23">
        <v>8.5153852345557474E-2</v>
      </c>
      <c r="BL725" s="23">
        <v>7.4158058913035174E-2</v>
      </c>
      <c r="BM725" s="23">
        <v>7.5718189192107169E-2</v>
      </c>
      <c r="BN725" s="23">
        <v>7.3955559365675619E-2</v>
      </c>
    </row>
    <row r="726" spans="1:66" x14ac:dyDescent="0.25">
      <c r="A726" s="16">
        <v>5166</v>
      </c>
      <c r="B726" s="16" t="s">
        <v>920</v>
      </c>
      <c r="C726" s="17">
        <v>0</v>
      </c>
      <c r="D726" s="17">
        <f t="shared" si="416"/>
        <v>0</v>
      </c>
      <c r="E726" s="17">
        <f t="shared" si="417"/>
        <v>0</v>
      </c>
      <c r="F726" s="17">
        <f t="shared" si="418"/>
        <v>0</v>
      </c>
      <c r="G726" s="17">
        <f t="shared" si="419"/>
        <v>0</v>
      </c>
      <c r="H726" s="17">
        <f t="shared" si="420"/>
        <v>0</v>
      </c>
      <c r="I726" s="17">
        <f t="shared" si="421"/>
        <v>0</v>
      </c>
      <c r="J726" s="17">
        <f t="shared" si="422"/>
        <v>0</v>
      </c>
      <c r="K726" s="17">
        <f t="shared" si="423"/>
        <v>0</v>
      </c>
      <c r="L726" s="17">
        <f t="shared" si="424"/>
        <v>0</v>
      </c>
      <c r="M726" s="17">
        <f t="shared" si="425"/>
        <v>0</v>
      </c>
      <c r="N726" s="17">
        <f t="shared" si="426"/>
        <v>0</v>
      </c>
      <c r="O726" s="17">
        <f t="shared" si="427"/>
        <v>0</v>
      </c>
      <c r="P726" s="17">
        <v>0</v>
      </c>
      <c r="Q726" s="17">
        <f t="shared" si="428"/>
        <v>0</v>
      </c>
      <c r="R726" s="17">
        <f t="shared" si="429"/>
        <v>0</v>
      </c>
      <c r="S726" s="17">
        <f t="shared" si="430"/>
        <v>0</v>
      </c>
      <c r="T726" s="17">
        <f t="shared" si="431"/>
        <v>0</v>
      </c>
      <c r="U726" s="17">
        <f t="shared" si="432"/>
        <v>0</v>
      </c>
      <c r="V726" s="17">
        <f t="shared" si="433"/>
        <v>0</v>
      </c>
      <c r="W726" s="17">
        <f t="shared" si="434"/>
        <v>0</v>
      </c>
      <c r="X726" s="17">
        <f t="shared" si="435"/>
        <v>0</v>
      </c>
      <c r="Y726" s="17">
        <f t="shared" si="436"/>
        <v>0</v>
      </c>
      <c r="Z726" s="17">
        <f t="shared" si="437"/>
        <v>0</v>
      </c>
      <c r="AA726" s="17">
        <f t="shared" si="438"/>
        <v>0</v>
      </c>
      <c r="AB726" s="17">
        <f t="shared" si="439"/>
        <v>0</v>
      </c>
      <c r="AC726" s="17">
        <v>0</v>
      </c>
      <c r="AD726" s="17">
        <f t="shared" si="440"/>
        <v>0</v>
      </c>
      <c r="AE726" s="17">
        <f t="shared" si="441"/>
        <v>0</v>
      </c>
      <c r="AF726" s="17">
        <f t="shared" si="442"/>
        <v>0</v>
      </c>
      <c r="AG726" s="17">
        <f t="shared" si="443"/>
        <v>0</v>
      </c>
      <c r="AH726" s="17">
        <f t="shared" si="444"/>
        <v>0</v>
      </c>
      <c r="AI726" s="17">
        <f t="shared" si="445"/>
        <v>0</v>
      </c>
      <c r="AJ726" s="17">
        <f t="shared" si="446"/>
        <v>0</v>
      </c>
      <c r="AK726" s="17">
        <f t="shared" si="447"/>
        <v>0</v>
      </c>
      <c r="AL726" s="17">
        <f t="shared" si="448"/>
        <v>0</v>
      </c>
      <c r="AM726" s="17">
        <f t="shared" si="449"/>
        <v>0</v>
      </c>
      <c r="AN726" s="17">
        <f t="shared" si="450"/>
        <v>0</v>
      </c>
      <c r="AO726" s="17">
        <f t="shared" si="451"/>
        <v>0</v>
      </c>
      <c r="AP726" s="17">
        <f t="shared" si="452"/>
        <v>0</v>
      </c>
      <c r="AQ726" s="18">
        <v>34.878375353157395</v>
      </c>
      <c r="AR726" s="18">
        <v>41.711261885481164</v>
      </c>
      <c r="AS726" s="18">
        <v>36.91477243992189</v>
      </c>
      <c r="AT726" s="18">
        <v>27.961519689690885</v>
      </c>
      <c r="AU726" s="18">
        <v>40.550862236700645</v>
      </c>
      <c r="AV726" s="18">
        <v>33.231386613554491</v>
      </c>
      <c r="AW726" s="18">
        <v>33.084158465624178</v>
      </c>
      <c r="AX726" s="18">
        <v>22.467218263860467</v>
      </c>
      <c r="AY726" s="18">
        <v>33.303160729233454</v>
      </c>
      <c r="AZ726" s="18">
        <v>29.002771892534579</v>
      </c>
      <c r="BA726" s="18">
        <v>29.612929483897961</v>
      </c>
      <c r="BB726" s="18">
        <v>28.923575534559539</v>
      </c>
      <c r="BC726" s="23">
        <v>8.9181565948742242E-2</v>
      </c>
      <c r="BD726" s="23">
        <v>0.10665277883445198</v>
      </c>
      <c r="BE726" s="23">
        <v>9.438849084854764E-2</v>
      </c>
      <c r="BF726" s="23">
        <v>7.149564986855049E-2</v>
      </c>
      <c r="BG726" s="23">
        <v>0.10368571810536763</v>
      </c>
      <c r="BH726" s="23">
        <v>8.4970330952544637E-2</v>
      </c>
      <c r="BI726" s="23">
        <v>8.4593878877262704E-2</v>
      </c>
      <c r="BJ726" s="23">
        <v>5.7447105462779965E-2</v>
      </c>
      <c r="BK726" s="23">
        <v>8.5153852345557474E-2</v>
      </c>
      <c r="BL726" s="23">
        <v>7.4158058913035174E-2</v>
      </c>
      <c r="BM726" s="23">
        <v>7.5718189192107169E-2</v>
      </c>
      <c r="BN726" s="23">
        <v>7.3955559365675619E-2</v>
      </c>
    </row>
    <row r="727" spans="1:66" x14ac:dyDescent="0.25">
      <c r="A727" s="16">
        <v>5174</v>
      </c>
      <c r="B727" s="16" t="s">
        <v>921</v>
      </c>
      <c r="C727" s="17">
        <v>0</v>
      </c>
      <c r="D727" s="17">
        <f t="shared" si="416"/>
        <v>0</v>
      </c>
      <c r="E727" s="17">
        <f t="shared" si="417"/>
        <v>0</v>
      </c>
      <c r="F727" s="17">
        <f t="shared" si="418"/>
        <v>0</v>
      </c>
      <c r="G727" s="17">
        <f t="shared" si="419"/>
        <v>0</v>
      </c>
      <c r="H727" s="17">
        <f t="shared" si="420"/>
        <v>0</v>
      </c>
      <c r="I727" s="17">
        <f t="shared" si="421"/>
        <v>0</v>
      </c>
      <c r="J727" s="17">
        <f t="shared" si="422"/>
        <v>0</v>
      </c>
      <c r="K727" s="17">
        <f t="shared" si="423"/>
        <v>0</v>
      </c>
      <c r="L727" s="17">
        <f t="shared" si="424"/>
        <v>0</v>
      </c>
      <c r="M727" s="17">
        <f t="shared" si="425"/>
        <v>0</v>
      </c>
      <c r="N727" s="17">
        <f t="shared" si="426"/>
        <v>0</v>
      </c>
      <c r="O727" s="17">
        <f t="shared" si="427"/>
        <v>0</v>
      </c>
      <c r="P727" s="17">
        <v>0</v>
      </c>
      <c r="Q727" s="17">
        <f t="shared" si="428"/>
        <v>0</v>
      </c>
      <c r="R727" s="17">
        <f t="shared" si="429"/>
        <v>0</v>
      </c>
      <c r="S727" s="17">
        <f t="shared" si="430"/>
        <v>0</v>
      </c>
      <c r="T727" s="17">
        <f t="shared" si="431"/>
        <v>0</v>
      </c>
      <c r="U727" s="17">
        <f t="shared" si="432"/>
        <v>0</v>
      </c>
      <c r="V727" s="17">
        <f t="shared" si="433"/>
        <v>0</v>
      </c>
      <c r="W727" s="17">
        <f t="shared" si="434"/>
        <v>0</v>
      </c>
      <c r="X727" s="17">
        <f t="shared" si="435"/>
        <v>0</v>
      </c>
      <c r="Y727" s="17">
        <f t="shared" si="436"/>
        <v>0</v>
      </c>
      <c r="Z727" s="17">
        <f t="shared" si="437"/>
        <v>0</v>
      </c>
      <c r="AA727" s="17">
        <f t="shared" si="438"/>
        <v>0</v>
      </c>
      <c r="AB727" s="17">
        <f t="shared" si="439"/>
        <v>0</v>
      </c>
      <c r="AC727" s="17">
        <v>0</v>
      </c>
      <c r="AD727" s="17">
        <f t="shared" si="440"/>
        <v>0</v>
      </c>
      <c r="AE727" s="17">
        <f t="shared" si="441"/>
        <v>0</v>
      </c>
      <c r="AF727" s="17">
        <f t="shared" si="442"/>
        <v>0</v>
      </c>
      <c r="AG727" s="17">
        <f t="shared" si="443"/>
        <v>0</v>
      </c>
      <c r="AH727" s="17">
        <f t="shared" si="444"/>
        <v>0</v>
      </c>
      <c r="AI727" s="17">
        <f t="shared" si="445"/>
        <v>0</v>
      </c>
      <c r="AJ727" s="17">
        <f t="shared" si="446"/>
        <v>0</v>
      </c>
      <c r="AK727" s="17">
        <f t="shared" si="447"/>
        <v>0</v>
      </c>
      <c r="AL727" s="17">
        <f t="shared" si="448"/>
        <v>0</v>
      </c>
      <c r="AM727" s="17">
        <f t="shared" si="449"/>
        <v>0</v>
      </c>
      <c r="AN727" s="17">
        <f t="shared" si="450"/>
        <v>0</v>
      </c>
      <c r="AO727" s="17">
        <f t="shared" si="451"/>
        <v>0</v>
      </c>
      <c r="AP727" s="17">
        <f t="shared" si="452"/>
        <v>0</v>
      </c>
      <c r="AQ727" s="18">
        <v>0</v>
      </c>
      <c r="AR727" s="18">
        <v>0</v>
      </c>
      <c r="AS727" s="18">
        <v>0</v>
      </c>
      <c r="AT727" s="18">
        <v>0</v>
      </c>
      <c r="AU727" s="18">
        <v>0</v>
      </c>
      <c r="AV727" s="18">
        <v>0</v>
      </c>
      <c r="AW727" s="18">
        <v>0</v>
      </c>
      <c r="AX727" s="18">
        <v>0</v>
      </c>
      <c r="AY727" s="18">
        <v>0</v>
      </c>
      <c r="AZ727" s="18">
        <v>0</v>
      </c>
      <c r="BA727" s="18">
        <v>0</v>
      </c>
      <c r="BB727" s="18">
        <v>0</v>
      </c>
      <c r="BC727" s="23">
        <v>8.9181565948742242E-2</v>
      </c>
      <c r="BD727" s="23">
        <v>0.10665277883445198</v>
      </c>
      <c r="BE727" s="23">
        <v>9.438849084854764E-2</v>
      </c>
      <c r="BF727" s="23">
        <v>7.149564986855049E-2</v>
      </c>
      <c r="BG727" s="23">
        <v>0.10368571810536763</v>
      </c>
      <c r="BH727" s="23">
        <v>8.4970330952544637E-2</v>
      </c>
      <c r="BI727" s="23">
        <v>8.4593878877262704E-2</v>
      </c>
      <c r="BJ727" s="23">
        <v>5.7447105462779965E-2</v>
      </c>
      <c r="BK727" s="23">
        <v>8.5153852345557474E-2</v>
      </c>
      <c r="BL727" s="23">
        <v>7.4158058913035174E-2</v>
      </c>
      <c r="BM727" s="23">
        <v>7.5718189192107169E-2</v>
      </c>
      <c r="BN727" s="23">
        <v>7.3955559365675619E-2</v>
      </c>
    </row>
    <row r="728" spans="1:66" x14ac:dyDescent="0.25">
      <c r="A728" s="16">
        <v>5179</v>
      </c>
      <c r="B728" s="16" t="s">
        <v>922</v>
      </c>
      <c r="C728" s="17">
        <v>0</v>
      </c>
      <c r="D728" s="17">
        <f t="shared" si="416"/>
        <v>0</v>
      </c>
      <c r="E728" s="17">
        <f t="shared" si="417"/>
        <v>0</v>
      </c>
      <c r="F728" s="17">
        <f t="shared" si="418"/>
        <v>0</v>
      </c>
      <c r="G728" s="17">
        <f t="shared" si="419"/>
        <v>0</v>
      </c>
      <c r="H728" s="17">
        <f t="shared" si="420"/>
        <v>0</v>
      </c>
      <c r="I728" s="17">
        <f t="shared" si="421"/>
        <v>0</v>
      </c>
      <c r="J728" s="17">
        <f t="shared" si="422"/>
        <v>0</v>
      </c>
      <c r="K728" s="17">
        <f t="shared" si="423"/>
        <v>0</v>
      </c>
      <c r="L728" s="17">
        <f t="shared" si="424"/>
        <v>0</v>
      </c>
      <c r="M728" s="17">
        <f t="shared" si="425"/>
        <v>0</v>
      </c>
      <c r="N728" s="17">
        <f t="shared" si="426"/>
        <v>0</v>
      </c>
      <c r="O728" s="17">
        <f t="shared" si="427"/>
        <v>0</v>
      </c>
      <c r="P728" s="17">
        <v>0</v>
      </c>
      <c r="Q728" s="17">
        <f t="shared" si="428"/>
        <v>0</v>
      </c>
      <c r="R728" s="17">
        <f t="shared" si="429"/>
        <v>0</v>
      </c>
      <c r="S728" s="17">
        <f t="shared" si="430"/>
        <v>0</v>
      </c>
      <c r="T728" s="17">
        <f t="shared" si="431"/>
        <v>0</v>
      </c>
      <c r="U728" s="17">
        <f t="shared" si="432"/>
        <v>0</v>
      </c>
      <c r="V728" s="17">
        <f t="shared" si="433"/>
        <v>0</v>
      </c>
      <c r="W728" s="17">
        <f t="shared" si="434"/>
        <v>0</v>
      </c>
      <c r="X728" s="17">
        <f t="shared" si="435"/>
        <v>0</v>
      </c>
      <c r="Y728" s="17">
        <f t="shared" si="436"/>
        <v>0</v>
      </c>
      <c r="Z728" s="17">
        <f t="shared" si="437"/>
        <v>0</v>
      </c>
      <c r="AA728" s="17">
        <f t="shared" si="438"/>
        <v>0</v>
      </c>
      <c r="AB728" s="17">
        <f t="shared" si="439"/>
        <v>0</v>
      </c>
      <c r="AC728" s="17">
        <v>0</v>
      </c>
      <c r="AD728" s="17">
        <f t="shared" si="440"/>
        <v>0</v>
      </c>
      <c r="AE728" s="17">
        <f t="shared" si="441"/>
        <v>0</v>
      </c>
      <c r="AF728" s="17">
        <f t="shared" si="442"/>
        <v>0</v>
      </c>
      <c r="AG728" s="17">
        <f t="shared" si="443"/>
        <v>0</v>
      </c>
      <c r="AH728" s="17">
        <f t="shared" si="444"/>
        <v>0</v>
      </c>
      <c r="AI728" s="17">
        <f t="shared" si="445"/>
        <v>0</v>
      </c>
      <c r="AJ728" s="17">
        <f t="shared" si="446"/>
        <v>0</v>
      </c>
      <c r="AK728" s="17">
        <f t="shared" si="447"/>
        <v>0</v>
      </c>
      <c r="AL728" s="17">
        <f t="shared" si="448"/>
        <v>0</v>
      </c>
      <c r="AM728" s="17">
        <f t="shared" si="449"/>
        <v>0</v>
      </c>
      <c r="AN728" s="17">
        <f t="shared" si="450"/>
        <v>0</v>
      </c>
      <c r="AO728" s="17">
        <f t="shared" si="451"/>
        <v>0</v>
      </c>
      <c r="AP728" s="17">
        <f t="shared" si="452"/>
        <v>0</v>
      </c>
      <c r="AQ728" s="18">
        <v>0</v>
      </c>
      <c r="AR728" s="18">
        <v>0</v>
      </c>
      <c r="AS728" s="18">
        <v>0</v>
      </c>
      <c r="AT728" s="18">
        <v>0</v>
      </c>
      <c r="AU728" s="18">
        <v>0</v>
      </c>
      <c r="AV728" s="18">
        <v>0</v>
      </c>
      <c r="AW728" s="18">
        <v>0</v>
      </c>
      <c r="AX728" s="18">
        <v>0</v>
      </c>
      <c r="AY728" s="18">
        <v>0</v>
      </c>
      <c r="AZ728" s="18">
        <v>0</v>
      </c>
      <c r="BA728" s="18">
        <v>0</v>
      </c>
      <c r="BB728" s="18">
        <v>0</v>
      </c>
      <c r="BC728" s="23">
        <v>8.9181565948742242E-2</v>
      </c>
      <c r="BD728" s="23">
        <v>0.10665277883445198</v>
      </c>
      <c r="BE728" s="23">
        <v>9.438849084854764E-2</v>
      </c>
      <c r="BF728" s="23">
        <v>7.149564986855049E-2</v>
      </c>
      <c r="BG728" s="23">
        <v>0.10368571810536763</v>
      </c>
      <c r="BH728" s="23">
        <v>8.4970330952544637E-2</v>
      </c>
      <c r="BI728" s="23">
        <v>8.4593878877262704E-2</v>
      </c>
      <c r="BJ728" s="23">
        <v>5.7447105462779965E-2</v>
      </c>
      <c r="BK728" s="23">
        <v>8.5153852345557474E-2</v>
      </c>
      <c r="BL728" s="23">
        <v>7.4158058913035174E-2</v>
      </c>
      <c r="BM728" s="23">
        <v>7.5718189192107169E-2</v>
      </c>
      <c r="BN728" s="23">
        <v>7.3955559365675619E-2</v>
      </c>
    </row>
    <row r="729" spans="1:66" x14ac:dyDescent="0.25">
      <c r="A729" s="16">
        <v>5183</v>
      </c>
      <c r="B729" s="16" t="s">
        <v>923</v>
      </c>
      <c r="C729" s="17">
        <v>0</v>
      </c>
      <c r="D729" s="17">
        <f t="shared" si="416"/>
        <v>0</v>
      </c>
      <c r="E729" s="17">
        <f t="shared" si="417"/>
        <v>0</v>
      </c>
      <c r="F729" s="17">
        <f t="shared" si="418"/>
        <v>0</v>
      </c>
      <c r="G729" s="17">
        <f t="shared" si="419"/>
        <v>0</v>
      </c>
      <c r="H729" s="17">
        <f t="shared" si="420"/>
        <v>0</v>
      </c>
      <c r="I729" s="17">
        <f t="shared" si="421"/>
        <v>0</v>
      </c>
      <c r="J729" s="17">
        <f t="shared" si="422"/>
        <v>0</v>
      </c>
      <c r="K729" s="17">
        <f t="shared" si="423"/>
        <v>0</v>
      </c>
      <c r="L729" s="17">
        <f t="shared" si="424"/>
        <v>0</v>
      </c>
      <c r="M729" s="17">
        <f t="shared" si="425"/>
        <v>0</v>
      </c>
      <c r="N729" s="17">
        <f t="shared" si="426"/>
        <v>0</v>
      </c>
      <c r="O729" s="17">
        <f t="shared" si="427"/>
        <v>0</v>
      </c>
      <c r="P729" s="17">
        <v>0</v>
      </c>
      <c r="Q729" s="17">
        <f t="shared" si="428"/>
        <v>0</v>
      </c>
      <c r="R729" s="17">
        <f t="shared" si="429"/>
        <v>0</v>
      </c>
      <c r="S729" s="17">
        <f t="shared" si="430"/>
        <v>0</v>
      </c>
      <c r="T729" s="17">
        <f t="shared" si="431"/>
        <v>0</v>
      </c>
      <c r="U729" s="17">
        <f t="shared" si="432"/>
        <v>0</v>
      </c>
      <c r="V729" s="17">
        <f t="shared" si="433"/>
        <v>0</v>
      </c>
      <c r="W729" s="17">
        <f t="shared" si="434"/>
        <v>0</v>
      </c>
      <c r="X729" s="17">
        <f t="shared" si="435"/>
        <v>0</v>
      </c>
      <c r="Y729" s="17">
        <f t="shared" si="436"/>
        <v>0</v>
      </c>
      <c r="Z729" s="17">
        <f t="shared" si="437"/>
        <v>0</v>
      </c>
      <c r="AA729" s="17">
        <f t="shared" si="438"/>
        <v>0</v>
      </c>
      <c r="AB729" s="17">
        <f t="shared" si="439"/>
        <v>0</v>
      </c>
      <c r="AC729" s="17">
        <v>0</v>
      </c>
      <c r="AD729" s="17">
        <f t="shared" si="440"/>
        <v>0</v>
      </c>
      <c r="AE729" s="17">
        <f t="shared" si="441"/>
        <v>0</v>
      </c>
      <c r="AF729" s="17">
        <f t="shared" si="442"/>
        <v>0</v>
      </c>
      <c r="AG729" s="17">
        <f t="shared" si="443"/>
        <v>0</v>
      </c>
      <c r="AH729" s="17">
        <f t="shared" si="444"/>
        <v>0</v>
      </c>
      <c r="AI729" s="17">
        <f t="shared" si="445"/>
        <v>0</v>
      </c>
      <c r="AJ729" s="17">
        <f t="shared" si="446"/>
        <v>0</v>
      </c>
      <c r="AK729" s="17">
        <f t="shared" si="447"/>
        <v>0</v>
      </c>
      <c r="AL729" s="17">
        <f t="shared" si="448"/>
        <v>0</v>
      </c>
      <c r="AM729" s="17">
        <f t="shared" si="449"/>
        <v>0</v>
      </c>
      <c r="AN729" s="17">
        <f t="shared" si="450"/>
        <v>0</v>
      </c>
      <c r="AO729" s="17">
        <f t="shared" si="451"/>
        <v>0</v>
      </c>
      <c r="AP729" s="17">
        <f t="shared" si="452"/>
        <v>0</v>
      </c>
      <c r="AQ729" s="18">
        <v>0</v>
      </c>
      <c r="AR729" s="18">
        <v>0</v>
      </c>
      <c r="AS729" s="18">
        <v>0</v>
      </c>
      <c r="AT729" s="18">
        <v>0</v>
      </c>
      <c r="AU729" s="18">
        <v>0</v>
      </c>
      <c r="AV729" s="18">
        <v>0</v>
      </c>
      <c r="AW729" s="18">
        <v>0</v>
      </c>
      <c r="AX729" s="18">
        <v>0</v>
      </c>
      <c r="AY729" s="18">
        <v>0</v>
      </c>
      <c r="AZ729" s="18">
        <v>0</v>
      </c>
      <c r="BA729" s="18">
        <v>0</v>
      </c>
      <c r="BB729" s="18">
        <v>0</v>
      </c>
      <c r="BC729" s="23">
        <v>8.9181565948742242E-2</v>
      </c>
      <c r="BD729" s="23">
        <v>0.10665277883445198</v>
      </c>
      <c r="BE729" s="23">
        <v>9.438849084854764E-2</v>
      </c>
      <c r="BF729" s="23">
        <v>7.149564986855049E-2</v>
      </c>
      <c r="BG729" s="23">
        <v>0.10368571810536763</v>
      </c>
      <c r="BH729" s="23">
        <v>8.4970330952544637E-2</v>
      </c>
      <c r="BI729" s="23">
        <v>8.4593878877262704E-2</v>
      </c>
      <c r="BJ729" s="23">
        <v>5.7447105462779965E-2</v>
      </c>
      <c r="BK729" s="23">
        <v>8.5153852345557474E-2</v>
      </c>
      <c r="BL729" s="23">
        <v>7.4158058913035174E-2</v>
      </c>
      <c r="BM729" s="23">
        <v>7.5718189192107169E-2</v>
      </c>
      <c r="BN729" s="23">
        <v>7.3955559365675619E-2</v>
      </c>
    </row>
    <row r="730" spans="1:66" x14ac:dyDescent="0.25">
      <c r="A730" s="16">
        <v>5196</v>
      </c>
      <c r="B730" s="16" t="s">
        <v>924</v>
      </c>
      <c r="C730" s="17">
        <v>0</v>
      </c>
      <c r="D730" s="17">
        <f t="shared" si="416"/>
        <v>0</v>
      </c>
      <c r="E730" s="17">
        <f t="shared" si="417"/>
        <v>0</v>
      </c>
      <c r="F730" s="17">
        <f t="shared" si="418"/>
        <v>0</v>
      </c>
      <c r="G730" s="17">
        <f t="shared" si="419"/>
        <v>0</v>
      </c>
      <c r="H730" s="17">
        <f t="shared" si="420"/>
        <v>0</v>
      </c>
      <c r="I730" s="17">
        <f t="shared" si="421"/>
        <v>0</v>
      </c>
      <c r="J730" s="17">
        <f t="shared" si="422"/>
        <v>0</v>
      </c>
      <c r="K730" s="17">
        <f t="shared" si="423"/>
        <v>0</v>
      </c>
      <c r="L730" s="17">
        <f t="shared" si="424"/>
        <v>0</v>
      </c>
      <c r="M730" s="17">
        <f t="shared" si="425"/>
        <v>0</v>
      </c>
      <c r="N730" s="17">
        <f t="shared" si="426"/>
        <v>0</v>
      </c>
      <c r="O730" s="17">
        <f t="shared" si="427"/>
        <v>0</v>
      </c>
      <c r="P730" s="17">
        <v>0</v>
      </c>
      <c r="Q730" s="17">
        <f t="shared" si="428"/>
        <v>0</v>
      </c>
      <c r="R730" s="17">
        <f t="shared" si="429"/>
        <v>0</v>
      </c>
      <c r="S730" s="17">
        <f t="shared" si="430"/>
        <v>0</v>
      </c>
      <c r="T730" s="17">
        <f t="shared" si="431"/>
        <v>0</v>
      </c>
      <c r="U730" s="17">
        <f t="shared" si="432"/>
        <v>0</v>
      </c>
      <c r="V730" s="17">
        <f t="shared" si="433"/>
        <v>0</v>
      </c>
      <c r="W730" s="17">
        <f t="shared" si="434"/>
        <v>0</v>
      </c>
      <c r="X730" s="17">
        <f t="shared" si="435"/>
        <v>0</v>
      </c>
      <c r="Y730" s="17">
        <f t="shared" si="436"/>
        <v>0</v>
      </c>
      <c r="Z730" s="17">
        <f t="shared" si="437"/>
        <v>0</v>
      </c>
      <c r="AA730" s="17">
        <f t="shared" si="438"/>
        <v>0</v>
      </c>
      <c r="AB730" s="17">
        <f t="shared" si="439"/>
        <v>0</v>
      </c>
      <c r="AC730" s="17">
        <v>0</v>
      </c>
      <c r="AD730" s="17">
        <f t="shared" si="440"/>
        <v>0</v>
      </c>
      <c r="AE730" s="17">
        <f t="shared" si="441"/>
        <v>0</v>
      </c>
      <c r="AF730" s="17">
        <f t="shared" si="442"/>
        <v>0</v>
      </c>
      <c r="AG730" s="17">
        <f t="shared" si="443"/>
        <v>0</v>
      </c>
      <c r="AH730" s="17">
        <f t="shared" si="444"/>
        <v>0</v>
      </c>
      <c r="AI730" s="17">
        <f t="shared" si="445"/>
        <v>0</v>
      </c>
      <c r="AJ730" s="17">
        <f t="shared" si="446"/>
        <v>0</v>
      </c>
      <c r="AK730" s="17">
        <f t="shared" si="447"/>
        <v>0</v>
      </c>
      <c r="AL730" s="17">
        <f t="shared" si="448"/>
        <v>0</v>
      </c>
      <c r="AM730" s="17">
        <f t="shared" si="449"/>
        <v>0</v>
      </c>
      <c r="AN730" s="17">
        <f t="shared" si="450"/>
        <v>0</v>
      </c>
      <c r="AO730" s="17">
        <f t="shared" si="451"/>
        <v>0</v>
      </c>
      <c r="AP730" s="17">
        <f t="shared" si="452"/>
        <v>0</v>
      </c>
      <c r="AQ730" s="18">
        <v>0</v>
      </c>
      <c r="AR730" s="18">
        <v>0</v>
      </c>
      <c r="AS730" s="18">
        <v>0</v>
      </c>
      <c r="AT730" s="18">
        <v>0</v>
      </c>
      <c r="AU730" s="18">
        <v>0</v>
      </c>
      <c r="AV730" s="18">
        <v>0</v>
      </c>
      <c r="AW730" s="18">
        <v>0</v>
      </c>
      <c r="AX730" s="18">
        <v>0</v>
      </c>
      <c r="AY730" s="18">
        <v>0</v>
      </c>
      <c r="AZ730" s="18">
        <v>0</v>
      </c>
      <c r="BA730" s="18">
        <v>0</v>
      </c>
      <c r="BB730" s="18">
        <v>0</v>
      </c>
      <c r="BC730" s="23">
        <v>8.9181565948742242E-2</v>
      </c>
      <c r="BD730" s="23">
        <v>0.10665277883445198</v>
      </c>
      <c r="BE730" s="23">
        <v>9.438849084854764E-2</v>
      </c>
      <c r="BF730" s="23">
        <v>7.149564986855049E-2</v>
      </c>
      <c r="BG730" s="23">
        <v>0.10368571810536763</v>
      </c>
      <c r="BH730" s="23">
        <v>8.4970330952544637E-2</v>
      </c>
      <c r="BI730" s="23">
        <v>8.4593878877262704E-2</v>
      </c>
      <c r="BJ730" s="23">
        <v>5.7447105462779965E-2</v>
      </c>
      <c r="BK730" s="23">
        <v>8.5153852345557474E-2</v>
      </c>
      <c r="BL730" s="23">
        <v>7.4158058913035174E-2</v>
      </c>
      <c r="BM730" s="23">
        <v>7.5718189192107169E-2</v>
      </c>
      <c r="BN730" s="23">
        <v>7.3955559365675619E-2</v>
      </c>
    </row>
    <row r="731" spans="1:66" x14ac:dyDescent="0.25">
      <c r="A731" s="16">
        <v>5209</v>
      </c>
      <c r="B731" s="16" t="s">
        <v>925</v>
      </c>
      <c r="C731" s="17">
        <v>0</v>
      </c>
      <c r="D731" s="17">
        <f t="shared" si="416"/>
        <v>0</v>
      </c>
      <c r="E731" s="17">
        <f t="shared" si="417"/>
        <v>0</v>
      </c>
      <c r="F731" s="17">
        <f t="shared" si="418"/>
        <v>0</v>
      </c>
      <c r="G731" s="17">
        <f t="shared" si="419"/>
        <v>0</v>
      </c>
      <c r="H731" s="17">
        <f t="shared" si="420"/>
        <v>0</v>
      </c>
      <c r="I731" s="17">
        <f t="shared" si="421"/>
        <v>0</v>
      </c>
      <c r="J731" s="17">
        <f t="shared" si="422"/>
        <v>0</v>
      </c>
      <c r="K731" s="17">
        <f t="shared" si="423"/>
        <v>0</v>
      </c>
      <c r="L731" s="17">
        <f t="shared" si="424"/>
        <v>0</v>
      </c>
      <c r="M731" s="17">
        <f t="shared" si="425"/>
        <v>0</v>
      </c>
      <c r="N731" s="17">
        <f t="shared" si="426"/>
        <v>0</v>
      </c>
      <c r="O731" s="17">
        <f t="shared" si="427"/>
        <v>0</v>
      </c>
      <c r="P731" s="17">
        <v>2000</v>
      </c>
      <c r="Q731" s="17">
        <f t="shared" si="428"/>
        <v>178.36313189748449</v>
      </c>
      <c r="R731" s="17">
        <f t="shared" si="429"/>
        <v>213.30555766890396</v>
      </c>
      <c r="S731" s="17">
        <f t="shared" si="430"/>
        <v>188.77698169709529</v>
      </c>
      <c r="T731" s="17">
        <f t="shared" si="431"/>
        <v>142.99129973710097</v>
      </c>
      <c r="U731" s="17">
        <f t="shared" si="432"/>
        <v>207.37143621073525</v>
      </c>
      <c r="V731" s="17">
        <f t="shared" si="433"/>
        <v>169.94066190508929</v>
      </c>
      <c r="W731" s="17">
        <f t="shared" si="434"/>
        <v>169.18775775452542</v>
      </c>
      <c r="X731" s="17">
        <f t="shared" si="435"/>
        <v>114.89421092555993</v>
      </c>
      <c r="Y731" s="17">
        <f t="shared" si="436"/>
        <v>170.30770469111494</v>
      </c>
      <c r="Z731" s="17">
        <f t="shared" si="437"/>
        <v>148.31611782607035</v>
      </c>
      <c r="AA731" s="17">
        <f t="shared" si="438"/>
        <v>151.43637838421435</v>
      </c>
      <c r="AB731" s="17">
        <f t="shared" si="439"/>
        <v>147.91111873135125</v>
      </c>
      <c r="AC731" s="17">
        <v>0</v>
      </c>
      <c r="AD731" s="17">
        <f t="shared" si="440"/>
        <v>0</v>
      </c>
      <c r="AE731" s="17">
        <f t="shared" si="441"/>
        <v>0</v>
      </c>
      <c r="AF731" s="17">
        <f t="shared" si="442"/>
        <v>0</v>
      </c>
      <c r="AG731" s="17">
        <f t="shared" si="443"/>
        <v>0</v>
      </c>
      <c r="AH731" s="17">
        <f t="shared" si="444"/>
        <v>0</v>
      </c>
      <c r="AI731" s="17">
        <f t="shared" si="445"/>
        <v>0</v>
      </c>
      <c r="AJ731" s="17">
        <f t="shared" si="446"/>
        <v>0</v>
      </c>
      <c r="AK731" s="17">
        <f t="shared" si="447"/>
        <v>0</v>
      </c>
      <c r="AL731" s="17">
        <f t="shared" si="448"/>
        <v>0</v>
      </c>
      <c r="AM731" s="17">
        <f t="shared" si="449"/>
        <v>0</v>
      </c>
      <c r="AN731" s="17">
        <f t="shared" si="450"/>
        <v>0</v>
      </c>
      <c r="AO731" s="17">
        <f t="shared" si="451"/>
        <v>0</v>
      </c>
      <c r="AP731" s="17">
        <f t="shared" si="452"/>
        <v>2000</v>
      </c>
      <c r="AQ731" s="18">
        <v>117.59704239916024</v>
      </c>
      <c r="AR731" s="18">
        <v>140.63502049057925</v>
      </c>
      <c r="AS731" s="18">
        <v>124.46302374516613</v>
      </c>
      <c r="AT731" s="18">
        <v>94.275951307917396</v>
      </c>
      <c r="AU731" s="18">
        <v>136.72258003669037</v>
      </c>
      <c r="AV731" s="18">
        <v>112.04400265229917</v>
      </c>
      <c r="AW731" s="18">
        <v>111.54760353453054</v>
      </c>
      <c r="AX731" s="18">
        <v>75.751189440858226</v>
      </c>
      <c r="AY731" s="18">
        <v>112.28599854916072</v>
      </c>
      <c r="AZ731" s="18">
        <v>97.786670434201</v>
      </c>
      <c r="BA731" s="18">
        <v>99.843897223442312</v>
      </c>
      <c r="BB731" s="18">
        <v>97.519649468564012</v>
      </c>
      <c r="BC731" s="23">
        <v>8.9181565948742242E-2</v>
      </c>
      <c r="BD731" s="23">
        <v>0.10665277883445198</v>
      </c>
      <c r="BE731" s="23">
        <v>9.438849084854764E-2</v>
      </c>
      <c r="BF731" s="23">
        <v>7.149564986855049E-2</v>
      </c>
      <c r="BG731" s="23">
        <v>0.10368571810536763</v>
      </c>
      <c r="BH731" s="23">
        <v>8.4970330952544637E-2</v>
      </c>
      <c r="BI731" s="23">
        <v>8.4593878877262704E-2</v>
      </c>
      <c r="BJ731" s="23">
        <v>5.7447105462779965E-2</v>
      </c>
      <c r="BK731" s="23">
        <v>8.5153852345557474E-2</v>
      </c>
      <c r="BL731" s="23">
        <v>7.4158058913035174E-2</v>
      </c>
      <c r="BM731" s="23">
        <v>7.5718189192107169E-2</v>
      </c>
      <c r="BN731" s="23">
        <v>7.3955559365675619E-2</v>
      </c>
    </row>
    <row r="732" spans="1:66" x14ac:dyDescent="0.25">
      <c r="A732" s="16">
        <v>5229</v>
      </c>
      <c r="B732" s="16" t="s">
        <v>926</v>
      </c>
      <c r="C732" s="17">
        <v>0</v>
      </c>
      <c r="D732" s="17">
        <f t="shared" si="416"/>
        <v>0</v>
      </c>
      <c r="E732" s="17">
        <f t="shared" si="417"/>
        <v>0</v>
      </c>
      <c r="F732" s="17">
        <f t="shared" si="418"/>
        <v>0</v>
      </c>
      <c r="G732" s="17">
        <f t="shared" si="419"/>
        <v>0</v>
      </c>
      <c r="H732" s="17">
        <f t="shared" si="420"/>
        <v>0</v>
      </c>
      <c r="I732" s="17">
        <f t="shared" si="421"/>
        <v>0</v>
      </c>
      <c r="J732" s="17">
        <f t="shared" si="422"/>
        <v>0</v>
      </c>
      <c r="K732" s="17">
        <f t="shared" si="423"/>
        <v>0</v>
      </c>
      <c r="L732" s="17">
        <f t="shared" si="424"/>
        <v>0</v>
      </c>
      <c r="M732" s="17">
        <f t="shared" si="425"/>
        <v>0</v>
      </c>
      <c r="N732" s="17">
        <f t="shared" si="426"/>
        <v>0</v>
      </c>
      <c r="O732" s="17">
        <f t="shared" si="427"/>
        <v>0</v>
      </c>
      <c r="P732" s="17">
        <v>0</v>
      </c>
      <c r="Q732" s="17">
        <f t="shared" si="428"/>
        <v>0</v>
      </c>
      <c r="R732" s="17">
        <f t="shared" si="429"/>
        <v>0</v>
      </c>
      <c r="S732" s="17">
        <f t="shared" si="430"/>
        <v>0</v>
      </c>
      <c r="T732" s="17">
        <f t="shared" si="431"/>
        <v>0</v>
      </c>
      <c r="U732" s="17">
        <f t="shared" si="432"/>
        <v>0</v>
      </c>
      <c r="V732" s="17">
        <f t="shared" si="433"/>
        <v>0</v>
      </c>
      <c r="W732" s="17">
        <f t="shared" si="434"/>
        <v>0</v>
      </c>
      <c r="X732" s="17">
        <f t="shared" si="435"/>
        <v>0</v>
      </c>
      <c r="Y732" s="17">
        <f t="shared" si="436"/>
        <v>0</v>
      </c>
      <c r="Z732" s="17">
        <f t="shared" si="437"/>
        <v>0</v>
      </c>
      <c r="AA732" s="17">
        <f t="shared" si="438"/>
        <v>0</v>
      </c>
      <c r="AB732" s="17">
        <f t="shared" si="439"/>
        <v>0</v>
      </c>
      <c r="AC732" s="17">
        <v>0</v>
      </c>
      <c r="AD732" s="17">
        <f t="shared" si="440"/>
        <v>0</v>
      </c>
      <c r="AE732" s="17">
        <f t="shared" si="441"/>
        <v>0</v>
      </c>
      <c r="AF732" s="17">
        <f t="shared" si="442"/>
        <v>0</v>
      </c>
      <c r="AG732" s="17">
        <f t="shared" si="443"/>
        <v>0</v>
      </c>
      <c r="AH732" s="17">
        <f t="shared" si="444"/>
        <v>0</v>
      </c>
      <c r="AI732" s="17">
        <f t="shared" si="445"/>
        <v>0</v>
      </c>
      <c r="AJ732" s="17">
        <f t="shared" si="446"/>
        <v>0</v>
      </c>
      <c r="AK732" s="17">
        <f t="shared" si="447"/>
        <v>0</v>
      </c>
      <c r="AL732" s="17">
        <f t="shared" si="448"/>
        <v>0</v>
      </c>
      <c r="AM732" s="17">
        <f t="shared" si="449"/>
        <v>0</v>
      </c>
      <c r="AN732" s="17">
        <f t="shared" si="450"/>
        <v>0</v>
      </c>
      <c r="AO732" s="17">
        <f t="shared" si="451"/>
        <v>0</v>
      </c>
      <c r="AP732" s="17">
        <f t="shared" si="452"/>
        <v>0</v>
      </c>
      <c r="AQ732" s="18">
        <v>0</v>
      </c>
      <c r="AR732" s="18">
        <v>0</v>
      </c>
      <c r="AS732" s="18">
        <v>0</v>
      </c>
      <c r="AT732" s="18">
        <v>0</v>
      </c>
      <c r="AU732" s="18">
        <v>0</v>
      </c>
      <c r="AV732" s="18">
        <v>0</v>
      </c>
      <c r="AW732" s="18">
        <v>0</v>
      </c>
      <c r="AX732" s="18">
        <v>0</v>
      </c>
      <c r="AY732" s="18">
        <v>0</v>
      </c>
      <c r="AZ732" s="18">
        <v>0</v>
      </c>
      <c r="BA732" s="18">
        <v>0</v>
      </c>
      <c r="BB732" s="18">
        <v>0</v>
      </c>
      <c r="BC732" s="23">
        <v>8.9181565948742242E-2</v>
      </c>
      <c r="BD732" s="23">
        <v>0.10665277883445198</v>
      </c>
      <c r="BE732" s="23">
        <v>9.438849084854764E-2</v>
      </c>
      <c r="BF732" s="23">
        <v>7.149564986855049E-2</v>
      </c>
      <c r="BG732" s="23">
        <v>0.10368571810536763</v>
      </c>
      <c r="BH732" s="23">
        <v>8.4970330952544637E-2</v>
      </c>
      <c r="BI732" s="23">
        <v>8.4593878877262704E-2</v>
      </c>
      <c r="BJ732" s="23">
        <v>5.7447105462779965E-2</v>
      </c>
      <c r="BK732" s="23">
        <v>8.5153852345557474E-2</v>
      </c>
      <c r="BL732" s="23">
        <v>7.4158058913035174E-2</v>
      </c>
      <c r="BM732" s="23">
        <v>7.5718189192107169E-2</v>
      </c>
      <c r="BN732" s="23">
        <v>7.3955559365675619E-2</v>
      </c>
    </row>
    <row r="733" spans="1:66" x14ac:dyDescent="0.25">
      <c r="A733" s="16">
        <v>5231</v>
      </c>
      <c r="B733" s="16" t="s">
        <v>927</v>
      </c>
      <c r="C733" s="17">
        <v>0</v>
      </c>
      <c r="D733" s="17">
        <f t="shared" si="416"/>
        <v>0</v>
      </c>
      <c r="E733" s="17">
        <f t="shared" si="417"/>
        <v>0</v>
      </c>
      <c r="F733" s="17">
        <f t="shared" si="418"/>
        <v>0</v>
      </c>
      <c r="G733" s="17">
        <f t="shared" si="419"/>
        <v>0</v>
      </c>
      <c r="H733" s="17">
        <f t="shared" si="420"/>
        <v>0</v>
      </c>
      <c r="I733" s="17">
        <f t="shared" si="421"/>
        <v>0</v>
      </c>
      <c r="J733" s="17">
        <f t="shared" si="422"/>
        <v>0</v>
      </c>
      <c r="K733" s="17">
        <f t="shared" si="423"/>
        <v>0</v>
      </c>
      <c r="L733" s="17">
        <f t="shared" si="424"/>
        <v>0</v>
      </c>
      <c r="M733" s="17">
        <f t="shared" si="425"/>
        <v>0</v>
      </c>
      <c r="N733" s="17">
        <f t="shared" si="426"/>
        <v>0</v>
      </c>
      <c r="O733" s="17">
        <f t="shared" si="427"/>
        <v>0</v>
      </c>
      <c r="P733" s="17">
        <v>0</v>
      </c>
      <c r="Q733" s="17">
        <f t="shared" si="428"/>
        <v>0</v>
      </c>
      <c r="R733" s="17">
        <f t="shared" si="429"/>
        <v>0</v>
      </c>
      <c r="S733" s="17">
        <f t="shared" si="430"/>
        <v>0</v>
      </c>
      <c r="T733" s="17">
        <f t="shared" si="431"/>
        <v>0</v>
      </c>
      <c r="U733" s="17">
        <f t="shared" si="432"/>
        <v>0</v>
      </c>
      <c r="V733" s="17">
        <f t="shared" si="433"/>
        <v>0</v>
      </c>
      <c r="W733" s="17">
        <f t="shared" si="434"/>
        <v>0</v>
      </c>
      <c r="X733" s="17">
        <f t="shared" si="435"/>
        <v>0</v>
      </c>
      <c r="Y733" s="17">
        <f t="shared" si="436"/>
        <v>0</v>
      </c>
      <c r="Z733" s="17">
        <f t="shared" si="437"/>
        <v>0</v>
      </c>
      <c r="AA733" s="17">
        <f t="shared" si="438"/>
        <v>0</v>
      </c>
      <c r="AB733" s="17">
        <f t="shared" si="439"/>
        <v>0</v>
      </c>
      <c r="AC733" s="17">
        <v>0</v>
      </c>
      <c r="AD733" s="17">
        <f t="shared" si="440"/>
        <v>0</v>
      </c>
      <c r="AE733" s="17">
        <f t="shared" si="441"/>
        <v>0</v>
      </c>
      <c r="AF733" s="17">
        <f t="shared" si="442"/>
        <v>0</v>
      </c>
      <c r="AG733" s="17">
        <f t="shared" si="443"/>
        <v>0</v>
      </c>
      <c r="AH733" s="17">
        <f t="shared" si="444"/>
        <v>0</v>
      </c>
      <c r="AI733" s="17">
        <f t="shared" si="445"/>
        <v>0</v>
      </c>
      <c r="AJ733" s="17">
        <f t="shared" si="446"/>
        <v>0</v>
      </c>
      <c r="AK733" s="17">
        <f t="shared" si="447"/>
        <v>0</v>
      </c>
      <c r="AL733" s="17">
        <f t="shared" si="448"/>
        <v>0</v>
      </c>
      <c r="AM733" s="17">
        <f t="shared" si="449"/>
        <v>0</v>
      </c>
      <c r="AN733" s="17">
        <f t="shared" si="450"/>
        <v>0</v>
      </c>
      <c r="AO733" s="17">
        <f t="shared" si="451"/>
        <v>0</v>
      </c>
      <c r="AP733" s="17">
        <f t="shared" si="452"/>
        <v>0</v>
      </c>
      <c r="AQ733" s="18">
        <v>0</v>
      </c>
      <c r="AR733" s="18">
        <v>0</v>
      </c>
      <c r="AS733" s="18">
        <v>0</v>
      </c>
      <c r="AT733" s="18">
        <v>0</v>
      </c>
      <c r="AU733" s="18">
        <v>0</v>
      </c>
      <c r="AV733" s="18">
        <v>0</v>
      </c>
      <c r="AW733" s="18">
        <v>0</v>
      </c>
      <c r="AX733" s="18">
        <v>0</v>
      </c>
      <c r="AY733" s="18">
        <v>0</v>
      </c>
      <c r="AZ733" s="18">
        <v>0</v>
      </c>
      <c r="BA733" s="18">
        <v>0</v>
      </c>
      <c r="BB733" s="18">
        <v>0</v>
      </c>
      <c r="BC733" s="23">
        <v>8.9181565948742242E-2</v>
      </c>
      <c r="BD733" s="23">
        <v>0.10665277883445198</v>
      </c>
      <c r="BE733" s="23">
        <v>9.438849084854764E-2</v>
      </c>
      <c r="BF733" s="23">
        <v>7.149564986855049E-2</v>
      </c>
      <c r="BG733" s="23">
        <v>0.10368571810536763</v>
      </c>
      <c r="BH733" s="23">
        <v>8.4970330952544637E-2</v>
      </c>
      <c r="BI733" s="23">
        <v>8.4593878877262704E-2</v>
      </c>
      <c r="BJ733" s="23">
        <v>5.7447105462779965E-2</v>
      </c>
      <c r="BK733" s="23">
        <v>8.5153852345557474E-2</v>
      </c>
      <c r="BL733" s="23">
        <v>7.4158058913035174E-2</v>
      </c>
      <c r="BM733" s="23">
        <v>7.5718189192107169E-2</v>
      </c>
      <c r="BN733" s="23">
        <v>7.3955559365675619E-2</v>
      </c>
    </row>
    <row r="734" spans="1:66" x14ac:dyDescent="0.25">
      <c r="A734" s="16">
        <v>5232</v>
      </c>
      <c r="B734" s="16" t="s">
        <v>928</v>
      </c>
      <c r="C734" s="17">
        <v>0</v>
      </c>
      <c r="D734" s="17">
        <f t="shared" si="416"/>
        <v>0</v>
      </c>
      <c r="E734" s="17">
        <f t="shared" si="417"/>
        <v>0</v>
      </c>
      <c r="F734" s="17">
        <f t="shared" si="418"/>
        <v>0</v>
      </c>
      <c r="G734" s="17">
        <f t="shared" si="419"/>
        <v>0</v>
      </c>
      <c r="H734" s="17">
        <f t="shared" si="420"/>
        <v>0</v>
      </c>
      <c r="I734" s="17">
        <f t="shared" si="421"/>
        <v>0</v>
      </c>
      <c r="J734" s="17">
        <f t="shared" si="422"/>
        <v>0</v>
      </c>
      <c r="K734" s="17">
        <f t="shared" si="423"/>
        <v>0</v>
      </c>
      <c r="L734" s="17">
        <f t="shared" si="424"/>
        <v>0</v>
      </c>
      <c r="M734" s="17">
        <f t="shared" si="425"/>
        <v>0</v>
      </c>
      <c r="N734" s="17">
        <f t="shared" si="426"/>
        <v>0</v>
      </c>
      <c r="O734" s="17">
        <f t="shared" si="427"/>
        <v>0</v>
      </c>
      <c r="P734" s="17">
        <v>0</v>
      </c>
      <c r="Q734" s="17">
        <f t="shared" si="428"/>
        <v>0</v>
      </c>
      <c r="R734" s="17">
        <f t="shared" si="429"/>
        <v>0</v>
      </c>
      <c r="S734" s="17">
        <f t="shared" si="430"/>
        <v>0</v>
      </c>
      <c r="T734" s="17">
        <f t="shared" si="431"/>
        <v>0</v>
      </c>
      <c r="U734" s="17">
        <f t="shared" si="432"/>
        <v>0</v>
      </c>
      <c r="V734" s="17">
        <f t="shared" si="433"/>
        <v>0</v>
      </c>
      <c r="W734" s="17">
        <f t="shared" si="434"/>
        <v>0</v>
      </c>
      <c r="X734" s="17">
        <f t="shared" si="435"/>
        <v>0</v>
      </c>
      <c r="Y734" s="17">
        <f t="shared" si="436"/>
        <v>0</v>
      </c>
      <c r="Z734" s="17">
        <f t="shared" si="437"/>
        <v>0</v>
      </c>
      <c r="AA734" s="17">
        <f t="shared" si="438"/>
        <v>0</v>
      </c>
      <c r="AB734" s="17">
        <f t="shared" si="439"/>
        <v>0</v>
      </c>
      <c r="AC734" s="17">
        <v>0</v>
      </c>
      <c r="AD734" s="17">
        <f t="shared" si="440"/>
        <v>0</v>
      </c>
      <c r="AE734" s="17">
        <f t="shared" si="441"/>
        <v>0</v>
      </c>
      <c r="AF734" s="17">
        <f t="shared" si="442"/>
        <v>0</v>
      </c>
      <c r="AG734" s="17">
        <f t="shared" si="443"/>
        <v>0</v>
      </c>
      <c r="AH734" s="17">
        <f t="shared" si="444"/>
        <v>0</v>
      </c>
      <c r="AI734" s="17">
        <f t="shared" si="445"/>
        <v>0</v>
      </c>
      <c r="AJ734" s="17">
        <f t="shared" si="446"/>
        <v>0</v>
      </c>
      <c r="AK734" s="17">
        <f t="shared" si="447"/>
        <v>0</v>
      </c>
      <c r="AL734" s="17">
        <f t="shared" si="448"/>
        <v>0</v>
      </c>
      <c r="AM734" s="17">
        <f t="shared" si="449"/>
        <v>0</v>
      </c>
      <c r="AN734" s="17">
        <f t="shared" si="450"/>
        <v>0</v>
      </c>
      <c r="AO734" s="17">
        <f t="shared" si="451"/>
        <v>0</v>
      </c>
      <c r="AP734" s="17">
        <f t="shared" si="452"/>
        <v>0</v>
      </c>
      <c r="AQ734" s="18">
        <v>0</v>
      </c>
      <c r="AR734" s="18">
        <v>0</v>
      </c>
      <c r="AS734" s="18">
        <v>0</v>
      </c>
      <c r="AT734" s="18">
        <v>0</v>
      </c>
      <c r="AU734" s="18">
        <v>0</v>
      </c>
      <c r="AV734" s="18">
        <v>0</v>
      </c>
      <c r="AW734" s="18">
        <v>0</v>
      </c>
      <c r="AX734" s="18">
        <v>0</v>
      </c>
      <c r="AY734" s="18">
        <v>0</v>
      </c>
      <c r="AZ734" s="18">
        <v>0</v>
      </c>
      <c r="BA734" s="18">
        <v>0</v>
      </c>
      <c r="BB734" s="18">
        <v>0</v>
      </c>
      <c r="BC734" s="23">
        <v>8.9181565948742242E-2</v>
      </c>
      <c r="BD734" s="23">
        <v>0.10665277883445198</v>
      </c>
      <c r="BE734" s="23">
        <v>9.438849084854764E-2</v>
      </c>
      <c r="BF734" s="23">
        <v>7.149564986855049E-2</v>
      </c>
      <c r="BG734" s="23">
        <v>0.10368571810536763</v>
      </c>
      <c r="BH734" s="23">
        <v>8.4970330952544637E-2</v>
      </c>
      <c r="BI734" s="23">
        <v>8.4593878877262704E-2</v>
      </c>
      <c r="BJ734" s="23">
        <v>5.7447105462779965E-2</v>
      </c>
      <c r="BK734" s="23">
        <v>8.5153852345557474E-2</v>
      </c>
      <c r="BL734" s="23">
        <v>7.4158058913035174E-2</v>
      </c>
      <c r="BM734" s="23">
        <v>7.5718189192107169E-2</v>
      </c>
      <c r="BN734" s="23">
        <v>7.3955559365675619E-2</v>
      </c>
    </row>
    <row r="735" spans="1:66" x14ac:dyDescent="0.25">
      <c r="A735" s="16">
        <v>5243</v>
      </c>
      <c r="B735" s="16" t="s">
        <v>929</v>
      </c>
      <c r="C735" s="17">
        <v>0</v>
      </c>
      <c r="D735" s="17">
        <f t="shared" si="416"/>
        <v>0</v>
      </c>
      <c r="E735" s="17">
        <f t="shared" si="417"/>
        <v>0</v>
      </c>
      <c r="F735" s="17">
        <f t="shared" si="418"/>
        <v>0</v>
      </c>
      <c r="G735" s="17">
        <f t="shared" si="419"/>
        <v>0</v>
      </c>
      <c r="H735" s="17">
        <f t="shared" si="420"/>
        <v>0</v>
      </c>
      <c r="I735" s="17">
        <f t="shared" si="421"/>
        <v>0</v>
      </c>
      <c r="J735" s="17">
        <f t="shared" si="422"/>
        <v>0</v>
      </c>
      <c r="K735" s="17">
        <f t="shared" si="423"/>
        <v>0</v>
      </c>
      <c r="L735" s="17">
        <f t="shared" si="424"/>
        <v>0</v>
      </c>
      <c r="M735" s="17">
        <f t="shared" si="425"/>
        <v>0</v>
      </c>
      <c r="N735" s="17">
        <f t="shared" si="426"/>
        <v>0</v>
      </c>
      <c r="O735" s="17">
        <f t="shared" si="427"/>
        <v>0</v>
      </c>
      <c r="P735" s="17">
        <v>0</v>
      </c>
      <c r="Q735" s="17">
        <f t="shared" si="428"/>
        <v>0</v>
      </c>
      <c r="R735" s="17">
        <f t="shared" si="429"/>
        <v>0</v>
      </c>
      <c r="S735" s="17">
        <f t="shared" si="430"/>
        <v>0</v>
      </c>
      <c r="T735" s="17">
        <f t="shared" si="431"/>
        <v>0</v>
      </c>
      <c r="U735" s="17">
        <f t="shared" si="432"/>
        <v>0</v>
      </c>
      <c r="V735" s="17">
        <f t="shared" si="433"/>
        <v>0</v>
      </c>
      <c r="W735" s="17">
        <f t="shared" si="434"/>
        <v>0</v>
      </c>
      <c r="X735" s="17">
        <f t="shared" si="435"/>
        <v>0</v>
      </c>
      <c r="Y735" s="17">
        <f t="shared" si="436"/>
        <v>0</v>
      </c>
      <c r="Z735" s="17">
        <f t="shared" si="437"/>
        <v>0</v>
      </c>
      <c r="AA735" s="17">
        <f t="shared" si="438"/>
        <v>0</v>
      </c>
      <c r="AB735" s="17">
        <f t="shared" si="439"/>
        <v>0</v>
      </c>
      <c r="AC735" s="17">
        <v>0</v>
      </c>
      <c r="AD735" s="17">
        <f t="shared" si="440"/>
        <v>0</v>
      </c>
      <c r="AE735" s="17">
        <f t="shared" si="441"/>
        <v>0</v>
      </c>
      <c r="AF735" s="17">
        <f t="shared" si="442"/>
        <v>0</v>
      </c>
      <c r="AG735" s="17">
        <f t="shared" si="443"/>
        <v>0</v>
      </c>
      <c r="AH735" s="17">
        <f t="shared" si="444"/>
        <v>0</v>
      </c>
      <c r="AI735" s="17">
        <f t="shared" si="445"/>
        <v>0</v>
      </c>
      <c r="AJ735" s="17">
        <f t="shared" si="446"/>
        <v>0</v>
      </c>
      <c r="AK735" s="17">
        <f t="shared" si="447"/>
        <v>0</v>
      </c>
      <c r="AL735" s="17">
        <f t="shared" si="448"/>
        <v>0</v>
      </c>
      <c r="AM735" s="17">
        <f t="shared" si="449"/>
        <v>0</v>
      </c>
      <c r="AN735" s="17">
        <f t="shared" si="450"/>
        <v>0</v>
      </c>
      <c r="AO735" s="17">
        <f t="shared" si="451"/>
        <v>0</v>
      </c>
      <c r="AP735" s="17">
        <f t="shared" si="452"/>
        <v>0</v>
      </c>
      <c r="AQ735" s="18">
        <v>8.2403766936637837</v>
      </c>
      <c r="AR735" s="18">
        <v>9.8547167643033635</v>
      </c>
      <c r="AS735" s="18">
        <v>8.7214965544058032</v>
      </c>
      <c r="AT735" s="18">
        <v>6.6061980478540656</v>
      </c>
      <c r="AU735" s="18">
        <v>9.5805603529359686</v>
      </c>
      <c r="AV735" s="18">
        <v>7.8512585800151253</v>
      </c>
      <c r="AW735" s="18">
        <v>7.816474408259074</v>
      </c>
      <c r="AX735" s="18">
        <v>5.3081125447608688</v>
      </c>
      <c r="AY735" s="18">
        <v>7.8682159567295109</v>
      </c>
      <c r="AZ735" s="18">
        <v>6.8522046435644501</v>
      </c>
      <c r="BA735" s="18">
        <v>6.9963606813507031</v>
      </c>
      <c r="BB735" s="18">
        <v>6.8334936853884276</v>
      </c>
      <c r="BC735" s="23">
        <v>8.9181565948742242E-2</v>
      </c>
      <c r="BD735" s="23">
        <v>0.10665277883445198</v>
      </c>
      <c r="BE735" s="23">
        <v>9.438849084854764E-2</v>
      </c>
      <c r="BF735" s="23">
        <v>7.149564986855049E-2</v>
      </c>
      <c r="BG735" s="23">
        <v>0.10368571810536763</v>
      </c>
      <c r="BH735" s="23">
        <v>8.4970330952544637E-2</v>
      </c>
      <c r="BI735" s="23">
        <v>8.4593878877262704E-2</v>
      </c>
      <c r="BJ735" s="23">
        <v>5.7447105462779965E-2</v>
      </c>
      <c r="BK735" s="23">
        <v>8.5153852345557474E-2</v>
      </c>
      <c r="BL735" s="23">
        <v>7.4158058913035174E-2</v>
      </c>
      <c r="BM735" s="23">
        <v>7.5718189192107169E-2</v>
      </c>
      <c r="BN735" s="23">
        <v>7.3955559365675619E-2</v>
      </c>
    </row>
    <row r="736" spans="1:66" x14ac:dyDescent="0.25">
      <c r="A736" s="16">
        <v>5244</v>
      </c>
      <c r="B736" s="16" t="s">
        <v>930</v>
      </c>
      <c r="C736" s="17">
        <v>0</v>
      </c>
      <c r="D736" s="17">
        <f t="shared" si="416"/>
        <v>0</v>
      </c>
      <c r="E736" s="17">
        <f t="shared" si="417"/>
        <v>0</v>
      </c>
      <c r="F736" s="17">
        <f t="shared" si="418"/>
        <v>0</v>
      </c>
      <c r="G736" s="17">
        <f t="shared" si="419"/>
        <v>0</v>
      </c>
      <c r="H736" s="17">
        <f t="shared" si="420"/>
        <v>0</v>
      </c>
      <c r="I736" s="17">
        <f t="shared" si="421"/>
        <v>0</v>
      </c>
      <c r="J736" s="17">
        <f t="shared" si="422"/>
        <v>0</v>
      </c>
      <c r="K736" s="17">
        <f t="shared" si="423"/>
        <v>0</v>
      </c>
      <c r="L736" s="17">
        <f t="shared" si="424"/>
        <v>0</v>
      </c>
      <c r="M736" s="17">
        <f t="shared" si="425"/>
        <v>0</v>
      </c>
      <c r="N736" s="17">
        <f t="shared" si="426"/>
        <v>0</v>
      </c>
      <c r="O736" s="17">
        <f t="shared" si="427"/>
        <v>0</v>
      </c>
      <c r="P736" s="17">
        <v>0</v>
      </c>
      <c r="Q736" s="17">
        <f t="shared" si="428"/>
        <v>0</v>
      </c>
      <c r="R736" s="17">
        <f t="shared" si="429"/>
        <v>0</v>
      </c>
      <c r="S736" s="17">
        <f t="shared" si="430"/>
        <v>0</v>
      </c>
      <c r="T736" s="17">
        <f t="shared" si="431"/>
        <v>0</v>
      </c>
      <c r="U736" s="17">
        <f t="shared" si="432"/>
        <v>0</v>
      </c>
      <c r="V736" s="17">
        <f t="shared" si="433"/>
        <v>0</v>
      </c>
      <c r="W736" s="17">
        <f t="shared" si="434"/>
        <v>0</v>
      </c>
      <c r="X736" s="17">
        <f t="shared" si="435"/>
        <v>0</v>
      </c>
      <c r="Y736" s="17">
        <f t="shared" si="436"/>
        <v>0</v>
      </c>
      <c r="Z736" s="17">
        <f t="shared" si="437"/>
        <v>0</v>
      </c>
      <c r="AA736" s="17">
        <f t="shared" si="438"/>
        <v>0</v>
      </c>
      <c r="AB736" s="17">
        <f t="shared" si="439"/>
        <v>0</v>
      </c>
      <c r="AC736" s="17">
        <v>0</v>
      </c>
      <c r="AD736" s="17">
        <f t="shared" si="440"/>
        <v>0</v>
      </c>
      <c r="AE736" s="17">
        <f t="shared" si="441"/>
        <v>0</v>
      </c>
      <c r="AF736" s="17">
        <f t="shared" si="442"/>
        <v>0</v>
      </c>
      <c r="AG736" s="17">
        <f t="shared" si="443"/>
        <v>0</v>
      </c>
      <c r="AH736" s="17">
        <f t="shared" si="444"/>
        <v>0</v>
      </c>
      <c r="AI736" s="17">
        <f t="shared" si="445"/>
        <v>0</v>
      </c>
      <c r="AJ736" s="17">
        <f t="shared" si="446"/>
        <v>0</v>
      </c>
      <c r="AK736" s="17">
        <f t="shared" si="447"/>
        <v>0</v>
      </c>
      <c r="AL736" s="17">
        <f t="shared" si="448"/>
        <v>0</v>
      </c>
      <c r="AM736" s="17">
        <f t="shared" si="449"/>
        <v>0</v>
      </c>
      <c r="AN736" s="17">
        <f t="shared" si="450"/>
        <v>0</v>
      </c>
      <c r="AO736" s="17">
        <f t="shared" si="451"/>
        <v>0</v>
      </c>
      <c r="AP736" s="17">
        <f t="shared" si="452"/>
        <v>0</v>
      </c>
      <c r="AQ736" s="18">
        <v>7.0631800231403856</v>
      </c>
      <c r="AR736" s="18">
        <v>8.4469000836885968</v>
      </c>
      <c r="AS736" s="18">
        <v>7.4755684752049731</v>
      </c>
      <c r="AT736" s="18">
        <v>5.6624554695891991</v>
      </c>
      <c r="AU736" s="18">
        <v>8.2119088739451165</v>
      </c>
      <c r="AV736" s="18">
        <v>6.7296502114415357</v>
      </c>
      <c r="AW736" s="18">
        <v>6.6998352070792064</v>
      </c>
      <c r="AX736" s="18">
        <v>4.5498107526521734</v>
      </c>
      <c r="AY736" s="18">
        <v>6.7441851057681523</v>
      </c>
      <c r="AZ736" s="18">
        <v>5.8733182659123857</v>
      </c>
      <c r="BA736" s="18">
        <v>5.996880584014888</v>
      </c>
      <c r="BB736" s="18">
        <v>5.8572803017615094</v>
      </c>
      <c r="BC736" s="23">
        <v>8.9181565948742242E-2</v>
      </c>
      <c r="BD736" s="23">
        <v>0.10665277883445198</v>
      </c>
      <c r="BE736" s="23">
        <v>9.438849084854764E-2</v>
      </c>
      <c r="BF736" s="23">
        <v>7.149564986855049E-2</v>
      </c>
      <c r="BG736" s="23">
        <v>0.10368571810536763</v>
      </c>
      <c r="BH736" s="23">
        <v>8.4970330952544637E-2</v>
      </c>
      <c r="BI736" s="23">
        <v>8.4593878877262704E-2</v>
      </c>
      <c r="BJ736" s="23">
        <v>5.7447105462779965E-2</v>
      </c>
      <c r="BK736" s="23">
        <v>8.5153852345557474E-2</v>
      </c>
      <c r="BL736" s="23">
        <v>7.4158058913035174E-2</v>
      </c>
      <c r="BM736" s="23">
        <v>7.5718189192107169E-2</v>
      </c>
      <c r="BN736" s="23">
        <v>7.3955559365675619E-2</v>
      </c>
    </row>
    <row r="737" spans="1:66" x14ac:dyDescent="0.25">
      <c r="A737" s="16">
        <v>5257</v>
      </c>
      <c r="B737" s="16" t="s">
        <v>931</v>
      </c>
      <c r="C737" s="17">
        <v>0</v>
      </c>
      <c r="D737" s="17">
        <f t="shared" si="416"/>
        <v>0</v>
      </c>
      <c r="E737" s="17">
        <f t="shared" si="417"/>
        <v>0</v>
      </c>
      <c r="F737" s="17">
        <f t="shared" si="418"/>
        <v>0</v>
      </c>
      <c r="G737" s="17">
        <f t="shared" si="419"/>
        <v>0</v>
      </c>
      <c r="H737" s="17">
        <f t="shared" si="420"/>
        <v>0</v>
      </c>
      <c r="I737" s="17">
        <f t="shared" si="421"/>
        <v>0</v>
      </c>
      <c r="J737" s="17">
        <f t="shared" si="422"/>
        <v>0</v>
      </c>
      <c r="K737" s="17">
        <f t="shared" si="423"/>
        <v>0</v>
      </c>
      <c r="L737" s="17">
        <f t="shared" si="424"/>
        <v>0</v>
      </c>
      <c r="M737" s="17">
        <f t="shared" si="425"/>
        <v>0</v>
      </c>
      <c r="N737" s="17">
        <f t="shared" si="426"/>
        <v>0</v>
      </c>
      <c r="O737" s="17">
        <f t="shared" si="427"/>
        <v>0</v>
      </c>
      <c r="P737" s="17">
        <v>0</v>
      </c>
      <c r="Q737" s="17">
        <f t="shared" si="428"/>
        <v>0</v>
      </c>
      <c r="R737" s="17">
        <f t="shared" si="429"/>
        <v>0</v>
      </c>
      <c r="S737" s="17">
        <f t="shared" si="430"/>
        <v>0</v>
      </c>
      <c r="T737" s="17">
        <f t="shared" si="431"/>
        <v>0</v>
      </c>
      <c r="U737" s="17">
        <f t="shared" si="432"/>
        <v>0</v>
      </c>
      <c r="V737" s="17">
        <f t="shared" si="433"/>
        <v>0</v>
      </c>
      <c r="W737" s="17">
        <f t="shared" si="434"/>
        <v>0</v>
      </c>
      <c r="X737" s="17">
        <f t="shared" si="435"/>
        <v>0</v>
      </c>
      <c r="Y737" s="17">
        <f t="shared" si="436"/>
        <v>0</v>
      </c>
      <c r="Z737" s="17">
        <f t="shared" si="437"/>
        <v>0</v>
      </c>
      <c r="AA737" s="17">
        <f t="shared" si="438"/>
        <v>0</v>
      </c>
      <c r="AB737" s="17">
        <f t="shared" si="439"/>
        <v>0</v>
      </c>
      <c r="AC737" s="17">
        <v>0</v>
      </c>
      <c r="AD737" s="17">
        <f t="shared" si="440"/>
        <v>0</v>
      </c>
      <c r="AE737" s="17">
        <f t="shared" si="441"/>
        <v>0</v>
      </c>
      <c r="AF737" s="17">
        <f t="shared" si="442"/>
        <v>0</v>
      </c>
      <c r="AG737" s="17">
        <f t="shared" si="443"/>
        <v>0</v>
      </c>
      <c r="AH737" s="17">
        <f t="shared" si="444"/>
        <v>0</v>
      </c>
      <c r="AI737" s="17">
        <f t="shared" si="445"/>
        <v>0</v>
      </c>
      <c r="AJ737" s="17">
        <f t="shared" si="446"/>
        <v>0</v>
      </c>
      <c r="AK737" s="17">
        <f t="shared" si="447"/>
        <v>0</v>
      </c>
      <c r="AL737" s="17">
        <f t="shared" si="448"/>
        <v>0</v>
      </c>
      <c r="AM737" s="17">
        <f t="shared" si="449"/>
        <v>0</v>
      </c>
      <c r="AN737" s="17">
        <f t="shared" si="450"/>
        <v>0</v>
      </c>
      <c r="AO737" s="17">
        <f t="shared" si="451"/>
        <v>0</v>
      </c>
      <c r="AP737" s="17">
        <f t="shared" si="452"/>
        <v>0</v>
      </c>
      <c r="AQ737" s="18">
        <v>9.1232741965563324</v>
      </c>
      <c r="AR737" s="18">
        <v>10.910579274764439</v>
      </c>
      <c r="AS737" s="18">
        <v>9.6559426138064239</v>
      </c>
      <c r="AT737" s="18">
        <v>7.3140049815527162</v>
      </c>
      <c r="AU737" s="18">
        <v>10.607048962179109</v>
      </c>
      <c r="AV737" s="18">
        <v>8.6924648564453175</v>
      </c>
      <c r="AW737" s="18">
        <v>8.6539538091439763</v>
      </c>
      <c r="AX737" s="18">
        <v>5.876838888842391</v>
      </c>
      <c r="AY737" s="18">
        <v>8.7112390949505301</v>
      </c>
      <c r="AZ737" s="18">
        <v>7.5863694268034996</v>
      </c>
      <c r="BA737" s="18">
        <v>7.7459707543525642</v>
      </c>
      <c r="BB737" s="18">
        <v>7.5656537231086167</v>
      </c>
      <c r="BC737" s="23">
        <v>8.9181565948742242E-2</v>
      </c>
      <c r="BD737" s="23">
        <v>0.10665277883445198</v>
      </c>
      <c r="BE737" s="23">
        <v>9.438849084854764E-2</v>
      </c>
      <c r="BF737" s="23">
        <v>7.149564986855049E-2</v>
      </c>
      <c r="BG737" s="23">
        <v>0.10368571810536763</v>
      </c>
      <c r="BH737" s="23">
        <v>8.4970330952544637E-2</v>
      </c>
      <c r="BI737" s="23">
        <v>8.4593878877262704E-2</v>
      </c>
      <c r="BJ737" s="23">
        <v>5.7447105462779965E-2</v>
      </c>
      <c r="BK737" s="23">
        <v>8.5153852345557474E-2</v>
      </c>
      <c r="BL737" s="23">
        <v>7.4158058913035174E-2</v>
      </c>
      <c r="BM737" s="23">
        <v>7.5718189192107169E-2</v>
      </c>
      <c r="BN737" s="23">
        <v>7.3955559365675619E-2</v>
      </c>
    </row>
    <row r="738" spans="1:66" x14ac:dyDescent="0.25">
      <c r="A738" s="16">
        <v>5265</v>
      </c>
      <c r="B738" s="16" t="s">
        <v>932</v>
      </c>
      <c r="C738" s="17">
        <v>0</v>
      </c>
      <c r="D738" s="17">
        <f t="shared" si="416"/>
        <v>0</v>
      </c>
      <c r="E738" s="17">
        <f t="shared" si="417"/>
        <v>0</v>
      </c>
      <c r="F738" s="17">
        <f t="shared" si="418"/>
        <v>0</v>
      </c>
      <c r="G738" s="17">
        <f t="shared" si="419"/>
        <v>0</v>
      </c>
      <c r="H738" s="17">
        <f t="shared" si="420"/>
        <v>0</v>
      </c>
      <c r="I738" s="17">
        <f t="shared" si="421"/>
        <v>0</v>
      </c>
      <c r="J738" s="17">
        <f t="shared" si="422"/>
        <v>0</v>
      </c>
      <c r="K738" s="17">
        <f t="shared" si="423"/>
        <v>0</v>
      </c>
      <c r="L738" s="17">
        <f t="shared" si="424"/>
        <v>0</v>
      </c>
      <c r="M738" s="17">
        <f t="shared" si="425"/>
        <v>0</v>
      </c>
      <c r="N738" s="17">
        <f t="shared" si="426"/>
        <v>0</v>
      </c>
      <c r="O738" s="17">
        <f t="shared" si="427"/>
        <v>0</v>
      </c>
      <c r="P738" s="17">
        <v>0</v>
      </c>
      <c r="Q738" s="17">
        <f t="shared" si="428"/>
        <v>0</v>
      </c>
      <c r="R738" s="17">
        <f t="shared" si="429"/>
        <v>0</v>
      </c>
      <c r="S738" s="17">
        <f t="shared" si="430"/>
        <v>0</v>
      </c>
      <c r="T738" s="17">
        <f t="shared" si="431"/>
        <v>0</v>
      </c>
      <c r="U738" s="17">
        <f t="shared" si="432"/>
        <v>0</v>
      </c>
      <c r="V738" s="17">
        <f t="shared" si="433"/>
        <v>0</v>
      </c>
      <c r="W738" s="17">
        <f t="shared" si="434"/>
        <v>0</v>
      </c>
      <c r="X738" s="17">
        <f t="shared" si="435"/>
        <v>0</v>
      </c>
      <c r="Y738" s="17">
        <f t="shared" si="436"/>
        <v>0</v>
      </c>
      <c r="Z738" s="17">
        <f t="shared" si="437"/>
        <v>0</v>
      </c>
      <c r="AA738" s="17">
        <f t="shared" si="438"/>
        <v>0</v>
      </c>
      <c r="AB738" s="17">
        <f t="shared" si="439"/>
        <v>0</v>
      </c>
      <c r="AC738" s="17">
        <v>0</v>
      </c>
      <c r="AD738" s="17">
        <f t="shared" si="440"/>
        <v>0</v>
      </c>
      <c r="AE738" s="17">
        <f t="shared" si="441"/>
        <v>0</v>
      </c>
      <c r="AF738" s="17">
        <f t="shared" si="442"/>
        <v>0</v>
      </c>
      <c r="AG738" s="17">
        <f t="shared" si="443"/>
        <v>0</v>
      </c>
      <c r="AH738" s="17">
        <f t="shared" si="444"/>
        <v>0</v>
      </c>
      <c r="AI738" s="17">
        <f t="shared" si="445"/>
        <v>0</v>
      </c>
      <c r="AJ738" s="17">
        <f t="shared" si="446"/>
        <v>0</v>
      </c>
      <c r="AK738" s="17">
        <f t="shared" si="447"/>
        <v>0</v>
      </c>
      <c r="AL738" s="17">
        <f t="shared" si="448"/>
        <v>0</v>
      </c>
      <c r="AM738" s="17">
        <f t="shared" si="449"/>
        <v>0</v>
      </c>
      <c r="AN738" s="17">
        <f t="shared" si="450"/>
        <v>0</v>
      </c>
      <c r="AO738" s="17">
        <f t="shared" si="451"/>
        <v>0</v>
      </c>
      <c r="AP738" s="17">
        <f t="shared" si="452"/>
        <v>0</v>
      </c>
      <c r="AQ738" s="18">
        <v>0</v>
      </c>
      <c r="AR738" s="18">
        <v>0</v>
      </c>
      <c r="AS738" s="18">
        <v>0</v>
      </c>
      <c r="AT738" s="18">
        <v>0</v>
      </c>
      <c r="AU738" s="18">
        <v>0</v>
      </c>
      <c r="AV738" s="18">
        <v>0</v>
      </c>
      <c r="AW738" s="18">
        <v>0</v>
      </c>
      <c r="AX738" s="18">
        <v>0</v>
      </c>
      <c r="AY738" s="18">
        <v>0</v>
      </c>
      <c r="AZ738" s="18">
        <v>0</v>
      </c>
      <c r="BA738" s="18">
        <v>0</v>
      </c>
      <c r="BB738" s="18">
        <v>0</v>
      </c>
      <c r="BC738" s="23">
        <v>8.9181565948742242E-2</v>
      </c>
      <c r="BD738" s="23">
        <v>0.10665277883445198</v>
      </c>
      <c r="BE738" s="23">
        <v>9.438849084854764E-2</v>
      </c>
      <c r="BF738" s="23">
        <v>7.149564986855049E-2</v>
      </c>
      <c r="BG738" s="23">
        <v>0.10368571810536763</v>
      </c>
      <c r="BH738" s="23">
        <v>8.4970330952544637E-2</v>
      </c>
      <c r="BI738" s="23">
        <v>8.4593878877262704E-2</v>
      </c>
      <c r="BJ738" s="23">
        <v>5.7447105462779965E-2</v>
      </c>
      <c r="BK738" s="23">
        <v>8.5153852345557474E-2</v>
      </c>
      <c r="BL738" s="23">
        <v>7.4158058913035174E-2</v>
      </c>
      <c r="BM738" s="23">
        <v>7.5718189192107169E-2</v>
      </c>
      <c r="BN738" s="23">
        <v>7.3955559365675619E-2</v>
      </c>
    </row>
    <row r="739" spans="1:66" x14ac:dyDescent="0.25">
      <c r="A739" s="16">
        <v>5267</v>
      </c>
      <c r="B739" s="16" t="s">
        <v>933</v>
      </c>
      <c r="C739" s="17">
        <v>0</v>
      </c>
      <c r="D739" s="17">
        <f t="shared" si="416"/>
        <v>0</v>
      </c>
      <c r="E739" s="17">
        <f t="shared" si="417"/>
        <v>0</v>
      </c>
      <c r="F739" s="17">
        <f t="shared" si="418"/>
        <v>0</v>
      </c>
      <c r="G739" s="17">
        <f t="shared" si="419"/>
        <v>0</v>
      </c>
      <c r="H739" s="17">
        <f t="shared" si="420"/>
        <v>0</v>
      </c>
      <c r="I739" s="17">
        <f t="shared" si="421"/>
        <v>0</v>
      </c>
      <c r="J739" s="17">
        <f t="shared" si="422"/>
        <v>0</v>
      </c>
      <c r="K739" s="17">
        <f t="shared" si="423"/>
        <v>0</v>
      </c>
      <c r="L739" s="17">
        <f t="shared" si="424"/>
        <v>0</v>
      </c>
      <c r="M739" s="17">
        <f t="shared" si="425"/>
        <v>0</v>
      </c>
      <c r="N739" s="17">
        <f t="shared" si="426"/>
        <v>0</v>
      </c>
      <c r="O739" s="17">
        <f t="shared" si="427"/>
        <v>0</v>
      </c>
      <c r="P739" s="17">
        <v>0</v>
      </c>
      <c r="Q739" s="17">
        <f t="shared" si="428"/>
        <v>0</v>
      </c>
      <c r="R739" s="17">
        <f t="shared" si="429"/>
        <v>0</v>
      </c>
      <c r="S739" s="17">
        <f t="shared" si="430"/>
        <v>0</v>
      </c>
      <c r="T739" s="17">
        <f t="shared" si="431"/>
        <v>0</v>
      </c>
      <c r="U739" s="17">
        <f t="shared" si="432"/>
        <v>0</v>
      </c>
      <c r="V739" s="17">
        <f t="shared" si="433"/>
        <v>0</v>
      </c>
      <c r="W739" s="17">
        <f t="shared" si="434"/>
        <v>0</v>
      </c>
      <c r="X739" s="17">
        <f t="shared" si="435"/>
        <v>0</v>
      </c>
      <c r="Y739" s="17">
        <f t="shared" si="436"/>
        <v>0</v>
      </c>
      <c r="Z739" s="17">
        <f t="shared" si="437"/>
        <v>0</v>
      </c>
      <c r="AA739" s="17">
        <f t="shared" si="438"/>
        <v>0</v>
      </c>
      <c r="AB739" s="17">
        <f t="shared" si="439"/>
        <v>0</v>
      </c>
      <c r="AC739" s="17">
        <v>0</v>
      </c>
      <c r="AD739" s="17">
        <f t="shared" si="440"/>
        <v>0</v>
      </c>
      <c r="AE739" s="17">
        <f t="shared" si="441"/>
        <v>0</v>
      </c>
      <c r="AF739" s="17">
        <f t="shared" si="442"/>
        <v>0</v>
      </c>
      <c r="AG739" s="17">
        <f t="shared" si="443"/>
        <v>0</v>
      </c>
      <c r="AH739" s="17">
        <f t="shared" si="444"/>
        <v>0</v>
      </c>
      <c r="AI739" s="17">
        <f t="shared" si="445"/>
        <v>0</v>
      </c>
      <c r="AJ739" s="17">
        <f t="shared" si="446"/>
        <v>0</v>
      </c>
      <c r="AK739" s="17">
        <f t="shared" si="447"/>
        <v>0</v>
      </c>
      <c r="AL739" s="17">
        <f t="shared" si="448"/>
        <v>0</v>
      </c>
      <c r="AM739" s="17">
        <f t="shared" si="449"/>
        <v>0</v>
      </c>
      <c r="AN739" s="17">
        <f t="shared" si="450"/>
        <v>0</v>
      </c>
      <c r="AO739" s="17">
        <f t="shared" si="451"/>
        <v>0</v>
      </c>
      <c r="AP739" s="17">
        <f t="shared" si="452"/>
        <v>0</v>
      </c>
      <c r="AQ739" s="18">
        <v>1.5303556716804172</v>
      </c>
      <c r="AR739" s="18">
        <v>1.8301616847991964</v>
      </c>
      <c r="AS739" s="18">
        <v>1.6197065029610778</v>
      </c>
      <c r="AT739" s="18">
        <v>1.2268653517443266</v>
      </c>
      <c r="AU739" s="18">
        <v>1.7792469226881089</v>
      </c>
      <c r="AV739" s="18">
        <v>1.4580908791456664</v>
      </c>
      <c r="AW739" s="18">
        <v>1.4516309615338283</v>
      </c>
      <c r="AX739" s="18">
        <v>0.98579232974130437</v>
      </c>
      <c r="AY739" s="18">
        <v>1.4612401062497666</v>
      </c>
      <c r="AZ739" s="18">
        <v>1.2725522909476839</v>
      </c>
      <c r="BA739" s="18">
        <v>1.2993241265365594</v>
      </c>
      <c r="BB739" s="18">
        <v>1.2690773987149939</v>
      </c>
      <c r="BC739" s="23">
        <v>8.9181565948742242E-2</v>
      </c>
      <c r="BD739" s="23">
        <v>0.10665277883445198</v>
      </c>
      <c r="BE739" s="23">
        <v>9.438849084854764E-2</v>
      </c>
      <c r="BF739" s="23">
        <v>7.149564986855049E-2</v>
      </c>
      <c r="BG739" s="23">
        <v>0.10368571810536763</v>
      </c>
      <c r="BH739" s="23">
        <v>8.4970330952544637E-2</v>
      </c>
      <c r="BI739" s="23">
        <v>8.4593878877262704E-2</v>
      </c>
      <c r="BJ739" s="23">
        <v>5.7447105462779965E-2</v>
      </c>
      <c r="BK739" s="23">
        <v>8.5153852345557474E-2</v>
      </c>
      <c r="BL739" s="23">
        <v>7.4158058913035174E-2</v>
      </c>
      <c r="BM739" s="23">
        <v>7.5718189192107169E-2</v>
      </c>
      <c r="BN739" s="23">
        <v>7.3955559365675619E-2</v>
      </c>
    </row>
    <row r="740" spans="1:66" x14ac:dyDescent="0.25">
      <c r="A740" s="16">
        <v>5272</v>
      </c>
      <c r="B740" s="16" t="s">
        <v>934</v>
      </c>
      <c r="C740" s="17">
        <v>0</v>
      </c>
      <c r="D740" s="17">
        <f t="shared" si="416"/>
        <v>0</v>
      </c>
      <c r="E740" s="17">
        <f t="shared" si="417"/>
        <v>0</v>
      </c>
      <c r="F740" s="17">
        <f t="shared" si="418"/>
        <v>0</v>
      </c>
      <c r="G740" s="17">
        <f t="shared" si="419"/>
        <v>0</v>
      </c>
      <c r="H740" s="17">
        <f t="shared" si="420"/>
        <v>0</v>
      </c>
      <c r="I740" s="17">
        <f t="shared" si="421"/>
        <v>0</v>
      </c>
      <c r="J740" s="17">
        <f t="shared" si="422"/>
        <v>0</v>
      </c>
      <c r="K740" s="17">
        <f t="shared" si="423"/>
        <v>0</v>
      </c>
      <c r="L740" s="17">
        <f t="shared" si="424"/>
        <v>0</v>
      </c>
      <c r="M740" s="17">
        <f t="shared" si="425"/>
        <v>0</v>
      </c>
      <c r="N740" s="17">
        <f t="shared" si="426"/>
        <v>0</v>
      </c>
      <c r="O740" s="17">
        <f t="shared" si="427"/>
        <v>0</v>
      </c>
      <c r="P740" s="17">
        <v>0</v>
      </c>
      <c r="Q740" s="17">
        <f t="shared" si="428"/>
        <v>0</v>
      </c>
      <c r="R740" s="17">
        <f t="shared" si="429"/>
        <v>0</v>
      </c>
      <c r="S740" s="17">
        <f t="shared" si="430"/>
        <v>0</v>
      </c>
      <c r="T740" s="17">
        <f t="shared" si="431"/>
        <v>0</v>
      </c>
      <c r="U740" s="17">
        <f t="shared" si="432"/>
        <v>0</v>
      </c>
      <c r="V740" s="17">
        <f t="shared" si="433"/>
        <v>0</v>
      </c>
      <c r="W740" s="17">
        <f t="shared" si="434"/>
        <v>0</v>
      </c>
      <c r="X740" s="17">
        <f t="shared" si="435"/>
        <v>0</v>
      </c>
      <c r="Y740" s="17">
        <f t="shared" si="436"/>
        <v>0</v>
      </c>
      <c r="Z740" s="17">
        <f t="shared" si="437"/>
        <v>0</v>
      </c>
      <c r="AA740" s="17">
        <f t="shared" si="438"/>
        <v>0</v>
      </c>
      <c r="AB740" s="17">
        <f t="shared" si="439"/>
        <v>0</v>
      </c>
      <c r="AC740" s="17">
        <v>0</v>
      </c>
      <c r="AD740" s="17">
        <f t="shared" si="440"/>
        <v>0</v>
      </c>
      <c r="AE740" s="17">
        <f t="shared" si="441"/>
        <v>0</v>
      </c>
      <c r="AF740" s="17">
        <f t="shared" si="442"/>
        <v>0</v>
      </c>
      <c r="AG740" s="17">
        <f t="shared" si="443"/>
        <v>0</v>
      </c>
      <c r="AH740" s="17">
        <f t="shared" si="444"/>
        <v>0</v>
      </c>
      <c r="AI740" s="17">
        <f t="shared" si="445"/>
        <v>0</v>
      </c>
      <c r="AJ740" s="17">
        <f t="shared" si="446"/>
        <v>0</v>
      </c>
      <c r="AK740" s="17">
        <f t="shared" si="447"/>
        <v>0</v>
      </c>
      <c r="AL740" s="17">
        <f t="shared" si="448"/>
        <v>0</v>
      </c>
      <c r="AM740" s="17">
        <f t="shared" si="449"/>
        <v>0</v>
      </c>
      <c r="AN740" s="17">
        <f t="shared" si="450"/>
        <v>0</v>
      </c>
      <c r="AO740" s="17">
        <f t="shared" si="451"/>
        <v>0</v>
      </c>
      <c r="AP740" s="17">
        <f t="shared" si="452"/>
        <v>0</v>
      </c>
      <c r="AQ740" s="18">
        <v>0</v>
      </c>
      <c r="AR740" s="18">
        <v>0</v>
      </c>
      <c r="AS740" s="18">
        <v>0</v>
      </c>
      <c r="AT740" s="18">
        <v>0</v>
      </c>
      <c r="AU740" s="18">
        <v>0</v>
      </c>
      <c r="AV740" s="18">
        <v>0</v>
      </c>
      <c r="AW740" s="18">
        <v>0</v>
      </c>
      <c r="AX740" s="18">
        <v>0</v>
      </c>
      <c r="AY740" s="18">
        <v>0</v>
      </c>
      <c r="AZ740" s="18">
        <v>0</v>
      </c>
      <c r="BA740" s="18">
        <v>0</v>
      </c>
      <c r="BB740" s="18">
        <v>0</v>
      </c>
      <c r="BC740" s="23">
        <v>8.9181565948742242E-2</v>
      </c>
      <c r="BD740" s="23">
        <v>0.10665277883445198</v>
      </c>
      <c r="BE740" s="23">
        <v>9.438849084854764E-2</v>
      </c>
      <c r="BF740" s="23">
        <v>7.149564986855049E-2</v>
      </c>
      <c r="BG740" s="23">
        <v>0.10368571810536763</v>
      </c>
      <c r="BH740" s="23">
        <v>8.4970330952544637E-2</v>
      </c>
      <c r="BI740" s="23">
        <v>8.4593878877262704E-2</v>
      </c>
      <c r="BJ740" s="23">
        <v>5.7447105462779965E-2</v>
      </c>
      <c r="BK740" s="23">
        <v>8.5153852345557474E-2</v>
      </c>
      <c r="BL740" s="23">
        <v>7.4158058913035174E-2</v>
      </c>
      <c r="BM740" s="23">
        <v>7.5718189192107169E-2</v>
      </c>
      <c r="BN740" s="23">
        <v>7.3955559365675619E-2</v>
      </c>
    </row>
    <row r="741" spans="1:66" x14ac:dyDescent="0.25">
      <c r="A741" s="16">
        <v>5275</v>
      </c>
      <c r="B741" s="16" t="s">
        <v>935</v>
      </c>
      <c r="C741" s="17">
        <v>0</v>
      </c>
      <c r="D741" s="17">
        <f t="shared" si="416"/>
        <v>0</v>
      </c>
      <c r="E741" s="17">
        <f t="shared" si="417"/>
        <v>0</v>
      </c>
      <c r="F741" s="17">
        <f t="shared" si="418"/>
        <v>0</v>
      </c>
      <c r="G741" s="17">
        <f t="shared" si="419"/>
        <v>0</v>
      </c>
      <c r="H741" s="17">
        <f t="shared" si="420"/>
        <v>0</v>
      </c>
      <c r="I741" s="17">
        <f t="shared" si="421"/>
        <v>0</v>
      </c>
      <c r="J741" s="17">
        <f t="shared" si="422"/>
        <v>0</v>
      </c>
      <c r="K741" s="17">
        <f t="shared" si="423"/>
        <v>0</v>
      </c>
      <c r="L741" s="17">
        <f t="shared" si="424"/>
        <v>0</v>
      </c>
      <c r="M741" s="17">
        <f t="shared" si="425"/>
        <v>0</v>
      </c>
      <c r="N741" s="17">
        <f t="shared" si="426"/>
        <v>0</v>
      </c>
      <c r="O741" s="17">
        <f t="shared" si="427"/>
        <v>0</v>
      </c>
      <c r="P741" s="17">
        <v>0</v>
      </c>
      <c r="Q741" s="17">
        <f t="shared" si="428"/>
        <v>0</v>
      </c>
      <c r="R741" s="17">
        <f t="shared" si="429"/>
        <v>0</v>
      </c>
      <c r="S741" s="17">
        <f t="shared" si="430"/>
        <v>0</v>
      </c>
      <c r="T741" s="17">
        <f t="shared" si="431"/>
        <v>0</v>
      </c>
      <c r="U741" s="17">
        <f t="shared" si="432"/>
        <v>0</v>
      </c>
      <c r="V741" s="17">
        <f t="shared" si="433"/>
        <v>0</v>
      </c>
      <c r="W741" s="17">
        <f t="shared" si="434"/>
        <v>0</v>
      </c>
      <c r="X741" s="17">
        <f t="shared" si="435"/>
        <v>0</v>
      </c>
      <c r="Y741" s="17">
        <f t="shared" si="436"/>
        <v>0</v>
      </c>
      <c r="Z741" s="17">
        <f t="shared" si="437"/>
        <v>0</v>
      </c>
      <c r="AA741" s="17">
        <f t="shared" si="438"/>
        <v>0</v>
      </c>
      <c r="AB741" s="17">
        <f t="shared" si="439"/>
        <v>0</v>
      </c>
      <c r="AC741" s="17">
        <v>0</v>
      </c>
      <c r="AD741" s="17">
        <f t="shared" si="440"/>
        <v>0</v>
      </c>
      <c r="AE741" s="17">
        <f t="shared" si="441"/>
        <v>0</v>
      </c>
      <c r="AF741" s="17">
        <f t="shared" si="442"/>
        <v>0</v>
      </c>
      <c r="AG741" s="17">
        <f t="shared" si="443"/>
        <v>0</v>
      </c>
      <c r="AH741" s="17">
        <f t="shared" si="444"/>
        <v>0</v>
      </c>
      <c r="AI741" s="17">
        <f t="shared" si="445"/>
        <v>0</v>
      </c>
      <c r="AJ741" s="17">
        <f t="shared" si="446"/>
        <v>0</v>
      </c>
      <c r="AK741" s="17">
        <f t="shared" si="447"/>
        <v>0</v>
      </c>
      <c r="AL741" s="17">
        <f t="shared" si="448"/>
        <v>0</v>
      </c>
      <c r="AM741" s="17">
        <f t="shared" si="449"/>
        <v>0</v>
      </c>
      <c r="AN741" s="17">
        <f t="shared" si="450"/>
        <v>0</v>
      </c>
      <c r="AO741" s="17">
        <f t="shared" si="451"/>
        <v>0</v>
      </c>
      <c r="AP741" s="17">
        <f t="shared" si="452"/>
        <v>0</v>
      </c>
      <c r="AQ741" s="18">
        <v>63.862919375894322</v>
      </c>
      <c r="AR741" s="18">
        <v>76.374054923351068</v>
      </c>
      <c r="AS741" s="18">
        <v>67.59159829664496</v>
      </c>
      <c r="AT741" s="18">
        <v>51.198034870869009</v>
      </c>
      <c r="AU741" s="18">
        <v>74.249342735253762</v>
      </c>
      <c r="AV741" s="18">
        <v>60.847253995117214</v>
      </c>
      <c r="AW741" s="18">
        <v>60.577676664007825</v>
      </c>
      <c r="AX741" s="18">
        <v>41.137872221896735</v>
      </c>
      <c r="AY741" s="18">
        <v>60.978673664653712</v>
      </c>
      <c r="AZ741" s="18">
        <v>53.104585987624489</v>
      </c>
      <c r="BA741" s="18">
        <v>54.221795280467944</v>
      </c>
      <c r="BB741" s="18">
        <v>52.959576061760309</v>
      </c>
      <c r="BC741" s="23">
        <v>8.9181565948742242E-2</v>
      </c>
      <c r="BD741" s="23">
        <v>0.10665277883445198</v>
      </c>
      <c r="BE741" s="23">
        <v>9.438849084854764E-2</v>
      </c>
      <c r="BF741" s="23">
        <v>7.149564986855049E-2</v>
      </c>
      <c r="BG741" s="23">
        <v>0.10368571810536763</v>
      </c>
      <c r="BH741" s="23">
        <v>8.4970330952544637E-2</v>
      </c>
      <c r="BI741" s="23">
        <v>8.4593878877262704E-2</v>
      </c>
      <c r="BJ741" s="23">
        <v>5.7447105462779965E-2</v>
      </c>
      <c r="BK741" s="23">
        <v>8.5153852345557474E-2</v>
      </c>
      <c r="BL741" s="23">
        <v>7.4158058913035174E-2</v>
      </c>
      <c r="BM741" s="23">
        <v>7.5718189192107169E-2</v>
      </c>
      <c r="BN741" s="23">
        <v>7.3955559365675619E-2</v>
      </c>
    </row>
    <row r="742" spans="1:66" x14ac:dyDescent="0.25">
      <c r="A742" s="16">
        <v>5286</v>
      </c>
      <c r="B742" s="16" t="s">
        <v>936</v>
      </c>
      <c r="C742" s="17">
        <v>0</v>
      </c>
      <c r="D742" s="17">
        <f t="shared" si="416"/>
        <v>0</v>
      </c>
      <c r="E742" s="17">
        <f t="shared" si="417"/>
        <v>0</v>
      </c>
      <c r="F742" s="17">
        <f t="shared" si="418"/>
        <v>0</v>
      </c>
      <c r="G742" s="17">
        <f t="shared" si="419"/>
        <v>0</v>
      </c>
      <c r="H742" s="17">
        <f t="shared" si="420"/>
        <v>0</v>
      </c>
      <c r="I742" s="17">
        <f t="shared" si="421"/>
        <v>0</v>
      </c>
      <c r="J742" s="17">
        <f t="shared" si="422"/>
        <v>0</v>
      </c>
      <c r="K742" s="17">
        <f t="shared" si="423"/>
        <v>0</v>
      </c>
      <c r="L742" s="17">
        <f t="shared" si="424"/>
        <v>0</v>
      </c>
      <c r="M742" s="17">
        <f t="shared" si="425"/>
        <v>0</v>
      </c>
      <c r="N742" s="17">
        <f t="shared" si="426"/>
        <v>0</v>
      </c>
      <c r="O742" s="17">
        <f t="shared" si="427"/>
        <v>0</v>
      </c>
      <c r="P742" s="17">
        <v>0</v>
      </c>
      <c r="Q742" s="17">
        <f t="shared" si="428"/>
        <v>0</v>
      </c>
      <c r="R742" s="17">
        <f t="shared" si="429"/>
        <v>0</v>
      </c>
      <c r="S742" s="17">
        <f t="shared" si="430"/>
        <v>0</v>
      </c>
      <c r="T742" s="17">
        <f t="shared" si="431"/>
        <v>0</v>
      </c>
      <c r="U742" s="17">
        <f t="shared" si="432"/>
        <v>0</v>
      </c>
      <c r="V742" s="17">
        <f t="shared" si="433"/>
        <v>0</v>
      </c>
      <c r="W742" s="17">
        <f t="shared" si="434"/>
        <v>0</v>
      </c>
      <c r="X742" s="17">
        <f t="shared" si="435"/>
        <v>0</v>
      </c>
      <c r="Y742" s="17">
        <f t="shared" si="436"/>
        <v>0</v>
      </c>
      <c r="Z742" s="17">
        <f t="shared" si="437"/>
        <v>0</v>
      </c>
      <c r="AA742" s="17">
        <f t="shared" si="438"/>
        <v>0</v>
      </c>
      <c r="AB742" s="17">
        <f t="shared" si="439"/>
        <v>0</v>
      </c>
      <c r="AC742" s="17">
        <v>0</v>
      </c>
      <c r="AD742" s="17">
        <f t="shared" si="440"/>
        <v>0</v>
      </c>
      <c r="AE742" s="17">
        <f t="shared" si="441"/>
        <v>0</v>
      </c>
      <c r="AF742" s="17">
        <f t="shared" si="442"/>
        <v>0</v>
      </c>
      <c r="AG742" s="17">
        <f t="shared" si="443"/>
        <v>0</v>
      </c>
      <c r="AH742" s="17">
        <f t="shared" si="444"/>
        <v>0</v>
      </c>
      <c r="AI742" s="17">
        <f t="shared" si="445"/>
        <v>0</v>
      </c>
      <c r="AJ742" s="17">
        <f t="shared" si="446"/>
        <v>0</v>
      </c>
      <c r="AK742" s="17">
        <f t="shared" si="447"/>
        <v>0</v>
      </c>
      <c r="AL742" s="17">
        <f t="shared" si="448"/>
        <v>0</v>
      </c>
      <c r="AM742" s="17">
        <f t="shared" si="449"/>
        <v>0</v>
      </c>
      <c r="AN742" s="17">
        <f t="shared" si="450"/>
        <v>0</v>
      </c>
      <c r="AO742" s="17">
        <f t="shared" si="451"/>
        <v>0</v>
      </c>
      <c r="AP742" s="17">
        <f t="shared" si="452"/>
        <v>0</v>
      </c>
      <c r="AQ742" s="18">
        <v>0</v>
      </c>
      <c r="AR742" s="18">
        <v>0</v>
      </c>
      <c r="AS742" s="18">
        <v>0</v>
      </c>
      <c r="AT742" s="18">
        <v>0</v>
      </c>
      <c r="AU742" s="18">
        <v>0</v>
      </c>
      <c r="AV742" s="18">
        <v>0</v>
      </c>
      <c r="AW742" s="18">
        <v>0</v>
      </c>
      <c r="AX742" s="18">
        <v>0</v>
      </c>
      <c r="AY742" s="18">
        <v>0</v>
      </c>
      <c r="AZ742" s="18">
        <v>0</v>
      </c>
      <c r="BA742" s="18">
        <v>0</v>
      </c>
      <c r="BB742" s="18">
        <v>0</v>
      </c>
      <c r="BC742" s="23">
        <v>8.9181565948742242E-2</v>
      </c>
      <c r="BD742" s="23">
        <v>0.10665277883445198</v>
      </c>
      <c r="BE742" s="23">
        <v>9.438849084854764E-2</v>
      </c>
      <c r="BF742" s="23">
        <v>7.149564986855049E-2</v>
      </c>
      <c r="BG742" s="23">
        <v>0.10368571810536763</v>
      </c>
      <c r="BH742" s="23">
        <v>8.4970330952544637E-2</v>
      </c>
      <c r="BI742" s="23">
        <v>8.4593878877262704E-2</v>
      </c>
      <c r="BJ742" s="23">
        <v>5.7447105462779965E-2</v>
      </c>
      <c r="BK742" s="23">
        <v>8.5153852345557474E-2</v>
      </c>
      <c r="BL742" s="23">
        <v>7.4158058913035174E-2</v>
      </c>
      <c r="BM742" s="23">
        <v>7.5718189192107169E-2</v>
      </c>
      <c r="BN742" s="23">
        <v>7.3955559365675619E-2</v>
      </c>
    </row>
    <row r="743" spans="1:66" x14ac:dyDescent="0.25">
      <c r="A743" s="16">
        <v>5290</v>
      </c>
      <c r="B743" s="16" t="s">
        <v>937</v>
      </c>
      <c r="C743" s="17">
        <v>0</v>
      </c>
      <c r="D743" s="17">
        <f t="shared" si="416"/>
        <v>0</v>
      </c>
      <c r="E743" s="17">
        <f t="shared" si="417"/>
        <v>0</v>
      </c>
      <c r="F743" s="17">
        <f t="shared" si="418"/>
        <v>0</v>
      </c>
      <c r="G743" s="17">
        <f t="shared" si="419"/>
        <v>0</v>
      </c>
      <c r="H743" s="17">
        <f t="shared" si="420"/>
        <v>0</v>
      </c>
      <c r="I743" s="17">
        <f t="shared" si="421"/>
        <v>0</v>
      </c>
      <c r="J743" s="17">
        <f t="shared" si="422"/>
        <v>0</v>
      </c>
      <c r="K743" s="17">
        <f t="shared" si="423"/>
        <v>0</v>
      </c>
      <c r="L743" s="17">
        <f t="shared" si="424"/>
        <v>0</v>
      </c>
      <c r="M743" s="17">
        <f t="shared" si="425"/>
        <v>0</v>
      </c>
      <c r="N743" s="17">
        <f t="shared" si="426"/>
        <v>0</v>
      </c>
      <c r="O743" s="17">
        <f t="shared" si="427"/>
        <v>0</v>
      </c>
      <c r="P743" s="17">
        <v>0</v>
      </c>
      <c r="Q743" s="17">
        <f t="shared" si="428"/>
        <v>0</v>
      </c>
      <c r="R743" s="17">
        <f t="shared" si="429"/>
        <v>0</v>
      </c>
      <c r="S743" s="17">
        <f t="shared" si="430"/>
        <v>0</v>
      </c>
      <c r="T743" s="17">
        <f t="shared" si="431"/>
        <v>0</v>
      </c>
      <c r="U743" s="17">
        <f t="shared" si="432"/>
        <v>0</v>
      </c>
      <c r="V743" s="17">
        <f t="shared" si="433"/>
        <v>0</v>
      </c>
      <c r="W743" s="17">
        <f t="shared" si="434"/>
        <v>0</v>
      </c>
      <c r="X743" s="17">
        <f t="shared" si="435"/>
        <v>0</v>
      </c>
      <c r="Y743" s="17">
        <f t="shared" si="436"/>
        <v>0</v>
      </c>
      <c r="Z743" s="17">
        <f t="shared" si="437"/>
        <v>0</v>
      </c>
      <c r="AA743" s="17">
        <f t="shared" si="438"/>
        <v>0</v>
      </c>
      <c r="AB743" s="17">
        <f t="shared" si="439"/>
        <v>0</v>
      </c>
      <c r="AC743" s="17">
        <v>0</v>
      </c>
      <c r="AD743" s="17">
        <f t="shared" si="440"/>
        <v>0</v>
      </c>
      <c r="AE743" s="17">
        <f t="shared" si="441"/>
        <v>0</v>
      </c>
      <c r="AF743" s="17">
        <f t="shared" si="442"/>
        <v>0</v>
      </c>
      <c r="AG743" s="17">
        <f t="shared" si="443"/>
        <v>0</v>
      </c>
      <c r="AH743" s="17">
        <f t="shared" si="444"/>
        <v>0</v>
      </c>
      <c r="AI743" s="17">
        <f t="shared" si="445"/>
        <v>0</v>
      </c>
      <c r="AJ743" s="17">
        <f t="shared" si="446"/>
        <v>0</v>
      </c>
      <c r="AK743" s="17">
        <f t="shared" si="447"/>
        <v>0</v>
      </c>
      <c r="AL743" s="17">
        <f t="shared" si="448"/>
        <v>0</v>
      </c>
      <c r="AM743" s="17">
        <f t="shared" si="449"/>
        <v>0</v>
      </c>
      <c r="AN743" s="17">
        <f t="shared" si="450"/>
        <v>0</v>
      </c>
      <c r="AO743" s="17">
        <f t="shared" si="451"/>
        <v>0</v>
      </c>
      <c r="AP743" s="17">
        <f t="shared" si="452"/>
        <v>0</v>
      </c>
      <c r="AQ743" s="18">
        <v>50.952014891928975</v>
      </c>
      <c r="AR743" s="18">
        <v>60.933825478708634</v>
      </c>
      <c r="AS743" s="18">
        <v>53.92688208800989</v>
      </c>
      <c r="AT743" s="18">
        <v>40.847538143749098</v>
      </c>
      <c r="AU743" s="18">
        <v>59.238657639421596</v>
      </c>
      <c r="AV743" s="18">
        <v>48.546014212786389</v>
      </c>
      <c r="AW743" s="18">
        <v>48.330936225067639</v>
      </c>
      <c r="AX743" s="18">
        <v>32.821197316944627</v>
      </c>
      <c r="AY743" s="18">
        <v>48.650865306735021</v>
      </c>
      <c r="AZ743" s="18">
        <v>42.368649640725486</v>
      </c>
      <c r="BA743" s="18">
        <v>43.259997312937408</v>
      </c>
      <c r="BB743" s="18">
        <v>42.252955776832096</v>
      </c>
      <c r="BC743" s="23">
        <v>8.9181565948742242E-2</v>
      </c>
      <c r="BD743" s="23">
        <v>0.10665277883445198</v>
      </c>
      <c r="BE743" s="23">
        <v>9.438849084854764E-2</v>
      </c>
      <c r="BF743" s="23">
        <v>7.149564986855049E-2</v>
      </c>
      <c r="BG743" s="23">
        <v>0.10368571810536763</v>
      </c>
      <c r="BH743" s="23">
        <v>8.4970330952544637E-2</v>
      </c>
      <c r="BI743" s="23">
        <v>8.4593878877262704E-2</v>
      </c>
      <c r="BJ743" s="23">
        <v>5.7447105462779965E-2</v>
      </c>
      <c r="BK743" s="23">
        <v>8.5153852345557474E-2</v>
      </c>
      <c r="BL743" s="23">
        <v>7.4158058913035174E-2</v>
      </c>
      <c r="BM743" s="23">
        <v>7.5718189192107169E-2</v>
      </c>
      <c r="BN743" s="23">
        <v>7.3955559365675619E-2</v>
      </c>
    </row>
    <row r="744" spans="1:66" x14ac:dyDescent="0.25">
      <c r="A744" s="16">
        <v>5291</v>
      </c>
      <c r="B744" s="16" t="s">
        <v>938</v>
      </c>
      <c r="C744" s="17">
        <v>0</v>
      </c>
      <c r="D744" s="17">
        <f t="shared" si="416"/>
        <v>0</v>
      </c>
      <c r="E744" s="17">
        <f t="shared" si="417"/>
        <v>0</v>
      </c>
      <c r="F744" s="17">
        <f t="shared" si="418"/>
        <v>0</v>
      </c>
      <c r="G744" s="17">
        <f t="shared" si="419"/>
        <v>0</v>
      </c>
      <c r="H744" s="17">
        <f t="shared" si="420"/>
        <v>0</v>
      </c>
      <c r="I744" s="17">
        <f t="shared" si="421"/>
        <v>0</v>
      </c>
      <c r="J744" s="17">
        <f t="shared" si="422"/>
        <v>0</v>
      </c>
      <c r="K744" s="17">
        <f t="shared" si="423"/>
        <v>0</v>
      </c>
      <c r="L744" s="17">
        <f t="shared" si="424"/>
        <v>0</v>
      </c>
      <c r="M744" s="17">
        <f t="shared" si="425"/>
        <v>0</v>
      </c>
      <c r="N744" s="17">
        <f t="shared" si="426"/>
        <v>0</v>
      </c>
      <c r="O744" s="17">
        <f t="shared" si="427"/>
        <v>0</v>
      </c>
      <c r="P744" s="17">
        <v>0</v>
      </c>
      <c r="Q744" s="17">
        <f t="shared" si="428"/>
        <v>0</v>
      </c>
      <c r="R744" s="17">
        <f t="shared" si="429"/>
        <v>0</v>
      </c>
      <c r="S744" s="17">
        <f t="shared" si="430"/>
        <v>0</v>
      </c>
      <c r="T744" s="17">
        <f t="shared" si="431"/>
        <v>0</v>
      </c>
      <c r="U744" s="17">
        <f t="shared" si="432"/>
        <v>0</v>
      </c>
      <c r="V744" s="17">
        <f t="shared" si="433"/>
        <v>0</v>
      </c>
      <c r="W744" s="17">
        <f t="shared" si="434"/>
        <v>0</v>
      </c>
      <c r="X744" s="17">
        <f t="shared" si="435"/>
        <v>0</v>
      </c>
      <c r="Y744" s="17">
        <f t="shared" si="436"/>
        <v>0</v>
      </c>
      <c r="Z744" s="17">
        <f t="shared" si="437"/>
        <v>0</v>
      </c>
      <c r="AA744" s="17">
        <f t="shared" si="438"/>
        <v>0</v>
      </c>
      <c r="AB744" s="17">
        <f t="shared" si="439"/>
        <v>0</v>
      </c>
      <c r="AC744" s="17">
        <v>0</v>
      </c>
      <c r="AD744" s="17">
        <f t="shared" si="440"/>
        <v>0</v>
      </c>
      <c r="AE744" s="17">
        <f t="shared" si="441"/>
        <v>0</v>
      </c>
      <c r="AF744" s="17">
        <f t="shared" si="442"/>
        <v>0</v>
      </c>
      <c r="AG744" s="17">
        <f t="shared" si="443"/>
        <v>0</v>
      </c>
      <c r="AH744" s="17">
        <f t="shared" si="444"/>
        <v>0</v>
      </c>
      <c r="AI744" s="17">
        <f t="shared" si="445"/>
        <v>0</v>
      </c>
      <c r="AJ744" s="17">
        <f t="shared" si="446"/>
        <v>0</v>
      </c>
      <c r="AK744" s="17">
        <f t="shared" si="447"/>
        <v>0</v>
      </c>
      <c r="AL744" s="17">
        <f t="shared" si="448"/>
        <v>0</v>
      </c>
      <c r="AM744" s="17">
        <f t="shared" si="449"/>
        <v>0</v>
      </c>
      <c r="AN744" s="17">
        <f t="shared" si="450"/>
        <v>0</v>
      </c>
      <c r="AO744" s="17">
        <f t="shared" si="451"/>
        <v>0</v>
      </c>
      <c r="AP744" s="17">
        <f t="shared" si="452"/>
        <v>0</v>
      </c>
      <c r="AQ744" s="18">
        <v>39.53418818507744</v>
      </c>
      <c r="AR744" s="18">
        <v>47.279176857312564</v>
      </c>
      <c r="AS744" s="18">
        <v>41.84241799316117</v>
      </c>
      <c r="AT744" s="18">
        <v>31.694021586728432</v>
      </c>
      <c r="AU744" s="18">
        <v>45.963878836109473</v>
      </c>
      <c r="AV744" s="18">
        <v>37.667347711263041</v>
      </c>
      <c r="AW744" s="18">
        <v>37.500466506290557</v>
      </c>
      <c r="AX744" s="18">
        <v>25.466301851650361</v>
      </c>
      <c r="AY744" s="18">
        <v>37.748702744785632</v>
      </c>
      <c r="AZ744" s="18">
        <v>32.874267516148493</v>
      </c>
      <c r="BA744" s="18">
        <v>33.565873268861111</v>
      </c>
      <c r="BB744" s="18">
        <v>32.784499466804</v>
      </c>
      <c r="BC744" s="23">
        <v>8.9181565948742242E-2</v>
      </c>
      <c r="BD744" s="23">
        <v>0.10665277883445198</v>
      </c>
      <c r="BE744" s="23">
        <v>9.438849084854764E-2</v>
      </c>
      <c r="BF744" s="23">
        <v>7.149564986855049E-2</v>
      </c>
      <c r="BG744" s="23">
        <v>0.10368571810536763</v>
      </c>
      <c r="BH744" s="23">
        <v>8.4970330952544637E-2</v>
      </c>
      <c r="BI744" s="23">
        <v>8.4593878877262704E-2</v>
      </c>
      <c r="BJ744" s="23">
        <v>5.7447105462779965E-2</v>
      </c>
      <c r="BK744" s="23">
        <v>8.5153852345557474E-2</v>
      </c>
      <c r="BL744" s="23">
        <v>7.4158058913035174E-2</v>
      </c>
      <c r="BM744" s="23">
        <v>7.5718189192107169E-2</v>
      </c>
      <c r="BN744" s="23">
        <v>7.3955559365675619E-2</v>
      </c>
    </row>
    <row r="745" spans="1:66" x14ac:dyDescent="0.25">
      <c r="A745" s="16">
        <v>5298</v>
      </c>
      <c r="B745" s="16" t="s">
        <v>939</v>
      </c>
      <c r="C745" s="17">
        <v>0</v>
      </c>
      <c r="D745" s="17">
        <f t="shared" si="416"/>
        <v>0</v>
      </c>
      <c r="E745" s="17">
        <f t="shared" si="417"/>
        <v>0</v>
      </c>
      <c r="F745" s="17">
        <f t="shared" si="418"/>
        <v>0</v>
      </c>
      <c r="G745" s="17">
        <f t="shared" si="419"/>
        <v>0</v>
      </c>
      <c r="H745" s="17">
        <f t="shared" si="420"/>
        <v>0</v>
      </c>
      <c r="I745" s="17">
        <f t="shared" si="421"/>
        <v>0</v>
      </c>
      <c r="J745" s="17">
        <f t="shared" si="422"/>
        <v>0</v>
      </c>
      <c r="K745" s="17">
        <f t="shared" si="423"/>
        <v>0</v>
      </c>
      <c r="L745" s="17">
        <f t="shared" si="424"/>
        <v>0</v>
      </c>
      <c r="M745" s="17">
        <f t="shared" si="425"/>
        <v>0</v>
      </c>
      <c r="N745" s="17">
        <f t="shared" si="426"/>
        <v>0</v>
      </c>
      <c r="O745" s="17">
        <f t="shared" si="427"/>
        <v>0</v>
      </c>
      <c r="P745" s="17">
        <v>0</v>
      </c>
      <c r="Q745" s="17">
        <f t="shared" si="428"/>
        <v>0</v>
      </c>
      <c r="R745" s="17">
        <f t="shared" si="429"/>
        <v>0</v>
      </c>
      <c r="S745" s="17">
        <f t="shared" si="430"/>
        <v>0</v>
      </c>
      <c r="T745" s="17">
        <f t="shared" si="431"/>
        <v>0</v>
      </c>
      <c r="U745" s="17">
        <f t="shared" si="432"/>
        <v>0</v>
      </c>
      <c r="V745" s="17">
        <f t="shared" si="433"/>
        <v>0</v>
      </c>
      <c r="W745" s="17">
        <f t="shared" si="434"/>
        <v>0</v>
      </c>
      <c r="X745" s="17">
        <f t="shared" si="435"/>
        <v>0</v>
      </c>
      <c r="Y745" s="17">
        <f t="shared" si="436"/>
        <v>0</v>
      </c>
      <c r="Z745" s="17">
        <f t="shared" si="437"/>
        <v>0</v>
      </c>
      <c r="AA745" s="17">
        <f t="shared" si="438"/>
        <v>0</v>
      </c>
      <c r="AB745" s="17">
        <f t="shared" si="439"/>
        <v>0</v>
      </c>
      <c r="AC745" s="17">
        <v>0</v>
      </c>
      <c r="AD745" s="17">
        <f t="shared" si="440"/>
        <v>0</v>
      </c>
      <c r="AE745" s="17">
        <f t="shared" si="441"/>
        <v>0</v>
      </c>
      <c r="AF745" s="17">
        <f t="shared" si="442"/>
        <v>0</v>
      </c>
      <c r="AG745" s="17">
        <f t="shared" si="443"/>
        <v>0</v>
      </c>
      <c r="AH745" s="17">
        <f t="shared" si="444"/>
        <v>0</v>
      </c>
      <c r="AI745" s="17">
        <f t="shared" si="445"/>
        <v>0</v>
      </c>
      <c r="AJ745" s="17">
        <f t="shared" si="446"/>
        <v>0</v>
      </c>
      <c r="AK745" s="17">
        <f t="shared" si="447"/>
        <v>0</v>
      </c>
      <c r="AL745" s="17">
        <f t="shared" si="448"/>
        <v>0</v>
      </c>
      <c r="AM745" s="17">
        <f t="shared" si="449"/>
        <v>0</v>
      </c>
      <c r="AN745" s="17">
        <f t="shared" si="450"/>
        <v>0</v>
      </c>
      <c r="AO745" s="17">
        <f t="shared" si="451"/>
        <v>0</v>
      </c>
      <c r="AP745" s="17">
        <f t="shared" si="452"/>
        <v>0</v>
      </c>
      <c r="AQ745" s="18">
        <v>0</v>
      </c>
      <c r="AR745" s="18">
        <v>0</v>
      </c>
      <c r="AS745" s="18">
        <v>0</v>
      </c>
      <c r="AT745" s="18">
        <v>0</v>
      </c>
      <c r="AU745" s="18">
        <v>0</v>
      </c>
      <c r="AV745" s="18">
        <v>0</v>
      </c>
      <c r="AW745" s="18">
        <v>0</v>
      </c>
      <c r="AX745" s="18">
        <v>0</v>
      </c>
      <c r="AY745" s="18">
        <v>0</v>
      </c>
      <c r="AZ745" s="18">
        <v>0</v>
      </c>
      <c r="BA745" s="18">
        <v>0</v>
      </c>
      <c r="BB745" s="18">
        <v>0</v>
      </c>
      <c r="BC745" s="23">
        <v>8.9181565948742242E-2</v>
      </c>
      <c r="BD745" s="23">
        <v>0.10665277883445198</v>
      </c>
      <c r="BE745" s="23">
        <v>9.438849084854764E-2</v>
      </c>
      <c r="BF745" s="23">
        <v>7.149564986855049E-2</v>
      </c>
      <c r="BG745" s="23">
        <v>0.10368571810536763</v>
      </c>
      <c r="BH745" s="23">
        <v>8.4970330952544637E-2</v>
      </c>
      <c r="BI745" s="23">
        <v>8.4593878877262704E-2</v>
      </c>
      <c r="BJ745" s="23">
        <v>5.7447105462779965E-2</v>
      </c>
      <c r="BK745" s="23">
        <v>8.5153852345557474E-2</v>
      </c>
      <c r="BL745" s="23">
        <v>7.4158058913035174E-2</v>
      </c>
      <c r="BM745" s="23">
        <v>7.5718189192107169E-2</v>
      </c>
      <c r="BN745" s="23">
        <v>7.3955559365675619E-2</v>
      </c>
    </row>
    <row r="746" spans="1:66" x14ac:dyDescent="0.25">
      <c r="A746" s="16">
        <v>5315</v>
      </c>
      <c r="B746" s="16" t="s">
        <v>940</v>
      </c>
      <c r="C746" s="17">
        <v>0</v>
      </c>
      <c r="D746" s="17">
        <f t="shared" si="416"/>
        <v>0</v>
      </c>
      <c r="E746" s="17">
        <f t="shared" si="417"/>
        <v>0</v>
      </c>
      <c r="F746" s="17">
        <f t="shared" si="418"/>
        <v>0</v>
      </c>
      <c r="G746" s="17">
        <f t="shared" si="419"/>
        <v>0</v>
      </c>
      <c r="H746" s="17">
        <f t="shared" si="420"/>
        <v>0</v>
      </c>
      <c r="I746" s="17">
        <f t="shared" si="421"/>
        <v>0</v>
      </c>
      <c r="J746" s="17">
        <f t="shared" si="422"/>
        <v>0</v>
      </c>
      <c r="K746" s="17">
        <f t="shared" si="423"/>
        <v>0</v>
      </c>
      <c r="L746" s="17">
        <f t="shared" si="424"/>
        <v>0</v>
      </c>
      <c r="M746" s="17">
        <f t="shared" si="425"/>
        <v>0</v>
      </c>
      <c r="N746" s="17">
        <f t="shared" si="426"/>
        <v>0</v>
      </c>
      <c r="O746" s="17">
        <f t="shared" si="427"/>
        <v>0</v>
      </c>
      <c r="P746" s="17">
        <v>0</v>
      </c>
      <c r="Q746" s="17">
        <f t="shared" si="428"/>
        <v>0</v>
      </c>
      <c r="R746" s="17">
        <f t="shared" si="429"/>
        <v>0</v>
      </c>
      <c r="S746" s="17">
        <f t="shared" si="430"/>
        <v>0</v>
      </c>
      <c r="T746" s="17">
        <f t="shared" si="431"/>
        <v>0</v>
      </c>
      <c r="U746" s="17">
        <f t="shared" si="432"/>
        <v>0</v>
      </c>
      <c r="V746" s="17">
        <f t="shared" si="433"/>
        <v>0</v>
      </c>
      <c r="W746" s="17">
        <f t="shared" si="434"/>
        <v>0</v>
      </c>
      <c r="X746" s="17">
        <f t="shared" si="435"/>
        <v>0</v>
      </c>
      <c r="Y746" s="17">
        <f t="shared" si="436"/>
        <v>0</v>
      </c>
      <c r="Z746" s="17">
        <f t="shared" si="437"/>
        <v>0</v>
      </c>
      <c r="AA746" s="17">
        <f t="shared" si="438"/>
        <v>0</v>
      </c>
      <c r="AB746" s="17">
        <f t="shared" si="439"/>
        <v>0</v>
      </c>
      <c r="AC746" s="17">
        <v>0</v>
      </c>
      <c r="AD746" s="17">
        <f t="shared" si="440"/>
        <v>0</v>
      </c>
      <c r="AE746" s="17">
        <f t="shared" si="441"/>
        <v>0</v>
      </c>
      <c r="AF746" s="17">
        <f t="shared" si="442"/>
        <v>0</v>
      </c>
      <c r="AG746" s="17">
        <f t="shared" si="443"/>
        <v>0</v>
      </c>
      <c r="AH746" s="17">
        <f t="shared" si="444"/>
        <v>0</v>
      </c>
      <c r="AI746" s="17">
        <f t="shared" si="445"/>
        <v>0</v>
      </c>
      <c r="AJ746" s="17">
        <f t="shared" si="446"/>
        <v>0</v>
      </c>
      <c r="AK746" s="17">
        <f t="shared" si="447"/>
        <v>0</v>
      </c>
      <c r="AL746" s="17">
        <f t="shared" si="448"/>
        <v>0</v>
      </c>
      <c r="AM746" s="17">
        <f t="shared" si="449"/>
        <v>0</v>
      </c>
      <c r="AN746" s="17">
        <f t="shared" si="450"/>
        <v>0</v>
      </c>
      <c r="AO746" s="17">
        <f t="shared" si="451"/>
        <v>0</v>
      </c>
      <c r="AP746" s="17">
        <f t="shared" si="452"/>
        <v>0</v>
      </c>
      <c r="AQ746" s="18">
        <v>0</v>
      </c>
      <c r="AR746" s="18">
        <v>0</v>
      </c>
      <c r="AS746" s="18">
        <v>0</v>
      </c>
      <c r="AT746" s="18">
        <v>0</v>
      </c>
      <c r="AU746" s="18">
        <v>0</v>
      </c>
      <c r="AV746" s="18">
        <v>0</v>
      </c>
      <c r="AW746" s="18">
        <v>0</v>
      </c>
      <c r="AX746" s="18">
        <v>0</v>
      </c>
      <c r="AY746" s="18">
        <v>0</v>
      </c>
      <c r="AZ746" s="18">
        <v>0</v>
      </c>
      <c r="BA746" s="18">
        <v>0</v>
      </c>
      <c r="BB746" s="18">
        <v>0</v>
      </c>
      <c r="BC746" s="23">
        <v>8.9181565948742242E-2</v>
      </c>
      <c r="BD746" s="23">
        <v>0.10665277883445198</v>
      </c>
      <c r="BE746" s="23">
        <v>9.438849084854764E-2</v>
      </c>
      <c r="BF746" s="23">
        <v>7.149564986855049E-2</v>
      </c>
      <c r="BG746" s="23">
        <v>0.10368571810536763</v>
      </c>
      <c r="BH746" s="23">
        <v>8.4970330952544637E-2</v>
      </c>
      <c r="BI746" s="23">
        <v>8.4593878877262704E-2</v>
      </c>
      <c r="BJ746" s="23">
        <v>5.7447105462779965E-2</v>
      </c>
      <c r="BK746" s="23">
        <v>8.5153852345557474E-2</v>
      </c>
      <c r="BL746" s="23">
        <v>7.4158058913035174E-2</v>
      </c>
      <c r="BM746" s="23">
        <v>7.5718189192107169E-2</v>
      </c>
      <c r="BN746" s="23">
        <v>7.3955559365675619E-2</v>
      </c>
    </row>
    <row r="747" spans="1:66" x14ac:dyDescent="0.25">
      <c r="A747" s="16">
        <v>5331</v>
      </c>
      <c r="B747" s="16" t="s">
        <v>941</v>
      </c>
      <c r="C747" s="17">
        <v>0</v>
      </c>
      <c r="D747" s="17">
        <f t="shared" si="416"/>
        <v>0</v>
      </c>
      <c r="E747" s="17">
        <f t="shared" si="417"/>
        <v>0</v>
      </c>
      <c r="F747" s="17">
        <f t="shared" si="418"/>
        <v>0</v>
      </c>
      <c r="G747" s="17">
        <f t="shared" si="419"/>
        <v>0</v>
      </c>
      <c r="H747" s="17">
        <f t="shared" si="420"/>
        <v>0</v>
      </c>
      <c r="I747" s="17">
        <f t="shared" si="421"/>
        <v>0</v>
      </c>
      <c r="J747" s="17">
        <f t="shared" si="422"/>
        <v>0</v>
      </c>
      <c r="K747" s="17">
        <f t="shared" si="423"/>
        <v>0</v>
      </c>
      <c r="L747" s="17">
        <f t="shared" si="424"/>
        <v>0</v>
      </c>
      <c r="M747" s="17">
        <f t="shared" si="425"/>
        <v>0</v>
      </c>
      <c r="N747" s="17">
        <f t="shared" si="426"/>
        <v>0</v>
      </c>
      <c r="O747" s="17">
        <f t="shared" si="427"/>
        <v>0</v>
      </c>
      <c r="P747" s="17">
        <v>0</v>
      </c>
      <c r="Q747" s="17">
        <f t="shared" si="428"/>
        <v>0</v>
      </c>
      <c r="R747" s="17">
        <f t="shared" si="429"/>
        <v>0</v>
      </c>
      <c r="S747" s="17">
        <f t="shared" si="430"/>
        <v>0</v>
      </c>
      <c r="T747" s="17">
        <f t="shared" si="431"/>
        <v>0</v>
      </c>
      <c r="U747" s="17">
        <f t="shared" si="432"/>
        <v>0</v>
      </c>
      <c r="V747" s="17">
        <f t="shared" si="433"/>
        <v>0</v>
      </c>
      <c r="W747" s="17">
        <f t="shared" si="434"/>
        <v>0</v>
      </c>
      <c r="X747" s="17">
        <f t="shared" si="435"/>
        <v>0</v>
      </c>
      <c r="Y747" s="17">
        <f t="shared" si="436"/>
        <v>0</v>
      </c>
      <c r="Z747" s="17">
        <f t="shared" si="437"/>
        <v>0</v>
      </c>
      <c r="AA747" s="17">
        <f t="shared" si="438"/>
        <v>0</v>
      </c>
      <c r="AB747" s="17">
        <f t="shared" si="439"/>
        <v>0</v>
      </c>
      <c r="AC747" s="17">
        <v>0</v>
      </c>
      <c r="AD747" s="17">
        <f t="shared" si="440"/>
        <v>0</v>
      </c>
      <c r="AE747" s="17">
        <f t="shared" si="441"/>
        <v>0</v>
      </c>
      <c r="AF747" s="17">
        <f t="shared" si="442"/>
        <v>0</v>
      </c>
      <c r="AG747" s="17">
        <f t="shared" si="443"/>
        <v>0</v>
      </c>
      <c r="AH747" s="17">
        <f t="shared" si="444"/>
        <v>0</v>
      </c>
      <c r="AI747" s="17">
        <f t="shared" si="445"/>
        <v>0</v>
      </c>
      <c r="AJ747" s="17">
        <f t="shared" si="446"/>
        <v>0</v>
      </c>
      <c r="AK747" s="17">
        <f t="shared" si="447"/>
        <v>0</v>
      </c>
      <c r="AL747" s="17">
        <f t="shared" si="448"/>
        <v>0</v>
      </c>
      <c r="AM747" s="17">
        <f t="shared" si="449"/>
        <v>0</v>
      </c>
      <c r="AN747" s="17">
        <f t="shared" si="450"/>
        <v>0</v>
      </c>
      <c r="AO747" s="17">
        <f t="shared" si="451"/>
        <v>0</v>
      </c>
      <c r="AP747" s="17">
        <f t="shared" si="452"/>
        <v>0</v>
      </c>
      <c r="AQ747" s="18">
        <v>0</v>
      </c>
      <c r="AR747" s="18">
        <v>0</v>
      </c>
      <c r="AS747" s="18">
        <v>0</v>
      </c>
      <c r="AT747" s="18">
        <v>0</v>
      </c>
      <c r="AU747" s="18">
        <v>0</v>
      </c>
      <c r="AV747" s="18">
        <v>0</v>
      </c>
      <c r="AW747" s="18">
        <v>0</v>
      </c>
      <c r="AX747" s="18">
        <v>0</v>
      </c>
      <c r="AY747" s="18">
        <v>0</v>
      </c>
      <c r="AZ747" s="18">
        <v>0</v>
      </c>
      <c r="BA747" s="18">
        <v>0</v>
      </c>
      <c r="BB747" s="18">
        <v>0</v>
      </c>
      <c r="BC747" s="23">
        <v>8.9181565948742242E-2</v>
      </c>
      <c r="BD747" s="23">
        <v>0.10665277883445198</v>
      </c>
      <c r="BE747" s="23">
        <v>9.438849084854764E-2</v>
      </c>
      <c r="BF747" s="23">
        <v>7.149564986855049E-2</v>
      </c>
      <c r="BG747" s="23">
        <v>0.10368571810536763</v>
      </c>
      <c r="BH747" s="23">
        <v>8.4970330952544637E-2</v>
      </c>
      <c r="BI747" s="23">
        <v>8.4593878877262704E-2</v>
      </c>
      <c r="BJ747" s="23">
        <v>5.7447105462779965E-2</v>
      </c>
      <c r="BK747" s="23">
        <v>8.5153852345557474E-2</v>
      </c>
      <c r="BL747" s="23">
        <v>7.4158058913035174E-2</v>
      </c>
      <c r="BM747" s="23">
        <v>7.5718189192107169E-2</v>
      </c>
      <c r="BN747" s="23">
        <v>7.3955559365675619E-2</v>
      </c>
    </row>
    <row r="748" spans="1:66" x14ac:dyDescent="0.25">
      <c r="A748" s="16">
        <v>5332</v>
      </c>
      <c r="B748" s="16" t="s">
        <v>942</v>
      </c>
      <c r="C748" s="17">
        <v>0</v>
      </c>
      <c r="D748" s="17">
        <f t="shared" si="416"/>
        <v>0</v>
      </c>
      <c r="E748" s="17">
        <f t="shared" si="417"/>
        <v>0</v>
      </c>
      <c r="F748" s="17">
        <f t="shared" si="418"/>
        <v>0</v>
      </c>
      <c r="G748" s="17">
        <f t="shared" si="419"/>
        <v>0</v>
      </c>
      <c r="H748" s="17">
        <f t="shared" si="420"/>
        <v>0</v>
      </c>
      <c r="I748" s="17">
        <f t="shared" si="421"/>
        <v>0</v>
      </c>
      <c r="J748" s="17">
        <f t="shared" si="422"/>
        <v>0</v>
      </c>
      <c r="K748" s="17">
        <f t="shared" si="423"/>
        <v>0</v>
      </c>
      <c r="L748" s="17">
        <f t="shared" si="424"/>
        <v>0</v>
      </c>
      <c r="M748" s="17">
        <f t="shared" si="425"/>
        <v>0</v>
      </c>
      <c r="N748" s="17">
        <f t="shared" si="426"/>
        <v>0</v>
      </c>
      <c r="O748" s="17">
        <f t="shared" si="427"/>
        <v>0</v>
      </c>
      <c r="P748" s="17">
        <v>0</v>
      </c>
      <c r="Q748" s="17">
        <f t="shared" si="428"/>
        <v>0</v>
      </c>
      <c r="R748" s="17">
        <f t="shared" si="429"/>
        <v>0</v>
      </c>
      <c r="S748" s="17">
        <f t="shared" si="430"/>
        <v>0</v>
      </c>
      <c r="T748" s="17">
        <f t="shared" si="431"/>
        <v>0</v>
      </c>
      <c r="U748" s="17">
        <f t="shared" si="432"/>
        <v>0</v>
      </c>
      <c r="V748" s="17">
        <f t="shared" si="433"/>
        <v>0</v>
      </c>
      <c r="W748" s="17">
        <f t="shared" si="434"/>
        <v>0</v>
      </c>
      <c r="X748" s="17">
        <f t="shared" si="435"/>
        <v>0</v>
      </c>
      <c r="Y748" s="17">
        <f t="shared" si="436"/>
        <v>0</v>
      </c>
      <c r="Z748" s="17">
        <f t="shared" si="437"/>
        <v>0</v>
      </c>
      <c r="AA748" s="17">
        <f t="shared" si="438"/>
        <v>0</v>
      </c>
      <c r="AB748" s="17">
        <f t="shared" si="439"/>
        <v>0</v>
      </c>
      <c r="AC748" s="17">
        <v>0</v>
      </c>
      <c r="AD748" s="17">
        <f t="shared" si="440"/>
        <v>0</v>
      </c>
      <c r="AE748" s="17">
        <f t="shared" si="441"/>
        <v>0</v>
      </c>
      <c r="AF748" s="17">
        <f t="shared" si="442"/>
        <v>0</v>
      </c>
      <c r="AG748" s="17">
        <f t="shared" si="443"/>
        <v>0</v>
      </c>
      <c r="AH748" s="17">
        <f t="shared" si="444"/>
        <v>0</v>
      </c>
      <c r="AI748" s="17">
        <f t="shared" si="445"/>
        <v>0</v>
      </c>
      <c r="AJ748" s="17">
        <f t="shared" si="446"/>
        <v>0</v>
      </c>
      <c r="AK748" s="17">
        <f t="shared" si="447"/>
        <v>0</v>
      </c>
      <c r="AL748" s="17">
        <f t="shared" si="448"/>
        <v>0</v>
      </c>
      <c r="AM748" s="17">
        <f t="shared" si="449"/>
        <v>0</v>
      </c>
      <c r="AN748" s="17">
        <f t="shared" si="450"/>
        <v>0</v>
      </c>
      <c r="AO748" s="17">
        <f t="shared" si="451"/>
        <v>0</v>
      </c>
      <c r="AP748" s="17">
        <f t="shared" si="452"/>
        <v>0</v>
      </c>
      <c r="AQ748" s="18">
        <v>0</v>
      </c>
      <c r="AR748" s="18">
        <v>0</v>
      </c>
      <c r="AS748" s="18">
        <v>0</v>
      </c>
      <c r="AT748" s="18">
        <v>0</v>
      </c>
      <c r="AU748" s="18">
        <v>0</v>
      </c>
      <c r="AV748" s="18">
        <v>0</v>
      </c>
      <c r="AW748" s="18">
        <v>0</v>
      </c>
      <c r="AX748" s="18">
        <v>0</v>
      </c>
      <c r="AY748" s="18">
        <v>0</v>
      </c>
      <c r="AZ748" s="18">
        <v>0</v>
      </c>
      <c r="BA748" s="18">
        <v>0</v>
      </c>
      <c r="BB748" s="18">
        <v>0</v>
      </c>
      <c r="BC748" s="23">
        <v>8.9181565948742242E-2</v>
      </c>
      <c r="BD748" s="23">
        <v>0.10665277883445198</v>
      </c>
      <c r="BE748" s="23">
        <v>9.438849084854764E-2</v>
      </c>
      <c r="BF748" s="23">
        <v>7.149564986855049E-2</v>
      </c>
      <c r="BG748" s="23">
        <v>0.10368571810536763</v>
      </c>
      <c r="BH748" s="23">
        <v>8.4970330952544637E-2</v>
      </c>
      <c r="BI748" s="23">
        <v>8.4593878877262704E-2</v>
      </c>
      <c r="BJ748" s="23">
        <v>5.7447105462779965E-2</v>
      </c>
      <c r="BK748" s="23">
        <v>8.5153852345557474E-2</v>
      </c>
      <c r="BL748" s="23">
        <v>7.4158058913035174E-2</v>
      </c>
      <c r="BM748" s="23">
        <v>7.5718189192107169E-2</v>
      </c>
      <c r="BN748" s="23">
        <v>7.3955559365675619E-2</v>
      </c>
    </row>
    <row r="749" spans="1:66" x14ac:dyDescent="0.25">
      <c r="A749" s="16">
        <v>5340</v>
      </c>
      <c r="B749" s="16" t="s">
        <v>943</v>
      </c>
      <c r="C749" s="17">
        <v>500</v>
      </c>
      <c r="D749" s="17">
        <f t="shared" si="416"/>
        <v>44.590782974371123</v>
      </c>
      <c r="E749" s="17">
        <f t="shared" si="417"/>
        <v>53.32638941722599</v>
      </c>
      <c r="F749" s="17">
        <f t="shared" si="418"/>
        <v>47.194245424273824</v>
      </c>
      <c r="G749" s="17">
        <f t="shared" si="419"/>
        <v>35.747824934275243</v>
      </c>
      <c r="H749" s="17">
        <f t="shared" si="420"/>
        <v>51.842859052683814</v>
      </c>
      <c r="I749" s="17">
        <f t="shared" si="421"/>
        <v>42.485165476272321</v>
      </c>
      <c r="J749" s="17">
        <f t="shared" si="422"/>
        <v>42.296939438631355</v>
      </c>
      <c r="K749" s="17">
        <f t="shared" si="423"/>
        <v>28.723552731389983</v>
      </c>
      <c r="L749" s="17">
        <f t="shared" si="424"/>
        <v>42.576926172778734</v>
      </c>
      <c r="M749" s="17">
        <f t="shared" si="425"/>
        <v>37.079029456517588</v>
      </c>
      <c r="N749" s="17">
        <f t="shared" si="426"/>
        <v>37.859094596053588</v>
      </c>
      <c r="O749" s="17">
        <f t="shared" si="427"/>
        <v>36.977779682837813</v>
      </c>
      <c r="P749" s="17">
        <v>0</v>
      </c>
      <c r="Q749" s="17">
        <f t="shared" si="428"/>
        <v>0</v>
      </c>
      <c r="R749" s="17">
        <f t="shared" si="429"/>
        <v>0</v>
      </c>
      <c r="S749" s="17">
        <f t="shared" si="430"/>
        <v>0</v>
      </c>
      <c r="T749" s="17">
        <f t="shared" si="431"/>
        <v>0</v>
      </c>
      <c r="U749" s="17">
        <f t="shared" si="432"/>
        <v>0</v>
      </c>
      <c r="V749" s="17">
        <f t="shared" si="433"/>
        <v>0</v>
      </c>
      <c r="W749" s="17">
        <f t="shared" si="434"/>
        <v>0</v>
      </c>
      <c r="X749" s="17">
        <f t="shared" si="435"/>
        <v>0</v>
      </c>
      <c r="Y749" s="17">
        <f t="shared" si="436"/>
        <v>0</v>
      </c>
      <c r="Z749" s="17">
        <f t="shared" si="437"/>
        <v>0</v>
      </c>
      <c r="AA749" s="17">
        <f t="shared" si="438"/>
        <v>0</v>
      </c>
      <c r="AB749" s="17">
        <f t="shared" si="439"/>
        <v>0</v>
      </c>
      <c r="AC749" s="17">
        <v>0</v>
      </c>
      <c r="AD749" s="17">
        <f t="shared" si="440"/>
        <v>0</v>
      </c>
      <c r="AE749" s="17">
        <f t="shared" si="441"/>
        <v>0</v>
      </c>
      <c r="AF749" s="17">
        <f t="shared" si="442"/>
        <v>0</v>
      </c>
      <c r="AG749" s="17">
        <f t="shared" si="443"/>
        <v>0</v>
      </c>
      <c r="AH749" s="17">
        <f t="shared" si="444"/>
        <v>0</v>
      </c>
      <c r="AI749" s="17">
        <f t="shared" si="445"/>
        <v>0</v>
      </c>
      <c r="AJ749" s="17">
        <f t="shared" si="446"/>
        <v>0</v>
      </c>
      <c r="AK749" s="17">
        <f t="shared" si="447"/>
        <v>0</v>
      </c>
      <c r="AL749" s="17">
        <f t="shared" si="448"/>
        <v>0</v>
      </c>
      <c r="AM749" s="17">
        <f t="shared" si="449"/>
        <v>0</v>
      </c>
      <c r="AN749" s="17">
        <f t="shared" si="450"/>
        <v>0</v>
      </c>
      <c r="AO749" s="17">
        <f t="shared" si="451"/>
        <v>0</v>
      </c>
      <c r="AP749" s="17">
        <f t="shared" si="452"/>
        <v>500</v>
      </c>
      <c r="AQ749" s="18">
        <v>24.642650302956461</v>
      </c>
      <c r="AR749" s="18">
        <v>29.470295847535777</v>
      </c>
      <c r="AS749" s="18">
        <v>26.081427791270688</v>
      </c>
      <c r="AT749" s="18">
        <v>19.755677971677876</v>
      </c>
      <c r="AU749" s="18">
        <v>28.650437626875188</v>
      </c>
      <c r="AV749" s="18">
        <v>23.479001848807137</v>
      </c>
      <c r="AW749" s="18">
        <v>23.374980611365235</v>
      </c>
      <c r="AX749" s="18">
        <v>15.873784181475363</v>
      </c>
      <c r="AY749" s="18">
        <v>23.529712480124445</v>
      </c>
      <c r="AZ749" s="18">
        <v>20.491354838849883</v>
      </c>
      <c r="BA749" s="18">
        <v>20.922450037563056</v>
      </c>
      <c r="BB749" s="18">
        <v>20.435400163923489</v>
      </c>
      <c r="BC749" s="23">
        <v>8.9181565948742242E-2</v>
      </c>
      <c r="BD749" s="23">
        <v>0.10665277883445198</v>
      </c>
      <c r="BE749" s="23">
        <v>9.438849084854764E-2</v>
      </c>
      <c r="BF749" s="23">
        <v>7.149564986855049E-2</v>
      </c>
      <c r="BG749" s="23">
        <v>0.10368571810536763</v>
      </c>
      <c r="BH749" s="23">
        <v>8.4970330952544637E-2</v>
      </c>
      <c r="BI749" s="23">
        <v>8.4593878877262704E-2</v>
      </c>
      <c r="BJ749" s="23">
        <v>5.7447105462779965E-2</v>
      </c>
      <c r="BK749" s="23">
        <v>8.5153852345557474E-2</v>
      </c>
      <c r="BL749" s="23">
        <v>7.4158058913035174E-2</v>
      </c>
      <c r="BM749" s="23">
        <v>7.5718189192107169E-2</v>
      </c>
      <c r="BN749" s="23">
        <v>7.3955559365675619E-2</v>
      </c>
    </row>
    <row r="750" spans="1:66" x14ac:dyDescent="0.25">
      <c r="A750" s="16">
        <v>5341</v>
      </c>
      <c r="B750" s="16" t="s">
        <v>944</v>
      </c>
      <c r="C750" s="17">
        <v>0</v>
      </c>
      <c r="D750" s="17">
        <f t="shared" si="416"/>
        <v>0</v>
      </c>
      <c r="E750" s="17">
        <f t="shared" si="417"/>
        <v>0</v>
      </c>
      <c r="F750" s="17">
        <f t="shared" si="418"/>
        <v>0</v>
      </c>
      <c r="G750" s="17">
        <f t="shared" si="419"/>
        <v>0</v>
      </c>
      <c r="H750" s="17">
        <f t="shared" si="420"/>
        <v>0</v>
      </c>
      <c r="I750" s="17">
        <f t="shared" si="421"/>
        <v>0</v>
      </c>
      <c r="J750" s="17">
        <f t="shared" si="422"/>
        <v>0</v>
      </c>
      <c r="K750" s="17">
        <f t="shared" si="423"/>
        <v>0</v>
      </c>
      <c r="L750" s="17">
        <f t="shared" si="424"/>
        <v>0</v>
      </c>
      <c r="M750" s="17">
        <f t="shared" si="425"/>
        <v>0</v>
      </c>
      <c r="N750" s="17">
        <f t="shared" si="426"/>
        <v>0</v>
      </c>
      <c r="O750" s="17">
        <f t="shared" si="427"/>
        <v>0</v>
      </c>
      <c r="P750" s="17">
        <v>0</v>
      </c>
      <c r="Q750" s="17">
        <f t="shared" si="428"/>
        <v>0</v>
      </c>
      <c r="R750" s="17">
        <f t="shared" si="429"/>
        <v>0</v>
      </c>
      <c r="S750" s="17">
        <f t="shared" si="430"/>
        <v>0</v>
      </c>
      <c r="T750" s="17">
        <f t="shared" si="431"/>
        <v>0</v>
      </c>
      <c r="U750" s="17">
        <f t="shared" si="432"/>
        <v>0</v>
      </c>
      <c r="V750" s="17">
        <f t="shared" si="433"/>
        <v>0</v>
      </c>
      <c r="W750" s="17">
        <f t="shared" si="434"/>
        <v>0</v>
      </c>
      <c r="X750" s="17">
        <f t="shared" si="435"/>
        <v>0</v>
      </c>
      <c r="Y750" s="17">
        <f t="shared" si="436"/>
        <v>0</v>
      </c>
      <c r="Z750" s="17">
        <f t="shared" si="437"/>
        <v>0</v>
      </c>
      <c r="AA750" s="17">
        <f t="shared" si="438"/>
        <v>0</v>
      </c>
      <c r="AB750" s="17">
        <f t="shared" si="439"/>
        <v>0</v>
      </c>
      <c r="AC750" s="17">
        <v>0</v>
      </c>
      <c r="AD750" s="17">
        <f t="shared" si="440"/>
        <v>0</v>
      </c>
      <c r="AE750" s="17">
        <f t="shared" si="441"/>
        <v>0</v>
      </c>
      <c r="AF750" s="17">
        <f t="shared" si="442"/>
        <v>0</v>
      </c>
      <c r="AG750" s="17">
        <f t="shared" si="443"/>
        <v>0</v>
      </c>
      <c r="AH750" s="17">
        <f t="shared" si="444"/>
        <v>0</v>
      </c>
      <c r="AI750" s="17">
        <f t="shared" si="445"/>
        <v>0</v>
      </c>
      <c r="AJ750" s="17">
        <f t="shared" si="446"/>
        <v>0</v>
      </c>
      <c r="AK750" s="17">
        <f t="shared" si="447"/>
        <v>0</v>
      </c>
      <c r="AL750" s="17">
        <f t="shared" si="448"/>
        <v>0</v>
      </c>
      <c r="AM750" s="17">
        <f t="shared" si="449"/>
        <v>0</v>
      </c>
      <c r="AN750" s="17">
        <f t="shared" si="450"/>
        <v>0</v>
      </c>
      <c r="AO750" s="17">
        <f t="shared" si="451"/>
        <v>0</v>
      </c>
      <c r="AP750" s="17">
        <f t="shared" si="452"/>
        <v>0</v>
      </c>
      <c r="AQ750" s="18">
        <v>0</v>
      </c>
      <c r="AR750" s="18">
        <v>0</v>
      </c>
      <c r="AS750" s="18">
        <v>0</v>
      </c>
      <c r="AT750" s="18">
        <v>0</v>
      </c>
      <c r="AU750" s="18">
        <v>0</v>
      </c>
      <c r="AV750" s="18">
        <v>0</v>
      </c>
      <c r="AW750" s="18">
        <v>0</v>
      </c>
      <c r="AX750" s="18">
        <v>0</v>
      </c>
      <c r="AY750" s="18">
        <v>0</v>
      </c>
      <c r="AZ750" s="18">
        <v>0</v>
      </c>
      <c r="BA750" s="18">
        <v>0</v>
      </c>
      <c r="BB750" s="18">
        <v>0</v>
      </c>
      <c r="BC750" s="23">
        <v>8.9181565948742242E-2</v>
      </c>
      <c r="BD750" s="23">
        <v>0.10665277883445198</v>
      </c>
      <c r="BE750" s="23">
        <v>9.438849084854764E-2</v>
      </c>
      <c r="BF750" s="23">
        <v>7.149564986855049E-2</v>
      </c>
      <c r="BG750" s="23">
        <v>0.10368571810536763</v>
      </c>
      <c r="BH750" s="23">
        <v>8.4970330952544637E-2</v>
      </c>
      <c r="BI750" s="23">
        <v>8.4593878877262704E-2</v>
      </c>
      <c r="BJ750" s="23">
        <v>5.7447105462779965E-2</v>
      </c>
      <c r="BK750" s="23">
        <v>8.5153852345557474E-2</v>
      </c>
      <c r="BL750" s="23">
        <v>7.4158058913035174E-2</v>
      </c>
      <c r="BM750" s="23">
        <v>7.5718189192107169E-2</v>
      </c>
      <c r="BN750" s="23">
        <v>7.3955559365675619E-2</v>
      </c>
    </row>
    <row r="751" spans="1:66" x14ac:dyDescent="0.25">
      <c r="A751" s="16">
        <v>5344</v>
      </c>
      <c r="B751" s="16" t="s">
        <v>945</v>
      </c>
      <c r="C751" s="17">
        <v>0</v>
      </c>
      <c r="D751" s="17">
        <f t="shared" si="416"/>
        <v>0</v>
      </c>
      <c r="E751" s="17">
        <f t="shared" si="417"/>
        <v>0</v>
      </c>
      <c r="F751" s="17">
        <f t="shared" si="418"/>
        <v>0</v>
      </c>
      <c r="G751" s="17">
        <f t="shared" si="419"/>
        <v>0</v>
      </c>
      <c r="H751" s="17">
        <f t="shared" si="420"/>
        <v>0</v>
      </c>
      <c r="I751" s="17">
        <f t="shared" si="421"/>
        <v>0</v>
      </c>
      <c r="J751" s="17">
        <f t="shared" si="422"/>
        <v>0</v>
      </c>
      <c r="K751" s="17">
        <f t="shared" si="423"/>
        <v>0</v>
      </c>
      <c r="L751" s="17">
        <f t="shared" si="424"/>
        <v>0</v>
      </c>
      <c r="M751" s="17">
        <f t="shared" si="425"/>
        <v>0</v>
      </c>
      <c r="N751" s="17">
        <f t="shared" si="426"/>
        <v>0</v>
      </c>
      <c r="O751" s="17">
        <f t="shared" si="427"/>
        <v>0</v>
      </c>
      <c r="P751" s="17">
        <v>0</v>
      </c>
      <c r="Q751" s="17">
        <f t="shared" si="428"/>
        <v>0</v>
      </c>
      <c r="R751" s="17">
        <f t="shared" si="429"/>
        <v>0</v>
      </c>
      <c r="S751" s="17">
        <f t="shared" si="430"/>
        <v>0</v>
      </c>
      <c r="T751" s="17">
        <f t="shared" si="431"/>
        <v>0</v>
      </c>
      <c r="U751" s="17">
        <f t="shared" si="432"/>
        <v>0</v>
      </c>
      <c r="V751" s="17">
        <f t="shared" si="433"/>
        <v>0</v>
      </c>
      <c r="W751" s="17">
        <f t="shared" si="434"/>
        <v>0</v>
      </c>
      <c r="X751" s="17">
        <f t="shared" si="435"/>
        <v>0</v>
      </c>
      <c r="Y751" s="17">
        <f t="shared" si="436"/>
        <v>0</v>
      </c>
      <c r="Z751" s="17">
        <f t="shared" si="437"/>
        <v>0</v>
      </c>
      <c r="AA751" s="17">
        <f t="shared" si="438"/>
        <v>0</v>
      </c>
      <c r="AB751" s="17">
        <f t="shared" si="439"/>
        <v>0</v>
      </c>
      <c r="AC751" s="17">
        <v>0</v>
      </c>
      <c r="AD751" s="17">
        <f t="shared" si="440"/>
        <v>0</v>
      </c>
      <c r="AE751" s="17">
        <f t="shared" si="441"/>
        <v>0</v>
      </c>
      <c r="AF751" s="17">
        <f t="shared" si="442"/>
        <v>0</v>
      </c>
      <c r="AG751" s="17">
        <f t="shared" si="443"/>
        <v>0</v>
      </c>
      <c r="AH751" s="17">
        <f t="shared" si="444"/>
        <v>0</v>
      </c>
      <c r="AI751" s="17">
        <f t="shared" si="445"/>
        <v>0</v>
      </c>
      <c r="AJ751" s="17">
        <f t="shared" si="446"/>
        <v>0</v>
      </c>
      <c r="AK751" s="17">
        <f t="shared" si="447"/>
        <v>0</v>
      </c>
      <c r="AL751" s="17">
        <f t="shared" si="448"/>
        <v>0</v>
      </c>
      <c r="AM751" s="17">
        <f t="shared" si="449"/>
        <v>0</v>
      </c>
      <c r="AN751" s="17">
        <f t="shared" si="450"/>
        <v>0</v>
      </c>
      <c r="AO751" s="17">
        <f t="shared" si="451"/>
        <v>0</v>
      </c>
      <c r="AP751" s="17">
        <f t="shared" si="452"/>
        <v>0</v>
      </c>
      <c r="AQ751" s="18">
        <v>0</v>
      </c>
      <c r="AR751" s="18">
        <v>0</v>
      </c>
      <c r="AS751" s="18">
        <v>0</v>
      </c>
      <c r="AT751" s="18">
        <v>0</v>
      </c>
      <c r="AU751" s="18">
        <v>0</v>
      </c>
      <c r="AV751" s="18">
        <v>0</v>
      </c>
      <c r="AW751" s="18">
        <v>0</v>
      </c>
      <c r="AX751" s="18">
        <v>0</v>
      </c>
      <c r="AY751" s="18">
        <v>0</v>
      </c>
      <c r="AZ751" s="18">
        <v>0</v>
      </c>
      <c r="BA751" s="18">
        <v>0</v>
      </c>
      <c r="BB751" s="18">
        <v>0</v>
      </c>
      <c r="BC751" s="23">
        <v>8.9181565948742242E-2</v>
      </c>
      <c r="BD751" s="23">
        <v>0.10665277883445198</v>
      </c>
      <c r="BE751" s="23">
        <v>9.438849084854764E-2</v>
      </c>
      <c r="BF751" s="23">
        <v>7.149564986855049E-2</v>
      </c>
      <c r="BG751" s="23">
        <v>0.10368571810536763</v>
      </c>
      <c r="BH751" s="23">
        <v>8.4970330952544637E-2</v>
      </c>
      <c r="BI751" s="23">
        <v>8.4593878877262704E-2</v>
      </c>
      <c r="BJ751" s="23">
        <v>5.7447105462779965E-2</v>
      </c>
      <c r="BK751" s="23">
        <v>8.5153852345557474E-2</v>
      </c>
      <c r="BL751" s="23">
        <v>7.4158058913035174E-2</v>
      </c>
      <c r="BM751" s="23">
        <v>7.5718189192107169E-2</v>
      </c>
      <c r="BN751" s="23">
        <v>7.3955559365675619E-2</v>
      </c>
    </row>
    <row r="752" spans="1:66" x14ac:dyDescent="0.25">
      <c r="A752" s="16">
        <v>5366</v>
      </c>
      <c r="B752" s="16" t="s">
        <v>946</v>
      </c>
      <c r="C752" s="17">
        <v>0</v>
      </c>
      <c r="D752" s="17">
        <f t="shared" si="416"/>
        <v>0</v>
      </c>
      <c r="E752" s="17">
        <f t="shared" si="417"/>
        <v>0</v>
      </c>
      <c r="F752" s="17">
        <f t="shared" si="418"/>
        <v>0</v>
      </c>
      <c r="G752" s="17">
        <f t="shared" si="419"/>
        <v>0</v>
      </c>
      <c r="H752" s="17">
        <f t="shared" si="420"/>
        <v>0</v>
      </c>
      <c r="I752" s="17">
        <f t="shared" si="421"/>
        <v>0</v>
      </c>
      <c r="J752" s="17">
        <f t="shared" si="422"/>
        <v>0</v>
      </c>
      <c r="K752" s="17">
        <f t="shared" si="423"/>
        <v>0</v>
      </c>
      <c r="L752" s="17">
        <f t="shared" si="424"/>
        <v>0</v>
      </c>
      <c r="M752" s="17">
        <f t="shared" si="425"/>
        <v>0</v>
      </c>
      <c r="N752" s="17">
        <f t="shared" si="426"/>
        <v>0</v>
      </c>
      <c r="O752" s="17">
        <f t="shared" si="427"/>
        <v>0</v>
      </c>
      <c r="P752" s="17">
        <v>0</v>
      </c>
      <c r="Q752" s="17">
        <f t="shared" si="428"/>
        <v>0</v>
      </c>
      <c r="R752" s="17">
        <f t="shared" si="429"/>
        <v>0</v>
      </c>
      <c r="S752" s="17">
        <f t="shared" si="430"/>
        <v>0</v>
      </c>
      <c r="T752" s="17">
        <f t="shared" si="431"/>
        <v>0</v>
      </c>
      <c r="U752" s="17">
        <f t="shared" si="432"/>
        <v>0</v>
      </c>
      <c r="V752" s="17">
        <f t="shared" si="433"/>
        <v>0</v>
      </c>
      <c r="W752" s="17">
        <f t="shared" si="434"/>
        <v>0</v>
      </c>
      <c r="X752" s="17">
        <f t="shared" si="435"/>
        <v>0</v>
      </c>
      <c r="Y752" s="17">
        <f t="shared" si="436"/>
        <v>0</v>
      </c>
      <c r="Z752" s="17">
        <f t="shared" si="437"/>
        <v>0</v>
      </c>
      <c r="AA752" s="17">
        <f t="shared" si="438"/>
        <v>0</v>
      </c>
      <c r="AB752" s="17">
        <f t="shared" si="439"/>
        <v>0</v>
      </c>
      <c r="AC752" s="17">
        <v>0</v>
      </c>
      <c r="AD752" s="17">
        <f t="shared" si="440"/>
        <v>0</v>
      </c>
      <c r="AE752" s="17">
        <f t="shared" si="441"/>
        <v>0</v>
      </c>
      <c r="AF752" s="17">
        <f t="shared" si="442"/>
        <v>0</v>
      </c>
      <c r="AG752" s="17">
        <f t="shared" si="443"/>
        <v>0</v>
      </c>
      <c r="AH752" s="17">
        <f t="shared" si="444"/>
        <v>0</v>
      </c>
      <c r="AI752" s="17">
        <f t="shared" si="445"/>
        <v>0</v>
      </c>
      <c r="AJ752" s="17">
        <f t="shared" si="446"/>
        <v>0</v>
      </c>
      <c r="AK752" s="17">
        <f t="shared" si="447"/>
        <v>0</v>
      </c>
      <c r="AL752" s="17">
        <f t="shared" si="448"/>
        <v>0</v>
      </c>
      <c r="AM752" s="17">
        <f t="shared" si="449"/>
        <v>0</v>
      </c>
      <c r="AN752" s="17">
        <f t="shared" si="450"/>
        <v>0</v>
      </c>
      <c r="AO752" s="17">
        <f t="shared" si="451"/>
        <v>0</v>
      </c>
      <c r="AP752" s="17">
        <f t="shared" si="452"/>
        <v>0</v>
      </c>
      <c r="AQ752" s="18">
        <v>0</v>
      </c>
      <c r="AR752" s="18">
        <v>0</v>
      </c>
      <c r="AS752" s="18">
        <v>0</v>
      </c>
      <c r="AT752" s="18">
        <v>0</v>
      </c>
      <c r="AU752" s="18">
        <v>0</v>
      </c>
      <c r="AV752" s="18">
        <v>0</v>
      </c>
      <c r="AW752" s="18">
        <v>0</v>
      </c>
      <c r="AX752" s="18">
        <v>0</v>
      </c>
      <c r="AY752" s="18">
        <v>0</v>
      </c>
      <c r="AZ752" s="18">
        <v>0</v>
      </c>
      <c r="BA752" s="18">
        <v>0</v>
      </c>
      <c r="BB752" s="18">
        <v>0</v>
      </c>
      <c r="BC752" s="23">
        <v>8.9181565948742242E-2</v>
      </c>
      <c r="BD752" s="23">
        <v>0.10665277883445198</v>
      </c>
      <c r="BE752" s="23">
        <v>9.438849084854764E-2</v>
      </c>
      <c r="BF752" s="23">
        <v>7.149564986855049E-2</v>
      </c>
      <c r="BG752" s="23">
        <v>0.10368571810536763</v>
      </c>
      <c r="BH752" s="23">
        <v>8.4970330952544637E-2</v>
      </c>
      <c r="BI752" s="23">
        <v>8.4593878877262704E-2</v>
      </c>
      <c r="BJ752" s="23">
        <v>5.7447105462779965E-2</v>
      </c>
      <c r="BK752" s="23">
        <v>8.5153852345557474E-2</v>
      </c>
      <c r="BL752" s="23">
        <v>7.4158058913035174E-2</v>
      </c>
      <c r="BM752" s="23">
        <v>7.5718189192107169E-2</v>
      </c>
      <c r="BN752" s="23">
        <v>7.3955559365675619E-2</v>
      </c>
    </row>
    <row r="753" spans="1:66" x14ac:dyDescent="0.25">
      <c r="A753" s="16">
        <v>5367</v>
      </c>
      <c r="B753" s="16" t="s">
        <v>947</v>
      </c>
      <c r="C753" s="17">
        <v>0</v>
      </c>
      <c r="D753" s="17">
        <f t="shared" si="416"/>
        <v>0</v>
      </c>
      <c r="E753" s="17">
        <f t="shared" si="417"/>
        <v>0</v>
      </c>
      <c r="F753" s="17">
        <f t="shared" si="418"/>
        <v>0</v>
      </c>
      <c r="G753" s="17">
        <f t="shared" si="419"/>
        <v>0</v>
      </c>
      <c r="H753" s="17">
        <f t="shared" si="420"/>
        <v>0</v>
      </c>
      <c r="I753" s="17">
        <f t="shared" si="421"/>
        <v>0</v>
      </c>
      <c r="J753" s="17">
        <f t="shared" si="422"/>
        <v>0</v>
      </c>
      <c r="K753" s="17">
        <f t="shared" si="423"/>
        <v>0</v>
      </c>
      <c r="L753" s="17">
        <f t="shared" si="424"/>
        <v>0</v>
      </c>
      <c r="M753" s="17">
        <f t="shared" si="425"/>
        <v>0</v>
      </c>
      <c r="N753" s="17">
        <f t="shared" si="426"/>
        <v>0</v>
      </c>
      <c r="O753" s="17">
        <f t="shared" si="427"/>
        <v>0</v>
      </c>
      <c r="P753" s="17">
        <v>0</v>
      </c>
      <c r="Q753" s="17">
        <f t="shared" si="428"/>
        <v>0</v>
      </c>
      <c r="R753" s="17">
        <f t="shared" si="429"/>
        <v>0</v>
      </c>
      <c r="S753" s="17">
        <f t="shared" si="430"/>
        <v>0</v>
      </c>
      <c r="T753" s="17">
        <f t="shared" si="431"/>
        <v>0</v>
      </c>
      <c r="U753" s="17">
        <f t="shared" si="432"/>
        <v>0</v>
      </c>
      <c r="V753" s="17">
        <f t="shared" si="433"/>
        <v>0</v>
      </c>
      <c r="W753" s="17">
        <f t="shared" si="434"/>
        <v>0</v>
      </c>
      <c r="X753" s="17">
        <f t="shared" si="435"/>
        <v>0</v>
      </c>
      <c r="Y753" s="17">
        <f t="shared" si="436"/>
        <v>0</v>
      </c>
      <c r="Z753" s="17">
        <f t="shared" si="437"/>
        <v>0</v>
      </c>
      <c r="AA753" s="17">
        <f t="shared" si="438"/>
        <v>0</v>
      </c>
      <c r="AB753" s="17">
        <f t="shared" si="439"/>
        <v>0</v>
      </c>
      <c r="AC753" s="17">
        <v>0</v>
      </c>
      <c r="AD753" s="17">
        <f t="shared" si="440"/>
        <v>0</v>
      </c>
      <c r="AE753" s="17">
        <f t="shared" si="441"/>
        <v>0</v>
      </c>
      <c r="AF753" s="17">
        <f t="shared" si="442"/>
        <v>0</v>
      </c>
      <c r="AG753" s="17">
        <f t="shared" si="443"/>
        <v>0</v>
      </c>
      <c r="AH753" s="17">
        <f t="shared" si="444"/>
        <v>0</v>
      </c>
      <c r="AI753" s="17">
        <f t="shared" si="445"/>
        <v>0</v>
      </c>
      <c r="AJ753" s="17">
        <f t="shared" si="446"/>
        <v>0</v>
      </c>
      <c r="AK753" s="17">
        <f t="shared" si="447"/>
        <v>0</v>
      </c>
      <c r="AL753" s="17">
        <f t="shared" si="448"/>
        <v>0</v>
      </c>
      <c r="AM753" s="17">
        <f t="shared" si="449"/>
        <v>0</v>
      </c>
      <c r="AN753" s="17">
        <f t="shared" si="450"/>
        <v>0</v>
      </c>
      <c r="AO753" s="17">
        <f t="shared" si="451"/>
        <v>0</v>
      </c>
      <c r="AP753" s="17">
        <f t="shared" si="452"/>
        <v>0</v>
      </c>
      <c r="AQ753" s="18">
        <v>0</v>
      </c>
      <c r="AR753" s="18">
        <v>0</v>
      </c>
      <c r="AS753" s="18">
        <v>0</v>
      </c>
      <c r="AT753" s="18">
        <v>0</v>
      </c>
      <c r="AU753" s="18">
        <v>0</v>
      </c>
      <c r="AV753" s="18">
        <v>0</v>
      </c>
      <c r="AW753" s="18">
        <v>0</v>
      </c>
      <c r="AX753" s="18">
        <v>0</v>
      </c>
      <c r="AY753" s="18">
        <v>0</v>
      </c>
      <c r="AZ753" s="18">
        <v>0</v>
      </c>
      <c r="BA753" s="18">
        <v>0</v>
      </c>
      <c r="BB753" s="18">
        <v>0</v>
      </c>
      <c r="BC753" s="23">
        <v>8.9181565948742242E-2</v>
      </c>
      <c r="BD753" s="23">
        <v>0.10665277883445198</v>
      </c>
      <c r="BE753" s="23">
        <v>9.438849084854764E-2</v>
      </c>
      <c r="BF753" s="23">
        <v>7.149564986855049E-2</v>
      </c>
      <c r="BG753" s="23">
        <v>0.10368571810536763</v>
      </c>
      <c r="BH753" s="23">
        <v>8.4970330952544637E-2</v>
      </c>
      <c r="BI753" s="23">
        <v>8.4593878877262704E-2</v>
      </c>
      <c r="BJ753" s="23">
        <v>5.7447105462779965E-2</v>
      </c>
      <c r="BK753" s="23">
        <v>8.5153852345557474E-2</v>
      </c>
      <c r="BL753" s="23">
        <v>7.4158058913035174E-2</v>
      </c>
      <c r="BM753" s="23">
        <v>7.5718189192107169E-2</v>
      </c>
      <c r="BN753" s="23">
        <v>7.3955559365675619E-2</v>
      </c>
    </row>
    <row r="754" spans="1:66" x14ac:dyDescent="0.25">
      <c r="A754" s="16">
        <v>5368</v>
      </c>
      <c r="B754" s="16" t="s">
        <v>948</v>
      </c>
      <c r="C754" s="17">
        <v>0</v>
      </c>
      <c r="D754" s="17">
        <f t="shared" si="416"/>
        <v>0</v>
      </c>
      <c r="E754" s="17">
        <f t="shared" si="417"/>
        <v>0</v>
      </c>
      <c r="F754" s="17">
        <f t="shared" si="418"/>
        <v>0</v>
      </c>
      <c r="G754" s="17">
        <f t="shared" si="419"/>
        <v>0</v>
      </c>
      <c r="H754" s="17">
        <f t="shared" si="420"/>
        <v>0</v>
      </c>
      <c r="I754" s="17">
        <f t="shared" si="421"/>
        <v>0</v>
      </c>
      <c r="J754" s="17">
        <f t="shared" si="422"/>
        <v>0</v>
      </c>
      <c r="K754" s="17">
        <f t="shared" si="423"/>
        <v>0</v>
      </c>
      <c r="L754" s="17">
        <f t="shared" si="424"/>
        <v>0</v>
      </c>
      <c r="M754" s="17">
        <f t="shared" si="425"/>
        <v>0</v>
      </c>
      <c r="N754" s="17">
        <f t="shared" si="426"/>
        <v>0</v>
      </c>
      <c r="O754" s="17">
        <f t="shared" si="427"/>
        <v>0</v>
      </c>
      <c r="P754" s="17">
        <v>500</v>
      </c>
      <c r="Q754" s="17">
        <f t="shared" si="428"/>
        <v>44.590782974371123</v>
      </c>
      <c r="R754" s="17">
        <f t="shared" si="429"/>
        <v>53.32638941722599</v>
      </c>
      <c r="S754" s="17">
        <f t="shared" si="430"/>
        <v>47.194245424273824</v>
      </c>
      <c r="T754" s="17">
        <f t="shared" si="431"/>
        <v>35.747824934275243</v>
      </c>
      <c r="U754" s="17">
        <f t="shared" si="432"/>
        <v>51.842859052683814</v>
      </c>
      <c r="V754" s="17">
        <f t="shared" si="433"/>
        <v>42.485165476272321</v>
      </c>
      <c r="W754" s="17">
        <f t="shared" si="434"/>
        <v>42.296939438631355</v>
      </c>
      <c r="X754" s="17">
        <f t="shared" si="435"/>
        <v>28.723552731389983</v>
      </c>
      <c r="Y754" s="17">
        <f t="shared" si="436"/>
        <v>42.576926172778734</v>
      </c>
      <c r="Z754" s="17">
        <f t="shared" si="437"/>
        <v>37.079029456517588</v>
      </c>
      <c r="AA754" s="17">
        <f t="shared" si="438"/>
        <v>37.859094596053588</v>
      </c>
      <c r="AB754" s="17">
        <f t="shared" si="439"/>
        <v>36.977779682837813</v>
      </c>
      <c r="AC754" s="17">
        <v>0</v>
      </c>
      <c r="AD754" s="17">
        <f t="shared" si="440"/>
        <v>0</v>
      </c>
      <c r="AE754" s="17">
        <f t="shared" si="441"/>
        <v>0</v>
      </c>
      <c r="AF754" s="17">
        <f t="shared" si="442"/>
        <v>0</v>
      </c>
      <c r="AG754" s="17">
        <f t="shared" si="443"/>
        <v>0</v>
      </c>
      <c r="AH754" s="17">
        <f t="shared" si="444"/>
        <v>0</v>
      </c>
      <c r="AI754" s="17">
        <f t="shared" si="445"/>
        <v>0</v>
      </c>
      <c r="AJ754" s="17">
        <f t="shared" si="446"/>
        <v>0</v>
      </c>
      <c r="AK754" s="17">
        <f t="shared" si="447"/>
        <v>0</v>
      </c>
      <c r="AL754" s="17">
        <f t="shared" si="448"/>
        <v>0</v>
      </c>
      <c r="AM754" s="17">
        <f t="shared" si="449"/>
        <v>0</v>
      </c>
      <c r="AN754" s="17">
        <f t="shared" si="450"/>
        <v>0</v>
      </c>
      <c r="AO754" s="17">
        <f t="shared" si="451"/>
        <v>0</v>
      </c>
      <c r="AP754" s="17">
        <f t="shared" si="452"/>
        <v>500</v>
      </c>
      <c r="AQ754" s="18">
        <v>0.67492609110008128</v>
      </c>
      <c r="AR754" s="18">
        <v>0.80714823021913262</v>
      </c>
      <c r="AS754" s="18">
        <v>0.71433209874180859</v>
      </c>
      <c r="AT754" s="18">
        <v>0.54107907820519019</v>
      </c>
      <c r="AU754" s="18">
        <v>0.78469351462142223</v>
      </c>
      <c r="AV754" s="18">
        <v>0.64305546464885788</v>
      </c>
      <c r="AW754" s="18">
        <v>0.64020647534312414</v>
      </c>
      <c r="AX754" s="18">
        <v>0.4347596941423188</v>
      </c>
      <c r="AY754" s="18">
        <v>0.64444435455117899</v>
      </c>
      <c r="AZ754" s="18">
        <v>0.56122818985385026</v>
      </c>
      <c r="BA754" s="18">
        <v>0.57303525580586712</v>
      </c>
      <c r="BB754" s="18">
        <v>0.55969567327943315</v>
      </c>
      <c r="BC754" s="23">
        <v>8.9181565948742242E-2</v>
      </c>
      <c r="BD754" s="23">
        <v>0.10665277883445198</v>
      </c>
      <c r="BE754" s="23">
        <v>9.438849084854764E-2</v>
      </c>
      <c r="BF754" s="23">
        <v>7.149564986855049E-2</v>
      </c>
      <c r="BG754" s="23">
        <v>0.10368571810536763</v>
      </c>
      <c r="BH754" s="23">
        <v>8.4970330952544637E-2</v>
      </c>
      <c r="BI754" s="23">
        <v>8.4593878877262704E-2</v>
      </c>
      <c r="BJ754" s="23">
        <v>5.7447105462779965E-2</v>
      </c>
      <c r="BK754" s="23">
        <v>8.5153852345557474E-2</v>
      </c>
      <c r="BL754" s="23">
        <v>7.4158058913035174E-2</v>
      </c>
      <c r="BM754" s="23">
        <v>7.5718189192107169E-2</v>
      </c>
      <c r="BN754" s="23">
        <v>7.3955559365675619E-2</v>
      </c>
    </row>
    <row r="755" spans="1:66" x14ac:dyDescent="0.25">
      <c r="A755" s="16">
        <v>5369</v>
      </c>
      <c r="B755" s="16" t="s">
        <v>949</v>
      </c>
      <c r="C755" s="17">
        <v>0</v>
      </c>
      <c r="D755" s="17">
        <f t="shared" si="416"/>
        <v>0</v>
      </c>
      <c r="E755" s="17">
        <f t="shared" si="417"/>
        <v>0</v>
      </c>
      <c r="F755" s="17">
        <f t="shared" si="418"/>
        <v>0</v>
      </c>
      <c r="G755" s="17">
        <f t="shared" si="419"/>
        <v>0</v>
      </c>
      <c r="H755" s="17">
        <f t="shared" si="420"/>
        <v>0</v>
      </c>
      <c r="I755" s="17">
        <f t="shared" si="421"/>
        <v>0</v>
      </c>
      <c r="J755" s="17">
        <f t="shared" si="422"/>
        <v>0</v>
      </c>
      <c r="K755" s="17">
        <f t="shared" si="423"/>
        <v>0</v>
      </c>
      <c r="L755" s="17">
        <f t="shared" si="424"/>
        <v>0</v>
      </c>
      <c r="M755" s="17">
        <f t="shared" si="425"/>
        <v>0</v>
      </c>
      <c r="N755" s="17">
        <f t="shared" si="426"/>
        <v>0</v>
      </c>
      <c r="O755" s="17">
        <f t="shared" si="427"/>
        <v>0</v>
      </c>
      <c r="P755" s="17">
        <v>0</v>
      </c>
      <c r="Q755" s="17">
        <f t="shared" si="428"/>
        <v>0</v>
      </c>
      <c r="R755" s="17">
        <f t="shared" si="429"/>
        <v>0</v>
      </c>
      <c r="S755" s="17">
        <f t="shared" si="430"/>
        <v>0</v>
      </c>
      <c r="T755" s="17">
        <f t="shared" si="431"/>
        <v>0</v>
      </c>
      <c r="U755" s="17">
        <f t="shared" si="432"/>
        <v>0</v>
      </c>
      <c r="V755" s="17">
        <f t="shared" si="433"/>
        <v>0</v>
      </c>
      <c r="W755" s="17">
        <f t="shared" si="434"/>
        <v>0</v>
      </c>
      <c r="X755" s="17">
        <f t="shared" si="435"/>
        <v>0</v>
      </c>
      <c r="Y755" s="17">
        <f t="shared" si="436"/>
        <v>0</v>
      </c>
      <c r="Z755" s="17">
        <f t="shared" si="437"/>
        <v>0</v>
      </c>
      <c r="AA755" s="17">
        <f t="shared" si="438"/>
        <v>0</v>
      </c>
      <c r="AB755" s="17">
        <f t="shared" si="439"/>
        <v>0</v>
      </c>
      <c r="AC755" s="17">
        <v>0</v>
      </c>
      <c r="AD755" s="17">
        <f t="shared" si="440"/>
        <v>0</v>
      </c>
      <c r="AE755" s="17">
        <f t="shared" si="441"/>
        <v>0</v>
      </c>
      <c r="AF755" s="17">
        <f t="shared" si="442"/>
        <v>0</v>
      </c>
      <c r="AG755" s="17">
        <f t="shared" si="443"/>
        <v>0</v>
      </c>
      <c r="AH755" s="17">
        <f t="shared" si="444"/>
        <v>0</v>
      </c>
      <c r="AI755" s="17">
        <f t="shared" si="445"/>
        <v>0</v>
      </c>
      <c r="AJ755" s="17">
        <f t="shared" si="446"/>
        <v>0</v>
      </c>
      <c r="AK755" s="17">
        <f t="shared" si="447"/>
        <v>0</v>
      </c>
      <c r="AL755" s="17">
        <f t="shared" si="448"/>
        <v>0</v>
      </c>
      <c r="AM755" s="17">
        <f t="shared" si="449"/>
        <v>0</v>
      </c>
      <c r="AN755" s="17">
        <f t="shared" si="450"/>
        <v>0</v>
      </c>
      <c r="AO755" s="17">
        <f t="shared" si="451"/>
        <v>0</v>
      </c>
      <c r="AP755" s="17">
        <f t="shared" si="452"/>
        <v>0</v>
      </c>
      <c r="AQ755" s="18">
        <v>121.13353739685761</v>
      </c>
      <c r="AR755" s="18">
        <v>144.86433643525945</v>
      </c>
      <c r="AS755" s="18">
        <v>128.20599934976528</v>
      </c>
      <c r="AT755" s="18">
        <v>97.111111303454763</v>
      </c>
      <c r="AU755" s="18">
        <v>140.83423718815874</v>
      </c>
      <c r="AV755" s="18">
        <v>115.41350112622233</v>
      </c>
      <c r="AW755" s="18">
        <v>114.90217380140838</v>
      </c>
      <c r="AX755" s="18">
        <v>78.029254407984766</v>
      </c>
      <c r="AY755" s="18">
        <v>115.6627745639238</v>
      </c>
      <c r="AZ755" s="18">
        <v>100.72740826039741</v>
      </c>
      <c r="BA755" s="18">
        <v>102.84650201585532</v>
      </c>
      <c r="BB755" s="18">
        <v>100.45235717520988</v>
      </c>
      <c r="BC755" s="23">
        <v>8.9181565948742242E-2</v>
      </c>
      <c r="BD755" s="23">
        <v>0.10665277883445198</v>
      </c>
      <c r="BE755" s="23">
        <v>9.438849084854764E-2</v>
      </c>
      <c r="BF755" s="23">
        <v>7.149564986855049E-2</v>
      </c>
      <c r="BG755" s="23">
        <v>0.10368571810536763</v>
      </c>
      <c r="BH755" s="23">
        <v>8.4970330952544637E-2</v>
      </c>
      <c r="BI755" s="23">
        <v>8.4593878877262704E-2</v>
      </c>
      <c r="BJ755" s="23">
        <v>5.7447105462779965E-2</v>
      </c>
      <c r="BK755" s="23">
        <v>8.5153852345557474E-2</v>
      </c>
      <c r="BL755" s="23">
        <v>7.4158058913035174E-2</v>
      </c>
      <c r="BM755" s="23">
        <v>7.5718189192107169E-2</v>
      </c>
      <c r="BN755" s="23">
        <v>7.3955559365675619E-2</v>
      </c>
    </row>
    <row r="756" spans="1:66" x14ac:dyDescent="0.25">
      <c r="A756" s="16">
        <v>5374</v>
      </c>
      <c r="B756" s="16" t="s">
        <v>950</v>
      </c>
      <c r="C756" s="17">
        <v>0</v>
      </c>
      <c r="D756" s="17">
        <f t="shared" si="416"/>
        <v>0</v>
      </c>
      <c r="E756" s="17">
        <f t="shared" si="417"/>
        <v>0</v>
      </c>
      <c r="F756" s="17">
        <f t="shared" si="418"/>
        <v>0</v>
      </c>
      <c r="G756" s="17">
        <f t="shared" si="419"/>
        <v>0</v>
      </c>
      <c r="H756" s="17">
        <f t="shared" si="420"/>
        <v>0</v>
      </c>
      <c r="I756" s="17">
        <f t="shared" si="421"/>
        <v>0</v>
      </c>
      <c r="J756" s="17">
        <f t="shared" si="422"/>
        <v>0</v>
      </c>
      <c r="K756" s="17">
        <f t="shared" si="423"/>
        <v>0</v>
      </c>
      <c r="L756" s="17">
        <f t="shared" si="424"/>
        <v>0</v>
      </c>
      <c r="M756" s="17">
        <f t="shared" si="425"/>
        <v>0</v>
      </c>
      <c r="N756" s="17">
        <f t="shared" si="426"/>
        <v>0</v>
      </c>
      <c r="O756" s="17">
        <f t="shared" si="427"/>
        <v>0</v>
      </c>
      <c r="P756" s="17">
        <v>0</v>
      </c>
      <c r="Q756" s="17">
        <f t="shared" si="428"/>
        <v>0</v>
      </c>
      <c r="R756" s="17">
        <f t="shared" si="429"/>
        <v>0</v>
      </c>
      <c r="S756" s="17">
        <f t="shared" si="430"/>
        <v>0</v>
      </c>
      <c r="T756" s="17">
        <f t="shared" si="431"/>
        <v>0</v>
      </c>
      <c r="U756" s="17">
        <f t="shared" si="432"/>
        <v>0</v>
      </c>
      <c r="V756" s="17">
        <f t="shared" si="433"/>
        <v>0</v>
      </c>
      <c r="W756" s="17">
        <f t="shared" si="434"/>
        <v>0</v>
      </c>
      <c r="X756" s="17">
        <f t="shared" si="435"/>
        <v>0</v>
      </c>
      <c r="Y756" s="17">
        <f t="shared" si="436"/>
        <v>0</v>
      </c>
      <c r="Z756" s="17">
        <f t="shared" si="437"/>
        <v>0</v>
      </c>
      <c r="AA756" s="17">
        <f t="shared" si="438"/>
        <v>0</v>
      </c>
      <c r="AB756" s="17">
        <f t="shared" si="439"/>
        <v>0</v>
      </c>
      <c r="AC756" s="17">
        <v>0</v>
      </c>
      <c r="AD756" s="17">
        <f t="shared" si="440"/>
        <v>0</v>
      </c>
      <c r="AE756" s="17">
        <f t="shared" si="441"/>
        <v>0</v>
      </c>
      <c r="AF756" s="17">
        <f t="shared" si="442"/>
        <v>0</v>
      </c>
      <c r="AG756" s="17">
        <f t="shared" si="443"/>
        <v>0</v>
      </c>
      <c r="AH756" s="17">
        <f t="shared" si="444"/>
        <v>0</v>
      </c>
      <c r="AI756" s="17">
        <f t="shared" si="445"/>
        <v>0</v>
      </c>
      <c r="AJ756" s="17">
        <f t="shared" si="446"/>
        <v>0</v>
      </c>
      <c r="AK756" s="17">
        <f t="shared" si="447"/>
        <v>0</v>
      </c>
      <c r="AL756" s="17">
        <f t="shared" si="448"/>
        <v>0</v>
      </c>
      <c r="AM756" s="17">
        <f t="shared" si="449"/>
        <v>0</v>
      </c>
      <c r="AN756" s="17">
        <f t="shared" si="450"/>
        <v>0</v>
      </c>
      <c r="AO756" s="17">
        <f t="shared" si="451"/>
        <v>0</v>
      </c>
      <c r="AP756" s="17">
        <f t="shared" si="452"/>
        <v>0</v>
      </c>
      <c r="AQ756" s="18">
        <v>0.5885983352616988</v>
      </c>
      <c r="AR756" s="18">
        <v>0.70390834030738314</v>
      </c>
      <c r="AS756" s="18">
        <v>0.62296403960041447</v>
      </c>
      <c r="AT756" s="18">
        <v>0.47187128913243326</v>
      </c>
      <c r="AU756" s="18">
        <v>0.68432573949542641</v>
      </c>
      <c r="AV756" s="18">
        <v>0.56080418428679468</v>
      </c>
      <c r="AW756" s="18">
        <v>0.55831960058993391</v>
      </c>
      <c r="AX756" s="18">
        <v>0.37915089605434782</v>
      </c>
      <c r="AY756" s="18">
        <v>0.5620154254806794</v>
      </c>
      <c r="AZ756" s="18">
        <v>0.48944318882603222</v>
      </c>
      <c r="BA756" s="18">
        <v>0.49974004866790733</v>
      </c>
      <c r="BB756" s="18">
        <v>0.48810669181345911</v>
      </c>
      <c r="BC756" s="23">
        <v>8.9181565948742242E-2</v>
      </c>
      <c r="BD756" s="23">
        <v>0.10665277883445198</v>
      </c>
      <c r="BE756" s="23">
        <v>9.438849084854764E-2</v>
      </c>
      <c r="BF756" s="23">
        <v>7.149564986855049E-2</v>
      </c>
      <c r="BG756" s="23">
        <v>0.10368571810536763</v>
      </c>
      <c r="BH756" s="23">
        <v>8.4970330952544637E-2</v>
      </c>
      <c r="BI756" s="23">
        <v>8.4593878877262704E-2</v>
      </c>
      <c r="BJ756" s="23">
        <v>5.7447105462779965E-2</v>
      </c>
      <c r="BK756" s="23">
        <v>8.5153852345557474E-2</v>
      </c>
      <c r="BL756" s="23">
        <v>7.4158058913035174E-2</v>
      </c>
      <c r="BM756" s="23">
        <v>7.5718189192107169E-2</v>
      </c>
      <c r="BN756" s="23">
        <v>7.3955559365675619E-2</v>
      </c>
    </row>
    <row r="757" spans="1:66" x14ac:dyDescent="0.25">
      <c r="A757" s="16">
        <v>5377</v>
      </c>
      <c r="B757" s="16" t="s">
        <v>951</v>
      </c>
      <c r="C757" s="17">
        <v>0</v>
      </c>
      <c r="D757" s="17">
        <f t="shared" si="416"/>
        <v>0</v>
      </c>
      <c r="E757" s="17">
        <f t="shared" si="417"/>
        <v>0</v>
      </c>
      <c r="F757" s="17">
        <f t="shared" si="418"/>
        <v>0</v>
      </c>
      <c r="G757" s="17">
        <f t="shared" si="419"/>
        <v>0</v>
      </c>
      <c r="H757" s="17">
        <f t="shared" si="420"/>
        <v>0</v>
      </c>
      <c r="I757" s="17">
        <f t="shared" si="421"/>
        <v>0</v>
      </c>
      <c r="J757" s="17">
        <f t="shared" si="422"/>
        <v>0</v>
      </c>
      <c r="K757" s="17">
        <f t="shared" si="423"/>
        <v>0</v>
      </c>
      <c r="L757" s="17">
        <f t="shared" si="424"/>
        <v>0</v>
      </c>
      <c r="M757" s="17">
        <f t="shared" si="425"/>
        <v>0</v>
      </c>
      <c r="N757" s="17">
        <f t="shared" si="426"/>
        <v>0</v>
      </c>
      <c r="O757" s="17">
        <f t="shared" si="427"/>
        <v>0</v>
      </c>
      <c r="P757" s="17">
        <v>0</v>
      </c>
      <c r="Q757" s="17">
        <f t="shared" si="428"/>
        <v>0</v>
      </c>
      <c r="R757" s="17">
        <f t="shared" si="429"/>
        <v>0</v>
      </c>
      <c r="S757" s="17">
        <f t="shared" si="430"/>
        <v>0</v>
      </c>
      <c r="T757" s="17">
        <f t="shared" si="431"/>
        <v>0</v>
      </c>
      <c r="U757" s="17">
        <f t="shared" si="432"/>
        <v>0</v>
      </c>
      <c r="V757" s="17">
        <f t="shared" si="433"/>
        <v>0</v>
      </c>
      <c r="W757" s="17">
        <f t="shared" si="434"/>
        <v>0</v>
      </c>
      <c r="X757" s="17">
        <f t="shared" si="435"/>
        <v>0</v>
      </c>
      <c r="Y757" s="17">
        <f t="shared" si="436"/>
        <v>0</v>
      </c>
      <c r="Z757" s="17">
        <f t="shared" si="437"/>
        <v>0</v>
      </c>
      <c r="AA757" s="17">
        <f t="shared" si="438"/>
        <v>0</v>
      </c>
      <c r="AB757" s="17">
        <f t="shared" si="439"/>
        <v>0</v>
      </c>
      <c r="AC757" s="17">
        <v>0</v>
      </c>
      <c r="AD757" s="17">
        <f t="shared" si="440"/>
        <v>0</v>
      </c>
      <c r="AE757" s="17">
        <f t="shared" si="441"/>
        <v>0</v>
      </c>
      <c r="AF757" s="17">
        <f t="shared" si="442"/>
        <v>0</v>
      </c>
      <c r="AG757" s="17">
        <f t="shared" si="443"/>
        <v>0</v>
      </c>
      <c r="AH757" s="17">
        <f t="shared" si="444"/>
        <v>0</v>
      </c>
      <c r="AI757" s="17">
        <f t="shared" si="445"/>
        <v>0</v>
      </c>
      <c r="AJ757" s="17">
        <f t="shared" si="446"/>
        <v>0</v>
      </c>
      <c r="AK757" s="17">
        <f t="shared" si="447"/>
        <v>0</v>
      </c>
      <c r="AL757" s="17">
        <f t="shared" si="448"/>
        <v>0</v>
      </c>
      <c r="AM757" s="17">
        <f t="shared" si="449"/>
        <v>0</v>
      </c>
      <c r="AN757" s="17">
        <f t="shared" si="450"/>
        <v>0</v>
      </c>
      <c r="AO757" s="17">
        <f t="shared" si="451"/>
        <v>0</v>
      </c>
      <c r="AP757" s="17">
        <f t="shared" si="452"/>
        <v>0</v>
      </c>
      <c r="AQ757" s="18">
        <v>0</v>
      </c>
      <c r="AR757" s="18">
        <v>0</v>
      </c>
      <c r="AS757" s="18">
        <v>0</v>
      </c>
      <c r="AT757" s="18">
        <v>0</v>
      </c>
      <c r="AU757" s="18">
        <v>0</v>
      </c>
      <c r="AV757" s="18">
        <v>0</v>
      </c>
      <c r="AW757" s="18">
        <v>0</v>
      </c>
      <c r="AX757" s="18">
        <v>0</v>
      </c>
      <c r="AY757" s="18">
        <v>0</v>
      </c>
      <c r="AZ757" s="18">
        <v>0</v>
      </c>
      <c r="BA757" s="18">
        <v>0</v>
      </c>
      <c r="BB757" s="18">
        <v>0</v>
      </c>
      <c r="BC757" s="23">
        <v>8.9181565948742242E-2</v>
      </c>
      <c r="BD757" s="23">
        <v>0.10665277883445198</v>
      </c>
      <c r="BE757" s="23">
        <v>9.438849084854764E-2</v>
      </c>
      <c r="BF757" s="23">
        <v>7.149564986855049E-2</v>
      </c>
      <c r="BG757" s="23">
        <v>0.10368571810536763</v>
      </c>
      <c r="BH757" s="23">
        <v>8.4970330952544637E-2</v>
      </c>
      <c r="BI757" s="23">
        <v>8.4593878877262704E-2</v>
      </c>
      <c r="BJ757" s="23">
        <v>5.7447105462779965E-2</v>
      </c>
      <c r="BK757" s="23">
        <v>8.5153852345557474E-2</v>
      </c>
      <c r="BL757" s="23">
        <v>7.4158058913035174E-2</v>
      </c>
      <c r="BM757" s="23">
        <v>7.5718189192107169E-2</v>
      </c>
      <c r="BN757" s="23">
        <v>7.3955559365675619E-2</v>
      </c>
    </row>
    <row r="758" spans="1:66" x14ac:dyDescent="0.25">
      <c r="A758" s="16">
        <v>5384</v>
      </c>
      <c r="B758" s="16" t="s">
        <v>952</v>
      </c>
      <c r="C758" s="17">
        <v>0</v>
      </c>
      <c r="D758" s="17">
        <f t="shared" si="416"/>
        <v>0</v>
      </c>
      <c r="E758" s="17">
        <f t="shared" si="417"/>
        <v>0</v>
      </c>
      <c r="F758" s="17">
        <f t="shared" si="418"/>
        <v>0</v>
      </c>
      <c r="G758" s="17">
        <f t="shared" si="419"/>
        <v>0</v>
      </c>
      <c r="H758" s="17">
        <f t="shared" si="420"/>
        <v>0</v>
      </c>
      <c r="I758" s="17">
        <f t="shared" si="421"/>
        <v>0</v>
      </c>
      <c r="J758" s="17">
        <f t="shared" si="422"/>
        <v>0</v>
      </c>
      <c r="K758" s="17">
        <f t="shared" si="423"/>
        <v>0</v>
      </c>
      <c r="L758" s="17">
        <f t="shared" si="424"/>
        <v>0</v>
      </c>
      <c r="M758" s="17">
        <f t="shared" si="425"/>
        <v>0</v>
      </c>
      <c r="N758" s="17">
        <f t="shared" si="426"/>
        <v>0</v>
      </c>
      <c r="O758" s="17">
        <f t="shared" si="427"/>
        <v>0</v>
      </c>
      <c r="P758" s="17">
        <v>0</v>
      </c>
      <c r="Q758" s="17">
        <f t="shared" si="428"/>
        <v>0</v>
      </c>
      <c r="R758" s="17">
        <f t="shared" si="429"/>
        <v>0</v>
      </c>
      <c r="S758" s="17">
        <f t="shared" si="430"/>
        <v>0</v>
      </c>
      <c r="T758" s="17">
        <f t="shared" si="431"/>
        <v>0</v>
      </c>
      <c r="U758" s="17">
        <f t="shared" si="432"/>
        <v>0</v>
      </c>
      <c r="V758" s="17">
        <f t="shared" si="433"/>
        <v>0</v>
      </c>
      <c r="W758" s="17">
        <f t="shared" si="434"/>
        <v>0</v>
      </c>
      <c r="X758" s="17">
        <f t="shared" si="435"/>
        <v>0</v>
      </c>
      <c r="Y758" s="17">
        <f t="shared" si="436"/>
        <v>0</v>
      </c>
      <c r="Z758" s="17">
        <f t="shared" si="437"/>
        <v>0</v>
      </c>
      <c r="AA758" s="17">
        <f t="shared" si="438"/>
        <v>0</v>
      </c>
      <c r="AB758" s="17">
        <f t="shared" si="439"/>
        <v>0</v>
      </c>
      <c r="AC758" s="17">
        <v>0</v>
      </c>
      <c r="AD758" s="17">
        <f t="shared" si="440"/>
        <v>0</v>
      </c>
      <c r="AE758" s="17">
        <f t="shared" si="441"/>
        <v>0</v>
      </c>
      <c r="AF758" s="17">
        <f t="shared" si="442"/>
        <v>0</v>
      </c>
      <c r="AG758" s="17">
        <f t="shared" si="443"/>
        <v>0</v>
      </c>
      <c r="AH758" s="17">
        <f t="shared" si="444"/>
        <v>0</v>
      </c>
      <c r="AI758" s="17">
        <f t="shared" si="445"/>
        <v>0</v>
      </c>
      <c r="AJ758" s="17">
        <f t="shared" si="446"/>
        <v>0</v>
      </c>
      <c r="AK758" s="17">
        <f t="shared" si="447"/>
        <v>0</v>
      </c>
      <c r="AL758" s="17">
        <f t="shared" si="448"/>
        <v>0</v>
      </c>
      <c r="AM758" s="17">
        <f t="shared" si="449"/>
        <v>0</v>
      </c>
      <c r="AN758" s="17">
        <f t="shared" si="450"/>
        <v>0</v>
      </c>
      <c r="AO758" s="17">
        <f t="shared" si="451"/>
        <v>0</v>
      </c>
      <c r="AP758" s="17">
        <f t="shared" si="452"/>
        <v>0</v>
      </c>
      <c r="AQ758" s="18">
        <v>0</v>
      </c>
      <c r="AR758" s="18">
        <v>0</v>
      </c>
      <c r="AS758" s="18">
        <v>0</v>
      </c>
      <c r="AT758" s="18">
        <v>0</v>
      </c>
      <c r="AU758" s="18">
        <v>0</v>
      </c>
      <c r="AV758" s="18">
        <v>0</v>
      </c>
      <c r="AW758" s="18">
        <v>0</v>
      </c>
      <c r="AX758" s="18">
        <v>0</v>
      </c>
      <c r="AY758" s="18">
        <v>0</v>
      </c>
      <c r="AZ758" s="18">
        <v>0</v>
      </c>
      <c r="BA758" s="18">
        <v>0</v>
      </c>
      <c r="BB758" s="18">
        <v>0</v>
      </c>
      <c r="BC758" s="23">
        <v>8.9181565948742242E-2</v>
      </c>
      <c r="BD758" s="23">
        <v>0.10665277883445198</v>
      </c>
      <c r="BE758" s="23">
        <v>9.438849084854764E-2</v>
      </c>
      <c r="BF758" s="23">
        <v>7.149564986855049E-2</v>
      </c>
      <c r="BG758" s="23">
        <v>0.10368571810536763</v>
      </c>
      <c r="BH758" s="23">
        <v>8.4970330952544637E-2</v>
      </c>
      <c r="BI758" s="23">
        <v>8.4593878877262704E-2</v>
      </c>
      <c r="BJ758" s="23">
        <v>5.7447105462779965E-2</v>
      </c>
      <c r="BK758" s="23">
        <v>8.5153852345557474E-2</v>
      </c>
      <c r="BL758" s="23">
        <v>7.4158058913035174E-2</v>
      </c>
      <c r="BM758" s="23">
        <v>7.5718189192107169E-2</v>
      </c>
      <c r="BN758" s="23">
        <v>7.3955559365675619E-2</v>
      </c>
    </row>
    <row r="759" spans="1:66" x14ac:dyDescent="0.25">
      <c r="A759" s="16">
        <v>5385</v>
      </c>
      <c r="B759" s="16" t="s">
        <v>953</v>
      </c>
      <c r="C759" s="17">
        <v>0</v>
      </c>
      <c r="D759" s="17">
        <f t="shared" si="416"/>
        <v>0</v>
      </c>
      <c r="E759" s="17">
        <f t="shared" si="417"/>
        <v>0</v>
      </c>
      <c r="F759" s="17">
        <f t="shared" si="418"/>
        <v>0</v>
      </c>
      <c r="G759" s="17">
        <f t="shared" si="419"/>
        <v>0</v>
      </c>
      <c r="H759" s="17">
        <f t="shared" si="420"/>
        <v>0</v>
      </c>
      <c r="I759" s="17">
        <f t="shared" si="421"/>
        <v>0</v>
      </c>
      <c r="J759" s="17">
        <f t="shared" si="422"/>
        <v>0</v>
      </c>
      <c r="K759" s="17">
        <f t="shared" si="423"/>
        <v>0</v>
      </c>
      <c r="L759" s="17">
        <f t="shared" si="424"/>
        <v>0</v>
      </c>
      <c r="M759" s="17">
        <f t="shared" si="425"/>
        <v>0</v>
      </c>
      <c r="N759" s="17">
        <f t="shared" si="426"/>
        <v>0</v>
      </c>
      <c r="O759" s="17">
        <f t="shared" si="427"/>
        <v>0</v>
      </c>
      <c r="P759" s="17">
        <v>0</v>
      </c>
      <c r="Q759" s="17">
        <f t="shared" si="428"/>
        <v>0</v>
      </c>
      <c r="R759" s="17">
        <f t="shared" si="429"/>
        <v>0</v>
      </c>
      <c r="S759" s="17">
        <f t="shared" si="430"/>
        <v>0</v>
      </c>
      <c r="T759" s="17">
        <f t="shared" si="431"/>
        <v>0</v>
      </c>
      <c r="U759" s="17">
        <f t="shared" si="432"/>
        <v>0</v>
      </c>
      <c r="V759" s="17">
        <f t="shared" si="433"/>
        <v>0</v>
      </c>
      <c r="W759" s="17">
        <f t="shared" si="434"/>
        <v>0</v>
      </c>
      <c r="X759" s="17">
        <f t="shared" si="435"/>
        <v>0</v>
      </c>
      <c r="Y759" s="17">
        <f t="shared" si="436"/>
        <v>0</v>
      </c>
      <c r="Z759" s="17">
        <f t="shared" si="437"/>
        <v>0</v>
      </c>
      <c r="AA759" s="17">
        <f t="shared" si="438"/>
        <v>0</v>
      </c>
      <c r="AB759" s="17">
        <f t="shared" si="439"/>
        <v>0</v>
      </c>
      <c r="AC759" s="17">
        <v>0</v>
      </c>
      <c r="AD759" s="17">
        <f t="shared" si="440"/>
        <v>0</v>
      </c>
      <c r="AE759" s="17">
        <f t="shared" si="441"/>
        <v>0</v>
      </c>
      <c r="AF759" s="17">
        <f t="shared" si="442"/>
        <v>0</v>
      </c>
      <c r="AG759" s="17">
        <f t="shared" si="443"/>
        <v>0</v>
      </c>
      <c r="AH759" s="17">
        <f t="shared" si="444"/>
        <v>0</v>
      </c>
      <c r="AI759" s="17">
        <f t="shared" si="445"/>
        <v>0</v>
      </c>
      <c r="AJ759" s="17">
        <f t="shared" si="446"/>
        <v>0</v>
      </c>
      <c r="AK759" s="17">
        <f t="shared" si="447"/>
        <v>0</v>
      </c>
      <c r="AL759" s="17">
        <f t="shared" si="448"/>
        <v>0</v>
      </c>
      <c r="AM759" s="17">
        <f t="shared" si="449"/>
        <v>0</v>
      </c>
      <c r="AN759" s="17">
        <f t="shared" si="450"/>
        <v>0</v>
      </c>
      <c r="AO759" s="17">
        <f t="shared" si="451"/>
        <v>0</v>
      </c>
      <c r="AP759" s="17">
        <f t="shared" si="452"/>
        <v>0</v>
      </c>
      <c r="AQ759" s="18">
        <v>0</v>
      </c>
      <c r="AR759" s="18">
        <v>0</v>
      </c>
      <c r="AS759" s="18">
        <v>0</v>
      </c>
      <c r="AT759" s="18">
        <v>0</v>
      </c>
      <c r="AU759" s="18">
        <v>0</v>
      </c>
      <c r="AV759" s="18">
        <v>0</v>
      </c>
      <c r="AW759" s="18">
        <v>0</v>
      </c>
      <c r="AX759" s="18">
        <v>0</v>
      </c>
      <c r="AY759" s="18">
        <v>0</v>
      </c>
      <c r="AZ759" s="18">
        <v>0</v>
      </c>
      <c r="BA759" s="18">
        <v>0</v>
      </c>
      <c r="BB759" s="18">
        <v>0</v>
      </c>
      <c r="BC759" s="23">
        <v>8.9181565948742242E-2</v>
      </c>
      <c r="BD759" s="23">
        <v>0.10665277883445198</v>
      </c>
      <c r="BE759" s="23">
        <v>9.438849084854764E-2</v>
      </c>
      <c r="BF759" s="23">
        <v>7.149564986855049E-2</v>
      </c>
      <c r="BG759" s="23">
        <v>0.10368571810536763</v>
      </c>
      <c r="BH759" s="23">
        <v>8.4970330952544637E-2</v>
      </c>
      <c r="BI759" s="23">
        <v>8.4593878877262704E-2</v>
      </c>
      <c r="BJ759" s="23">
        <v>5.7447105462779965E-2</v>
      </c>
      <c r="BK759" s="23">
        <v>8.5153852345557474E-2</v>
      </c>
      <c r="BL759" s="23">
        <v>7.4158058913035174E-2</v>
      </c>
      <c r="BM759" s="23">
        <v>7.5718189192107169E-2</v>
      </c>
      <c r="BN759" s="23">
        <v>7.3955559365675619E-2</v>
      </c>
    </row>
    <row r="760" spans="1:66" x14ac:dyDescent="0.25">
      <c r="A760" s="16">
        <v>5387</v>
      </c>
      <c r="B760" s="16" t="s">
        <v>954</v>
      </c>
      <c r="C760" s="17">
        <v>0</v>
      </c>
      <c r="D760" s="17">
        <f t="shared" si="416"/>
        <v>0</v>
      </c>
      <c r="E760" s="17">
        <f t="shared" si="417"/>
        <v>0</v>
      </c>
      <c r="F760" s="17">
        <f t="shared" si="418"/>
        <v>0</v>
      </c>
      <c r="G760" s="17">
        <f t="shared" si="419"/>
        <v>0</v>
      </c>
      <c r="H760" s="17">
        <f t="shared" si="420"/>
        <v>0</v>
      </c>
      <c r="I760" s="17">
        <f t="shared" si="421"/>
        <v>0</v>
      </c>
      <c r="J760" s="17">
        <f t="shared" si="422"/>
        <v>0</v>
      </c>
      <c r="K760" s="17">
        <f t="shared" si="423"/>
        <v>0</v>
      </c>
      <c r="L760" s="17">
        <f t="shared" si="424"/>
        <v>0</v>
      </c>
      <c r="M760" s="17">
        <f t="shared" si="425"/>
        <v>0</v>
      </c>
      <c r="N760" s="17">
        <f t="shared" si="426"/>
        <v>0</v>
      </c>
      <c r="O760" s="17">
        <f t="shared" si="427"/>
        <v>0</v>
      </c>
      <c r="P760" s="17">
        <v>0</v>
      </c>
      <c r="Q760" s="17">
        <f t="shared" si="428"/>
        <v>0</v>
      </c>
      <c r="R760" s="17">
        <f t="shared" si="429"/>
        <v>0</v>
      </c>
      <c r="S760" s="17">
        <f t="shared" si="430"/>
        <v>0</v>
      </c>
      <c r="T760" s="17">
        <f t="shared" si="431"/>
        <v>0</v>
      </c>
      <c r="U760" s="17">
        <f t="shared" si="432"/>
        <v>0</v>
      </c>
      <c r="V760" s="17">
        <f t="shared" si="433"/>
        <v>0</v>
      </c>
      <c r="W760" s="17">
        <f t="shared" si="434"/>
        <v>0</v>
      </c>
      <c r="X760" s="17">
        <f t="shared" si="435"/>
        <v>0</v>
      </c>
      <c r="Y760" s="17">
        <f t="shared" si="436"/>
        <v>0</v>
      </c>
      <c r="Z760" s="17">
        <f t="shared" si="437"/>
        <v>0</v>
      </c>
      <c r="AA760" s="17">
        <f t="shared" si="438"/>
        <v>0</v>
      </c>
      <c r="AB760" s="17">
        <f t="shared" si="439"/>
        <v>0</v>
      </c>
      <c r="AC760" s="17">
        <v>0</v>
      </c>
      <c r="AD760" s="17">
        <f t="shared" si="440"/>
        <v>0</v>
      </c>
      <c r="AE760" s="17">
        <f t="shared" si="441"/>
        <v>0</v>
      </c>
      <c r="AF760" s="17">
        <f t="shared" si="442"/>
        <v>0</v>
      </c>
      <c r="AG760" s="17">
        <f t="shared" si="443"/>
        <v>0</v>
      </c>
      <c r="AH760" s="17">
        <f t="shared" si="444"/>
        <v>0</v>
      </c>
      <c r="AI760" s="17">
        <f t="shared" si="445"/>
        <v>0</v>
      </c>
      <c r="AJ760" s="17">
        <f t="shared" si="446"/>
        <v>0</v>
      </c>
      <c r="AK760" s="17">
        <f t="shared" si="447"/>
        <v>0</v>
      </c>
      <c r="AL760" s="17">
        <f t="shared" si="448"/>
        <v>0</v>
      </c>
      <c r="AM760" s="17">
        <f t="shared" si="449"/>
        <v>0</v>
      </c>
      <c r="AN760" s="17">
        <f t="shared" si="450"/>
        <v>0</v>
      </c>
      <c r="AO760" s="17">
        <f t="shared" si="451"/>
        <v>0</v>
      </c>
      <c r="AP760" s="17">
        <f t="shared" si="452"/>
        <v>0</v>
      </c>
      <c r="AQ760" s="18">
        <v>0</v>
      </c>
      <c r="AR760" s="18">
        <v>0</v>
      </c>
      <c r="AS760" s="18">
        <v>0</v>
      </c>
      <c r="AT760" s="18">
        <v>0</v>
      </c>
      <c r="AU760" s="18">
        <v>0</v>
      </c>
      <c r="AV760" s="18">
        <v>0</v>
      </c>
      <c r="AW760" s="18">
        <v>0</v>
      </c>
      <c r="AX760" s="18">
        <v>0</v>
      </c>
      <c r="AY760" s="18">
        <v>0</v>
      </c>
      <c r="AZ760" s="18">
        <v>0</v>
      </c>
      <c r="BA760" s="18">
        <v>0</v>
      </c>
      <c r="BB760" s="18">
        <v>0</v>
      </c>
      <c r="BC760" s="23">
        <v>8.9181565948742242E-2</v>
      </c>
      <c r="BD760" s="23">
        <v>0.10665277883445198</v>
      </c>
      <c r="BE760" s="23">
        <v>9.438849084854764E-2</v>
      </c>
      <c r="BF760" s="23">
        <v>7.149564986855049E-2</v>
      </c>
      <c r="BG760" s="23">
        <v>0.10368571810536763</v>
      </c>
      <c r="BH760" s="23">
        <v>8.4970330952544637E-2</v>
      </c>
      <c r="BI760" s="23">
        <v>8.4593878877262704E-2</v>
      </c>
      <c r="BJ760" s="23">
        <v>5.7447105462779965E-2</v>
      </c>
      <c r="BK760" s="23">
        <v>8.5153852345557474E-2</v>
      </c>
      <c r="BL760" s="23">
        <v>7.4158058913035174E-2</v>
      </c>
      <c r="BM760" s="23">
        <v>7.5718189192107169E-2</v>
      </c>
      <c r="BN760" s="23">
        <v>7.3955559365675619E-2</v>
      </c>
    </row>
    <row r="761" spans="1:66" x14ac:dyDescent="0.25">
      <c r="A761" s="16">
        <v>5389</v>
      </c>
      <c r="B761" s="16" t="s">
        <v>955</v>
      </c>
      <c r="C761" s="17">
        <v>0</v>
      </c>
      <c r="D761" s="17">
        <f t="shared" si="416"/>
        <v>0</v>
      </c>
      <c r="E761" s="17">
        <f t="shared" si="417"/>
        <v>0</v>
      </c>
      <c r="F761" s="17">
        <f t="shared" si="418"/>
        <v>0</v>
      </c>
      <c r="G761" s="17">
        <f t="shared" si="419"/>
        <v>0</v>
      </c>
      <c r="H761" s="17">
        <f t="shared" si="420"/>
        <v>0</v>
      </c>
      <c r="I761" s="17">
        <f t="shared" si="421"/>
        <v>0</v>
      </c>
      <c r="J761" s="17">
        <f t="shared" si="422"/>
        <v>0</v>
      </c>
      <c r="K761" s="17">
        <f t="shared" si="423"/>
        <v>0</v>
      </c>
      <c r="L761" s="17">
        <f t="shared" si="424"/>
        <v>0</v>
      </c>
      <c r="M761" s="17">
        <f t="shared" si="425"/>
        <v>0</v>
      </c>
      <c r="N761" s="17">
        <f t="shared" si="426"/>
        <v>0</v>
      </c>
      <c r="O761" s="17">
        <f t="shared" si="427"/>
        <v>0</v>
      </c>
      <c r="P761" s="17">
        <v>0</v>
      </c>
      <c r="Q761" s="17">
        <f t="shared" si="428"/>
        <v>0</v>
      </c>
      <c r="R761" s="17">
        <f t="shared" si="429"/>
        <v>0</v>
      </c>
      <c r="S761" s="17">
        <f t="shared" si="430"/>
        <v>0</v>
      </c>
      <c r="T761" s="17">
        <f t="shared" si="431"/>
        <v>0</v>
      </c>
      <c r="U761" s="17">
        <f t="shared" si="432"/>
        <v>0</v>
      </c>
      <c r="V761" s="17">
        <f t="shared" si="433"/>
        <v>0</v>
      </c>
      <c r="W761" s="17">
        <f t="shared" si="434"/>
        <v>0</v>
      </c>
      <c r="X761" s="17">
        <f t="shared" si="435"/>
        <v>0</v>
      </c>
      <c r="Y761" s="17">
        <f t="shared" si="436"/>
        <v>0</v>
      </c>
      <c r="Z761" s="17">
        <f t="shared" si="437"/>
        <v>0</v>
      </c>
      <c r="AA761" s="17">
        <f t="shared" si="438"/>
        <v>0</v>
      </c>
      <c r="AB761" s="17">
        <f t="shared" si="439"/>
        <v>0</v>
      </c>
      <c r="AC761" s="17">
        <v>0</v>
      </c>
      <c r="AD761" s="17">
        <f t="shared" si="440"/>
        <v>0</v>
      </c>
      <c r="AE761" s="17">
        <f t="shared" si="441"/>
        <v>0</v>
      </c>
      <c r="AF761" s="17">
        <f t="shared" si="442"/>
        <v>0</v>
      </c>
      <c r="AG761" s="17">
        <f t="shared" si="443"/>
        <v>0</v>
      </c>
      <c r="AH761" s="17">
        <f t="shared" si="444"/>
        <v>0</v>
      </c>
      <c r="AI761" s="17">
        <f t="shared" si="445"/>
        <v>0</v>
      </c>
      <c r="AJ761" s="17">
        <f t="shared" si="446"/>
        <v>0</v>
      </c>
      <c r="AK761" s="17">
        <f t="shared" si="447"/>
        <v>0</v>
      </c>
      <c r="AL761" s="17">
        <f t="shared" si="448"/>
        <v>0</v>
      </c>
      <c r="AM761" s="17">
        <f t="shared" si="449"/>
        <v>0</v>
      </c>
      <c r="AN761" s="17">
        <f t="shared" si="450"/>
        <v>0</v>
      </c>
      <c r="AO761" s="17">
        <f t="shared" si="451"/>
        <v>0</v>
      </c>
      <c r="AP761" s="17">
        <f t="shared" si="452"/>
        <v>0</v>
      </c>
      <c r="AQ761" s="18">
        <v>0</v>
      </c>
      <c r="AR761" s="18">
        <v>0</v>
      </c>
      <c r="AS761" s="18">
        <v>0</v>
      </c>
      <c r="AT761" s="18">
        <v>0</v>
      </c>
      <c r="AU761" s="18">
        <v>0</v>
      </c>
      <c r="AV761" s="18">
        <v>0</v>
      </c>
      <c r="AW761" s="18">
        <v>0</v>
      </c>
      <c r="AX761" s="18">
        <v>0</v>
      </c>
      <c r="AY761" s="18">
        <v>0</v>
      </c>
      <c r="AZ761" s="18">
        <v>0</v>
      </c>
      <c r="BA761" s="18">
        <v>0</v>
      </c>
      <c r="BB761" s="18">
        <v>0</v>
      </c>
      <c r="BC761" s="23">
        <v>8.9181565948742242E-2</v>
      </c>
      <c r="BD761" s="23">
        <v>0.10665277883445198</v>
      </c>
      <c r="BE761" s="23">
        <v>9.438849084854764E-2</v>
      </c>
      <c r="BF761" s="23">
        <v>7.149564986855049E-2</v>
      </c>
      <c r="BG761" s="23">
        <v>0.10368571810536763</v>
      </c>
      <c r="BH761" s="23">
        <v>8.4970330952544637E-2</v>
      </c>
      <c r="BI761" s="23">
        <v>8.4593878877262704E-2</v>
      </c>
      <c r="BJ761" s="23">
        <v>5.7447105462779965E-2</v>
      </c>
      <c r="BK761" s="23">
        <v>8.5153852345557474E-2</v>
      </c>
      <c r="BL761" s="23">
        <v>7.4158058913035174E-2</v>
      </c>
      <c r="BM761" s="23">
        <v>7.5718189192107169E-2</v>
      </c>
      <c r="BN761" s="23">
        <v>7.3955559365675619E-2</v>
      </c>
    </row>
    <row r="762" spans="1:66" x14ac:dyDescent="0.25">
      <c r="A762" s="16">
        <v>5399</v>
      </c>
      <c r="B762" s="16" t="s">
        <v>956</v>
      </c>
      <c r="C762" s="17">
        <v>0</v>
      </c>
      <c r="D762" s="17">
        <f t="shared" si="416"/>
        <v>0</v>
      </c>
      <c r="E762" s="17">
        <f t="shared" si="417"/>
        <v>0</v>
      </c>
      <c r="F762" s="17">
        <f t="shared" si="418"/>
        <v>0</v>
      </c>
      <c r="G762" s="17">
        <f t="shared" si="419"/>
        <v>0</v>
      </c>
      <c r="H762" s="17">
        <f t="shared" si="420"/>
        <v>0</v>
      </c>
      <c r="I762" s="17">
        <f t="shared" si="421"/>
        <v>0</v>
      </c>
      <c r="J762" s="17">
        <f t="shared" si="422"/>
        <v>0</v>
      </c>
      <c r="K762" s="17">
        <f t="shared" si="423"/>
        <v>0</v>
      </c>
      <c r="L762" s="17">
        <f t="shared" si="424"/>
        <v>0</v>
      </c>
      <c r="M762" s="17">
        <f t="shared" si="425"/>
        <v>0</v>
      </c>
      <c r="N762" s="17">
        <f t="shared" si="426"/>
        <v>0</v>
      </c>
      <c r="O762" s="17">
        <f t="shared" si="427"/>
        <v>0</v>
      </c>
      <c r="P762" s="17">
        <v>0</v>
      </c>
      <c r="Q762" s="17">
        <f t="shared" si="428"/>
        <v>0</v>
      </c>
      <c r="R762" s="17">
        <f t="shared" si="429"/>
        <v>0</v>
      </c>
      <c r="S762" s="17">
        <f t="shared" si="430"/>
        <v>0</v>
      </c>
      <c r="T762" s="17">
        <f t="shared" si="431"/>
        <v>0</v>
      </c>
      <c r="U762" s="17">
        <f t="shared" si="432"/>
        <v>0</v>
      </c>
      <c r="V762" s="17">
        <f t="shared" si="433"/>
        <v>0</v>
      </c>
      <c r="W762" s="17">
        <f t="shared" si="434"/>
        <v>0</v>
      </c>
      <c r="X762" s="17">
        <f t="shared" si="435"/>
        <v>0</v>
      </c>
      <c r="Y762" s="17">
        <f t="shared" si="436"/>
        <v>0</v>
      </c>
      <c r="Z762" s="17">
        <f t="shared" si="437"/>
        <v>0</v>
      </c>
      <c r="AA762" s="17">
        <f t="shared" si="438"/>
        <v>0</v>
      </c>
      <c r="AB762" s="17">
        <f t="shared" si="439"/>
        <v>0</v>
      </c>
      <c r="AC762" s="17">
        <v>0</v>
      </c>
      <c r="AD762" s="17">
        <f t="shared" si="440"/>
        <v>0</v>
      </c>
      <c r="AE762" s="17">
        <f t="shared" si="441"/>
        <v>0</v>
      </c>
      <c r="AF762" s="17">
        <f t="shared" si="442"/>
        <v>0</v>
      </c>
      <c r="AG762" s="17">
        <f t="shared" si="443"/>
        <v>0</v>
      </c>
      <c r="AH762" s="17">
        <f t="shared" si="444"/>
        <v>0</v>
      </c>
      <c r="AI762" s="17">
        <f t="shared" si="445"/>
        <v>0</v>
      </c>
      <c r="AJ762" s="17">
        <f t="shared" si="446"/>
        <v>0</v>
      </c>
      <c r="AK762" s="17">
        <f t="shared" si="447"/>
        <v>0</v>
      </c>
      <c r="AL762" s="17">
        <f t="shared" si="448"/>
        <v>0</v>
      </c>
      <c r="AM762" s="17">
        <f t="shared" si="449"/>
        <v>0</v>
      </c>
      <c r="AN762" s="17">
        <f t="shared" si="450"/>
        <v>0</v>
      </c>
      <c r="AO762" s="17">
        <f t="shared" si="451"/>
        <v>0</v>
      </c>
      <c r="AP762" s="17">
        <f t="shared" si="452"/>
        <v>0</v>
      </c>
      <c r="AQ762" s="18">
        <v>0</v>
      </c>
      <c r="AR762" s="18">
        <v>0</v>
      </c>
      <c r="AS762" s="18">
        <v>0</v>
      </c>
      <c r="AT762" s="18">
        <v>0</v>
      </c>
      <c r="AU762" s="18">
        <v>0</v>
      </c>
      <c r="AV762" s="18">
        <v>0</v>
      </c>
      <c r="AW762" s="18">
        <v>0</v>
      </c>
      <c r="AX762" s="18">
        <v>0</v>
      </c>
      <c r="AY762" s="18">
        <v>0</v>
      </c>
      <c r="AZ762" s="18">
        <v>0</v>
      </c>
      <c r="BA762" s="18">
        <v>0</v>
      </c>
      <c r="BB762" s="18">
        <v>0</v>
      </c>
      <c r="BC762" s="23">
        <v>8.9181565948742242E-2</v>
      </c>
      <c r="BD762" s="23">
        <v>0.10665277883445198</v>
      </c>
      <c r="BE762" s="23">
        <v>9.438849084854764E-2</v>
      </c>
      <c r="BF762" s="23">
        <v>7.149564986855049E-2</v>
      </c>
      <c r="BG762" s="23">
        <v>0.10368571810536763</v>
      </c>
      <c r="BH762" s="23">
        <v>8.4970330952544637E-2</v>
      </c>
      <c r="BI762" s="23">
        <v>8.4593878877262704E-2</v>
      </c>
      <c r="BJ762" s="23">
        <v>5.7447105462779965E-2</v>
      </c>
      <c r="BK762" s="23">
        <v>8.5153852345557474E-2</v>
      </c>
      <c r="BL762" s="23">
        <v>7.4158058913035174E-2</v>
      </c>
      <c r="BM762" s="23">
        <v>7.5718189192107169E-2</v>
      </c>
      <c r="BN762" s="23">
        <v>7.3955559365675619E-2</v>
      </c>
    </row>
    <row r="763" spans="1:66" x14ac:dyDescent="0.25">
      <c r="A763" s="16">
        <v>5401</v>
      </c>
      <c r="B763" s="16" t="s">
        <v>957</v>
      </c>
      <c r="C763" s="17">
        <v>0</v>
      </c>
      <c r="D763" s="17">
        <f t="shared" si="416"/>
        <v>0</v>
      </c>
      <c r="E763" s="17">
        <f t="shared" si="417"/>
        <v>0</v>
      </c>
      <c r="F763" s="17">
        <f t="shared" si="418"/>
        <v>0</v>
      </c>
      <c r="G763" s="17">
        <f t="shared" si="419"/>
        <v>0</v>
      </c>
      <c r="H763" s="17">
        <f t="shared" si="420"/>
        <v>0</v>
      </c>
      <c r="I763" s="17">
        <f t="shared" si="421"/>
        <v>0</v>
      </c>
      <c r="J763" s="17">
        <f t="shared" si="422"/>
        <v>0</v>
      </c>
      <c r="K763" s="17">
        <f t="shared" si="423"/>
        <v>0</v>
      </c>
      <c r="L763" s="17">
        <f t="shared" si="424"/>
        <v>0</v>
      </c>
      <c r="M763" s="17">
        <f t="shared" si="425"/>
        <v>0</v>
      </c>
      <c r="N763" s="17">
        <f t="shared" si="426"/>
        <v>0</v>
      </c>
      <c r="O763" s="17">
        <f t="shared" si="427"/>
        <v>0</v>
      </c>
      <c r="P763" s="17">
        <v>0</v>
      </c>
      <c r="Q763" s="17">
        <f t="shared" si="428"/>
        <v>0</v>
      </c>
      <c r="R763" s="17">
        <f t="shared" si="429"/>
        <v>0</v>
      </c>
      <c r="S763" s="17">
        <f t="shared" si="430"/>
        <v>0</v>
      </c>
      <c r="T763" s="17">
        <f t="shared" si="431"/>
        <v>0</v>
      </c>
      <c r="U763" s="17">
        <f t="shared" si="432"/>
        <v>0</v>
      </c>
      <c r="V763" s="17">
        <f t="shared" si="433"/>
        <v>0</v>
      </c>
      <c r="W763" s="17">
        <f t="shared" si="434"/>
        <v>0</v>
      </c>
      <c r="X763" s="17">
        <f t="shared" si="435"/>
        <v>0</v>
      </c>
      <c r="Y763" s="17">
        <f t="shared" si="436"/>
        <v>0</v>
      </c>
      <c r="Z763" s="17">
        <f t="shared" si="437"/>
        <v>0</v>
      </c>
      <c r="AA763" s="17">
        <f t="shared" si="438"/>
        <v>0</v>
      </c>
      <c r="AB763" s="17">
        <f t="shared" si="439"/>
        <v>0</v>
      </c>
      <c r="AC763" s="17">
        <v>0</v>
      </c>
      <c r="AD763" s="17">
        <f t="shared" si="440"/>
        <v>0</v>
      </c>
      <c r="AE763" s="17">
        <f t="shared" si="441"/>
        <v>0</v>
      </c>
      <c r="AF763" s="17">
        <f t="shared" si="442"/>
        <v>0</v>
      </c>
      <c r="AG763" s="17">
        <f t="shared" si="443"/>
        <v>0</v>
      </c>
      <c r="AH763" s="17">
        <f t="shared" si="444"/>
        <v>0</v>
      </c>
      <c r="AI763" s="17">
        <f t="shared" si="445"/>
        <v>0</v>
      </c>
      <c r="AJ763" s="17">
        <f t="shared" si="446"/>
        <v>0</v>
      </c>
      <c r="AK763" s="17">
        <f t="shared" si="447"/>
        <v>0</v>
      </c>
      <c r="AL763" s="17">
        <f t="shared" si="448"/>
        <v>0</v>
      </c>
      <c r="AM763" s="17">
        <f t="shared" si="449"/>
        <v>0</v>
      </c>
      <c r="AN763" s="17">
        <f t="shared" si="450"/>
        <v>0</v>
      </c>
      <c r="AO763" s="17">
        <f t="shared" si="451"/>
        <v>0</v>
      </c>
      <c r="AP763" s="17">
        <f t="shared" si="452"/>
        <v>0</v>
      </c>
      <c r="AQ763" s="18">
        <v>29.675166069443982</v>
      </c>
      <c r="AR763" s="18">
        <v>35.488712157163896</v>
      </c>
      <c r="AS763" s="18">
        <v>31.407770329854227</v>
      </c>
      <c r="AT763" s="18">
        <v>23.790177493760176</v>
      </c>
      <c r="AU763" s="18">
        <v>34.501422699561076</v>
      </c>
      <c r="AV763" s="18">
        <v>28.273877624459228</v>
      </c>
      <c r="AW763" s="18">
        <v>28.148613196409165</v>
      </c>
      <c r="AX763" s="18">
        <v>19.115524342740034</v>
      </c>
      <c r="AY763" s="18">
        <v>28.334944367984249</v>
      </c>
      <c r="AZ763" s="18">
        <v>24.676094103312455</v>
      </c>
      <c r="BA763" s="18">
        <v>25.19522745367366</v>
      </c>
      <c r="BB763" s="18">
        <v>24.608712378928562</v>
      </c>
      <c r="BC763" s="23">
        <v>8.9181565948742242E-2</v>
      </c>
      <c r="BD763" s="23">
        <v>0.10665277883445198</v>
      </c>
      <c r="BE763" s="23">
        <v>9.438849084854764E-2</v>
      </c>
      <c r="BF763" s="23">
        <v>7.149564986855049E-2</v>
      </c>
      <c r="BG763" s="23">
        <v>0.10368571810536763</v>
      </c>
      <c r="BH763" s="23">
        <v>8.4970330952544637E-2</v>
      </c>
      <c r="BI763" s="23">
        <v>8.4593878877262704E-2</v>
      </c>
      <c r="BJ763" s="23">
        <v>5.7447105462779965E-2</v>
      </c>
      <c r="BK763" s="23">
        <v>8.5153852345557474E-2</v>
      </c>
      <c r="BL763" s="23">
        <v>7.4158058913035174E-2</v>
      </c>
      <c r="BM763" s="23">
        <v>7.5718189192107169E-2</v>
      </c>
      <c r="BN763" s="23">
        <v>7.3955559365675619E-2</v>
      </c>
    </row>
    <row r="764" spans="1:66" x14ac:dyDescent="0.25">
      <c r="A764" s="16">
        <v>5414</v>
      </c>
      <c r="B764" s="16" t="s">
        <v>958</v>
      </c>
      <c r="C764" s="17">
        <v>0</v>
      </c>
      <c r="D764" s="17">
        <f t="shared" si="416"/>
        <v>0</v>
      </c>
      <c r="E764" s="17">
        <f t="shared" si="417"/>
        <v>0</v>
      </c>
      <c r="F764" s="17">
        <f t="shared" si="418"/>
        <v>0</v>
      </c>
      <c r="G764" s="17">
        <f t="shared" si="419"/>
        <v>0</v>
      </c>
      <c r="H764" s="17">
        <f t="shared" si="420"/>
        <v>0</v>
      </c>
      <c r="I764" s="17">
        <f t="shared" si="421"/>
        <v>0</v>
      </c>
      <c r="J764" s="17">
        <f t="shared" si="422"/>
        <v>0</v>
      </c>
      <c r="K764" s="17">
        <f t="shared" si="423"/>
        <v>0</v>
      </c>
      <c r="L764" s="17">
        <f t="shared" si="424"/>
        <v>0</v>
      </c>
      <c r="M764" s="17">
        <f t="shared" si="425"/>
        <v>0</v>
      </c>
      <c r="N764" s="17">
        <f t="shared" si="426"/>
        <v>0</v>
      </c>
      <c r="O764" s="17">
        <f t="shared" si="427"/>
        <v>0</v>
      </c>
      <c r="P764" s="17">
        <v>0</v>
      </c>
      <c r="Q764" s="17">
        <f t="shared" si="428"/>
        <v>0</v>
      </c>
      <c r="R764" s="17">
        <f t="shared" si="429"/>
        <v>0</v>
      </c>
      <c r="S764" s="17">
        <f t="shared" si="430"/>
        <v>0</v>
      </c>
      <c r="T764" s="17">
        <f t="shared" si="431"/>
        <v>0</v>
      </c>
      <c r="U764" s="17">
        <f t="shared" si="432"/>
        <v>0</v>
      </c>
      <c r="V764" s="17">
        <f t="shared" si="433"/>
        <v>0</v>
      </c>
      <c r="W764" s="17">
        <f t="shared" si="434"/>
        <v>0</v>
      </c>
      <c r="X764" s="17">
        <f t="shared" si="435"/>
        <v>0</v>
      </c>
      <c r="Y764" s="17">
        <f t="shared" si="436"/>
        <v>0</v>
      </c>
      <c r="Z764" s="17">
        <f t="shared" si="437"/>
        <v>0</v>
      </c>
      <c r="AA764" s="17">
        <f t="shared" si="438"/>
        <v>0</v>
      </c>
      <c r="AB764" s="17">
        <f t="shared" si="439"/>
        <v>0</v>
      </c>
      <c r="AC764" s="17">
        <v>0</v>
      </c>
      <c r="AD764" s="17">
        <f t="shared" si="440"/>
        <v>0</v>
      </c>
      <c r="AE764" s="17">
        <f t="shared" si="441"/>
        <v>0</v>
      </c>
      <c r="AF764" s="17">
        <f t="shared" si="442"/>
        <v>0</v>
      </c>
      <c r="AG764" s="17">
        <f t="shared" si="443"/>
        <v>0</v>
      </c>
      <c r="AH764" s="17">
        <f t="shared" si="444"/>
        <v>0</v>
      </c>
      <c r="AI764" s="17">
        <f t="shared" si="445"/>
        <v>0</v>
      </c>
      <c r="AJ764" s="17">
        <f t="shared" si="446"/>
        <v>0</v>
      </c>
      <c r="AK764" s="17">
        <f t="shared" si="447"/>
        <v>0</v>
      </c>
      <c r="AL764" s="17">
        <f t="shared" si="448"/>
        <v>0</v>
      </c>
      <c r="AM764" s="17">
        <f t="shared" si="449"/>
        <v>0</v>
      </c>
      <c r="AN764" s="17">
        <f t="shared" si="450"/>
        <v>0</v>
      </c>
      <c r="AO764" s="17">
        <f t="shared" si="451"/>
        <v>0</v>
      </c>
      <c r="AP764" s="17">
        <f t="shared" si="452"/>
        <v>0</v>
      </c>
      <c r="AQ764" s="18">
        <v>58.565534358539033</v>
      </c>
      <c r="AR764" s="18">
        <v>70.038879860584629</v>
      </c>
      <c r="AS764" s="18">
        <v>61.984921940241243</v>
      </c>
      <c r="AT764" s="18">
        <v>46.951193268677109</v>
      </c>
      <c r="AU764" s="18">
        <v>68.090411079794919</v>
      </c>
      <c r="AV764" s="18">
        <v>55.800016336536068</v>
      </c>
      <c r="AW764" s="18">
        <v>55.552800258698419</v>
      </c>
      <c r="AX764" s="18">
        <v>37.725514157407609</v>
      </c>
      <c r="AY764" s="18">
        <v>55.920534835327594</v>
      </c>
      <c r="AZ764" s="18">
        <v>48.699597288190205</v>
      </c>
      <c r="BA764" s="18">
        <v>49.724134842456785</v>
      </c>
      <c r="BB764" s="18">
        <v>48.56661583543918</v>
      </c>
      <c r="BC764" s="23">
        <v>8.9181565948742242E-2</v>
      </c>
      <c r="BD764" s="23">
        <v>0.10665277883445198</v>
      </c>
      <c r="BE764" s="23">
        <v>9.438849084854764E-2</v>
      </c>
      <c r="BF764" s="23">
        <v>7.149564986855049E-2</v>
      </c>
      <c r="BG764" s="23">
        <v>0.10368571810536763</v>
      </c>
      <c r="BH764" s="23">
        <v>8.4970330952544637E-2</v>
      </c>
      <c r="BI764" s="23">
        <v>8.4593878877262704E-2</v>
      </c>
      <c r="BJ764" s="23">
        <v>5.7447105462779965E-2</v>
      </c>
      <c r="BK764" s="23">
        <v>8.5153852345557474E-2</v>
      </c>
      <c r="BL764" s="23">
        <v>7.4158058913035174E-2</v>
      </c>
      <c r="BM764" s="23">
        <v>7.5718189192107169E-2</v>
      </c>
      <c r="BN764" s="23">
        <v>7.3955559365675619E-2</v>
      </c>
    </row>
    <row r="765" spans="1:66" x14ac:dyDescent="0.25">
      <c r="A765" s="16">
        <v>5427</v>
      </c>
      <c r="B765" s="16" t="s">
        <v>959</v>
      </c>
      <c r="C765" s="17">
        <v>0</v>
      </c>
      <c r="D765" s="17">
        <f t="shared" si="416"/>
        <v>0</v>
      </c>
      <c r="E765" s="17">
        <f t="shared" si="417"/>
        <v>0</v>
      </c>
      <c r="F765" s="17">
        <f t="shared" si="418"/>
        <v>0</v>
      </c>
      <c r="G765" s="17">
        <f t="shared" si="419"/>
        <v>0</v>
      </c>
      <c r="H765" s="17">
        <f t="shared" si="420"/>
        <v>0</v>
      </c>
      <c r="I765" s="17">
        <f t="shared" si="421"/>
        <v>0</v>
      </c>
      <c r="J765" s="17">
        <f t="shared" si="422"/>
        <v>0</v>
      </c>
      <c r="K765" s="17">
        <f t="shared" si="423"/>
        <v>0</v>
      </c>
      <c r="L765" s="17">
        <f t="shared" si="424"/>
        <v>0</v>
      </c>
      <c r="M765" s="17">
        <f t="shared" si="425"/>
        <v>0</v>
      </c>
      <c r="N765" s="17">
        <f t="shared" si="426"/>
        <v>0</v>
      </c>
      <c r="O765" s="17">
        <f t="shared" si="427"/>
        <v>0</v>
      </c>
      <c r="P765" s="17">
        <v>0</v>
      </c>
      <c r="Q765" s="17">
        <f t="shared" si="428"/>
        <v>0</v>
      </c>
      <c r="R765" s="17">
        <f t="shared" si="429"/>
        <v>0</v>
      </c>
      <c r="S765" s="17">
        <f t="shared" si="430"/>
        <v>0</v>
      </c>
      <c r="T765" s="17">
        <f t="shared" si="431"/>
        <v>0</v>
      </c>
      <c r="U765" s="17">
        <f t="shared" si="432"/>
        <v>0</v>
      </c>
      <c r="V765" s="17">
        <f t="shared" si="433"/>
        <v>0</v>
      </c>
      <c r="W765" s="17">
        <f t="shared" si="434"/>
        <v>0</v>
      </c>
      <c r="X765" s="17">
        <f t="shared" si="435"/>
        <v>0</v>
      </c>
      <c r="Y765" s="17">
        <f t="shared" si="436"/>
        <v>0</v>
      </c>
      <c r="Z765" s="17">
        <f t="shared" si="437"/>
        <v>0</v>
      </c>
      <c r="AA765" s="17">
        <f t="shared" si="438"/>
        <v>0</v>
      </c>
      <c r="AB765" s="17">
        <f t="shared" si="439"/>
        <v>0</v>
      </c>
      <c r="AC765" s="17">
        <v>0</v>
      </c>
      <c r="AD765" s="17">
        <f t="shared" si="440"/>
        <v>0</v>
      </c>
      <c r="AE765" s="17">
        <f t="shared" si="441"/>
        <v>0</v>
      </c>
      <c r="AF765" s="17">
        <f t="shared" si="442"/>
        <v>0</v>
      </c>
      <c r="AG765" s="17">
        <f t="shared" si="443"/>
        <v>0</v>
      </c>
      <c r="AH765" s="17">
        <f t="shared" si="444"/>
        <v>0</v>
      </c>
      <c r="AI765" s="17">
        <f t="shared" si="445"/>
        <v>0</v>
      </c>
      <c r="AJ765" s="17">
        <f t="shared" si="446"/>
        <v>0</v>
      </c>
      <c r="AK765" s="17">
        <f t="shared" si="447"/>
        <v>0</v>
      </c>
      <c r="AL765" s="17">
        <f t="shared" si="448"/>
        <v>0</v>
      </c>
      <c r="AM765" s="17">
        <f t="shared" si="449"/>
        <v>0</v>
      </c>
      <c r="AN765" s="17">
        <f t="shared" si="450"/>
        <v>0</v>
      </c>
      <c r="AO765" s="17">
        <f t="shared" si="451"/>
        <v>0</v>
      </c>
      <c r="AP765" s="17">
        <f t="shared" si="452"/>
        <v>0</v>
      </c>
      <c r="AQ765" s="18">
        <v>0</v>
      </c>
      <c r="AR765" s="18">
        <v>0</v>
      </c>
      <c r="AS765" s="18">
        <v>0</v>
      </c>
      <c r="AT765" s="18">
        <v>0</v>
      </c>
      <c r="AU765" s="18">
        <v>0</v>
      </c>
      <c r="AV765" s="18">
        <v>0</v>
      </c>
      <c r="AW765" s="18">
        <v>0</v>
      </c>
      <c r="AX765" s="18">
        <v>0</v>
      </c>
      <c r="AY765" s="18">
        <v>0</v>
      </c>
      <c r="AZ765" s="18">
        <v>0</v>
      </c>
      <c r="BA765" s="18">
        <v>0</v>
      </c>
      <c r="BB765" s="18">
        <v>0</v>
      </c>
      <c r="BC765" s="23">
        <v>8.9181565948742242E-2</v>
      </c>
      <c r="BD765" s="23">
        <v>0.10665277883445198</v>
      </c>
      <c r="BE765" s="23">
        <v>9.438849084854764E-2</v>
      </c>
      <c r="BF765" s="23">
        <v>7.149564986855049E-2</v>
      </c>
      <c r="BG765" s="23">
        <v>0.10368571810536763</v>
      </c>
      <c r="BH765" s="23">
        <v>8.4970330952544637E-2</v>
      </c>
      <c r="BI765" s="23">
        <v>8.4593878877262704E-2</v>
      </c>
      <c r="BJ765" s="23">
        <v>5.7447105462779965E-2</v>
      </c>
      <c r="BK765" s="23">
        <v>8.5153852345557474E-2</v>
      </c>
      <c r="BL765" s="23">
        <v>7.4158058913035174E-2</v>
      </c>
      <c r="BM765" s="23">
        <v>7.5718189192107169E-2</v>
      </c>
      <c r="BN765" s="23">
        <v>7.3955559365675619E-2</v>
      </c>
    </row>
    <row r="766" spans="1:66" x14ac:dyDescent="0.25">
      <c r="A766" s="16">
        <v>5430</v>
      </c>
      <c r="B766" s="16" t="s">
        <v>960</v>
      </c>
      <c r="C766" s="17">
        <v>0</v>
      </c>
      <c r="D766" s="17">
        <f t="shared" si="416"/>
        <v>0</v>
      </c>
      <c r="E766" s="17">
        <f t="shared" si="417"/>
        <v>0</v>
      </c>
      <c r="F766" s="17">
        <f t="shared" si="418"/>
        <v>0</v>
      </c>
      <c r="G766" s="17">
        <f t="shared" si="419"/>
        <v>0</v>
      </c>
      <c r="H766" s="17">
        <f t="shared" si="420"/>
        <v>0</v>
      </c>
      <c r="I766" s="17">
        <f t="shared" si="421"/>
        <v>0</v>
      </c>
      <c r="J766" s="17">
        <f t="shared" si="422"/>
        <v>0</v>
      </c>
      <c r="K766" s="17">
        <f t="shared" si="423"/>
        <v>0</v>
      </c>
      <c r="L766" s="17">
        <f t="shared" si="424"/>
        <v>0</v>
      </c>
      <c r="M766" s="17">
        <f t="shared" si="425"/>
        <v>0</v>
      </c>
      <c r="N766" s="17">
        <f t="shared" si="426"/>
        <v>0</v>
      </c>
      <c r="O766" s="17">
        <f t="shared" si="427"/>
        <v>0</v>
      </c>
      <c r="P766" s="17">
        <v>0</v>
      </c>
      <c r="Q766" s="17">
        <f t="shared" si="428"/>
        <v>0</v>
      </c>
      <c r="R766" s="17">
        <f t="shared" si="429"/>
        <v>0</v>
      </c>
      <c r="S766" s="17">
        <f t="shared" si="430"/>
        <v>0</v>
      </c>
      <c r="T766" s="17">
        <f t="shared" si="431"/>
        <v>0</v>
      </c>
      <c r="U766" s="17">
        <f t="shared" si="432"/>
        <v>0</v>
      </c>
      <c r="V766" s="17">
        <f t="shared" si="433"/>
        <v>0</v>
      </c>
      <c r="W766" s="17">
        <f t="shared" si="434"/>
        <v>0</v>
      </c>
      <c r="X766" s="17">
        <f t="shared" si="435"/>
        <v>0</v>
      </c>
      <c r="Y766" s="17">
        <f t="shared" si="436"/>
        <v>0</v>
      </c>
      <c r="Z766" s="17">
        <f t="shared" si="437"/>
        <v>0</v>
      </c>
      <c r="AA766" s="17">
        <f t="shared" si="438"/>
        <v>0</v>
      </c>
      <c r="AB766" s="17">
        <f t="shared" si="439"/>
        <v>0</v>
      </c>
      <c r="AC766" s="17">
        <v>0</v>
      </c>
      <c r="AD766" s="17">
        <f t="shared" si="440"/>
        <v>0</v>
      </c>
      <c r="AE766" s="17">
        <f t="shared" si="441"/>
        <v>0</v>
      </c>
      <c r="AF766" s="17">
        <f t="shared" si="442"/>
        <v>0</v>
      </c>
      <c r="AG766" s="17">
        <f t="shared" si="443"/>
        <v>0</v>
      </c>
      <c r="AH766" s="17">
        <f t="shared" si="444"/>
        <v>0</v>
      </c>
      <c r="AI766" s="17">
        <f t="shared" si="445"/>
        <v>0</v>
      </c>
      <c r="AJ766" s="17">
        <f t="shared" si="446"/>
        <v>0</v>
      </c>
      <c r="AK766" s="17">
        <f t="shared" si="447"/>
        <v>0</v>
      </c>
      <c r="AL766" s="17">
        <f t="shared" si="448"/>
        <v>0</v>
      </c>
      <c r="AM766" s="17">
        <f t="shared" si="449"/>
        <v>0</v>
      </c>
      <c r="AN766" s="17">
        <f t="shared" si="450"/>
        <v>0</v>
      </c>
      <c r="AO766" s="17">
        <f t="shared" si="451"/>
        <v>0</v>
      </c>
      <c r="AP766" s="17">
        <f t="shared" si="452"/>
        <v>0</v>
      </c>
      <c r="AQ766" s="18">
        <v>0</v>
      </c>
      <c r="AR766" s="18">
        <v>0</v>
      </c>
      <c r="AS766" s="18">
        <v>0</v>
      </c>
      <c r="AT766" s="18">
        <v>0</v>
      </c>
      <c r="AU766" s="18">
        <v>0</v>
      </c>
      <c r="AV766" s="18">
        <v>0</v>
      </c>
      <c r="AW766" s="18">
        <v>0</v>
      </c>
      <c r="AX766" s="18">
        <v>0</v>
      </c>
      <c r="AY766" s="18">
        <v>0</v>
      </c>
      <c r="AZ766" s="18">
        <v>0</v>
      </c>
      <c r="BA766" s="18">
        <v>0</v>
      </c>
      <c r="BB766" s="18">
        <v>0</v>
      </c>
      <c r="BC766" s="23">
        <v>8.9181565948742242E-2</v>
      </c>
      <c r="BD766" s="23">
        <v>0.10665277883445198</v>
      </c>
      <c r="BE766" s="23">
        <v>9.438849084854764E-2</v>
      </c>
      <c r="BF766" s="23">
        <v>7.149564986855049E-2</v>
      </c>
      <c r="BG766" s="23">
        <v>0.10368571810536763</v>
      </c>
      <c r="BH766" s="23">
        <v>8.4970330952544637E-2</v>
      </c>
      <c r="BI766" s="23">
        <v>8.4593878877262704E-2</v>
      </c>
      <c r="BJ766" s="23">
        <v>5.7447105462779965E-2</v>
      </c>
      <c r="BK766" s="23">
        <v>8.5153852345557474E-2</v>
      </c>
      <c r="BL766" s="23">
        <v>7.4158058913035174E-2</v>
      </c>
      <c r="BM766" s="23">
        <v>7.5718189192107169E-2</v>
      </c>
      <c r="BN766" s="23">
        <v>7.3955559365675619E-2</v>
      </c>
    </row>
    <row r="767" spans="1:66" x14ac:dyDescent="0.25">
      <c r="A767" s="16">
        <v>5433</v>
      </c>
      <c r="B767" s="16" t="s">
        <v>961</v>
      </c>
      <c r="C767" s="17">
        <v>0</v>
      </c>
      <c r="D767" s="17">
        <f t="shared" si="416"/>
        <v>0</v>
      </c>
      <c r="E767" s="17">
        <f t="shared" si="417"/>
        <v>0</v>
      </c>
      <c r="F767" s="17">
        <f t="shared" si="418"/>
        <v>0</v>
      </c>
      <c r="G767" s="17">
        <f t="shared" si="419"/>
        <v>0</v>
      </c>
      <c r="H767" s="17">
        <f t="shared" si="420"/>
        <v>0</v>
      </c>
      <c r="I767" s="17">
        <f t="shared" si="421"/>
        <v>0</v>
      </c>
      <c r="J767" s="17">
        <f t="shared" si="422"/>
        <v>0</v>
      </c>
      <c r="K767" s="17">
        <f t="shared" si="423"/>
        <v>0</v>
      </c>
      <c r="L767" s="17">
        <f t="shared" si="424"/>
        <v>0</v>
      </c>
      <c r="M767" s="17">
        <f t="shared" si="425"/>
        <v>0</v>
      </c>
      <c r="N767" s="17">
        <f t="shared" si="426"/>
        <v>0</v>
      </c>
      <c r="O767" s="17">
        <f t="shared" si="427"/>
        <v>0</v>
      </c>
      <c r="P767" s="17">
        <v>0</v>
      </c>
      <c r="Q767" s="17">
        <f t="shared" si="428"/>
        <v>0</v>
      </c>
      <c r="R767" s="17">
        <f t="shared" si="429"/>
        <v>0</v>
      </c>
      <c r="S767" s="17">
        <f t="shared" si="430"/>
        <v>0</v>
      </c>
      <c r="T767" s="17">
        <f t="shared" si="431"/>
        <v>0</v>
      </c>
      <c r="U767" s="17">
        <f t="shared" si="432"/>
        <v>0</v>
      </c>
      <c r="V767" s="17">
        <f t="shared" si="433"/>
        <v>0</v>
      </c>
      <c r="W767" s="17">
        <f t="shared" si="434"/>
        <v>0</v>
      </c>
      <c r="X767" s="17">
        <f t="shared" si="435"/>
        <v>0</v>
      </c>
      <c r="Y767" s="17">
        <f t="shared" si="436"/>
        <v>0</v>
      </c>
      <c r="Z767" s="17">
        <f t="shared" si="437"/>
        <v>0</v>
      </c>
      <c r="AA767" s="17">
        <f t="shared" si="438"/>
        <v>0</v>
      </c>
      <c r="AB767" s="17">
        <f t="shared" si="439"/>
        <v>0</v>
      </c>
      <c r="AC767" s="17">
        <v>0</v>
      </c>
      <c r="AD767" s="17">
        <f t="shared" si="440"/>
        <v>0</v>
      </c>
      <c r="AE767" s="17">
        <f t="shared" si="441"/>
        <v>0</v>
      </c>
      <c r="AF767" s="17">
        <f t="shared" si="442"/>
        <v>0</v>
      </c>
      <c r="AG767" s="17">
        <f t="shared" si="443"/>
        <v>0</v>
      </c>
      <c r="AH767" s="17">
        <f t="shared" si="444"/>
        <v>0</v>
      </c>
      <c r="AI767" s="17">
        <f t="shared" si="445"/>
        <v>0</v>
      </c>
      <c r="AJ767" s="17">
        <f t="shared" si="446"/>
        <v>0</v>
      </c>
      <c r="AK767" s="17">
        <f t="shared" si="447"/>
        <v>0</v>
      </c>
      <c r="AL767" s="17">
        <f t="shared" si="448"/>
        <v>0</v>
      </c>
      <c r="AM767" s="17">
        <f t="shared" si="449"/>
        <v>0</v>
      </c>
      <c r="AN767" s="17">
        <f t="shared" si="450"/>
        <v>0</v>
      </c>
      <c r="AO767" s="17">
        <f t="shared" si="451"/>
        <v>0</v>
      </c>
      <c r="AP767" s="17">
        <f t="shared" si="452"/>
        <v>0</v>
      </c>
      <c r="AQ767" s="18">
        <v>0</v>
      </c>
      <c r="AR767" s="18">
        <v>0</v>
      </c>
      <c r="AS767" s="18">
        <v>0</v>
      </c>
      <c r="AT767" s="18">
        <v>0</v>
      </c>
      <c r="AU767" s="18">
        <v>0</v>
      </c>
      <c r="AV767" s="18">
        <v>0</v>
      </c>
      <c r="AW767" s="18">
        <v>0</v>
      </c>
      <c r="AX767" s="18">
        <v>0</v>
      </c>
      <c r="AY767" s="18">
        <v>0</v>
      </c>
      <c r="AZ767" s="18">
        <v>0</v>
      </c>
      <c r="BA767" s="18">
        <v>0</v>
      </c>
      <c r="BB767" s="18">
        <v>0</v>
      </c>
      <c r="BC767" s="23">
        <v>8.9181565948742242E-2</v>
      </c>
      <c r="BD767" s="23">
        <v>0.10665277883445198</v>
      </c>
      <c r="BE767" s="23">
        <v>9.438849084854764E-2</v>
      </c>
      <c r="BF767" s="23">
        <v>7.149564986855049E-2</v>
      </c>
      <c r="BG767" s="23">
        <v>0.10368571810536763</v>
      </c>
      <c r="BH767" s="23">
        <v>8.4970330952544637E-2</v>
      </c>
      <c r="BI767" s="23">
        <v>8.4593878877262704E-2</v>
      </c>
      <c r="BJ767" s="23">
        <v>5.7447105462779965E-2</v>
      </c>
      <c r="BK767" s="23">
        <v>8.5153852345557474E-2</v>
      </c>
      <c r="BL767" s="23">
        <v>7.4158058913035174E-2</v>
      </c>
      <c r="BM767" s="23">
        <v>7.5718189192107169E-2</v>
      </c>
      <c r="BN767" s="23">
        <v>7.3955559365675619E-2</v>
      </c>
    </row>
    <row r="768" spans="1:66" x14ac:dyDescent="0.25">
      <c r="A768" s="16">
        <v>5453</v>
      </c>
      <c r="B768" s="16" t="s">
        <v>962</v>
      </c>
      <c r="C768" s="17">
        <v>0</v>
      </c>
      <c r="D768" s="17">
        <f t="shared" si="416"/>
        <v>0</v>
      </c>
      <c r="E768" s="17">
        <f t="shared" si="417"/>
        <v>0</v>
      </c>
      <c r="F768" s="17">
        <f t="shared" si="418"/>
        <v>0</v>
      </c>
      <c r="G768" s="17">
        <f t="shared" si="419"/>
        <v>0</v>
      </c>
      <c r="H768" s="17">
        <f t="shared" si="420"/>
        <v>0</v>
      </c>
      <c r="I768" s="17">
        <f t="shared" si="421"/>
        <v>0</v>
      </c>
      <c r="J768" s="17">
        <f t="shared" si="422"/>
        <v>0</v>
      </c>
      <c r="K768" s="17">
        <f t="shared" si="423"/>
        <v>0</v>
      </c>
      <c r="L768" s="17">
        <f t="shared" si="424"/>
        <v>0</v>
      </c>
      <c r="M768" s="17">
        <f t="shared" si="425"/>
        <v>0</v>
      </c>
      <c r="N768" s="17">
        <f t="shared" si="426"/>
        <v>0</v>
      </c>
      <c r="O768" s="17">
        <f t="shared" si="427"/>
        <v>0</v>
      </c>
      <c r="P768" s="17">
        <v>0</v>
      </c>
      <c r="Q768" s="17">
        <f t="shared" si="428"/>
        <v>0</v>
      </c>
      <c r="R768" s="17">
        <f t="shared" si="429"/>
        <v>0</v>
      </c>
      <c r="S768" s="17">
        <f t="shared" si="430"/>
        <v>0</v>
      </c>
      <c r="T768" s="17">
        <f t="shared" si="431"/>
        <v>0</v>
      </c>
      <c r="U768" s="17">
        <f t="shared" si="432"/>
        <v>0</v>
      </c>
      <c r="V768" s="17">
        <f t="shared" si="433"/>
        <v>0</v>
      </c>
      <c r="W768" s="17">
        <f t="shared" si="434"/>
        <v>0</v>
      </c>
      <c r="X768" s="17">
        <f t="shared" si="435"/>
        <v>0</v>
      </c>
      <c r="Y768" s="17">
        <f t="shared" si="436"/>
        <v>0</v>
      </c>
      <c r="Z768" s="17">
        <f t="shared" si="437"/>
        <v>0</v>
      </c>
      <c r="AA768" s="17">
        <f t="shared" si="438"/>
        <v>0</v>
      </c>
      <c r="AB768" s="17">
        <f t="shared" si="439"/>
        <v>0</v>
      </c>
      <c r="AC768" s="17">
        <v>0</v>
      </c>
      <c r="AD768" s="17">
        <f t="shared" si="440"/>
        <v>0</v>
      </c>
      <c r="AE768" s="17">
        <f t="shared" si="441"/>
        <v>0</v>
      </c>
      <c r="AF768" s="17">
        <f t="shared" si="442"/>
        <v>0</v>
      </c>
      <c r="AG768" s="17">
        <f t="shared" si="443"/>
        <v>0</v>
      </c>
      <c r="AH768" s="17">
        <f t="shared" si="444"/>
        <v>0</v>
      </c>
      <c r="AI768" s="17">
        <f t="shared" si="445"/>
        <v>0</v>
      </c>
      <c r="AJ768" s="17">
        <f t="shared" si="446"/>
        <v>0</v>
      </c>
      <c r="AK768" s="17">
        <f t="shared" si="447"/>
        <v>0</v>
      </c>
      <c r="AL768" s="17">
        <f t="shared" si="448"/>
        <v>0</v>
      </c>
      <c r="AM768" s="17">
        <f t="shared" si="449"/>
        <v>0</v>
      </c>
      <c r="AN768" s="17">
        <f t="shared" si="450"/>
        <v>0</v>
      </c>
      <c r="AO768" s="17">
        <f t="shared" si="451"/>
        <v>0</v>
      </c>
      <c r="AP768" s="17">
        <f t="shared" si="452"/>
        <v>0</v>
      </c>
      <c r="AQ768" s="18">
        <v>49.427545203601156</v>
      </c>
      <c r="AR768" s="18">
        <v>59.110702877312498</v>
      </c>
      <c r="AS768" s="18">
        <v>52.313405225444804</v>
      </c>
      <c r="AT768" s="18">
        <v>39.625391504896079</v>
      </c>
      <c r="AU768" s="18">
        <v>57.466253974128428</v>
      </c>
      <c r="AV768" s="18">
        <v>47.093531375483579</v>
      </c>
      <c r="AW768" s="18">
        <v>46.884888459539695</v>
      </c>
      <c r="AX768" s="18">
        <v>31.839196496163854</v>
      </c>
      <c r="AY768" s="18">
        <v>47.195245354740045</v>
      </c>
      <c r="AZ768" s="18">
        <v>41.100991781666053</v>
      </c>
      <c r="BA768" s="18">
        <v>41.965670586887519</v>
      </c>
      <c r="BB768" s="18">
        <v>40.988759445035228</v>
      </c>
      <c r="BC768" s="23">
        <v>8.9181565948742242E-2</v>
      </c>
      <c r="BD768" s="23">
        <v>0.10665277883445198</v>
      </c>
      <c r="BE768" s="23">
        <v>9.438849084854764E-2</v>
      </c>
      <c r="BF768" s="23">
        <v>7.149564986855049E-2</v>
      </c>
      <c r="BG768" s="23">
        <v>0.10368571810536763</v>
      </c>
      <c r="BH768" s="23">
        <v>8.4970330952544637E-2</v>
      </c>
      <c r="BI768" s="23">
        <v>8.4593878877262704E-2</v>
      </c>
      <c r="BJ768" s="23">
        <v>5.7447105462779965E-2</v>
      </c>
      <c r="BK768" s="23">
        <v>8.5153852345557474E-2</v>
      </c>
      <c r="BL768" s="23">
        <v>7.4158058913035174E-2</v>
      </c>
      <c r="BM768" s="23">
        <v>7.5718189192107169E-2</v>
      </c>
      <c r="BN768" s="23">
        <v>7.3955559365675619E-2</v>
      </c>
    </row>
    <row r="769" spans="1:66" x14ac:dyDescent="0.25">
      <c r="A769" s="16">
        <v>5460</v>
      </c>
      <c r="B769" s="16" t="s">
        <v>963</v>
      </c>
      <c r="C769" s="17">
        <v>0</v>
      </c>
      <c r="D769" s="17">
        <f t="shared" si="416"/>
        <v>0</v>
      </c>
      <c r="E769" s="17">
        <f t="shared" si="417"/>
        <v>0</v>
      </c>
      <c r="F769" s="17">
        <f t="shared" si="418"/>
        <v>0</v>
      </c>
      <c r="G769" s="17">
        <f t="shared" si="419"/>
        <v>0</v>
      </c>
      <c r="H769" s="17">
        <f t="shared" si="420"/>
        <v>0</v>
      </c>
      <c r="I769" s="17">
        <f t="shared" si="421"/>
        <v>0</v>
      </c>
      <c r="J769" s="17">
        <f t="shared" si="422"/>
        <v>0</v>
      </c>
      <c r="K769" s="17">
        <f t="shared" si="423"/>
        <v>0</v>
      </c>
      <c r="L769" s="17">
        <f t="shared" si="424"/>
        <v>0</v>
      </c>
      <c r="M769" s="17">
        <f t="shared" si="425"/>
        <v>0</v>
      </c>
      <c r="N769" s="17">
        <f t="shared" si="426"/>
        <v>0</v>
      </c>
      <c r="O769" s="17">
        <f t="shared" si="427"/>
        <v>0</v>
      </c>
      <c r="P769" s="17">
        <v>0</v>
      </c>
      <c r="Q769" s="17">
        <f t="shared" si="428"/>
        <v>0</v>
      </c>
      <c r="R769" s="17">
        <f t="shared" si="429"/>
        <v>0</v>
      </c>
      <c r="S769" s="17">
        <f t="shared" si="430"/>
        <v>0</v>
      </c>
      <c r="T769" s="17">
        <f t="shared" si="431"/>
        <v>0</v>
      </c>
      <c r="U769" s="17">
        <f t="shared" si="432"/>
        <v>0</v>
      </c>
      <c r="V769" s="17">
        <f t="shared" si="433"/>
        <v>0</v>
      </c>
      <c r="W769" s="17">
        <f t="shared" si="434"/>
        <v>0</v>
      </c>
      <c r="X769" s="17">
        <f t="shared" si="435"/>
        <v>0</v>
      </c>
      <c r="Y769" s="17">
        <f t="shared" si="436"/>
        <v>0</v>
      </c>
      <c r="Z769" s="17">
        <f t="shared" si="437"/>
        <v>0</v>
      </c>
      <c r="AA769" s="17">
        <f t="shared" si="438"/>
        <v>0</v>
      </c>
      <c r="AB769" s="17">
        <f t="shared" si="439"/>
        <v>0</v>
      </c>
      <c r="AC769" s="17">
        <v>0</v>
      </c>
      <c r="AD769" s="17">
        <f t="shared" si="440"/>
        <v>0</v>
      </c>
      <c r="AE769" s="17">
        <f t="shared" si="441"/>
        <v>0</v>
      </c>
      <c r="AF769" s="17">
        <f t="shared" si="442"/>
        <v>0</v>
      </c>
      <c r="AG769" s="17">
        <f t="shared" si="443"/>
        <v>0</v>
      </c>
      <c r="AH769" s="17">
        <f t="shared" si="444"/>
        <v>0</v>
      </c>
      <c r="AI769" s="17">
        <f t="shared" si="445"/>
        <v>0</v>
      </c>
      <c r="AJ769" s="17">
        <f t="shared" si="446"/>
        <v>0</v>
      </c>
      <c r="AK769" s="17">
        <f t="shared" si="447"/>
        <v>0</v>
      </c>
      <c r="AL769" s="17">
        <f t="shared" si="448"/>
        <v>0</v>
      </c>
      <c r="AM769" s="17">
        <f t="shared" si="449"/>
        <v>0</v>
      </c>
      <c r="AN769" s="17">
        <f t="shared" si="450"/>
        <v>0</v>
      </c>
      <c r="AO769" s="17">
        <f t="shared" si="451"/>
        <v>0</v>
      </c>
      <c r="AP769" s="17">
        <f t="shared" si="452"/>
        <v>0</v>
      </c>
      <c r="AQ769" s="18">
        <v>0</v>
      </c>
      <c r="AR769" s="18">
        <v>0</v>
      </c>
      <c r="AS769" s="18">
        <v>0</v>
      </c>
      <c r="AT769" s="18">
        <v>0</v>
      </c>
      <c r="AU769" s="18">
        <v>0</v>
      </c>
      <c r="AV769" s="18">
        <v>0</v>
      </c>
      <c r="AW769" s="18">
        <v>0</v>
      </c>
      <c r="AX769" s="18">
        <v>0</v>
      </c>
      <c r="AY769" s="18">
        <v>0</v>
      </c>
      <c r="AZ769" s="18">
        <v>0</v>
      </c>
      <c r="BA769" s="18">
        <v>0</v>
      </c>
      <c r="BB769" s="18">
        <v>0</v>
      </c>
      <c r="BC769" s="23">
        <v>8.9181565948742242E-2</v>
      </c>
      <c r="BD769" s="23">
        <v>0.10665277883445198</v>
      </c>
      <c r="BE769" s="23">
        <v>9.438849084854764E-2</v>
      </c>
      <c r="BF769" s="23">
        <v>7.149564986855049E-2</v>
      </c>
      <c r="BG769" s="23">
        <v>0.10368571810536763</v>
      </c>
      <c r="BH769" s="23">
        <v>8.4970330952544637E-2</v>
      </c>
      <c r="BI769" s="23">
        <v>8.4593878877262704E-2</v>
      </c>
      <c r="BJ769" s="23">
        <v>5.7447105462779965E-2</v>
      </c>
      <c r="BK769" s="23">
        <v>8.5153852345557474E-2</v>
      </c>
      <c r="BL769" s="23">
        <v>7.4158058913035174E-2</v>
      </c>
      <c r="BM769" s="23">
        <v>7.5718189192107169E-2</v>
      </c>
      <c r="BN769" s="23">
        <v>7.3955559365675619E-2</v>
      </c>
    </row>
    <row r="770" spans="1:66" x14ac:dyDescent="0.25">
      <c r="A770" s="16">
        <v>5464</v>
      </c>
      <c r="B770" s="16" t="s">
        <v>964</v>
      </c>
      <c r="C770" s="17">
        <v>0</v>
      </c>
      <c r="D770" s="17">
        <f t="shared" si="416"/>
        <v>0</v>
      </c>
      <c r="E770" s="17">
        <f t="shared" si="417"/>
        <v>0</v>
      </c>
      <c r="F770" s="17">
        <f t="shared" si="418"/>
        <v>0</v>
      </c>
      <c r="G770" s="17">
        <f t="shared" si="419"/>
        <v>0</v>
      </c>
      <c r="H770" s="17">
        <f t="shared" si="420"/>
        <v>0</v>
      </c>
      <c r="I770" s="17">
        <f t="shared" si="421"/>
        <v>0</v>
      </c>
      <c r="J770" s="17">
        <f t="shared" si="422"/>
        <v>0</v>
      </c>
      <c r="K770" s="17">
        <f t="shared" si="423"/>
        <v>0</v>
      </c>
      <c r="L770" s="17">
        <f t="shared" si="424"/>
        <v>0</v>
      </c>
      <c r="M770" s="17">
        <f t="shared" si="425"/>
        <v>0</v>
      </c>
      <c r="N770" s="17">
        <f t="shared" si="426"/>
        <v>0</v>
      </c>
      <c r="O770" s="17">
        <f t="shared" si="427"/>
        <v>0</v>
      </c>
      <c r="P770" s="17">
        <v>0</v>
      </c>
      <c r="Q770" s="17">
        <f t="shared" si="428"/>
        <v>0</v>
      </c>
      <c r="R770" s="17">
        <f t="shared" si="429"/>
        <v>0</v>
      </c>
      <c r="S770" s="17">
        <f t="shared" si="430"/>
        <v>0</v>
      </c>
      <c r="T770" s="17">
        <f t="shared" si="431"/>
        <v>0</v>
      </c>
      <c r="U770" s="17">
        <f t="shared" si="432"/>
        <v>0</v>
      </c>
      <c r="V770" s="17">
        <f t="shared" si="433"/>
        <v>0</v>
      </c>
      <c r="W770" s="17">
        <f t="shared" si="434"/>
        <v>0</v>
      </c>
      <c r="X770" s="17">
        <f t="shared" si="435"/>
        <v>0</v>
      </c>
      <c r="Y770" s="17">
        <f t="shared" si="436"/>
        <v>0</v>
      </c>
      <c r="Z770" s="17">
        <f t="shared" si="437"/>
        <v>0</v>
      </c>
      <c r="AA770" s="17">
        <f t="shared" si="438"/>
        <v>0</v>
      </c>
      <c r="AB770" s="17">
        <f t="shared" si="439"/>
        <v>0</v>
      </c>
      <c r="AC770" s="17">
        <v>0</v>
      </c>
      <c r="AD770" s="17">
        <f t="shared" si="440"/>
        <v>0</v>
      </c>
      <c r="AE770" s="17">
        <f t="shared" si="441"/>
        <v>0</v>
      </c>
      <c r="AF770" s="17">
        <f t="shared" si="442"/>
        <v>0</v>
      </c>
      <c r="AG770" s="17">
        <f t="shared" si="443"/>
        <v>0</v>
      </c>
      <c r="AH770" s="17">
        <f t="shared" si="444"/>
        <v>0</v>
      </c>
      <c r="AI770" s="17">
        <f t="shared" si="445"/>
        <v>0</v>
      </c>
      <c r="AJ770" s="17">
        <f t="shared" si="446"/>
        <v>0</v>
      </c>
      <c r="AK770" s="17">
        <f t="shared" si="447"/>
        <v>0</v>
      </c>
      <c r="AL770" s="17">
        <f t="shared" si="448"/>
        <v>0</v>
      </c>
      <c r="AM770" s="17">
        <f t="shared" si="449"/>
        <v>0</v>
      </c>
      <c r="AN770" s="17">
        <f t="shared" si="450"/>
        <v>0</v>
      </c>
      <c r="AO770" s="17">
        <f t="shared" si="451"/>
        <v>0</v>
      </c>
      <c r="AP770" s="17">
        <f t="shared" si="452"/>
        <v>0</v>
      </c>
      <c r="AQ770" s="18">
        <v>0</v>
      </c>
      <c r="AR770" s="18">
        <v>0</v>
      </c>
      <c r="AS770" s="18">
        <v>0</v>
      </c>
      <c r="AT770" s="18">
        <v>0</v>
      </c>
      <c r="AU770" s="18">
        <v>0</v>
      </c>
      <c r="AV770" s="18">
        <v>0</v>
      </c>
      <c r="AW770" s="18">
        <v>0</v>
      </c>
      <c r="AX770" s="18">
        <v>0</v>
      </c>
      <c r="AY770" s="18">
        <v>0</v>
      </c>
      <c r="AZ770" s="18">
        <v>0</v>
      </c>
      <c r="BA770" s="18">
        <v>0</v>
      </c>
      <c r="BB770" s="18">
        <v>0</v>
      </c>
      <c r="BC770" s="23">
        <v>8.9181565948742242E-2</v>
      </c>
      <c r="BD770" s="23">
        <v>0.10665277883445198</v>
      </c>
      <c r="BE770" s="23">
        <v>9.438849084854764E-2</v>
      </c>
      <c r="BF770" s="23">
        <v>7.149564986855049E-2</v>
      </c>
      <c r="BG770" s="23">
        <v>0.10368571810536763</v>
      </c>
      <c r="BH770" s="23">
        <v>8.4970330952544637E-2</v>
      </c>
      <c r="BI770" s="23">
        <v>8.4593878877262704E-2</v>
      </c>
      <c r="BJ770" s="23">
        <v>5.7447105462779965E-2</v>
      </c>
      <c r="BK770" s="23">
        <v>8.5153852345557474E-2</v>
      </c>
      <c r="BL770" s="23">
        <v>7.4158058913035174E-2</v>
      </c>
      <c r="BM770" s="23">
        <v>7.5718189192107169E-2</v>
      </c>
      <c r="BN770" s="23">
        <v>7.3955559365675619E-2</v>
      </c>
    </row>
    <row r="771" spans="1:66" x14ac:dyDescent="0.25">
      <c r="A771" s="16">
        <v>5475</v>
      </c>
      <c r="B771" s="16" t="s">
        <v>965</v>
      </c>
      <c r="C771" s="17">
        <v>0</v>
      </c>
      <c r="D771" s="17">
        <f t="shared" si="416"/>
        <v>0</v>
      </c>
      <c r="E771" s="17">
        <f t="shared" si="417"/>
        <v>0</v>
      </c>
      <c r="F771" s="17">
        <f t="shared" si="418"/>
        <v>0</v>
      </c>
      <c r="G771" s="17">
        <f t="shared" si="419"/>
        <v>0</v>
      </c>
      <c r="H771" s="17">
        <f t="shared" si="420"/>
        <v>0</v>
      </c>
      <c r="I771" s="17">
        <f t="shared" si="421"/>
        <v>0</v>
      </c>
      <c r="J771" s="17">
        <f t="shared" si="422"/>
        <v>0</v>
      </c>
      <c r="K771" s="17">
        <f t="shared" si="423"/>
        <v>0</v>
      </c>
      <c r="L771" s="17">
        <f t="shared" si="424"/>
        <v>0</v>
      </c>
      <c r="M771" s="17">
        <f t="shared" si="425"/>
        <v>0</v>
      </c>
      <c r="N771" s="17">
        <f t="shared" si="426"/>
        <v>0</v>
      </c>
      <c r="O771" s="17">
        <f t="shared" si="427"/>
        <v>0</v>
      </c>
      <c r="P771" s="17">
        <v>0</v>
      </c>
      <c r="Q771" s="17">
        <f t="shared" si="428"/>
        <v>0</v>
      </c>
      <c r="R771" s="17">
        <f t="shared" si="429"/>
        <v>0</v>
      </c>
      <c r="S771" s="17">
        <f t="shared" si="430"/>
        <v>0</v>
      </c>
      <c r="T771" s="17">
        <f t="shared" si="431"/>
        <v>0</v>
      </c>
      <c r="U771" s="17">
        <f t="shared" si="432"/>
        <v>0</v>
      </c>
      <c r="V771" s="17">
        <f t="shared" si="433"/>
        <v>0</v>
      </c>
      <c r="W771" s="17">
        <f t="shared" si="434"/>
        <v>0</v>
      </c>
      <c r="X771" s="17">
        <f t="shared" si="435"/>
        <v>0</v>
      </c>
      <c r="Y771" s="17">
        <f t="shared" si="436"/>
        <v>0</v>
      </c>
      <c r="Z771" s="17">
        <f t="shared" si="437"/>
        <v>0</v>
      </c>
      <c r="AA771" s="17">
        <f t="shared" si="438"/>
        <v>0</v>
      </c>
      <c r="AB771" s="17">
        <f t="shared" si="439"/>
        <v>0</v>
      </c>
      <c r="AC771" s="17">
        <v>0</v>
      </c>
      <c r="AD771" s="17">
        <f t="shared" si="440"/>
        <v>0</v>
      </c>
      <c r="AE771" s="17">
        <f t="shared" si="441"/>
        <v>0</v>
      </c>
      <c r="AF771" s="17">
        <f t="shared" si="442"/>
        <v>0</v>
      </c>
      <c r="AG771" s="17">
        <f t="shared" si="443"/>
        <v>0</v>
      </c>
      <c r="AH771" s="17">
        <f t="shared" si="444"/>
        <v>0</v>
      </c>
      <c r="AI771" s="17">
        <f t="shared" si="445"/>
        <v>0</v>
      </c>
      <c r="AJ771" s="17">
        <f t="shared" si="446"/>
        <v>0</v>
      </c>
      <c r="AK771" s="17">
        <f t="shared" si="447"/>
        <v>0</v>
      </c>
      <c r="AL771" s="17">
        <f t="shared" si="448"/>
        <v>0</v>
      </c>
      <c r="AM771" s="17">
        <f t="shared" si="449"/>
        <v>0</v>
      </c>
      <c r="AN771" s="17">
        <f t="shared" si="450"/>
        <v>0</v>
      </c>
      <c r="AO771" s="17">
        <f t="shared" si="451"/>
        <v>0</v>
      </c>
      <c r="AP771" s="17">
        <f t="shared" si="452"/>
        <v>0</v>
      </c>
      <c r="AQ771" s="18">
        <v>0</v>
      </c>
      <c r="AR771" s="18">
        <v>0</v>
      </c>
      <c r="AS771" s="18">
        <v>0</v>
      </c>
      <c r="AT771" s="18">
        <v>0</v>
      </c>
      <c r="AU771" s="18">
        <v>0</v>
      </c>
      <c r="AV771" s="18">
        <v>0</v>
      </c>
      <c r="AW771" s="18">
        <v>0</v>
      </c>
      <c r="AX771" s="18">
        <v>0</v>
      </c>
      <c r="AY771" s="18">
        <v>0</v>
      </c>
      <c r="AZ771" s="18">
        <v>0</v>
      </c>
      <c r="BA771" s="18">
        <v>0</v>
      </c>
      <c r="BB771" s="18">
        <v>0</v>
      </c>
      <c r="BC771" s="23">
        <v>8.9181565948742242E-2</v>
      </c>
      <c r="BD771" s="23">
        <v>0.10665277883445198</v>
      </c>
      <c r="BE771" s="23">
        <v>9.438849084854764E-2</v>
      </c>
      <c r="BF771" s="23">
        <v>7.149564986855049E-2</v>
      </c>
      <c r="BG771" s="23">
        <v>0.10368571810536763</v>
      </c>
      <c r="BH771" s="23">
        <v>8.4970330952544637E-2</v>
      </c>
      <c r="BI771" s="23">
        <v>8.4593878877262704E-2</v>
      </c>
      <c r="BJ771" s="23">
        <v>5.7447105462779965E-2</v>
      </c>
      <c r="BK771" s="23">
        <v>8.5153852345557474E-2</v>
      </c>
      <c r="BL771" s="23">
        <v>7.4158058913035174E-2</v>
      </c>
      <c r="BM771" s="23">
        <v>7.5718189192107169E-2</v>
      </c>
      <c r="BN771" s="23">
        <v>7.3955559365675619E-2</v>
      </c>
    </row>
    <row r="772" spans="1:66" x14ac:dyDescent="0.25">
      <c r="A772" s="16">
        <v>5476</v>
      </c>
      <c r="B772" s="16" t="s">
        <v>966</v>
      </c>
      <c r="C772" s="17">
        <v>0</v>
      </c>
      <c r="D772" s="17">
        <f t="shared" ref="D772:D835" si="453">+$C772*BC772</f>
        <v>0</v>
      </c>
      <c r="E772" s="17">
        <f t="shared" ref="E772:E835" si="454">+$C772*BD772</f>
        <v>0</v>
      </c>
      <c r="F772" s="17">
        <f t="shared" ref="F772:F835" si="455">+$C772*BE772</f>
        <v>0</v>
      </c>
      <c r="G772" s="17">
        <f t="shared" ref="G772:G835" si="456">+$C772*BF772</f>
        <v>0</v>
      </c>
      <c r="H772" s="17">
        <f t="shared" ref="H772:H835" si="457">+$C772*BG772</f>
        <v>0</v>
      </c>
      <c r="I772" s="17">
        <f t="shared" ref="I772:I835" si="458">+$C772*BH772</f>
        <v>0</v>
      </c>
      <c r="J772" s="17">
        <f t="shared" ref="J772:J835" si="459">+$C772*BI772</f>
        <v>0</v>
      </c>
      <c r="K772" s="17">
        <f t="shared" ref="K772:K835" si="460">+$C772*BJ772</f>
        <v>0</v>
      </c>
      <c r="L772" s="17">
        <f t="shared" ref="L772:L835" si="461">+$C772*BK772</f>
        <v>0</v>
      </c>
      <c r="M772" s="17">
        <f t="shared" ref="M772:M835" si="462">+$C772*BL772</f>
        <v>0</v>
      </c>
      <c r="N772" s="17">
        <f t="shared" ref="N772:N835" si="463">+$C772*BM772</f>
        <v>0</v>
      </c>
      <c r="O772" s="17">
        <f t="shared" ref="O772:O835" si="464">+$C772*BN772</f>
        <v>0</v>
      </c>
      <c r="P772" s="17">
        <v>0</v>
      </c>
      <c r="Q772" s="17">
        <f t="shared" ref="Q772:Q835" si="465">+$P772*BC772</f>
        <v>0</v>
      </c>
      <c r="R772" s="17">
        <f t="shared" ref="R772:R835" si="466">+$P772*BD772</f>
        <v>0</v>
      </c>
      <c r="S772" s="17">
        <f t="shared" ref="S772:S835" si="467">+$P772*BE772</f>
        <v>0</v>
      </c>
      <c r="T772" s="17">
        <f t="shared" ref="T772:T835" si="468">+$P772*BF772</f>
        <v>0</v>
      </c>
      <c r="U772" s="17">
        <f t="shared" ref="U772:U835" si="469">+$P772*BG772</f>
        <v>0</v>
      </c>
      <c r="V772" s="17">
        <f t="shared" ref="V772:V835" si="470">+$P772*BH772</f>
        <v>0</v>
      </c>
      <c r="W772" s="17">
        <f t="shared" ref="W772:W835" si="471">+$P772*BI772</f>
        <v>0</v>
      </c>
      <c r="X772" s="17">
        <f t="shared" ref="X772:X835" si="472">+$P772*BJ772</f>
        <v>0</v>
      </c>
      <c r="Y772" s="17">
        <f t="shared" ref="Y772:Y835" si="473">+$P772*BK772</f>
        <v>0</v>
      </c>
      <c r="Z772" s="17">
        <f t="shared" ref="Z772:Z835" si="474">+$P772*BL772</f>
        <v>0</v>
      </c>
      <c r="AA772" s="17">
        <f t="shared" ref="AA772:AA835" si="475">+$P772*BM772</f>
        <v>0</v>
      </c>
      <c r="AB772" s="17">
        <f t="shared" ref="AB772:AB835" si="476">+$P772*BN772</f>
        <v>0</v>
      </c>
      <c r="AC772" s="17">
        <v>0</v>
      </c>
      <c r="AD772" s="17">
        <f t="shared" ref="AD772:AD835" si="477">+$AC772*BC772</f>
        <v>0</v>
      </c>
      <c r="AE772" s="17">
        <f t="shared" ref="AE772:AE835" si="478">+$AC772*BD772</f>
        <v>0</v>
      </c>
      <c r="AF772" s="17">
        <f t="shared" ref="AF772:AF835" si="479">+$AC772*BE772</f>
        <v>0</v>
      </c>
      <c r="AG772" s="17">
        <f t="shared" ref="AG772:AG835" si="480">+$AC772*BF772</f>
        <v>0</v>
      </c>
      <c r="AH772" s="17">
        <f t="shared" ref="AH772:AH835" si="481">+$AC772*BG772</f>
        <v>0</v>
      </c>
      <c r="AI772" s="17">
        <f t="shared" ref="AI772:AI835" si="482">+$AC772*BH772</f>
        <v>0</v>
      </c>
      <c r="AJ772" s="17">
        <f t="shared" ref="AJ772:AJ835" si="483">+$AC772*BI772</f>
        <v>0</v>
      </c>
      <c r="AK772" s="17">
        <f t="shared" ref="AK772:AK835" si="484">+$AC772*BJ772</f>
        <v>0</v>
      </c>
      <c r="AL772" s="17">
        <f t="shared" ref="AL772:AL835" si="485">+$AC772*BK772</f>
        <v>0</v>
      </c>
      <c r="AM772" s="17">
        <f t="shared" ref="AM772:AM835" si="486">+$AC772*BL772</f>
        <v>0</v>
      </c>
      <c r="AN772" s="17">
        <f t="shared" ref="AN772:AN835" si="487">+$AC772*BM772</f>
        <v>0</v>
      </c>
      <c r="AO772" s="17">
        <f t="shared" ref="AO772:AO835" si="488">+$AC772*BN772</f>
        <v>0</v>
      </c>
      <c r="AP772" s="17">
        <f t="shared" ref="AP772:AP835" si="489">+AC772+P772+C772</f>
        <v>0</v>
      </c>
      <c r="AQ772" s="18">
        <v>0</v>
      </c>
      <c r="AR772" s="18">
        <v>0</v>
      </c>
      <c r="AS772" s="18">
        <v>0</v>
      </c>
      <c r="AT772" s="18">
        <v>0</v>
      </c>
      <c r="AU772" s="18">
        <v>0</v>
      </c>
      <c r="AV772" s="18">
        <v>0</v>
      </c>
      <c r="AW772" s="18">
        <v>0</v>
      </c>
      <c r="AX772" s="18">
        <v>0</v>
      </c>
      <c r="AY772" s="18">
        <v>0</v>
      </c>
      <c r="AZ772" s="18">
        <v>0</v>
      </c>
      <c r="BA772" s="18">
        <v>0</v>
      </c>
      <c r="BB772" s="18">
        <v>0</v>
      </c>
      <c r="BC772" s="23">
        <v>8.9181565948742242E-2</v>
      </c>
      <c r="BD772" s="23">
        <v>0.10665277883445198</v>
      </c>
      <c r="BE772" s="23">
        <v>9.438849084854764E-2</v>
      </c>
      <c r="BF772" s="23">
        <v>7.149564986855049E-2</v>
      </c>
      <c r="BG772" s="23">
        <v>0.10368571810536763</v>
      </c>
      <c r="BH772" s="23">
        <v>8.4970330952544637E-2</v>
      </c>
      <c r="BI772" s="23">
        <v>8.4593878877262704E-2</v>
      </c>
      <c r="BJ772" s="23">
        <v>5.7447105462779965E-2</v>
      </c>
      <c r="BK772" s="23">
        <v>8.5153852345557474E-2</v>
      </c>
      <c r="BL772" s="23">
        <v>7.4158058913035174E-2</v>
      </c>
      <c r="BM772" s="23">
        <v>7.5718189192107169E-2</v>
      </c>
      <c r="BN772" s="23">
        <v>7.3955559365675619E-2</v>
      </c>
    </row>
    <row r="773" spans="1:66" x14ac:dyDescent="0.25">
      <c r="A773" s="16">
        <v>5478</v>
      </c>
      <c r="B773" s="16" t="s">
        <v>967</v>
      </c>
      <c r="C773" s="17">
        <v>0</v>
      </c>
      <c r="D773" s="17">
        <f t="shared" si="453"/>
        <v>0</v>
      </c>
      <c r="E773" s="17">
        <f t="shared" si="454"/>
        <v>0</v>
      </c>
      <c r="F773" s="17">
        <f t="shared" si="455"/>
        <v>0</v>
      </c>
      <c r="G773" s="17">
        <f t="shared" si="456"/>
        <v>0</v>
      </c>
      <c r="H773" s="17">
        <f t="shared" si="457"/>
        <v>0</v>
      </c>
      <c r="I773" s="17">
        <f t="shared" si="458"/>
        <v>0</v>
      </c>
      <c r="J773" s="17">
        <f t="shared" si="459"/>
        <v>0</v>
      </c>
      <c r="K773" s="17">
        <f t="shared" si="460"/>
        <v>0</v>
      </c>
      <c r="L773" s="17">
        <f t="shared" si="461"/>
        <v>0</v>
      </c>
      <c r="M773" s="17">
        <f t="shared" si="462"/>
        <v>0</v>
      </c>
      <c r="N773" s="17">
        <f t="shared" si="463"/>
        <v>0</v>
      </c>
      <c r="O773" s="17">
        <f t="shared" si="464"/>
        <v>0</v>
      </c>
      <c r="P773" s="17">
        <v>0</v>
      </c>
      <c r="Q773" s="17">
        <f t="shared" si="465"/>
        <v>0</v>
      </c>
      <c r="R773" s="17">
        <f t="shared" si="466"/>
        <v>0</v>
      </c>
      <c r="S773" s="17">
        <f t="shared" si="467"/>
        <v>0</v>
      </c>
      <c r="T773" s="17">
        <f t="shared" si="468"/>
        <v>0</v>
      </c>
      <c r="U773" s="17">
        <f t="shared" si="469"/>
        <v>0</v>
      </c>
      <c r="V773" s="17">
        <f t="shared" si="470"/>
        <v>0</v>
      </c>
      <c r="W773" s="17">
        <f t="shared" si="471"/>
        <v>0</v>
      </c>
      <c r="X773" s="17">
        <f t="shared" si="472"/>
        <v>0</v>
      </c>
      <c r="Y773" s="17">
        <f t="shared" si="473"/>
        <v>0</v>
      </c>
      <c r="Z773" s="17">
        <f t="shared" si="474"/>
        <v>0</v>
      </c>
      <c r="AA773" s="17">
        <f t="shared" si="475"/>
        <v>0</v>
      </c>
      <c r="AB773" s="17">
        <f t="shared" si="476"/>
        <v>0</v>
      </c>
      <c r="AC773" s="17">
        <v>0</v>
      </c>
      <c r="AD773" s="17">
        <f t="shared" si="477"/>
        <v>0</v>
      </c>
      <c r="AE773" s="17">
        <f t="shared" si="478"/>
        <v>0</v>
      </c>
      <c r="AF773" s="17">
        <f t="shared" si="479"/>
        <v>0</v>
      </c>
      <c r="AG773" s="17">
        <f t="shared" si="480"/>
        <v>0</v>
      </c>
      <c r="AH773" s="17">
        <f t="shared" si="481"/>
        <v>0</v>
      </c>
      <c r="AI773" s="17">
        <f t="shared" si="482"/>
        <v>0</v>
      </c>
      <c r="AJ773" s="17">
        <f t="shared" si="483"/>
        <v>0</v>
      </c>
      <c r="AK773" s="17">
        <f t="shared" si="484"/>
        <v>0</v>
      </c>
      <c r="AL773" s="17">
        <f t="shared" si="485"/>
        <v>0</v>
      </c>
      <c r="AM773" s="17">
        <f t="shared" si="486"/>
        <v>0</v>
      </c>
      <c r="AN773" s="17">
        <f t="shared" si="487"/>
        <v>0</v>
      </c>
      <c r="AO773" s="17">
        <f t="shared" si="488"/>
        <v>0</v>
      </c>
      <c r="AP773" s="17">
        <f t="shared" si="489"/>
        <v>0</v>
      </c>
      <c r="AQ773" s="18">
        <v>58.859833526169879</v>
      </c>
      <c r="AR773" s="18">
        <v>70.390834030738304</v>
      </c>
      <c r="AS773" s="18">
        <v>62.296403960041445</v>
      </c>
      <c r="AT773" s="18">
        <v>47.18712891324332</v>
      </c>
      <c r="AU773" s="18">
        <v>68.432573949542629</v>
      </c>
      <c r="AV773" s="18">
        <v>56.080418428679458</v>
      </c>
      <c r="AW773" s="18">
        <v>55.831960058993381</v>
      </c>
      <c r="AX773" s="18">
        <v>37.91508960543478</v>
      </c>
      <c r="AY773" s="18">
        <v>56.201542548067934</v>
      </c>
      <c r="AZ773" s="18">
        <v>48.944318882603213</v>
      </c>
      <c r="BA773" s="18">
        <v>49.974004866790729</v>
      </c>
      <c r="BB773" s="18">
        <v>48.810669181345908</v>
      </c>
      <c r="BC773" s="23">
        <v>8.9181565948742242E-2</v>
      </c>
      <c r="BD773" s="23">
        <v>0.10665277883445198</v>
      </c>
      <c r="BE773" s="23">
        <v>9.438849084854764E-2</v>
      </c>
      <c r="BF773" s="23">
        <v>7.149564986855049E-2</v>
      </c>
      <c r="BG773" s="23">
        <v>0.10368571810536763</v>
      </c>
      <c r="BH773" s="23">
        <v>8.4970330952544637E-2</v>
      </c>
      <c r="BI773" s="23">
        <v>8.4593878877262704E-2</v>
      </c>
      <c r="BJ773" s="23">
        <v>5.7447105462779965E-2</v>
      </c>
      <c r="BK773" s="23">
        <v>8.5153852345557474E-2</v>
      </c>
      <c r="BL773" s="23">
        <v>7.4158058913035174E-2</v>
      </c>
      <c r="BM773" s="23">
        <v>7.5718189192107169E-2</v>
      </c>
      <c r="BN773" s="23">
        <v>7.3955559365675619E-2</v>
      </c>
    </row>
    <row r="774" spans="1:66" x14ac:dyDescent="0.25">
      <c r="A774" s="16">
        <v>5479</v>
      </c>
      <c r="B774" s="16" t="s">
        <v>968</v>
      </c>
      <c r="C774" s="17">
        <v>0</v>
      </c>
      <c r="D774" s="17">
        <f t="shared" si="453"/>
        <v>0</v>
      </c>
      <c r="E774" s="17">
        <f t="shared" si="454"/>
        <v>0</v>
      </c>
      <c r="F774" s="17">
        <f t="shared" si="455"/>
        <v>0</v>
      </c>
      <c r="G774" s="17">
        <f t="shared" si="456"/>
        <v>0</v>
      </c>
      <c r="H774" s="17">
        <f t="shared" si="457"/>
        <v>0</v>
      </c>
      <c r="I774" s="17">
        <f t="shared" si="458"/>
        <v>0</v>
      </c>
      <c r="J774" s="17">
        <f t="shared" si="459"/>
        <v>0</v>
      </c>
      <c r="K774" s="17">
        <f t="shared" si="460"/>
        <v>0</v>
      </c>
      <c r="L774" s="17">
        <f t="shared" si="461"/>
        <v>0</v>
      </c>
      <c r="M774" s="17">
        <f t="shared" si="462"/>
        <v>0</v>
      </c>
      <c r="N774" s="17">
        <f t="shared" si="463"/>
        <v>0</v>
      </c>
      <c r="O774" s="17">
        <f t="shared" si="464"/>
        <v>0</v>
      </c>
      <c r="P774" s="17">
        <v>0</v>
      </c>
      <c r="Q774" s="17">
        <f t="shared" si="465"/>
        <v>0</v>
      </c>
      <c r="R774" s="17">
        <f t="shared" si="466"/>
        <v>0</v>
      </c>
      <c r="S774" s="17">
        <f t="shared" si="467"/>
        <v>0</v>
      </c>
      <c r="T774" s="17">
        <f t="shared" si="468"/>
        <v>0</v>
      </c>
      <c r="U774" s="17">
        <f t="shared" si="469"/>
        <v>0</v>
      </c>
      <c r="V774" s="17">
        <f t="shared" si="470"/>
        <v>0</v>
      </c>
      <c r="W774" s="17">
        <f t="shared" si="471"/>
        <v>0</v>
      </c>
      <c r="X774" s="17">
        <f t="shared" si="472"/>
        <v>0</v>
      </c>
      <c r="Y774" s="17">
        <f t="shared" si="473"/>
        <v>0</v>
      </c>
      <c r="Z774" s="17">
        <f t="shared" si="474"/>
        <v>0</v>
      </c>
      <c r="AA774" s="17">
        <f t="shared" si="475"/>
        <v>0</v>
      </c>
      <c r="AB774" s="17">
        <f t="shared" si="476"/>
        <v>0</v>
      </c>
      <c r="AC774" s="17">
        <v>0</v>
      </c>
      <c r="AD774" s="17">
        <f t="shared" si="477"/>
        <v>0</v>
      </c>
      <c r="AE774" s="17">
        <f t="shared" si="478"/>
        <v>0</v>
      </c>
      <c r="AF774" s="17">
        <f t="shared" si="479"/>
        <v>0</v>
      </c>
      <c r="AG774" s="17">
        <f t="shared" si="480"/>
        <v>0</v>
      </c>
      <c r="AH774" s="17">
        <f t="shared" si="481"/>
        <v>0</v>
      </c>
      <c r="AI774" s="17">
        <f t="shared" si="482"/>
        <v>0</v>
      </c>
      <c r="AJ774" s="17">
        <f t="shared" si="483"/>
        <v>0</v>
      </c>
      <c r="AK774" s="17">
        <f t="shared" si="484"/>
        <v>0</v>
      </c>
      <c r="AL774" s="17">
        <f t="shared" si="485"/>
        <v>0</v>
      </c>
      <c r="AM774" s="17">
        <f t="shared" si="486"/>
        <v>0</v>
      </c>
      <c r="AN774" s="17">
        <f t="shared" si="487"/>
        <v>0</v>
      </c>
      <c r="AO774" s="17">
        <f t="shared" si="488"/>
        <v>0</v>
      </c>
      <c r="AP774" s="17">
        <f t="shared" si="489"/>
        <v>0</v>
      </c>
      <c r="AQ774" s="18">
        <v>0</v>
      </c>
      <c r="AR774" s="18">
        <v>0</v>
      </c>
      <c r="AS774" s="18">
        <v>0</v>
      </c>
      <c r="AT774" s="18">
        <v>0</v>
      </c>
      <c r="AU774" s="18">
        <v>0</v>
      </c>
      <c r="AV774" s="18">
        <v>0</v>
      </c>
      <c r="AW774" s="18">
        <v>0</v>
      </c>
      <c r="AX774" s="18">
        <v>0</v>
      </c>
      <c r="AY774" s="18">
        <v>0</v>
      </c>
      <c r="AZ774" s="18">
        <v>0</v>
      </c>
      <c r="BA774" s="18">
        <v>0</v>
      </c>
      <c r="BB774" s="18">
        <v>0</v>
      </c>
      <c r="BC774" s="23">
        <v>8.9181565948742242E-2</v>
      </c>
      <c r="BD774" s="23">
        <v>0.10665277883445198</v>
      </c>
      <c r="BE774" s="23">
        <v>9.438849084854764E-2</v>
      </c>
      <c r="BF774" s="23">
        <v>7.149564986855049E-2</v>
      </c>
      <c r="BG774" s="23">
        <v>0.10368571810536763</v>
      </c>
      <c r="BH774" s="23">
        <v>8.4970330952544637E-2</v>
      </c>
      <c r="BI774" s="23">
        <v>8.4593878877262704E-2</v>
      </c>
      <c r="BJ774" s="23">
        <v>5.7447105462779965E-2</v>
      </c>
      <c r="BK774" s="23">
        <v>8.5153852345557474E-2</v>
      </c>
      <c r="BL774" s="23">
        <v>7.4158058913035174E-2</v>
      </c>
      <c r="BM774" s="23">
        <v>7.5718189192107169E-2</v>
      </c>
      <c r="BN774" s="23">
        <v>7.3955559365675619E-2</v>
      </c>
    </row>
    <row r="775" spans="1:66" x14ac:dyDescent="0.25">
      <c r="A775" s="16">
        <v>5485</v>
      </c>
      <c r="B775" s="16" t="s">
        <v>969</v>
      </c>
      <c r="C775" s="17">
        <v>0</v>
      </c>
      <c r="D775" s="17">
        <f t="shared" si="453"/>
        <v>0</v>
      </c>
      <c r="E775" s="17">
        <f t="shared" si="454"/>
        <v>0</v>
      </c>
      <c r="F775" s="17">
        <f t="shared" si="455"/>
        <v>0</v>
      </c>
      <c r="G775" s="17">
        <f t="shared" si="456"/>
        <v>0</v>
      </c>
      <c r="H775" s="17">
        <f t="shared" si="457"/>
        <v>0</v>
      </c>
      <c r="I775" s="17">
        <f t="shared" si="458"/>
        <v>0</v>
      </c>
      <c r="J775" s="17">
        <f t="shared" si="459"/>
        <v>0</v>
      </c>
      <c r="K775" s="17">
        <f t="shared" si="460"/>
        <v>0</v>
      </c>
      <c r="L775" s="17">
        <f t="shared" si="461"/>
        <v>0</v>
      </c>
      <c r="M775" s="17">
        <f t="shared" si="462"/>
        <v>0</v>
      </c>
      <c r="N775" s="17">
        <f t="shared" si="463"/>
        <v>0</v>
      </c>
      <c r="O775" s="17">
        <f t="shared" si="464"/>
        <v>0</v>
      </c>
      <c r="P775" s="17">
        <v>0</v>
      </c>
      <c r="Q775" s="17">
        <f t="shared" si="465"/>
        <v>0</v>
      </c>
      <c r="R775" s="17">
        <f t="shared" si="466"/>
        <v>0</v>
      </c>
      <c r="S775" s="17">
        <f t="shared" si="467"/>
        <v>0</v>
      </c>
      <c r="T775" s="17">
        <f t="shared" si="468"/>
        <v>0</v>
      </c>
      <c r="U775" s="17">
        <f t="shared" si="469"/>
        <v>0</v>
      </c>
      <c r="V775" s="17">
        <f t="shared" si="470"/>
        <v>0</v>
      </c>
      <c r="W775" s="17">
        <f t="shared" si="471"/>
        <v>0</v>
      </c>
      <c r="X775" s="17">
        <f t="shared" si="472"/>
        <v>0</v>
      </c>
      <c r="Y775" s="17">
        <f t="shared" si="473"/>
        <v>0</v>
      </c>
      <c r="Z775" s="17">
        <f t="shared" si="474"/>
        <v>0</v>
      </c>
      <c r="AA775" s="17">
        <f t="shared" si="475"/>
        <v>0</v>
      </c>
      <c r="AB775" s="17">
        <f t="shared" si="476"/>
        <v>0</v>
      </c>
      <c r="AC775" s="17">
        <v>0</v>
      </c>
      <c r="AD775" s="17">
        <f t="shared" si="477"/>
        <v>0</v>
      </c>
      <c r="AE775" s="17">
        <f t="shared" si="478"/>
        <v>0</v>
      </c>
      <c r="AF775" s="17">
        <f t="shared" si="479"/>
        <v>0</v>
      </c>
      <c r="AG775" s="17">
        <f t="shared" si="480"/>
        <v>0</v>
      </c>
      <c r="AH775" s="17">
        <f t="shared" si="481"/>
        <v>0</v>
      </c>
      <c r="AI775" s="17">
        <f t="shared" si="482"/>
        <v>0</v>
      </c>
      <c r="AJ775" s="17">
        <f t="shared" si="483"/>
        <v>0</v>
      </c>
      <c r="AK775" s="17">
        <f t="shared" si="484"/>
        <v>0</v>
      </c>
      <c r="AL775" s="17">
        <f t="shared" si="485"/>
        <v>0</v>
      </c>
      <c r="AM775" s="17">
        <f t="shared" si="486"/>
        <v>0</v>
      </c>
      <c r="AN775" s="17">
        <f t="shared" si="487"/>
        <v>0</v>
      </c>
      <c r="AO775" s="17">
        <f t="shared" si="488"/>
        <v>0</v>
      </c>
      <c r="AP775" s="17">
        <f t="shared" si="489"/>
        <v>0</v>
      </c>
      <c r="AQ775" s="18">
        <v>0</v>
      </c>
      <c r="AR775" s="18">
        <v>0</v>
      </c>
      <c r="AS775" s="18">
        <v>0</v>
      </c>
      <c r="AT775" s="18">
        <v>0</v>
      </c>
      <c r="AU775" s="18">
        <v>0</v>
      </c>
      <c r="AV775" s="18">
        <v>0</v>
      </c>
      <c r="AW775" s="18">
        <v>0</v>
      </c>
      <c r="AX775" s="18">
        <v>0</v>
      </c>
      <c r="AY775" s="18">
        <v>0</v>
      </c>
      <c r="AZ775" s="18">
        <v>0</v>
      </c>
      <c r="BA775" s="18">
        <v>0</v>
      </c>
      <c r="BB775" s="18">
        <v>0</v>
      </c>
      <c r="BC775" s="23">
        <v>8.9181565948742242E-2</v>
      </c>
      <c r="BD775" s="23">
        <v>0.10665277883445198</v>
      </c>
      <c r="BE775" s="23">
        <v>9.438849084854764E-2</v>
      </c>
      <c r="BF775" s="23">
        <v>7.149564986855049E-2</v>
      </c>
      <c r="BG775" s="23">
        <v>0.10368571810536763</v>
      </c>
      <c r="BH775" s="23">
        <v>8.4970330952544637E-2</v>
      </c>
      <c r="BI775" s="23">
        <v>8.4593878877262704E-2</v>
      </c>
      <c r="BJ775" s="23">
        <v>5.7447105462779965E-2</v>
      </c>
      <c r="BK775" s="23">
        <v>8.5153852345557474E-2</v>
      </c>
      <c r="BL775" s="23">
        <v>7.4158058913035174E-2</v>
      </c>
      <c r="BM775" s="23">
        <v>7.5718189192107169E-2</v>
      </c>
      <c r="BN775" s="23">
        <v>7.3955559365675619E-2</v>
      </c>
    </row>
    <row r="776" spans="1:66" x14ac:dyDescent="0.25">
      <c r="A776" s="16">
        <v>5489</v>
      </c>
      <c r="B776" s="16" t="s">
        <v>970</v>
      </c>
      <c r="C776" s="17">
        <v>0</v>
      </c>
      <c r="D776" s="17">
        <f t="shared" si="453"/>
        <v>0</v>
      </c>
      <c r="E776" s="17">
        <f t="shared" si="454"/>
        <v>0</v>
      </c>
      <c r="F776" s="17">
        <f t="shared" si="455"/>
        <v>0</v>
      </c>
      <c r="G776" s="17">
        <f t="shared" si="456"/>
        <v>0</v>
      </c>
      <c r="H776" s="17">
        <f t="shared" si="457"/>
        <v>0</v>
      </c>
      <c r="I776" s="17">
        <f t="shared" si="458"/>
        <v>0</v>
      </c>
      <c r="J776" s="17">
        <f t="shared" si="459"/>
        <v>0</v>
      </c>
      <c r="K776" s="17">
        <f t="shared" si="460"/>
        <v>0</v>
      </c>
      <c r="L776" s="17">
        <f t="shared" si="461"/>
        <v>0</v>
      </c>
      <c r="M776" s="17">
        <f t="shared" si="462"/>
        <v>0</v>
      </c>
      <c r="N776" s="17">
        <f t="shared" si="463"/>
        <v>0</v>
      </c>
      <c r="O776" s="17">
        <f t="shared" si="464"/>
        <v>0</v>
      </c>
      <c r="P776" s="17">
        <v>0</v>
      </c>
      <c r="Q776" s="17">
        <f t="shared" si="465"/>
        <v>0</v>
      </c>
      <c r="R776" s="17">
        <f t="shared" si="466"/>
        <v>0</v>
      </c>
      <c r="S776" s="17">
        <f t="shared" si="467"/>
        <v>0</v>
      </c>
      <c r="T776" s="17">
        <f t="shared" si="468"/>
        <v>0</v>
      </c>
      <c r="U776" s="17">
        <f t="shared" si="469"/>
        <v>0</v>
      </c>
      <c r="V776" s="17">
        <f t="shared" si="470"/>
        <v>0</v>
      </c>
      <c r="W776" s="17">
        <f t="shared" si="471"/>
        <v>0</v>
      </c>
      <c r="X776" s="17">
        <f t="shared" si="472"/>
        <v>0</v>
      </c>
      <c r="Y776" s="17">
        <f t="shared" si="473"/>
        <v>0</v>
      </c>
      <c r="Z776" s="17">
        <f t="shared" si="474"/>
        <v>0</v>
      </c>
      <c r="AA776" s="17">
        <f t="shared" si="475"/>
        <v>0</v>
      </c>
      <c r="AB776" s="17">
        <f t="shared" si="476"/>
        <v>0</v>
      </c>
      <c r="AC776" s="17">
        <v>0</v>
      </c>
      <c r="AD776" s="17">
        <f t="shared" si="477"/>
        <v>0</v>
      </c>
      <c r="AE776" s="17">
        <f t="shared" si="478"/>
        <v>0</v>
      </c>
      <c r="AF776" s="17">
        <f t="shared" si="479"/>
        <v>0</v>
      </c>
      <c r="AG776" s="17">
        <f t="shared" si="480"/>
        <v>0</v>
      </c>
      <c r="AH776" s="17">
        <f t="shared" si="481"/>
        <v>0</v>
      </c>
      <c r="AI776" s="17">
        <f t="shared" si="482"/>
        <v>0</v>
      </c>
      <c r="AJ776" s="17">
        <f t="shared" si="483"/>
        <v>0</v>
      </c>
      <c r="AK776" s="17">
        <f t="shared" si="484"/>
        <v>0</v>
      </c>
      <c r="AL776" s="17">
        <f t="shared" si="485"/>
        <v>0</v>
      </c>
      <c r="AM776" s="17">
        <f t="shared" si="486"/>
        <v>0</v>
      </c>
      <c r="AN776" s="17">
        <f t="shared" si="487"/>
        <v>0</v>
      </c>
      <c r="AO776" s="17">
        <f t="shared" si="488"/>
        <v>0</v>
      </c>
      <c r="AP776" s="17">
        <f t="shared" si="489"/>
        <v>0</v>
      </c>
      <c r="AQ776" s="18">
        <v>0</v>
      </c>
      <c r="AR776" s="18">
        <v>0</v>
      </c>
      <c r="AS776" s="18">
        <v>0</v>
      </c>
      <c r="AT776" s="18">
        <v>0</v>
      </c>
      <c r="AU776" s="18">
        <v>0</v>
      </c>
      <c r="AV776" s="18">
        <v>0</v>
      </c>
      <c r="AW776" s="18">
        <v>0</v>
      </c>
      <c r="AX776" s="18">
        <v>0</v>
      </c>
      <c r="AY776" s="18">
        <v>0</v>
      </c>
      <c r="AZ776" s="18">
        <v>0</v>
      </c>
      <c r="BA776" s="18">
        <v>0</v>
      </c>
      <c r="BB776" s="18">
        <v>0</v>
      </c>
      <c r="BC776" s="23">
        <v>8.9181565948742242E-2</v>
      </c>
      <c r="BD776" s="23">
        <v>0.10665277883445198</v>
      </c>
      <c r="BE776" s="23">
        <v>9.438849084854764E-2</v>
      </c>
      <c r="BF776" s="23">
        <v>7.149564986855049E-2</v>
      </c>
      <c r="BG776" s="23">
        <v>0.10368571810536763</v>
      </c>
      <c r="BH776" s="23">
        <v>8.4970330952544637E-2</v>
      </c>
      <c r="BI776" s="23">
        <v>8.4593878877262704E-2</v>
      </c>
      <c r="BJ776" s="23">
        <v>5.7447105462779965E-2</v>
      </c>
      <c r="BK776" s="23">
        <v>8.5153852345557474E-2</v>
      </c>
      <c r="BL776" s="23">
        <v>7.4158058913035174E-2</v>
      </c>
      <c r="BM776" s="23">
        <v>7.5718189192107169E-2</v>
      </c>
      <c r="BN776" s="23">
        <v>7.3955559365675619E-2</v>
      </c>
    </row>
    <row r="777" spans="1:66" x14ac:dyDescent="0.25">
      <c r="A777" s="16">
        <v>5492</v>
      </c>
      <c r="B777" s="16" t="s">
        <v>971</v>
      </c>
      <c r="C777" s="17">
        <v>0</v>
      </c>
      <c r="D777" s="17">
        <f t="shared" si="453"/>
        <v>0</v>
      </c>
      <c r="E777" s="17">
        <f t="shared" si="454"/>
        <v>0</v>
      </c>
      <c r="F777" s="17">
        <f t="shared" si="455"/>
        <v>0</v>
      </c>
      <c r="G777" s="17">
        <f t="shared" si="456"/>
        <v>0</v>
      </c>
      <c r="H777" s="17">
        <f t="shared" si="457"/>
        <v>0</v>
      </c>
      <c r="I777" s="17">
        <f t="shared" si="458"/>
        <v>0</v>
      </c>
      <c r="J777" s="17">
        <f t="shared" si="459"/>
        <v>0</v>
      </c>
      <c r="K777" s="17">
        <f t="shared" si="460"/>
        <v>0</v>
      </c>
      <c r="L777" s="17">
        <f t="shared" si="461"/>
        <v>0</v>
      </c>
      <c r="M777" s="17">
        <f t="shared" si="462"/>
        <v>0</v>
      </c>
      <c r="N777" s="17">
        <f t="shared" si="463"/>
        <v>0</v>
      </c>
      <c r="O777" s="17">
        <f t="shared" si="464"/>
        <v>0</v>
      </c>
      <c r="P777" s="17">
        <v>0</v>
      </c>
      <c r="Q777" s="17">
        <f t="shared" si="465"/>
        <v>0</v>
      </c>
      <c r="R777" s="17">
        <f t="shared" si="466"/>
        <v>0</v>
      </c>
      <c r="S777" s="17">
        <f t="shared" si="467"/>
        <v>0</v>
      </c>
      <c r="T777" s="17">
        <f t="shared" si="468"/>
        <v>0</v>
      </c>
      <c r="U777" s="17">
        <f t="shared" si="469"/>
        <v>0</v>
      </c>
      <c r="V777" s="17">
        <f t="shared" si="470"/>
        <v>0</v>
      </c>
      <c r="W777" s="17">
        <f t="shared" si="471"/>
        <v>0</v>
      </c>
      <c r="X777" s="17">
        <f t="shared" si="472"/>
        <v>0</v>
      </c>
      <c r="Y777" s="17">
        <f t="shared" si="473"/>
        <v>0</v>
      </c>
      <c r="Z777" s="17">
        <f t="shared" si="474"/>
        <v>0</v>
      </c>
      <c r="AA777" s="17">
        <f t="shared" si="475"/>
        <v>0</v>
      </c>
      <c r="AB777" s="17">
        <f t="shared" si="476"/>
        <v>0</v>
      </c>
      <c r="AC777" s="17">
        <v>0</v>
      </c>
      <c r="AD777" s="17">
        <f t="shared" si="477"/>
        <v>0</v>
      </c>
      <c r="AE777" s="17">
        <f t="shared" si="478"/>
        <v>0</v>
      </c>
      <c r="AF777" s="17">
        <f t="shared" si="479"/>
        <v>0</v>
      </c>
      <c r="AG777" s="17">
        <f t="shared" si="480"/>
        <v>0</v>
      </c>
      <c r="AH777" s="17">
        <f t="shared" si="481"/>
        <v>0</v>
      </c>
      <c r="AI777" s="17">
        <f t="shared" si="482"/>
        <v>0</v>
      </c>
      <c r="AJ777" s="17">
        <f t="shared" si="483"/>
        <v>0</v>
      </c>
      <c r="AK777" s="17">
        <f t="shared" si="484"/>
        <v>0</v>
      </c>
      <c r="AL777" s="17">
        <f t="shared" si="485"/>
        <v>0</v>
      </c>
      <c r="AM777" s="17">
        <f t="shared" si="486"/>
        <v>0</v>
      </c>
      <c r="AN777" s="17">
        <f t="shared" si="487"/>
        <v>0</v>
      </c>
      <c r="AO777" s="17">
        <f t="shared" si="488"/>
        <v>0</v>
      </c>
      <c r="AP777" s="17">
        <f t="shared" si="489"/>
        <v>0</v>
      </c>
      <c r="AQ777" s="18">
        <v>0</v>
      </c>
      <c r="AR777" s="18">
        <v>0</v>
      </c>
      <c r="AS777" s="18">
        <v>0</v>
      </c>
      <c r="AT777" s="18">
        <v>0</v>
      </c>
      <c r="AU777" s="18">
        <v>0</v>
      </c>
      <c r="AV777" s="18">
        <v>0</v>
      </c>
      <c r="AW777" s="18">
        <v>0</v>
      </c>
      <c r="AX777" s="18">
        <v>0</v>
      </c>
      <c r="AY777" s="18">
        <v>0</v>
      </c>
      <c r="AZ777" s="18">
        <v>0</v>
      </c>
      <c r="BA777" s="18">
        <v>0</v>
      </c>
      <c r="BB777" s="18">
        <v>0</v>
      </c>
      <c r="BC777" s="23">
        <v>8.9181565948742242E-2</v>
      </c>
      <c r="BD777" s="23">
        <v>0.10665277883445198</v>
      </c>
      <c r="BE777" s="23">
        <v>9.438849084854764E-2</v>
      </c>
      <c r="BF777" s="23">
        <v>7.149564986855049E-2</v>
      </c>
      <c r="BG777" s="23">
        <v>0.10368571810536763</v>
      </c>
      <c r="BH777" s="23">
        <v>8.4970330952544637E-2</v>
      </c>
      <c r="BI777" s="23">
        <v>8.4593878877262704E-2</v>
      </c>
      <c r="BJ777" s="23">
        <v>5.7447105462779965E-2</v>
      </c>
      <c r="BK777" s="23">
        <v>8.5153852345557474E-2</v>
      </c>
      <c r="BL777" s="23">
        <v>7.4158058913035174E-2</v>
      </c>
      <c r="BM777" s="23">
        <v>7.5718189192107169E-2</v>
      </c>
      <c r="BN777" s="23">
        <v>7.3955559365675619E-2</v>
      </c>
    </row>
    <row r="778" spans="1:66" x14ac:dyDescent="0.25">
      <c r="A778" s="16">
        <v>5493</v>
      </c>
      <c r="B778" s="16" t="s">
        <v>972</v>
      </c>
      <c r="C778" s="17">
        <v>0</v>
      </c>
      <c r="D778" s="17">
        <f t="shared" si="453"/>
        <v>0</v>
      </c>
      <c r="E778" s="17">
        <f t="shared" si="454"/>
        <v>0</v>
      </c>
      <c r="F778" s="17">
        <f t="shared" si="455"/>
        <v>0</v>
      </c>
      <c r="G778" s="17">
        <f t="shared" si="456"/>
        <v>0</v>
      </c>
      <c r="H778" s="17">
        <f t="shared" si="457"/>
        <v>0</v>
      </c>
      <c r="I778" s="17">
        <f t="shared" si="458"/>
        <v>0</v>
      </c>
      <c r="J778" s="17">
        <f t="shared" si="459"/>
        <v>0</v>
      </c>
      <c r="K778" s="17">
        <f t="shared" si="460"/>
        <v>0</v>
      </c>
      <c r="L778" s="17">
        <f t="shared" si="461"/>
        <v>0</v>
      </c>
      <c r="M778" s="17">
        <f t="shared" si="462"/>
        <v>0</v>
      </c>
      <c r="N778" s="17">
        <f t="shared" si="463"/>
        <v>0</v>
      </c>
      <c r="O778" s="17">
        <f t="shared" si="464"/>
        <v>0</v>
      </c>
      <c r="P778" s="17">
        <v>0</v>
      </c>
      <c r="Q778" s="17">
        <f t="shared" si="465"/>
        <v>0</v>
      </c>
      <c r="R778" s="17">
        <f t="shared" si="466"/>
        <v>0</v>
      </c>
      <c r="S778" s="17">
        <f t="shared" si="467"/>
        <v>0</v>
      </c>
      <c r="T778" s="17">
        <f t="shared" si="468"/>
        <v>0</v>
      </c>
      <c r="U778" s="17">
        <f t="shared" si="469"/>
        <v>0</v>
      </c>
      <c r="V778" s="17">
        <f t="shared" si="470"/>
        <v>0</v>
      </c>
      <c r="W778" s="17">
        <f t="shared" si="471"/>
        <v>0</v>
      </c>
      <c r="X778" s="17">
        <f t="shared" si="472"/>
        <v>0</v>
      </c>
      <c r="Y778" s="17">
        <f t="shared" si="473"/>
        <v>0</v>
      </c>
      <c r="Z778" s="17">
        <f t="shared" si="474"/>
        <v>0</v>
      </c>
      <c r="AA778" s="17">
        <f t="shared" si="475"/>
        <v>0</v>
      </c>
      <c r="AB778" s="17">
        <f t="shared" si="476"/>
        <v>0</v>
      </c>
      <c r="AC778" s="17">
        <v>0</v>
      </c>
      <c r="AD778" s="17">
        <f t="shared" si="477"/>
        <v>0</v>
      </c>
      <c r="AE778" s="17">
        <f t="shared" si="478"/>
        <v>0</v>
      </c>
      <c r="AF778" s="17">
        <f t="shared" si="479"/>
        <v>0</v>
      </c>
      <c r="AG778" s="17">
        <f t="shared" si="480"/>
        <v>0</v>
      </c>
      <c r="AH778" s="17">
        <f t="shared" si="481"/>
        <v>0</v>
      </c>
      <c r="AI778" s="17">
        <f t="shared" si="482"/>
        <v>0</v>
      </c>
      <c r="AJ778" s="17">
        <f t="shared" si="483"/>
        <v>0</v>
      </c>
      <c r="AK778" s="17">
        <f t="shared" si="484"/>
        <v>0</v>
      </c>
      <c r="AL778" s="17">
        <f t="shared" si="485"/>
        <v>0</v>
      </c>
      <c r="AM778" s="17">
        <f t="shared" si="486"/>
        <v>0</v>
      </c>
      <c r="AN778" s="17">
        <f t="shared" si="487"/>
        <v>0</v>
      </c>
      <c r="AO778" s="17">
        <f t="shared" si="488"/>
        <v>0</v>
      </c>
      <c r="AP778" s="17">
        <f t="shared" si="489"/>
        <v>0</v>
      </c>
      <c r="AQ778" s="18">
        <v>0</v>
      </c>
      <c r="AR778" s="18">
        <v>0</v>
      </c>
      <c r="AS778" s="18">
        <v>0</v>
      </c>
      <c r="AT778" s="18">
        <v>0</v>
      </c>
      <c r="AU778" s="18">
        <v>0</v>
      </c>
      <c r="AV778" s="18">
        <v>0</v>
      </c>
      <c r="AW778" s="18">
        <v>0</v>
      </c>
      <c r="AX778" s="18">
        <v>0</v>
      </c>
      <c r="AY778" s="18">
        <v>0</v>
      </c>
      <c r="AZ778" s="18">
        <v>0</v>
      </c>
      <c r="BA778" s="18">
        <v>0</v>
      </c>
      <c r="BB778" s="18">
        <v>0</v>
      </c>
      <c r="BC778" s="23">
        <v>8.9181565948742242E-2</v>
      </c>
      <c r="BD778" s="23">
        <v>0.10665277883445198</v>
      </c>
      <c r="BE778" s="23">
        <v>9.438849084854764E-2</v>
      </c>
      <c r="BF778" s="23">
        <v>7.149564986855049E-2</v>
      </c>
      <c r="BG778" s="23">
        <v>0.10368571810536763</v>
      </c>
      <c r="BH778" s="23">
        <v>8.4970330952544637E-2</v>
      </c>
      <c r="BI778" s="23">
        <v>8.4593878877262704E-2</v>
      </c>
      <c r="BJ778" s="23">
        <v>5.7447105462779965E-2</v>
      </c>
      <c r="BK778" s="23">
        <v>8.5153852345557474E-2</v>
      </c>
      <c r="BL778" s="23">
        <v>7.4158058913035174E-2</v>
      </c>
      <c r="BM778" s="23">
        <v>7.5718189192107169E-2</v>
      </c>
      <c r="BN778" s="23">
        <v>7.3955559365675619E-2</v>
      </c>
    </row>
    <row r="779" spans="1:66" x14ac:dyDescent="0.25">
      <c r="A779" s="16">
        <v>5494</v>
      </c>
      <c r="B779" s="16" t="s">
        <v>973</v>
      </c>
      <c r="C779" s="17">
        <v>0</v>
      </c>
      <c r="D779" s="17">
        <f t="shared" si="453"/>
        <v>0</v>
      </c>
      <c r="E779" s="17">
        <f t="shared" si="454"/>
        <v>0</v>
      </c>
      <c r="F779" s="17">
        <f t="shared" si="455"/>
        <v>0</v>
      </c>
      <c r="G779" s="17">
        <f t="shared" si="456"/>
        <v>0</v>
      </c>
      <c r="H779" s="17">
        <f t="shared" si="457"/>
        <v>0</v>
      </c>
      <c r="I779" s="17">
        <f t="shared" si="458"/>
        <v>0</v>
      </c>
      <c r="J779" s="17">
        <f t="shared" si="459"/>
        <v>0</v>
      </c>
      <c r="K779" s="17">
        <f t="shared" si="460"/>
        <v>0</v>
      </c>
      <c r="L779" s="17">
        <f t="shared" si="461"/>
        <v>0</v>
      </c>
      <c r="M779" s="17">
        <f t="shared" si="462"/>
        <v>0</v>
      </c>
      <c r="N779" s="17">
        <f t="shared" si="463"/>
        <v>0</v>
      </c>
      <c r="O779" s="17">
        <f t="shared" si="464"/>
        <v>0</v>
      </c>
      <c r="P779" s="17">
        <v>0</v>
      </c>
      <c r="Q779" s="17">
        <f t="shared" si="465"/>
        <v>0</v>
      </c>
      <c r="R779" s="17">
        <f t="shared" si="466"/>
        <v>0</v>
      </c>
      <c r="S779" s="17">
        <f t="shared" si="467"/>
        <v>0</v>
      </c>
      <c r="T779" s="17">
        <f t="shared" si="468"/>
        <v>0</v>
      </c>
      <c r="U779" s="17">
        <f t="shared" si="469"/>
        <v>0</v>
      </c>
      <c r="V779" s="17">
        <f t="shared" si="470"/>
        <v>0</v>
      </c>
      <c r="W779" s="17">
        <f t="shared" si="471"/>
        <v>0</v>
      </c>
      <c r="X779" s="17">
        <f t="shared" si="472"/>
        <v>0</v>
      </c>
      <c r="Y779" s="17">
        <f t="shared" si="473"/>
        <v>0</v>
      </c>
      <c r="Z779" s="17">
        <f t="shared" si="474"/>
        <v>0</v>
      </c>
      <c r="AA779" s="17">
        <f t="shared" si="475"/>
        <v>0</v>
      </c>
      <c r="AB779" s="17">
        <f t="shared" si="476"/>
        <v>0</v>
      </c>
      <c r="AC779" s="17">
        <v>0</v>
      </c>
      <c r="AD779" s="17">
        <f t="shared" si="477"/>
        <v>0</v>
      </c>
      <c r="AE779" s="17">
        <f t="shared" si="478"/>
        <v>0</v>
      </c>
      <c r="AF779" s="17">
        <f t="shared" si="479"/>
        <v>0</v>
      </c>
      <c r="AG779" s="17">
        <f t="shared" si="480"/>
        <v>0</v>
      </c>
      <c r="AH779" s="17">
        <f t="shared" si="481"/>
        <v>0</v>
      </c>
      <c r="AI779" s="17">
        <f t="shared" si="482"/>
        <v>0</v>
      </c>
      <c r="AJ779" s="17">
        <f t="shared" si="483"/>
        <v>0</v>
      </c>
      <c r="AK779" s="17">
        <f t="shared" si="484"/>
        <v>0</v>
      </c>
      <c r="AL779" s="17">
        <f t="shared" si="485"/>
        <v>0</v>
      </c>
      <c r="AM779" s="17">
        <f t="shared" si="486"/>
        <v>0</v>
      </c>
      <c r="AN779" s="17">
        <f t="shared" si="487"/>
        <v>0</v>
      </c>
      <c r="AO779" s="17">
        <f t="shared" si="488"/>
        <v>0</v>
      </c>
      <c r="AP779" s="17">
        <f t="shared" si="489"/>
        <v>0</v>
      </c>
      <c r="AQ779" s="18">
        <v>0</v>
      </c>
      <c r="AR779" s="18">
        <v>0</v>
      </c>
      <c r="AS779" s="18">
        <v>0</v>
      </c>
      <c r="AT779" s="18">
        <v>0</v>
      </c>
      <c r="AU779" s="18">
        <v>0</v>
      </c>
      <c r="AV779" s="18">
        <v>0</v>
      </c>
      <c r="AW779" s="18">
        <v>0</v>
      </c>
      <c r="AX779" s="18">
        <v>0</v>
      </c>
      <c r="AY779" s="18">
        <v>0</v>
      </c>
      <c r="AZ779" s="18">
        <v>0</v>
      </c>
      <c r="BA779" s="18">
        <v>0</v>
      </c>
      <c r="BB779" s="18">
        <v>0</v>
      </c>
      <c r="BC779" s="23">
        <v>8.9181565948742242E-2</v>
      </c>
      <c r="BD779" s="23">
        <v>0.10665277883445198</v>
      </c>
      <c r="BE779" s="23">
        <v>9.438849084854764E-2</v>
      </c>
      <c r="BF779" s="23">
        <v>7.149564986855049E-2</v>
      </c>
      <c r="BG779" s="23">
        <v>0.10368571810536763</v>
      </c>
      <c r="BH779" s="23">
        <v>8.4970330952544637E-2</v>
      </c>
      <c r="BI779" s="23">
        <v>8.4593878877262704E-2</v>
      </c>
      <c r="BJ779" s="23">
        <v>5.7447105462779965E-2</v>
      </c>
      <c r="BK779" s="23">
        <v>8.5153852345557474E-2</v>
      </c>
      <c r="BL779" s="23">
        <v>7.4158058913035174E-2</v>
      </c>
      <c r="BM779" s="23">
        <v>7.5718189192107169E-2</v>
      </c>
      <c r="BN779" s="23">
        <v>7.3955559365675619E-2</v>
      </c>
    </row>
    <row r="780" spans="1:66" x14ac:dyDescent="0.25">
      <c r="A780" s="16">
        <v>5495</v>
      </c>
      <c r="B780" s="16" t="s">
        <v>974</v>
      </c>
      <c r="C780" s="17">
        <v>0</v>
      </c>
      <c r="D780" s="17">
        <f t="shared" si="453"/>
        <v>0</v>
      </c>
      <c r="E780" s="17">
        <f t="shared" si="454"/>
        <v>0</v>
      </c>
      <c r="F780" s="17">
        <f t="shared" si="455"/>
        <v>0</v>
      </c>
      <c r="G780" s="17">
        <f t="shared" si="456"/>
        <v>0</v>
      </c>
      <c r="H780" s="17">
        <f t="shared" si="457"/>
        <v>0</v>
      </c>
      <c r="I780" s="17">
        <f t="shared" si="458"/>
        <v>0</v>
      </c>
      <c r="J780" s="17">
        <f t="shared" si="459"/>
        <v>0</v>
      </c>
      <c r="K780" s="17">
        <f t="shared" si="460"/>
        <v>0</v>
      </c>
      <c r="L780" s="17">
        <f t="shared" si="461"/>
        <v>0</v>
      </c>
      <c r="M780" s="17">
        <f t="shared" si="462"/>
        <v>0</v>
      </c>
      <c r="N780" s="17">
        <f t="shared" si="463"/>
        <v>0</v>
      </c>
      <c r="O780" s="17">
        <f t="shared" si="464"/>
        <v>0</v>
      </c>
      <c r="P780" s="17">
        <v>0</v>
      </c>
      <c r="Q780" s="17">
        <f t="shared" si="465"/>
        <v>0</v>
      </c>
      <c r="R780" s="17">
        <f t="shared" si="466"/>
        <v>0</v>
      </c>
      <c r="S780" s="17">
        <f t="shared" si="467"/>
        <v>0</v>
      </c>
      <c r="T780" s="17">
        <f t="shared" si="468"/>
        <v>0</v>
      </c>
      <c r="U780" s="17">
        <f t="shared" si="469"/>
        <v>0</v>
      </c>
      <c r="V780" s="17">
        <f t="shared" si="470"/>
        <v>0</v>
      </c>
      <c r="W780" s="17">
        <f t="shared" si="471"/>
        <v>0</v>
      </c>
      <c r="X780" s="17">
        <f t="shared" si="472"/>
        <v>0</v>
      </c>
      <c r="Y780" s="17">
        <f t="shared" si="473"/>
        <v>0</v>
      </c>
      <c r="Z780" s="17">
        <f t="shared" si="474"/>
        <v>0</v>
      </c>
      <c r="AA780" s="17">
        <f t="shared" si="475"/>
        <v>0</v>
      </c>
      <c r="AB780" s="17">
        <f t="shared" si="476"/>
        <v>0</v>
      </c>
      <c r="AC780" s="17">
        <v>0</v>
      </c>
      <c r="AD780" s="17">
        <f t="shared" si="477"/>
        <v>0</v>
      </c>
      <c r="AE780" s="17">
        <f t="shared" si="478"/>
        <v>0</v>
      </c>
      <c r="AF780" s="17">
        <f t="shared" si="479"/>
        <v>0</v>
      </c>
      <c r="AG780" s="17">
        <f t="shared" si="480"/>
        <v>0</v>
      </c>
      <c r="AH780" s="17">
        <f t="shared" si="481"/>
        <v>0</v>
      </c>
      <c r="AI780" s="17">
        <f t="shared" si="482"/>
        <v>0</v>
      </c>
      <c r="AJ780" s="17">
        <f t="shared" si="483"/>
        <v>0</v>
      </c>
      <c r="AK780" s="17">
        <f t="shared" si="484"/>
        <v>0</v>
      </c>
      <c r="AL780" s="17">
        <f t="shared" si="485"/>
        <v>0</v>
      </c>
      <c r="AM780" s="17">
        <f t="shared" si="486"/>
        <v>0</v>
      </c>
      <c r="AN780" s="17">
        <f t="shared" si="487"/>
        <v>0</v>
      </c>
      <c r="AO780" s="17">
        <f t="shared" si="488"/>
        <v>0</v>
      </c>
      <c r="AP780" s="17">
        <f t="shared" si="489"/>
        <v>0</v>
      </c>
      <c r="AQ780" s="18">
        <v>41.545232497221576</v>
      </c>
      <c r="AR780" s="18">
        <v>49.684197020029458</v>
      </c>
      <c r="AS780" s="18">
        <v>43.97087846179592</v>
      </c>
      <c r="AT780" s="18">
        <v>33.306248491264249</v>
      </c>
      <c r="AU780" s="18">
        <v>48.30199177938551</v>
      </c>
      <c r="AV780" s="18">
        <v>39.583428674242924</v>
      </c>
      <c r="AW780" s="18">
        <v>39.408058474972833</v>
      </c>
      <c r="AX780" s="18">
        <v>26.761734079836049</v>
      </c>
      <c r="AY780" s="18">
        <v>39.668922115177949</v>
      </c>
      <c r="AZ780" s="18">
        <v>34.546531744637434</v>
      </c>
      <c r="BA780" s="18">
        <v>35.273318435143125</v>
      </c>
      <c r="BB780" s="18">
        <v>34.452197330499992</v>
      </c>
      <c r="BC780" s="23">
        <v>8.9181565948742242E-2</v>
      </c>
      <c r="BD780" s="23">
        <v>0.10665277883445198</v>
      </c>
      <c r="BE780" s="23">
        <v>9.438849084854764E-2</v>
      </c>
      <c r="BF780" s="23">
        <v>7.149564986855049E-2</v>
      </c>
      <c r="BG780" s="23">
        <v>0.10368571810536763</v>
      </c>
      <c r="BH780" s="23">
        <v>8.4970330952544637E-2</v>
      </c>
      <c r="BI780" s="23">
        <v>8.4593878877262704E-2</v>
      </c>
      <c r="BJ780" s="23">
        <v>5.7447105462779965E-2</v>
      </c>
      <c r="BK780" s="23">
        <v>8.5153852345557474E-2</v>
      </c>
      <c r="BL780" s="23">
        <v>7.4158058913035174E-2</v>
      </c>
      <c r="BM780" s="23">
        <v>7.5718189192107169E-2</v>
      </c>
      <c r="BN780" s="23">
        <v>7.3955559365675619E-2</v>
      </c>
    </row>
    <row r="781" spans="1:66" x14ac:dyDescent="0.25">
      <c r="A781" s="16">
        <v>5497</v>
      </c>
      <c r="B781" s="16" t="s">
        <v>975</v>
      </c>
      <c r="C781" s="17">
        <v>0</v>
      </c>
      <c r="D781" s="17">
        <f t="shared" si="453"/>
        <v>0</v>
      </c>
      <c r="E781" s="17">
        <f t="shared" si="454"/>
        <v>0</v>
      </c>
      <c r="F781" s="17">
        <f t="shared" si="455"/>
        <v>0</v>
      </c>
      <c r="G781" s="17">
        <f t="shared" si="456"/>
        <v>0</v>
      </c>
      <c r="H781" s="17">
        <f t="shared" si="457"/>
        <v>0</v>
      </c>
      <c r="I781" s="17">
        <f t="shared" si="458"/>
        <v>0</v>
      </c>
      <c r="J781" s="17">
        <f t="shared" si="459"/>
        <v>0</v>
      </c>
      <c r="K781" s="17">
        <f t="shared" si="460"/>
        <v>0</v>
      </c>
      <c r="L781" s="17">
        <f t="shared" si="461"/>
        <v>0</v>
      </c>
      <c r="M781" s="17">
        <f t="shared" si="462"/>
        <v>0</v>
      </c>
      <c r="N781" s="17">
        <f t="shared" si="463"/>
        <v>0</v>
      </c>
      <c r="O781" s="17">
        <f t="shared" si="464"/>
        <v>0</v>
      </c>
      <c r="P781" s="17">
        <v>0</v>
      </c>
      <c r="Q781" s="17">
        <f t="shared" si="465"/>
        <v>0</v>
      </c>
      <c r="R781" s="17">
        <f t="shared" si="466"/>
        <v>0</v>
      </c>
      <c r="S781" s="17">
        <f t="shared" si="467"/>
        <v>0</v>
      </c>
      <c r="T781" s="17">
        <f t="shared" si="468"/>
        <v>0</v>
      </c>
      <c r="U781" s="17">
        <f t="shared" si="469"/>
        <v>0</v>
      </c>
      <c r="V781" s="17">
        <f t="shared" si="470"/>
        <v>0</v>
      </c>
      <c r="W781" s="17">
        <f t="shared" si="471"/>
        <v>0</v>
      </c>
      <c r="X781" s="17">
        <f t="shared" si="472"/>
        <v>0</v>
      </c>
      <c r="Y781" s="17">
        <f t="shared" si="473"/>
        <v>0</v>
      </c>
      <c r="Z781" s="17">
        <f t="shared" si="474"/>
        <v>0</v>
      </c>
      <c r="AA781" s="17">
        <f t="shared" si="475"/>
        <v>0</v>
      </c>
      <c r="AB781" s="17">
        <f t="shared" si="476"/>
        <v>0</v>
      </c>
      <c r="AC781" s="17">
        <v>0</v>
      </c>
      <c r="AD781" s="17">
        <f t="shared" si="477"/>
        <v>0</v>
      </c>
      <c r="AE781" s="17">
        <f t="shared" si="478"/>
        <v>0</v>
      </c>
      <c r="AF781" s="17">
        <f t="shared" si="479"/>
        <v>0</v>
      </c>
      <c r="AG781" s="17">
        <f t="shared" si="480"/>
        <v>0</v>
      </c>
      <c r="AH781" s="17">
        <f t="shared" si="481"/>
        <v>0</v>
      </c>
      <c r="AI781" s="17">
        <f t="shared" si="482"/>
        <v>0</v>
      </c>
      <c r="AJ781" s="17">
        <f t="shared" si="483"/>
        <v>0</v>
      </c>
      <c r="AK781" s="17">
        <f t="shared" si="484"/>
        <v>0</v>
      </c>
      <c r="AL781" s="17">
        <f t="shared" si="485"/>
        <v>0</v>
      </c>
      <c r="AM781" s="17">
        <f t="shared" si="486"/>
        <v>0</v>
      </c>
      <c r="AN781" s="17">
        <f t="shared" si="487"/>
        <v>0</v>
      </c>
      <c r="AO781" s="17">
        <f t="shared" si="488"/>
        <v>0</v>
      </c>
      <c r="AP781" s="17">
        <f t="shared" si="489"/>
        <v>0</v>
      </c>
      <c r="AQ781" s="18">
        <v>0</v>
      </c>
      <c r="AR781" s="18">
        <v>0</v>
      </c>
      <c r="AS781" s="18">
        <v>0</v>
      </c>
      <c r="AT781" s="18">
        <v>0</v>
      </c>
      <c r="AU781" s="18">
        <v>0</v>
      </c>
      <c r="AV781" s="18">
        <v>0</v>
      </c>
      <c r="AW781" s="18">
        <v>0</v>
      </c>
      <c r="AX781" s="18">
        <v>0</v>
      </c>
      <c r="AY781" s="18">
        <v>0</v>
      </c>
      <c r="AZ781" s="18">
        <v>0</v>
      </c>
      <c r="BA781" s="18">
        <v>0</v>
      </c>
      <c r="BB781" s="18">
        <v>0</v>
      </c>
      <c r="BC781" s="23">
        <v>8.9181565948742242E-2</v>
      </c>
      <c r="BD781" s="23">
        <v>0.10665277883445198</v>
      </c>
      <c r="BE781" s="23">
        <v>9.438849084854764E-2</v>
      </c>
      <c r="BF781" s="23">
        <v>7.149564986855049E-2</v>
      </c>
      <c r="BG781" s="23">
        <v>0.10368571810536763</v>
      </c>
      <c r="BH781" s="23">
        <v>8.4970330952544637E-2</v>
      </c>
      <c r="BI781" s="23">
        <v>8.4593878877262704E-2</v>
      </c>
      <c r="BJ781" s="23">
        <v>5.7447105462779965E-2</v>
      </c>
      <c r="BK781" s="23">
        <v>8.5153852345557474E-2</v>
      </c>
      <c r="BL781" s="23">
        <v>7.4158058913035174E-2</v>
      </c>
      <c r="BM781" s="23">
        <v>7.5718189192107169E-2</v>
      </c>
      <c r="BN781" s="23">
        <v>7.3955559365675619E-2</v>
      </c>
    </row>
    <row r="782" spans="1:66" x14ac:dyDescent="0.25">
      <c r="A782" s="16">
        <v>5498</v>
      </c>
      <c r="B782" s="16" t="s">
        <v>976</v>
      </c>
      <c r="C782" s="17">
        <v>0</v>
      </c>
      <c r="D782" s="17">
        <f t="shared" si="453"/>
        <v>0</v>
      </c>
      <c r="E782" s="17">
        <f t="shared" si="454"/>
        <v>0</v>
      </c>
      <c r="F782" s="17">
        <f t="shared" si="455"/>
        <v>0</v>
      </c>
      <c r="G782" s="17">
        <f t="shared" si="456"/>
        <v>0</v>
      </c>
      <c r="H782" s="17">
        <f t="shared" si="457"/>
        <v>0</v>
      </c>
      <c r="I782" s="17">
        <f t="shared" si="458"/>
        <v>0</v>
      </c>
      <c r="J782" s="17">
        <f t="shared" si="459"/>
        <v>0</v>
      </c>
      <c r="K782" s="17">
        <f t="shared" si="460"/>
        <v>0</v>
      </c>
      <c r="L782" s="17">
        <f t="shared" si="461"/>
        <v>0</v>
      </c>
      <c r="M782" s="17">
        <f t="shared" si="462"/>
        <v>0</v>
      </c>
      <c r="N782" s="17">
        <f t="shared" si="463"/>
        <v>0</v>
      </c>
      <c r="O782" s="17">
        <f t="shared" si="464"/>
        <v>0</v>
      </c>
      <c r="P782" s="17">
        <v>0</v>
      </c>
      <c r="Q782" s="17">
        <f t="shared" si="465"/>
        <v>0</v>
      </c>
      <c r="R782" s="17">
        <f t="shared" si="466"/>
        <v>0</v>
      </c>
      <c r="S782" s="17">
        <f t="shared" si="467"/>
        <v>0</v>
      </c>
      <c r="T782" s="17">
        <f t="shared" si="468"/>
        <v>0</v>
      </c>
      <c r="U782" s="17">
        <f t="shared" si="469"/>
        <v>0</v>
      </c>
      <c r="V782" s="17">
        <f t="shared" si="470"/>
        <v>0</v>
      </c>
      <c r="W782" s="17">
        <f t="shared" si="471"/>
        <v>0</v>
      </c>
      <c r="X782" s="17">
        <f t="shared" si="472"/>
        <v>0</v>
      </c>
      <c r="Y782" s="17">
        <f t="shared" si="473"/>
        <v>0</v>
      </c>
      <c r="Z782" s="17">
        <f t="shared" si="474"/>
        <v>0</v>
      </c>
      <c r="AA782" s="17">
        <f t="shared" si="475"/>
        <v>0</v>
      </c>
      <c r="AB782" s="17">
        <f t="shared" si="476"/>
        <v>0</v>
      </c>
      <c r="AC782" s="17">
        <v>0</v>
      </c>
      <c r="AD782" s="17">
        <f t="shared" si="477"/>
        <v>0</v>
      </c>
      <c r="AE782" s="17">
        <f t="shared" si="478"/>
        <v>0</v>
      </c>
      <c r="AF782" s="17">
        <f t="shared" si="479"/>
        <v>0</v>
      </c>
      <c r="AG782" s="17">
        <f t="shared" si="480"/>
        <v>0</v>
      </c>
      <c r="AH782" s="17">
        <f t="shared" si="481"/>
        <v>0</v>
      </c>
      <c r="AI782" s="17">
        <f t="shared" si="482"/>
        <v>0</v>
      </c>
      <c r="AJ782" s="17">
        <f t="shared" si="483"/>
        <v>0</v>
      </c>
      <c r="AK782" s="17">
        <f t="shared" si="484"/>
        <v>0</v>
      </c>
      <c r="AL782" s="17">
        <f t="shared" si="485"/>
        <v>0</v>
      </c>
      <c r="AM782" s="17">
        <f t="shared" si="486"/>
        <v>0</v>
      </c>
      <c r="AN782" s="17">
        <f t="shared" si="487"/>
        <v>0</v>
      </c>
      <c r="AO782" s="17">
        <f t="shared" si="488"/>
        <v>0</v>
      </c>
      <c r="AP782" s="17">
        <f t="shared" si="489"/>
        <v>0</v>
      </c>
      <c r="AQ782" s="18">
        <v>0</v>
      </c>
      <c r="AR782" s="18">
        <v>0</v>
      </c>
      <c r="AS782" s="18">
        <v>0</v>
      </c>
      <c r="AT782" s="18">
        <v>0</v>
      </c>
      <c r="AU782" s="18">
        <v>0</v>
      </c>
      <c r="AV782" s="18">
        <v>0</v>
      </c>
      <c r="AW782" s="18">
        <v>0</v>
      </c>
      <c r="AX782" s="18">
        <v>0</v>
      </c>
      <c r="AY782" s="18">
        <v>0</v>
      </c>
      <c r="AZ782" s="18">
        <v>0</v>
      </c>
      <c r="BA782" s="18">
        <v>0</v>
      </c>
      <c r="BB782" s="18">
        <v>0</v>
      </c>
      <c r="BC782" s="23">
        <v>8.9181565948742242E-2</v>
      </c>
      <c r="BD782" s="23">
        <v>0.10665277883445198</v>
      </c>
      <c r="BE782" s="23">
        <v>9.438849084854764E-2</v>
      </c>
      <c r="BF782" s="23">
        <v>7.149564986855049E-2</v>
      </c>
      <c r="BG782" s="23">
        <v>0.10368571810536763</v>
      </c>
      <c r="BH782" s="23">
        <v>8.4970330952544637E-2</v>
      </c>
      <c r="BI782" s="23">
        <v>8.4593878877262704E-2</v>
      </c>
      <c r="BJ782" s="23">
        <v>5.7447105462779965E-2</v>
      </c>
      <c r="BK782" s="23">
        <v>8.5153852345557474E-2</v>
      </c>
      <c r="BL782" s="23">
        <v>7.4158058913035174E-2</v>
      </c>
      <c r="BM782" s="23">
        <v>7.5718189192107169E-2</v>
      </c>
      <c r="BN782" s="23">
        <v>7.3955559365675619E-2</v>
      </c>
    </row>
    <row r="783" spans="1:66" x14ac:dyDescent="0.25">
      <c r="A783" s="16">
        <v>5500</v>
      </c>
      <c r="B783" s="16" t="s">
        <v>977</v>
      </c>
      <c r="C783" s="17">
        <v>0</v>
      </c>
      <c r="D783" s="17">
        <f t="shared" si="453"/>
        <v>0</v>
      </c>
      <c r="E783" s="17">
        <f t="shared" si="454"/>
        <v>0</v>
      </c>
      <c r="F783" s="17">
        <f t="shared" si="455"/>
        <v>0</v>
      </c>
      <c r="G783" s="17">
        <f t="shared" si="456"/>
        <v>0</v>
      </c>
      <c r="H783" s="17">
        <f t="shared" si="457"/>
        <v>0</v>
      </c>
      <c r="I783" s="17">
        <f t="shared" si="458"/>
        <v>0</v>
      </c>
      <c r="J783" s="17">
        <f t="shared" si="459"/>
        <v>0</v>
      </c>
      <c r="K783" s="17">
        <f t="shared" si="460"/>
        <v>0</v>
      </c>
      <c r="L783" s="17">
        <f t="shared" si="461"/>
        <v>0</v>
      </c>
      <c r="M783" s="17">
        <f t="shared" si="462"/>
        <v>0</v>
      </c>
      <c r="N783" s="17">
        <f t="shared" si="463"/>
        <v>0</v>
      </c>
      <c r="O783" s="17">
        <f t="shared" si="464"/>
        <v>0</v>
      </c>
      <c r="P783" s="17">
        <v>0</v>
      </c>
      <c r="Q783" s="17">
        <f t="shared" si="465"/>
        <v>0</v>
      </c>
      <c r="R783" s="17">
        <f t="shared" si="466"/>
        <v>0</v>
      </c>
      <c r="S783" s="17">
        <f t="shared" si="467"/>
        <v>0</v>
      </c>
      <c r="T783" s="17">
        <f t="shared" si="468"/>
        <v>0</v>
      </c>
      <c r="U783" s="17">
        <f t="shared" si="469"/>
        <v>0</v>
      </c>
      <c r="V783" s="17">
        <f t="shared" si="470"/>
        <v>0</v>
      </c>
      <c r="W783" s="17">
        <f t="shared" si="471"/>
        <v>0</v>
      </c>
      <c r="X783" s="17">
        <f t="shared" si="472"/>
        <v>0</v>
      </c>
      <c r="Y783" s="17">
        <f t="shared" si="473"/>
        <v>0</v>
      </c>
      <c r="Z783" s="17">
        <f t="shared" si="474"/>
        <v>0</v>
      </c>
      <c r="AA783" s="17">
        <f t="shared" si="475"/>
        <v>0</v>
      </c>
      <c r="AB783" s="17">
        <f t="shared" si="476"/>
        <v>0</v>
      </c>
      <c r="AC783" s="17">
        <v>0</v>
      </c>
      <c r="AD783" s="17">
        <f t="shared" si="477"/>
        <v>0</v>
      </c>
      <c r="AE783" s="17">
        <f t="shared" si="478"/>
        <v>0</v>
      </c>
      <c r="AF783" s="17">
        <f t="shared" si="479"/>
        <v>0</v>
      </c>
      <c r="AG783" s="17">
        <f t="shared" si="480"/>
        <v>0</v>
      </c>
      <c r="AH783" s="17">
        <f t="shared" si="481"/>
        <v>0</v>
      </c>
      <c r="AI783" s="17">
        <f t="shared" si="482"/>
        <v>0</v>
      </c>
      <c r="AJ783" s="17">
        <f t="shared" si="483"/>
        <v>0</v>
      </c>
      <c r="AK783" s="17">
        <f t="shared" si="484"/>
        <v>0</v>
      </c>
      <c r="AL783" s="17">
        <f t="shared" si="485"/>
        <v>0</v>
      </c>
      <c r="AM783" s="17">
        <f t="shared" si="486"/>
        <v>0</v>
      </c>
      <c r="AN783" s="17">
        <f t="shared" si="487"/>
        <v>0</v>
      </c>
      <c r="AO783" s="17">
        <f t="shared" si="488"/>
        <v>0</v>
      </c>
      <c r="AP783" s="17">
        <f t="shared" si="489"/>
        <v>0</v>
      </c>
      <c r="AQ783" s="18">
        <v>0</v>
      </c>
      <c r="AR783" s="18">
        <v>0</v>
      </c>
      <c r="AS783" s="18">
        <v>0</v>
      </c>
      <c r="AT783" s="18">
        <v>0</v>
      </c>
      <c r="AU783" s="18">
        <v>0</v>
      </c>
      <c r="AV783" s="18">
        <v>0</v>
      </c>
      <c r="AW783" s="18">
        <v>0</v>
      </c>
      <c r="AX783" s="18">
        <v>0</v>
      </c>
      <c r="AY783" s="18">
        <v>0</v>
      </c>
      <c r="AZ783" s="18">
        <v>0</v>
      </c>
      <c r="BA783" s="18">
        <v>0</v>
      </c>
      <c r="BB783" s="18">
        <v>0</v>
      </c>
      <c r="BC783" s="23">
        <v>8.9181565948742242E-2</v>
      </c>
      <c r="BD783" s="23">
        <v>0.10665277883445198</v>
      </c>
      <c r="BE783" s="23">
        <v>9.438849084854764E-2</v>
      </c>
      <c r="BF783" s="23">
        <v>7.149564986855049E-2</v>
      </c>
      <c r="BG783" s="23">
        <v>0.10368571810536763</v>
      </c>
      <c r="BH783" s="23">
        <v>8.4970330952544637E-2</v>
      </c>
      <c r="BI783" s="23">
        <v>8.4593878877262704E-2</v>
      </c>
      <c r="BJ783" s="23">
        <v>5.7447105462779965E-2</v>
      </c>
      <c r="BK783" s="23">
        <v>8.5153852345557474E-2</v>
      </c>
      <c r="BL783" s="23">
        <v>7.4158058913035174E-2</v>
      </c>
      <c r="BM783" s="23">
        <v>7.5718189192107169E-2</v>
      </c>
      <c r="BN783" s="23">
        <v>7.3955559365675619E-2</v>
      </c>
    </row>
    <row r="784" spans="1:66" x14ac:dyDescent="0.25">
      <c r="A784" s="16">
        <v>5502</v>
      </c>
      <c r="B784" s="16" t="s">
        <v>978</v>
      </c>
      <c r="C784" s="17">
        <v>0</v>
      </c>
      <c r="D784" s="17">
        <f t="shared" si="453"/>
        <v>0</v>
      </c>
      <c r="E784" s="17">
        <f t="shared" si="454"/>
        <v>0</v>
      </c>
      <c r="F784" s="17">
        <f t="shared" si="455"/>
        <v>0</v>
      </c>
      <c r="G784" s="17">
        <f t="shared" si="456"/>
        <v>0</v>
      </c>
      <c r="H784" s="17">
        <f t="shared" si="457"/>
        <v>0</v>
      </c>
      <c r="I784" s="17">
        <f t="shared" si="458"/>
        <v>0</v>
      </c>
      <c r="J784" s="17">
        <f t="shared" si="459"/>
        <v>0</v>
      </c>
      <c r="K784" s="17">
        <f t="shared" si="460"/>
        <v>0</v>
      </c>
      <c r="L784" s="17">
        <f t="shared" si="461"/>
        <v>0</v>
      </c>
      <c r="M784" s="17">
        <f t="shared" si="462"/>
        <v>0</v>
      </c>
      <c r="N784" s="17">
        <f t="shared" si="463"/>
        <v>0</v>
      </c>
      <c r="O784" s="17">
        <f t="shared" si="464"/>
        <v>0</v>
      </c>
      <c r="P784" s="17">
        <v>0</v>
      </c>
      <c r="Q784" s="17">
        <f t="shared" si="465"/>
        <v>0</v>
      </c>
      <c r="R784" s="17">
        <f t="shared" si="466"/>
        <v>0</v>
      </c>
      <c r="S784" s="17">
        <f t="shared" si="467"/>
        <v>0</v>
      </c>
      <c r="T784" s="17">
        <f t="shared" si="468"/>
        <v>0</v>
      </c>
      <c r="U784" s="17">
        <f t="shared" si="469"/>
        <v>0</v>
      </c>
      <c r="V784" s="17">
        <f t="shared" si="470"/>
        <v>0</v>
      </c>
      <c r="W784" s="17">
        <f t="shared" si="471"/>
        <v>0</v>
      </c>
      <c r="X784" s="17">
        <f t="shared" si="472"/>
        <v>0</v>
      </c>
      <c r="Y784" s="17">
        <f t="shared" si="473"/>
        <v>0</v>
      </c>
      <c r="Z784" s="17">
        <f t="shared" si="474"/>
        <v>0</v>
      </c>
      <c r="AA784" s="17">
        <f t="shared" si="475"/>
        <v>0</v>
      </c>
      <c r="AB784" s="17">
        <f t="shared" si="476"/>
        <v>0</v>
      </c>
      <c r="AC784" s="17">
        <v>0</v>
      </c>
      <c r="AD784" s="17">
        <f t="shared" si="477"/>
        <v>0</v>
      </c>
      <c r="AE784" s="17">
        <f t="shared" si="478"/>
        <v>0</v>
      </c>
      <c r="AF784" s="17">
        <f t="shared" si="479"/>
        <v>0</v>
      </c>
      <c r="AG784" s="17">
        <f t="shared" si="480"/>
        <v>0</v>
      </c>
      <c r="AH784" s="17">
        <f t="shared" si="481"/>
        <v>0</v>
      </c>
      <c r="AI784" s="17">
        <f t="shared" si="482"/>
        <v>0</v>
      </c>
      <c r="AJ784" s="17">
        <f t="shared" si="483"/>
        <v>0</v>
      </c>
      <c r="AK784" s="17">
        <f t="shared" si="484"/>
        <v>0</v>
      </c>
      <c r="AL784" s="17">
        <f t="shared" si="485"/>
        <v>0</v>
      </c>
      <c r="AM784" s="17">
        <f t="shared" si="486"/>
        <v>0</v>
      </c>
      <c r="AN784" s="17">
        <f t="shared" si="487"/>
        <v>0</v>
      </c>
      <c r="AO784" s="17">
        <f t="shared" si="488"/>
        <v>0</v>
      </c>
      <c r="AP784" s="17">
        <f t="shared" si="489"/>
        <v>0</v>
      </c>
      <c r="AQ784" s="18">
        <v>0</v>
      </c>
      <c r="AR784" s="18">
        <v>0</v>
      </c>
      <c r="AS784" s="18">
        <v>0</v>
      </c>
      <c r="AT784" s="18">
        <v>0</v>
      </c>
      <c r="AU784" s="18">
        <v>0</v>
      </c>
      <c r="AV784" s="18">
        <v>0</v>
      </c>
      <c r="AW784" s="18">
        <v>0</v>
      </c>
      <c r="AX784" s="18">
        <v>0</v>
      </c>
      <c r="AY784" s="18">
        <v>0</v>
      </c>
      <c r="AZ784" s="18">
        <v>0</v>
      </c>
      <c r="BA784" s="18">
        <v>0</v>
      </c>
      <c r="BB784" s="18">
        <v>0</v>
      </c>
      <c r="BC784" s="23">
        <v>8.9181565948742242E-2</v>
      </c>
      <c r="BD784" s="23">
        <v>0.10665277883445198</v>
      </c>
      <c r="BE784" s="23">
        <v>9.438849084854764E-2</v>
      </c>
      <c r="BF784" s="23">
        <v>7.149564986855049E-2</v>
      </c>
      <c r="BG784" s="23">
        <v>0.10368571810536763</v>
      </c>
      <c r="BH784" s="23">
        <v>8.4970330952544637E-2</v>
      </c>
      <c r="BI784" s="23">
        <v>8.4593878877262704E-2</v>
      </c>
      <c r="BJ784" s="23">
        <v>5.7447105462779965E-2</v>
      </c>
      <c r="BK784" s="23">
        <v>8.5153852345557474E-2</v>
      </c>
      <c r="BL784" s="23">
        <v>7.4158058913035174E-2</v>
      </c>
      <c r="BM784" s="23">
        <v>7.5718189192107169E-2</v>
      </c>
      <c r="BN784" s="23">
        <v>7.3955559365675619E-2</v>
      </c>
    </row>
    <row r="785" spans="1:66" x14ac:dyDescent="0.25">
      <c r="A785" s="16">
        <v>5503</v>
      </c>
      <c r="B785" s="16" t="s">
        <v>979</v>
      </c>
      <c r="C785" s="17">
        <v>0</v>
      </c>
      <c r="D785" s="17">
        <f t="shared" si="453"/>
        <v>0</v>
      </c>
      <c r="E785" s="17">
        <f t="shared" si="454"/>
        <v>0</v>
      </c>
      <c r="F785" s="17">
        <f t="shared" si="455"/>
        <v>0</v>
      </c>
      <c r="G785" s="17">
        <f t="shared" si="456"/>
        <v>0</v>
      </c>
      <c r="H785" s="17">
        <f t="shared" si="457"/>
        <v>0</v>
      </c>
      <c r="I785" s="17">
        <f t="shared" si="458"/>
        <v>0</v>
      </c>
      <c r="J785" s="17">
        <f t="shared" si="459"/>
        <v>0</v>
      </c>
      <c r="K785" s="17">
        <f t="shared" si="460"/>
        <v>0</v>
      </c>
      <c r="L785" s="17">
        <f t="shared" si="461"/>
        <v>0</v>
      </c>
      <c r="M785" s="17">
        <f t="shared" si="462"/>
        <v>0</v>
      </c>
      <c r="N785" s="17">
        <f t="shared" si="463"/>
        <v>0</v>
      </c>
      <c r="O785" s="17">
        <f t="shared" si="464"/>
        <v>0</v>
      </c>
      <c r="P785" s="17">
        <v>0</v>
      </c>
      <c r="Q785" s="17">
        <f t="shared" si="465"/>
        <v>0</v>
      </c>
      <c r="R785" s="17">
        <f t="shared" si="466"/>
        <v>0</v>
      </c>
      <c r="S785" s="17">
        <f t="shared" si="467"/>
        <v>0</v>
      </c>
      <c r="T785" s="17">
        <f t="shared" si="468"/>
        <v>0</v>
      </c>
      <c r="U785" s="17">
        <f t="shared" si="469"/>
        <v>0</v>
      </c>
      <c r="V785" s="17">
        <f t="shared" si="470"/>
        <v>0</v>
      </c>
      <c r="W785" s="17">
        <f t="shared" si="471"/>
        <v>0</v>
      </c>
      <c r="X785" s="17">
        <f t="shared" si="472"/>
        <v>0</v>
      </c>
      <c r="Y785" s="17">
        <f t="shared" si="473"/>
        <v>0</v>
      </c>
      <c r="Z785" s="17">
        <f t="shared" si="474"/>
        <v>0</v>
      </c>
      <c r="AA785" s="17">
        <f t="shared" si="475"/>
        <v>0</v>
      </c>
      <c r="AB785" s="17">
        <f t="shared" si="476"/>
        <v>0</v>
      </c>
      <c r="AC785" s="17">
        <v>0</v>
      </c>
      <c r="AD785" s="17">
        <f t="shared" si="477"/>
        <v>0</v>
      </c>
      <c r="AE785" s="17">
        <f t="shared" si="478"/>
        <v>0</v>
      </c>
      <c r="AF785" s="17">
        <f t="shared" si="479"/>
        <v>0</v>
      </c>
      <c r="AG785" s="17">
        <f t="shared" si="480"/>
        <v>0</v>
      </c>
      <c r="AH785" s="17">
        <f t="shared" si="481"/>
        <v>0</v>
      </c>
      <c r="AI785" s="17">
        <f t="shared" si="482"/>
        <v>0</v>
      </c>
      <c r="AJ785" s="17">
        <f t="shared" si="483"/>
        <v>0</v>
      </c>
      <c r="AK785" s="17">
        <f t="shared" si="484"/>
        <v>0</v>
      </c>
      <c r="AL785" s="17">
        <f t="shared" si="485"/>
        <v>0</v>
      </c>
      <c r="AM785" s="17">
        <f t="shared" si="486"/>
        <v>0</v>
      </c>
      <c r="AN785" s="17">
        <f t="shared" si="487"/>
        <v>0</v>
      </c>
      <c r="AO785" s="17">
        <f t="shared" si="488"/>
        <v>0</v>
      </c>
      <c r="AP785" s="17">
        <f t="shared" si="489"/>
        <v>0</v>
      </c>
      <c r="AQ785" s="18">
        <v>0</v>
      </c>
      <c r="AR785" s="18">
        <v>0</v>
      </c>
      <c r="AS785" s="18">
        <v>0</v>
      </c>
      <c r="AT785" s="18">
        <v>0</v>
      </c>
      <c r="AU785" s="18">
        <v>0</v>
      </c>
      <c r="AV785" s="18">
        <v>0</v>
      </c>
      <c r="AW785" s="18">
        <v>0</v>
      </c>
      <c r="AX785" s="18">
        <v>0</v>
      </c>
      <c r="AY785" s="18">
        <v>0</v>
      </c>
      <c r="AZ785" s="18">
        <v>0</v>
      </c>
      <c r="BA785" s="18">
        <v>0</v>
      </c>
      <c r="BB785" s="18">
        <v>0</v>
      </c>
      <c r="BC785" s="23">
        <v>8.9181565948742242E-2</v>
      </c>
      <c r="BD785" s="23">
        <v>0.10665277883445198</v>
      </c>
      <c r="BE785" s="23">
        <v>9.438849084854764E-2</v>
      </c>
      <c r="BF785" s="23">
        <v>7.149564986855049E-2</v>
      </c>
      <c r="BG785" s="23">
        <v>0.10368571810536763</v>
      </c>
      <c r="BH785" s="23">
        <v>8.4970330952544637E-2</v>
      </c>
      <c r="BI785" s="23">
        <v>8.4593878877262704E-2</v>
      </c>
      <c r="BJ785" s="23">
        <v>5.7447105462779965E-2</v>
      </c>
      <c r="BK785" s="23">
        <v>8.5153852345557474E-2</v>
      </c>
      <c r="BL785" s="23">
        <v>7.4158058913035174E-2</v>
      </c>
      <c r="BM785" s="23">
        <v>7.5718189192107169E-2</v>
      </c>
      <c r="BN785" s="23">
        <v>7.3955559365675619E-2</v>
      </c>
    </row>
    <row r="786" spans="1:66" x14ac:dyDescent="0.25">
      <c r="A786" s="16">
        <v>5507</v>
      </c>
      <c r="B786" s="16" t="s">
        <v>980</v>
      </c>
      <c r="C786" s="17">
        <v>0</v>
      </c>
      <c r="D786" s="17">
        <f t="shared" si="453"/>
        <v>0</v>
      </c>
      <c r="E786" s="17">
        <f t="shared" si="454"/>
        <v>0</v>
      </c>
      <c r="F786" s="17">
        <f t="shared" si="455"/>
        <v>0</v>
      </c>
      <c r="G786" s="17">
        <f t="shared" si="456"/>
        <v>0</v>
      </c>
      <c r="H786" s="17">
        <f t="shared" si="457"/>
        <v>0</v>
      </c>
      <c r="I786" s="17">
        <f t="shared" si="458"/>
        <v>0</v>
      </c>
      <c r="J786" s="17">
        <f t="shared" si="459"/>
        <v>0</v>
      </c>
      <c r="K786" s="17">
        <f t="shared" si="460"/>
        <v>0</v>
      </c>
      <c r="L786" s="17">
        <f t="shared" si="461"/>
        <v>0</v>
      </c>
      <c r="M786" s="17">
        <f t="shared" si="462"/>
        <v>0</v>
      </c>
      <c r="N786" s="17">
        <f t="shared" si="463"/>
        <v>0</v>
      </c>
      <c r="O786" s="17">
        <f t="shared" si="464"/>
        <v>0</v>
      </c>
      <c r="P786" s="17">
        <v>0</v>
      </c>
      <c r="Q786" s="17">
        <f t="shared" si="465"/>
        <v>0</v>
      </c>
      <c r="R786" s="17">
        <f t="shared" si="466"/>
        <v>0</v>
      </c>
      <c r="S786" s="17">
        <f t="shared" si="467"/>
        <v>0</v>
      </c>
      <c r="T786" s="17">
        <f t="shared" si="468"/>
        <v>0</v>
      </c>
      <c r="U786" s="17">
        <f t="shared" si="469"/>
        <v>0</v>
      </c>
      <c r="V786" s="17">
        <f t="shared" si="470"/>
        <v>0</v>
      </c>
      <c r="W786" s="17">
        <f t="shared" si="471"/>
        <v>0</v>
      </c>
      <c r="X786" s="17">
        <f t="shared" si="472"/>
        <v>0</v>
      </c>
      <c r="Y786" s="17">
        <f t="shared" si="473"/>
        <v>0</v>
      </c>
      <c r="Z786" s="17">
        <f t="shared" si="474"/>
        <v>0</v>
      </c>
      <c r="AA786" s="17">
        <f t="shared" si="475"/>
        <v>0</v>
      </c>
      <c r="AB786" s="17">
        <f t="shared" si="476"/>
        <v>0</v>
      </c>
      <c r="AC786" s="17">
        <v>0</v>
      </c>
      <c r="AD786" s="17">
        <f t="shared" si="477"/>
        <v>0</v>
      </c>
      <c r="AE786" s="17">
        <f t="shared" si="478"/>
        <v>0</v>
      </c>
      <c r="AF786" s="17">
        <f t="shared" si="479"/>
        <v>0</v>
      </c>
      <c r="AG786" s="17">
        <f t="shared" si="480"/>
        <v>0</v>
      </c>
      <c r="AH786" s="17">
        <f t="shared" si="481"/>
        <v>0</v>
      </c>
      <c r="AI786" s="17">
        <f t="shared" si="482"/>
        <v>0</v>
      </c>
      <c r="AJ786" s="17">
        <f t="shared" si="483"/>
        <v>0</v>
      </c>
      <c r="AK786" s="17">
        <f t="shared" si="484"/>
        <v>0</v>
      </c>
      <c r="AL786" s="17">
        <f t="shared" si="485"/>
        <v>0</v>
      </c>
      <c r="AM786" s="17">
        <f t="shared" si="486"/>
        <v>0</v>
      </c>
      <c r="AN786" s="17">
        <f t="shared" si="487"/>
        <v>0</v>
      </c>
      <c r="AO786" s="17">
        <f t="shared" si="488"/>
        <v>0</v>
      </c>
      <c r="AP786" s="17">
        <f t="shared" si="489"/>
        <v>0</v>
      </c>
      <c r="AQ786" s="18">
        <v>0</v>
      </c>
      <c r="AR786" s="18">
        <v>0</v>
      </c>
      <c r="AS786" s="18">
        <v>0</v>
      </c>
      <c r="AT786" s="18">
        <v>0</v>
      </c>
      <c r="AU786" s="18">
        <v>0</v>
      </c>
      <c r="AV786" s="18">
        <v>0</v>
      </c>
      <c r="AW786" s="18">
        <v>0</v>
      </c>
      <c r="AX786" s="18">
        <v>0</v>
      </c>
      <c r="AY786" s="18">
        <v>0</v>
      </c>
      <c r="AZ786" s="18">
        <v>0</v>
      </c>
      <c r="BA786" s="18">
        <v>0</v>
      </c>
      <c r="BB786" s="18">
        <v>0</v>
      </c>
      <c r="BC786" s="23">
        <v>8.9181565948742242E-2</v>
      </c>
      <c r="BD786" s="23">
        <v>0.10665277883445198</v>
      </c>
      <c r="BE786" s="23">
        <v>9.438849084854764E-2</v>
      </c>
      <c r="BF786" s="23">
        <v>7.149564986855049E-2</v>
      </c>
      <c r="BG786" s="23">
        <v>0.10368571810536763</v>
      </c>
      <c r="BH786" s="23">
        <v>8.4970330952544637E-2</v>
      </c>
      <c r="BI786" s="23">
        <v>8.4593878877262704E-2</v>
      </c>
      <c r="BJ786" s="23">
        <v>5.7447105462779965E-2</v>
      </c>
      <c r="BK786" s="23">
        <v>8.5153852345557474E-2</v>
      </c>
      <c r="BL786" s="23">
        <v>7.4158058913035174E-2</v>
      </c>
      <c r="BM786" s="23">
        <v>7.5718189192107169E-2</v>
      </c>
      <c r="BN786" s="23">
        <v>7.3955559365675619E-2</v>
      </c>
    </row>
    <row r="787" spans="1:66" x14ac:dyDescent="0.25">
      <c r="A787" s="16">
        <v>5510</v>
      </c>
      <c r="B787" s="16" t="s">
        <v>981</v>
      </c>
      <c r="C787" s="17">
        <v>0</v>
      </c>
      <c r="D787" s="17">
        <f t="shared" si="453"/>
        <v>0</v>
      </c>
      <c r="E787" s="17">
        <f t="shared" si="454"/>
        <v>0</v>
      </c>
      <c r="F787" s="17">
        <f t="shared" si="455"/>
        <v>0</v>
      </c>
      <c r="G787" s="17">
        <f t="shared" si="456"/>
        <v>0</v>
      </c>
      <c r="H787" s="17">
        <f t="shared" si="457"/>
        <v>0</v>
      </c>
      <c r="I787" s="17">
        <f t="shared" si="458"/>
        <v>0</v>
      </c>
      <c r="J787" s="17">
        <f t="shared" si="459"/>
        <v>0</v>
      </c>
      <c r="K787" s="17">
        <f t="shared" si="460"/>
        <v>0</v>
      </c>
      <c r="L787" s="17">
        <f t="shared" si="461"/>
        <v>0</v>
      </c>
      <c r="M787" s="17">
        <f t="shared" si="462"/>
        <v>0</v>
      </c>
      <c r="N787" s="17">
        <f t="shared" si="463"/>
        <v>0</v>
      </c>
      <c r="O787" s="17">
        <f t="shared" si="464"/>
        <v>0</v>
      </c>
      <c r="P787" s="17">
        <v>0</v>
      </c>
      <c r="Q787" s="17">
        <f t="shared" si="465"/>
        <v>0</v>
      </c>
      <c r="R787" s="17">
        <f t="shared" si="466"/>
        <v>0</v>
      </c>
      <c r="S787" s="17">
        <f t="shared" si="467"/>
        <v>0</v>
      </c>
      <c r="T787" s="17">
        <f t="shared" si="468"/>
        <v>0</v>
      </c>
      <c r="U787" s="17">
        <f t="shared" si="469"/>
        <v>0</v>
      </c>
      <c r="V787" s="17">
        <f t="shared" si="470"/>
        <v>0</v>
      </c>
      <c r="W787" s="17">
        <f t="shared" si="471"/>
        <v>0</v>
      </c>
      <c r="X787" s="17">
        <f t="shared" si="472"/>
        <v>0</v>
      </c>
      <c r="Y787" s="17">
        <f t="shared" si="473"/>
        <v>0</v>
      </c>
      <c r="Z787" s="17">
        <f t="shared" si="474"/>
        <v>0</v>
      </c>
      <c r="AA787" s="17">
        <f t="shared" si="475"/>
        <v>0</v>
      </c>
      <c r="AB787" s="17">
        <f t="shared" si="476"/>
        <v>0</v>
      </c>
      <c r="AC787" s="17">
        <v>0</v>
      </c>
      <c r="AD787" s="17">
        <f t="shared" si="477"/>
        <v>0</v>
      </c>
      <c r="AE787" s="17">
        <f t="shared" si="478"/>
        <v>0</v>
      </c>
      <c r="AF787" s="17">
        <f t="shared" si="479"/>
        <v>0</v>
      </c>
      <c r="AG787" s="17">
        <f t="shared" si="480"/>
        <v>0</v>
      </c>
      <c r="AH787" s="17">
        <f t="shared" si="481"/>
        <v>0</v>
      </c>
      <c r="AI787" s="17">
        <f t="shared" si="482"/>
        <v>0</v>
      </c>
      <c r="AJ787" s="17">
        <f t="shared" si="483"/>
        <v>0</v>
      </c>
      <c r="AK787" s="17">
        <f t="shared" si="484"/>
        <v>0</v>
      </c>
      <c r="AL787" s="17">
        <f t="shared" si="485"/>
        <v>0</v>
      </c>
      <c r="AM787" s="17">
        <f t="shared" si="486"/>
        <v>0</v>
      </c>
      <c r="AN787" s="17">
        <f t="shared" si="487"/>
        <v>0</v>
      </c>
      <c r="AO787" s="17">
        <f t="shared" si="488"/>
        <v>0</v>
      </c>
      <c r="AP787" s="17">
        <f t="shared" si="489"/>
        <v>0</v>
      </c>
      <c r="AQ787" s="18">
        <v>0</v>
      </c>
      <c r="AR787" s="18">
        <v>0</v>
      </c>
      <c r="AS787" s="18">
        <v>0</v>
      </c>
      <c r="AT787" s="18">
        <v>0</v>
      </c>
      <c r="AU787" s="18">
        <v>0</v>
      </c>
      <c r="AV787" s="18">
        <v>0</v>
      </c>
      <c r="AW787" s="18">
        <v>0</v>
      </c>
      <c r="AX787" s="18">
        <v>0</v>
      </c>
      <c r="AY787" s="18">
        <v>0</v>
      </c>
      <c r="AZ787" s="18">
        <v>0</v>
      </c>
      <c r="BA787" s="18">
        <v>0</v>
      </c>
      <c r="BB787" s="18">
        <v>0</v>
      </c>
      <c r="BC787" s="23">
        <v>8.9181565948742242E-2</v>
      </c>
      <c r="BD787" s="23">
        <v>0.10665277883445198</v>
      </c>
      <c r="BE787" s="23">
        <v>9.438849084854764E-2</v>
      </c>
      <c r="BF787" s="23">
        <v>7.149564986855049E-2</v>
      </c>
      <c r="BG787" s="23">
        <v>0.10368571810536763</v>
      </c>
      <c r="BH787" s="23">
        <v>8.4970330952544637E-2</v>
      </c>
      <c r="BI787" s="23">
        <v>8.4593878877262704E-2</v>
      </c>
      <c r="BJ787" s="23">
        <v>5.7447105462779965E-2</v>
      </c>
      <c r="BK787" s="23">
        <v>8.5153852345557474E-2</v>
      </c>
      <c r="BL787" s="23">
        <v>7.4158058913035174E-2</v>
      </c>
      <c r="BM787" s="23">
        <v>7.5718189192107169E-2</v>
      </c>
      <c r="BN787" s="23">
        <v>7.3955559365675619E-2</v>
      </c>
    </row>
    <row r="788" spans="1:66" x14ac:dyDescent="0.25">
      <c r="A788" s="16">
        <v>5511</v>
      </c>
      <c r="B788" s="16" t="s">
        <v>982</v>
      </c>
      <c r="C788" s="17">
        <v>0</v>
      </c>
      <c r="D788" s="17">
        <f t="shared" si="453"/>
        <v>0</v>
      </c>
      <c r="E788" s="17">
        <f t="shared" si="454"/>
        <v>0</v>
      </c>
      <c r="F788" s="17">
        <f t="shared" si="455"/>
        <v>0</v>
      </c>
      <c r="G788" s="17">
        <f t="shared" si="456"/>
        <v>0</v>
      </c>
      <c r="H788" s="17">
        <f t="shared" si="457"/>
        <v>0</v>
      </c>
      <c r="I788" s="17">
        <f t="shared" si="458"/>
        <v>0</v>
      </c>
      <c r="J788" s="17">
        <f t="shared" si="459"/>
        <v>0</v>
      </c>
      <c r="K788" s="17">
        <f t="shared" si="460"/>
        <v>0</v>
      </c>
      <c r="L788" s="17">
        <f t="shared" si="461"/>
        <v>0</v>
      </c>
      <c r="M788" s="17">
        <f t="shared" si="462"/>
        <v>0</v>
      </c>
      <c r="N788" s="17">
        <f t="shared" si="463"/>
        <v>0</v>
      </c>
      <c r="O788" s="17">
        <f t="shared" si="464"/>
        <v>0</v>
      </c>
      <c r="P788" s="17">
        <v>500</v>
      </c>
      <c r="Q788" s="17">
        <f t="shared" si="465"/>
        <v>44.590782974371123</v>
      </c>
      <c r="R788" s="17">
        <f t="shared" si="466"/>
        <v>53.32638941722599</v>
      </c>
      <c r="S788" s="17">
        <f t="shared" si="467"/>
        <v>47.194245424273824</v>
      </c>
      <c r="T788" s="17">
        <f t="shared" si="468"/>
        <v>35.747824934275243</v>
      </c>
      <c r="U788" s="17">
        <f t="shared" si="469"/>
        <v>51.842859052683814</v>
      </c>
      <c r="V788" s="17">
        <f t="shared" si="470"/>
        <v>42.485165476272321</v>
      </c>
      <c r="W788" s="17">
        <f t="shared" si="471"/>
        <v>42.296939438631355</v>
      </c>
      <c r="X788" s="17">
        <f t="shared" si="472"/>
        <v>28.723552731389983</v>
      </c>
      <c r="Y788" s="17">
        <f t="shared" si="473"/>
        <v>42.576926172778734</v>
      </c>
      <c r="Z788" s="17">
        <f t="shared" si="474"/>
        <v>37.079029456517588</v>
      </c>
      <c r="AA788" s="17">
        <f t="shared" si="475"/>
        <v>37.859094596053588</v>
      </c>
      <c r="AB788" s="17">
        <f t="shared" si="476"/>
        <v>36.977779682837813</v>
      </c>
      <c r="AC788" s="17">
        <v>0</v>
      </c>
      <c r="AD788" s="17">
        <f t="shared" si="477"/>
        <v>0</v>
      </c>
      <c r="AE788" s="17">
        <f t="shared" si="478"/>
        <v>0</v>
      </c>
      <c r="AF788" s="17">
        <f t="shared" si="479"/>
        <v>0</v>
      </c>
      <c r="AG788" s="17">
        <f t="shared" si="480"/>
        <v>0</v>
      </c>
      <c r="AH788" s="17">
        <f t="shared" si="481"/>
        <v>0</v>
      </c>
      <c r="AI788" s="17">
        <f t="shared" si="482"/>
        <v>0</v>
      </c>
      <c r="AJ788" s="17">
        <f t="shared" si="483"/>
        <v>0</v>
      </c>
      <c r="AK788" s="17">
        <f t="shared" si="484"/>
        <v>0</v>
      </c>
      <c r="AL788" s="17">
        <f t="shared" si="485"/>
        <v>0</v>
      </c>
      <c r="AM788" s="17">
        <f t="shared" si="486"/>
        <v>0</v>
      </c>
      <c r="AN788" s="17">
        <f t="shared" si="487"/>
        <v>0</v>
      </c>
      <c r="AO788" s="17">
        <f t="shared" si="488"/>
        <v>0</v>
      </c>
      <c r="AP788" s="17">
        <f t="shared" si="489"/>
        <v>500</v>
      </c>
      <c r="AQ788" s="18">
        <v>0</v>
      </c>
      <c r="AR788" s="18">
        <v>0</v>
      </c>
      <c r="AS788" s="18">
        <v>0</v>
      </c>
      <c r="AT788" s="18">
        <v>0</v>
      </c>
      <c r="AU788" s="18">
        <v>0</v>
      </c>
      <c r="AV788" s="18">
        <v>0</v>
      </c>
      <c r="AW788" s="18">
        <v>0</v>
      </c>
      <c r="AX788" s="18">
        <v>0</v>
      </c>
      <c r="AY788" s="18">
        <v>0</v>
      </c>
      <c r="AZ788" s="18">
        <v>0</v>
      </c>
      <c r="BA788" s="18">
        <v>0</v>
      </c>
      <c r="BB788" s="18">
        <v>0</v>
      </c>
      <c r="BC788" s="23">
        <v>8.9181565948742242E-2</v>
      </c>
      <c r="BD788" s="23">
        <v>0.10665277883445198</v>
      </c>
      <c r="BE788" s="23">
        <v>9.438849084854764E-2</v>
      </c>
      <c r="BF788" s="23">
        <v>7.149564986855049E-2</v>
      </c>
      <c r="BG788" s="23">
        <v>0.10368571810536763</v>
      </c>
      <c r="BH788" s="23">
        <v>8.4970330952544637E-2</v>
      </c>
      <c r="BI788" s="23">
        <v>8.4593878877262704E-2</v>
      </c>
      <c r="BJ788" s="23">
        <v>5.7447105462779965E-2</v>
      </c>
      <c r="BK788" s="23">
        <v>8.5153852345557474E-2</v>
      </c>
      <c r="BL788" s="23">
        <v>7.4158058913035174E-2</v>
      </c>
      <c r="BM788" s="23">
        <v>7.5718189192107169E-2</v>
      </c>
      <c r="BN788" s="23">
        <v>7.3955559365675619E-2</v>
      </c>
    </row>
    <row r="789" spans="1:66" x14ac:dyDescent="0.25">
      <c r="A789" s="16">
        <v>5513</v>
      </c>
      <c r="B789" s="16" t="s">
        <v>983</v>
      </c>
      <c r="C789" s="17">
        <v>0</v>
      </c>
      <c r="D789" s="17">
        <f t="shared" si="453"/>
        <v>0</v>
      </c>
      <c r="E789" s="17">
        <f t="shared" si="454"/>
        <v>0</v>
      </c>
      <c r="F789" s="17">
        <f t="shared" si="455"/>
        <v>0</v>
      </c>
      <c r="G789" s="17">
        <f t="shared" si="456"/>
        <v>0</v>
      </c>
      <c r="H789" s="17">
        <f t="shared" si="457"/>
        <v>0</v>
      </c>
      <c r="I789" s="17">
        <f t="shared" si="458"/>
        <v>0</v>
      </c>
      <c r="J789" s="17">
        <f t="shared" si="459"/>
        <v>0</v>
      </c>
      <c r="K789" s="17">
        <f t="shared" si="460"/>
        <v>0</v>
      </c>
      <c r="L789" s="17">
        <f t="shared" si="461"/>
        <v>0</v>
      </c>
      <c r="M789" s="17">
        <f t="shared" si="462"/>
        <v>0</v>
      </c>
      <c r="N789" s="17">
        <f t="shared" si="463"/>
        <v>0</v>
      </c>
      <c r="O789" s="17">
        <f t="shared" si="464"/>
        <v>0</v>
      </c>
      <c r="P789" s="17">
        <v>0</v>
      </c>
      <c r="Q789" s="17">
        <f t="shared" si="465"/>
        <v>0</v>
      </c>
      <c r="R789" s="17">
        <f t="shared" si="466"/>
        <v>0</v>
      </c>
      <c r="S789" s="17">
        <f t="shared" si="467"/>
        <v>0</v>
      </c>
      <c r="T789" s="17">
        <f t="shared" si="468"/>
        <v>0</v>
      </c>
      <c r="U789" s="17">
        <f t="shared" si="469"/>
        <v>0</v>
      </c>
      <c r="V789" s="17">
        <f t="shared" si="470"/>
        <v>0</v>
      </c>
      <c r="W789" s="17">
        <f t="shared" si="471"/>
        <v>0</v>
      </c>
      <c r="X789" s="17">
        <f t="shared" si="472"/>
        <v>0</v>
      </c>
      <c r="Y789" s="17">
        <f t="shared" si="473"/>
        <v>0</v>
      </c>
      <c r="Z789" s="17">
        <f t="shared" si="474"/>
        <v>0</v>
      </c>
      <c r="AA789" s="17">
        <f t="shared" si="475"/>
        <v>0</v>
      </c>
      <c r="AB789" s="17">
        <f t="shared" si="476"/>
        <v>0</v>
      </c>
      <c r="AC789" s="17">
        <v>0</v>
      </c>
      <c r="AD789" s="17">
        <f t="shared" si="477"/>
        <v>0</v>
      </c>
      <c r="AE789" s="17">
        <f t="shared" si="478"/>
        <v>0</v>
      </c>
      <c r="AF789" s="17">
        <f t="shared" si="479"/>
        <v>0</v>
      </c>
      <c r="AG789" s="17">
        <f t="shared" si="480"/>
        <v>0</v>
      </c>
      <c r="AH789" s="17">
        <f t="shared" si="481"/>
        <v>0</v>
      </c>
      <c r="AI789" s="17">
        <f t="shared" si="482"/>
        <v>0</v>
      </c>
      <c r="AJ789" s="17">
        <f t="shared" si="483"/>
        <v>0</v>
      </c>
      <c r="AK789" s="17">
        <f t="shared" si="484"/>
        <v>0</v>
      </c>
      <c r="AL789" s="17">
        <f t="shared" si="485"/>
        <v>0</v>
      </c>
      <c r="AM789" s="17">
        <f t="shared" si="486"/>
        <v>0</v>
      </c>
      <c r="AN789" s="17">
        <f t="shared" si="487"/>
        <v>0</v>
      </c>
      <c r="AO789" s="17">
        <f t="shared" si="488"/>
        <v>0</v>
      </c>
      <c r="AP789" s="17">
        <f t="shared" si="489"/>
        <v>0</v>
      </c>
      <c r="AQ789" s="18">
        <v>0</v>
      </c>
      <c r="AR789" s="18">
        <v>0</v>
      </c>
      <c r="AS789" s="18">
        <v>0</v>
      </c>
      <c r="AT789" s="18">
        <v>0</v>
      </c>
      <c r="AU789" s="18">
        <v>0</v>
      </c>
      <c r="AV789" s="18">
        <v>0</v>
      </c>
      <c r="AW789" s="18">
        <v>0</v>
      </c>
      <c r="AX789" s="18">
        <v>0</v>
      </c>
      <c r="AY789" s="18">
        <v>0</v>
      </c>
      <c r="AZ789" s="18">
        <v>0</v>
      </c>
      <c r="BA789" s="18">
        <v>0</v>
      </c>
      <c r="BB789" s="18">
        <v>0</v>
      </c>
      <c r="BC789" s="23">
        <v>8.9181565948742242E-2</v>
      </c>
      <c r="BD789" s="23">
        <v>0.10665277883445198</v>
      </c>
      <c r="BE789" s="23">
        <v>9.438849084854764E-2</v>
      </c>
      <c r="BF789" s="23">
        <v>7.149564986855049E-2</v>
      </c>
      <c r="BG789" s="23">
        <v>0.10368571810536763</v>
      </c>
      <c r="BH789" s="23">
        <v>8.4970330952544637E-2</v>
      </c>
      <c r="BI789" s="23">
        <v>8.4593878877262704E-2</v>
      </c>
      <c r="BJ789" s="23">
        <v>5.7447105462779965E-2</v>
      </c>
      <c r="BK789" s="23">
        <v>8.5153852345557474E-2</v>
      </c>
      <c r="BL789" s="23">
        <v>7.4158058913035174E-2</v>
      </c>
      <c r="BM789" s="23">
        <v>7.5718189192107169E-2</v>
      </c>
      <c r="BN789" s="23">
        <v>7.3955559365675619E-2</v>
      </c>
    </row>
    <row r="790" spans="1:66" x14ac:dyDescent="0.25">
      <c r="A790" s="16">
        <v>5518</v>
      </c>
      <c r="B790" s="16" t="s">
        <v>984</v>
      </c>
      <c r="C790" s="17">
        <v>0</v>
      </c>
      <c r="D790" s="17">
        <f t="shared" si="453"/>
        <v>0</v>
      </c>
      <c r="E790" s="17">
        <f t="shared" si="454"/>
        <v>0</v>
      </c>
      <c r="F790" s="17">
        <f t="shared" si="455"/>
        <v>0</v>
      </c>
      <c r="G790" s="17">
        <f t="shared" si="456"/>
        <v>0</v>
      </c>
      <c r="H790" s="17">
        <f t="shared" si="457"/>
        <v>0</v>
      </c>
      <c r="I790" s="17">
        <f t="shared" si="458"/>
        <v>0</v>
      </c>
      <c r="J790" s="17">
        <f t="shared" si="459"/>
        <v>0</v>
      </c>
      <c r="K790" s="17">
        <f t="shared" si="460"/>
        <v>0</v>
      </c>
      <c r="L790" s="17">
        <f t="shared" si="461"/>
        <v>0</v>
      </c>
      <c r="M790" s="17">
        <f t="shared" si="462"/>
        <v>0</v>
      </c>
      <c r="N790" s="17">
        <f t="shared" si="463"/>
        <v>0</v>
      </c>
      <c r="O790" s="17">
        <f t="shared" si="464"/>
        <v>0</v>
      </c>
      <c r="P790" s="17">
        <v>0</v>
      </c>
      <c r="Q790" s="17">
        <f t="shared" si="465"/>
        <v>0</v>
      </c>
      <c r="R790" s="17">
        <f t="shared" si="466"/>
        <v>0</v>
      </c>
      <c r="S790" s="17">
        <f t="shared" si="467"/>
        <v>0</v>
      </c>
      <c r="T790" s="17">
        <f t="shared" si="468"/>
        <v>0</v>
      </c>
      <c r="U790" s="17">
        <f t="shared" si="469"/>
        <v>0</v>
      </c>
      <c r="V790" s="17">
        <f t="shared" si="470"/>
        <v>0</v>
      </c>
      <c r="W790" s="17">
        <f t="shared" si="471"/>
        <v>0</v>
      </c>
      <c r="X790" s="17">
        <f t="shared" si="472"/>
        <v>0</v>
      </c>
      <c r="Y790" s="17">
        <f t="shared" si="473"/>
        <v>0</v>
      </c>
      <c r="Z790" s="17">
        <f t="shared" si="474"/>
        <v>0</v>
      </c>
      <c r="AA790" s="17">
        <f t="shared" si="475"/>
        <v>0</v>
      </c>
      <c r="AB790" s="17">
        <f t="shared" si="476"/>
        <v>0</v>
      </c>
      <c r="AC790" s="17">
        <v>0</v>
      </c>
      <c r="AD790" s="17">
        <f t="shared" si="477"/>
        <v>0</v>
      </c>
      <c r="AE790" s="17">
        <f t="shared" si="478"/>
        <v>0</v>
      </c>
      <c r="AF790" s="17">
        <f t="shared" si="479"/>
        <v>0</v>
      </c>
      <c r="AG790" s="17">
        <f t="shared" si="480"/>
        <v>0</v>
      </c>
      <c r="AH790" s="17">
        <f t="shared" si="481"/>
        <v>0</v>
      </c>
      <c r="AI790" s="17">
        <f t="shared" si="482"/>
        <v>0</v>
      </c>
      <c r="AJ790" s="17">
        <f t="shared" si="483"/>
        <v>0</v>
      </c>
      <c r="AK790" s="17">
        <f t="shared" si="484"/>
        <v>0</v>
      </c>
      <c r="AL790" s="17">
        <f t="shared" si="485"/>
        <v>0</v>
      </c>
      <c r="AM790" s="17">
        <f t="shared" si="486"/>
        <v>0</v>
      </c>
      <c r="AN790" s="17">
        <f t="shared" si="487"/>
        <v>0</v>
      </c>
      <c r="AO790" s="17">
        <f t="shared" si="488"/>
        <v>0</v>
      </c>
      <c r="AP790" s="17">
        <f t="shared" si="489"/>
        <v>0</v>
      </c>
      <c r="AQ790" s="18">
        <v>0</v>
      </c>
      <c r="AR790" s="18">
        <v>0</v>
      </c>
      <c r="AS790" s="18">
        <v>0</v>
      </c>
      <c r="AT790" s="18">
        <v>0</v>
      </c>
      <c r="AU790" s="18">
        <v>0</v>
      </c>
      <c r="AV790" s="18">
        <v>0</v>
      </c>
      <c r="AW790" s="18">
        <v>0</v>
      </c>
      <c r="AX790" s="18">
        <v>0</v>
      </c>
      <c r="AY790" s="18">
        <v>0</v>
      </c>
      <c r="AZ790" s="18">
        <v>0</v>
      </c>
      <c r="BA790" s="18">
        <v>0</v>
      </c>
      <c r="BB790" s="18">
        <v>0</v>
      </c>
      <c r="BC790" s="23">
        <v>8.9181565948742242E-2</v>
      </c>
      <c r="BD790" s="23">
        <v>0.10665277883445198</v>
      </c>
      <c r="BE790" s="23">
        <v>9.438849084854764E-2</v>
      </c>
      <c r="BF790" s="23">
        <v>7.149564986855049E-2</v>
      </c>
      <c r="BG790" s="23">
        <v>0.10368571810536763</v>
      </c>
      <c r="BH790" s="23">
        <v>8.4970330952544637E-2</v>
      </c>
      <c r="BI790" s="23">
        <v>8.4593878877262704E-2</v>
      </c>
      <c r="BJ790" s="23">
        <v>5.7447105462779965E-2</v>
      </c>
      <c r="BK790" s="23">
        <v>8.5153852345557474E-2</v>
      </c>
      <c r="BL790" s="23">
        <v>7.4158058913035174E-2</v>
      </c>
      <c r="BM790" s="23">
        <v>7.5718189192107169E-2</v>
      </c>
      <c r="BN790" s="23">
        <v>7.3955559365675619E-2</v>
      </c>
    </row>
    <row r="791" spans="1:66" x14ac:dyDescent="0.25">
      <c r="A791" s="16">
        <v>5520</v>
      </c>
      <c r="B791" s="16" t="s">
        <v>985</v>
      </c>
      <c r="C791" s="17">
        <v>0</v>
      </c>
      <c r="D791" s="17">
        <f t="shared" si="453"/>
        <v>0</v>
      </c>
      <c r="E791" s="17">
        <f t="shared" si="454"/>
        <v>0</v>
      </c>
      <c r="F791" s="17">
        <f t="shared" si="455"/>
        <v>0</v>
      </c>
      <c r="G791" s="17">
        <f t="shared" si="456"/>
        <v>0</v>
      </c>
      <c r="H791" s="17">
        <f t="shared" si="457"/>
        <v>0</v>
      </c>
      <c r="I791" s="17">
        <f t="shared" si="458"/>
        <v>0</v>
      </c>
      <c r="J791" s="17">
        <f t="shared" si="459"/>
        <v>0</v>
      </c>
      <c r="K791" s="17">
        <f t="shared" si="460"/>
        <v>0</v>
      </c>
      <c r="L791" s="17">
        <f t="shared" si="461"/>
        <v>0</v>
      </c>
      <c r="M791" s="17">
        <f t="shared" si="462"/>
        <v>0</v>
      </c>
      <c r="N791" s="17">
        <f t="shared" si="463"/>
        <v>0</v>
      </c>
      <c r="O791" s="17">
        <f t="shared" si="464"/>
        <v>0</v>
      </c>
      <c r="P791" s="17">
        <v>0</v>
      </c>
      <c r="Q791" s="17">
        <f t="shared" si="465"/>
        <v>0</v>
      </c>
      <c r="R791" s="17">
        <f t="shared" si="466"/>
        <v>0</v>
      </c>
      <c r="S791" s="17">
        <f t="shared" si="467"/>
        <v>0</v>
      </c>
      <c r="T791" s="17">
        <f t="shared" si="468"/>
        <v>0</v>
      </c>
      <c r="U791" s="17">
        <f t="shared" si="469"/>
        <v>0</v>
      </c>
      <c r="V791" s="17">
        <f t="shared" si="470"/>
        <v>0</v>
      </c>
      <c r="W791" s="17">
        <f t="shared" si="471"/>
        <v>0</v>
      </c>
      <c r="X791" s="17">
        <f t="shared" si="472"/>
        <v>0</v>
      </c>
      <c r="Y791" s="17">
        <f t="shared" si="473"/>
        <v>0</v>
      </c>
      <c r="Z791" s="17">
        <f t="shared" si="474"/>
        <v>0</v>
      </c>
      <c r="AA791" s="17">
        <f t="shared" si="475"/>
        <v>0</v>
      </c>
      <c r="AB791" s="17">
        <f t="shared" si="476"/>
        <v>0</v>
      </c>
      <c r="AC791" s="17">
        <v>0</v>
      </c>
      <c r="AD791" s="17">
        <f t="shared" si="477"/>
        <v>0</v>
      </c>
      <c r="AE791" s="17">
        <f t="shared" si="478"/>
        <v>0</v>
      </c>
      <c r="AF791" s="17">
        <f t="shared" si="479"/>
        <v>0</v>
      </c>
      <c r="AG791" s="17">
        <f t="shared" si="480"/>
        <v>0</v>
      </c>
      <c r="AH791" s="17">
        <f t="shared" si="481"/>
        <v>0</v>
      </c>
      <c r="AI791" s="17">
        <f t="shared" si="482"/>
        <v>0</v>
      </c>
      <c r="AJ791" s="17">
        <f t="shared" si="483"/>
        <v>0</v>
      </c>
      <c r="AK791" s="17">
        <f t="shared" si="484"/>
        <v>0</v>
      </c>
      <c r="AL791" s="17">
        <f t="shared" si="485"/>
        <v>0</v>
      </c>
      <c r="AM791" s="17">
        <f t="shared" si="486"/>
        <v>0</v>
      </c>
      <c r="AN791" s="17">
        <f t="shared" si="487"/>
        <v>0</v>
      </c>
      <c r="AO791" s="17">
        <f t="shared" si="488"/>
        <v>0</v>
      </c>
      <c r="AP791" s="17">
        <f t="shared" si="489"/>
        <v>0</v>
      </c>
      <c r="AQ791" s="18">
        <v>0</v>
      </c>
      <c r="AR791" s="18">
        <v>0</v>
      </c>
      <c r="AS791" s="18">
        <v>0</v>
      </c>
      <c r="AT791" s="18">
        <v>0</v>
      </c>
      <c r="AU791" s="18">
        <v>0</v>
      </c>
      <c r="AV791" s="18">
        <v>0</v>
      </c>
      <c r="AW791" s="18">
        <v>0</v>
      </c>
      <c r="AX791" s="18">
        <v>0</v>
      </c>
      <c r="AY791" s="18">
        <v>0</v>
      </c>
      <c r="AZ791" s="18">
        <v>0</v>
      </c>
      <c r="BA791" s="18">
        <v>0</v>
      </c>
      <c r="BB791" s="18">
        <v>0</v>
      </c>
      <c r="BC791" s="23">
        <v>8.9181565948742242E-2</v>
      </c>
      <c r="BD791" s="23">
        <v>0.10665277883445198</v>
      </c>
      <c r="BE791" s="23">
        <v>9.438849084854764E-2</v>
      </c>
      <c r="BF791" s="23">
        <v>7.149564986855049E-2</v>
      </c>
      <c r="BG791" s="23">
        <v>0.10368571810536763</v>
      </c>
      <c r="BH791" s="23">
        <v>8.4970330952544637E-2</v>
      </c>
      <c r="BI791" s="23">
        <v>8.4593878877262704E-2</v>
      </c>
      <c r="BJ791" s="23">
        <v>5.7447105462779965E-2</v>
      </c>
      <c r="BK791" s="23">
        <v>8.5153852345557474E-2</v>
      </c>
      <c r="BL791" s="23">
        <v>7.4158058913035174E-2</v>
      </c>
      <c r="BM791" s="23">
        <v>7.5718189192107169E-2</v>
      </c>
      <c r="BN791" s="23">
        <v>7.3955559365675619E-2</v>
      </c>
    </row>
    <row r="792" spans="1:66" x14ac:dyDescent="0.25">
      <c r="A792" s="16">
        <v>5521</v>
      </c>
      <c r="B792" s="16" t="s">
        <v>986</v>
      </c>
      <c r="C792" s="17">
        <v>0</v>
      </c>
      <c r="D792" s="17">
        <f t="shared" si="453"/>
        <v>0</v>
      </c>
      <c r="E792" s="17">
        <f t="shared" si="454"/>
        <v>0</v>
      </c>
      <c r="F792" s="17">
        <f t="shared" si="455"/>
        <v>0</v>
      </c>
      <c r="G792" s="17">
        <f t="shared" si="456"/>
        <v>0</v>
      </c>
      <c r="H792" s="17">
        <f t="shared" si="457"/>
        <v>0</v>
      </c>
      <c r="I792" s="17">
        <f t="shared" si="458"/>
        <v>0</v>
      </c>
      <c r="J792" s="17">
        <f t="shared" si="459"/>
        <v>0</v>
      </c>
      <c r="K792" s="17">
        <f t="shared" si="460"/>
        <v>0</v>
      </c>
      <c r="L792" s="17">
        <f t="shared" si="461"/>
        <v>0</v>
      </c>
      <c r="M792" s="17">
        <f t="shared" si="462"/>
        <v>0</v>
      </c>
      <c r="N792" s="17">
        <f t="shared" si="463"/>
        <v>0</v>
      </c>
      <c r="O792" s="17">
        <f t="shared" si="464"/>
        <v>0</v>
      </c>
      <c r="P792" s="17">
        <v>0</v>
      </c>
      <c r="Q792" s="17">
        <f t="shared" si="465"/>
        <v>0</v>
      </c>
      <c r="R792" s="17">
        <f t="shared" si="466"/>
        <v>0</v>
      </c>
      <c r="S792" s="17">
        <f t="shared" si="467"/>
        <v>0</v>
      </c>
      <c r="T792" s="17">
        <f t="shared" si="468"/>
        <v>0</v>
      </c>
      <c r="U792" s="17">
        <f t="shared" si="469"/>
        <v>0</v>
      </c>
      <c r="V792" s="17">
        <f t="shared" si="470"/>
        <v>0</v>
      </c>
      <c r="W792" s="17">
        <f t="shared" si="471"/>
        <v>0</v>
      </c>
      <c r="X792" s="17">
        <f t="shared" si="472"/>
        <v>0</v>
      </c>
      <c r="Y792" s="17">
        <f t="shared" si="473"/>
        <v>0</v>
      </c>
      <c r="Z792" s="17">
        <f t="shared" si="474"/>
        <v>0</v>
      </c>
      <c r="AA792" s="17">
        <f t="shared" si="475"/>
        <v>0</v>
      </c>
      <c r="AB792" s="17">
        <f t="shared" si="476"/>
        <v>0</v>
      </c>
      <c r="AC792" s="17">
        <v>0</v>
      </c>
      <c r="AD792" s="17">
        <f t="shared" si="477"/>
        <v>0</v>
      </c>
      <c r="AE792" s="17">
        <f t="shared" si="478"/>
        <v>0</v>
      </c>
      <c r="AF792" s="17">
        <f t="shared" si="479"/>
        <v>0</v>
      </c>
      <c r="AG792" s="17">
        <f t="shared" si="480"/>
        <v>0</v>
      </c>
      <c r="AH792" s="17">
        <f t="shared" si="481"/>
        <v>0</v>
      </c>
      <c r="AI792" s="17">
        <f t="shared" si="482"/>
        <v>0</v>
      </c>
      <c r="AJ792" s="17">
        <f t="shared" si="483"/>
        <v>0</v>
      </c>
      <c r="AK792" s="17">
        <f t="shared" si="484"/>
        <v>0</v>
      </c>
      <c r="AL792" s="17">
        <f t="shared" si="485"/>
        <v>0</v>
      </c>
      <c r="AM792" s="17">
        <f t="shared" si="486"/>
        <v>0</v>
      </c>
      <c r="AN792" s="17">
        <f t="shared" si="487"/>
        <v>0</v>
      </c>
      <c r="AO792" s="17">
        <f t="shared" si="488"/>
        <v>0</v>
      </c>
      <c r="AP792" s="17">
        <f t="shared" si="489"/>
        <v>0</v>
      </c>
      <c r="AQ792" s="18">
        <v>0</v>
      </c>
      <c r="AR792" s="18">
        <v>0</v>
      </c>
      <c r="AS792" s="18">
        <v>0</v>
      </c>
      <c r="AT792" s="18">
        <v>0</v>
      </c>
      <c r="AU792" s="18">
        <v>0</v>
      </c>
      <c r="AV792" s="18">
        <v>0</v>
      </c>
      <c r="AW792" s="18">
        <v>0</v>
      </c>
      <c r="AX792" s="18">
        <v>0</v>
      </c>
      <c r="AY792" s="18">
        <v>0</v>
      </c>
      <c r="AZ792" s="18">
        <v>0</v>
      </c>
      <c r="BA792" s="18">
        <v>0</v>
      </c>
      <c r="BB792" s="18">
        <v>0</v>
      </c>
      <c r="BC792" s="23">
        <v>8.9181565948742242E-2</v>
      </c>
      <c r="BD792" s="23">
        <v>0.10665277883445198</v>
      </c>
      <c r="BE792" s="23">
        <v>9.438849084854764E-2</v>
      </c>
      <c r="BF792" s="23">
        <v>7.149564986855049E-2</v>
      </c>
      <c r="BG792" s="23">
        <v>0.10368571810536763</v>
      </c>
      <c r="BH792" s="23">
        <v>8.4970330952544637E-2</v>
      </c>
      <c r="BI792" s="23">
        <v>8.4593878877262704E-2</v>
      </c>
      <c r="BJ792" s="23">
        <v>5.7447105462779965E-2</v>
      </c>
      <c r="BK792" s="23">
        <v>8.5153852345557474E-2</v>
      </c>
      <c r="BL792" s="23">
        <v>7.4158058913035174E-2</v>
      </c>
      <c r="BM792" s="23">
        <v>7.5718189192107169E-2</v>
      </c>
      <c r="BN792" s="23">
        <v>7.3955559365675619E-2</v>
      </c>
    </row>
    <row r="793" spans="1:66" x14ac:dyDescent="0.25">
      <c r="A793" s="16">
        <v>5522</v>
      </c>
      <c r="B793" s="16" t="s">
        <v>987</v>
      </c>
      <c r="C793" s="17">
        <v>0</v>
      </c>
      <c r="D793" s="17">
        <f t="shared" si="453"/>
        <v>0</v>
      </c>
      <c r="E793" s="17">
        <f t="shared" si="454"/>
        <v>0</v>
      </c>
      <c r="F793" s="17">
        <f t="shared" si="455"/>
        <v>0</v>
      </c>
      <c r="G793" s="17">
        <f t="shared" si="456"/>
        <v>0</v>
      </c>
      <c r="H793" s="17">
        <f t="shared" si="457"/>
        <v>0</v>
      </c>
      <c r="I793" s="17">
        <f t="shared" si="458"/>
        <v>0</v>
      </c>
      <c r="J793" s="17">
        <f t="shared" si="459"/>
        <v>0</v>
      </c>
      <c r="K793" s="17">
        <f t="shared" si="460"/>
        <v>0</v>
      </c>
      <c r="L793" s="17">
        <f t="shared" si="461"/>
        <v>0</v>
      </c>
      <c r="M793" s="17">
        <f t="shared" si="462"/>
        <v>0</v>
      </c>
      <c r="N793" s="17">
        <f t="shared" si="463"/>
        <v>0</v>
      </c>
      <c r="O793" s="17">
        <f t="shared" si="464"/>
        <v>0</v>
      </c>
      <c r="P793" s="17">
        <v>0</v>
      </c>
      <c r="Q793" s="17">
        <f t="shared" si="465"/>
        <v>0</v>
      </c>
      <c r="R793" s="17">
        <f t="shared" si="466"/>
        <v>0</v>
      </c>
      <c r="S793" s="17">
        <f t="shared" si="467"/>
        <v>0</v>
      </c>
      <c r="T793" s="17">
        <f t="shared" si="468"/>
        <v>0</v>
      </c>
      <c r="U793" s="17">
        <f t="shared" si="469"/>
        <v>0</v>
      </c>
      <c r="V793" s="17">
        <f t="shared" si="470"/>
        <v>0</v>
      </c>
      <c r="W793" s="17">
        <f t="shared" si="471"/>
        <v>0</v>
      </c>
      <c r="X793" s="17">
        <f t="shared" si="472"/>
        <v>0</v>
      </c>
      <c r="Y793" s="17">
        <f t="shared" si="473"/>
        <v>0</v>
      </c>
      <c r="Z793" s="17">
        <f t="shared" si="474"/>
        <v>0</v>
      </c>
      <c r="AA793" s="17">
        <f t="shared" si="475"/>
        <v>0</v>
      </c>
      <c r="AB793" s="17">
        <f t="shared" si="476"/>
        <v>0</v>
      </c>
      <c r="AC793" s="17">
        <v>0</v>
      </c>
      <c r="AD793" s="17">
        <f t="shared" si="477"/>
        <v>0</v>
      </c>
      <c r="AE793" s="17">
        <f t="shared" si="478"/>
        <v>0</v>
      </c>
      <c r="AF793" s="17">
        <f t="shared" si="479"/>
        <v>0</v>
      </c>
      <c r="AG793" s="17">
        <f t="shared" si="480"/>
        <v>0</v>
      </c>
      <c r="AH793" s="17">
        <f t="shared" si="481"/>
        <v>0</v>
      </c>
      <c r="AI793" s="17">
        <f t="shared" si="482"/>
        <v>0</v>
      </c>
      <c r="AJ793" s="17">
        <f t="shared" si="483"/>
        <v>0</v>
      </c>
      <c r="AK793" s="17">
        <f t="shared" si="484"/>
        <v>0</v>
      </c>
      <c r="AL793" s="17">
        <f t="shared" si="485"/>
        <v>0</v>
      </c>
      <c r="AM793" s="17">
        <f t="shared" si="486"/>
        <v>0</v>
      </c>
      <c r="AN793" s="17">
        <f t="shared" si="487"/>
        <v>0</v>
      </c>
      <c r="AO793" s="17">
        <f t="shared" si="488"/>
        <v>0</v>
      </c>
      <c r="AP793" s="17">
        <f t="shared" si="489"/>
        <v>0</v>
      </c>
      <c r="AQ793" s="18">
        <v>0</v>
      </c>
      <c r="AR793" s="18">
        <v>0</v>
      </c>
      <c r="AS793" s="18">
        <v>0</v>
      </c>
      <c r="AT793" s="18">
        <v>0</v>
      </c>
      <c r="AU793" s="18">
        <v>0</v>
      </c>
      <c r="AV793" s="18">
        <v>0</v>
      </c>
      <c r="AW793" s="18">
        <v>0</v>
      </c>
      <c r="AX793" s="18">
        <v>0</v>
      </c>
      <c r="AY793" s="18">
        <v>0</v>
      </c>
      <c r="AZ793" s="18">
        <v>0</v>
      </c>
      <c r="BA793" s="18">
        <v>0</v>
      </c>
      <c r="BB793" s="18">
        <v>0</v>
      </c>
      <c r="BC793" s="23">
        <v>8.9181565948742242E-2</v>
      </c>
      <c r="BD793" s="23">
        <v>0.10665277883445198</v>
      </c>
      <c r="BE793" s="23">
        <v>9.438849084854764E-2</v>
      </c>
      <c r="BF793" s="23">
        <v>7.149564986855049E-2</v>
      </c>
      <c r="BG793" s="23">
        <v>0.10368571810536763</v>
      </c>
      <c r="BH793" s="23">
        <v>8.4970330952544637E-2</v>
      </c>
      <c r="BI793" s="23">
        <v>8.4593878877262704E-2</v>
      </c>
      <c r="BJ793" s="23">
        <v>5.7447105462779965E-2</v>
      </c>
      <c r="BK793" s="23">
        <v>8.5153852345557474E-2</v>
      </c>
      <c r="BL793" s="23">
        <v>7.4158058913035174E-2</v>
      </c>
      <c r="BM793" s="23">
        <v>7.5718189192107169E-2</v>
      </c>
      <c r="BN793" s="23">
        <v>7.3955559365675619E-2</v>
      </c>
    </row>
    <row r="794" spans="1:66" x14ac:dyDescent="0.25">
      <c r="A794" s="16">
        <v>5524</v>
      </c>
      <c r="B794" s="16" t="s">
        <v>988</v>
      </c>
      <c r="C794" s="17">
        <v>0</v>
      </c>
      <c r="D794" s="17">
        <f t="shared" si="453"/>
        <v>0</v>
      </c>
      <c r="E794" s="17">
        <f t="shared" si="454"/>
        <v>0</v>
      </c>
      <c r="F794" s="17">
        <f t="shared" si="455"/>
        <v>0</v>
      </c>
      <c r="G794" s="17">
        <f t="shared" si="456"/>
        <v>0</v>
      </c>
      <c r="H794" s="17">
        <f t="shared" si="457"/>
        <v>0</v>
      </c>
      <c r="I794" s="17">
        <f t="shared" si="458"/>
        <v>0</v>
      </c>
      <c r="J794" s="17">
        <f t="shared" si="459"/>
        <v>0</v>
      </c>
      <c r="K794" s="17">
        <f t="shared" si="460"/>
        <v>0</v>
      </c>
      <c r="L794" s="17">
        <f t="shared" si="461"/>
        <v>0</v>
      </c>
      <c r="M794" s="17">
        <f t="shared" si="462"/>
        <v>0</v>
      </c>
      <c r="N794" s="17">
        <f t="shared" si="463"/>
        <v>0</v>
      </c>
      <c r="O794" s="17">
        <f t="shared" si="464"/>
        <v>0</v>
      </c>
      <c r="P794" s="17">
        <v>1000</v>
      </c>
      <c r="Q794" s="17">
        <f t="shared" si="465"/>
        <v>89.181565948742247</v>
      </c>
      <c r="R794" s="17">
        <f t="shared" si="466"/>
        <v>106.65277883445198</v>
      </c>
      <c r="S794" s="17">
        <f t="shared" si="467"/>
        <v>94.388490848547647</v>
      </c>
      <c r="T794" s="17">
        <f t="shared" si="468"/>
        <v>71.495649868550487</v>
      </c>
      <c r="U794" s="17">
        <f t="shared" si="469"/>
        <v>103.68571810536763</v>
      </c>
      <c r="V794" s="17">
        <f t="shared" si="470"/>
        <v>84.970330952544643</v>
      </c>
      <c r="W794" s="17">
        <f t="shared" si="471"/>
        <v>84.593878877262711</v>
      </c>
      <c r="X794" s="17">
        <f t="shared" si="472"/>
        <v>57.447105462779966</v>
      </c>
      <c r="Y794" s="17">
        <f t="shared" si="473"/>
        <v>85.153852345557468</v>
      </c>
      <c r="Z794" s="17">
        <f t="shared" si="474"/>
        <v>74.158058913035177</v>
      </c>
      <c r="AA794" s="17">
        <f t="shared" si="475"/>
        <v>75.718189192107175</v>
      </c>
      <c r="AB794" s="17">
        <f t="shared" si="476"/>
        <v>73.955559365675626</v>
      </c>
      <c r="AC794" s="17">
        <v>0</v>
      </c>
      <c r="AD794" s="17">
        <f t="shared" si="477"/>
        <v>0</v>
      </c>
      <c r="AE794" s="17">
        <f t="shared" si="478"/>
        <v>0</v>
      </c>
      <c r="AF794" s="17">
        <f t="shared" si="479"/>
        <v>0</v>
      </c>
      <c r="AG794" s="17">
        <f t="shared" si="480"/>
        <v>0</v>
      </c>
      <c r="AH794" s="17">
        <f t="shared" si="481"/>
        <v>0</v>
      </c>
      <c r="AI794" s="17">
        <f t="shared" si="482"/>
        <v>0</v>
      </c>
      <c r="AJ794" s="17">
        <f t="shared" si="483"/>
        <v>0</v>
      </c>
      <c r="AK794" s="17">
        <f t="shared" si="484"/>
        <v>0</v>
      </c>
      <c r="AL794" s="17">
        <f t="shared" si="485"/>
        <v>0</v>
      </c>
      <c r="AM794" s="17">
        <f t="shared" si="486"/>
        <v>0</v>
      </c>
      <c r="AN794" s="17">
        <f t="shared" si="487"/>
        <v>0</v>
      </c>
      <c r="AO794" s="17">
        <f t="shared" si="488"/>
        <v>0</v>
      </c>
      <c r="AP794" s="17">
        <f t="shared" si="489"/>
        <v>1000</v>
      </c>
      <c r="AQ794" s="18">
        <v>0</v>
      </c>
      <c r="AR794" s="18">
        <v>0</v>
      </c>
      <c r="AS794" s="18">
        <v>0</v>
      </c>
      <c r="AT794" s="18">
        <v>0</v>
      </c>
      <c r="AU794" s="18">
        <v>0</v>
      </c>
      <c r="AV794" s="18">
        <v>0</v>
      </c>
      <c r="AW794" s="18">
        <v>0</v>
      </c>
      <c r="AX794" s="18">
        <v>0</v>
      </c>
      <c r="AY794" s="18">
        <v>0</v>
      </c>
      <c r="AZ794" s="18">
        <v>0</v>
      </c>
      <c r="BA794" s="18">
        <v>0</v>
      </c>
      <c r="BB794" s="18">
        <v>0</v>
      </c>
      <c r="BC794" s="23">
        <v>8.9181565948742242E-2</v>
      </c>
      <c r="BD794" s="23">
        <v>0.10665277883445198</v>
      </c>
      <c r="BE794" s="23">
        <v>9.438849084854764E-2</v>
      </c>
      <c r="BF794" s="23">
        <v>7.149564986855049E-2</v>
      </c>
      <c r="BG794" s="23">
        <v>0.10368571810536763</v>
      </c>
      <c r="BH794" s="23">
        <v>8.4970330952544637E-2</v>
      </c>
      <c r="BI794" s="23">
        <v>8.4593878877262704E-2</v>
      </c>
      <c r="BJ794" s="23">
        <v>5.7447105462779965E-2</v>
      </c>
      <c r="BK794" s="23">
        <v>8.5153852345557474E-2</v>
      </c>
      <c r="BL794" s="23">
        <v>7.4158058913035174E-2</v>
      </c>
      <c r="BM794" s="23">
        <v>7.5718189192107169E-2</v>
      </c>
      <c r="BN794" s="23">
        <v>7.3955559365675619E-2</v>
      </c>
    </row>
    <row r="795" spans="1:66" x14ac:dyDescent="0.25">
      <c r="A795" s="16">
        <v>5525</v>
      </c>
      <c r="B795" s="16" t="s">
        <v>989</v>
      </c>
      <c r="C795" s="17">
        <v>0</v>
      </c>
      <c r="D795" s="17">
        <f t="shared" si="453"/>
        <v>0</v>
      </c>
      <c r="E795" s="17">
        <f t="shared" si="454"/>
        <v>0</v>
      </c>
      <c r="F795" s="17">
        <f t="shared" si="455"/>
        <v>0</v>
      </c>
      <c r="G795" s="17">
        <f t="shared" si="456"/>
        <v>0</v>
      </c>
      <c r="H795" s="17">
        <f t="shared" si="457"/>
        <v>0</v>
      </c>
      <c r="I795" s="17">
        <f t="shared" si="458"/>
        <v>0</v>
      </c>
      <c r="J795" s="17">
        <f t="shared" si="459"/>
        <v>0</v>
      </c>
      <c r="K795" s="17">
        <f t="shared" si="460"/>
        <v>0</v>
      </c>
      <c r="L795" s="17">
        <f t="shared" si="461"/>
        <v>0</v>
      </c>
      <c r="M795" s="17">
        <f t="shared" si="462"/>
        <v>0</v>
      </c>
      <c r="N795" s="17">
        <f t="shared" si="463"/>
        <v>0</v>
      </c>
      <c r="O795" s="17">
        <f t="shared" si="464"/>
        <v>0</v>
      </c>
      <c r="P795" s="17">
        <v>0</v>
      </c>
      <c r="Q795" s="17">
        <f t="shared" si="465"/>
        <v>0</v>
      </c>
      <c r="R795" s="17">
        <f t="shared" si="466"/>
        <v>0</v>
      </c>
      <c r="S795" s="17">
        <f t="shared" si="467"/>
        <v>0</v>
      </c>
      <c r="T795" s="17">
        <f t="shared" si="468"/>
        <v>0</v>
      </c>
      <c r="U795" s="17">
        <f t="shared" si="469"/>
        <v>0</v>
      </c>
      <c r="V795" s="17">
        <f t="shared" si="470"/>
        <v>0</v>
      </c>
      <c r="W795" s="17">
        <f t="shared" si="471"/>
        <v>0</v>
      </c>
      <c r="X795" s="17">
        <f t="shared" si="472"/>
        <v>0</v>
      </c>
      <c r="Y795" s="17">
        <f t="shared" si="473"/>
        <v>0</v>
      </c>
      <c r="Z795" s="17">
        <f t="shared" si="474"/>
        <v>0</v>
      </c>
      <c r="AA795" s="17">
        <f t="shared" si="475"/>
        <v>0</v>
      </c>
      <c r="AB795" s="17">
        <f t="shared" si="476"/>
        <v>0</v>
      </c>
      <c r="AC795" s="17">
        <v>0</v>
      </c>
      <c r="AD795" s="17">
        <f t="shared" si="477"/>
        <v>0</v>
      </c>
      <c r="AE795" s="17">
        <f t="shared" si="478"/>
        <v>0</v>
      </c>
      <c r="AF795" s="17">
        <f t="shared" si="479"/>
        <v>0</v>
      </c>
      <c r="AG795" s="17">
        <f t="shared" si="480"/>
        <v>0</v>
      </c>
      <c r="AH795" s="17">
        <f t="shared" si="481"/>
        <v>0</v>
      </c>
      <c r="AI795" s="17">
        <f t="shared" si="482"/>
        <v>0</v>
      </c>
      <c r="AJ795" s="17">
        <f t="shared" si="483"/>
        <v>0</v>
      </c>
      <c r="AK795" s="17">
        <f t="shared" si="484"/>
        <v>0</v>
      </c>
      <c r="AL795" s="17">
        <f t="shared" si="485"/>
        <v>0</v>
      </c>
      <c r="AM795" s="17">
        <f t="shared" si="486"/>
        <v>0</v>
      </c>
      <c r="AN795" s="17">
        <f t="shared" si="487"/>
        <v>0</v>
      </c>
      <c r="AO795" s="17">
        <f t="shared" si="488"/>
        <v>0</v>
      </c>
      <c r="AP795" s="17">
        <f t="shared" si="489"/>
        <v>0</v>
      </c>
      <c r="AQ795" s="18">
        <v>0</v>
      </c>
      <c r="AR795" s="18">
        <v>0</v>
      </c>
      <c r="AS795" s="18">
        <v>0</v>
      </c>
      <c r="AT795" s="18">
        <v>0</v>
      </c>
      <c r="AU795" s="18">
        <v>0</v>
      </c>
      <c r="AV795" s="18">
        <v>0</v>
      </c>
      <c r="AW795" s="18">
        <v>0</v>
      </c>
      <c r="AX795" s="18">
        <v>0</v>
      </c>
      <c r="AY795" s="18">
        <v>0</v>
      </c>
      <c r="AZ795" s="18">
        <v>0</v>
      </c>
      <c r="BA795" s="18">
        <v>0</v>
      </c>
      <c r="BB795" s="18">
        <v>0</v>
      </c>
      <c r="BC795" s="23">
        <v>8.9181565948742242E-2</v>
      </c>
      <c r="BD795" s="23">
        <v>0.10665277883445198</v>
      </c>
      <c r="BE795" s="23">
        <v>9.438849084854764E-2</v>
      </c>
      <c r="BF795" s="23">
        <v>7.149564986855049E-2</v>
      </c>
      <c r="BG795" s="23">
        <v>0.10368571810536763</v>
      </c>
      <c r="BH795" s="23">
        <v>8.4970330952544637E-2</v>
      </c>
      <c r="BI795" s="23">
        <v>8.4593878877262704E-2</v>
      </c>
      <c r="BJ795" s="23">
        <v>5.7447105462779965E-2</v>
      </c>
      <c r="BK795" s="23">
        <v>8.5153852345557474E-2</v>
      </c>
      <c r="BL795" s="23">
        <v>7.4158058913035174E-2</v>
      </c>
      <c r="BM795" s="23">
        <v>7.5718189192107169E-2</v>
      </c>
      <c r="BN795" s="23">
        <v>7.3955559365675619E-2</v>
      </c>
    </row>
    <row r="796" spans="1:66" x14ac:dyDescent="0.25">
      <c r="A796" s="16">
        <v>5527</v>
      </c>
      <c r="B796" s="16" t="s">
        <v>990</v>
      </c>
      <c r="C796" s="17">
        <v>0</v>
      </c>
      <c r="D796" s="17">
        <f t="shared" si="453"/>
        <v>0</v>
      </c>
      <c r="E796" s="17">
        <f t="shared" si="454"/>
        <v>0</v>
      </c>
      <c r="F796" s="17">
        <f t="shared" si="455"/>
        <v>0</v>
      </c>
      <c r="G796" s="17">
        <f t="shared" si="456"/>
        <v>0</v>
      </c>
      <c r="H796" s="17">
        <f t="shared" si="457"/>
        <v>0</v>
      </c>
      <c r="I796" s="17">
        <f t="shared" si="458"/>
        <v>0</v>
      </c>
      <c r="J796" s="17">
        <f t="shared" si="459"/>
        <v>0</v>
      </c>
      <c r="K796" s="17">
        <f t="shared" si="460"/>
        <v>0</v>
      </c>
      <c r="L796" s="17">
        <f t="shared" si="461"/>
        <v>0</v>
      </c>
      <c r="M796" s="17">
        <f t="shared" si="462"/>
        <v>0</v>
      </c>
      <c r="N796" s="17">
        <f t="shared" si="463"/>
        <v>0</v>
      </c>
      <c r="O796" s="17">
        <f t="shared" si="464"/>
        <v>0</v>
      </c>
      <c r="P796" s="17">
        <v>0</v>
      </c>
      <c r="Q796" s="17">
        <f t="shared" si="465"/>
        <v>0</v>
      </c>
      <c r="R796" s="17">
        <f t="shared" si="466"/>
        <v>0</v>
      </c>
      <c r="S796" s="17">
        <f t="shared" si="467"/>
        <v>0</v>
      </c>
      <c r="T796" s="17">
        <f t="shared" si="468"/>
        <v>0</v>
      </c>
      <c r="U796" s="17">
        <f t="shared" si="469"/>
        <v>0</v>
      </c>
      <c r="V796" s="17">
        <f t="shared" si="470"/>
        <v>0</v>
      </c>
      <c r="W796" s="17">
        <f t="shared" si="471"/>
        <v>0</v>
      </c>
      <c r="X796" s="17">
        <f t="shared" si="472"/>
        <v>0</v>
      </c>
      <c r="Y796" s="17">
        <f t="shared" si="473"/>
        <v>0</v>
      </c>
      <c r="Z796" s="17">
        <f t="shared" si="474"/>
        <v>0</v>
      </c>
      <c r="AA796" s="17">
        <f t="shared" si="475"/>
        <v>0</v>
      </c>
      <c r="AB796" s="17">
        <f t="shared" si="476"/>
        <v>0</v>
      </c>
      <c r="AC796" s="17">
        <v>0</v>
      </c>
      <c r="AD796" s="17">
        <f t="shared" si="477"/>
        <v>0</v>
      </c>
      <c r="AE796" s="17">
        <f t="shared" si="478"/>
        <v>0</v>
      </c>
      <c r="AF796" s="17">
        <f t="shared" si="479"/>
        <v>0</v>
      </c>
      <c r="AG796" s="17">
        <f t="shared" si="480"/>
        <v>0</v>
      </c>
      <c r="AH796" s="17">
        <f t="shared" si="481"/>
        <v>0</v>
      </c>
      <c r="AI796" s="17">
        <f t="shared" si="482"/>
        <v>0</v>
      </c>
      <c r="AJ796" s="17">
        <f t="shared" si="483"/>
        <v>0</v>
      </c>
      <c r="AK796" s="17">
        <f t="shared" si="484"/>
        <v>0</v>
      </c>
      <c r="AL796" s="17">
        <f t="shared" si="485"/>
        <v>0</v>
      </c>
      <c r="AM796" s="17">
        <f t="shared" si="486"/>
        <v>0</v>
      </c>
      <c r="AN796" s="17">
        <f t="shared" si="487"/>
        <v>0</v>
      </c>
      <c r="AO796" s="17">
        <f t="shared" si="488"/>
        <v>0</v>
      </c>
      <c r="AP796" s="17">
        <f t="shared" si="489"/>
        <v>0</v>
      </c>
      <c r="AQ796" s="18">
        <v>0</v>
      </c>
      <c r="AR796" s="18">
        <v>0</v>
      </c>
      <c r="AS796" s="18">
        <v>0</v>
      </c>
      <c r="AT796" s="18">
        <v>0</v>
      </c>
      <c r="AU796" s="18">
        <v>0</v>
      </c>
      <c r="AV796" s="18">
        <v>0</v>
      </c>
      <c r="AW796" s="18">
        <v>0</v>
      </c>
      <c r="AX796" s="18">
        <v>0</v>
      </c>
      <c r="AY796" s="18">
        <v>0</v>
      </c>
      <c r="AZ796" s="18">
        <v>0</v>
      </c>
      <c r="BA796" s="18">
        <v>0</v>
      </c>
      <c r="BB796" s="18">
        <v>0</v>
      </c>
      <c r="BC796" s="23">
        <v>8.9181565948742242E-2</v>
      </c>
      <c r="BD796" s="23">
        <v>0.10665277883445198</v>
      </c>
      <c r="BE796" s="23">
        <v>9.438849084854764E-2</v>
      </c>
      <c r="BF796" s="23">
        <v>7.149564986855049E-2</v>
      </c>
      <c r="BG796" s="23">
        <v>0.10368571810536763</v>
      </c>
      <c r="BH796" s="23">
        <v>8.4970330952544637E-2</v>
      </c>
      <c r="BI796" s="23">
        <v>8.4593878877262704E-2</v>
      </c>
      <c r="BJ796" s="23">
        <v>5.7447105462779965E-2</v>
      </c>
      <c r="BK796" s="23">
        <v>8.5153852345557474E-2</v>
      </c>
      <c r="BL796" s="23">
        <v>7.4158058913035174E-2</v>
      </c>
      <c r="BM796" s="23">
        <v>7.5718189192107169E-2</v>
      </c>
      <c r="BN796" s="23">
        <v>7.3955559365675619E-2</v>
      </c>
    </row>
    <row r="797" spans="1:66" x14ac:dyDescent="0.25">
      <c r="A797" s="16">
        <v>5528</v>
      </c>
      <c r="B797" s="16" t="s">
        <v>991</v>
      </c>
      <c r="C797" s="17">
        <v>0</v>
      </c>
      <c r="D797" s="17">
        <f t="shared" si="453"/>
        <v>0</v>
      </c>
      <c r="E797" s="17">
        <f t="shared" si="454"/>
        <v>0</v>
      </c>
      <c r="F797" s="17">
        <f t="shared" si="455"/>
        <v>0</v>
      </c>
      <c r="G797" s="17">
        <f t="shared" si="456"/>
        <v>0</v>
      </c>
      <c r="H797" s="17">
        <f t="shared" si="457"/>
        <v>0</v>
      </c>
      <c r="I797" s="17">
        <f t="shared" si="458"/>
        <v>0</v>
      </c>
      <c r="J797" s="17">
        <f t="shared" si="459"/>
        <v>0</v>
      </c>
      <c r="K797" s="17">
        <f t="shared" si="460"/>
        <v>0</v>
      </c>
      <c r="L797" s="17">
        <f t="shared" si="461"/>
        <v>0</v>
      </c>
      <c r="M797" s="17">
        <f t="shared" si="462"/>
        <v>0</v>
      </c>
      <c r="N797" s="17">
        <f t="shared" si="463"/>
        <v>0</v>
      </c>
      <c r="O797" s="17">
        <f t="shared" si="464"/>
        <v>0</v>
      </c>
      <c r="P797" s="17">
        <v>0</v>
      </c>
      <c r="Q797" s="17">
        <f t="shared" si="465"/>
        <v>0</v>
      </c>
      <c r="R797" s="17">
        <f t="shared" si="466"/>
        <v>0</v>
      </c>
      <c r="S797" s="17">
        <f t="shared" si="467"/>
        <v>0</v>
      </c>
      <c r="T797" s="17">
        <f t="shared" si="468"/>
        <v>0</v>
      </c>
      <c r="U797" s="17">
        <f t="shared" si="469"/>
        <v>0</v>
      </c>
      <c r="V797" s="17">
        <f t="shared" si="470"/>
        <v>0</v>
      </c>
      <c r="W797" s="17">
        <f t="shared" si="471"/>
        <v>0</v>
      </c>
      <c r="X797" s="17">
        <f t="shared" si="472"/>
        <v>0</v>
      </c>
      <c r="Y797" s="17">
        <f t="shared" si="473"/>
        <v>0</v>
      </c>
      <c r="Z797" s="17">
        <f t="shared" si="474"/>
        <v>0</v>
      </c>
      <c r="AA797" s="17">
        <f t="shared" si="475"/>
        <v>0</v>
      </c>
      <c r="AB797" s="17">
        <f t="shared" si="476"/>
        <v>0</v>
      </c>
      <c r="AC797" s="17">
        <v>0</v>
      </c>
      <c r="AD797" s="17">
        <f t="shared" si="477"/>
        <v>0</v>
      </c>
      <c r="AE797" s="17">
        <f t="shared" si="478"/>
        <v>0</v>
      </c>
      <c r="AF797" s="17">
        <f t="shared" si="479"/>
        <v>0</v>
      </c>
      <c r="AG797" s="17">
        <f t="shared" si="480"/>
        <v>0</v>
      </c>
      <c r="AH797" s="17">
        <f t="shared" si="481"/>
        <v>0</v>
      </c>
      <c r="AI797" s="17">
        <f t="shared" si="482"/>
        <v>0</v>
      </c>
      <c r="AJ797" s="17">
        <f t="shared" si="483"/>
        <v>0</v>
      </c>
      <c r="AK797" s="17">
        <f t="shared" si="484"/>
        <v>0</v>
      </c>
      <c r="AL797" s="17">
        <f t="shared" si="485"/>
        <v>0</v>
      </c>
      <c r="AM797" s="17">
        <f t="shared" si="486"/>
        <v>0</v>
      </c>
      <c r="AN797" s="17">
        <f t="shared" si="487"/>
        <v>0</v>
      </c>
      <c r="AO797" s="17">
        <f t="shared" si="488"/>
        <v>0</v>
      </c>
      <c r="AP797" s="17">
        <f t="shared" si="489"/>
        <v>0</v>
      </c>
      <c r="AQ797" s="18">
        <v>0</v>
      </c>
      <c r="AR797" s="18">
        <v>0</v>
      </c>
      <c r="AS797" s="18">
        <v>0</v>
      </c>
      <c r="AT797" s="18">
        <v>0</v>
      </c>
      <c r="AU797" s="18">
        <v>0</v>
      </c>
      <c r="AV797" s="18">
        <v>0</v>
      </c>
      <c r="AW797" s="18">
        <v>0</v>
      </c>
      <c r="AX797" s="18">
        <v>0</v>
      </c>
      <c r="AY797" s="18">
        <v>0</v>
      </c>
      <c r="AZ797" s="18">
        <v>0</v>
      </c>
      <c r="BA797" s="18">
        <v>0</v>
      </c>
      <c r="BB797" s="18">
        <v>0</v>
      </c>
      <c r="BC797" s="23">
        <v>8.9181565948742242E-2</v>
      </c>
      <c r="BD797" s="23">
        <v>0.10665277883445198</v>
      </c>
      <c r="BE797" s="23">
        <v>9.438849084854764E-2</v>
      </c>
      <c r="BF797" s="23">
        <v>7.149564986855049E-2</v>
      </c>
      <c r="BG797" s="23">
        <v>0.10368571810536763</v>
      </c>
      <c r="BH797" s="23">
        <v>8.4970330952544637E-2</v>
      </c>
      <c r="BI797" s="23">
        <v>8.4593878877262704E-2</v>
      </c>
      <c r="BJ797" s="23">
        <v>5.7447105462779965E-2</v>
      </c>
      <c r="BK797" s="23">
        <v>8.5153852345557474E-2</v>
      </c>
      <c r="BL797" s="23">
        <v>7.4158058913035174E-2</v>
      </c>
      <c r="BM797" s="23">
        <v>7.5718189192107169E-2</v>
      </c>
      <c r="BN797" s="23">
        <v>7.3955559365675619E-2</v>
      </c>
    </row>
    <row r="798" spans="1:66" x14ac:dyDescent="0.25">
      <c r="A798" s="16">
        <v>5530</v>
      </c>
      <c r="B798" s="16" t="s">
        <v>992</v>
      </c>
      <c r="C798" s="17">
        <v>0</v>
      </c>
      <c r="D798" s="17">
        <f t="shared" si="453"/>
        <v>0</v>
      </c>
      <c r="E798" s="17">
        <f t="shared" si="454"/>
        <v>0</v>
      </c>
      <c r="F798" s="17">
        <f t="shared" si="455"/>
        <v>0</v>
      </c>
      <c r="G798" s="17">
        <f t="shared" si="456"/>
        <v>0</v>
      </c>
      <c r="H798" s="17">
        <f t="shared" si="457"/>
        <v>0</v>
      </c>
      <c r="I798" s="17">
        <f t="shared" si="458"/>
        <v>0</v>
      </c>
      <c r="J798" s="17">
        <f t="shared" si="459"/>
        <v>0</v>
      </c>
      <c r="K798" s="17">
        <f t="shared" si="460"/>
        <v>0</v>
      </c>
      <c r="L798" s="17">
        <f t="shared" si="461"/>
        <v>0</v>
      </c>
      <c r="M798" s="17">
        <f t="shared" si="462"/>
        <v>0</v>
      </c>
      <c r="N798" s="17">
        <f t="shared" si="463"/>
        <v>0</v>
      </c>
      <c r="O798" s="17">
        <f t="shared" si="464"/>
        <v>0</v>
      </c>
      <c r="P798" s="17">
        <v>0</v>
      </c>
      <c r="Q798" s="17">
        <f t="shared" si="465"/>
        <v>0</v>
      </c>
      <c r="R798" s="17">
        <f t="shared" si="466"/>
        <v>0</v>
      </c>
      <c r="S798" s="17">
        <f t="shared" si="467"/>
        <v>0</v>
      </c>
      <c r="T798" s="17">
        <f t="shared" si="468"/>
        <v>0</v>
      </c>
      <c r="U798" s="17">
        <f t="shared" si="469"/>
        <v>0</v>
      </c>
      <c r="V798" s="17">
        <f t="shared" si="470"/>
        <v>0</v>
      </c>
      <c r="W798" s="17">
        <f t="shared" si="471"/>
        <v>0</v>
      </c>
      <c r="X798" s="17">
        <f t="shared" si="472"/>
        <v>0</v>
      </c>
      <c r="Y798" s="17">
        <f t="shared" si="473"/>
        <v>0</v>
      </c>
      <c r="Z798" s="17">
        <f t="shared" si="474"/>
        <v>0</v>
      </c>
      <c r="AA798" s="17">
        <f t="shared" si="475"/>
        <v>0</v>
      </c>
      <c r="AB798" s="17">
        <f t="shared" si="476"/>
        <v>0</v>
      </c>
      <c r="AC798" s="17">
        <v>0</v>
      </c>
      <c r="AD798" s="17">
        <f t="shared" si="477"/>
        <v>0</v>
      </c>
      <c r="AE798" s="17">
        <f t="shared" si="478"/>
        <v>0</v>
      </c>
      <c r="AF798" s="17">
        <f t="shared" si="479"/>
        <v>0</v>
      </c>
      <c r="AG798" s="17">
        <f t="shared" si="480"/>
        <v>0</v>
      </c>
      <c r="AH798" s="17">
        <f t="shared" si="481"/>
        <v>0</v>
      </c>
      <c r="AI798" s="17">
        <f t="shared" si="482"/>
        <v>0</v>
      </c>
      <c r="AJ798" s="17">
        <f t="shared" si="483"/>
        <v>0</v>
      </c>
      <c r="AK798" s="17">
        <f t="shared" si="484"/>
        <v>0</v>
      </c>
      <c r="AL798" s="17">
        <f t="shared" si="485"/>
        <v>0</v>
      </c>
      <c r="AM798" s="17">
        <f t="shared" si="486"/>
        <v>0</v>
      </c>
      <c r="AN798" s="17">
        <f t="shared" si="487"/>
        <v>0</v>
      </c>
      <c r="AO798" s="17">
        <f t="shared" si="488"/>
        <v>0</v>
      </c>
      <c r="AP798" s="17">
        <f t="shared" si="489"/>
        <v>0</v>
      </c>
      <c r="AQ798" s="18">
        <v>0</v>
      </c>
      <c r="AR798" s="18">
        <v>0</v>
      </c>
      <c r="AS798" s="18">
        <v>0</v>
      </c>
      <c r="AT798" s="18">
        <v>0</v>
      </c>
      <c r="AU798" s="18">
        <v>0</v>
      </c>
      <c r="AV798" s="18">
        <v>0</v>
      </c>
      <c r="AW798" s="18">
        <v>0</v>
      </c>
      <c r="AX798" s="18">
        <v>0</v>
      </c>
      <c r="AY798" s="18">
        <v>0</v>
      </c>
      <c r="AZ798" s="18">
        <v>0</v>
      </c>
      <c r="BA798" s="18">
        <v>0</v>
      </c>
      <c r="BB798" s="18">
        <v>0</v>
      </c>
      <c r="BC798" s="23">
        <v>8.9181565948742242E-2</v>
      </c>
      <c r="BD798" s="23">
        <v>0.10665277883445198</v>
      </c>
      <c r="BE798" s="23">
        <v>9.438849084854764E-2</v>
      </c>
      <c r="BF798" s="23">
        <v>7.149564986855049E-2</v>
      </c>
      <c r="BG798" s="23">
        <v>0.10368571810536763</v>
      </c>
      <c r="BH798" s="23">
        <v>8.4970330952544637E-2</v>
      </c>
      <c r="BI798" s="23">
        <v>8.4593878877262704E-2</v>
      </c>
      <c r="BJ798" s="23">
        <v>5.7447105462779965E-2</v>
      </c>
      <c r="BK798" s="23">
        <v>8.5153852345557474E-2</v>
      </c>
      <c r="BL798" s="23">
        <v>7.4158058913035174E-2</v>
      </c>
      <c r="BM798" s="23">
        <v>7.5718189192107169E-2</v>
      </c>
      <c r="BN798" s="23">
        <v>7.3955559365675619E-2</v>
      </c>
    </row>
    <row r="799" spans="1:66" x14ac:dyDescent="0.25">
      <c r="A799" s="16">
        <v>5532</v>
      </c>
      <c r="B799" s="16" t="s">
        <v>993</v>
      </c>
      <c r="C799" s="17">
        <v>0</v>
      </c>
      <c r="D799" s="17">
        <f t="shared" si="453"/>
        <v>0</v>
      </c>
      <c r="E799" s="17">
        <f t="shared" si="454"/>
        <v>0</v>
      </c>
      <c r="F799" s="17">
        <f t="shared" si="455"/>
        <v>0</v>
      </c>
      <c r="G799" s="17">
        <f t="shared" si="456"/>
        <v>0</v>
      </c>
      <c r="H799" s="17">
        <f t="shared" si="457"/>
        <v>0</v>
      </c>
      <c r="I799" s="17">
        <f t="shared" si="458"/>
        <v>0</v>
      </c>
      <c r="J799" s="17">
        <f t="shared" si="459"/>
        <v>0</v>
      </c>
      <c r="K799" s="17">
        <f t="shared" si="460"/>
        <v>0</v>
      </c>
      <c r="L799" s="17">
        <f t="shared" si="461"/>
        <v>0</v>
      </c>
      <c r="M799" s="17">
        <f t="shared" si="462"/>
        <v>0</v>
      </c>
      <c r="N799" s="17">
        <f t="shared" si="463"/>
        <v>0</v>
      </c>
      <c r="O799" s="17">
        <f t="shared" si="464"/>
        <v>0</v>
      </c>
      <c r="P799" s="17">
        <v>0</v>
      </c>
      <c r="Q799" s="17">
        <f t="shared" si="465"/>
        <v>0</v>
      </c>
      <c r="R799" s="17">
        <f t="shared" si="466"/>
        <v>0</v>
      </c>
      <c r="S799" s="17">
        <f t="shared" si="467"/>
        <v>0</v>
      </c>
      <c r="T799" s="17">
        <f t="shared" si="468"/>
        <v>0</v>
      </c>
      <c r="U799" s="17">
        <f t="shared" si="469"/>
        <v>0</v>
      </c>
      <c r="V799" s="17">
        <f t="shared" si="470"/>
        <v>0</v>
      </c>
      <c r="W799" s="17">
        <f t="shared" si="471"/>
        <v>0</v>
      </c>
      <c r="X799" s="17">
        <f t="shared" si="472"/>
        <v>0</v>
      </c>
      <c r="Y799" s="17">
        <f t="shared" si="473"/>
        <v>0</v>
      </c>
      <c r="Z799" s="17">
        <f t="shared" si="474"/>
        <v>0</v>
      </c>
      <c r="AA799" s="17">
        <f t="shared" si="475"/>
        <v>0</v>
      </c>
      <c r="AB799" s="17">
        <f t="shared" si="476"/>
        <v>0</v>
      </c>
      <c r="AC799" s="17">
        <v>0</v>
      </c>
      <c r="AD799" s="17">
        <f t="shared" si="477"/>
        <v>0</v>
      </c>
      <c r="AE799" s="17">
        <f t="shared" si="478"/>
        <v>0</v>
      </c>
      <c r="AF799" s="17">
        <f t="shared" si="479"/>
        <v>0</v>
      </c>
      <c r="AG799" s="17">
        <f t="shared" si="480"/>
        <v>0</v>
      </c>
      <c r="AH799" s="17">
        <f t="shared" si="481"/>
        <v>0</v>
      </c>
      <c r="AI799" s="17">
        <f t="shared" si="482"/>
        <v>0</v>
      </c>
      <c r="AJ799" s="17">
        <f t="shared" si="483"/>
        <v>0</v>
      </c>
      <c r="AK799" s="17">
        <f t="shared" si="484"/>
        <v>0</v>
      </c>
      <c r="AL799" s="17">
        <f t="shared" si="485"/>
        <v>0</v>
      </c>
      <c r="AM799" s="17">
        <f t="shared" si="486"/>
        <v>0</v>
      </c>
      <c r="AN799" s="17">
        <f t="shared" si="487"/>
        <v>0</v>
      </c>
      <c r="AO799" s="17">
        <f t="shared" si="488"/>
        <v>0</v>
      </c>
      <c r="AP799" s="17">
        <f t="shared" si="489"/>
        <v>0</v>
      </c>
      <c r="AQ799" s="18">
        <v>0</v>
      </c>
      <c r="AR799" s="18">
        <v>0</v>
      </c>
      <c r="AS799" s="18">
        <v>0</v>
      </c>
      <c r="AT799" s="18">
        <v>0</v>
      </c>
      <c r="AU799" s="18">
        <v>0</v>
      </c>
      <c r="AV799" s="18">
        <v>0</v>
      </c>
      <c r="AW799" s="18">
        <v>0</v>
      </c>
      <c r="AX799" s="18">
        <v>0</v>
      </c>
      <c r="AY799" s="18">
        <v>0</v>
      </c>
      <c r="AZ799" s="18">
        <v>0</v>
      </c>
      <c r="BA799" s="18">
        <v>0</v>
      </c>
      <c r="BB799" s="18">
        <v>0</v>
      </c>
      <c r="BC799" s="23">
        <v>8.9181565948742242E-2</v>
      </c>
      <c r="BD799" s="23">
        <v>0.10665277883445198</v>
      </c>
      <c r="BE799" s="23">
        <v>9.438849084854764E-2</v>
      </c>
      <c r="BF799" s="23">
        <v>7.149564986855049E-2</v>
      </c>
      <c r="BG799" s="23">
        <v>0.10368571810536763</v>
      </c>
      <c r="BH799" s="23">
        <v>8.4970330952544637E-2</v>
      </c>
      <c r="BI799" s="23">
        <v>8.4593878877262704E-2</v>
      </c>
      <c r="BJ799" s="23">
        <v>5.7447105462779965E-2</v>
      </c>
      <c r="BK799" s="23">
        <v>8.5153852345557474E-2</v>
      </c>
      <c r="BL799" s="23">
        <v>7.4158058913035174E-2</v>
      </c>
      <c r="BM799" s="23">
        <v>7.5718189192107169E-2</v>
      </c>
      <c r="BN799" s="23">
        <v>7.3955559365675619E-2</v>
      </c>
    </row>
    <row r="800" spans="1:66" x14ac:dyDescent="0.25">
      <c r="A800" s="16">
        <v>5533</v>
      </c>
      <c r="B800" s="16" t="s">
        <v>994</v>
      </c>
      <c r="C800" s="17">
        <v>0</v>
      </c>
      <c r="D800" s="17">
        <f t="shared" si="453"/>
        <v>0</v>
      </c>
      <c r="E800" s="17">
        <f t="shared" si="454"/>
        <v>0</v>
      </c>
      <c r="F800" s="17">
        <f t="shared" si="455"/>
        <v>0</v>
      </c>
      <c r="G800" s="17">
        <f t="shared" si="456"/>
        <v>0</v>
      </c>
      <c r="H800" s="17">
        <f t="shared" si="457"/>
        <v>0</v>
      </c>
      <c r="I800" s="17">
        <f t="shared" si="458"/>
        <v>0</v>
      </c>
      <c r="J800" s="17">
        <f t="shared" si="459"/>
        <v>0</v>
      </c>
      <c r="K800" s="17">
        <f t="shared" si="460"/>
        <v>0</v>
      </c>
      <c r="L800" s="17">
        <f t="shared" si="461"/>
        <v>0</v>
      </c>
      <c r="M800" s="17">
        <f t="shared" si="462"/>
        <v>0</v>
      </c>
      <c r="N800" s="17">
        <f t="shared" si="463"/>
        <v>0</v>
      </c>
      <c r="O800" s="17">
        <f t="shared" si="464"/>
        <v>0</v>
      </c>
      <c r="P800" s="17">
        <v>0</v>
      </c>
      <c r="Q800" s="17">
        <f t="shared" si="465"/>
        <v>0</v>
      </c>
      <c r="R800" s="17">
        <f t="shared" si="466"/>
        <v>0</v>
      </c>
      <c r="S800" s="17">
        <f t="shared" si="467"/>
        <v>0</v>
      </c>
      <c r="T800" s="17">
        <f t="shared" si="468"/>
        <v>0</v>
      </c>
      <c r="U800" s="17">
        <f t="shared" si="469"/>
        <v>0</v>
      </c>
      <c r="V800" s="17">
        <f t="shared" si="470"/>
        <v>0</v>
      </c>
      <c r="W800" s="17">
        <f t="shared" si="471"/>
        <v>0</v>
      </c>
      <c r="X800" s="17">
        <f t="shared" si="472"/>
        <v>0</v>
      </c>
      <c r="Y800" s="17">
        <f t="shared" si="473"/>
        <v>0</v>
      </c>
      <c r="Z800" s="17">
        <f t="shared" si="474"/>
        <v>0</v>
      </c>
      <c r="AA800" s="17">
        <f t="shared" si="475"/>
        <v>0</v>
      </c>
      <c r="AB800" s="17">
        <f t="shared" si="476"/>
        <v>0</v>
      </c>
      <c r="AC800" s="17">
        <v>0</v>
      </c>
      <c r="AD800" s="17">
        <f t="shared" si="477"/>
        <v>0</v>
      </c>
      <c r="AE800" s="17">
        <f t="shared" si="478"/>
        <v>0</v>
      </c>
      <c r="AF800" s="17">
        <f t="shared" si="479"/>
        <v>0</v>
      </c>
      <c r="AG800" s="17">
        <f t="shared" si="480"/>
        <v>0</v>
      </c>
      <c r="AH800" s="17">
        <f t="shared" si="481"/>
        <v>0</v>
      </c>
      <c r="AI800" s="17">
        <f t="shared" si="482"/>
        <v>0</v>
      </c>
      <c r="AJ800" s="17">
        <f t="shared" si="483"/>
        <v>0</v>
      </c>
      <c r="AK800" s="17">
        <f t="shared" si="484"/>
        <v>0</v>
      </c>
      <c r="AL800" s="17">
        <f t="shared" si="485"/>
        <v>0</v>
      </c>
      <c r="AM800" s="17">
        <f t="shared" si="486"/>
        <v>0</v>
      </c>
      <c r="AN800" s="17">
        <f t="shared" si="487"/>
        <v>0</v>
      </c>
      <c r="AO800" s="17">
        <f t="shared" si="488"/>
        <v>0</v>
      </c>
      <c r="AP800" s="17">
        <f t="shared" si="489"/>
        <v>0</v>
      </c>
      <c r="AQ800" s="18">
        <v>0</v>
      </c>
      <c r="AR800" s="18">
        <v>0</v>
      </c>
      <c r="AS800" s="18">
        <v>0</v>
      </c>
      <c r="AT800" s="18">
        <v>0</v>
      </c>
      <c r="AU800" s="18">
        <v>0</v>
      </c>
      <c r="AV800" s="18">
        <v>0</v>
      </c>
      <c r="AW800" s="18">
        <v>0</v>
      </c>
      <c r="AX800" s="18">
        <v>0</v>
      </c>
      <c r="AY800" s="18">
        <v>0</v>
      </c>
      <c r="AZ800" s="18">
        <v>0</v>
      </c>
      <c r="BA800" s="18">
        <v>0</v>
      </c>
      <c r="BB800" s="18">
        <v>0</v>
      </c>
      <c r="BC800" s="23">
        <v>8.9181565948742242E-2</v>
      </c>
      <c r="BD800" s="23">
        <v>0.10665277883445198</v>
      </c>
      <c r="BE800" s="23">
        <v>9.438849084854764E-2</v>
      </c>
      <c r="BF800" s="23">
        <v>7.149564986855049E-2</v>
      </c>
      <c r="BG800" s="23">
        <v>0.10368571810536763</v>
      </c>
      <c r="BH800" s="23">
        <v>8.4970330952544637E-2</v>
      </c>
      <c r="BI800" s="23">
        <v>8.4593878877262704E-2</v>
      </c>
      <c r="BJ800" s="23">
        <v>5.7447105462779965E-2</v>
      </c>
      <c r="BK800" s="23">
        <v>8.5153852345557474E-2</v>
      </c>
      <c r="BL800" s="23">
        <v>7.4158058913035174E-2</v>
      </c>
      <c r="BM800" s="23">
        <v>7.5718189192107169E-2</v>
      </c>
      <c r="BN800" s="23">
        <v>7.3955559365675619E-2</v>
      </c>
    </row>
    <row r="801" spans="1:66" x14ac:dyDescent="0.25">
      <c r="A801" s="16">
        <v>5534</v>
      </c>
      <c r="B801" s="16" t="s">
        <v>995</v>
      </c>
      <c r="C801" s="17">
        <v>0</v>
      </c>
      <c r="D801" s="17">
        <f t="shared" si="453"/>
        <v>0</v>
      </c>
      <c r="E801" s="17">
        <f t="shared" si="454"/>
        <v>0</v>
      </c>
      <c r="F801" s="17">
        <f t="shared" si="455"/>
        <v>0</v>
      </c>
      <c r="G801" s="17">
        <f t="shared" si="456"/>
        <v>0</v>
      </c>
      <c r="H801" s="17">
        <f t="shared" si="457"/>
        <v>0</v>
      </c>
      <c r="I801" s="17">
        <f t="shared" si="458"/>
        <v>0</v>
      </c>
      <c r="J801" s="17">
        <f t="shared" si="459"/>
        <v>0</v>
      </c>
      <c r="K801" s="17">
        <f t="shared" si="460"/>
        <v>0</v>
      </c>
      <c r="L801" s="17">
        <f t="shared" si="461"/>
        <v>0</v>
      </c>
      <c r="M801" s="17">
        <f t="shared" si="462"/>
        <v>0</v>
      </c>
      <c r="N801" s="17">
        <f t="shared" si="463"/>
        <v>0</v>
      </c>
      <c r="O801" s="17">
        <f t="shared" si="464"/>
        <v>0</v>
      </c>
      <c r="P801" s="17">
        <v>0</v>
      </c>
      <c r="Q801" s="17">
        <f t="shared" si="465"/>
        <v>0</v>
      </c>
      <c r="R801" s="17">
        <f t="shared" si="466"/>
        <v>0</v>
      </c>
      <c r="S801" s="17">
        <f t="shared" si="467"/>
        <v>0</v>
      </c>
      <c r="T801" s="17">
        <f t="shared" si="468"/>
        <v>0</v>
      </c>
      <c r="U801" s="17">
        <f t="shared" si="469"/>
        <v>0</v>
      </c>
      <c r="V801" s="17">
        <f t="shared" si="470"/>
        <v>0</v>
      </c>
      <c r="W801" s="17">
        <f t="shared" si="471"/>
        <v>0</v>
      </c>
      <c r="X801" s="17">
        <f t="shared" si="472"/>
        <v>0</v>
      </c>
      <c r="Y801" s="17">
        <f t="shared" si="473"/>
        <v>0</v>
      </c>
      <c r="Z801" s="17">
        <f t="shared" si="474"/>
        <v>0</v>
      </c>
      <c r="AA801" s="17">
        <f t="shared" si="475"/>
        <v>0</v>
      </c>
      <c r="AB801" s="17">
        <f t="shared" si="476"/>
        <v>0</v>
      </c>
      <c r="AC801" s="17">
        <v>0</v>
      </c>
      <c r="AD801" s="17">
        <f t="shared" si="477"/>
        <v>0</v>
      </c>
      <c r="AE801" s="17">
        <f t="shared" si="478"/>
        <v>0</v>
      </c>
      <c r="AF801" s="17">
        <f t="shared" si="479"/>
        <v>0</v>
      </c>
      <c r="AG801" s="17">
        <f t="shared" si="480"/>
        <v>0</v>
      </c>
      <c r="AH801" s="17">
        <f t="shared" si="481"/>
        <v>0</v>
      </c>
      <c r="AI801" s="17">
        <f t="shared" si="482"/>
        <v>0</v>
      </c>
      <c r="AJ801" s="17">
        <f t="shared" si="483"/>
        <v>0</v>
      </c>
      <c r="AK801" s="17">
        <f t="shared" si="484"/>
        <v>0</v>
      </c>
      <c r="AL801" s="17">
        <f t="shared" si="485"/>
        <v>0</v>
      </c>
      <c r="AM801" s="17">
        <f t="shared" si="486"/>
        <v>0</v>
      </c>
      <c r="AN801" s="17">
        <f t="shared" si="487"/>
        <v>0</v>
      </c>
      <c r="AO801" s="17">
        <f t="shared" si="488"/>
        <v>0</v>
      </c>
      <c r="AP801" s="17">
        <f t="shared" si="489"/>
        <v>0</v>
      </c>
      <c r="AQ801" s="18">
        <v>0</v>
      </c>
      <c r="AR801" s="18">
        <v>0</v>
      </c>
      <c r="AS801" s="18">
        <v>0</v>
      </c>
      <c r="AT801" s="18">
        <v>0</v>
      </c>
      <c r="AU801" s="18">
        <v>0</v>
      </c>
      <c r="AV801" s="18">
        <v>0</v>
      </c>
      <c r="AW801" s="18">
        <v>0</v>
      </c>
      <c r="AX801" s="18">
        <v>0</v>
      </c>
      <c r="AY801" s="18">
        <v>0</v>
      </c>
      <c r="AZ801" s="18">
        <v>0</v>
      </c>
      <c r="BA801" s="18">
        <v>0</v>
      </c>
      <c r="BB801" s="18">
        <v>0</v>
      </c>
      <c r="BC801" s="23">
        <v>8.9181565948742242E-2</v>
      </c>
      <c r="BD801" s="23">
        <v>0.10665277883445198</v>
      </c>
      <c r="BE801" s="23">
        <v>9.438849084854764E-2</v>
      </c>
      <c r="BF801" s="23">
        <v>7.149564986855049E-2</v>
      </c>
      <c r="BG801" s="23">
        <v>0.10368571810536763</v>
      </c>
      <c r="BH801" s="23">
        <v>8.4970330952544637E-2</v>
      </c>
      <c r="BI801" s="23">
        <v>8.4593878877262704E-2</v>
      </c>
      <c r="BJ801" s="23">
        <v>5.7447105462779965E-2</v>
      </c>
      <c r="BK801" s="23">
        <v>8.5153852345557474E-2</v>
      </c>
      <c r="BL801" s="23">
        <v>7.4158058913035174E-2</v>
      </c>
      <c r="BM801" s="23">
        <v>7.5718189192107169E-2</v>
      </c>
      <c r="BN801" s="23">
        <v>7.3955559365675619E-2</v>
      </c>
    </row>
    <row r="802" spans="1:66" x14ac:dyDescent="0.25">
      <c r="A802" s="16">
        <v>5536</v>
      </c>
      <c r="B802" s="16" t="s">
        <v>996</v>
      </c>
      <c r="C802" s="17">
        <v>0</v>
      </c>
      <c r="D802" s="17">
        <f t="shared" si="453"/>
        <v>0</v>
      </c>
      <c r="E802" s="17">
        <f t="shared" si="454"/>
        <v>0</v>
      </c>
      <c r="F802" s="17">
        <f t="shared" si="455"/>
        <v>0</v>
      </c>
      <c r="G802" s="17">
        <f t="shared" si="456"/>
        <v>0</v>
      </c>
      <c r="H802" s="17">
        <f t="shared" si="457"/>
        <v>0</v>
      </c>
      <c r="I802" s="17">
        <f t="shared" si="458"/>
        <v>0</v>
      </c>
      <c r="J802" s="17">
        <f t="shared" si="459"/>
        <v>0</v>
      </c>
      <c r="K802" s="17">
        <f t="shared" si="460"/>
        <v>0</v>
      </c>
      <c r="L802" s="17">
        <f t="shared" si="461"/>
        <v>0</v>
      </c>
      <c r="M802" s="17">
        <f t="shared" si="462"/>
        <v>0</v>
      </c>
      <c r="N802" s="17">
        <f t="shared" si="463"/>
        <v>0</v>
      </c>
      <c r="O802" s="17">
        <f t="shared" si="464"/>
        <v>0</v>
      </c>
      <c r="P802" s="17">
        <v>0</v>
      </c>
      <c r="Q802" s="17">
        <f t="shared" si="465"/>
        <v>0</v>
      </c>
      <c r="R802" s="17">
        <f t="shared" si="466"/>
        <v>0</v>
      </c>
      <c r="S802" s="17">
        <f t="shared" si="467"/>
        <v>0</v>
      </c>
      <c r="T802" s="17">
        <f t="shared" si="468"/>
        <v>0</v>
      </c>
      <c r="U802" s="17">
        <f t="shared" si="469"/>
        <v>0</v>
      </c>
      <c r="V802" s="17">
        <f t="shared" si="470"/>
        <v>0</v>
      </c>
      <c r="W802" s="17">
        <f t="shared" si="471"/>
        <v>0</v>
      </c>
      <c r="X802" s="17">
        <f t="shared" si="472"/>
        <v>0</v>
      </c>
      <c r="Y802" s="17">
        <f t="shared" si="473"/>
        <v>0</v>
      </c>
      <c r="Z802" s="17">
        <f t="shared" si="474"/>
        <v>0</v>
      </c>
      <c r="AA802" s="17">
        <f t="shared" si="475"/>
        <v>0</v>
      </c>
      <c r="AB802" s="17">
        <f t="shared" si="476"/>
        <v>0</v>
      </c>
      <c r="AC802" s="17">
        <v>0</v>
      </c>
      <c r="AD802" s="17">
        <f t="shared" si="477"/>
        <v>0</v>
      </c>
      <c r="AE802" s="17">
        <f t="shared" si="478"/>
        <v>0</v>
      </c>
      <c r="AF802" s="17">
        <f t="shared" si="479"/>
        <v>0</v>
      </c>
      <c r="AG802" s="17">
        <f t="shared" si="480"/>
        <v>0</v>
      </c>
      <c r="AH802" s="17">
        <f t="shared" si="481"/>
        <v>0</v>
      </c>
      <c r="AI802" s="17">
        <f t="shared" si="482"/>
        <v>0</v>
      </c>
      <c r="AJ802" s="17">
        <f t="shared" si="483"/>
        <v>0</v>
      </c>
      <c r="AK802" s="17">
        <f t="shared" si="484"/>
        <v>0</v>
      </c>
      <c r="AL802" s="17">
        <f t="shared" si="485"/>
        <v>0</v>
      </c>
      <c r="AM802" s="17">
        <f t="shared" si="486"/>
        <v>0</v>
      </c>
      <c r="AN802" s="17">
        <f t="shared" si="487"/>
        <v>0</v>
      </c>
      <c r="AO802" s="17">
        <f t="shared" si="488"/>
        <v>0</v>
      </c>
      <c r="AP802" s="17">
        <f t="shared" si="489"/>
        <v>0</v>
      </c>
      <c r="AQ802" s="18">
        <v>0</v>
      </c>
      <c r="AR802" s="18">
        <v>0</v>
      </c>
      <c r="AS802" s="18">
        <v>0</v>
      </c>
      <c r="AT802" s="18">
        <v>0</v>
      </c>
      <c r="AU802" s="18">
        <v>0</v>
      </c>
      <c r="AV802" s="18">
        <v>0</v>
      </c>
      <c r="AW802" s="18">
        <v>0</v>
      </c>
      <c r="AX802" s="18">
        <v>0</v>
      </c>
      <c r="AY802" s="18">
        <v>0</v>
      </c>
      <c r="AZ802" s="18">
        <v>0</v>
      </c>
      <c r="BA802" s="18">
        <v>0</v>
      </c>
      <c r="BB802" s="18">
        <v>0</v>
      </c>
      <c r="BC802" s="23">
        <v>8.9181565948742242E-2</v>
      </c>
      <c r="BD802" s="23">
        <v>0.10665277883445198</v>
      </c>
      <c r="BE802" s="23">
        <v>9.438849084854764E-2</v>
      </c>
      <c r="BF802" s="23">
        <v>7.149564986855049E-2</v>
      </c>
      <c r="BG802" s="23">
        <v>0.10368571810536763</v>
      </c>
      <c r="BH802" s="23">
        <v>8.4970330952544637E-2</v>
      </c>
      <c r="BI802" s="23">
        <v>8.4593878877262704E-2</v>
      </c>
      <c r="BJ802" s="23">
        <v>5.7447105462779965E-2</v>
      </c>
      <c r="BK802" s="23">
        <v>8.5153852345557474E-2</v>
      </c>
      <c r="BL802" s="23">
        <v>7.4158058913035174E-2</v>
      </c>
      <c r="BM802" s="23">
        <v>7.5718189192107169E-2</v>
      </c>
      <c r="BN802" s="23">
        <v>7.3955559365675619E-2</v>
      </c>
    </row>
    <row r="803" spans="1:66" x14ac:dyDescent="0.25">
      <c r="A803" s="16">
        <v>5539</v>
      </c>
      <c r="B803" s="16" t="s">
        <v>997</v>
      </c>
      <c r="C803" s="17">
        <v>0</v>
      </c>
      <c r="D803" s="17">
        <f t="shared" si="453"/>
        <v>0</v>
      </c>
      <c r="E803" s="17">
        <f t="shared" si="454"/>
        <v>0</v>
      </c>
      <c r="F803" s="17">
        <f t="shared" si="455"/>
        <v>0</v>
      </c>
      <c r="G803" s="17">
        <f t="shared" si="456"/>
        <v>0</v>
      </c>
      <c r="H803" s="17">
        <f t="shared" si="457"/>
        <v>0</v>
      </c>
      <c r="I803" s="17">
        <f t="shared" si="458"/>
        <v>0</v>
      </c>
      <c r="J803" s="17">
        <f t="shared" si="459"/>
        <v>0</v>
      </c>
      <c r="K803" s="17">
        <f t="shared" si="460"/>
        <v>0</v>
      </c>
      <c r="L803" s="17">
        <f t="shared" si="461"/>
        <v>0</v>
      </c>
      <c r="M803" s="17">
        <f t="shared" si="462"/>
        <v>0</v>
      </c>
      <c r="N803" s="17">
        <f t="shared" si="463"/>
        <v>0</v>
      </c>
      <c r="O803" s="17">
        <f t="shared" si="464"/>
        <v>0</v>
      </c>
      <c r="P803" s="17">
        <v>0</v>
      </c>
      <c r="Q803" s="17">
        <f t="shared" si="465"/>
        <v>0</v>
      </c>
      <c r="R803" s="17">
        <f t="shared" si="466"/>
        <v>0</v>
      </c>
      <c r="S803" s="17">
        <f t="shared" si="467"/>
        <v>0</v>
      </c>
      <c r="T803" s="17">
        <f t="shared" si="468"/>
        <v>0</v>
      </c>
      <c r="U803" s="17">
        <f t="shared" si="469"/>
        <v>0</v>
      </c>
      <c r="V803" s="17">
        <f t="shared" si="470"/>
        <v>0</v>
      </c>
      <c r="W803" s="17">
        <f t="shared" si="471"/>
        <v>0</v>
      </c>
      <c r="X803" s="17">
        <f t="shared" si="472"/>
        <v>0</v>
      </c>
      <c r="Y803" s="17">
        <f t="shared" si="473"/>
        <v>0</v>
      </c>
      <c r="Z803" s="17">
        <f t="shared" si="474"/>
        <v>0</v>
      </c>
      <c r="AA803" s="17">
        <f t="shared" si="475"/>
        <v>0</v>
      </c>
      <c r="AB803" s="17">
        <f t="shared" si="476"/>
        <v>0</v>
      </c>
      <c r="AC803" s="17">
        <v>0</v>
      </c>
      <c r="AD803" s="17">
        <f t="shared" si="477"/>
        <v>0</v>
      </c>
      <c r="AE803" s="17">
        <f t="shared" si="478"/>
        <v>0</v>
      </c>
      <c r="AF803" s="17">
        <f t="shared" si="479"/>
        <v>0</v>
      </c>
      <c r="AG803" s="17">
        <f t="shared" si="480"/>
        <v>0</v>
      </c>
      <c r="AH803" s="17">
        <f t="shared" si="481"/>
        <v>0</v>
      </c>
      <c r="AI803" s="17">
        <f t="shared" si="482"/>
        <v>0</v>
      </c>
      <c r="AJ803" s="17">
        <f t="shared" si="483"/>
        <v>0</v>
      </c>
      <c r="AK803" s="17">
        <f t="shared" si="484"/>
        <v>0</v>
      </c>
      <c r="AL803" s="17">
        <f t="shared" si="485"/>
        <v>0</v>
      </c>
      <c r="AM803" s="17">
        <f t="shared" si="486"/>
        <v>0</v>
      </c>
      <c r="AN803" s="17">
        <f t="shared" si="487"/>
        <v>0</v>
      </c>
      <c r="AO803" s="17">
        <f t="shared" si="488"/>
        <v>0</v>
      </c>
      <c r="AP803" s="17">
        <f t="shared" si="489"/>
        <v>0</v>
      </c>
      <c r="AQ803" s="18">
        <v>0</v>
      </c>
      <c r="AR803" s="18">
        <v>0</v>
      </c>
      <c r="AS803" s="18">
        <v>0</v>
      </c>
      <c r="AT803" s="18">
        <v>0</v>
      </c>
      <c r="AU803" s="18">
        <v>0</v>
      </c>
      <c r="AV803" s="18">
        <v>0</v>
      </c>
      <c r="AW803" s="18">
        <v>0</v>
      </c>
      <c r="AX803" s="18">
        <v>0</v>
      </c>
      <c r="AY803" s="18">
        <v>0</v>
      </c>
      <c r="AZ803" s="18">
        <v>0</v>
      </c>
      <c r="BA803" s="18">
        <v>0</v>
      </c>
      <c r="BB803" s="18">
        <v>0</v>
      </c>
      <c r="BC803" s="23">
        <v>8.9181565948742242E-2</v>
      </c>
      <c r="BD803" s="23">
        <v>0.10665277883445198</v>
      </c>
      <c r="BE803" s="23">
        <v>9.438849084854764E-2</v>
      </c>
      <c r="BF803" s="23">
        <v>7.149564986855049E-2</v>
      </c>
      <c r="BG803" s="23">
        <v>0.10368571810536763</v>
      </c>
      <c r="BH803" s="23">
        <v>8.4970330952544637E-2</v>
      </c>
      <c r="BI803" s="23">
        <v>8.4593878877262704E-2</v>
      </c>
      <c r="BJ803" s="23">
        <v>5.7447105462779965E-2</v>
      </c>
      <c r="BK803" s="23">
        <v>8.5153852345557474E-2</v>
      </c>
      <c r="BL803" s="23">
        <v>7.4158058913035174E-2</v>
      </c>
      <c r="BM803" s="23">
        <v>7.5718189192107169E-2</v>
      </c>
      <c r="BN803" s="23">
        <v>7.3955559365675619E-2</v>
      </c>
    </row>
    <row r="804" spans="1:66" x14ac:dyDescent="0.25">
      <c r="A804" s="16">
        <v>5540</v>
      </c>
      <c r="B804" s="16" t="s">
        <v>998</v>
      </c>
      <c r="C804" s="17">
        <v>0</v>
      </c>
      <c r="D804" s="17">
        <f t="shared" si="453"/>
        <v>0</v>
      </c>
      <c r="E804" s="17">
        <f t="shared" si="454"/>
        <v>0</v>
      </c>
      <c r="F804" s="17">
        <f t="shared" si="455"/>
        <v>0</v>
      </c>
      <c r="G804" s="17">
        <f t="shared" si="456"/>
        <v>0</v>
      </c>
      <c r="H804" s="17">
        <f t="shared" si="457"/>
        <v>0</v>
      </c>
      <c r="I804" s="17">
        <f t="shared" si="458"/>
        <v>0</v>
      </c>
      <c r="J804" s="17">
        <f t="shared" si="459"/>
        <v>0</v>
      </c>
      <c r="K804" s="17">
        <f t="shared" si="460"/>
        <v>0</v>
      </c>
      <c r="L804" s="17">
        <f t="shared" si="461"/>
        <v>0</v>
      </c>
      <c r="M804" s="17">
        <f t="shared" si="462"/>
        <v>0</v>
      </c>
      <c r="N804" s="17">
        <f t="shared" si="463"/>
        <v>0</v>
      </c>
      <c r="O804" s="17">
        <f t="shared" si="464"/>
        <v>0</v>
      </c>
      <c r="P804" s="17">
        <v>0</v>
      </c>
      <c r="Q804" s="17">
        <f t="shared" si="465"/>
        <v>0</v>
      </c>
      <c r="R804" s="17">
        <f t="shared" si="466"/>
        <v>0</v>
      </c>
      <c r="S804" s="17">
        <f t="shared" si="467"/>
        <v>0</v>
      </c>
      <c r="T804" s="17">
        <f t="shared" si="468"/>
        <v>0</v>
      </c>
      <c r="U804" s="17">
        <f t="shared" si="469"/>
        <v>0</v>
      </c>
      <c r="V804" s="17">
        <f t="shared" si="470"/>
        <v>0</v>
      </c>
      <c r="W804" s="17">
        <f t="shared" si="471"/>
        <v>0</v>
      </c>
      <c r="X804" s="17">
        <f t="shared" si="472"/>
        <v>0</v>
      </c>
      <c r="Y804" s="17">
        <f t="shared" si="473"/>
        <v>0</v>
      </c>
      <c r="Z804" s="17">
        <f t="shared" si="474"/>
        <v>0</v>
      </c>
      <c r="AA804" s="17">
        <f t="shared" si="475"/>
        <v>0</v>
      </c>
      <c r="AB804" s="17">
        <f t="shared" si="476"/>
        <v>0</v>
      </c>
      <c r="AC804" s="17">
        <v>0</v>
      </c>
      <c r="AD804" s="17">
        <f t="shared" si="477"/>
        <v>0</v>
      </c>
      <c r="AE804" s="17">
        <f t="shared" si="478"/>
        <v>0</v>
      </c>
      <c r="AF804" s="17">
        <f t="shared" si="479"/>
        <v>0</v>
      </c>
      <c r="AG804" s="17">
        <f t="shared" si="480"/>
        <v>0</v>
      </c>
      <c r="AH804" s="17">
        <f t="shared" si="481"/>
        <v>0</v>
      </c>
      <c r="AI804" s="17">
        <f t="shared" si="482"/>
        <v>0</v>
      </c>
      <c r="AJ804" s="17">
        <f t="shared" si="483"/>
        <v>0</v>
      </c>
      <c r="AK804" s="17">
        <f t="shared" si="484"/>
        <v>0</v>
      </c>
      <c r="AL804" s="17">
        <f t="shared" si="485"/>
        <v>0</v>
      </c>
      <c r="AM804" s="17">
        <f t="shared" si="486"/>
        <v>0</v>
      </c>
      <c r="AN804" s="17">
        <f t="shared" si="487"/>
        <v>0</v>
      </c>
      <c r="AO804" s="17">
        <f t="shared" si="488"/>
        <v>0</v>
      </c>
      <c r="AP804" s="17">
        <f t="shared" si="489"/>
        <v>0</v>
      </c>
      <c r="AQ804" s="18">
        <v>0</v>
      </c>
      <c r="AR804" s="18">
        <v>0</v>
      </c>
      <c r="AS804" s="18">
        <v>0</v>
      </c>
      <c r="AT804" s="18">
        <v>0</v>
      </c>
      <c r="AU804" s="18">
        <v>0</v>
      </c>
      <c r="AV804" s="18">
        <v>0</v>
      </c>
      <c r="AW804" s="18">
        <v>0</v>
      </c>
      <c r="AX804" s="18">
        <v>0</v>
      </c>
      <c r="AY804" s="18">
        <v>0</v>
      </c>
      <c r="AZ804" s="18">
        <v>0</v>
      </c>
      <c r="BA804" s="18">
        <v>0</v>
      </c>
      <c r="BB804" s="18">
        <v>0</v>
      </c>
      <c r="BC804" s="23">
        <v>8.9181565948742242E-2</v>
      </c>
      <c r="BD804" s="23">
        <v>0.10665277883445198</v>
      </c>
      <c r="BE804" s="23">
        <v>9.438849084854764E-2</v>
      </c>
      <c r="BF804" s="23">
        <v>7.149564986855049E-2</v>
      </c>
      <c r="BG804" s="23">
        <v>0.10368571810536763</v>
      </c>
      <c r="BH804" s="23">
        <v>8.4970330952544637E-2</v>
      </c>
      <c r="BI804" s="23">
        <v>8.4593878877262704E-2</v>
      </c>
      <c r="BJ804" s="23">
        <v>5.7447105462779965E-2</v>
      </c>
      <c r="BK804" s="23">
        <v>8.5153852345557474E-2</v>
      </c>
      <c r="BL804" s="23">
        <v>7.4158058913035174E-2</v>
      </c>
      <c r="BM804" s="23">
        <v>7.5718189192107169E-2</v>
      </c>
      <c r="BN804" s="23">
        <v>7.3955559365675619E-2</v>
      </c>
    </row>
    <row r="805" spans="1:66" x14ac:dyDescent="0.25">
      <c r="A805" s="16">
        <v>5541</v>
      </c>
      <c r="B805" s="16" t="s">
        <v>999</v>
      </c>
      <c r="C805" s="17">
        <v>0</v>
      </c>
      <c r="D805" s="17">
        <f t="shared" si="453"/>
        <v>0</v>
      </c>
      <c r="E805" s="17">
        <f t="shared" si="454"/>
        <v>0</v>
      </c>
      <c r="F805" s="17">
        <f t="shared" si="455"/>
        <v>0</v>
      </c>
      <c r="G805" s="17">
        <f t="shared" si="456"/>
        <v>0</v>
      </c>
      <c r="H805" s="17">
        <f t="shared" si="457"/>
        <v>0</v>
      </c>
      <c r="I805" s="17">
        <f t="shared" si="458"/>
        <v>0</v>
      </c>
      <c r="J805" s="17">
        <f t="shared" si="459"/>
        <v>0</v>
      </c>
      <c r="K805" s="17">
        <f t="shared" si="460"/>
        <v>0</v>
      </c>
      <c r="L805" s="17">
        <f t="shared" si="461"/>
        <v>0</v>
      </c>
      <c r="M805" s="17">
        <f t="shared" si="462"/>
        <v>0</v>
      </c>
      <c r="N805" s="17">
        <f t="shared" si="463"/>
        <v>0</v>
      </c>
      <c r="O805" s="17">
        <f t="shared" si="464"/>
        <v>0</v>
      </c>
      <c r="P805" s="17">
        <v>0</v>
      </c>
      <c r="Q805" s="17">
        <f t="shared" si="465"/>
        <v>0</v>
      </c>
      <c r="R805" s="17">
        <f t="shared" si="466"/>
        <v>0</v>
      </c>
      <c r="S805" s="17">
        <f t="shared" si="467"/>
        <v>0</v>
      </c>
      <c r="T805" s="17">
        <f t="shared" si="468"/>
        <v>0</v>
      </c>
      <c r="U805" s="17">
        <f t="shared" si="469"/>
        <v>0</v>
      </c>
      <c r="V805" s="17">
        <f t="shared" si="470"/>
        <v>0</v>
      </c>
      <c r="W805" s="17">
        <f t="shared" si="471"/>
        <v>0</v>
      </c>
      <c r="X805" s="17">
        <f t="shared" si="472"/>
        <v>0</v>
      </c>
      <c r="Y805" s="17">
        <f t="shared" si="473"/>
        <v>0</v>
      </c>
      <c r="Z805" s="17">
        <f t="shared" si="474"/>
        <v>0</v>
      </c>
      <c r="AA805" s="17">
        <f t="shared" si="475"/>
        <v>0</v>
      </c>
      <c r="AB805" s="17">
        <f t="shared" si="476"/>
        <v>0</v>
      </c>
      <c r="AC805" s="17">
        <v>0</v>
      </c>
      <c r="AD805" s="17">
        <f t="shared" si="477"/>
        <v>0</v>
      </c>
      <c r="AE805" s="17">
        <f t="shared" si="478"/>
        <v>0</v>
      </c>
      <c r="AF805" s="17">
        <f t="shared" si="479"/>
        <v>0</v>
      </c>
      <c r="AG805" s="17">
        <f t="shared" si="480"/>
        <v>0</v>
      </c>
      <c r="AH805" s="17">
        <f t="shared" si="481"/>
        <v>0</v>
      </c>
      <c r="AI805" s="17">
        <f t="shared" si="482"/>
        <v>0</v>
      </c>
      <c r="AJ805" s="17">
        <f t="shared" si="483"/>
        <v>0</v>
      </c>
      <c r="AK805" s="17">
        <f t="shared" si="484"/>
        <v>0</v>
      </c>
      <c r="AL805" s="17">
        <f t="shared" si="485"/>
        <v>0</v>
      </c>
      <c r="AM805" s="17">
        <f t="shared" si="486"/>
        <v>0</v>
      </c>
      <c r="AN805" s="17">
        <f t="shared" si="487"/>
        <v>0</v>
      </c>
      <c r="AO805" s="17">
        <f t="shared" si="488"/>
        <v>0</v>
      </c>
      <c r="AP805" s="17">
        <f t="shared" si="489"/>
        <v>0</v>
      </c>
      <c r="AQ805" s="18">
        <v>0</v>
      </c>
      <c r="AR805" s="18">
        <v>0</v>
      </c>
      <c r="AS805" s="18">
        <v>0</v>
      </c>
      <c r="AT805" s="18">
        <v>0</v>
      </c>
      <c r="AU805" s="18">
        <v>0</v>
      </c>
      <c r="AV805" s="18">
        <v>0</v>
      </c>
      <c r="AW805" s="18">
        <v>0</v>
      </c>
      <c r="AX805" s="18">
        <v>0</v>
      </c>
      <c r="AY805" s="18">
        <v>0</v>
      </c>
      <c r="AZ805" s="18">
        <v>0</v>
      </c>
      <c r="BA805" s="18">
        <v>0</v>
      </c>
      <c r="BB805" s="18">
        <v>0</v>
      </c>
      <c r="BC805" s="23">
        <v>8.9181565948742242E-2</v>
      </c>
      <c r="BD805" s="23">
        <v>0.10665277883445198</v>
      </c>
      <c r="BE805" s="23">
        <v>9.438849084854764E-2</v>
      </c>
      <c r="BF805" s="23">
        <v>7.149564986855049E-2</v>
      </c>
      <c r="BG805" s="23">
        <v>0.10368571810536763</v>
      </c>
      <c r="BH805" s="23">
        <v>8.4970330952544637E-2</v>
      </c>
      <c r="BI805" s="23">
        <v>8.4593878877262704E-2</v>
      </c>
      <c r="BJ805" s="23">
        <v>5.7447105462779965E-2</v>
      </c>
      <c r="BK805" s="23">
        <v>8.5153852345557474E-2</v>
      </c>
      <c r="BL805" s="23">
        <v>7.4158058913035174E-2</v>
      </c>
      <c r="BM805" s="23">
        <v>7.5718189192107169E-2</v>
      </c>
      <c r="BN805" s="23">
        <v>7.3955559365675619E-2</v>
      </c>
    </row>
    <row r="806" spans="1:66" x14ac:dyDescent="0.25">
      <c r="A806" s="16">
        <v>5542</v>
      </c>
      <c r="B806" s="16" t="s">
        <v>1000</v>
      </c>
      <c r="C806" s="17">
        <v>0</v>
      </c>
      <c r="D806" s="17">
        <f t="shared" si="453"/>
        <v>0</v>
      </c>
      <c r="E806" s="17">
        <f t="shared" si="454"/>
        <v>0</v>
      </c>
      <c r="F806" s="17">
        <f t="shared" si="455"/>
        <v>0</v>
      </c>
      <c r="G806" s="17">
        <f t="shared" si="456"/>
        <v>0</v>
      </c>
      <c r="H806" s="17">
        <f t="shared" si="457"/>
        <v>0</v>
      </c>
      <c r="I806" s="17">
        <f t="shared" si="458"/>
        <v>0</v>
      </c>
      <c r="J806" s="17">
        <f t="shared" si="459"/>
        <v>0</v>
      </c>
      <c r="K806" s="17">
        <f t="shared" si="460"/>
        <v>0</v>
      </c>
      <c r="L806" s="17">
        <f t="shared" si="461"/>
        <v>0</v>
      </c>
      <c r="M806" s="17">
        <f t="shared" si="462"/>
        <v>0</v>
      </c>
      <c r="N806" s="17">
        <f t="shared" si="463"/>
        <v>0</v>
      </c>
      <c r="O806" s="17">
        <f t="shared" si="464"/>
        <v>0</v>
      </c>
      <c r="P806" s="17">
        <v>0</v>
      </c>
      <c r="Q806" s="17">
        <f t="shared" si="465"/>
        <v>0</v>
      </c>
      <c r="R806" s="17">
        <f t="shared" si="466"/>
        <v>0</v>
      </c>
      <c r="S806" s="17">
        <f t="shared" si="467"/>
        <v>0</v>
      </c>
      <c r="T806" s="17">
        <f t="shared" si="468"/>
        <v>0</v>
      </c>
      <c r="U806" s="17">
        <f t="shared" si="469"/>
        <v>0</v>
      </c>
      <c r="V806" s="17">
        <f t="shared" si="470"/>
        <v>0</v>
      </c>
      <c r="W806" s="17">
        <f t="shared" si="471"/>
        <v>0</v>
      </c>
      <c r="X806" s="17">
        <f t="shared" si="472"/>
        <v>0</v>
      </c>
      <c r="Y806" s="17">
        <f t="shared" si="473"/>
        <v>0</v>
      </c>
      <c r="Z806" s="17">
        <f t="shared" si="474"/>
        <v>0</v>
      </c>
      <c r="AA806" s="17">
        <f t="shared" si="475"/>
        <v>0</v>
      </c>
      <c r="AB806" s="17">
        <f t="shared" si="476"/>
        <v>0</v>
      </c>
      <c r="AC806" s="17">
        <v>0</v>
      </c>
      <c r="AD806" s="17">
        <f t="shared" si="477"/>
        <v>0</v>
      </c>
      <c r="AE806" s="17">
        <f t="shared" si="478"/>
        <v>0</v>
      </c>
      <c r="AF806" s="17">
        <f t="shared" si="479"/>
        <v>0</v>
      </c>
      <c r="AG806" s="17">
        <f t="shared" si="480"/>
        <v>0</v>
      </c>
      <c r="AH806" s="17">
        <f t="shared" si="481"/>
        <v>0</v>
      </c>
      <c r="AI806" s="17">
        <f t="shared" si="482"/>
        <v>0</v>
      </c>
      <c r="AJ806" s="17">
        <f t="shared" si="483"/>
        <v>0</v>
      </c>
      <c r="AK806" s="17">
        <f t="shared" si="484"/>
        <v>0</v>
      </c>
      <c r="AL806" s="17">
        <f t="shared" si="485"/>
        <v>0</v>
      </c>
      <c r="AM806" s="17">
        <f t="shared" si="486"/>
        <v>0</v>
      </c>
      <c r="AN806" s="17">
        <f t="shared" si="487"/>
        <v>0</v>
      </c>
      <c r="AO806" s="17">
        <f t="shared" si="488"/>
        <v>0</v>
      </c>
      <c r="AP806" s="17">
        <f t="shared" si="489"/>
        <v>0</v>
      </c>
      <c r="AQ806" s="18">
        <v>23.249634242837107</v>
      </c>
      <c r="AR806" s="18">
        <v>27.804379442141638</v>
      </c>
      <c r="AS806" s="18">
        <v>24.607079564216374</v>
      </c>
      <c r="AT806" s="18">
        <v>18.638915920731115</v>
      </c>
      <c r="AU806" s="18">
        <v>27.030866710069347</v>
      </c>
      <c r="AV806" s="18">
        <v>22.151765279328391</v>
      </c>
      <c r="AW806" s="18">
        <v>22.053624223302389</v>
      </c>
      <c r="AX806" s="18">
        <v>14.97646039414674</v>
      </c>
      <c r="AY806" s="18">
        <v>22.199609306486838</v>
      </c>
      <c r="AZ806" s="18">
        <v>19.333005958628274</v>
      </c>
      <c r="BA806" s="18">
        <v>19.739731922382344</v>
      </c>
      <c r="BB806" s="18">
        <v>19.280214326631636</v>
      </c>
      <c r="BC806" s="23">
        <v>8.9181565948742242E-2</v>
      </c>
      <c r="BD806" s="23">
        <v>0.10665277883445198</v>
      </c>
      <c r="BE806" s="23">
        <v>9.438849084854764E-2</v>
      </c>
      <c r="BF806" s="23">
        <v>7.149564986855049E-2</v>
      </c>
      <c r="BG806" s="23">
        <v>0.10368571810536763</v>
      </c>
      <c r="BH806" s="23">
        <v>8.4970330952544637E-2</v>
      </c>
      <c r="BI806" s="23">
        <v>8.4593878877262704E-2</v>
      </c>
      <c r="BJ806" s="23">
        <v>5.7447105462779965E-2</v>
      </c>
      <c r="BK806" s="23">
        <v>8.5153852345557474E-2</v>
      </c>
      <c r="BL806" s="23">
        <v>7.4158058913035174E-2</v>
      </c>
      <c r="BM806" s="23">
        <v>7.5718189192107169E-2</v>
      </c>
      <c r="BN806" s="23">
        <v>7.3955559365675619E-2</v>
      </c>
    </row>
    <row r="807" spans="1:66" x14ac:dyDescent="0.25">
      <c r="A807" s="16">
        <v>5543</v>
      </c>
      <c r="B807" s="16" t="s">
        <v>1001</v>
      </c>
      <c r="C807" s="17">
        <v>0</v>
      </c>
      <c r="D807" s="17">
        <f t="shared" si="453"/>
        <v>0</v>
      </c>
      <c r="E807" s="17">
        <f t="shared" si="454"/>
        <v>0</v>
      </c>
      <c r="F807" s="17">
        <f t="shared" si="455"/>
        <v>0</v>
      </c>
      <c r="G807" s="17">
        <f t="shared" si="456"/>
        <v>0</v>
      </c>
      <c r="H807" s="17">
        <f t="shared" si="457"/>
        <v>0</v>
      </c>
      <c r="I807" s="17">
        <f t="shared" si="458"/>
        <v>0</v>
      </c>
      <c r="J807" s="17">
        <f t="shared" si="459"/>
        <v>0</v>
      </c>
      <c r="K807" s="17">
        <f t="shared" si="460"/>
        <v>0</v>
      </c>
      <c r="L807" s="17">
        <f t="shared" si="461"/>
        <v>0</v>
      </c>
      <c r="M807" s="17">
        <f t="shared" si="462"/>
        <v>0</v>
      </c>
      <c r="N807" s="17">
        <f t="shared" si="463"/>
        <v>0</v>
      </c>
      <c r="O807" s="17">
        <f t="shared" si="464"/>
        <v>0</v>
      </c>
      <c r="P807" s="17">
        <v>0</v>
      </c>
      <c r="Q807" s="17">
        <f t="shared" si="465"/>
        <v>0</v>
      </c>
      <c r="R807" s="17">
        <f t="shared" si="466"/>
        <v>0</v>
      </c>
      <c r="S807" s="17">
        <f t="shared" si="467"/>
        <v>0</v>
      </c>
      <c r="T807" s="17">
        <f t="shared" si="468"/>
        <v>0</v>
      </c>
      <c r="U807" s="17">
        <f t="shared" si="469"/>
        <v>0</v>
      </c>
      <c r="V807" s="17">
        <f t="shared" si="470"/>
        <v>0</v>
      </c>
      <c r="W807" s="17">
        <f t="shared" si="471"/>
        <v>0</v>
      </c>
      <c r="X807" s="17">
        <f t="shared" si="472"/>
        <v>0</v>
      </c>
      <c r="Y807" s="17">
        <f t="shared" si="473"/>
        <v>0</v>
      </c>
      <c r="Z807" s="17">
        <f t="shared" si="474"/>
        <v>0</v>
      </c>
      <c r="AA807" s="17">
        <f t="shared" si="475"/>
        <v>0</v>
      </c>
      <c r="AB807" s="17">
        <f t="shared" si="476"/>
        <v>0</v>
      </c>
      <c r="AC807" s="17">
        <v>0</v>
      </c>
      <c r="AD807" s="17">
        <f t="shared" si="477"/>
        <v>0</v>
      </c>
      <c r="AE807" s="17">
        <f t="shared" si="478"/>
        <v>0</v>
      </c>
      <c r="AF807" s="17">
        <f t="shared" si="479"/>
        <v>0</v>
      </c>
      <c r="AG807" s="17">
        <f t="shared" si="480"/>
        <v>0</v>
      </c>
      <c r="AH807" s="17">
        <f t="shared" si="481"/>
        <v>0</v>
      </c>
      <c r="AI807" s="17">
        <f t="shared" si="482"/>
        <v>0</v>
      </c>
      <c r="AJ807" s="17">
        <f t="shared" si="483"/>
        <v>0</v>
      </c>
      <c r="AK807" s="17">
        <f t="shared" si="484"/>
        <v>0</v>
      </c>
      <c r="AL807" s="17">
        <f t="shared" si="485"/>
        <v>0</v>
      </c>
      <c r="AM807" s="17">
        <f t="shared" si="486"/>
        <v>0</v>
      </c>
      <c r="AN807" s="17">
        <f t="shared" si="487"/>
        <v>0</v>
      </c>
      <c r="AO807" s="17">
        <f t="shared" si="488"/>
        <v>0</v>
      </c>
      <c r="AP807" s="17">
        <f t="shared" si="489"/>
        <v>0</v>
      </c>
      <c r="AQ807" s="18">
        <v>0</v>
      </c>
      <c r="AR807" s="18">
        <v>0</v>
      </c>
      <c r="AS807" s="18">
        <v>0</v>
      </c>
      <c r="AT807" s="18">
        <v>0</v>
      </c>
      <c r="AU807" s="18">
        <v>0</v>
      </c>
      <c r="AV807" s="18">
        <v>0</v>
      </c>
      <c r="AW807" s="18">
        <v>0</v>
      </c>
      <c r="AX807" s="18">
        <v>0</v>
      </c>
      <c r="AY807" s="18">
        <v>0</v>
      </c>
      <c r="AZ807" s="18">
        <v>0</v>
      </c>
      <c r="BA807" s="18">
        <v>0</v>
      </c>
      <c r="BB807" s="18">
        <v>0</v>
      </c>
      <c r="BC807" s="23">
        <v>8.9181565948742242E-2</v>
      </c>
      <c r="BD807" s="23">
        <v>0.10665277883445198</v>
      </c>
      <c r="BE807" s="23">
        <v>9.438849084854764E-2</v>
      </c>
      <c r="BF807" s="23">
        <v>7.149564986855049E-2</v>
      </c>
      <c r="BG807" s="23">
        <v>0.10368571810536763</v>
      </c>
      <c r="BH807" s="23">
        <v>8.4970330952544637E-2</v>
      </c>
      <c r="BI807" s="23">
        <v>8.4593878877262704E-2</v>
      </c>
      <c r="BJ807" s="23">
        <v>5.7447105462779965E-2</v>
      </c>
      <c r="BK807" s="23">
        <v>8.5153852345557474E-2</v>
      </c>
      <c r="BL807" s="23">
        <v>7.4158058913035174E-2</v>
      </c>
      <c r="BM807" s="23">
        <v>7.5718189192107169E-2</v>
      </c>
      <c r="BN807" s="23">
        <v>7.3955559365675619E-2</v>
      </c>
    </row>
    <row r="808" spans="1:66" x14ac:dyDescent="0.25">
      <c r="A808" s="16">
        <v>5548</v>
      </c>
      <c r="B808" s="16" t="s">
        <v>1002</v>
      </c>
      <c r="C808" s="17">
        <v>0</v>
      </c>
      <c r="D808" s="17">
        <f t="shared" si="453"/>
        <v>0</v>
      </c>
      <c r="E808" s="17">
        <f t="shared" si="454"/>
        <v>0</v>
      </c>
      <c r="F808" s="17">
        <f t="shared" si="455"/>
        <v>0</v>
      </c>
      <c r="G808" s="17">
        <f t="shared" si="456"/>
        <v>0</v>
      </c>
      <c r="H808" s="17">
        <f t="shared" si="457"/>
        <v>0</v>
      </c>
      <c r="I808" s="17">
        <f t="shared" si="458"/>
        <v>0</v>
      </c>
      <c r="J808" s="17">
        <f t="shared" si="459"/>
        <v>0</v>
      </c>
      <c r="K808" s="17">
        <f t="shared" si="460"/>
        <v>0</v>
      </c>
      <c r="L808" s="17">
        <f t="shared" si="461"/>
        <v>0</v>
      </c>
      <c r="M808" s="17">
        <f t="shared" si="462"/>
        <v>0</v>
      </c>
      <c r="N808" s="17">
        <f t="shared" si="463"/>
        <v>0</v>
      </c>
      <c r="O808" s="17">
        <f t="shared" si="464"/>
        <v>0</v>
      </c>
      <c r="P808" s="17">
        <v>0</v>
      </c>
      <c r="Q808" s="17">
        <f t="shared" si="465"/>
        <v>0</v>
      </c>
      <c r="R808" s="17">
        <f t="shared" si="466"/>
        <v>0</v>
      </c>
      <c r="S808" s="17">
        <f t="shared" si="467"/>
        <v>0</v>
      </c>
      <c r="T808" s="17">
        <f t="shared" si="468"/>
        <v>0</v>
      </c>
      <c r="U808" s="17">
        <f t="shared" si="469"/>
        <v>0</v>
      </c>
      <c r="V808" s="17">
        <f t="shared" si="470"/>
        <v>0</v>
      </c>
      <c r="W808" s="17">
        <f t="shared" si="471"/>
        <v>0</v>
      </c>
      <c r="X808" s="17">
        <f t="shared" si="472"/>
        <v>0</v>
      </c>
      <c r="Y808" s="17">
        <f t="shared" si="473"/>
        <v>0</v>
      </c>
      <c r="Z808" s="17">
        <f t="shared" si="474"/>
        <v>0</v>
      </c>
      <c r="AA808" s="17">
        <f t="shared" si="475"/>
        <v>0</v>
      </c>
      <c r="AB808" s="17">
        <f t="shared" si="476"/>
        <v>0</v>
      </c>
      <c r="AC808" s="17">
        <v>0</v>
      </c>
      <c r="AD808" s="17">
        <f t="shared" si="477"/>
        <v>0</v>
      </c>
      <c r="AE808" s="17">
        <f t="shared" si="478"/>
        <v>0</v>
      </c>
      <c r="AF808" s="17">
        <f t="shared" si="479"/>
        <v>0</v>
      </c>
      <c r="AG808" s="17">
        <f t="shared" si="480"/>
        <v>0</v>
      </c>
      <c r="AH808" s="17">
        <f t="shared" si="481"/>
        <v>0</v>
      </c>
      <c r="AI808" s="17">
        <f t="shared" si="482"/>
        <v>0</v>
      </c>
      <c r="AJ808" s="17">
        <f t="shared" si="483"/>
        <v>0</v>
      </c>
      <c r="AK808" s="17">
        <f t="shared" si="484"/>
        <v>0</v>
      </c>
      <c r="AL808" s="17">
        <f t="shared" si="485"/>
        <v>0</v>
      </c>
      <c r="AM808" s="17">
        <f t="shared" si="486"/>
        <v>0</v>
      </c>
      <c r="AN808" s="17">
        <f t="shared" si="487"/>
        <v>0</v>
      </c>
      <c r="AO808" s="17">
        <f t="shared" si="488"/>
        <v>0</v>
      </c>
      <c r="AP808" s="17">
        <f t="shared" si="489"/>
        <v>0</v>
      </c>
      <c r="AQ808" s="18">
        <v>0</v>
      </c>
      <c r="AR808" s="18">
        <v>0</v>
      </c>
      <c r="AS808" s="18">
        <v>0</v>
      </c>
      <c r="AT808" s="18">
        <v>0</v>
      </c>
      <c r="AU808" s="18">
        <v>0</v>
      </c>
      <c r="AV808" s="18">
        <v>0</v>
      </c>
      <c r="AW808" s="18">
        <v>0</v>
      </c>
      <c r="AX808" s="18">
        <v>0</v>
      </c>
      <c r="AY808" s="18">
        <v>0</v>
      </c>
      <c r="AZ808" s="18">
        <v>0</v>
      </c>
      <c r="BA808" s="18">
        <v>0</v>
      </c>
      <c r="BB808" s="18">
        <v>0</v>
      </c>
      <c r="BC808" s="23">
        <v>8.9181565948742242E-2</v>
      </c>
      <c r="BD808" s="23">
        <v>0.10665277883445198</v>
      </c>
      <c r="BE808" s="23">
        <v>9.438849084854764E-2</v>
      </c>
      <c r="BF808" s="23">
        <v>7.149564986855049E-2</v>
      </c>
      <c r="BG808" s="23">
        <v>0.10368571810536763</v>
      </c>
      <c r="BH808" s="23">
        <v>8.4970330952544637E-2</v>
      </c>
      <c r="BI808" s="23">
        <v>8.4593878877262704E-2</v>
      </c>
      <c r="BJ808" s="23">
        <v>5.7447105462779965E-2</v>
      </c>
      <c r="BK808" s="23">
        <v>8.5153852345557474E-2</v>
      </c>
      <c r="BL808" s="23">
        <v>7.4158058913035174E-2</v>
      </c>
      <c r="BM808" s="23">
        <v>7.5718189192107169E-2</v>
      </c>
      <c r="BN808" s="23">
        <v>7.3955559365675619E-2</v>
      </c>
    </row>
    <row r="809" spans="1:66" x14ac:dyDescent="0.25">
      <c r="A809" s="16">
        <v>5550</v>
      </c>
      <c r="B809" s="16" t="s">
        <v>1003</v>
      </c>
      <c r="C809" s="17">
        <v>0</v>
      </c>
      <c r="D809" s="17">
        <f t="shared" si="453"/>
        <v>0</v>
      </c>
      <c r="E809" s="17">
        <f t="shared" si="454"/>
        <v>0</v>
      </c>
      <c r="F809" s="17">
        <f t="shared" si="455"/>
        <v>0</v>
      </c>
      <c r="G809" s="17">
        <f t="shared" si="456"/>
        <v>0</v>
      </c>
      <c r="H809" s="17">
        <f t="shared" si="457"/>
        <v>0</v>
      </c>
      <c r="I809" s="17">
        <f t="shared" si="458"/>
        <v>0</v>
      </c>
      <c r="J809" s="17">
        <f t="shared" si="459"/>
        <v>0</v>
      </c>
      <c r="K809" s="17">
        <f t="shared" si="460"/>
        <v>0</v>
      </c>
      <c r="L809" s="17">
        <f t="shared" si="461"/>
        <v>0</v>
      </c>
      <c r="M809" s="17">
        <f t="shared" si="462"/>
        <v>0</v>
      </c>
      <c r="N809" s="17">
        <f t="shared" si="463"/>
        <v>0</v>
      </c>
      <c r="O809" s="17">
        <f t="shared" si="464"/>
        <v>0</v>
      </c>
      <c r="P809" s="17">
        <v>0</v>
      </c>
      <c r="Q809" s="17">
        <f t="shared" si="465"/>
        <v>0</v>
      </c>
      <c r="R809" s="17">
        <f t="shared" si="466"/>
        <v>0</v>
      </c>
      <c r="S809" s="17">
        <f t="shared" si="467"/>
        <v>0</v>
      </c>
      <c r="T809" s="17">
        <f t="shared" si="468"/>
        <v>0</v>
      </c>
      <c r="U809" s="17">
        <f t="shared" si="469"/>
        <v>0</v>
      </c>
      <c r="V809" s="17">
        <f t="shared" si="470"/>
        <v>0</v>
      </c>
      <c r="W809" s="17">
        <f t="shared" si="471"/>
        <v>0</v>
      </c>
      <c r="X809" s="17">
        <f t="shared" si="472"/>
        <v>0</v>
      </c>
      <c r="Y809" s="17">
        <f t="shared" si="473"/>
        <v>0</v>
      </c>
      <c r="Z809" s="17">
        <f t="shared" si="474"/>
        <v>0</v>
      </c>
      <c r="AA809" s="17">
        <f t="shared" si="475"/>
        <v>0</v>
      </c>
      <c r="AB809" s="17">
        <f t="shared" si="476"/>
        <v>0</v>
      </c>
      <c r="AC809" s="17">
        <v>0</v>
      </c>
      <c r="AD809" s="17">
        <f t="shared" si="477"/>
        <v>0</v>
      </c>
      <c r="AE809" s="17">
        <f t="shared" si="478"/>
        <v>0</v>
      </c>
      <c r="AF809" s="17">
        <f t="shared" si="479"/>
        <v>0</v>
      </c>
      <c r="AG809" s="17">
        <f t="shared" si="480"/>
        <v>0</v>
      </c>
      <c r="AH809" s="17">
        <f t="shared" si="481"/>
        <v>0</v>
      </c>
      <c r="AI809" s="17">
        <f t="shared" si="482"/>
        <v>0</v>
      </c>
      <c r="AJ809" s="17">
        <f t="shared" si="483"/>
        <v>0</v>
      </c>
      <c r="AK809" s="17">
        <f t="shared" si="484"/>
        <v>0</v>
      </c>
      <c r="AL809" s="17">
        <f t="shared" si="485"/>
        <v>0</v>
      </c>
      <c r="AM809" s="17">
        <f t="shared" si="486"/>
        <v>0</v>
      </c>
      <c r="AN809" s="17">
        <f t="shared" si="487"/>
        <v>0</v>
      </c>
      <c r="AO809" s="17">
        <f t="shared" si="488"/>
        <v>0</v>
      </c>
      <c r="AP809" s="17">
        <f t="shared" si="489"/>
        <v>0</v>
      </c>
      <c r="AQ809" s="18">
        <v>0</v>
      </c>
      <c r="AR809" s="18">
        <v>0</v>
      </c>
      <c r="AS809" s="18">
        <v>0</v>
      </c>
      <c r="AT809" s="18">
        <v>0</v>
      </c>
      <c r="AU809" s="18">
        <v>0</v>
      </c>
      <c r="AV809" s="18">
        <v>0</v>
      </c>
      <c r="AW809" s="18">
        <v>0</v>
      </c>
      <c r="AX809" s="18">
        <v>0</v>
      </c>
      <c r="AY809" s="18">
        <v>0</v>
      </c>
      <c r="AZ809" s="18">
        <v>0</v>
      </c>
      <c r="BA809" s="18">
        <v>0</v>
      </c>
      <c r="BB809" s="18">
        <v>0</v>
      </c>
      <c r="BC809" s="23">
        <v>8.9181565948742242E-2</v>
      </c>
      <c r="BD809" s="23">
        <v>0.10665277883445198</v>
      </c>
      <c r="BE809" s="23">
        <v>9.438849084854764E-2</v>
      </c>
      <c r="BF809" s="23">
        <v>7.149564986855049E-2</v>
      </c>
      <c r="BG809" s="23">
        <v>0.10368571810536763</v>
      </c>
      <c r="BH809" s="23">
        <v>8.4970330952544637E-2</v>
      </c>
      <c r="BI809" s="23">
        <v>8.4593878877262704E-2</v>
      </c>
      <c r="BJ809" s="23">
        <v>5.7447105462779965E-2</v>
      </c>
      <c r="BK809" s="23">
        <v>8.5153852345557474E-2</v>
      </c>
      <c r="BL809" s="23">
        <v>7.4158058913035174E-2</v>
      </c>
      <c r="BM809" s="23">
        <v>7.5718189192107169E-2</v>
      </c>
      <c r="BN809" s="23">
        <v>7.3955559365675619E-2</v>
      </c>
    </row>
    <row r="810" spans="1:66" x14ac:dyDescent="0.25">
      <c r="A810" s="16">
        <v>5551</v>
      </c>
      <c r="B810" s="16" t="s">
        <v>1004</v>
      </c>
      <c r="C810" s="17">
        <v>0</v>
      </c>
      <c r="D810" s="17">
        <f t="shared" si="453"/>
        <v>0</v>
      </c>
      <c r="E810" s="17">
        <f t="shared" si="454"/>
        <v>0</v>
      </c>
      <c r="F810" s="17">
        <f t="shared" si="455"/>
        <v>0</v>
      </c>
      <c r="G810" s="17">
        <f t="shared" si="456"/>
        <v>0</v>
      </c>
      <c r="H810" s="17">
        <f t="shared" si="457"/>
        <v>0</v>
      </c>
      <c r="I810" s="17">
        <f t="shared" si="458"/>
        <v>0</v>
      </c>
      <c r="J810" s="17">
        <f t="shared" si="459"/>
        <v>0</v>
      </c>
      <c r="K810" s="17">
        <f t="shared" si="460"/>
        <v>0</v>
      </c>
      <c r="L810" s="17">
        <f t="shared" si="461"/>
        <v>0</v>
      </c>
      <c r="M810" s="17">
        <f t="shared" si="462"/>
        <v>0</v>
      </c>
      <c r="N810" s="17">
        <f t="shared" si="463"/>
        <v>0</v>
      </c>
      <c r="O810" s="17">
        <f t="shared" si="464"/>
        <v>0</v>
      </c>
      <c r="P810" s="17">
        <v>0</v>
      </c>
      <c r="Q810" s="17">
        <f t="shared" si="465"/>
        <v>0</v>
      </c>
      <c r="R810" s="17">
        <f t="shared" si="466"/>
        <v>0</v>
      </c>
      <c r="S810" s="17">
        <f t="shared" si="467"/>
        <v>0</v>
      </c>
      <c r="T810" s="17">
        <f t="shared" si="468"/>
        <v>0</v>
      </c>
      <c r="U810" s="17">
        <f t="shared" si="469"/>
        <v>0</v>
      </c>
      <c r="V810" s="17">
        <f t="shared" si="470"/>
        <v>0</v>
      </c>
      <c r="W810" s="17">
        <f t="shared" si="471"/>
        <v>0</v>
      </c>
      <c r="X810" s="17">
        <f t="shared" si="472"/>
        <v>0</v>
      </c>
      <c r="Y810" s="17">
        <f t="shared" si="473"/>
        <v>0</v>
      </c>
      <c r="Z810" s="17">
        <f t="shared" si="474"/>
        <v>0</v>
      </c>
      <c r="AA810" s="17">
        <f t="shared" si="475"/>
        <v>0</v>
      </c>
      <c r="AB810" s="17">
        <f t="shared" si="476"/>
        <v>0</v>
      </c>
      <c r="AC810" s="17">
        <v>0</v>
      </c>
      <c r="AD810" s="17">
        <f t="shared" si="477"/>
        <v>0</v>
      </c>
      <c r="AE810" s="17">
        <f t="shared" si="478"/>
        <v>0</v>
      </c>
      <c r="AF810" s="17">
        <f t="shared" si="479"/>
        <v>0</v>
      </c>
      <c r="AG810" s="17">
        <f t="shared" si="480"/>
        <v>0</v>
      </c>
      <c r="AH810" s="17">
        <f t="shared" si="481"/>
        <v>0</v>
      </c>
      <c r="AI810" s="17">
        <f t="shared" si="482"/>
        <v>0</v>
      </c>
      <c r="AJ810" s="17">
        <f t="shared" si="483"/>
        <v>0</v>
      </c>
      <c r="AK810" s="17">
        <f t="shared" si="484"/>
        <v>0</v>
      </c>
      <c r="AL810" s="17">
        <f t="shared" si="485"/>
        <v>0</v>
      </c>
      <c r="AM810" s="17">
        <f t="shared" si="486"/>
        <v>0</v>
      </c>
      <c r="AN810" s="17">
        <f t="shared" si="487"/>
        <v>0</v>
      </c>
      <c r="AO810" s="17">
        <f t="shared" si="488"/>
        <v>0</v>
      </c>
      <c r="AP810" s="17">
        <f t="shared" si="489"/>
        <v>0</v>
      </c>
      <c r="AQ810" s="18">
        <v>0</v>
      </c>
      <c r="AR810" s="18">
        <v>0</v>
      </c>
      <c r="AS810" s="18">
        <v>0</v>
      </c>
      <c r="AT810" s="18">
        <v>0</v>
      </c>
      <c r="AU810" s="18">
        <v>0</v>
      </c>
      <c r="AV810" s="18">
        <v>0</v>
      </c>
      <c r="AW810" s="18">
        <v>0</v>
      </c>
      <c r="AX810" s="18">
        <v>0</v>
      </c>
      <c r="AY810" s="18">
        <v>0</v>
      </c>
      <c r="AZ810" s="18">
        <v>0</v>
      </c>
      <c r="BA810" s="18">
        <v>0</v>
      </c>
      <c r="BB810" s="18">
        <v>0</v>
      </c>
      <c r="BC810" s="23">
        <v>8.9181565948742242E-2</v>
      </c>
      <c r="BD810" s="23">
        <v>0.10665277883445198</v>
      </c>
      <c r="BE810" s="23">
        <v>9.438849084854764E-2</v>
      </c>
      <c r="BF810" s="23">
        <v>7.149564986855049E-2</v>
      </c>
      <c r="BG810" s="23">
        <v>0.10368571810536763</v>
      </c>
      <c r="BH810" s="23">
        <v>8.4970330952544637E-2</v>
      </c>
      <c r="BI810" s="23">
        <v>8.4593878877262704E-2</v>
      </c>
      <c r="BJ810" s="23">
        <v>5.7447105462779965E-2</v>
      </c>
      <c r="BK810" s="23">
        <v>8.5153852345557474E-2</v>
      </c>
      <c r="BL810" s="23">
        <v>7.4158058913035174E-2</v>
      </c>
      <c r="BM810" s="23">
        <v>7.5718189192107169E-2</v>
      </c>
      <c r="BN810" s="23">
        <v>7.3955559365675619E-2</v>
      </c>
    </row>
    <row r="811" spans="1:66" x14ac:dyDescent="0.25">
      <c r="A811" s="16">
        <v>5552</v>
      </c>
      <c r="B811" s="16" t="s">
        <v>1005</v>
      </c>
      <c r="C811" s="17">
        <v>0</v>
      </c>
      <c r="D811" s="17">
        <f t="shared" si="453"/>
        <v>0</v>
      </c>
      <c r="E811" s="17">
        <f t="shared" si="454"/>
        <v>0</v>
      </c>
      <c r="F811" s="17">
        <f t="shared" si="455"/>
        <v>0</v>
      </c>
      <c r="G811" s="17">
        <f t="shared" si="456"/>
        <v>0</v>
      </c>
      <c r="H811" s="17">
        <f t="shared" si="457"/>
        <v>0</v>
      </c>
      <c r="I811" s="17">
        <f t="shared" si="458"/>
        <v>0</v>
      </c>
      <c r="J811" s="17">
        <f t="shared" si="459"/>
        <v>0</v>
      </c>
      <c r="K811" s="17">
        <f t="shared" si="460"/>
        <v>0</v>
      </c>
      <c r="L811" s="17">
        <f t="shared" si="461"/>
        <v>0</v>
      </c>
      <c r="M811" s="17">
        <f t="shared" si="462"/>
        <v>0</v>
      </c>
      <c r="N811" s="17">
        <f t="shared" si="463"/>
        <v>0</v>
      </c>
      <c r="O811" s="17">
        <f t="shared" si="464"/>
        <v>0</v>
      </c>
      <c r="P811" s="17">
        <v>0</v>
      </c>
      <c r="Q811" s="17">
        <f t="shared" si="465"/>
        <v>0</v>
      </c>
      <c r="R811" s="17">
        <f t="shared" si="466"/>
        <v>0</v>
      </c>
      <c r="S811" s="17">
        <f t="shared" si="467"/>
        <v>0</v>
      </c>
      <c r="T811" s="17">
        <f t="shared" si="468"/>
        <v>0</v>
      </c>
      <c r="U811" s="17">
        <f t="shared" si="469"/>
        <v>0</v>
      </c>
      <c r="V811" s="17">
        <f t="shared" si="470"/>
        <v>0</v>
      </c>
      <c r="W811" s="17">
        <f t="shared" si="471"/>
        <v>0</v>
      </c>
      <c r="X811" s="17">
        <f t="shared" si="472"/>
        <v>0</v>
      </c>
      <c r="Y811" s="17">
        <f t="shared" si="473"/>
        <v>0</v>
      </c>
      <c r="Z811" s="17">
        <f t="shared" si="474"/>
        <v>0</v>
      </c>
      <c r="AA811" s="17">
        <f t="shared" si="475"/>
        <v>0</v>
      </c>
      <c r="AB811" s="17">
        <f t="shared" si="476"/>
        <v>0</v>
      </c>
      <c r="AC811" s="17">
        <v>0</v>
      </c>
      <c r="AD811" s="17">
        <f t="shared" si="477"/>
        <v>0</v>
      </c>
      <c r="AE811" s="17">
        <f t="shared" si="478"/>
        <v>0</v>
      </c>
      <c r="AF811" s="17">
        <f t="shared" si="479"/>
        <v>0</v>
      </c>
      <c r="AG811" s="17">
        <f t="shared" si="480"/>
        <v>0</v>
      </c>
      <c r="AH811" s="17">
        <f t="shared" si="481"/>
        <v>0</v>
      </c>
      <c r="AI811" s="17">
        <f t="shared" si="482"/>
        <v>0</v>
      </c>
      <c r="AJ811" s="17">
        <f t="shared" si="483"/>
        <v>0</v>
      </c>
      <c r="AK811" s="17">
        <f t="shared" si="484"/>
        <v>0</v>
      </c>
      <c r="AL811" s="17">
        <f t="shared" si="485"/>
        <v>0</v>
      </c>
      <c r="AM811" s="17">
        <f t="shared" si="486"/>
        <v>0</v>
      </c>
      <c r="AN811" s="17">
        <f t="shared" si="487"/>
        <v>0</v>
      </c>
      <c r="AO811" s="17">
        <f t="shared" si="488"/>
        <v>0</v>
      </c>
      <c r="AP811" s="17">
        <f t="shared" si="489"/>
        <v>0</v>
      </c>
      <c r="AQ811" s="18">
        <v>0</v>
      </c>
      <c r="AR811" s="18">
        <v>0</v>
      </c>
      <c r="AS811" s="18">
        <v>0</v>
      </c>
      <c r="AT811" s="18">
        <v>0</v>
      </c>
      <c r="AU811" s="18">
        <v>0</v>
      </c>
      <c r="AV811" s="18">
        <v>0</v>
      </c>
      <c r="AW811" s="18">
        <v>0</v>
      </c>
      <c r="AX811" s="18">
        <v>0</v>
      </c>
      <c r="AY811" s="18">
        <v>0</v>
      </c>
      <c r="AZ811" s="18">
        <v>0</v>
      </c>
      <c r="BA811" s="18">
        <v>0</v>
      </c>
      <c r="BB811" s="18">
        <v>0</v>
      </c>
      <c r="BC811" s="23">
        <v>8.9181565948742242E-2</v>
      </c>
      <c r="BD811" s="23">
        <v>0.10665277883445198</v>
      </c>
      <c r="BE811" s="23">
        <v>9.438849084854764E-2</v>
      </c>
      <c r="BF811" s="23">
        <v>7.149564986855049E-2</v>
      </c>
      <c r="BG811" s="23">
        <v>0.10368571810536763</v>
      </c>
      <c r="BH811" s="23">
        <v>8.4970330952544637E-2</v>
      </c>
      <c r="BI811" s="23">
        <v>8.4593878877262704E-2</v>
      </c>
      <c r="BJ811" s="23">
        <v>5.7447105462779965E-2</v>
      </c>
      <c r="BK811" s="23">
        <v>8.5153852345557474E-2</v>
      </c>
      <c r="BL811" s="23">
        <v>7.4158058913035174E-2</v>
      </c>
      <c r="BM811" s="23">
        <v>7.5718189192107169E-2</v>
      </c>
      <c r="BN811" s="23">
        <v>7.3955559365675619E-2</v>
      </c>
    </row>
    <row r="812" spans="1:66" x14ac:dyDescent="0.25">
      <c r="A812" s="16">
        <v>5553</v>
      </c>
      <c r="B812" s="16" t="s">
        <v>1006</v>
      </c>
      <c r="C812" s="17">
        <v>0</v>
      </c>
      <c r="D812" s="17">
        <f t="shared" si="453"/>
        <v>0</v>
      </c>
      <c r="E812" s="17">
        <f t="shared" si="454"/>
        <v>0</v>
      </c>
      <c r="F812" s="17">
        <f t="shared" si="455"/>
        <v>0</v>
      </c>
      <c r="G812" s="17">
        <f t="shared" si="456"/>
        <v>0</v>
      </c>
      <c r="H812" s="17">
        <f t="shared" si="457"/>
        <v>0</v>
      </c>
      <c r="I812" s="17">
        <f t="shared" si="458"/>
        <v>0</v>
      </c>
      <c r="J812" s="17">
        <f t="shared" si="459"/>
        <v>0</v>
      </c>
      <c r="K812" s="17">
        <f t="shared" si="460"/>
        <v>0</v>
      </c>
      <c r="L812" s="17">
        <f t="shared" si="461"/>
        <v>0</v>
      </c>
      <c r="M812" s="17">
        <f t="shared" si="462"/>
        <v>0</v>
      </c>
      <c r="N812" s="17">
        <f t="shared" si="463"/>
        <v>0</v>
      </c>
      <c r="O812" s="17">
        <f t="shared" si="464"/>
        <v>0</v>
      </c>
      <c r="P812" s="17">
        <v>0</v>
      </c>
      <c r="Q812" s="17">
        <f t="shared" si="465"/>
        <v>0</v>
      </c>
      <c r="R812" s="17">
        <f t="shared" si="466"/>
        <v>0</v>
      </c>
      <c r="S812" s="17">
        <f t="shared" si="467"/>
        <v>0</v>
      </c>
      <c r="T812" s="17">
        <f t="shared" si="468"/>
        <v>0</v>
      </c>
      <c r="U812" s="17">
        <f t="shared" si="469"/>
        <v>0</v>
      </c>
      <c r="V812" s="17">
        <f t="shared" si="470"/>
        <v>0</v>
      </c>
      <c r="W812" s="17">
        <f t="shared" si="471"/>
        <v>0</v>
      </c>
      <c r="X812" s="17">
        <f t="shared" si="472"/>
        <v>0</v>
      </c>
      <c r="Y812" s="17">
        <f t="shared" si="473"/>
        <v>0</v>
      </c>
      <c r="Z812" s="17">
        <f t="shared" si="474"/>
        <v>0</v>
      </c>
      <c r="AA812" s="17">
        <f t="shared" si="475"/>
        <v>0</v>
      </c>
      <c r="AB812" s="17">
        <f t="shared" si="476"/>
        <v>0</v>
      </c>
      <c r="AC812" s="17">
        <v>0</v>
      </c>
      <c r="AD812" s="17">
        <f t="shared" si="477"/>
        <v>0</v>
      </c>
      <c r="AE812" s="17">
        <f t="shared" si="478"/>
        <v>0</v>
      </c>
      <c r="AF812" s="17">
        <f t="shared" si="479"/>
        <v>0</v>
      </c>
      <c r="AG812" s="17">
        <f t="shared" si="480"/>
        <v>0</v>
      </c>
      <c r="AH812" s="17">
        <f t="shared" si="481"/>
        <v>0</v>
      </c>
      <c r="AI812" s="17">
        <f t="shared" si="482"/>
        <v>0</v>
      </c>
      <c r="AJ812" s="17">
        <f t="shared" si="483"/>
        <v>0</v>
      </c>
      <c r="AK812" s="17">
        <f t="shared" si="484"/>
        <v>0</v>
      </c>
      <c r="AL812" s="17">
        <f t="shared" si="485"/>
        <v>0</v>
      </c>
      <c r="AM812" s="17">
        <f t="shared" si="486"/>
        <v>0</v>
      </c>
      <c r="AN812" s="17">
        <f t="shared" si="487"/>
        <v>0</v>
      </c>
      <c r="AO812" s="17">
        <f t="shared" si="488"/>
        <v>0</v>
      </c>
      <c r="AP812" s="17">
        <f t="shared" si="489"/>
        <v>0</v>
      </c>
      <c r="AQ812" s="18">
        <v>0</v>
      </c>
      <c r="AR812" s="18">
        <v>0</v>
      </c>
      <c r="AS812" s="18">
        <v>0</v>
      </c>
      <c r="AT812" s="18">
        <v>0</v>
      </c>
      <c r="AU812" s="18">
        <v>0</v>
      </c>
      <c r="AV812" s="18">
        <v>0</v>
      </c>
      <c r="AW812" s="18">
        <v>0</v>
      </c>
      <c r="AX812" s="18">
        <v>0</v>
      </c>
      <c r="AY812" s="18">
        <v>0</v>
      </c>
      <c r="AZ812" s="18">
        <v>0</v>
      </c>
      <c r="BA812" s="18">
        <v>0</v>
      </c>
      <c r="BB812" s="18">
        <v>0</v>
      </c>
      <c r="BC812" s="23">
        <v>8.9181565948742242E-2</v>
      </c>
      <c r="BD812" s="23">
        <v>0.10665277883445198</v>
      </c>
      <c r="BE812" s="23">
        <v>9.438849084854764E-2</v>
      </c>
      <c r="BF812" s="23">
        <v>7.149564986855049E-2</v>
      </c>
      <c r="BG812" s="23">
        <v>0.10368571810536763</v>
      </c>
      <c r="BH812" s="23">
        <v>8.4970330952544637E-2</v>
      </c>
      <c r="BI812" s="23">
        <v>8.4593878877262704E-2</v>
      </c>
      <c r="BJ812" s="23">
        <v>5.7447105462779965E-2</v>
      </c>
      <c r="BK812" s="23">
        <v>8.5153852345557474E-2</v>
      </c>
      <c r="BL812" s="23">
        <v>7.4158058913035174E-2</v>
      </c>
      <c r="BM812" s="23">
        <v>7.5718189192107169E-2</v>
      </c>
      <c r="BN812" s="23">
        <v>7.3955559365675619E-2</v>
      </c>
    </row>
    <row r="813" spans="1:66" x14ac:dyDescent="0.25">
      <c r="A813" s="16">
        <v>5558</v>
      </c>
      <c r="B813" s="16" t="s">
        <v>1007</v>
      </c>
      <c r="C813" s="17">
        <v>0</v>
      </c>
      <c r="D813" s="17">
        <f t="shared" si="453"/>
        <v>0</v>
      </c>
      <c r="E813" s="17">
        <f t="shared" si="454"/>
        <v>0</v>
      </c>
      <c r="F813" s="17">
        <f t="shared" si="455"/>
        <v>0</v>
      </c>
      <c r="G813" s="17">
        <f t="shared" si="456"/>
        <v>0</v>
      </c>
      <c r="H813" s="17">
        <f t="shared" si="457"/>
        <v>0</v>
      </c>
      <c r="I813" s="17">
        <f t="shared" si="458"/>
        <v>0</v>
      </c>
      <c r="J813" s="17">
        <f t="shared" si="459"/>
        <v>0</v>
      </c>
      <c r="K813" s="17">
        <f t="shared" si="460"/>
        <v>0</v>
      </c>
      <c r="L813" s="17">
        <f t="shared" si="461"/>
        <v>0</v>
      </c>
      <c r="M813" s="17">
        <f t="shared" si="462"/>
        <v>0</v>
      </c>
      <c r="N813" s="17">
        <f t="shared" si="463"/>
        <v>0</v>
      </c>
      <c r="O813" s="17">
        <f t="shared" si="464"/>
        <v>0</v>
      </c>
      <c r="P813" s="17">
        <v>0</v>
      </c>
      <c r="Q813" s="17">
        <f t="shared" si="465"/>
        <v>0</v>
      </c>
      <c r="R813" s="17">
        <f t="shared" si="466"/>
        <v>0</v>
      </c>
      <c r="S813" s="17">
        <f t="shared" si="467"/>
        <v>0</v>
      </c>
      <c r="T813" s="17">
        <f t="shared" si="468"/>
        <v>0</v>
      </c>
      <c r="U813" s="17">
        <f t="shared" si="469"/>
        <v>0</v>
      </c>
      <c r="V813" s="17">
        <f t="shared" si="470"/>
        <v>0</v>
      </c>
      <c r="W813" s="17">
        <f t="shared" si="471"/>
        <v>0</v>
      </c>
      <c r="X813" s="17">
        <f t="shared" si="472"/>
        <v>0</v>
      </c>
      <c r="Y813" s="17">
        <f t="shared" si="473"/>
        <v>0</v>
      </c>
      <c r="Z813" s="17">
        <f t="shared" si="474"/>
        <v>0</v>
      </c>
      <c r="AA813" s="17">
        <f t="shared" si="475"/>
        <v>0</v>
      </c>
      <c r="AB813" s="17">
        <f t="shared" si="476"/>
        <v>0</v>
      </c>
      <c r="AC813" s="17">
        <v>0</v>
      </c>
      <c r="AD813" s="17">
        <f t="shared" si="477"/>
        <v>0</v>
      </c>
      <c r="AE813" s="17">
        <f t="shared" si="478"/>
        <v>0</v>
      </c>
      <c r="AF813" s="17">
        <f t="shared" si="479"/>
        <v>0</v>
      </c>
      <c r="AG813" s="17">
        <f t="shared" si="480"/>
        <v>0</v>
      </c>
      <c r="AH813" s="17">
        <f t="shared" si="481"/>
        <v>0</v>
      </c>
      <c r="AI813" s="17">
        <f t="shared" si="482"/>
        <v>0</v>
      </c>
      <c r="AJ813" s="17">
        <f t="shared" si="483"/>
        <v>0</v>
      </c>
      <c r="AK813" s="17">
        <f t="shared" si="484"/>
        <v>0</v>
      </c>
      <c r="AL813" s="17">
        <f t="shared" si="485"/>
        <v>0</v>
      </c>
      <c r="AM813" s="17">
        <f t="shared" si="486"/>
        <v>0</v>
      </c>
      <c r="AN813" s="17">
        <f t="shared" si="487"/>
        <v>0</v>
      </c>
      <c r="AO813" s="17">
        <f t="shared" si="488"/>
        <v>0</v>
      </c>
      <c r="AP813" s="17">
        <f t="shared" si="489"/>
        <v>0</v>
      </c>
      <c r="AQ813" s="18">
        <v>0</v>
      </c>
      <c r="AR813" s="18">
        <v>0</v>
      </c>
      <c r="AS813" s="18">
        <v>0</v>
      </c>
      <c r="AT813" s="18">
        <v>0</v>
      </c>
      <c r="AU813" s="18">
        <v>0</v>
      </c>
      <c r="AV813" s="18">
        <v>0</v>
      </c>
      <c r="AW813" s="18">
        <v>0</v>
      </c>
      <c r="AX813" s="18">
        <v>0</v>
      </c>
      <c r="AY813" s="18">
        <v>0</v>
      </c>
      <c r="AZ813" s="18">
        <v>0</v>
      </c>
      <c r="BA813" s="18">
        <v>0</v>
      </c>
      <c r="BB813" s="18">
        <v>0</v>
      </c>
      <c r="BC813" s="23">
        <v>8.9181565948742242E-2</v>
      </c>
      <c r="BD813" s="23">
        <v>0.10665277883445198</v>
      </c>
      <c r="BE813" s="23">
        <v>9.438849084854764E-2</v>
      </c>
      <c r="BF813" s="23">
        <v>7.149564986855049E-2</v>
      </c>
      <c r="BG813" s="23">
        <v>0.10368571810536763</v>
      </c>
      <c r="BH813" s="23">
        <v>8.4970330952544637E-2</v>
      </c>
      <c r="BI813" s="23">
        <v>8.4593878877262704E-2</v>
      </c>
      <c r="BJ813" s="23">
        <v>5.7447105462779965E-2</v>
      </c>
      <c r="BK813" s="23">
        <v>8.5153852345557474E-2</v>
      </c>
      <c r="BL813" s="23">
        <v>7.4158058913035174E-2</v>
      </c>
      <c r="BM813" s="23">
        <v>7.5718189192107169E-2</v>
      </c>
      <c r="BN813" s="23">
        <v>7.3955559365675619E-2</v>
      </c>
    </row>
    <row r="814" spans="1:66" x14ac:dyDescent="0.25">
      <c r="A814" s="16">
        <v>5559</v>
      </c>
      <c r="B814" s="16" t="s">
        <v>1008</v>
      </c>
      <c r="C814" s="17">
        <v>0</v>
      </c>
      <c r="D814" s="17">
        <f t="shared" si="453"/>
        <v>0</v>
      </c>
      <c r="E814" s="17">
        <f t="shared" si="454"/>
        <v>0</v>
      </c>
      <c r="F814" s="17">
        <f t="shared" si="455"/>
        <v>0</v>
      </c>
      <c r="G814" s="17">
        <f t="shared" si="456"/>
        <v>0</v>
      </c>
      <c r="H814" s="17">
        <f t="shared" si="457"/>
        <v>0</v>
      </c>
      <c r="I814" s="17">
        <f t="shared" si="458"/>
        <v>0</v>
      </c>
      <c r="J814" s="17">
        <f t="shared" si="459"/>
        <v>0</v>
      </c>
      <c r="K814" s="17">
        <f t="shared" si="460"/>
        <v>0</v>
      </c>
      <c r="L814" s="17">
        <f t="shared" si="461"/>
        <v>0</v>
      </c>
      <c r="M814" s="17">
        <f t="shared" si="462"/>
        <v>0</v>
      </c>
      <c r="N814" s="17">
        <f t="shared" si="463"/>
        <v>0</v>
      </c>
      <c r="O814" s="17">
        <f t="shared" si="464"/>
        <v>0</v>
      </c>
      <c r="P814" s="17">
        <v>0</v>
      </c>
      <c r="Q814" s="17">
        <f t="shared" si="465"/>
        <v>0</v>
      </c>
      <c r="R814" s="17">
        <f t="shared" si="466"/>
        <v>0</v>
      </c>
      <c r="S814" s="17">
        <f t="shared" si="467"/>
        <v>0</v>
      </c>
      <c r="T814" s="17">
        <f t="shared" si="468"/>
        <v>0</v>
      </c>
      <c r="U814" s="17">
        <f t="shared" si="469"/>
        <v>0</v>
      </c>
      <c r="V814" s="17">
        <f t="shared" si="470"/>
        <v>0</v>
      </c>
      <c r="W814" s="17">
        <f t="shared" si="471"/>
        <v>0</v>
      </c>
      <c r="X814" s="17">
        <f t="shared" si="472"/>
        <v>0</v>
      </c>
      <c r="Y814" s="17">
        <f t="shared" si="473"/>
        <v>0</v>
      </c>
      <c r="Z814" s="17">
        <f t="shared" si="474"/>
        <v>0</v>
      </c>
      <c r="AA814" s="17">
        <f t="shared" si="475"/>
        <v>0</v>
      </c>
      <c r="AB814" s="17">
        <f t="shared" si="476"/>
        <v>0</v>
      </c>
      <c r="AC814" s="17">
        <v>0</v>
      </c>
      <c r="AD814" s="17">
        <f t="shared" si="477"/>
        <v>0</v>
      </c>
      <c r="AE814" s="17">
        <f t="shared" si="478"/>
        <v>0</v>
      </c>
      <c r="AF814" s="17">
        <f t="shared" si="479"/>
        <v>0</v>
      </c>
      <c r="AG814" s="17">
        <f t="shared" si="480"/>
        <v>0</v>
      </c>
      <c r="AH814" s="17">
        <f t="shared" si="481"/>
        <v>0</v>
      </c>
      <c r="AI814" s="17">
        <f t="shared" si="482"/>
        <v>0</v>
      </c>
      <c r="AJ814" s="17">
        <f t="shared" si="483"/>
        <v>0</v>
      </c>
      <c r="AK814" s="17">
        <f t="shared" si="484"/>
        <v>0</v>
      </c>
      <c r="AL814" s="17">
        <f t="shared" si="485"/>
        <v>0</v>
      </c>
      <c r="AM814" s="17">
        <f t="shared" si="486"/>
        <v>0</v>
      </c>
      <c r="AN814" s="17">
        <f t="shared" si="487"/>
        <v>0</v>
      </c>
      <c r="AO814" s="17">
        <f t="shared" si="488"/>
        <v>0</v>
      </c>
      <c r="AP814" s="17">
        <f t="shared" si="489"/>
        <v>0</v>
      </c>
      <c r="AQ814" s="18">
        <v>0</v>
      </c>
      <c r="AR814" s="18">
        <v>0</v>
      </c>
      <c r="AS814" s="18">
        <v>0</v>
      </c>
      <c r="AT814" s="18">
        <v>0</v>
      </c>
      <c r="AU814" s="18">
        <v>0</v>
      </c>
      <c r="AV814" s="18">
        <v>0</v>
      </c>
      <c r="AW814" s="18">
        <v>0</v>
      </c>
      <c r="AX814" s="18">
        <v>0</v>
      </c>
      <c r="AY814" s="18">
        <v>0</v>
      </c>
      <c r="AZ814" s="18">
        <v>0</v>
      </c>
      <c r="BA814" s="18">
        <v>0</v>
      </c>
      <c r="BB814" s="18">
        <v>0</v>
      </c>
      <c r="BC814" s="23">
        <v>8.9181565948742242E-2</v>
      </c>
      <c r="BD814" s="23">
        <v>0.10665277883445198</v>
      </c>
      <c r="BE814" s="23">
        <v>9.438849084854764E-2</v>
      </c>
      <c r="BF814" s="23">
        <v>7.149564986855049E-2</v>
      </c>
      <c r="BG814" s="23">
        <v>0.10368571810536763</v>
      </c>
      <c r="BH814" s="23">
        <v>8.4970330952544637E-2</v>
      </c>
      <c r="BI814" s="23">
        <v>8.4593878877262704E-2</v>
      </c>
      <c r="BJ814" s="23">
        <v>5.7447105462779965E-2</v>
      </c>
      <c r="BK814" s="23">
        <v>8.5153852345557474E-2</v>
      </c>
      <c r="BL814" s="23">
        <v>7.4158058913035174E-2</v>
      </c>
      <c r="BM814" s="23">
        <v>7.5718189192107169E-2</v>
      </c>
      <c r="BN814" s="23">
        <v>7.3955559365675619E-2</v>
      </c>
    </row>
    <row r="815" spans="1:66" x14ac:dyDescent="0.25">
      <c r="A815" s="16">
        <v>5561</v>
      </c>
      <c r="B815" s="16" t="s">
        <v>1009</v>
      </c>
      <c r="C815" s="17">
        <v>0</v>
      </c>
      <c r="D815" s="17">
        <f t="shared" si="453"/>
        <v>0</v>
      </c>
      <c r="E815" s="17">
        <f t="shared" si="454"/>
        <v>0</v>
      </c>
      <c r="F815" s="17">
        <f t="shared" si="455"/>
        <v>0</v>
      </c>
      <c r="G815" s="17">
        <f t="shared" si="456"/>
        <v>0</v>
      </c>
      <c r="H815" s="17">
        <f t="shared" si="457"/>
        <v>0</v>
      </c>
      <c r="I815" s="17">
        <f t="shared" si="458"/>
        <v>0</v>
      </c>
      <c r="J815" s="17">
        <f t="shared" si="459"/>
        <v>0</v>
      </c>
      <c r="K815" s="17">
        <f t="shared" si="460"/>
        <v>0</v>
      </c>
      <c r="L815" s="17">
        <f t="shared" si="461"/>
        <v>0</v>
      </c>
      <c r="M815" s="17">
        <f t="shared" si="462"/>
        <v>0</v>
      </c>
      <c r="N815" s="17">
        <f t="shared" si="463"/>
        <v>0</v>
      </c>
      <c r="O815" s="17">
        <f t="shared" si="464"/>
        <v>0</v>
      </c>
      <c r="P815" s="17">
        <v>0</v>
      </c>
      <c r="Q815" s="17">
        <f t="shared" si="465"/>
        <v>0</v>
      </c>
      <c r="R815" s="17">
        <f t="shared" si="466"/>
        <v>0</v>
      </c>
      <c r="S815" s="17">
        <f t="shared" si="467"/>
        <v>0</v>
      </c>
      <c r="T815" s="17">
        <f t="shared" si="468"/>
        <v>0</v>
      </c>
      <c r="U815" s="17">
        <f t="shared" si="469"/>
        <v>0</v>
      </c>
      <c r="V815" s="17">
        <f t="shared" si="470"/>
        <v>0</v>
      </c>
      <c r="W815" s="17">
        <f t="shared" si="471"/>
        <v>0</v>
      </c>
      <c r="X815" s="17">
        <f t="shared" si="472"/>
        <v>0</v>
      </c>
      <c r="Y815" s="17">
        <f t="shared" si="473"/>
        <v>0</v>
      </c>
      <c r="Z815" s="17">
        <f t="shared" si="474"/>
        <v>0</v>
      </c>
      <c r="AA815" s="17">
        <f t="shared" si="475"/>
        <v>0</v>
      </c>
      <c r="AB815" s="17">
        <f t="shared" si="476"/>
        <v>0</v>
      </c>
      <c r="AC815" s="17">
        <v>0</v>
      </c>
      <c r="AD815" s="17">
        <f t="shared" si="477"/>
        <v>0</v>
      </c>
      <c r="AE815" s="17">
        <f t="shared" si="478"/>
        <v>0</v>
      </c>
      <c r="AF815" s="17">
        <f t="shared" si="479"/>
        <v>0</v>
      </c>
      <c r="AG815" s="17">
        <f t="shared" si="480"/>
        <v>0</v>
      </c>
      <c r="AH815" s="17">
        <f t="shared" si="481"/>
        <v>0</v>
      </c>
      <c r="AI815" s="17">
        <f t="shared" si="482"/>
        <v>0</v>
      </c>
      <c r="AJ815" s="17">
        <f t="shared" si="483"/>
        <v>0</v>
      </c>
      <c r="AK815" s="17">
        <f t="shared" si="484"/>
        <v>0</v>
      </c>
      <c r="AL815" s="17">
        <f t="shared" si="485"/>
        <v>0</v>
      </c>
      <c r="AM815" s="17">
        <f t="shared" si="486"/>
        <v>0</v>
      </c>
      <c r="AN815" s="17">
        <f t="shared" si="487"/>
        <v>0</v>
      </c>
      <c r="AO815" s="17">
        <f t="shared" si="488"/>
        <v>0</v>
      </c>
      <c r="AP815" s="17">
        <f t="shared" si="489"/>
        <v>0</v>
      </c>
      <c r="AQ815" s="18">
        <v>0</v>
      </c>
      <c r="AR815" s="18">
        <v>0</v>
      </c>
      <c r="AS815" s="18">
        <v>0</v>
      </c>
      <c r="AT815" s="18">
        <v>0</v>
      </c>
      <c r="AU815" s="18">
        <v>0</v>
      </c>
      <c r="AV815" s="18">
        <v>0</v>
      </c>
      <c r="AW815" s="18">
        <v>0</v>
      </c>
      <c r="AX815" s="18">
        <v>0</v>
      </c>
      <c r="AY815" s="18">
        <v>0</v>
      </c>
      <c r="AZ815" s="18">
        <v>0</v>
      </c>
      <c r="BA815" s="18">
        <v>0</v>
      </c>
      <c r="BB815" s="18">
        <v>0</v>
      </c>
      <c r="BC815" s="23">
        <v>8.9181565948742242E-2</v>
      </c>
      <c r="BD815" s="23">
        <v>0.10665277883445198</v>
      </c>
      <c r="BE815" s="23">
        <v>9.438849084854764E-2</v>
      </c>
      <c r="BF815" s="23">
        <v>7.149564986855049E-2</v>
      </c>
      <c r="BG815" s="23">
        <v>0.10368571810536763</v>
      </c>
      <c r="BH815" s="23">
        <v>8.4970330952544637E-2</v>
      </c>
      <c r="BI815" s="23">
        <v>8.4593878877262704E-2</v>
      </c>
      <c r="BJ815" s="23">
        <v>5.7447105462779965E-2</v>
      </c>
      <c r="BK815" s="23">
        <v>8.5153852345557474E-2</v>
      </c>
      <c r="BL815" s="23">
        <v>7.4158058913035174E-2</v>
      </c>
      <c r="BM815" s="23">
        <v>7.5718189192107169E-2</v>
      </c>
      <c r="BN815" s="23">
        <v>7.3955559365675619E-2</v>
      </c>
    </row>
    <row r="816" spans="1:66" x14ac:dyDescent="0.25">
      <c r="A816" s="16">
        <v>5562</v>
      </c>
      <c r="B816" s="16" t="s">
        <v>1010</v>
      </c>
      <c r="C816" s="17">
        <v>0</v>
      </c>
      <c r="D816" s="17">
        <f t="shared" si="453"/>
        <v>0</v>
      </c>
      <c r="E816" s="17">
        <f t="shared" si="454"/>
        <v>0</v>
      </c>
      <c r="F816" s="17">
        <f t="shared" si="455"/>
        <v>0</v>
      </c>
      <c r="G816" s="17">
        <f t="shared" si="456"/>
        <v>0</v>
      </c>
      <c r="H816" s="17">
        <f t="shared" si="457"/>
        <v>0</v>
      </c>
      <c r="I816" s="17">
        <f t="shared" si="458"/>
        <v>0</v>
      </c>
      <c r="J816" s="17">
        <f t="shared" si="459"/>
        <v>0</v>
      </c>
      <c r="K816" s="17">
        <f t="shared" si="460"/>
        <v>0</v>
      </c>
      <c r="L816" s="17">
        <f t="shared" si="461"/>
        <v>0</v>
      </c>
      <c r="M816" s="17">
        <f t="shared" si="462"/>
        <v>0</v>
      </c>
      <c r="N816" s="17">
        <f t="shared" si="463"/>
        <v>0</v>
      </c>
      <c r="O816" s="17">
        <f t="shared" si="464"/>
        <v>0</v>
      </c>
      <c r="P816" s="17">
        <v>0</v>
      </c>
      <c r="Q816" s="17">
        <f t="shared" si="465"/>
        <v>0</v>
      </c>
      <c r="R816" s="17">
        <f t="shared" si="466"/>
        <v>0</v>
      </c>
      <c r="S816" s="17">
        <f t="shared" si="467"/>
        <v>0</v>
      </c>
      <c r="T816" s="17">
        <f t="shared" si="468"/>
        <v>0</v>
      </c>
      <c r="U816" s="17">
        <f t="shared" si="469"/>
        <v>0</v>
      </c>
      <c r="V816" s="17">
        <f t="shared" si="470"/>
        <v>0</v>
      </c>
      <c r="W816" s="17">
        <f t="shared" si="471"/>
        <v>0</v>
      </c>
      <c r="X816" s="17">
        <f t="shared" si="472"/>
        <v>0</v>
      </c>
      <c r="Y816" s="17">
        <f t="shared" si="473"/>
        <v>0</v>
      </c>
      <c r="Z816" s="17">
        <f t="shared" si="474"/>
        <v>0</v>
      </c>
      <c r="AA816" s="17">
        <f t="shared" si="475"/>
        <v>0</v>
      </c>
      <c r="AB816" s="17">
        <f t="shared" si="476"/>
        <v>0</v>
      </c>
      <c r="AC816" s="17">
        <v>0</v>
      </c>
      <c r="AD816" s="17">
        <f t="shared" si="477"/>
        <v>0</v>
      </c>
      <c r="AE816" s="17">
        <f t="shared" si="478"/>
        <v>0</v>
      </c>
      <c r="AF816" s="17">
        <f t="shared" si="479"/>
        <v>0</v>
      </c>
      <c r="AG816" s="17">
        <f t="shared" si="480"/>
        <v>0</v>
      </c>
      <c r="AH816" s="17">
        <f t="shared" si="481"/>
        <v>0</v>
      </c>
      <c r="AI816" s="17">
        <f t="shared" si="482"/>
        <v>0</v>
      </c>
      <c r="AJ816" s="17">
        <f t="shared" si="483"/>
        <v>0</v>
      </c>
      <c r="AK816" s="17">
        <f t="shared" si="484"/>
        <v>0</v>
      </c>
      <c r="AL816" s="17">
        <f t="shared" si="485"/>
        <v>0</v>
      </c>
      <c r="AM816" s="17">
        <f t="shared" si="486"/>
        <v>0</v>
      </c>
      <c r="AN816" s="17">
        <f t="shared" si="487"/>
        <v>0</v>
      </c>
      <c r="AO816" s="17">
        <f t="shared" si="488"/>
        <v>0</v>
      </c>
      <c r="AP816" s="17">
        <f t="shared" si="489"/>
        <v>0</v>
      </c>
      <c r="AQ816" s="18">
        <v>0</v>
      </c>
      <c r="AR816" s="18">
        <v>0</v>
      </c>
      <c r="AS816" s="18">
        <v>0</v>
      </c>
      <c r="AT816" s="18">
        <v>0</v>
      </c>
      <c r="AU816" s="18">
        <v>0</v>
      </c>
      <c r="AV816" s="18">
        <v>0</v>
      </c>
      <c r="AW816" s="18">
        <v>0</v>
      </c>
      <c r="AX816" s="18">
        <v>0</v>
      </c>
      <c r="AY816" s="18">
        <v>0</v>
      </c>
      <c r="AZ816" s="18">
        <v>0</v>
      </c>
      <c r="BA816" s="18">
        <v>0</v>
      </c>
      <c r="BB816" s="18">
        <v>0</v>
      </c>
      <c r="BC816" s="23">
        <v>8.9181565948742242E-2</v>
      </c>
      <c r="BD816" s="23">
        <v>0.10665277883445198</v>
      </c>
      <c r="BE816" s="23">
        <v>9.438849084854764E-2</v>
      </c>
      <c r="BF816" s="23">
        <v>7.149564986855049E-2</v>
      </c>
      <c r="BG816" s="23">
        <v>0.10368571810536763</v>
      </c>
      <c r="BH816" s="23">
        <v>8.4970330952544637E-2</v>
      </c>
      <c r="BI816" s="23">
        <v>8.4593878877262704E-2</v>
      </c>
      <c r="BJ816" s="23">
        <v>5.7447105462779965E-2</v>
      </c>
      <c r="BK816" s="23">
        <v>8.5153852345557474E-2</v>
      </c>
      <c r="BL816" s="23">
        <v>7.4158058913035174E-2</v>
      </c>
      <c r="BM816" s="23">
        <v>7.5718189192107169E-2</v>
      </c>
      <c r="BN816" s="23">
        <v>7.3955559365675619E-2</v>
      </c>
    </row>
    <row r="817" spans="1:66" x14ac:dyDescent="0.25">
      <c r="A817" s="16">
        <v>5563</v>
      </c>
      <c r="B817" s="16" t="s">
        <v>1011</v>
      </c>
      <c r="C817" s="17">
        <v>0</v>
      </c>
      <c r="D817" s="17">
        <f t="shared" si="453"/>
        <v>0</v>
      </c>
      <c r="E817" s="17">
        <f t="shared" si="454"/>
        <v>0</v>
      </c>
      <c r="F817" s="17">
        <f t="shared" si="455"/>
        <v>0</v>
      </c>
      <c r="G817" s="17">
        <f t="shared" si="456"/>
        <v>0</v>
      </c>
      <c r="H817" s="17">
        <f t="shared" si="457"/>
        <v>0</v>
      </c>
      <c r="I817" s="17">
        <f t="shared" si="458"/>
        <v>0</v>
      </c>
      <c r="J817" s="17">
        <f t="shared" si="459"/>
        <v>0</v>
      </c>
      <c r="K817" s="17">
        <f t="shared" si="460"/>
        <v>0</v>
      </c>
      <c r="L817" s="17">
        <f t="shared" si="461"/>
        <v>0</v>
      </c>
      <c r="M817" s="17">
        <f t="shared" si="462"/>
        <v>0</v>
      </c>
      <c r="N817" s="17">
        <f t="shared" si="463"/>
        <v>0</v>
      </c>
      <c r="O817" s="17">
        <f t="shared" si="464"/>
        <v>0</v>
      </c>
      <c r="P817" s="17">
        <v>0</v>
      </c>
      <c r="Q817" s="17">
        <f t="shared" si="465"/>
        <v>0</v>
      </c>
      <c r="R817" s="17">
        <f t="shared" si="466"/>
        <v>0</v>
      </c>
      <c r="S817" s="17">
        <f t="shared" si="467"/>
        <v>0</v>
      </c>
      <c r="T817" s="17">
        <f t="shared" si="468"/>
        <v>0</v>
      </c>
      <c r="U817" s="17">
        <f t="shared" si="469"/>
        <v>0</v>
      </c>
      <c r="V817" s="17">
        <f t="shared" si="470"/>
        <v>0</v>
      </c>
      <c r="W817" s="17">
        <f t="shared" si="471"/>
        <v>0</v>
      </c>
      <c r="X817" s="17">
        <f t="shared" si="472"/>
        <v>0</v>
      </c>
      <c r="Y817" s="17">
        <f t="shared" si="473"/>
        <v>0</v>
      </c>
      <c r="Z817" s="17">
        <f t="shared" si="474"/>
        <v>0</v>
      </c>
      <c r="AA817" s="17">
        <f t="shared" si="475"/>
        <v>0</v>
      </c>
      <c r="AB817" s="17">
        <f t="shared" si="476"/>
        <v>0</v>
      </c>
      <c r="AC817" s="17">
        <v>0</v>
      </c>
      <c r="AD817" s="17">
        <f t="shared" si="477"/>
        <v>0</v>
      </c>
      <c r="AE817" s="17">
        <f t="shared" si="478"/>
        <v>0</v>
      </c>
      <c r="AF817" s="17">
        <f t="shared" si="479"/>
        <v>0</v>
      </c>
      <c r="AG817" s="17">
        <f t="shared" si="480"/>
        <v>0</v>
      </c>
      <c r="AH817" s="17">
        <f t="shared" si="481"/>
        <v>0</v>
      </c>
      <c r="AI817" s="17">
        <f t="shared" si="482"/>
        <v>0</v>
      </c>
      <c r="AJ817" s="17">
        <f t="shared" si="483"/>
        <v>0</v>
      </c>
      <c r="AK817" s="17">
        <f t="shared" si="484"/>
        <v>0</v>
      </c>
      <c r="AL817" s="17">
        <f t="shared" si="485"/>
        <v>0</v>
      </c>
      <c r="AM817" s="17">
        <f t="shared" si="486"/>
        <v>0</v>
      </c>
      <c r="AN817" s="17">
        <f t="shared" si="487"/>
        <v>0</v>
      </c>
      <c r="AO817" s="17">
        <f t="shared" si="488"/>
        <v>0</v>
      </c>
      <c r="AP817" s="17">
        <f t="shared" si="489"/>
        <v>0</v>
      </c>
      <c r="AQ817" s="18">
        <v>0</v>
      </c>
      <c r="AR817" s="18">
        <v>0</v>
      </c>
      <c r="AS817" s="18">
        <v>0</v>
      </c>
      <c r="AT817" s="18">
        <v>0</v>
      </c>
      <c r="AU817" s="18">
        <v>0</v>
      </c>
      <c r="AV817" s="18">
        <v>0</v>
      </c>
      <c r="AW817" s="18">
        <v>0</v>
      </c>
      <c r="AX817" s="18">
        <v>0</v>
      </c>
      <c r="AY817" s="18">
        <v>0</v>
      </c>
      <c r="AZ817" s="18">
        <v>0</v>
      </c>
      <c r="BA817" s="18">
        <v>0</v>
      </c>
      <c r="BB817" s="18">
        <v>0</v>
      </c>
      <c r="BC817" s="23">
        <v>8.9181565948742242E-2</v>
      </c>
      <c r="BD817" s="23">
        <v>0.10665277883445198</v>
      </c>
      <c r="BE817" s="23">
        <v>9.438849084854764E-2</v>
      </c>
      <c r="BF817" s="23">
        <v>7.149564986855049E-2</v>
      </c>
      <c r="BG817" s="23">
        <v>0.10368571810536763</v>
      </c>
      <c r="BH817" s="23">
        <v>8.4970330952544637E-2</v>
      </c>
      <c r="BI817" s="23">
        <v>8.4593878877262704E-2</v>
      </c>
      <c r="BJ817" s="23">
        <v>5.7447105462779965E-2</v>
      </c>
      <c r="BK817" s="23">
        <v>8.5153852345557474E-2</v>
      </c>
      <c r="BL817" s="23">
        <v>7.4158058913035174E-2</v>
      </c>
      <c r="BM817" s="23">
        <v>7.5718189192107169E-2</v>
      </c>
      <c r="BN817" s="23">
        <v>7.3955559365675619E-2</v>
      </c>
    </row>
    <row r="818" spans="1:66" x14ac:dyDescent="0.25">
      <c r="A818" s="16">
        <v>5845</v>
      </c>
      <c r="B818" s="16" t="s">
        <v>1012</v>
      </c>
      <c r="C818" s="17">
        <v>0</v>
      </c>
      <c r="D818" s="17">
        <f t="shared" si="453"/>
        <v>0</v>
      </c>
      <c r="E818" s="17">
        <f t="shared" si="454"/>
        <v>0</v>
      </c>
      <c r="F818" s="17">
        <f t="shared" si="455"/>
        <v>0</v>
      </c>
      <c r="G818" s="17">
        <f t="shared" si="456"/>
        <v>0</v>
      </c>
      <c r="H818" s="17">
        <f t="shared" si="457"/>
        <v>0</v>
      </c>
      <c r="I818" s="17">
        <f t="shared" si="458"/>
        <v>0</v>
      </c>
      <c r="J818" s="17">
        <f t="shared" si="459"/>
        <v>0</v>
      </c>
      <c r="K818" s="17">
        <f t="shared" si="460"/>
        <v>0</v>
      </c>
      <c r="L818" s="17">
        <f t="shared" si="461"/>
        <v>0</v>
      </c>
      <c r="M818" s="17">
        <f t="shared" si="462"/>
        <v>0</v>
      </c>
      <c r="N818" s="17">
        <f t="shared" si="463"/>
        <v>0</v>
      </c>
      <c r="O818" s="17">
        <f t="shared" si="464"/>
        <v>0</v>
      </c>
      <c r="P818" s="17">
        <v>0</v>
      </c>
      <c r="Q818" s="17">
        <f t="shared" si="465"/>
        <v>0</v>
      </c>
      <c r="R818" s="17">
        <f t="shared" si="466"/>
        <v>0</v>
      </c>
      <c r="S818" s="17">
        <f t="shared" si="467"/>
        <v>0</v>
      </c>
      <c r="T818" s="17">
        <f t="shared" si="468"/>
        <v>0</v>
      </c>
      <c r="U818" s="17">
        <f t="shared" si="469"/>
        <v>0</v>
      </c>
      <c r="V818" s="17">
        <f t="shared" si="470"/>
        <v>0</v>
      </c>
      <c r="W818" s="17">
        <f t="shared" si="471"/>
        <v>0</v>
      </c>
      <c r="X818" s="17">
        <f t="shared" si="472"/>
        <v>0</v>
      </c>
      <c r="Y818" s="17">
        <f t="shared" si="473"/>
        <v>0</v>
      </c>
      <c r="Z818" s="17">
        <f t="shared" si="474"/>
        <v>0</v>
      </c>
      <c r="AA818" s="17">
        <f t="shared" si="475"/>
        <v>0</v>
      </c>
      <c r="AB818" s="17">
        <f t="shared" si="476"/>
        <v>0</v>
      </c>
      <c r="AC818" s="17">
        <v>0</v>
      </c>
      <c r="AD818" s="17">
        <f t="shared" si="477"/>
        <v>0</v>
      </c>
      <c r="AE818" s="17">
        <f t="shared" si="478"/>
        <v>0</v>
      </c>
      <c r="AF818" s="17">
        <f t="shared" si="479"/>
        <v>0</v>
      </c>
      <c r="AG818" s="17">
        <f t="shared" si="480"/>
        <v>0</v>
      </c>
      <c r="AH818" s="17">
        <f t="shared" si="481"/>
        <v>0</v>
      </c>
      <c r="AI818" s="17">
        <f t="shared" si="482"/>
        <v>0</v>
      </c>
      <c r="AJ818" s="17">
        <f t="shared" si="483"/>
        <v>0</v>
      </c>
      <c r="AK818" s="17">
        <f t="shared" si="484"/>
        <v>0</v>
      </c>
      <c r="AL818" s="17">
        <f t="shared" si="485"/>
        <v>0</v>
      </c>
      <c r="AM818" s="17">
        <f t="shared" si="486"/>
        <v>0</v>
      </c>
      <c r="AN818" s="17">
        <f t="shared" si="487"/>
        <v>0</v>
      </c>
      <c r="AO818" s="17">
        <f t="shared" si="488"/>
        <v>0</v>
      </c>
      <c r="AP818" s="17">
        <f t="shared" si="489"/>
        <v>0</v>
      </c>
      <c r="AQ818" s="18">
        <v>0</v>
      </c>
      <c r="AR818" s="18">
        <v>0</v>
      </c>
      <c r="AS818" s="18">
        <v>0</v>
      </c>
      <c r="AT818" s="18">
        <v>0</v>
      </c>
      <c r="AU818" s="18">
        <v>0</v>
      </c>
      <c r="AV818" s="18">
        <v>0</v>
      </c>
      <c r="AW818" s="18">
        <v>0</v>
      </c>
      <c r="AX818" s="18">
        <v>0</v>
      </c>
      <c r="AY818" s="18">
        <v>0</v>
      </c>
      <c r="AZ818" s="18">
        <v>0</v>
      </c>
      <c r="BA818" s="18">
        <v>0</v>
      </c>
      <c r="BB818" s="18">
        <v>0</v>
      </c>
      <c r="BC818" s="23">
        <v>8.9181565948742242E-2</v>
      </c>
      <c r="BD818" s="23">
        <v>0.10665277883445198</v>
      </c>
      <c r="BE818" s="23">
        <v>9.438849084854764E-2</v>
      </c>
      <c r="BF818" s="23">
        <v>7.149564986855049E-2</v>
      </c>
      <c r="BG818" s="23">
        <v>0.10368571810536763</v>
      </c>
      <c r="BH818" s="23">
        <v>8.4970330952544637E-2</v>
      </c>
      <c r="BI818" s="23">
        <v>8.4593878877262704E-2</v>
      </c>
      <c r="BJ818" s="23">
        <v>5.7447105462779965E-2</v>
      </c>
      <c r="BK818" s="23">
        <v>8.5153852345557474E-2</v>
      </c>
      <c r="BL818" s="23">
        <v>7.4158058913035174E-2</v>
      </c>
      <c r="BM818" s="23">
        <v>7.5718189192107169E-2</v>
      </c>
      <c r="BN818" s="23">
        <v>7.3955559365675619E-2</v>
      </c>
    </row>
    <row r="819" spans="1:66" x14ac:dyDescent="0.25">
      <c r="A819" s="16">
        <v>6495</v>
      </c>
      <c r="B819" s="16" t="s">
        <v>1013</v>
      </c>
      <c r="C819" s="17">
        <v>0</v>
      </c>
      <c r="D819" s="17">
        <f t="shared" si="453"/>
        <v>0</v>
      </c>
      <c r="E819" s="17">
        <f t="shared" si="454"/>
        <v>0</v>
      </c>
      <c r="F819" s="17">
        <f t="shared" si="455"/>
        <v>0</v>
      </c>
      <c r="G819" s="17">
        <f t="shared" si="456"/>
        <v>0</v>
      </c>
      <c r="H819" s="17">
        <f t="shared" si="457"/>
        <v>0</v>
      </c>
      <c r="I819" s="17">
        <f t="shared" si="458"/>
        <v>0</v>
      </c>
      <c r="J819" s="17">
        <f t="shared" si="459"/>
        <v>0</v>
      </c>
      <c r="K819" s="17">
        <f t="shared" si="460"/>
        <v>0</v>
      </c>
      <c r="L819" s="17">
        <f t="shared" si="461"/>
        <v>0</v>
      </c>
      <c r="M819" s="17">
        <f t="shared" si="462"/>
        <v>0</v>
      </c>
      <c r="N819" s="17">
        <f t="shared" si="463"/>
        <v>0</v>
      </c>
      <c r="O819" s="17">
        <f t="shared" si="464"/>
        <v>0</v>
      </c>
      <c r="P819" s="17">
        <v>0</v>
      </c>
      <c r="Q819" s="17">
        <f t="shared" si="465"/>
        <v>0</v>
      </c>
      <c r="R819" s="17">
        <f t="shared" si="466"/>
        <v>0</v>
      </c>
      <c r="S819" s="17">
        <f t="shared" si="467"/>
        <v>0</v>
      </c>
      <c r="T819" s="17">
        <f t="shared" si="468"/>
        <v>0</v>
      </c>
      <c r="U819" s="17">
        <f t="shared" si="469"/>
        <v>0</v>
      </c>
      <c r="V819" s="17">
        <f t="shared" si="470"/>
        <v>0</v>
      </c>
      <c r="W819" s="17">
        <f t="shared" si="471"/>
        <v>0</v>
      </c>
      <c r="X819" s="17">
        <f t="shared" si="472"/>
        <v>0</v>
      </c>
      <c r="Y819" s="17">
        <f t="shared" si="473"/>
        <v>0</v>
      </c>
      <c r="Z819" s="17">
        <f t="shared" si="474"/>
        <v>0</v>
      </c>
      <c r="AA819" s="17">
        <f t="shared" si="475"/>
        <v>0</v>
      </c>
      <c r="AB819" s="17">
        <f t="shared" si="476"/>
        <v>0</v>
      </c>
      <c r="AC819" s="17">
        <v>0</v>
      </c>
      <c r="AD819" s="17">
        <f t="shared" si="477"/>
        <v>0</v>
      </c>
      <c r="AE819" s="17">
        <f t="shared" si="478"/>
        <v>0</v>
      </c>
      <c r="AF819" s="17">
        <f t="shared" si="479"/>
        <v>0</v>
      </c>
      <c r="AG819" s="17">
        <f t="shared" si="480"/>
        <v>0</v>
      </c>
      <c r="AH819" s="17">
        <f t="shared" si="481"/>
        <v>0</v>
      </c>
      <c r="AI819" s="17">
        <f t="shared" si="482"/>
        <v>0</v>
      </c>
      <c r="AJ819" s="17">
        <f t="shared" si="483"/>
        <v>0</v>
      </c>
      <c r="AK819" s="17">
        <f t="shared" si="484"/>
        <v>0</v>
      </c>
      <c r="AL819" s="17">
        <f t="shared" si="485"/>
        <v>0</v>
      </c>
      <c r="AM819" s="17">
        <f t="shared" si="486"/>
        <v>0</v>
      </c>
      <c r="AN819" s="17">
        <f t="shared" si="487"/>
        <v>0</v>
      </c>
      <c r="AO819" s="17">
        <f t="shared" si="488"/>
        <v>0</v>
      </c>
      <c r="AP819" s="17">
        <f t="shared" si="489"/>
        <v>0</v>
      </c>
      <c r="AQ819" s="18">
        <v>0</v>
      </c>
      <c r="AR819" s="18">
        <v>0</v>
      </c>
      <c r="AS819" s="18">
        <v>0</v>
      </c>
      <c r="AT819" s="18">
        <v>0</v>
      </c>
      <c r="AU819" s="18">
        <v>0</v>
      </c>
      <c r="AV819" s="18">
        <v>0</v>
      </c>
      <c r="AW819" s="18">
        <v>0</v>
      </c>
      <c r="AX819" s="18">
        <v>0</v>
      </c>
      <c r="AY819" s="18">
        <v>0</v>
      </c>
      <c r="AZ819" s="18">
        <v>0</v>
      </c>
      <c r="BA819" s="18">
        <v>0</v>
      </c>
      <c r="BB819" s="18">
        <v>0</v>
      </c>
      <c r="BC819" s="23">
        <v>8.9181565948742242E-2</v>
      </c>
      <c r="BD819" s="23">
        <v>0.10665277883445198</v>
      </c>
      <c r="BE819" s="23">
        <v>9.438849084854764E-2</v>
      </c>
      <c r="BF819" s="23">
        <v>7.149564986855049E-2</v>
      </c>
      <c r="BG819" s="23">
        <v>0.10368571810536763</v>
      </c>
      <c r="BH819" s="23">
        <v>8.4970330952544637E-2</v>
      </c>
      <c r="BI819" s="23">
        <v>8.4593878877262704E-2</v>
      </c>
      <c r="BJ819" s="23">
        <v>5.7447105462779965E-2</v>
      </c>
      <c r="BK819" s="23">
        <v>8.5153852345557474E-2</v>
      </c>
      <c r="BL819" s="23">
        <v>7.4158058913035174E-2</v>
      </c>
      <c r="BM819" s="23">
        <v>7.5718189192107169E-2</v>
      </c>
      <c r="BN819" s="23">
        <v>7.3955559365675619E-2</v>
      </c>
    </row>
    <row r="820" spans="1:66" x14ac:dyDescent="0.25">
      <c r="A820" s="16">
        <v>6496</v>
      </c>
      <c r="B820" s="16" t="s">
        <v>1014</v>
      </c>
      <c r="C820" s="17">
        <v>0</v>
      </c>
      <c r="D820" s="17">
        <f t="shared" si="453"/>
        <v>0</v>
      </c>
      <c r="E820" s="17">
        <f t="shared" si="454"/>
        <v>0</v>
      </c>
      <c r="F820" s="17">
        <f t="shared" si="455"/>
        <v>0</v>
      </c>
      <c r="G820" s="17">
        <f t="shared" si="456"/>
        <v>0</v>
      </c>
      <c r="H820" s="17">
        <f t="shared" si="457"/>
        <v>0</v>
      </c>
      <c r="I820" s="17">
        <f t="shared" si="458"/>
        <v>0</v>
      </c>
      <c r="J820" s="17">
        <f t="shared" si="459"/>
        <v>0</v>
      </c>
      <c r="K820" s="17">
        <f t="shared" si="460"/>
        <v>0</v>
      </c>
      <c r="L820" s="17">
        <f t="shared" si="461"/>
        <v>0</v>
      </c>
      <c r="M820" s="17">
        <f t="shared" si="462"/>
        <v>0</v>
      </c>
      <c r="N820" s="17">
        <f t="shared" si="463"/>
        <v>0</v>
      </c>
      <c r="O820" s="17">
        <f t="shared" si="464"/>
        <v>0</v>
      </c>
      <c r="P820" s="17">
        <v>0</v>
      </c>
      <c r="Q820" s="17">
        <f t="shared" si="465"/>
        <v>0</v>
      </c>
      <c r="R820" s="17">
        <f t="shared" si="466"/>
        <v>0</v>
      </c>
      <c r="S820" s="17">
        <f t="shared" si="467"/>
        <v>0</v>
      </c>
      <c r="T820" s="17">
        <f t="shared" si="468"/>
        <v>0</v>
      </c>
      <c r="U820" s="17">
        <f t="shared" si="469"/>
        <v>0</v>
      </c>
      <c r="V820" s="17">
        <f t="shared" si="470"/>
        <v>0</v>
      </c>
      <c r="W820" s="17">
        <f t="shared" si="471"/>
        <v>0</v>
      </c>
      <c r="X820" s="17">
        <f t="shared" si="472"/>
        <v>0</v>
      </c>
      <c r="Y820" s="17">
        <f t="shared" si="473"/>
        <v>0</v>
      </c>
      <c r="Z820" s="17">
        <f t="shared" si="474"/>
        <v>0</v>
      </c>
      <c r="AA820" s="17">
        <f t="shared" si="475"/>
        <v>0</v>
      </c>
      <c r="AB820" s="17">
        <f t="shared" si="476"/>
        <v>0</v>
      </c>
      <c r="AC820" s="17">
        <v>0</v>
      </c>
      <c r="AD820" s="17">
        <f t="shared" si="477"/>
        <v>0</v>
      </c>
      <c r="AE820" s="17">
        <f t="shared" si="478"/>
        <v>0</v>
      </c>
      <c r="AF820" s="17">
        <f t="shared" si="479"/>
        <v>0</v>
      </c>
      <c r="AG820" s="17">
        <f t="shared" si="480"/>
        <v>0</v>
      </c>
      <c r="AH820" s="17">
        <f t="shared" si="481"/>
        <v>0</v>
      </c>
      <c r="AI820" s="17">
        <f t="shared" si="482"/>
        <v>0</v>
      </c>
      <c r="AJ820" s="17">
        <f t="shared" si="483"/>
        <v>0</v>
      </c>
      <c r="AK820" s="17">
        <f t="shared" si="484"/>
        <v>0</v>
      </c>
      <c r="AL820" s="17">
        <f t="shared" si="485"/>
        <v>0</v>
      </c>
      <c r="AM820" s="17">
        <f t="shared" si="486"/>
        <v>0</v>
      </c>
      <c r="AN820" s="17">
        <f t="shared" si="487"/>
        <v>0</v>
      </c>
      <c r="AO820" s="17">
        <f t="shared" si="488"/>
        <v>0</v>
      </c>
      <c r="AP820" s="17">
        <f t="shared" si="489"/>
        <v>0</v>
      </c>
      <c r="AQ820" s="18">
        <v>0</v>
      </c>
      <c r="AR820" s="18">
        <v>0</v>
      </c>
      <c r="AS820" s="18">
        <v>0</v>
      </c>
      <c r="AT820" s="18">
        <v>0</v>
      </c>
      <c r="AU820" s="18">
        <v>0</v>
      </c>
      <c r="AV820" s="18">
        <v>0</v>
      </c>
      <c r="AW820" s="18">
        <v>0</v>
      </c>
      <c r="AX820" s="18">
        <v>0</v>
      </c>
      <c r="AY820" s="18">
        <v>0</v>
      </c>
      <c r="AZ820" s="18">
        <v>0</v>
      </c>
      <c r="BA820" s="18">
        <v>0</v>
      </c>
      <c r="BB820" s="18">
        <v>0</v>
      </c>
      <c r="BC820" s="23">
        <v>8.9181565948742242E-2</v>
      </c>
      <c r="BD820" s="23">
        <v>0.10665277883445198</v>
      </c>
      <c r="BE820" s="23">
        <v>9.438849084854764E-2</v>
      </c>
      <c r="BF820" s="23">
        <v>7.149564986855049E-2</v>
      </c>
      <c r="BG820" s="23">
        <v>0.10368571810536763</v>
      </c>
      <c r="BH820" s="23">
        <v>8.4970330952544637E-2</v>
      </c>
      <c r="BI820" s="23">
        <v>8.4593878877262704E-2</v>
      </c>
      <c r="BJ820" s="23">
        <v>5.7447105462779965E-2</v>
      </c>
      <c r="BK820" s="23">
        <v>8.5153852345557474E-2</v>
      </c>
      <c r="BL820" s="23">
        <v>7.4158058913035174E-2</v>
      </c>
      <c r="BM820" s="23">
        <v>7.5718189192107169E-2</v>
      </c>
      <c r="BN820" s="23">
        <v>7.3955559365675619E-2</v>
      </c>
    </row>
    <row r="821" spans="1:66" x14ac:dyDescent="0.25">
      <c r="A821" s="16">
        <v>6497</v>
      </c>
      <c r="B821" s="16" t="s">
        <v>1015</v>
      </c>
      <c r="C821" s="17">
        <v>0</v>
      </c>
      <c r="D821" s="17">
        <f t="shared" si="453"/>
        <v>0</v>
      </c>
      <c r="E821" s="17">
        <f t="shared" si="454"/>
        <v>0</v>
      </c>
      <c r="F821" s="17">
        <f t="shared" si="455"/>
        <v>0</v>
      </c>
      <c r="G821" s="17">
        <f t="shared" si="456"/>
        <v>0</v>
      </c>
      <c r="H821" s="17">
        <f t="shared" si="457"/>
        <v>0</v>
      </c>
      <c r="I821" s="17">
        <f t="shared" si="458"/>
        <v>0</v>
      </c>
      <c r="J821" s="17">
        <f t="shared" si="459"/>
        <v>0</v>
      </c>
      <c r="K821" s="17">
        <f t="shared" si="460"/>
        <v>0</v>
      </c>
      <c r="L821" s="17">
        <f t="shared" si="461"/>
        <v>0</v>
      </c>
      <c r="M821" s="17">
        <f t="shared" si="462"/>
        <v>0</v>
      </c>
      <c r="N821" s="17">
        <f t="shared" si="463"/>
        <v>0</v>
      </c>
      <c r="O821" s="17">
        <f t="shared" si="464"/>
        <v>0</v>
      </c>
      <c r="P821" s="17">
        <v>0</v>
      </c>
      <c r="Q821" s="17">
        <f t="shared" si="465"/>
        <v>0</v>
      </c>
      <c r="R821" s="17">
        <f t="shared" si="466"/>
        <v>0</v>
      </c>
      <c r="S821" s="17">
        <f t="shared" si="467"/>
        <v>0</v>
      </c>
      <c r="T821" s="17">
        <f t="shared" si="468"/>
        <v>0</v>
      </c>
      <c r="U821" s="17">
        <f t="shared" si="469"/>
        <v>0</v>
      </c>
      <c r="V821" s="17">
        <f t="shared" si="470"/>
        <v>0</v>
      </c>
      <c r="W821" s="17">
        <f t="shared" si="471"/>
        <v>0</v>
      </c>
      <c r="X821" s="17">
        <f t="shared" si="472"/>
        <v>0</v>
      </c>
      <c r="Y821" s="17">
        <f t="shared" si="473"/>
        <v>0</v>
      </c>
      <c r="Z821" s="17">
        <f t="shared" si="474"/>
        <v>0</v>
      </c>
      <c r="AA821" s="17">
        <f t="shared" si="475"/>
        <v>0</v>
      </c>
      <c r="AB821" s="17">
        <f t="shared" si="476"/>
        <v>0</v>
      </c>
      <c r="AC821" s="17">
        <v>0</v>
      </c>
      <c r="AD821" s="17">
        <f t="shared" si="477"/>
        <v>0</v>
      </c>
      <c r="AE821" s="17">
        <f t="shared" si="478"/>
        <v>0</v>
      </c>
      <c r="AF821" s="17">
        <f t="shared" si="479"/>
        <v>0</v>
      </c>
      <c r="AG821" s="17">
        <f t="shared" si="480"/>
        <v>0</v>
      </c>
      <c r="AH821" s="17">
        <f t="shared" si="481"/>
        <v>0</v>
      </c>
      <c r="AI821" s="17">
        <f t="shared" si="482"/>
        <v>0</v>
      </c>
      <c r="AJ821" s="17">
        <f t="shared" si="483"/>
        <v>0</v>
      </c>
      <c r="AK821" s="17">
        <f t="shared" si="484"/>
        <v>0</v>
      </c>
      <c r="AL821" s="17">
        <f t="shared" si="485"/>
        <v>0</v>
      </c>
      <c r="AM821" s="17">
        <f t="shared" si="486"/>
        <v>0</v>
      </c>
      <c r="AN821" s="17">
        <f t="shared" si="487"/>
        <v>0</v>
      </c>
      <c r="AO821" s="17">
        <f t="shared" si="488"/>
        <v>0</v>
      </c>
      <c r="AP821" s="17">
        <f t="shared" si="489"/>
        <v>0</v>
      </c>
      <c r="AQ821" s="18">
        <v>0</v>
      </c>
      <c r="AR821" s="18">
        <v>0</v>
      </c>
      <c r="AS821" s="18">
        <v>0</v>
      </c>
      <c r="AT821" s="18">
        <v>0</v>
      </c>
      <c r="AU821" s="18">
        <v>0</v>
      </c>
      <c r="AV821" s="18">
        <v>0</v>
      </c>
      <c r="AW821" s="18">
        <v>0</v>
      </c>
      <c r="AX821" s="18">
        <v>0</v>
      </c>
      <c r="AY821" s="18">
        <v>0</v>
      </c>
      <c r="AZ821" s="18">
        <v>0</v>
      </c>
      <c r="BA821" s="18">
        <v>0</v>
      </c>
      <c r="BB821" s="18">
        <v>0</v>
      </c>
      <c r="BC821" s="23">
        <v>8.9181565948742242E-2</v>
      </c>
      <c r="BD821" s="23">
        <v>0.10665277883445198</v>
      </c>
      <c r="BE821" s="23">
        <v>9.438849084854764E-2</v>
      </c>
      <c r="BF821" s="23">
        <v>7.149564986855049E-2</v>
      </c>
      <c r="BG821" s="23">
        <v>0.10368571810536763</v>
      </c>
      <c r="BH821" s="23">
        <v>8.4970330952544637E-2</v>
      </c>
      <c r="BI821" s="23">
        <v>8.4593878877262704E-2</v>
      </c>
      <c r="BJ821" s="23">
        <v>5.7447105462779965E-2</v>
      </c>
      <c r="BK821" s="23">
        <v>8.5153852345557474E-2</v>
      </c>
      <c r="BL821" s="23">
        <v>7.4158058913035174E-2</v>
      </c>
      <c r="BM821" s="23">
        <v>7.5718189192107169E-2</v>
      </c>
      <c r="BN821" s="23">
        <v>7.3955559365675619E-2</v>
      </c>
    </row>
    <row r="822" spans="1:66" x14ac:dyDescent="0.25">
      <c r="A822" s="16">
        <v>6499</v>
      </c>
      <c r="B822" s="16" t="s">
        <v>1016</v>
      </c>
      <c r="C822" s="17">
        <v>0</v>
      </c>
      <c r="D822" s="17">
        <f t="shared" si="453"/>
        <v>0</v>
      </c>
      <c r="E822" s="17">
        <f t="shared" si="454"/>
        <v>0</v>
      </c>
      <c r="F822" s="17">
        <f t="shared" si="455"/>
        <v>0</v>
      </c>
      <c r="G822" s="17">
        <f t="shared" si="456"/>
        <v>0</v>
      </c>
      <c r="H822" s="17">
        <f t="shared" si="457"/>
        <v>0</v>
      </c>
      <c r="I822" s="17">
        <f t="shared" si="458"/>
        <v>0</v>
      </c>
      <c r="J822" s="17">
        <f t="shared" si="459"/>
        <v>0</v>
      </c>
      <c r="K822" s="17">
        <f t="shared" si="460"/>
        <v>0</v>
      </c>
      <c r="L822" s="17">
        <f t="shared" si="461"/>
        <v>0</v>
      </c>
      <c r="M822" s="17">
        <f t="shared" si="462"/>
        <v>0</v>
      </c>
      <c r="N822" s="17">
        <f t="shared" si="463"/>
        <v>0</v>
      </c>
      <c r="O822" s="17">
        <f t="shared" si="464"/>
        <v>0</v>
      </c>
      <c r="P822" s="17">
        <v>0</v>
      </c>
      <c r="Q822" s="17">
        <f t="shared" si="465"/>
        <v>0</v>
      </c>
      <c r="R822" s="17">
        <f t="shared" si="466"/>
        <v>0</v>
      </c>
      <c r="S822" s="17">
        <f t="shared" si="467"/>
        <v>0</v>
      </c>
      <c r="T822" s="17">
        <f t="shared" si="468"/>
        <v>0</v>
      </c>
      <c r="U822" s="17">
        <f t="shared" si="469"/>
        <v>0</v>
      </c>
      <c r="V822" s="17">
        <f t="shared" si="470"/>
        <v>0</v>
      </c>
      <c r="W822" s="17">
        <f t="shared" si="471"/>
        <v>0</v>
      </c>
      <c r="X822" s="17">
        <f t="shared" si="472"/>
        <v>0</v>
      </c>
      <c r="Y822" s="17">
        <f t="shared" si="473"/>
        <v>0</v>
      </c>
      <c r="Z822" s="17">
        <f t="shared" si="474"/>
        <v>0</v>
      </c>
      <c r="AA822" s="17">
        <f t="shared" si="475"/>
        <v>0</v>
      </c>
      <c r="AB822" s="17">
        <f t="shared" si="476"/>
        <v>0</v>
      </c>
      <c r="AC822" s="17">
        <v>0</v>
      </c>
      <c r="AD822" s="17">
        <f t="shared" si="477"/>
        <v>0</v>
      </c>
      <c r="AE822" s="17">
        <f t="shared" si="478"/>
        <v>0</v>
      </c>
      <c r="AF822" s="17">
        <f t="shared" si="479"/>
        <v>0</v>
      </c>
      <c r="AG822" s="17">
        <f t="shared" si="480"/>
        <v>0</v>
      </c>
      <c r="AH822" s="17">
        <f t="shared" si="481"/>
        <v>0</v>
      </c>
      <c r="AI822" s="17">
        <f t="shared" si="482"/>
        <v>0</v>
      </c>
      <c r="AJ822" s="17">
        <f t="shared" si="483"/>
        <v>0</v>
      </c>
      <c r="AK822" s="17">
        <f t="shared" si="484"/>
        <v>0</v>
      </c>
      <c r="AL822" s="17">
        <f t="shared" si="485"/>
        <v>0</v>
      </c>
      <c r="AM822" s="17">
        <f t="shared" si="486"/>
        <v>0</v>
      </c>
      <c r="AN822" s="17">
        <f t="shared" si="487"/>
        <v>0</v>
      </c>
      <c r="AO822" s="17">
        <f t="shared" si="488"/>
        <v>0</v>
      </c>
      <c r="AP822" s="17">
        <f t="shared" si="489"/>
        <v>0</v>
      </c>
      <c r="AQ822" s="18">
        <v>0</v>
      </c>
      <c r="AR822" s="18">
        <v>0</v>
      </c>
      <c r="AS822" s="18">
        <v>0</v>
      </c>
      <c r="AT822" s="18">
        <v>0</v>
      </c>
      <c r="AU822" s="18">
        <v>0</v>
      </c>
      <c r="AV822" s="18">
        <v>0</v>
      </c>
      <c r="AW822" s="18">
        <v>0</v>
      </c>
      <c r="AX822" s="18">
        <v>0</v>
      </c>
      <c r="AY822" s="18">
        <v>0</v>
      </c>
      <c r="AZ822" s="18">
        <v>0</v>
      </c>
      <c r="BA822" s="18">
        <v>0</v>
      </c>
      <c r="BB822" s="18">
        <v>0</v>
      </c>
      <c r="BC822" s="23">
        <v>8.9181565948742242E-2</v>
      </c>
      <c r="BD822" s="23">
        <v>0.10665277883445198</v>
      </c>
      <c r="BE822" s="23">
        <v>9.438849084854764E-2</v>
      </c>
      <c r="BF822" s="23">
        <v>7.149564986855049E-2</v>
      </c>
      <c r="BG822" s="23">
        <v>0.10368571810536763</v>
      </c>
      <c r="BH822" s="23">
        <v>8.4970330952544637E-2</v>
      </c>
      <c r="BI822" s="23">
        <v>8.4593878877262704E-2</v>
      </c>
      <c r="BJ822" s="23">
        <v>5.7447105462779965E-2</v>
      </c>
      <c r="BK822" s="23">
        <v>8.5153852345557474E-2</v>
      </c>
      <c r="BL822" s="23">
        <v>7.4158058913035174E-2</v>
      </c>
      <c r="BM822" s="23">
        <v>7.5718189192107169E-2</v>
      </c>
      <c r="BN822" s="23">
        <v>7.3955559365675619E-2</v>
      </c>
    </row>
    <row r="823" spans="1:66" x14ac:dyDescent="0.25">
      <c r="A823" s="16">
        <v>6500</v>
      </c>
      <c r="B823" s="16" t="s">
        <v>1017</v>
      </c>
      <c r="C823" s="17">
        <v>0</v>
      </c>
      <c r="D823" s="17">
        <f t="shared" si="453"/>
        <v>0</v>
      </c>
      <c r="E823" s="17">
        <f t="shared" si="454"/>
        <v>0</v>
      </c>
      <c r="F823" s="17">
        <f t="shared" si="455"/>
        <v>0</v>
      </c>
      <c r="G823" s="17">
        <f t="shared" si="456"/>
        <v>0</v>
      </c>
      <c r="H823" s="17">
        <f t="shared" si="457"/>
        <v>0</v>
      </c>
      <c r="I823" s="17">
        <f t="shared" si="458"/>
        <v>0</v>
      </c>
      <c r="J823" s="17">
        <f t="shared" si="459"/>
        <v>0</v>
      </c>
      <c r="K823" s="17">
        <f t="shared" si="460"/>
        <v>0</v>
      </c>
      <c r="L823" s="17">
        <f t="shared" si="461"/>
        <v>0</v>
      </c>
      <c r="M823" s="17">
        <f t="shared" si="462"/>
        <v>0</v>
      </c>
      <c r="N823" s="17">
        <f t="shared" si="463"/>
        <v>0</v>
      </c>
      <c r="O823" s="17">
        <f t="shared" si="464"/>
        <v>0</v>
      </c>
      <c r="P823" s="17">
        <v>0</v>
      </c>
      <c r="Q823" s="17">
        <f t="shared" si="465"/>
        <v>0</v>
      </c>
      <c r="R823" s="17">
        <f t="shared" si="466"/>
        <v>0</v>
      </c>
      <c r="S823" s="17">
        <f t="shared" si="467"/>
        <v>0</v>
      </c>
      <c r="T823" s="17">
        <f t="shared" si="468"/>
        <v>0</v>
      </c>
      <c r="U823" s="17">
        <f t="shared" si="469"/>
        <v>0</v>
      </c>
      <c r="V823" s="17">
        <f t="shared" si="470"/>
        <v>0</v>
      </c>
      <c r="W823" s="17">
        <f t="shared" si="471"/>
        <v>0</v>
      </c>
      <c r="X823" s="17">
        <f t="shared" si="472"/>
        <v>0</v>
      </c>
      <c r="Y823" s="17">
        <f t="shared" si="473"/>
        <v>0</v>
      </c>
      <c r="Z823" s="17">
        <f t="shared" si="474"/>
        <v>0</v>
      </c>
      <c r="AA823" s="17">
        <f t="shared" si="475"/>
        <v>0</v>
      </c>
      <c r="AB823" s="17">
        <f t="shared" si="476"/>
        <v>0</v>
      </c>
      <c r="AC823" s="17">
        <v>0</v>
      </c>
      <c r="AD823" s="17">
        <f t="shared" si="477"/>
        <v>0</v>
      </c>
      <c r="AE823" s="17">
        <f t="shared" si="478"/>
        <v>0</v>
      </c>
      <c r="AF823" s="17">
        <f t="shared" si="479"/>
        <v>0</v>
      </c>
      <c r="AG823" s="17">
        <f t="shared" si="480"/>
        <v>0</v>
      </c>
      <c r="AH823" s="17">
        <f t="shared" si="481"/>
        <v>0</v>
      </c>
      <c r="AI823" s="17">
        <f t="shared" si="482"/>
        <v>0</v>
      </c>
      <c r="AJ823" s="17">
        <f t="shared" si="483"/>
        <v>0</v>
      </c>
      <c r="AK823" s="17">
        <f t="shared" si="484"/>
        <v>0</v>
      </c>
      <c r="AL823" s="17">
        <f t="shared" si="485"/>
        <v>0</v>
      </c>
      <c r="AM823" s="17">
        <f t="shared" si="486"/>
        <v>0</v>
      </c>
      <c r="AN823" s="17">
        <f t="shared" si="487"/>
        <v>0</v>
      </c>
      <c r="AO823" s="17">
        <f t="shared" si="488"/>
        <v>0</v>
      </c>
      <c r="AP823" s="17">
        <f t="shared" si="489"/>
        <v>0</v>
      </c>
      <c r="AQ823" s="18">
        <v>0</v>
      </c>
      <c r="AR823" s="18">
        <v>0</v>
      </c>
      <c r="AS823" s="18">
        <v>0</v>
      </c>
      <c r="AT823" s="18">
        <v>0</v>
      </c>
      <c r="AU823" s="18">
        <v>0</v>
      </c>
      <c r="AV823" s="18">
        <v>0</v>
      </c>
      <c r="AW823" s="18">
        <v>0</v>
      </c>
      <c r="AX823" s="18">
        <v>0</v>
      </c>
      <c r="AY823" s="18">
        <v>0</v>
      </c>
      <c r="AZ823" s="18">
        <v>0</v>
      </c>
      <c r="BA823" s="18">
        <v>0</v>
      </c>
      <c r="BB823" s="18">
        <v>0</v>
      </c>
      <c r="BC823" s="23">
        <v>8.9181565948742242E-2</v>
      </c>
      <c r="BD823" s="23">
        <v>0.10665277883445198</v>
      </c>
      <c r="BE823" s="23">
        <v>9.438849084854764E-2</v>
      </c>
      <c r="BF823" s="23">
        <v>7.149564986855049E-2</v>
      </c>
      <c r="BG823" s="23">
        <v>0.10368571810536763</v>
      </c>
      <c r="BH823" s="23">
        <v>8.4970330952544637E-2</v>
      </c>
      <c r="BI823" s="23">
        <v>8.4593878877262704E-2</v>
      </c>
      <c r="BJ823" s="23">
        <v>5.7447105462779965E-2</v>
      </c>
      <c r="BK823" s="23">
        <v>8.5153852345557474E-2</v>
      </c>
      <c r="BL823" s="23">
        <v>7.4158058913035174E-2</v>
      </c>
      <c r="BM823" s="23">
        <v>7.5718189192107169E-2</v>
      </c>
      <c r="BN823" s="23">
        <v>7.3955559365675619E-2</v>
      </c>
    </row>
    <row r="824" spans="1:66" x14ac:dyDescent="0.25">
      <c r="A824" s="16">
        <v>6504</v>
      </c>
      <c r="B824" s="16" t="s">
        <v>1018</v>
      </c>
      <c r="C824" s="17">
        <v>0</v>
      </c>
      <c r="D824" s="17">
        <f t="shared" si="453"/>
        <v>0</v>
      </c>
      <c r="E824" s="17">
        <f t="shared" si="454"/>
        <v>0</v>
      </c>
      <c r="F824" s="17">
        <f t="shared" si="455"/>
        <v>0</v>
      </c>
      <c r="G824" s="17">
        <f t="shared" si="456"/>
        <v>0</v>
      </c>
      <c r="H824" s="17">
        <f t="shared" si="457"/>
        <v>0</v>
      </c>
      <c r="I824" s="17">
        <f t="shared" si="458"/>
        <v>0</v>
      </c>
      <c r="J824" s="17">
        <f t="shared" si="459"/>
        <v>0</v>
      </c>
      <c r="K824" s="17">
        <f t="shared" si="460"/>
        <v>0</v>
      </c>
      <c r="L824" s="17">
        <f t="shared" si="461"/>
        <v>0</v>
      </c>
      <c r="M824" s="17">
        <f t="shared" si="462"/>
        <v>0</v>
      </c>
      <c r="N824" s="17">
        <f t="shared" si="463"/>
        <v>0</v>
      </c>
      <c r="O824" s="17">
        <f t="shared" si="464"/>
        <v>0</v>
      </c>
      <c r="P824" s="17">
        <v>0</v>
      </c>
      <c r="Q824" s="17">
        <f t="shared" si="465"/>
        <v>0</v>
      </c>
      <c r="R824" s="17">
        <f t="shared" si="466"/>
        <v>0</v>
      </c>
      <c r="S824" s="17">
        <f t="shared" si="467"/>
        <v>0</v>
      </c>
      <c r="T824" s="17">
        <f t="shared" si="468"/>
        <v>0</v>
      </c>
      <c r="U824" s="17">
        <f t="shared" si="469"/>
        <v>0</v>
      </c>
      <c r="V824" s="17">
        <f t="shared" si="470"/>
        <v>0</v>
      </c>
      <c r="W824" s="17">
        <f t="shared" si="471"/>
        <v>0</v>
      </c>
      <c r="X824" s="17">
        <f t="shared" si="472"/>
        <v>0</v>
      </c>
      <c r="Y824" s="17">
        <f t="shared" si="473"/>
        <v>0</v>
      </c>
      <c r="Z824" s="17">
        <f t="shared" si="474"/>
        <v>0</v>
      </c>
      <c r="AA824" s="17">
        <f t="shared" si="475"/>
        <v>0</v>
      </c>
      <c r="AB824" s="17">
        <f t="shared" si="476"/>
        <v>0</v>
      </c>
      <c r="AC824" s="17">
        <v>0</v>
      </c>
      <c r="AD824" s="17">
        <f t="shared" si="477"/>
        <v>0</v>
      </c>
      <c r="AE824" s="17">
        <f t="shared" si="478"/>
        <v>0</v>
      </c>
      <c r="AF824" s="17">
        <f t="shared" si="479"/>
        <v>0</v>
      </c>
      <c r="AG824" s="17">
        <f t="shared" si="480"/>
        <v>0</v>
      </c>
      <c r="AH824" s="17">
        <f t="shared" si="481"/>
        <v>0</v>
      </c>
      <c r="AI824" s="17">
        <f t="shared" si="482"/>
        <v>0</v>
      </c>
      <c r="AJ824" s="17">
        <f t="shared" si="483"/>
        <v>0</v>
      </c>
      <c r="AK824" s="17">
        <f t="shared" si="484"/>
        <v>0</v>
      </c>
      <c r="AL824" s="17">
        <f t="shared" si="485"/>
        <v>0</v>
      </c>
      <c r="AM824" s="17">
        <f t="shared" si="486"/>
        <v>0</v>
      </c>
      <c r="AN824" s="17">
        <f t="shared" si="487"/>
        <v>0</v>
      </c>
      <c r="AO824" s="17">
        <f t="shared" si="488"/>
        <v>0</v>
      </c>
      <c r="AP824" s="17">
        <f t="shared" si="489"/>
        <v>0</v>
      </c>
      <c r="AQ824" s="18">
        <v>0</v>
      </c>
      <c r="AR824" s="18">
        <v>0</v>
      </c>
      <c r="AS824" s="18">
        <v>0</v>
      </c>
      <c r="AT824" s="18">
        <v>0</v>
      </c>
      <c r="AU824" s="18">
        <v>0</v>
      </c>
      <c r="AV824" s="18">
        <v>0</v>
      </c>
      <c r="AW824" s="18">
        <v>0</v>
      </c>
      <c r="AX824" s="18">
        <v>0</v>
      </c>
      <c r="AY824" s="18">
        <v>0</v>
      </c>
      <c r="AZ824" s="18">
        <v>0</v>
      </c>
      <c r="BA824" s="18">
        <v>0</v>
      </c>
      <c r="BB824" s="18">
        <v>0</v>
      </c>
      <c r="BC824" s="23">
        <v>8.9181565948742242E-2</v>
      </c>
      <c r="BD824" s="23">
        <v>0.10665277883445198</v>
      </c>
      <c r="BE824" s="23">
        <v>9.438849084854764E-2</v>
      </c>
      <c r="BF824" s="23">
        <v>7.149564986855049E-2</v>
      </c>
      <c r="BG824" s="23">
        <v>0.10368571810536763</v>
      </c>
      <c r="BH824" s="23">
        <v>8.4970330952544637E-2</v>
      </c>
      <c r="BI824" s="23">
        <v>8.4593878877262704E-2</v>
      </c>
      <c r="BJ824" s="23">
        <v>5.7447105462779965E-2</v>
      </c>
      <c r="BK824" s="23">
        <v>8.5153852345557474E-2</v>
      </c>
      <c r="BL824" s="23">
        <v>7.4158058913035174E-2</v>
      </c>
      <c r="BM824" s="23">
        <v>7.5718189192107169E-2</v>
      </c>
      <c r="BN824" s="23">
        <v>7.3955559365675619E-2</v>
      </c>
    </row>
    <row r="825" spans="1:66" x14ac:dyDescent="0.25">
      <c r="A825" s="16">
        <v>6505</v>
      </c>
      <c r="B825" s="16" t="s">
        <v>1019</v>
      </c>
      <c r="C825" s="17">
        <v>0</v>
      </c>
      <c r="D825" s="17">
        <f t="shared" si="453"/>
        <v>0</v>
      </c>
      <c r="E825" s="17">
        <f t="shared" si="454"/>
        <v>0</v>
      </c>
      <c r="F825" s="17">
        <f t="shared" si="455"/>
        <v>0</v>
      </c>
      <c r="G825" s="17">
        <f t="shared" si="456"/>
        <v>0</v>
      </c>
      <c r="H825" s="17">
        <f t="shared" si="457"/>
        <v>0</v>
      </c>
      <c r="I825" s="17">
        <f t="shared" si="458"/>
        <v>0</v>
      </c>
      <c r="J825" s="17">
        <f t="shared" si="459"/>
        <v>0</v>
      </c>
      <c r="K825" s="17">
        <f t="shared" si="460"/>
        <v>0</v>
      </c>
      <c r="L825" s="17">
        <f t="shared" si="461"/>
        <v>0</v>
      </c>
      <c r="M825" s="17">
        <f t="shared" si="462"/>
        <v>0</v>
      </c>
      <c r="N825" s="17">
        <f t="shared" si="463"/>
        <v>0</v>
      </c>
      <c r="O825" s="17">
        <f t="shared" si="464"/>
        <v>0</v>
      </c>
      <c r="P825" s="17">
        <v>0</v>
      </c>
      <c r="Q825" s="17">
        <f t="shared" si="465"/>
        <v>0</v>
      </c>
      <c r="R825" s="17">
        <f t="shared" si="466"/>
        <v>0</v>
      </c>
      <c r="S825" s="17">
        <f t="shared" si="467"/>
        <v>0</v>
      </c>
      <c r="T825" s="17">
        <f t="shared" si="468"/>
        <v>0</v>
      </c>
      <c r="U825" s="17">
        <f t="shared" si="469"/>
        <v>0</v>
      </c>
      <c r="V825" s="17">
        <f t="shared" si="470"/>
        <v>0</v>
      </c>
      <c r="W825" s="17">
        <f t="shared" si="471"/>
        <v>0</v>
      </c>
      <c r="X825" s="17">
        <f t="shared" si="472"/>
        <v>0</v>
      </c>
      <c r="Y825" s="17">
        <f t="shared" si="473"/>
        <v>0</v>
      </c>
      <c r="Z825" s="17">
        <f t="shared" si="474"/>
        <v>0</v>
      </c>
      <c r="AA825" s="17">
        <f t="shared" si="475"/>
        <v>0</v>
      </c>
      <c r="AB825" s="17">
        <f t="shared" si="476"/>
        <v>0</v>
      </c>
      <c r="AC825" s="17">
        <v>0</v>
      </c>
      <c r="AD825" s="17">
        <f t="shared" si="477"/>
        <v>0</v>
      </c>
      <c r="AE825" s="17">
        <f t="shared" si="478"/>
        <v>0</v>
      </c>
      <c r="AF825" s="17">
        <f t="shared" si="479"/>
        <v>0</v>
      </c>
      <c r="AG825" s="17">
        <f t="shared" si="480"/>
        <v>0</v>
      </c>
      <c r="AH825" s="17">
        <f t="shared" si="481"/>
        <v>0</v>
      </c>
      <c r="AI825" s="17">
        <f t="shared" si="482"/>
        <v>0</v>
      </c>
      <c r="AJ825" s="17">
        <f t="shared" si="483"/>
        <v>0</v>
      </c>
      <c r="AK825" s="17">
        <f t="shared" si="484"/>
        <v>0</v>
      </c>
      <c r="AL825" s="17">
        <f t="shared" si="485"/>
        <v>0</v>
      </c>
      <c r="AM825" s="17">
        <f t="shared" si="486"/>
        <v>0</v>
      </c>
      <c r="AN825" s="17">
        <f t="shared" si="487"/>
        <v>0</v>
      </c>
      <c r="AO825" s="17">
        <f t="shared" si="488"/>
        <v>0</v>
      </c>
      <c r="AP825" s="17">
        <f t="shared" si="489"/>
        <v>0</v>
      </c>
      <c r="AQ825" s="18">
        <v>0</v>
      </c>
      <c r="AR825" s="18">
        <v>0</v>
      </c>
      <c r="AS825" s="18">
        <v>0</v>
      </c>
      <c r="AT825" s="18">
        <v>0</v>
      </c>
      <c r="AU825" s="18">
        <v>0</v>
      </c>
      <c r="AV825" s="18">
        <v>0</v>
      </c>
      <c r="AW825" s="18">
        <v>0</v>
      </c>
      <c r="AX825" s="18">
        <v>0</v>
      </c>
      <c r="AY825" s="18">
        <v>0</v>
      </c>
      <c r="AZ825" s="18">
        <v>0</v>
      </c>
      <c r="BA825" s="18">
        <v>0</v>
      </c>
      <c r="BB825" s="18">
        <v>0</v>
      </c>
      <c r="BC825" s="23">
        <v>8.9181565948742242E-2</v>
      </c>
      <c r="BD825" s="23">
        <v>0.10665277883445198</v>
      </c>
      <c r="BE825" s="23">
        <v>9.438849084854764E-2</v>
      </c>
      <c r="BF825" s="23">
        <v>7.149564986855049E-2</v>
      </c>
      <c r="BG825" s="23">
        <v>0.10368571810536763</v>
      </c>
      <c r="BH825" s="23">
        <v>8.4970330952544637E-2</v>
      </c>
      <c r="BI825" s="23">
        <v>8.4593878877262704E-2</v>
      </c>
      <c r="BJ825" s="23">
        <v>5.7447105462779965E-2</v>
      </c>
      <c r="BK825" s="23">
        <v>8.5153852345557474E-2</v>
      </c>
      <c r="BL825" s="23">
        <v>7.4158058913035174E-2</v>
      </c>
      <c r="BM825" s="23">
        <v>7.5718189192107169E-2</v>
      </c>
      <c r="BN825" s="23">
        <v>7.3955559365675619E-2</v>
      </c>
    </row>
    <row r="826" spans="1:66" x14ac:dyDescent="0.25">
      <c r="A826" s="16">
        <v>6506</v>
      </c>
      <c r="B826" s="16" t="s">
        <v>1020</v>
      </c>
      <c r="C826" s="17">
        <v>0</v>
      </c>
      <c r="D826" s="17">
        <f t="shared" si="453"/>
        <v>0</v>
      </c>
      <c r="E826" s="17">
        <f t="shared" si="454"/>
        <v>0</v>
      </c>
      <c r="F826" s="17">
        <f t="shared" si="455"/>
        <v>0</v>
      </c>
      <c r="G826" s="17">
        <f t="shared" si="456"/>
        <v>0</v>
      </c>
      <c r="H826" s="17">
        <f t="shared" si="457"/>
        <v>0</v>
      </c>
      <c r="I826" s="17">
        <f t="shared" si="458"/>
        <v>0</v>
      </c>
      <c r="J826" s="17">
        <f t="shared" si="459"/>
        <v>0</v>
      </c>
      <c r="K826" s="17">
        <f t="shared" si="460"/>
        <v>0</v>
      </c>
      <c r="L826" s="17">
        <f t="shared" si="461"/>
        <v>0</v>
      </c>
      <c r="M826" s="17">
        <f t="shared" si="462"/>
        <v>0</v>
      </c>
      <c r="N826" s="17">
        <f t="shared" si="463"/>
        <v>0</v>
      </c>
      <c r="O826" s="17">
        <f t="shared" si="464"/>
        <v>0</v>
      </c>
      <c r="P826" s="17">
        <v>0</v>
      </c>
      <c r="Q826" s="17">
        <f t="shared" si="465"/>
        <v>0</v>
      </c>
      <c r="R826" s="17">
        <f t="shared" si="466"/>
        <v>0</v>
      </c>
      <c r="S826" s="17">
        <f t="shared" si="467"/>
        <v>0</v>
      </c>
      <c r="T826" s="17">
        <f t="shared" si="468"/>
        <v>0</v>
      </c>
      <c r="U826" s="17">
        <f t="shared" si="469"/>
        <v>0</v>
      </c>
      <c r="V826" s="17">
        <f t="shared" si="470"/>
        <v>0</v>
      </c>
      <c r="W826" s="17">
        <f t="shared" si="471"/>
        <v>0</v>
      </c>
      <c r="X826" s="17">
        <f t="shared" si="472"/>
        <v>0</v>
      </c>
      <c r="Y826" s="17">
        <f t="shared" si="473"/>
        <v>0</v>
      </c>
      <c r="Z826" s="17">
        <f t="shared" si="474"/>
        <v>0</v>
      </c>
      <c r="AA826" s="17">
        <f t="shared" si="475"/>
        <v>0</v>
      </c>
      <c r="AB826" s="17">
        <f t="shared" si="476"/>
        <v>0</v>
      </c>
      <c r="AC826" s="17">
        <v>0</v>
      </c>
      <c r="AD826" s="17">
        <f t="shared" si="477"/>
        <v>0</v>
      </c>
      <c r="AE826" s="17">
        <f t="shared" si="478"/>
        <v>0</v>
      </c>
      <c r="AF826" s="17">
        <f t="shared" si="479"/>
        <v>0</v>
      </c>
      <c r="AG826" s="17">
        <f t="shared" si="480"/>
        <v>0</v>
      </c>
      <c r="AH826" s="17">
        <f t="shared" si="481"/>
        <v>0</v>
      </c>
      <c r="AI826" s="17">
        <f t="shared" si="482"/>
        <v>0</v>
      </c>
      <c r="AJ826" s="17">
        <f t="shared" si="483"/>
        <v>0</v>
      </c>
      <c r="AK826" s="17">
        <f t="shared" si="484"/>
        <v>0</v>
      </c>
      <c r="AL826" s="17">
        <f t="shared" si="485"/>
        <v>0</v>
      </c>
      <c r="AM826" s="17">
        <f t="shared" si="486"/>
        <v>0</v>
      </c>
      <c r="AN826" s="17">
        <f t="shared" si="487"/>
        <v>0</v>
      </c>
      <c r="AO826" s="17">
        <f t="shared" si="488"/>
        <v>0</v>
      </c>
      <c r="AP826" s="17">
        <f t="shared" si="489"/>
        <v>0</v>
      </c>
      <c r="AQ826" s="18">
        <v>0</v>
      </c>
      <c r="AR826" s="18">
        <v>0</v>
      </c>
      <c r="AS826" s="18">
        <v>0</v>
      </c>
      <c r="AT826" s="18">
        <v>0</v>
      </c>
      <c r="AU826" s="18">
        <v>0</v>
      </c>
      <c r="AV826" s="18">
        <v>0</v>
      </c>
      <c r="AW826" s="18">
        <v>0</v>
      </c>
      <c r="AX826" s="18">
        <v>0</v>
      </c>
      <c r="AY826" s="18">
        <v>0</v>
      </c>
      <c r="AZ826" s="18">
        <v>0</v>
      </c>
      <c r="BA826" s="18">
        <v>0</v>
      </c>
      <c r="BB826" s="18">
        <v>0</v>
      </c>
      <c r="BC826" s="23">
        <v>8.9181565948742242E-2</v>
      </c>
      <c r="BD826" s="23">
        <v>0.10665277883445198</v>
      </c>
      <c r="BE826" s="23">
        <v>9.438849084854764E-2</v>
      </c>
      <c r="BF826" s="23">
        <v>7.149564986855049E-2</v>
      </c>
      <c r="BG826" s="23">
        <v>0.10368571810536763</v>
      </c>
      <c r="BH826" s="23">
        <v>8.4970330952544637E-2</v>
      </c>
      <c r="BI826" s="23">
        <v>8.4593878877262704E-2</v>
      </c>
      <c r="BJ826" s="23">
        <v>5.7447105462779965E-2</v>
      </c>
      <c r="BK826" s="23">
        <v>8.5153852345557474E-2</v>
      </c>
      <c r="BL826" s="23">
        <v>7.4158058913035174E-2</v>
      </c>
      <c r="BM826" s="23">
        <v>7.5718189192107169E-2</v>
      </c>
      <c r="BN826" s="23">
        <v>7.3955559365675619E-2</v>
      </c>
    </row>
    <row r="827" spans="1:66" x14ac:dyDescent="0.25">
      <c r="A827" s="16">
        <v>6507</v>
      </c>
      <c r="B827" s="16" t="s">
        <v>1021</v>
      </c>
      <c r="C827" s="17">
        <v>0</v>
      </c>
      <c r="D827" s="17">
        <f t="shared" si="453"/>
        <v>0</v>
      </c>
      <c r="E827" s="17">
        <f t="shared" si="454"/>
        <v>0</v>
      </c>
      <c r="F827" s="17">
        <f t="shared" si="455"/>
        <v>0</v>
      </c>
      <c r="G827" s="17">
        <f t="shared" si="456"/>
        <v>0</v>
      </c>
      <c r="H827" s="17">
        <f t="shared" si="457"/>
        <v>0</v>
      </c>
      <c r="I827" s="17">
        <f t="shared" si="458"/>
        <v>0</v>
      </c>
      <c r="J827" s="17">
        <f t="shared" si="459"/>
        <v>0</v>
      </c>
      <c r="K827" s="17">
        <f t="shared" si="460"/>
        <v>0</v>
      </c>
      <c r="L827" s="17">
        <f t="shared" si="461"/>
        <v>0</v>
      </c>
      <c r="M827" s="17">
        <f t="shared" si="462"/>
        <v>0</v>
      </c>
      <c r="N827" s="17">
        <f t="shared" si="463"/>
        <v>0</v>
      </c>
      <c r="O827" s="17">
        <f t="shared" si="464"/>
        <v>0</v>
      </c>
      <c r="P827" s="17">
        <v>0</v>
      </c>
      <c r="Q827" s="17">
        <f t="shared" si="465"/>
        <v>0</v>
      </c>
      <c r="R827" s="17">
        <f t="shared" si="466"/>
        <v>0</v>
      </c>
      <c r="S827" s="17">
        <f t="shared" si="467"/>
        <v>0</v>
      </c>
      <c r="T827" s="17">
        <f t="shared" si="468"/>
        <v>0</v>
      </c>
      <c r="U827" s="17">
        <f t="shared" si="469"/>
        <v>0</v>
      </c>
      <c r="V827" s="17">
        <f t="shared" si="470"/>
        <v>0</v>
      </c>
      <c r="W827" s="17">
        <f t="shared" si="471"/>
        <v>0</v>
      </c>
      <c r="X827" s="17">
        <f t="shared" si="472"/>
        <v>0</v>
      </c>
      <c r="Y827" s="17">
        <f t="shared" si="473"/>
        <v>0</v>
      </c>
      <c r="Z827" s="17">
        <f t="shared" si="474"/>
        <v>0</v>
      </c>
      <c r="AA827" s="17">
        <f t="shared" si="475"/>
        <v>0</v>
      </c>
      <c r="AB827" s="17">
        <f t="shared" si="476"/>
        <v>0</v>
      </c>
      <c r="AC827" s="17">
        <v>0</v>
      </c>
      <c r="AD827" s="17">
        <f t="shared" si="477"/>
        <v>0</v>
      </c>
      <c r="AE827" s="17">
        <f t="shared" si="478"/>
        <v>0</v>
      </c>
      <c r="AF827" s="17">
        <f t="shared" si="479"/>
        <v>0</v>
      </c>
      <c r="AG827" s="17">
        <f t="shared" si="480"/>
        <v>0</v>
      </c>
      <c r="AH827" s="17">
        <f t="shared" si="481"/>
        <v>0</v>
      </c>
      <c r="AI827" s="17">
        <f t="shared" si="482"/>
        <v>0</v>
      </c>
      <c r="AJ827" s="17">
        <f t="shared" si="483"/>
        <v>0</v>
      </c>
      <c r="AK827" s="17">
        <f t="shared" si="484"/>
        <v>0</v>
      </c>
      <c r="AL827" s="17">
        <f t="shared" si="485"/>
        <v>0</v>
      </c>
      <c r="AM827" s="17">
        <f t="shared" si="486"/>
        <v>0</v>
      </c>
      <c r="AN827" s="17">
        <f t="shared" si="487"/>
        <v>0</v>
      </c>
      <c r="AO827" s="17">
        <f t="shared" si="488"/>
        <v>0</v>
      </c>
      <c r="AP827" s="17">
        <f t="shared" si="489"/>
        <v>0</v>
      </c>
      <c r="AQ827" s="18">
        <v>0</v>
      </c>
      <c r="AR827" s="18">
        <v>0</v>
      </c>
      <c r="AS827" s="18">
        <v>0</v>
      </c>
      <c r="AT827" s="18">
        <v>0</v>
      </c>
      <c r="AU827" s="18">
        <v>0</v>
      </c>
      <c r="AV827" s="18">
        <v>0</v>
      </c>
      <c r="AW827" s="18">
        <v>0</v>
      </c>
      <c r="AX827" s="18">
        <v>0</v>
      </c>
      <c r="AY827" s="18">
        <v>0</v>
      </c>
      <c r="AZ827" s="18">
        <v>0</v>
      </c>
      <c r="BA827" s="18">
        <v>0</v>
      </c>
      <c r="BB827" s="18">
        <v>0</v>
      </c>
      <c r="BC827" s="23">
        <v>8.9181565948742242E-2</v>
      </c>
      <c r="BD827" s="23">
        <v>0.10665277883445198</v>
      </c>
      <c r="BE827" s="23">
        <v>9.438849084854764E-2</v>
      </c>
      <c r="BF827" s="23">
        <v>7.149564986855049E-2</v>
      </c>
      <c r="BG827" s="23">
        <v>0.10368571810536763</v>
      </c>
      <c r="BH827" s="23">
        <v>8.4970330952544637E-2</v>
      </c>
      <c r="BI827" s="23">
        <v>8.4593878877262704E-2</v>
      </c>
      <c r="BJ827" s="23">
        <v>5.7447105462779965E-2</v>
      </c>
      <c r="BK827" s="23">
        <v>8.5153852345557474E-2</v>
      </c>
      <c r="BL827" s="23">
        <v>7.4158058913035174E-2</v>
      </c>
      <c r="BM827" s="23">
        <v>7.5718189192107169E-2</v>
      </c>
      <c r="BN827" s="23">
        <v>7.3955559365675619E-2</v>
      </c>
    </row>
    <row r="828" spans="1:66" x14ac:dyDescent="0.25">
      <c r="A828" s="16">
        <v>6510</v>
      </c>
      <c r="B828" s="16" t="s">
        <v>1022</v>
      </c>
      <c r="C828" s="17">
        <v>0</v>
      </c>
      <c r="D828" s="17">
        <f t="shared" si="453"/>
        <v>0</v>
      </c>
      <c r="E828" s="17">
        <f t="shared" si="454"/>
        <v>0</v>
      </c>
      <c r="F828" s="17">
        <f t="shared" si="455"/>
        <v>0</v>
      </c>
      <c r="G828" s="17">
        <f t="shared" si="456"/>
        <v>0</v>
      </c>
      <c r="H828" s="17">
        <f t="shared" si="457"/>
        <v>0</v>
      </c>
      <c r="I828" s="17">
        <f t="shared" si="458"/>
        <v>0</v>
      </c>
      <c r="J828" s="17">
        <f t="shared" si="459"/>
        <v>0</v>
      </c>
      <c r="K828" s="17">
        <f t="shared" si="460"/>
        <v>0</v>
      </c>
      <c r="L828" s="17">
        <f t="shared" si="461"/>
        <v>0</v>
      </c>
      <c r="M828" s="17">
        <f t="shared" si="462"/>
        <v>0</v>
      </c>
      <c r="N828" s="17">
        <f t="shared" si="463"/>
        <v>0</v>
      </c>
      <c r="O828" s="17">
        <f t="shared" si="464"/>
        <v>0</v>
      </c>
      <c r="P828" s="17">
        <v>0</v>
      </c>
      <c r="Q828" s="17">
        <f t="shared" si="465"/>
        <v>0</v>
      </c>
      <c r="R828" s="17">
        <f t="shared" si="466"/>
        <v>0</v>
      </c>
      <c r="S828" s="17">
        <f t="shared" si="467"/>
        <v>0</v>
      </c>
      <c r="T828" s="17">
        <f t="shared" si="468"/>
        <v>0</v>
      </c>
      <c r="U828" s="17">
        <f t="shared" si="469"/>
        <v>0</v>
      </c>
      <c r="V828" s="17">
        <f t="shared" si="470"/>
        <v>0</v>
      </c>
      <c r="W828" s="17">
        <f t="shared" si="471"/>
        <v>0</v>
      </c>
      <c r="X828" s="17">
        <f t="shared" si="472"/>
        <v>0</v>
      </c>
      <c r="Y828" s="17">
        <f t="shared" si="473"/>
        <v>0</v>
      </c>
      <c r="Z828" s="17">
        <f t="shared" si="474"/>
        <v>0</v>
      </c>
      <c r="AA828" s="17">
        <f t="shared" si="475"/>
        <v>0</v>
      </c>
      <c r="AB828" s="17">
        <f t="shared" si="476"/>
        <v>0</v>
      </c>
      <c r="AC828" s="17">
        <v>0</v>
      </c>
      <c r="AD828" s="17">
        <f t="shared" si="477"/>
        <v>0</v>
      </c>
      <c r="AE828" s="17">
        <f t="shared" si="478"/>
        <v>0</v>
      </c>
      <c r="AF828" s="17">
        <f t="shared" si="479"/>
        <v>0</v>
      </c>
      <c r="AG828" s="17">
        <f t="shared" si="480"/>
        <v>0</v>
      </c>
      <c r="AH828" s="17">
        <f t="shared" si="481"/>
        <v>0</v>
      </c>
      <c r="AI828" s="17">
        <f t="shared" si="482"/>
        <v>0</v>
      </c>
      <c r="AJ828" s="17">
        <f t="shared" si="483"/>
        <v>0</v>
      </c>
      <c r="AK828" s="17">
        <f t="shared" si="484"/>
        <v>0</v>
      </c>
      <c r="AL828" s="17">
        <f t="shared" si="485"/>
        <v>0</v>
      </c>
      <c r="AM828" s="17">
        <f t="shared" si="486"/>
        <v>0</v>
      </c>
      <c r="AN828" s="17">
        <f t="shared" si="487"/>
        <v>0</v>
      </c>
      <c r="AO828" s="17">
        <f t="shared" si="488"/>
        <v>0</v>
      </c>
      <c r="AP828" s="17">
        <f t="shared" si="489"/>
        <v>0</v>
      </c>
      <c r="AQ828" s="18">
        <v>0</v>
      </c>
      <c r="AR828" s="18">
        <v>0</v>
      </c>
      <c r="AS828" s="18">
        <v>0</v>
      </c>
      <c r="AT828" s="18">
        <v>0</v>
      </c>
      <c r="AU828" s="18">
        <v>0</v>
      </c>
      <c r="AV828" s="18">
        <v>0</v>
      </c>
      <c r="AW828" s="18">
        <v>0</v>
      </c>
      <c r="AX828" s="18">
        <v>0</v>
      </c>
      <c r="AY828" s="18">
        <v>0</v>
      </c>
      <c r="AZ828" s="18">
        <v>0</v>
      </c>
      <c r="BA828" s="18">
        <v>0</v>
      </c>
      <c r="BB828" s="18">
        <v>0</v>
      </c>
      <c r="BC828" s="23">
        <v>8.9181565948742242E-2</v>
      </c>
      <c r="BD828" s="23">
        <v>0.10665277883445198</v>
      </c>
      <c r="BE828" s="23">
        <v>9.438849084854764E-2</v>
      </c>
      <c r="BF828" s="23">
        <v>7.149564986855049E-2</v>
      </c>
      <c r="BG828" s="23">
        <v>0.10368571810536763</v>
      </c>
      <c r="BH828" s="23">
        <v>8.4970330952544637E-2</v>
      </c>
      <c r="BI828" s="23">
        <v>8.4593878877262704E-2</v>
      </c>
      <c r="BJ828" s="23">
        <v>5.7447105462779965E-2</v>
      </c>
      <c r="BK828" s="23">
        <v>8.5153852345557474E-2</v>
      </c>
      <c r="BL828" s="23">
        <v>7.4158058913035174E-2</v>
      </c>
      <c r="BM828" s="23">
        <v>7.5718189192107169E-2</v>
      </c>
      <c r="BN828" s="23">
        <v>7.3955559365675619E-2</v>
      </c>
    </row>
    <row r="829" spans="1:66" x14ac:dyDescent="0.25">
      <c r="A829" s="16">
        <v>6515</v>
      </c>
      <c r="B829" s="16" t="s">
        <v>1023</v>
      </c>
      <c r="C829" s="17">
        <v>0</v>
      </c>
      <c r="D829" s="17">
        <f t="shared" si="453"/>
        <v>0</v>
      </c>
      <c r="E829" s="17">
        <f t="shared" si="454"/>
        <v>0</v>
      </c>
      <c r="F829" s="17">
        <f t="shared" si="455"/>
        <v>0</v>
      </c>
      <c r="G829" s="17">
        <f t="shared" si="456"/>
        <v>0</v>
      </c>
      <c r="H829" s="17">
        <f t="shared" si="457"/>
        <v>0</v>
      </c>
      <c r="I829" s="17">
        <f t="shared" si="458"/>
        <v>0</v>
      </c>
      <c r="J829" s="17">
        <f t="shared" si="459"/>
        <v>0</v>
      </c>
      <c r="K829" s="17">
        <f t="shared" si="460"/>
        <v>0</v>
      </c>
      <c r="L829" s="17">
        <f t="shared" si="461"/>
        <v>0</v>
      </c>
      <c r="M829" s="17">
        <f t="shared" si="462"/>
        <v>0</v>
      </c>
      <c r="N829" s="17">
        <f t="shared" si="463"/>
        <v>0</v>
      </c>
      <c r="O829" s="17">
        <f t="shared" si="464"/>
        <v>0</v>
      </c>
      <c r="P829" s="17">
        <v>0</v>
      </c>
      <c r="Q829" s="17">
        <f t="shared" si="465"/>
        <v>0</v>
      </c>
      <c r="R829" s="17">
        <f t="shared" si="466"/>
        <v>0</v>
      </c>
      <c r="S829" s="17">
        <f t="shared" si="467"/>
        <v>0</v>
      </c>
      <c r="T829" s="17">
        <f t="shared" si="468"/>
        <v>0</v>
      </c>
      <c r="U829" s="17">
        <f t="shared" si="469"/>
        <v>0</v>
      </c>
      <c r="V829" s="17">
        <f t="shared" si="470"/>
        <v>0</v>
      </c>
      <c r="W829" s="17">
        <f t="shared" si="471"/>
        <v>0</v>
      </c>
      <c r="X829" s="17">
        <f t="shared" si="472"/>
        <v>0</v>
      </c>
      <c r="Y829" s="17">
        <f t="shared" si="473"/>
        <v>0</v>
      </c>
      <c r="Z829" s="17">
        <f t="shared" si="474"/>
        <v>0</v>
      </c>
      <c r="AA829" s="17">
        <f t="shared" si="475"/>
        <v>0</v>
      </c>
      <c r="AB829" s="17">
        <f t="shared" si="476"/>
        <v>0</v>
      </c>
      <c r="AC829" s="17">
        <v>0</v>
      </c>
      <c r="AD829" s="17">
        <f t="shared" si="477"/>
        <v>0</v>
      </c>
      <c r="AE829" s="17">
        <f t="shared" si="478"/>
        <v>0</v>
      </c>
      <c r="AF829" s="17">
        <f t="shared" si="479"/>
        <v>0</v>
      </c>
      <c r="AG829" s="17">
        <f t="shared" si="480"/>
        <v>0</v>
      </c>
      <c r="AH829" s="17">
        <f t="shared" si="481"/>
        <v>0</v>
      </c>
      <c r="AI829" s="17">
        <f t="shared" si="482"/>
        <v>0</v>
      </c>
      <c r="AJ829" s="17">
        <f t="shared" si="483"/>
        <v>0</v>
      </c>
      <c r="AK829" s="17">
        <f t="shared" si="484"/>
        <v>0</v>
      </c>
      <c r="AL829" s="17">
        <f t="shared" si="485"/>
        <v>0</v>
      </c>
      <c r="AM829" s="17">
        <f t="shared" si="486"/>
        <v>0</v>
      </c>
      <c r="AN829" s="17">
        <f t="shared" si="487"/>
        <v>0</v>
      </c>
      <c r="AO829" s="17">
        <f t="shared" si="488"/>
        <v>0</v>
      </c>
      <c r="AP829" s="17">
        <f t="shared" si="489"/>
        <v>0</v>
      </c>
      <c r="AQ829" s="18">
        <v>0</v>
      </c>
      <c r="AR829" s="18">
        <v>0</v>
      </c>
      <c r="AS829" s="18">
        <v>0</v>
      </c>
      <c r="AT829" s="18">
        <v>0</v>
      </c>
      <c r="AU829" s="18">
        <v>0</v>
      </c>
      <c r="AV829" s="18">
        <v>0</v>
      </c>
      <c r="AW829" s="18">
        <v>0</v>
      </c>
      <c r="AX829" s="18">
        <v>0</v>
      </c>
      <c r="AY829" s="18">
        <v>0</v>
      </c>
      <c r="AZ829" s="18">
        <v>0</v>
      </c>
      <c r="BA829" s="18">
        <v>0</v>
      </c>
      <c r="BB829" s="18">
        <v>0</v>
      </c>
      <c r="BC829" s="23">
        <v>8.9181565948742242E-2</v>
      </c>
      <c r="BD829" s="23">
        <v>0.10665277883445198</v>
      </c>
      <c r="BE829" s="23">
        <v>9.438849084854764E-2</v>
      </c>
      <c r="BF829" s="23">
        <v>7.149564986855049E-2</v>
      </c>
      <c r="BG829" s="23">
        <v>0.10368571810536763</v>
      </c>
      <c r="BH829" s="23">
        <v>8.4970330952544637E-2</v>
      </c>
      <c r="BI829" s="23">
        <v>8.4593878877262704E-2</v>
      </c>
      <c r="BJ829" s="23">
        <v>5.7447105462779965E-2</v>
      </c>
      <c r="BK829" s="23">
        <v>8.5153852345557474E-2</v>
      </c>
      <c r="BL829" s="23">
        <v>7.4158058913035174E-2</v>
      </c>
      <c r="BM829" s="23">
        <v>7.5718189192107169E-2</v>
      </c>
      <c r="BN829" s="23">
        <v>7.3955559365675619E-2</v>
      </c>
    </row>
    <row r="830" spans="1:66" x14ac:dyDescent="0.25">
      <c r="A830" s="16">
        <v>6518</v>
      </c>
      <c r="B830" s="16" t="s">
        <v>1024</v>
      </c>
      <c r="C830" s="17">
        <v>0</v>
      </c>
      <c r="D830" s="17">
        <f t="shared" si="453"/>
        <v>0</v>
      </c>
      <c r="E830" s="17">
        <f t="shared" si="454"/>
        <v>0</v>
      </c>
      <c r="F830" s="17">
        <f t="shared" si="455"/>
        <v>0</v>
      </c>
      <c r="G830" s="17">
        <f t="shared" si="456"/>
        <v>0</v>
      </c>
      <c r="H830" s="17">
        <f t="shared" si="457"/>
        <v>0</v>
      </c>
      <c r="I830" s="17">
        <f t="shared" si="458"/>
        <v>0</v>
      </c>
      <c r="J830" s="17">
        <f t="shared" si="459"/>
        <v>0</v>
      </c>
      <c r="K830" s="17">
        <f t="shared" si="460"/>
        <v>0</v>
      </c>
      <c r="L830" s="17">
        <f t="shared" si="461"/>
        <v>0</v>
      </c>
      <c r="M830" s="17">
        <f t="shared" si="462"/>
        <v>0</v>
      </c>
      <c r="N830" s="17">
        <f t="shared" si="463"/>
        <v>0</v>
      </c>
      <c r="O830" s="17">
        <f t="shared" si="464"/>
        <v>0</v>
      </c>
      <c r="P830" s="17">
        <v>0</v>
      </c>
      <c r="Q830" s="17">
        <f t="shared" si="465"/>
        <v>0</v>
      </c>
      <c r="R830" s="17">
        <f t="shared" si="466"/>
        <v>0</v>
      </c>
      <c r="S830" s="17">
        <f t="shared" si="467"/>
        <v>0</v>
      </c>
      <c r="T830" s="17">
        <f t="shared" si="468"/>
        <v>0</v>
      </c>
      <c r="U830" s="17">
        <f t="shared" si="469"/>
        <v>0</v>
      </c>
      <c r="V830" s="17">
        <f t="shared" si="470"/>
        <v>0</v>
      </c>
      <c r="W830" s="17">
        <f t="shared" si="471"/>
        <v>0</v>
      </c>
      <c r="X830" s="17">
        <f t="shared" si="472"/>
        <v>0</v>
      </c>
      <c r="Y830" s="17">
        <f t="shared" si="473"/>
        <v>0</v>
      </c>
      <c r="Z830" s="17">
        <f t="shared" si="474"/>
        <v>0</v>
      </c>
      <c r="AA830" s="17">
        <f t="shared" si="475"/>
        <v>0</v>
      </c>
      <c r="AB830" s="17">
        <f t="shared" si="476"/>
        <v>0</v>
      </c>
      <c r="AC830" s="17">
        <v>0</v>
      </c>
      <c r="AD830" s="17">
        <f t="shared" si="477"/>
        <v>0</v>
      </c>
      <c r="AE830" s="17">
        <f t="shared" si="478"/>
        <v>0</v>
      </c>
      <c r="AF830" s="17">
        <f t="shared" si="479"/>
        <v>0</v>
      </c>
      <c r="AG830" s="17">
        <f t="shared" si="480"/>
        <v>0</v>
      </c>
      <c r="AH830" s="17">
        <f t="shared" si="481"/>
        <v>0</v>
      </c>
      <c r="AI830" s="17">
        <f t="shared" si="482"/>
        <v>0</v>
      </c>
      <c r="AJ830" s="17">
        <f t="shared" si="483"/>
        <v>0</v>
      </c>
      <c r="AK830" s="17">
        <f t="shared" si="484"/>
        <v>0</v>
      </c>
      <c r="AL830" s="17">
        <f t="shared" si="485"/>
        <v>0</v>
      </c>
      <c r="AM830" s="17">
        <f t="shared" si="486"/>
        <v>0</v>
      </c>
      <c r="AN830" s="17">
        <f t="shared" si="487"/>
        <v>0</v>
      </c>
      <c r="AO830" s="17">
        <f t="shared" si="488"/>
        <v>0</v>
      </c>
      <c r="AP830" s="17">
        <f t="shared" si="489"/>
        <v>0</v>
      </c>
      <c r="AQ830" s="18">
        <v>0</v>
      </c>
      <c r="AR830" s="18">
        <v>0</v>
      </c>
      <c r="AS830" s="18">
        <v>0</v>
      </c>
      <c r="AT830" s="18">
        <v>0</v>
      </c>
      <c r="AU830" s="18">
        <v>0</v>
      </c>
      <c r="AV830" s="18">
        <v>0</v>
      </c>
      <c r="AW830" s="18">
        <v>0</v>
      </c>
      <c r="AX830" s="18">
        <v>0</v>
      </c>
      <c r="AY830" s="18">
        <v>0</v>
      </c>
      <c r="AZ830" s="18">
        <v>0</v>
      </c>
      <c r="BA830" s="18">
        <v>0</v>
      </c>
      <c r="BB830" s="18">
        <v>0</v>
      </c>
      <c r="BC830" s="23">
        <v>8.9181565948742242E-2</v>
      </c>
      <c r="BD830" s="23">
        <v>0.10665277883445198</v>
      </c>
      <c r="BE830" s="23">
        <v>9.438849084854764E-2</v>
      </c>
      <c r="BF830" s="23">
        <v>7.149564986855049E-2</v>
      </c>
      <c r="BG830" s="23">
        <v>0.10368571810536763</v>
      </c>
      <c r="BH830" s="23">
        <v>8.4970330952544637E-2</v>
      </c>
      <c r="BI830" s="23">
        <v>8.4593878877262704E-2</v>
      </c>
      <c r="BJ830" s="23">
        <v>5.7447105462779965E-2</v>
      </c>
      <c r="BK830" s="23">
        <v>8.5153852345557474E-2</v>
      </c>
      <c r="BL830" s="23">
        <v>7.4158058913035174E-2</v>
      </c>
      <c r="BM830" s="23">
        <v>7.5718189192107169E-2</v>
      </c>
      <c r="BN830" s="23">
        <v>7.3955559365675619E-2</v>
      </c>
    </row>
    <row r="831" spans="1:66" x14ac:dyDescent="0.25">
      <c r="A831" s="16">
        <v>6520</v>
      </c>
      <c r="B831" s="16" t="s">
        <v>1025</v>
      </c>
      <c r="C831" s="17">
        <v>0</v>
      </c>
      <c r="D831" s="17">
        <f t="shared" si="453"/>
        <v>0</v>
      </c>
      <c r="E831" s="17">
        <f t="shared" si="454"/>
        <v>0</v>
      </c>
      <c r="F831" s="17">
        <f t="shared" si="455"/>
        <v>0</v>
      </c>
      <c r="G831" s="17">
        <f t="shared" si="456"/>
        <v>0</v>
      </c>
      <c r="H831" s="17">
        <f t="shared" si="457"/>
        <v>0</v>
      </c>
      <c r="I831" s="17">
        <f t="shared" si="458"/>
        <v>0</v>
      </c>
      <c r="J831" s="17">
        <f t="shared" si="459"/>
        <v>0</v>
      </c>
      <c r="K831" s="17">
        <f t="shared" si="460"/>
        <v>0</v>
      </c>
      <c r="L831" s="17">
        <f t="shared" si="461"/>
        <v>0</v>
      </c>
      <c r="M831" s="17">
        <f t="shared" si="462"/>
        <v>0</v>
      </c>
      <c r="N831" s="17">
        <f t="shared" si="463"/>
        <v>0</v>
      </c>
      <c r="O831" s="17">
        <f t="shared" si="464"/>
        <v>0</v>
      </c>
      <c r="P831" s="17">
        <v>0</v>
      </c>
      <c r="Q831" s="17">
        <f t="shared" si="465"/>
        <v>0</v>
      </c>
      <c r="R831" s="17">
        <f t="shared" si="466"/>
        <v>0</v>
      </c>
      <c r="S831" s="17">
        <f t="shared" si="467"/>
        <v>0</v>
      </c>
      <c r="T831" s="17">
        <f t="shared" si="468"/>
        <v>0</v>
      </c>
      <c r="U831" s="17">
        <f t="shared" si="469"/>
        <v>0</v>
      </c>
      <c r="V831" s="17">
        <f t="shared" si="470"/>
        <v>0</v>
      </c>
      <c r="W831" s="17">
        <f t="shared" si="471"/>
        <v>0</v>
      </c>
      <c r="X831" s="17">
        <f t="shared" si="472"/>
        <v>0</v>
      </c>
      <c r="Y831" s="17">
        <f t="shared" si="473"/>
        <v>0</v>
      </c>
      <c r="Z831" s="17">
        <f t="shared" si="474"/>
        <v>0</v>
      </c>
      <c r="AA831" s="17">
        <f t="shared" si="475"/>
        <v>0</v>
      </c>
      <c r="AB831" s="17">
        <f t="shared" si="476"/>
        <v>0</v>
      </c>
      <c r="AC831" s="17">
        <v>0</v>
      </c>
      <c r="AD831" s="17">
        <f t="shared" si="477"/>
        <v>0</v>
      </c>
      <c r="AE831" s="17">
        <f t="shared" si="478"/>
        <v>0</v>
      </c>
      <c r="AF831" s="17">
        <f t="shared" si="479"/>
        <v>0</v>
      </c>
      <c r="AG831" s="17">
        <f t="shared" si="480"/>
        <v>0</v>
      </c>
      <c r="AH831" s="17">
        <f t="shared" si="481"/>
        <v>0</v>
      </c>
      <c r="AI831" s="17">
        <f t="shared" si="482"/>
        <v>0</v>
      </c>
      <c r="AJ831" s="17">
        <f t="shared" si="483"/>
        <v>0</v>
      </c>
      <c r="AK831" s="17">
        <f t="shared" si="484"/>
        <v>0</v>
      </c>
      <c r="AL831" s="17">
        <f t="shared" si="485"/>
        <v>0</v>
      </c>
      <c r="AM831" s="17">
        <f t="shared" si="486"/>
        <v>0</v>
      </c>
      <c r="AN831" s="17">
        <f t="shared" si="487"/>
        <v>0</v>
      </c>
      <c r="AO831" s="17">
        <f t="shared" si="488"/>
        <v>0</v>
      </c>
      <c r="AP831" s="17">
        <f t="shared" si="489"/>
        <v>0</v>
      </c>
      <c r="AQ831" s="18">
        <v>0</v>
      </c>
      <c r="AR831" s="18">
        <v>0</v>
      </c>
      <c r="AS831" s="18">
        <v>0</v>
      </c>
      <c r="AT831" s="18">
        <v>0</v>
      </c>
      <c r="AU831" s="18">
        <v>0</v>
      </c>
      <c r="AV831" s="18">
        <v>0</v>
      </c>
      <c r="AW831" s="18">
        <v>0</v>
      </c>
      <c r="AX831" s="18">
        <v>0</v>
      </c>
      <c r="AY831" s="18">
        <v>0</v>
      </c>
      <c r="AZ831" s="18">
        <v>0</v>
      </c>
      <c r="BA831" s="18">
        <v>0</v>
      </c>
      <c r="BB831" s="18">
        <v>0</v>
      </c>
      <c r="BC831" s="23">
        <v>8.9181565948742242E-2</v>
      </c>
      <c r="BD831" s="23">
        <v>0.10665277883445198</v>
      </c>
      <c r="BE831" s="23">
        <v>9.438849084854764E-2</v>
      </c>
      <c r="BF831" s="23">
        <v>7.149564986855049E-2</v>
      </c>
      <c r="BG831" s="23">
        <v>0.10368571810536763</v>
      </c>
      <c r="BH831" s="23">
        <v>8.4970330952544637E-2</v>
      </c>
      <c r="BI831" s="23">
        <v>8.4593878877262704E-2</v>
      </c>
      <c r="BJ831" s="23">
        <v>5.7447105462779965E-2</v>
      </c>
      <c r="BK831" s="23">
        <v>8.5153852345557474E-2</v>
      </c>
      <c r="BL831" s="23">
        <v>7.4158058913035174E-2</v>
      </c>
      <c r="BM831" s="23">
        <v>7.5718189192107169E-2</v>
      </c>
      <c r="BN831" s="23">
        <v>7.3955559365675619E-2</v>
      </c>
    </row>
    <row r="832" spans="1:66" x14ac:dyDescent="0.25">
      <c r="A832" s="16">
        <v>6521</v>
      </c>
      <c r="B832" s="16" t="s">
        <v>1026</v>
      </c>
      <c r="C832" s="17">
        <v>0</v>
      </c>
      <c r="D832" s="17">
        <f t="shared" si="453"/>
        <v>0</v>
      </c>
      <c r="E832" s="17">
        <f t="shared" si="454"/>
        <v>0</v>
      </c>
      <c r="F832" s="17">
        <f t="shared" si="455"/>
        <v>0</v>
      </c>
      <c r="G832" s="17">
        <f t="shared" si="456"/>
        <v>0</v>
      </c>
      <c r="H832" s="17">
        <f t="shared" si="457"/>
        <v>0</v>
      </c>
      <c r="I832" s="17">
        <f t="shared" si="458"/>
        <v>0</v>
      </c>
      <c r="J832" s="17">
        <f t="shared" si="459"/>
        <v>0</v>
      </c>
      <c r="K832" s="17">
        <f t="shared" si="460"/>
        <v>0</v>
      </c>
      <c r="L832" s="17">
        <f t="shared" si="461"/>
        <v>0</v>
      </c>
      <c r="M832" s="17">
        <f t="shared" si="462"/>
        <v>0</v>
      </c>
      <c r="N832" s="17">
        <f t="shared" si="463"/>
        <v>0</v>
      </c>
      <c r="O832" s="17">
        <f t="shared" si="464"/>
        <v>0</v>
      </c>
      <c r="P832" s="17">
        <v>0</v>
      </c>
      <c r="Q832" s="17">
        <f t="shared" si="465"/>
        <v>0</v>
      </c>
      <c r="R832" s="17">
        <f t="shared" si="466"/>
        <v>0</v>
      </c>
      <c r="S832" s="17">
        <f t="shared" si="467"/>
        <v>0</v>
      </c>
      <c r="T832" s="17">
        <f t="shared" si="468"/>
        <v>0</v>
      </c>
      <c r="U832" s="17">
        <f t="shared" si="469"/>
        <v>0</v>
      </c>
      <c r="V832" s="17">
        <f t="shared" si="470"/>
        <v>0</v>
      </c>
      <c r="W832" s="17">
        <f t="shared" si="471"/>
        <v>0</v>
      </c>
      <c r="X832" s="17">
        <f t="shared" si="472"/>
        <v>0</v>
      </c>
      <c r="Y832" s="17">
        <f t="shared" si="473"/>
        <v>0</v>
      </c>
      <c r="Z832" s="17">
        <f t="shared" si="474"/>
        <v>0</v>
      </c>
      <c r="AA832" s="17">
        <f t="shared" si="475"/>
        <v>0</v>
      </c>
      <c r="AB832" s="17">
        <f t="shared" si="476"/>
        <v>0</v>
      </c>
      <c r="AC832" s="17">
        <v>0</v>
      </c>
      <c r="AD832" s="17">
        <f t="shared" si="477"/>
        <v>0</v>
      </c>
      <c r="AE832" s="17">
        <f t="shared" si="478"/>
        <v>0</v>
      </c>
      <c r="AF832" s="17">
        <f t="shared" si="479"/>
        <v>0</v>
      </c>
      <c r="AG832" s="17">
        <f t="shared" si="480"/>
        <v>0</v>
      </c>
      <c r="AH832" s="17">
        <f t="shared" si="481"/>
        <v>0</v>
      </c>
      <c r="AI832" s="17">
        <f t="shared" si="482"/>
        <v>0</v>
      </c>
      <c r="AJ832" s="17">
        <f t="shared" si="483"/>
        <v>0</v>
      </c>
      <c r="AK832" s="17">
        <f t="shared" si="484"/>
        <v>0</v>
      </c>
      <c r="AL832" s="17">
        <f t="shared" si="485"/>
        <v>0</v>
      </c>
      <c r="AM832" s="17">
        <f t="shared" si="486"/>
        <v>0</v>
      </c>
      <c r="AN832" s="17">
        <f t="shared" si="487"/>
        <v>0</v>
      </c>
      <c r="AO832" s="17">
        <f t="shared" si="488"/>
        <v>0</v>
      </c>
      <c r="AP832" s="17">
        <f t="shared" si="489"/>
        <v>0</v>
      </c>
      <c r="AQ832" s="18">
        <v>0</v>
      </c>
      <c r="AR832" s="18">
        <v>0</v>
      </c>
      <c r="AS832" s="18">
        <v>0</v>
      </c>
      <c r="AT832" s="18">
        <v>0</v>
      </c>
      <c r="AU832" s="18">
        <v>0</v>
      </c>
      <c r="AV832" s="18">
        <v>0</v>
      </c>
      <c r="AW832" s="18">
        <v>0</v>
      </c>
      <c r="AX832" s="18">
        <v>0</v>
      </c>
      <c r="AY832" s="18">
        <v>0</v>
      </c>
      <c r="AZ832" s="18">
        <v>0</v>
      </c>
      <c r="BA832" s="18">
        <v>0</v>
      </c>
      <c r="BB832" s="18">
        <v>0</v>
      </c>
      <c r="BC832" s="23">
        <v>8.9181565948742242E-2</v>
      </c>
      <c r="BD832" s="23">
        <v>0.10665277883445198</v>
      </c>
      <c r="BE832" s="23">
        <v>9.438849084854764E-2</v>
      </c>
      <c r="BF832" s="23">
        <v>7.149564986855049E-2</v>
      </c>
      <c r="BG832" s="23">
        <v>0.10368571810536763</v>
      </c>
      <c r="BH832" s="23">
        <v>8.4970330952544637E-2</v>
      </c>
      <c r="BI832" s="23">
        <v>8.4593878877262704E-2</v>
      </c>
      <c r="BJ832" s="23">
        <v>5.7447105462779965E-2</v>
      </c>
      <c r="BK832" s="23">
        <v>8.5153852345557474E-2</v>
      </c>
      <c r="BL832" s="23">
        <v>7.4158058913035174E-2</v>
      </c>
      <c r="BM832" s="23">
        <v>7.5718189192107169E-2</v>
      </c>
      <c r="BN832" s="23">
        <v>7.3955559365675619E-2</v>
      </c>
    </row>
    <row r="833" spans="1:66" x14ac:dyDescent="0.25">
      <c r="A833" s="16">
        <v>6522</v>
      </c>
      <c r="B833" s="16" t="s">
        <v>1027</v>
      </c>
      <c r="C833" s="17">
        <v>0</v>
      </c>
      <c r="D833" s="17">
        <f t="shared" si="453"/>
        <v>0</v>
      </c>
      <c r="E833" s="17">
        <f t="shared" si="454"/>
        <v>0</v>
      </c>
      <c r="F833" s="17">
        <f t="shared" si="455"/>
        <v>0</v>
      </c>
      <c r="G833" s="17">
        <f t="shared" si="456"/>
        <v>0</v>
      </c>
      <c r="H833" s="17">
        <f t="shared" si="457"/>
        <v>0</v>
      </c>
      <c r="I833" s="17">
        <f t="shared" si="458"/>
        <v>0</v>
      </c>
      <c r="J833" s="17">
        <f t="shared" si="459"/>
        <v>0</v>
      </c>
      <c r="K833" s="17">
        <f t="shared" si="460"/>
        <v>0</v>
      </c>
      <c r="L833" s="17">
        <f t="shared" si="461"/>
        <v>0</v>
      </c>
      <c r="M833" s="17">
        <f t="shared" si="462"/>
        <v>0</v>
      </c>
      <c r="N833" s="17">
        <f t="shared" si="463"/>
        <v>0</v>
      </c>
      <c r="O833" s="17">
        <f t="shared" si="464"/>
        <v>0</v>
      </c>
      <c r="P833" s="17">
        <v>0</v>
      </c>
      <c r="Q833" s="17">
        <f t="shared" si="465"/>
        <v>0</v>
      </c>
      <c r="R833" s="17">
        <f t="shared" si="466"/>
        <v>0</v>
      </c>
      <c r="S833" s="17">
        <f t="shared" si="467"/>
        <v>0</v>
      </c>
      <c r="T833" s="17">
        <f t="shared" si="468"/>
        <v>0</v>
      </c>
      <c r="U833" s="17">
        <f t="shared" si="469"/>
        <v>0</v>
      </c>
      <c r="V833" s="17">
        <f t="shared" si="470"/>
        <v>0</v>
      </c>
      <c r="W833" s="17">
        <f t="shared" si="471"/>
        <v>0</v>
      </c>
      <c r="X833" s="17">
        <f t="shared" si="472"/>
        <v>0</v>
      </c>
      <c r="Y833" s="17">
        <f t="shared" si="473"/>
        <v>0</v>
      </c>
      <c r="Z833" s="17">
        <f t="shared" si="474"/>
        <v>0</v>
      </c>
      <c r="AA833" s="17">
        <f t="shared" si="475"/>
        <v>0</v>
      </c>
      <c r="AB833" s="17">
        <f t="shared" si="476"/>
        <v>0</v>
      </c>
      <c r="AC833" s="17">
        <v>0</v>
      </c>
      <c r="AD833" s="17">
        <f t="shared" si="477"/>
        <v>0</v>
      </c>
      <c r="AE833" s="17">
        <f t="shared" si="478"/>
        <v>0</v>
      </c>
      <c r="AF833" s="17">
        <f t="shared" si="479"/>
        <v>0</v>
      </c>
      <c r="AG833" s="17">
        <f t="shared" si="480"/>
        <v>0</v>
      </c>
      <c r="AH833" s="17">
        <f t="shared" si="481"/>
        <v>0</v>
      </c>
      <c r="AI833" s="17">
        <f t="shared" si="482"/>
        <v>0</v>
      </c>
      <c r="AJ833" s="17">
        <f t="shared" si="483"/>
        <v>0</v>
      </c>
      <c r="AK833" s="17">
        <f t="shared" si="484"/>
        <v>0</v>
      </c>
      <c r="AL833" s="17">
        <f t="shared" si="485"/>
        <v>0</v>
      </c>
      <c r="AM833" s="17">
        <f t="shared" si="486"/>
        <v>0</v>
      </c>
      <c r="AN833" s="17">
        <f t="shared" si="487"/>
        <v>0</v>
      </c>
      <c r="AO833" s="17">
        <f t="shared" si="488"/>
        <v>0</v>
      </c>
      <c r="AP833" s="17">
        <f t="shared" si="489"/>
        <v>0</v>
      </c>
      <c r="AQ833" s="18">
        <v>0</v>
      </c>
      <c r="AR833" s="18">
        <v>0</v>
      </c>
      <c r="AS833" s="18">
        <v>0</v>
      </c>
      <c r="AT833" s="18">
        <v>0</v>
      </c>
      <c r="AU833" s="18">
        <v>0</v>
      </c>
      <c r="AV833" s="18">
        <v>0</v>
      </c>
      <c r="AW833" s="18">
        <v>0</v>
      </c>
      <c r="AX833" s="18">
        <v>0</v>
      </c>
      <c r="AY833" s="18">
        <v>0</v>
      </c>
      <c r="AZ833" s="18">
        <v>0</v>
      </c>
      <c r="BA833" s="18">
        <v>0</v>
      </c>
      <c r="BB833" s="18">
        <v>0</v>
      </c>
      <c r="BC833" s="23">
        <v>8.9181565948742242E-2</v>
      </c>
      <c r="BD833" s="23">
        <v>0.10665277883445198</v>
      </c>
      <c r="BE833" s="23">
        <v>9.438849084854764E-2</v>
      </c>
      <c r="BF833" s="23">
        <v>7.149564986855049E-2</v>
      </c>
      <c r="BG833" s="23">
        <v>0.10368571810536763</v>
      </c>
      <c r="BH833" s="23">
        <v>8.4970330952544637E-2</v>
      </c>
      <c r="BI833" s="23">
        <v>8.4593878877262704E-2</v>
      </c>
      <c r="BJ833" s="23">
        <v>5.7447105462779965E-2</v>
      </c>
      <c r="BK833" s="23">
        <v>8.5153852345557474E-2</v>
      </c>
      <c r="BL833" s="23">
        <v>7.4158058913035174E-2</v>
      </c>
      <c r="BM833" s="23">
        <v>7.5718189192107169E-2</v>
      </c>
      <c r="BN833" s="23">
        <v>7.3955559365675619E-2</v>
      </c>
    </row>
    <row r="834" spans="1:66" x14ac:dyDescent="0.25">
      <c r="A834" s="16">
        <v>6524</v>
      </c>
      <c r="B834" s="16" t="s">
        <v>1028</v>
      </c>
      <c r="C834" s="17">
        <v>0</v>
      </c>
      <c r="D834" s="17">
        <f t="shared" si="453"/>
        <v>0</v>
      </c>
      <c r="E834" s="17">
        <f t="shared" si="454"/>
        <v>0</v>
      </c>
      <c r="F834" s="17">
        <f t="shared" si="455"/>
        <v>0</v>
      </c>
      <c r="G834" s="17">
        <f t="shared" si="456"/>
        <v>0</v>
      </c>
      <c r="H834" s="17">
        <f t="shared" si="457"/>
        <v>0</v>
      </c>
      <c r="I834" s="17">
        <f t="shared" si="458"/>
        <v>0</v>
      </c>
      <c r="J834" s="17">
        <f t="shared" si="459"/>
        <v>0</v>
      </c>
      <c r="K834" s="17">
        <f t="shared" si="460"/>
        <v>0</v>
      </c>
      <c r="L834" s="17">
        <f t="shared" si="461"/>
        <v>0</v>
      </c>
      <c r="M834" s="17">
        <f t="shared" si="462"/>
        <v>0</v>
      </c>
      <c r="N834" s="17">
        <f t="shared" si="463"/>
        <v>0</v>
      </c>
      <c r="O834" s="17">
        <f t="shared" si="464"/>
        <v>0</v>
      </c>
      <c r="P834" s="17">
        <v>0</v>
      </c>
      <c r="Q834" s="17">
        <f t="shared" si="465"/>
        <v>0</v>
      </c>
      <c r="R834" s="17">
        <f t="shared" si="466"/>
        <v>0</v>
      </c>
      <c r="S834" s="17">
        <f t="shared" si="467"/>
        <v>0</v>
      </c>
      <c r="T834" s="17">
        <f t="shared" si="468"/>
        <v>0</v>
      </c>
      <c r="U834" s="17">
        <f t="shared" si="469"/>
        <v>0</v>
      </c>
      <c r="V834" s="17">
        <f t="shared" si="470"/>
        <v>0</v>
      </c>
      <c r="W834" s="17">
        <f t="shared" si="471"/>
        <v>0</v>
      </c>
      <c r="X834" s="17">
        <f t="shared" si="472"/>
        <v>0</v>
      </c>
      <c r="Y834" s="17">
        <f t="shared" si="473"/>
        <v>0</v>
      </c>
      <c r="Z834" s="17">
        <f t="shared" si="474"/>
        <v>0</v>
      </c>
      <c r="AA834" s="17">
        <f t="shared" si="475"/>
        <v>0</v>
      </c>
      <c r="AB834" s="17">
        <f t="shared" si="476"/>
        <v>0</v>
      </c>
      <c r="AC834" s="17">
        <v>1500</v>
      </c>
      <c r="AD834" s="17">
        <f t="shared" si="477"/>
        <v>133.77234892311336</v>
      </c>
      <c r="AE834" s="17">
        <f t="shared" si="478"/>
        <v>159.97916825167798</v>
      </c>
      <c r="AF834" s="17">
        <f t="shared" si="479"/>
        <v>141.58273627282145</v>
      </c>
      <c r="AG834" s="17">
        <f t="shared" si="480"/>
        <v>107.24347480282573</v>
      </c>
      <c r="AH834" s="17">
        <f t="shared" si="481"/>
        <v>155.52857715805143</v>
      </c>
      <c r="AI834" s="17">
        <f t="shared" si="482"/>
        <v>127.45549642881696</v>
      </c>
      <c r="AJ834" s="17">
        <f t="shared" si="483"/>
        <v>126.89081831589405</v>
      </c>
      <c r="AK834" s="17">
        <f t="shared" si="484"/>
        <v>86.170658194169945</v>
      </c>
      <c r="AL834" s="17">
        <f t="shared" si="485"/>
        <v>127.73077851833621</v>
      </c>
      <c r="AM834" s="17">
        <f t="shared" si="486"/>
        <v>111.23708836955277</v>
      </c>
      <c r="AN834" s="17">
        <f t="shared" si="487"/>
        <v>113.57728378816076</v>
      </c>
      <c r="AO834" s="17">
        <f t="shared" si="488"/>
        <v>110.93333904851343</v>
      </c>
      <c r="AP834" s="17">
        <f t="shared" si="489"/>
        <v>1500</v>
      </c>
      <c r="AQ834" s="18">
        <v>0</v>
      </c>
      <c r="AR834" s="18">
        <v>0</v>
      </c>
      <c r="AS834" s="18">
        <v>0</v>
      </c>
      <c r="AT834" s="18">
        <v>0</v>
      </c>
      <c r="AU834" s="18">
        <v>0</v>
      </c>
      <c r="AV834" s="18">
        <v>0</v>
      </c>
      <c r="AW834" s="18">
        <v>0</v>
      </c>
      <c r="AX834" s="18">
        <v>0</v>
      </c>
      <c r="AY834" s="18">
        <v>0</v>
      </c>
      <c r="AZ834" s="18">
        <v>0</v>
      </c>
      <c r="BA834" s="18">
        <v>0</v>
      </c>
      <c r="BB834" s="18">
        <v>0</v>
      </c>
      <c r="BC834" s="23">
        <v>8.9181565948742242E-2</v>
      </c>
      <c r="BD834" s="23">
        <v>0.10665277883445198</v>
      </c>
      <c r="BE834" s="23">
        <v>9.438849084854764E-2</v>
      </c>
      <c r="BF834" s="23">
        <v>7.149564986855049E-2</v>
      </c>
      <c r="BG834" s="23">
        <v>0.10368571810536763</v>
      </c>
      <c r="BH834" s="23">
        <v>8.4970330952544637E-2</v>
      </c>
      <c r="BI834" s="23">
        <v>8.4593878877262704E-2</v>
      </c>
      <c r="BJ834" s="23">
        <v>5.7447105462779965E-2</v>
      </c>
      <c r="BK834" s="23">
        <v>8.5153852345557474E-2</v>
      </c>
      <c r="BL834" s="23">
        <v>7.4158058913035174E-2</v>
      </c>
      <c r="BM834" s="23">
        <v>7.5718189192107169E-2</v>
      </c>
      <c r="BN834" s="23">
        <v>7.3955559365675619E-2</v>
      </c>
    </row>
    <row r="835" spans="1:66" x14ac:dyDescent="0.25">
      <c r="A835" s="16">
        <v>6526</v>
      </c>
      <c r="B835" s="16" t="s">
        <v>1029</v>
      </c>
      <c r="C835" s="17">
        <v>0</v>
      </c>
      <c r="D835" s="17">
        <f t="shared" si="453"/>
        <v>0</v>
      </c>
      <c r="E835" s="17">
        <f t="shared" si="454"/>
        <v>0</v>
      </c>
      <c r="F835" s="17">
        <f t="shared" si="455"/>
        <v>0</v>
      </c>
      <c r="G835" s="17">
        <f t="shared" si="456"/>
        <v>0</v>
      </c>
      <c r="H835" s="17">
        <f t="shared" si="457"/>
        <v>0</v>
      </c>
      <c r="I835" s="17">
        <f t="shared" si="458"/>
        <v>0</v>
      </c>
      <c r="J835" s="17">
        <f t="shared" si="459"/>
        <v>0</v>
      </c>
      <c r="K835" s="17">
        <f t="shared" si="460"/>
        <v>0</v>
      </c>
      <c r="L835" s="17">
        <f t="shared" si="461"/>
        <v>0</v>
      </c>
      <c r="M835" s="17">
        <f t="shared" si="462"/>
        <v>0</v>
      </c>
      <c r="N835" s="17">
        <f t="shared" si="463"/>
        <v>0</v>
      </c>
      <c r="O835" s="17">
        <f t="shared" si="464"/>
        <v>0</v>
      </c>
      <c r="P835" s="17">
        <v>0</v>
      </c>
      <c r="Q835" s="17">
        <f t="shared" si="465"/>
        <v>0</v>
      </c>
      <c r="R835" s="17">
        <f t="shared" si="466"/>
        <v>0</v>
      </c>
      <c r="S835" s="17">
        <f t="shared" si="467"/>
        <v>0</v>
      </c>
      <c r="T835" s="17">
        <f t="shared" si="468"/>
        <v>0</v>
      </c>
      <c r="U835" s="17">
        <f t="shared" si="469"/>
        <v>0</v>
      </c>
      <c r="V835" s="17">
        <f t="shared" si="470"/>
        <v>0</v>
      </c>
      <c r="W835" s="17">
        <f t="shared" si="471"/>
        <v>0</v>
      </c>
      <c r="X835" s="17">
        <f t="shared" si="472"/>
        <v>0</v>
      </c>
      <c r="Y835" s="17">
        <f t="shared" si="473"/>
        <v>0</v>
      </c>
      <c r="Z835" s="17">
        <f t="shared" si="474"/>
        <v>0</v>
      </c>
      <c r="AA835" s="17">
        <f t="shared" si="475"/>
        <v>0</v>
      </c>
      <c r="AB835" s="17">
        <f t="shared" si="476"/>
        <v>0</v>
      </c>
      <c r="AC835" s="17">
        <v>0</v>
      </c>
      <c r="AD835" s="17">
        <f t="shared" si="477"/>
        <v>0</v>
      </c>
      <c r="AE835" s="17">
        <f t="shared" si="478"/>
        <v>0</v>
      </c>
      <c r="AF835" s="17">
        <f t="shared" si="479"/>
        <v>0</v>
      </c>
      <c r="AG835" s="17">
        <f t="shared" si="480"/>
        <v>0</v>
      </c>
      <c r="AH835" s="17">
        <f t="shared" si="481"/>
        <v>0</v>
      </c>
      <c r="AI835" s="17">
        <f t="shared" si="482"/>
        <v>0</v>
      </c>
      <c r="AJ835" s="17">
        <f t="shared" si="483"/>
        <v>0</v>
      </c>
      <c r="AK835" s="17">
        <f t="shared" si="484"/>
        <v>0</v>
      </c>
      <c r="AL835" s="17">
        <f t="shared" si="485"/>
        <v>0</v>
      </c>
      <c r="AM835" s="17">
        <f t="shared" si="486"/>
        <v>0</v>
      </c>
      <c r="AN835" s="17">
        <f t="shared" si="487"/>
        <v>0</v>
      </c>
      <c r="AO835" s="17">
        <f t="shared" si="488"/>
        <v>0</v>
      </c>
      <c r="AP835" s="17">
        <f t="shared" si="489"/>
        <v>0</v>
      </c>
      <c r="AQ835" s="18">
        <v>0</v>
      </c>
      <c r="AR835" s="18">
        <v>0</v>
      </c>
      <c r="AS835" s="18">
        <v>0</v>
      </c>
      <c r="AT835" s="18">
        <v>0</v>
      </c>
      <c r="AU835" s="18">
        <v>0</v>
      </c>
      <c r="AV835" s="18">
        <v>0</v>
      </c>
      <c r="AW835" s="18">
        <v>0</v>
      </c>
      <c r="AX835" s="18">
        <v>0</v>
      </c>
      <c r="AY835" s="18">
        <v>0</v>
      </c>
      <c r="AZ835" s="18">
        <v>0</v>
      </c>
      <c r="BA835" s="18">
        <v>0</v>
      </c>
      <c r="BB835" s="18">
        <v>0</v>
      </c>
      <c r="BC835" s="23">
        <v>8.9181565948742242E-2</v>
      </c>
      <c r="BD835" s="23">
        <v>0.10665277883445198</v>
      </c>
      <c r="BE835" s="23">
        <v>9.438849084854764E-2</v>
      </c>
      <c r="BF835" s="23">
        <v>7.149564986855049E-2</v>
      </c>
      <c r="BG835" s="23">
        <v>0.10368571810536763</v>
      </c>
      <c r="BH835" s="23">
        <v>8.4970330952544637E-2</v>
      </c>
      <c r="BI835" s="23">
        <v>8.4593878877262704E-2</v>
      </c>
      <c r="BJ835" s="23">
        <v>5.7447105462779965E-2</v>
      </c>
      <c r="BK835" s="23">
        <v>8.5153852345557474E-2</v>
      </c>
      <c r="BL835" s="23">
        <v>7.4158058913035174E-2</v>
      </c>
      <c r="BM835" s="23">
        <v>7.5718189192107169E-2</v>
      </c>
      <c r="BN835" s="23">
        <v>7.3955559365675619E-2</v>
      </c>
    </row>
    <row r="836" spans="1:66" x14ac:dyDescent="0.25">
      <c r="A836" s="16">
        <v>6529</v>
      </c>
      <c r="B836" s="16" t="s">
        <v>1030</v>
      </c>
      <c r="C836" s="17">
        <v>0</v>
      </c>
      <c r="D836" s="17">
        <f t="shared" ref="D836:D899" si="490">+$C836*BC836</f>
        <v>0</v>
      </c>
      <c r="E836" s="17">
        <f t="shared" ref="E836:E899" si="491">+$C836*BD836</f>
        <v>0</v>
      </c>
      <c r="F836" s="17">
        <f t="shared" ref="F836:F899" si="492">+$C836*BE836</f>
        <v>0</v>
      </c>
      <c r="G836" s="17">
        <f t="shared" ref="G836:G899" si="493">+$C836*BF836</f>
        <v>0</v>
      </c>
      <c r="H836" s="17">
        <f t="shared" ref="H836:H899" si="494">+$C836*BG836</f>
        <v>0</v>
      </c>
      <c r="I836" s="17">
        <f t="shared" ref="I836:I899" si="495">+$C836*BH836</f>
        <v>0</v>
      </c>
      <c r="J836" s="17">
        <f t="shared" ref="J836:J899" si="496">+$C836*BI836</f>
        <v>0</v>
      </c>
      <c r="K836" s="17">
        <f t="shared" ref="K836:K899" si="497">+$C836*BJ836</f>
        <v>0</v>
      </c>
      <c r="L836" s="17">
        <f t="shared" ref="L836:L899" si="498">+$C836*BK836</f>
        <v>0</v>
      </c>
      <c r="M836" s="17">
        <f t="shared" ref="M836:M899" si="499">+$C836*BL836</f>
        <v>0</v>
      </c>
      <c r="N836" s="17">
        <f t="shared" ref="N836:N899" si="500">+$C836*BM836</f>
        <v>0</v>
      </c>
      <c r="O836" s="17">
        <f t="shared" ref="O836:O899" si="501">+$C836*BN836</f>
        <v>0</v>
      </c>
      <c r="P836" s="17">
        <v>0</v>
      </c>
      <c r="Q836" s="17">
        <f t="shared" ref="Q836:Q899" si="502">+$P836*BC836</f>
        <v>0</v>
      </c>
      <c r="R836" s="17">
        <f t="shared" ref="R836:R899" si="503">+$P836*BD836</f>
        <v>0</v>
      </c>
      <c r="S836" s="17">
        <f t="shared" ref="S836:S899" si="504">+$P836*BE836</f>
        <v>0</v>
      </c>
      <c r="T836" s="17">
        <f t="shared" ref="T836:T899" si="505">+$P836*BF836</f>
        <v>0</v>
      </c>
      <c r="U836" s="17">
        <f t="shared" ref="U836:U899" si="506">+$P836*BG836</f>
        <v>0</v>
      </c>
      <c r="V836" s="17">
        <f t="shared" ref="V836:V899" si="507">+$P836*BH836</f>
        <v>0</v>
      </c>
      <c r="W836" s="17">
        <f t="shared" ref="W836:W899" si="508">+$P836*BI836</f>
        <v>0</v>
      </c>
      <c r="X836" s="17">
        <f t="shared" ref="X836:X899" si="509">+$P836*BJ836</f>
        <v>0</v>
      </c>
      <c r="Y836" s="17">
        <f t="shared" ref="Y836:Y899" si="510">+$P836*BK836</f>
        <v>0</v>
      </c>
      <c r="Z836" s="17">
        <f t="shared" ref="Z836:Z899" si="511">+$P836*BL836</f>
        <v>0</v>
      </c>
      <c r="AA836" s="17">
        <f t="shared" ref="AA836:AA899" si="512">+$P836*BM836</f>
        <v>0</v>
      </c>
      <c r="AB836" s="17">
        <f t="shared" ref="AB836:AB899" si="513">+$P836*BN836</f>
        <v>0</v>
      </c>
      <c r="AC836" s="17">
        <v>0</v>
      </c>
      <c r="AD836" s="17">
        <f t="shared" ref="AD836:AD899" si="514">+$AC836*BC836</f>
        <v>0</v>
      </c>
      <c r="AE836" s="17">
        <f t="shared" ref="AE836:AE899" si="515">+$AC836*BD836</f>
        <v>0</v>
      </c>
      <c r="AF836" s="17">
        <f t="shared" ref="AF836:AF899" si="516">+$AC836*BE836</f>
        <v>0</v>
      </c>
      <c r="AG836" s="17">
        <f t="shared" ref="AG836:AG899" si="517">+$AC836*BF836</f>
        <v>0</v>
      </c>
      <c r="AH836" s="17">
        <f t="shared" ref="AH836:AH899" si="518">+$AC836*BG836</f>
        <v>0</v>
      </c>
      <c r="AI836" s="17">
        <f t="shared" ref="AI836:AI899" si="519">+$AC836*BH836</f>
        <v>0</v>
      </c>
      <c r="AJ836" s="17">
        <f t="shared" ref="AJ836:AJ899" si="520">+$AC836*BI836</f>
        <v>0</v>
      </c>
      <c r="AK836" s="17">
        <f t="shared" ref="AK836:AK899" si="521">+$AC836*BJ836</f>
        <v>0</v>
      </c>
      <c r="AL836" s="17">
        <f t="shared" ref="AL836:AL899" si="522">+$AC836*BK836</f>
        <v>0</v>
      </c>
      <c r="AM836" s="17">
        <f t="shared" ref="AM836:AM899" si="523">+$AC836*BL836</f>
        <v>0</v>
      </c>
      <c r="AN836" s="17">
        <f t="shared" ref="AN836:AN899" si="524">+$AC836*BM836</f>
        <v>0</v>
      </c>
      <c r="AO836" s="17">
        <f t="shared" ref="AO836:AO899" si="525">+$AC836*BN836</f>
        <v>0</v>
      </c>
      <c r="AP836" s="17">
        <f t="shared" ref="AP836:AP899" si="526">+AC836+P836+C836</f>
        <v>0</v>
      </c>
      <c r="AQ836" s="18">
        <v>0</v>
      </c>
      <c r="AR836" s="18">
        <v>0</v>
      </c>
      <c r="AS836" s="18">
        <v>0</v>
      </c>
      <c r="AT836" s="18">
        <v>0</v>
      </c>
      <c r="AU836" s="18">
        <v>0</v>
      </c>
      <c r="AV836" s="18">
        <v>0</v>
      </c>
      <c r="AW836" s="18">
        <v>0</v>
      </c>
      <c r="AX836" s="18">
        <v>0</v>
      </c>
      <c r="AY836" s="18">
        <v>0</v>
      </c>
      <c r="AZ836" s="18">
        <v>0</v>
      </c>
      <c r="BA836" s="18">
        <v>0</v>
      </c>
      <c r="BB836" s="18">
        <v>0</v>
      </c>
      <c r="BC836" s="23">
        <v>8.9181565948742242E-2</v>
      </c>
      <c r="BD836" s="23">
        <v>0.10665277883445198</v>
      </c>
      <c r="BE836" s="23">
        <v>9.438849084854764E-2</v>
      </c>
      <c r="BF836" s="23">
        <v>7.149564986855049E-2</v>
      </c>
      <c r="BG836" s="23">
        <v>0.10368571810536763</v>
      </c>
      <c r="BH836" s="23">
        <v>8.4970330952544637E-2</v>
      </c>
      <c r="BI836" s="23">
        <v>8.4593878877262704E-2</v>
      </c>
      <c r="BJ836" s="23">
        <v>5.7447105462779965E-2</v>
      </c>
      <c r="BK836" s="23">
        <v>8.5153852345557474E-2</v>
      </c>
      <c r="BL836" s="23">
        <v>7.4158058913035174E-2</v>
      </c>
      <c r="BM836" s="23">
        <v>7.5718189192107169E-2</v>
      </c>
      <c r="BN836" s="23">
        <v>7.3955559365675619E-2</v>
      </c>
    </row>
    <row r="837" spans="1:66" x14ac:dyDescent="0.25">
      <c r="A837" s="16">
        <v>6531</v>
      </c>
      <c r="B837" s="16" t="s">
        <v>1031</v>
      </c>
      <c r="C837" s="17">
        <v>0</v>
      </c>
      <c r="D837" s="17">
        <f t="shared" si="490"/>
        <v>0</v>
      </c>
      <c r="E837" s="17">
        <f t="shared" si="491"/>
        <v>0</v>
      </c>
      <c r="F837" s="17">
        <f t="shared" si="492"/>
        <v>0</v>
      </c>
      <c r="G837" s="17">
        <f t="shared" si="493"/>
        <v>0</v>
      </c>
      <c r="H837" s="17">
        <f t="shared" si="494"/>
        <v>0</v>
      </c>
      <c r="I837" s="17">
        <f t="shared" si="495"/>
        <v>0</v>
      </c>
      <c r="J837" s="17">
        <f t="shared" si="496"/>
        <v>0</v>
      </c>
      <c r="K837" s="17">
        <f t="shared" si="497"/>
        <v>0</v>
      </c>
      <c r="L837" s="17">
        <f t="shared" si="498"/>
        <v>0</v>
      </c>
      <c r="M837" s="17">
        <f t="shared" si="499"/>
        <v>0</v>
      </c>
      <c r="N837" s="17">
        <f t="shared" si="500"/>
        <v>0</v>
      </c>
      <c r="O837" s="17">
        <f t="shared" si="501"/>
        <v>0</v>
      </c>
      <c r="P837" s="17">
        <v>0</v>
      </c>
      <c r="Q837" s="17">
        <f t="shared" si="502"/>
        <v>0</v>
      </c>
      <c r="R837" s="17">
        <f t="shared" si="503"/>
        <v>0</v>
      </c>
      <c r="S837" s="17">
        <f t="shared" si="504"/>
        <v>0</v>
      </c>
      <c r="T837" s="17">
        <f t="shared" si="505"/>
        <v>0</v>
      </c>
      <c r="U837" s="17">
        <f t="shared" si="506"/>
        <v>0</v>
      </c>
      <c r="V837" s="17">
        <f t="shared" si="507"/>
        <v>0</v>
      </c>
      <c r="W837" s="17">
        <f t="shared" si="508"/>
        <v>0</v>
      </c>
      <c r="X837" s="17">
        <f t="shared" si="509"/>
        <v>0</v>
      </c>
      <c r="Y837" s="17">
        <f t="shared" si="510"/>
        <v>0</v>
      </c>
      <c r="Z837" s="17">
        <f t="shared" si="511"/>
        <v>0</v>
      </c>
      <c r="AA837" s="17">
        <f t="shared" si="512"/>
        <v>0</v>
      </c>
      <c r="AB837" s="17">
        <f t="shared" si="513"/>
        <v>0</v>
      </c>
      <c r="AC837" s="17">
        <v>0</v>
      </c>
      <c r="AD837" s="17">
        <f t="shared" si="514"/>
        <v>0</v>
      </c>
      <c r="AE837" s="17">
        <f t="shared" si="515"/>
        <v>0</v>
      </c>
      <c r="AF837" s="17">
        <f t="shared" si="516"/>
        <v>0</v>
      </c>
      <c r="AG837" s="17">
        <f t="shared" si="517"/>
        <v>0</v>
      </c>
      <c r="AH837" s="17">
        <f t="shared" si="518"/>
        <v>0</v>
      </c>
      <c r="AI837" s="17">
        <f t="shared" si="519"/>
        <v>0</v>
      </c>
      <c r="AJ837" s="17">
        <f t="shared" si="520"/>
        <v>0</v>
      </c>
      <c r="AK837" s="17">
        <f t="shared" si="521"/>
        <v>0</v>
      </c>
      <c r="AL837" s="17">
        <f t="shared" si="522"/>
        <v>0</v>
      </c>
      <c r="AM837" s="17">
        <f t="shared" si="523"/>
        <v>0</v>
      </c>
      <c r="AN837" s="17">
        <f t="shared" si="524"/>
        <v>0</v>
      </c>
      <c r="AO837" s="17">
        <f t="shared" si="525"/>
        <v>0</v>
      </c>
      <c r="AP837" s="17">
        <f t="shared" si="526"/>
        <v>0</v>
      </c>
      <c r="AQ837" s="18">
        <v>0</v>
      </c>
      <c r="AR837" s="18">
        <v>0</v>
      </c>
      <c r="AS837" s="18">
        <v>0</v>
      </c>
      <c r="AT837" s="18">
        <v>0</v>
      </c>
      <c r="AU837" s="18">
        <v>0</v>
      </c>
      <c r="AV837" s="18">
        <v>0</v>
      </c>
      <c r="AW837" s="18">
        <v>0</v>
      </c>
      <c r="AX837" s="18">
        <v>0</v>
      </c>
      <c r="AY837" s="18">
        <v>0</v>
      </c>
      <c r="AZ837" s="18">
        <v>0</v>
      </c>
      <c r="BA837" s="18">
        <v>0</v>
      </c>
      <c r="BB837" s="18">
        <v>0</v>
      </c>
      <c r="BC837" s="23">
        <v>8.9181565948742242E-2</v>
      </c>
      <c r="BD837" s="23">
        <v>0.10665277883445198</v>
      </c>
      <c r="BE837" s="23">
        <v>9.438849084854764E-2</v>
      </c>
      <c r="BF837" s="23">
        <v>7.149564986855049E-2</v>
      </c>
      <c r="BG837" s="23">
        <v>0.10368571810536763</v>
      </c>
      <c r="BH837" s="23">
        <v>8.4970330952544637E-2</v>
      </c>
      <c r="BI837" s="23">
        <v>8.4593878877262704E-2</v>
      </c>
      <c r="BJ837" s="23">
        <v>5.7447105462779965E-2</v>
      </c>
      <c r="BK837" s="23">
        <v>8.5153852345557474E-2</v>
      </c>
      <c r="BL837" s="23">
        <v>7.4158058913035174E-2</v>
      </c>
      <c r="BM837" s="23">
        <v>7.5718189192107169E-2</v>
      </c>
      <c r="BN837" s="23">
        <v>7.3955559365675619E-2</v>
      </c>
    </row>
    <row r="838" spans="1:66" x14ac:dyDescent="0.25">
      <c r="A838" s="16">
        <v>6532</v>
      </c>
      <c r="B838" s="16" t="s">
        <v>1032</v>
      </c>
      <c r="C838" s="17">
        <v>0</v>
      </c>
      <c r="D838" s="17">
        <f t="shared" si="490"/>
        <v>0</v>
      </c>
      <c r="E838" s="17">
        <f t="shared" si="491"/>
        <v>0</v>
      </c>
      <c r="F838" s="17">
        <f t="shared" si="492"/>
        <v>0</v>
      </c>
      <c r="G838" s="17">
        <f t="shared" si="493"/>
        <v>0</v>
      </c>
      <c r="H838" s="17">
        <f t="shared" si="494"/>
        <v>0</v>
      </c>
      <c r="I838" s="17">
        <f t="shared" si="495"/>
        <v>0</v>
      </c>
      <c r="J838" s="17">
        <f t="shared" si="496"/>
        <v>0</v>
      </c>
      <c r="K838" s="17">
        <f t="shared" si="497"/>
        <v>0</v>
      </c>
      <c r="L838" s="17">
        <f t="shared" si="498"/>
        <v>0</v>
      </c>
      <c r="M838" s="17">
        <f t="shared" si="499"/>
        <v>0</v>
      </c>
      <c r="N838" s="17">
        <f t="shared" si="500"/>
        <v>0</v>
      </c>
      <c r="O838" s="17">
        <f t="shared" si="501"/>
        <v>0</v>
      </c>
      <c r="P838" s="17">
        <v>0</v>
      </c>
      <c r="Q838" s="17">
        <f t="shared" si="502"/>
        <v>0</v>
      </c>
      <c r="R838" s="17">
        <f t="shared" si="503"/>
        <v>0</v>
      </c>
      <c r="S838" s="17">
        <f t="shared" si="504"/>
        <v>0</v>
      </c>
      <c r="T838" s="17">
        <f t="shared" si="505"/>
        <v>0</v>
      </c>
      <c r="U838" s="17">
        <f t="shared" si="506"/>
        <v>0</v>
      </c>
      <c r="V838" s="17">
        <f t="shared" si="507"/>
        <v>0</v>
      </c>
      <c r="W838" s="17">
        <f t="shared" si="508"/>
        <v>0</v>
      </c>
      <c r="X838" s="17">
        <f t="shared" si="509"/>
        <v>0</v>
      </c>
      <c r="Y838" s="17">
        <f t="shared" si="510"/>
        <v>0</v>
      </c>
      <c r="Z838" s="17">
        <f t="shared" si="511"/>
        <v>0</v>
      </c>
      <c r="AA838" s="17">
        <f t="shared" si="512"/>
        <v>0</v>
      </c>
      <c r="AB838" s="17">
        <f t="shared" si="513"/>
        <v>0</v>
      </c>
      <c r="AC838" s="17">
        <v>0</v>
      </c>
      <c r="AD838" s="17">
        <f t="shared" si="514"/>
        <v>0</v>
      </c>
      <c r="AE838" s="17">
        <f t="shared" si="515"/>
        <v>0</v>
      </c>
      <c r="AF838" s="17">
        <f t="shared" si="516"/>
        <v>0</v>
      </c>
      <c r="AG838" s="17">
        <f t="shared" si="517"/>
        <v>0</v>
      </c>
      <c r="AH838" s="17">
        <f t="shared" si="518"/>
        <v>0</v>
      </c>
      <c r="AI838" s="17">
        <f t="shared" si="519"/>
        <v>0</v>
      </c>
      <c r="AJ838" s="17">
        <f t="shared" si="520"/>
        <v>0</v>
      </c>
      <c r="AK838" s="17">
        <f t="shared" si="521"/>
        <v>0</v>
      </c>
      <c r="AL838" s="17">
        <f t="shared" si="522"/>
        <v>0</v>
      </c>
      <c r="AM838" s="17">
        <f t="shared" si="523"/>
        <v>0</v>
      </c>
      <c r="AN838" s="17">
        <f t="shared" si="524"/>
        <v>0</v>
      </c>
      <c r="AO838" s="17">
        <f t="shared" si="525"/>
        <v>0</v>
      </c>
      <c r="AP838" s="17">
        <f t="shared" si="526"/>
        <v>0</v>
      </c>
      <c r="AQ838" s="18">
        <v>0</v>
      </c>
      <c r="AR838" s="18">
        <v>0</v>
      </c>
      <c r="AS838" s="18">
        <v>0</v>
      </c>
      <c r="AT838" s="18">
        <v>0</v>
      </c>
      <c r="AU838" s="18">
        <v>0</v>
      </c>
      <c r="AV838" s="18">
        <v>0</v>
      </c>
      <c r="AW838" s="18">
        <v>0</v>
      </c>
      <c r="AX838" s="18">
        <v>0</v>
      </c>
      <c r="AY838" s="18">
        <v>0</v>
      </c>
      <c r="AZ838" s="18">
        <v>0</v>
      </c>
      <c r="BA838" s="18">
        <v>0</v>
      </c>
      <c r="BB838" s="18">
        <v>0</v>
      </c>
      <c r="BC838" s="23">
        <v>8.9181565948742242E-2</v>
      </c>
      <c r="BD838" s="23">
        <v>0.10665277883445198</v>
      </c>
      <c r="BE838" s="23">
        <v>9.438849084854764E-2</v>
      </c>
      <c r="BF838" s="23">
        <v>7.149564986855049E-2</v>
      </c>
      <c r="BG838" s="23">
        <v>0.10368571810536763</v>
      </c>
      <c r="BH838" s="23">
        <v>8.4970330952544637E-2</v>
      </c>
      <c r="BI838" s="23">
        <v>8.4593878877262704E-2</v>
      </c>
      <c r="BJ838" s="23">
        <v>5.7447105462779965E-2</v>
      </c>
      <c r="BK838" s="23">
        <v>8.5153852345557474E-2</v>
      </c>
      <c r="BL838" s="23">
        <v>7.4158058913035174E-2</v>
      </c>
      <c r="BM838" s="23">
        <v>7.5718189192107169E-2</v>
      </c>
      <c r="BN838" s="23">
        <v>7.3955559365675619E-2</v>
      </c>
    </row>
    <row r="839" spans="1:66" x14ac:dyDescent="0.25">
      <c r="A839" s="16">
        <v>6533</v>
      </c>
      <c r="B839" s="16" t="s">
        <v>1033</v>
      </c>
      <c r="C839" s="17">
        <v>0</v>
      </c>
      <c r="D839" s="17">
        <f t="shared" si="490"/>
        <v>0</v>
      </c>
      <c r="E839" s="17">
        <f t="shared" si="491"/>
        <v>0</v>
      </c>
      <c r="F839" s="17">
        <f t="shared" si="492"/>
        <v>0</v>
      </c>
      <c r="G839" s="17">
        <f t="shared" si="493"/>
        <v>0</v>
      </c>
      <c r="H839" s="17">
        <f t="shared" si="494"/>
        <v>0</v>
      </c>
      <c r="I839" s="17">
        <f t="shared" si="495"/>
        <v>0</v>
      </c>
      <c r="J839" s="17">
        <f t="shared" si="496"/>
        <v>0</v>
      </c>
      <c r="K839" s="17">
        <f t="shared" si="497"/>
        <v>0</v>
      </c>
      <c r="L839" s="17">
        <f t="shared" si="498"/>
        <v>0</v>
      </c>
      <c r="M839" s="17">
        <f t="shared" si="499"/>
        <v>0</v>
      </c>
      <c r="N839" s="17">
        <f t="shared" si="500"/>
        <v>0</v>
      </c>
      <c r="O839" s="17">
        <f t="shared" si="501"/>
        <v>0</v>
      </c>
      <c r="P839" s="17">
        <v>0</v>
      </c>
      <c r="Q839" s="17">
        <f t="shared" si="502"/>
        <v>0</v>
      </c>
      <c r="R839" s="17">
        <f t="shared" si="503"/>
        <v>0</v>
      </c>
      <c r="S839" s="17">
        <f t="shared" si="504"/>
        <v>0</v>
      </c>
      <c r="T839" s="17">
        <f t="shared" si="505"/>
        <v>0</v>
      </c>
      <c r="U839" s="17">
        <f t="shared" si="506"/>
        <v>0</v>
      </c>
      <c r="V839" s="17">
        <f t="shared" si="507"/>
        <v>0</v>
      </c>
      <c r="W839" s="17">
        <f t="shared" si="508"/>
        <v>0</v>
      </c>
      <c r="X839" s="17">
        <f t="shared" si="509"/>
        <v>0</v>
      </c>
      <c r="Y839" s="17">
        <f t="shared" si="510"/>
        <v>0</v>
      </c>
      <c r="Z839" s="17">
        <f t="shared" si="511"/>
        <v>0</v>
      </c>
      <c r="AA839" s="17">
        <f t="shared" si="512"/>
        <v>0</v>
      </c>
      <c r="AB839" s="17">
        <f t="shared" si="513"/>
        <v>0</v>
      </c>
      <c r="AC839" s="17">
        <v>0</v>
      </c>
      <c r="AD839" s="17">
        <f t="shared" si="514"/>
        <v>0</v>
      </c>
      <c r="AE839" s="17">
        <f t="shared" si="515"/>
        <v>0</v>
      </c>
      <c r="AF839" s="17">
        <f t="shared" si="516"/>
        <v>0</v>
      </c>
      <c r="AG839" s="17">
        <f t="shared" si="517"/>
        <v>0</v>
      </c>
      <c r="AH839" s="17">
        <f t="shared" si="518"/>
        <v>0</v>
      </c>
      <c r="AI839" s="17">
        <f t="shared" si="519"/>
        <v>0</v>
      </c>
      <c r="AJ839" s="17">
        <f t="shared" si="520"/>
        <v>0</v>
      </c>
      <c r="AK839" s="17">
        <f t="shared" si="521"/>
        <v>0</v>
      </c>
      <c r="AL839" s="17">
        <f t="shared" si="522"/>
        <v>0</v>
      </c>
      <c r="AM839" s="17">
        <f t="shared" si="523"/>
        <v>0</v>
      </c>
      <c r="AN839" s="17">
        <f t="shared" si="524"/>
        <v>0</v>
      </c>
      <c r="AO839" s="17">
        <f t="shared" si="525"/>
        <v>0</v>
      </c>
      <c r="AP839" s="17">
        <f t="shared" si="526"/>
        <v>0</v>
      </c>
      <c r="AQ839" s="18">
        <v>0</v>
      </c>
      <c r="AR839" s="18">
        <v>0</v>
      </c>
      <c r="AS839" s="18">
        <v>0</v>
      </c>
      <c r="AT839" s="18">
        <v>0</v>
      </c>
      <c r="AU839" s="18">
        <v>0</v>
      </c>
      <c r="AV839" s="18">
        <v>0</v>
      </c>
      <c r="AW839" s="18">
        <v>0</v>
      </c>
      <c r="AX839" s="18">
        <v>0</v>
      </c>
      <c r="AY839" s="18">
        <v>0</v>
      </c>
      <c r="AZ839" s="18">
        <v>0</v>
      </c>
      <c r="BA839" s="18">
        <v>0</v>
      </c>
      <c r="BB839" s="18">
        <v>0</v>
      </c>
      <c r="BC839" s="23">
        <v>8.9181565948742242E-2</v>
      </c>
      <c r="BD839" s="23">
        <v>0.10665277883445198</v>
      </c>
      <c r="BE839" s="23">
        <v>9.438849084854764E-2</v>
      </c>
      <c r="BF839" s="23">
        <v>7.149564986855049E-2</v>
      </c>
      <c r="BG839" s="23">
        <v>0.10368571810536763</v>
      </c>
      <c r="BH839" s="23">
        <v>8.4970330952544637E-2</v>
      </c>
      <c r="BI839" s="23">
        <v>8.4593878877262704E-2</v>
      </c>
      <c r="BJ839" s="23">
        <v>5.7447105462779965E-2</v>
      </c>
      <c r="BK839" s="23">
        <v>8.5153852345557474E-2</v>
      </c>
      <c r="BL839" s="23">
        <v>7.4158058913035174E-2</v>
      </c>
      <c r="BM839" s="23">
        <v>7.5718189192107169E-2</v>
      </c>
      <c r="BN839" s="23">
        <v>7.3955559365675619E-2</v>
      </c>
    </row>
    <row r="840" spans="1:66" x14ac:dyDescent="0.25">
      <c r="A840" s="16">
        <v>6534</v>
      </c>
      <c r="B840" s="16" t="s">
        <v>1034</v>
      </c>
      <c r="C840" s="17">
        <v>0</v>
      </c>
      <c r="D840" s="17">
        <f t="shared" si="490"/>
        <v>0</v>
      </c>
      <c r="E840" s="17">
        <f t="shared" si="491"/>
        <v>0</v>
      </c>
      <c r="F840" s="17">
        <f t="shared" si="492"/>
        <v>0</v>
      </c>
      <c r="G840" s="17">
        <f t="shared" si="493"/>
        <v>0</v>
      </c>
      <c r="H840" s="17">
        <f t="shared" si="494"/>
        <v>0</v>
      </c>
      <c r="I840" s="17">
        <f t="shared" si="495"/>
        <v>0</v>
      </c>
      <c r="J840" s="17">
        <f t="shared" si="496"/>
        <v>0</v>
      </c>
      <c r="K840" s="17">
        <f t="shared" si="497"/>
        <v>0</v>
      </c>
      <c r="L840" s="17">
        <f t="shared" si="498"/>
        <v>0</v>
      </c>
      <c r="M840" s="17">
        <f t="shared" si="499"/>
        <v>0</v>
      </c>
      <c r="N840" s="17">
        <f t="shared" si="500"/>
        <v>0</v>
      </c>
      <c r="O840" s="17">
        <f t="shared" si="501"/>
        <v>0</v>
      </c>
      <c r="P840" s="17">
        <v>0</v>
      </c>
      <c r="Q840" s="17">
        <f t="shared" si="502"/>
        <v>0</v>
      </c>
      <c r="R840" s="17">
        <f t="shared" si="503"/>
        <v>0</v>
      </c>
      <c r="S840" s="17">
        <f t="shared" si="504"/>
        <v>0</v>
      </c>
      <c r="T840" s="17">
        <f t="shared" si="505"/>
        <v>0</v>
      </c>
      <c r="U840" s="17">
        <f t="shared" si="506"/>
        <v>0</v>
      </c>
      <c r="V840" s="17">
        <f t="shared" si="507"/>
        <v>0</v>
      </c>
      <c r="W840" s="17">
        <f t="shared" si="508"/>
        <v>0</v>
      </c>
      <c r="X840" s="17">
        <f t="shared" si="509"/>
        <v>0</v>
      </c>
      <c r="Y840" s="17">
        <f t="shared" si="510"/>
        <v>0</v>
      </c>
      <c r="Z840" s="17">
        <f t="shared" si="511"/>
        <v>0</v>
      </c>
      <c r="AA840" s="17">
        <f t="shared" si="512"/>
        <v>0</v>
      </c>
      <c r="AB840" s="17">
        <f t="shared" si="513"/>
        <v>0</v>
      </c>
      <c r="AC840" s="17">
        <v>500</v>
      </c>
      <c r="AD840" s="17">
        <f t="shared" si="514"/>
        <v>44.590782974371123</v>
      </c>
      <c r="AE840" s="17">
        <f t="shared" si="515"/>
        <v>53.32638941722599</v>
      </c>
      <c r="AF840" s="17">
        <f t="shared" si="516"/>
        <v>47.194245424273824</v>
      </c>
      <c r="AG840" s="17">
        <f t="shared" si="517"/>
        <v>35.747824934275243</v>
      </c>
      <c r="AH840" s="17">
        <f t="shared" si="518"/>
        <v>51.842859052683814</v>
      </c>
      <c r="AI840" s="17">
        <f t="shared" si="519"/>
        <v>42.485165476272321</v>
      </c>
      <c r="AJ840" s="17">
        <f t="shared" si="520"/>
        <v>42.296939438631355</v>
      </c>
      <c r="AK840" s="17">
        <f t="shared" si="521"/>
        <v>28.723552731389983</v>
      </c>
      <c r="AL840" s="17">
        <f t="shared" si="522"/>
        <v>42.576926172778734</v>
      </c>
      <c r="AM840" s="17">
        <f t="shared" si="523"/>
        <v>37.079029456517588</v>
      </c>
      <c r="AN840" s="17">
        <f t="shared" si="524"/>
        <v>37.859094596053588</v>
      </c>
      <c r="AO840" s="17">
        <f t="shared" si="525"/>
        <v>36.977779682837813</v>
      </c>
      <c r="AP840" s="17">
        <f t="shared" si="526"/>
        <v>500</v>
      </c>
      <c r="AQ840" s="18">
        <v>0</v>
      </c>
      <c r="AR840" s="18">
        <v>0</v>
      </c>
      <c r="AS840" s="18">
        <v>0</v>
      </c>
      <c r="AT840" s="18">
        <v>0</v>
      </c>
      <c r="AU840" s="18">
        <v>0</v>
      </c>
      <c r="AV840" s="18">
        <v>0</v>
      </c>
      <c r="AW840" s="18">
        <v>0</v>
      </c>
      <c r="AX840" s="18">
        <v>0</v>
      </c>
      <c r="AY840" s="18">
        <v>0</v>
      </c>
      <c r="AZ840" s="18">
        <v>0</v>
      </c>
      <c r="BA840" s="18">
        <v>0</v>
      </c>
      <c r="BB840" s="18">
        <v>0</v>
      </c>
      <c r="BC840" s="23">
        <v>8.9181565948742242E-2</v>
      </c>
      <c r="BD840" s="23">
        <v>0.10665277883445198</v>
      </c>
      <c r="BE840" s="23">
        <v>9.438849084854764E-2</v>
      </c>
      <c r="BF840" s="23">
        <v>7.149564986855049E-2</v>
      </c>
      <c r="BG840" s="23">
        <v>0.10368571810536763</v>
      </c>
      <c r="BH840" s="23">
        <v>8.4970330952544637E-2</v>
      </c>
      <c r="BI840" s="23">
        <v>8.4593878877262704E-2</v>
      </c>
      <c r="BJ840" s="23">
        <v>5.7447105462779965E-2</v>
      </c>
      <c r="BK840" s="23">
        <v>8.5153852345557474E-2</v>
      </c>
      <c r="BL840" s="23">
        <v>7.4158058913035174E-2</v>
      </c>
      <c r="BM840" s="23">
        <v>7.5718189192107169E-2</v>
      </c>
      <c r="BN840" s="23">
        <v>7.3955559365675619E-2</v>
      </c>
    </row>
    <row r="841" spans="1:66" x14ac:dyDescent="0.25">
      <c r="A841" s="16">
        <v>6539</v>
      </c>
      <c r="B841" s="16" t="s">
        <v>1035</v>
      </c>
      <c r="C841" s="17">
        <v>0</v>
      </c>
      <c r="D841" s="17">
        <f t="shared" si="490"/>
        <v>0</v>
      </c>
      <c r="E841" s="17">
        <f t="shared" si="491"/>
        <v>0</v>
      </c>
      <c r="F841" s="17">
        <f t="shared" si="492"/>
        <v>0</v>
      </c>
      <c r="G841" s="17">
        <f t="shared" si="493"/>
        <v>0</v>
      </c>
      <c r="H841" s="17">
        <f t="shared" si="494"/>
        <v>0</v>
      </c>
      <c r="I841" s="17">
        <f t="shared" si="495"/>
        <v>0</v>
      </c>
      <c r="J841" s="17">
        <f t="shared" si="496"/>
        <v>0</v>
      </c>
      <c r="K841" s="17">
        <f t="shared" si="497"/>
        <v>0</v>
      </c>
      <c r="L841" s="17">
        <f t="shared" si="498"/>
        <v>0</v>
      </c>
      <c r="M841" s="17">
        <f t="shared" si="499"/>
        <v>0</v>
      </c>
      <c r="N841" s="17">
        <f t="shared" si="500"/>
        <v>0</v>
      </c>
      <c r="O841" s="17">
        <f t="shared" si="501"/>
        <v>0</v>
      </c>
      <c r="P841" s="17">
        <v>0</v>
      </c>
      <c r="Q841" s="17">
        <f t="shared" si="502"/>
        <v>0</v>
      </c>
      <c r="R841" s="17">
        <f t="shared" si="503"/>
        <v>0</v>
      </c>
      <c r="S841" s="17">
        <f t="shared" si="504"/>
        <v>0</v>
      </c>
      <c r="T841" s="17">
        <f t="shared" si="505"/>
        <v>0</v>
      </c>
      <c r="U841" s="17">
        <f t="shared" si="506"/>
        <v>0</v>
      </c>
      <c r="V841" s="17">
        <f t="shared" si="507"/>
        <v>0</v>
      </c>
      <c r="W841" s="17">
        <f t="shared" si="508"/>
        <v>0</v>
      </c>
      <c r="X841" s="17">
        <f t="shared" si="509"/>
        <v>0</v>
      </c>
      <c r="Y841" s="17">
        <f t="shared" si="510"/>
        <v>0</v>
      </c>
      <c r="Z841" s="17">
        <f t="shared" si="511"/>
        <v>0</v>
      </c>
      <c r="AA841" s="17">
        <f t="shared" si="512"/>
        <v>0</v>
      </c>
      <c r="AB841" s="17">
        <f t="shared" si="513"/>
        <v>0</v>
      </c>
      <c r="AC841" s="17">
        <v>0</v>
      </c>
      <c r="AD841" s="17">
        <f t="shared" si="514"/>
        <v>0</v>
      </c>
      <c r="AE841" s="17">
        <f t="shared" si="515"/>
        <v>0</v>
      </c>
      <c r="AF841" s="17">
        <f t="shared" si="516"/>
        <v>0</v>
      </c>
      <c r="AG841" s="17">
        <f t="shared" si="517"/>
        <v>0</v>
      </c>
      <c r="AH841" s="17">
        <f t="shared" si="518"/>
        <v>0</v>
      </c>
      <c r="AI841" s="17">
        <f t="shared" si="519"/>
        <v>0</v>
      </c>
      <c r="AJ841" s="17">
        <f t="shared" si="520"/>
        <v>0</v>
      </c>
      <c r="AK841" s="17">
        <f t="shared" si="521"/>
        <v>0</v>
      </c>
      <c r="AL841" s="17">
        <f t="shared" si="522"/>
        <v>0</v>
      </c>
      <c r="AM841" s="17">
        <f t="shared" si="523"/>
        <v>0</v>
      </c>
      <c r="AN841" s="17">
        <f t="shared" si="524"/>
        <v>0</v>
      </c>
      <c r="AO841" s="17">
        <f t="shared" si="525"/>
        <v>0</v>
      </c>
      <c r="AP841" s="17">
        <f t="shared" si="526"/>
        <v>0</v>
      </c>
      <c r="AQ841" s="18">
        <v>0</v>
      </c>
      <c r="AR841" s="18">
        <v>0</v>
      </c>
      <c r="AS841" s="18">
        <v>0</v>
      </c>
      <c r="AT841" s="18">
        <v>0</v>
      </c>
      <c r="AU841" s="18">
        <v>0</v>
      </c>
      <c r="AV841" s="18">
        <v>0</v>
      </c>
      <c r="AW841" s="18">
        <v>0</v>
      </c>
      <c r="AX841" s="18">
        <v>0</v>
      </c>
      <c r="AY841" s="18">
        <v>0</v>
      </c>
      <c r="AZ841" s="18">
        <v>0</v>
      </c>
      <c r="BA841" s="18">
        <v>0</v>
      </c>
      <c r="BB841" s="18">
        <v>0</v>
      </c>
      <c r="BC841" s="23">
        <v>8.9181565948742242E-2</v>
      </c>
      <c r="BD841" s="23">
        <v>0.10665277883445198</v>
      </c>
      <c r="BE841" s="23">
        <v>9.438849084854764E-2</v>
      </c>
      <c r="BF841" s="23">
        <v>7.149564986855049E-2</v>
      </c>
      <c r="BG841" s="23">
        <v>0.10368571810536763</v>
      </c>
      <c r="BH841" s="23">
        <v>8.4970330952544637E-2</v>
      </c>
      <c r="BI841" s="23">
        <v>8.4593878877262704E-2</v>
      </c>
      <c r="BJ841" s="23">
        <v>5.7447105462779965E-2</v>
      </c>
      <c r="BK841" s="23">
        <v>8.5153852345557474E-2</v>
      </c>
      <c r="BL841" s="23">
        <v>7.4158058913035174E-2</v>
      </c>
      <c r="BM841" s="23">
        <v>7.5718189192107169E-2</v>
      </c>
      <c r="BN841" s="23">
        <v>7.3955559365675619E-2</v>
      </c>
    </row>
    <row r="842" spans="1:66" x14ac:dyDescent="0.25">
      <c r="A842" s="16">
        <v>6544</v>
      </c>
      <c r="B842" s="16" t="s">
        <v>1036</v>
      </c>
      <c r="C842" s="17">
        <v>0</v>
      </c>
      <c r="D842" s="17">
        <f t="shared" si="490"/>
        <v>0</v>
      </c>
      <c r="E842" s="17">
        <f t="shared" si="491"/>
        <v>0</v>
      </c>
      <c r="F842" s="17">
        <f t="shared" si="492"/>
        <v>0</v>
      </c>
      <c r="G842" s="17">
        <f t="shared" si="493"/>
        <v>0</v>
      </c>
      <c r="H842" s="17">
        <f t="shared" si="494"/>
        <v>0</v>
      </c>
      <c r="I842" s="17">
        <f t="shared" si="495"/>
        <v>0</v>
      </c>
      <c r="J842" s="17">
        <f t="shared" si="496"/>
        <v>0</v>
      </c>
      <c r="K842" s="17">
        <f t="shared" si="497"/>
        <v>0</v>
      </c>
      <c r="L842" s="17">
        <f t="shared" si="498"/>
        <v>0</v>
      </c>
      <c r="M842" s="17">
        <f t="shared" si="499"/>
        <v>0</v>
      </c>
      <c r="N842" s="17">
        <f t="shared" si="500"/>
        <v>0</v>
      </c>
      <c r="O842" s="17">
        <f t="shared" si="501"/>
        <v>0</v>
      </c>
      <c r="P842" s="17">
        <v>0</v>
      </c>
      <c r="Q842" s="17">
        <f t="shared" si="502"/>
        <v>0</v>
      </c>
      <c r="R842" s="17">
        <f t="shared" si="503"/>
        <v>0</v>
      </c>
      <c r="S842" s="17">
        <f t="shared" si="504"/>
        <v>0</v>
      </c>
      <c r="T842" s="17">
        <f t="shared" si="505"/>
        <v>0</v>
      </c>
      <c r="U842" s="17">
        <f t="shared" si="506"/>
        <v>0</v>
      </c>
      <c r="V842" s="17">
        <f t="shared" si="507"/>
        <v>0</v>
      </c>
      <c r="W842" s="17">
        <f t="shared" si="508"/>
        <v>0</v>
      </c>
      <c r="X842" s="17">
        <f t="shared" si="509"/>
        <v>0</v>
      </c>
      <c r="Y842" s="17">
        <f t="shared" si="510"/>
        <v>0</v>
      </c>
      <c r="Z842" s="17">
        <f t="shared" si="511"/>
        <v>0</v>
      </c>
      <c r="AA842" s="17">
        <f t="shared" si="512"/>
        <v>0</v>
      </c>
      <c r="AB842" s="17">
        <f t="shared" si="513"/>
        <v>0</v>
      </c>
      <c r="AC842" s="17">
        <v>0</v>
      </c>
      <c r="AD842" s="17">
        <f t="shared" si="514"/>
        <v>0</v>
      </c>
      <c r="AE842" s="17">
        <f t="shared" si="515"/>
        <v>0</v>
      </c>
      <c r="AF842" s="17">
        <f t="shared" si="516"/>
        <v>0</v>
      </c>
      <c r="AG842" s="17">
        <f t="shared" si="517"/>
        <v>0</v>
      </c>
      <c r="AH842" s="17">
        <f t="shared" si="518"/>
        <v>0</v>
      </c>
      <c r="AI842" s="17">
        <f t="shared" si="519"/>
        <v>0</v>
      </c>
      <c r="AJ842" s="17">
        <f t="shared" si="520"/>
        <v>0</v>
      </c>
      <c r="AK842" s="17">
        <f t="shared" si="521"/>
        <v>0</v>
      </c>
      <c r="AL842" s="17">
        <f t="shared" si="522"/>
        <v>0</v>
      </c>
      <c r="AM842" s="17">
        <f t="shared" si="523"/>
        <v>0</v>
      </c>
      <c r="AN842" s="17">
        <f t="shared" si="524"/>
        <v>0</v>
      </c>
      <c r="AO842" s="17">
        <f t="shared" si="525"/>
        <v>0</v>
      </c>
      <c r="AP842" s="17">
        <f t="shared" si="526"/>
        <v>0</v>
      </c>
      <c r="AQ842" s="18">
        <v>0</v>
      </c>
      <c r="AR842" s="18">
        <v>0</v>
      </c>
      <c r="AS842" s="18">
        <v>0</v>
      </c>
      <c r="AT842" s="18">
        <v>0</v>
      </c>
      <c r="AU842" s="18">
        <v>0</v>
      </c>
      <c r="AV842" s="18">
        <v>0</v>
      </c>
      <c r="AW842" s="18">
        <v>0</v>
      </c>
      <c r="AX842" s="18">
        <v>0</v>
      </c>
      <c r="AY842" s="18">
        <v>0</v>
      </c>
      <c r="AZ842" s="18">
        <v>0</v>
      </c>
      <c r="BA842" s="18">
        <v>0</v>
      </c>
      <c r="BB842" s="18">
        <v>0</v>
      </c>
      <c r="BC842" s="23">
        <v>8.9181565948742242E-2</v>
      </c>
      <c r="BD842" s="23">
        <v>0.10665277883445198</v>
      </c>
      <c r="BE842" s="23">
        <v>9.438849084854764E-2</v>
      </c>
      <c r="BF842" s="23">
        <v>7.149564986855049E-2</v>
      </c>
      <c r="BG842" s="23">
        <v>0.10368571810536763</v>
      </c>
      <c r="BH842" s="23">
        <v>8.4970330952544637E-2</v>
      </c>
      <c r="BI842" s="23">
        <v>8.4593878877262704E-2</v>
      </c>
      <c r="BJ842" s="23">
        <v>5.7447105462779965E-2</v>
      </c>
      <c r="BK842" s="23">
        <v>8.5153852345557474E-2</v>
      </c>
      <c r="BL842" s="23">
        <v>7.4158058913035174E-2</v>
      </c>
      <c r="BM842" s="23">
        <v>7.5718189192107169E-2</v>
      </c>
      <c r="BN842" s="23">
        <v>7.3955559365675619E-2</v>
      </c>
    </row>
    <row r="843" spans="1:66" x14ac:dyDescent="0.25">
      <c r="A843" s="16">
        <v>6545</v>
      </c>
      <c r="B843" s="16" t="s">
        <v>1037</v>
      </c>
      <c r="C843" s="17">
        <v>0</v>
      </c>
      <c r="D843" s="17">
        <f t="shared" si="490"/>
        <v>0</v>
      </c>
      <c r="E843" s="17">
        <f t="shared" si="491"/>
        <v>0</v>
      </c>
      <c r="F843" s="17">
        <f t="shared" si="492"/>
        <v>0</v>
      </c>
      <c r="G843" s="17">
        <f t="shared" si="493"/>
        <v>0</v>
      </c>
      <c r="H843" s="17">
        <f t="shared" si="494"/>
        <v>0</v>
      </c>
      <c r="I843" s="17">
        <f t="shared" si="495"/>
        <v>0</v>
      </c>
      <c r="J843" s="17">
        <f t="shared" si="496"/>
        <v>0</v>
      </c>
      <c r="K843" s="17">
        <f t="shared" si="497"/>
        <v>0</v>
      </c>
      <c r="L843" s="17">
        <f t="shared" si="498"/>
        <v>0</v>
      </c>
      <c r="M843" s="17">
        <f t="shared" si="499"/>
        <v>0</v>
      </c>
      <c r="N843" s="17">
        <f t="shared" si="500"/>
        <v>0</v>
      </c>
      <c r="O843" s="17">
        <f t="shared" si="501"/>
        <v>0</v>
      </c>
      <c r="P843" s="17">
        <v>0</v>
      </c>
      <c r="Q843" s="17">
        <f t="shared" si="502"/>
        <v>0</v>
      </c>
      <c r="R843" s="17">
        <f t="shared" si="503"/>
        <v>0</v>
      </c>
      <c r="S843" s="17">
        <f t="shared" si="504"/>
        <v>0</v>
      </c>
      <c r="T843" s="17">
        <f t="shared" si="505"/>
        <v>0</v>
      </c>
      <c r="U843" s="17">
        <f t="shared" si="506"/>
        <v>0</v>
      </c>
      <c r="V843" s="17">
        <f t="shared" si="507"/>
        <v>0</v>
      </c>
      <c r="W843" s="17">
        <f t="shared" si="508"/>
        <v>0</v>
      </c>
      <c r="X843" s="17">
        <f t="shared" si="509"/>
        <v>0</v>
      </c>
      <c r="Y843" s="17">
        <f t="shared" si="510"/>
        <v>0</v>
      </c>
      <c r="Z843" s="17">
        <f t="shared" si="511"/>
        <v>0</v>
      </c>
      <c r="AA843" s="17">
        <f t="shared" si="512"/>
        <v>0</v>
      </c>
      <c r="AB843" s="17">
        <f t="shared" si="513"/>
        <v>0</v>
      </c>
      <c r="AC843" s="17">
        <v>0</v>
      </c>
      <c r="AD843" s="17">
        <f t="shared" si="514"/>
        <v>0</v>
      </c>
      <c r="AE843" s="17">
        <f t="shared" si="515"/>
        <v>0</v>
      </c>
      <c r="AF843" s="17">
        <f t="shared" si="516"/>
        <v>0</v>
      </c>
      <c r="AG843" s="17">
        <f t="shared" si="517"/>
        <v>0</v>
      </c>
      <c r="AH843" s="17">
        <f t="shared" si="518"/>
        <v>0</v>
      </c>
      <c r="AI843" s="17">
        <f t="shared" si="519"/>
        <v>0</v>
      </c>
      <c r="AJ843" s="17">
        <f t="shared" si="520"/>
        <v>0</v>
      </c>
      <c r="AK843" s="17">
        <f t="shared" si="521"/>
        <v>0</v>
      </c>
      <c r="AL843" s="17">
        <f t="shared" si="522"/>
        <v>0</v>
      </c>
      <c r="AM843" s="17">
        <f t="shared" si="523"/>
        <v>0</v>
      </c>
      <c r="AN843" s="17">
        <f t="shared" si="524"/>
        <v>0</v>
      </c>
      <c r="AO843" s="17">
        <f t="shared" si="525"/>
        <v>0</v>
      </c>
      <c r="AP843" s="17">
        <f t="shared" si="526"/>
        <v>0</v>
      </c>
      <c r="AQ843" s="18">
        <v>0</v>
      </c>
      <c r="AR843" s="18">
        <v>0</v>
      </c>
      <c r="AS843" s="18">
        <v>0</v>
      </c>
      <c r="AT843" s="18">
        <v>0</v>
      </c>
      <c r="AU843" s="18">
        <v>0</v>
      </c>
      <c r="AV843" s="18">
        <v>0</v>
      </c>
      <c r="AW843" s="18">
        <v>0</v>
      </c>
      <c r="AX843" s="18">
        <v>0</v>
      </c>
      <c r="AY843" s="18">
        <v>0</v>
      </c>
      <c r="AZ843" s="18">
        <v>0</v>
      </c>
      <c r="BA843" s="18">
        <v>0</v>
      </c>
      <c r="BB843" s="18">
        <v>0</v>
      </c>
      <c r="BC843" s="23">
        <v>8.9181565948742242E-2</v>
      </c>
      <c r="BD843" s="23">
        <v>0.10665277883445198</v>
      </c>
      <c r="BE843" s="23">
        <v>9.438849084854764E-2</v>
      </c>
      <c r="BF843" s="23">
        <v>7.149564986855049E-2</v>
      </c>
      <c r="BG843" s="23">
        <v>0.10368571810536763</v>
      </c>
      <c r="BH843" s="23">
        <v>8.4970330952544637E-2</v>
      </c>
      <c r="BI843" s="23">
        <v>8.4593878877262704E-2</v>
      </c>
      <c r="BJ843" s="23">
        <v>5.7447105462779965E-2</v>
      </c>
      <c r="BK843" s="23">
        <v>8.5153852345557474E-2</v>
      </c>
      <c r="BL843" s="23">
        <v>7.4158058913035174E-2</v>
      </c>
      <c r="BM843" s="23">
        <v>7.5718189192107169E-2</v>
      </c>
      <c r="BN843" s="23">
        <v>7.3955559365675619E-2</v>
      </c>
    </row>
    <row r="844" spans="1:66" x14ac:dyDescent="0.25">
      <c r="A844" s="16">
        <v>6548</v>
      </c>
      <c r="B844" s="16" t="s">
        <v>1038</v>
      </c>
      <c r="C844" s="17">
        <v>0</v>
      </c>
      <c r="D844" s="17">
        <f t="shared" si="490"/>
        <v>0</v>
      </c>
      <c r="E844" s="17">
        <f t="shared" si="491"/>
        <v>0</v>
      </c>
      <c r="F844" s="17">
        <f t="shared" si="492"/>
        <v>0</v>
      </c>
      <c r="G844" s="17">
        <f t="shared" si="493"/>
        <v>0</v>
      </c>
      <c r="H844" s="17">
        <f t="shared" si="494"/>
        <v>0</v>
      </c>
      <c r="I844" s="17">
        <f t="shared" si="495"/>
        <v>0</v>
      </c>
      <c r="J844" s="17">
        <f t="shared" si="496"/>
        <v>0</v>
      </c>
      <c r="K844" s="17">
        <f t="shared" si="497"/>
        <v>0</v>
      </c>
      <c r="L844" s="17">
        <f t="shared" si="498"/>
        <v>0</v>
      </c>
      <c r="M844" s="17">
        <f t="shared" si="499"/>
        <v>0</v>
      </c>
      <c r="N844" s="17">
        <f t="shared" si="500"/>
        <v>0</v>
      </c>
      <c r="O844" s="17">
        <f t="shared" si="501"/>
        <v>0</v>
      </c>
      <c r="P844" s="17">
        <v>0</v>
      </c>
      <c r="Q844" s="17">
        <f t="shared" si="502"/>
        <v>0</v>
      </c>
      <c r="R844" s="17">
        <f t="shared" si="503"/>
        <v>0</v>
      </c>
      <c r="S844" s="17">
        <f t="shared" si="504"/>
        <v>0</v>
      </c>
      <c r="T844" s="17">
        <f t="shared" si="505"/>
        <v>0</v>
      </c>
      <c r="U844" s="17">
        <f t="shared" si="506"/>
        <v>0</v>
      </c>
      <c r="V844" s="17">
        <f t="shared" si="507"/>
        <v>0</v>
      </c>
      <c r="W844" s="17">
        <f t="shared" si="508"/>
        <v>0</v>
      </c>
      <c r="X844" s="17">
        <f t="shared" si="509"/>
        <v>0</v>
      </c>
      <c r="Y844" s="17">
        <f t="shared" si="510"/>
        <v>0</v>
      </c>
      <c r="Z844" s="17">
        <f t="shared" si="511"/>
        <v>0</v>
      </c>
      <c r="AA844" s="17">
        <f t="shared" si="512"/>
        <v>0</v>
      </c>
      <c r="AB844" s="17">
        <f t="shared" si="513"/>
        <v>0</v>
      </c>
      <c r="AC844" s="17">
        <v>0</v>
      </c>
      <c r="AD844" s="17">
        <f t="shared" si="514"/>
        <v>0</v>
      </c>
      <c r="AE844" s="17">
        <f t="shared" si="515"/>
        <v>0</v>
      </c>
      <c r="AF844" s="17">
        <f t="shared" si="516"/>
        <v>0</v>
      </c>
      <c r="AG844" s="17">
        <f t="shared" si="517"/>
        <v>0</v>
      </c>
      <c r="AH844" s="17">
        <f t="shared" si="518"/>
        <v>0</v>
      </c>
      <c r="AI844" s="17">
        <f t="shared" si="519"/>
        <v>0</v>
      </c>
      <c r="AJ844" s="17">
        <f t="shared" si="520"/>
        <v>0</v>
      </c>
      <c r="AK844" s="17">
        <f t="shared" si="521"/>
        <v>0</v>
      </c>
      <c r="AL844" s="17">
        <f t="shared" si="522"/>
        <v>0</v>
      </c>
      <c r="AM844" s="17">
        <f t="shared" si="523"/>
        <v>0</v>
      </c>
      <c r="AN844" s="17">
        <f t="shared" si="524"/>
        <v>0</v>
      </c>
      <c r="AO844" s="17">
        <f t="shared" si="525"/>
        <v>0</v>
      </c>
      <c r="AP844" s="17">
        <f t="shared" si="526"/>
        <v>0</v>
      </c>
      <c r="AQ844" s="18">
        <v>0</v>
      </c>
      <c r="AR844" s="18">
        <v>0</v>
      </c>
      <c r="AS844" s="18">
        <v>0</v>
      </c>
      <c r="AT844" s="18">
        <v>0</v>
      </c>
      <c r="AU844" s="18">
        <v>0</v>
      </c>
      <c r="AV844" s="18">
        <v>0</v>
      </c>
      <c r="AW844" s="18">
        <v>0</v>
      </c>
      <c r="AX844" s="18">
        <v>0</v>
      </c>
      <c r="AY844" s="18">
        <v>0</v>
      </c>
      <c r="AZ844" s="18">
        <v>0</v>
      </c>
      <c r="BA844" s="18">
        <v>0</v>
      </c>
      <c r="BB844" s="18">
        <v>0</v>
      </c>
      <c r="BC844" s="23">
        <v>8.9181565948742242E-2</v>
      </c>
      <c r="BD844" s="23">
        <v>0.10665277883445198</v>
      </c>
      <c r="BE844" s="23">
        <v>9.438849084854764E-2</v>
      </c>
      <c r="BF844" s="23">
        <v>7.149564986855049E-2</v>
      </c>
      <c r="BG844" s="23">
        <v>0.10368571810536763</v>
      </c>
      <c r="BH844" s="23">
        <v>8.4970330952544637E-2</v>
      </c>
      <c r="BI844" s="23">
        <v>8.4593878877262704E-2</v>
      </c>
      <c r="BJ844" s="23">
        <v>5.7447105462779965E-2</v>
      </c>
      <c r="BK844" s="23">
        <v>8.5153852345557474E-2</v>
      </c>
      <c r="BL844" s="23">
        <v>7.4158058913035174E-2</v>
      </c>
      <c r="BM844" s="23">
        <v>7.5718189192107169E-2</v>
      </c>
      <c r="BN844" s="23">
        <v>7.3955559365675619E-2</v>
      </c>
    </row>
    <row r="845" spans="1:66" x14ac:dyDescent="0.25">
      <c r="A845" s="16">
        <v>6550</v>
      </c>
      <c r="B845" s="16" t="s">
        <v>1039</v>
      </c>
      <c r="C845" s="17">
        <v>0</v>
      </c>
      <c r="D845" s="17">
        <f t="shared" si="490"/>
        <v>0</v>
      </c>
      <c r="E845" s="17">
        <f t="shared" si="491"/>
        <v>0</v>
      </c>
      <c r="F845" s="17">
        <f t="shared" si="492"/>
        <v>0</v>
      </c>
      <c r="G845" s="17">
        <f t="shared" si="493"/>
        <v>0</v>
      </c>
      <c r="H845" s="17">
        <f t="shared" si="494"/>
        <v>0</v>
      </c>
      <c r="I845" s="17">
        <f t="shared" si="495"/>
        <v>0</v>
      </c>
      <c r="J845" s="17">
        <f t="shared" si="496"/>
        <v>0</v>
      </c>
      <c r="K845" s="17">
        <f t="shared" si="497"/>
        <v>0</v>
      </c>
      <c r="L845" s="17">
        <f t="shared" si="498"/>
        <v>0</v>
      </c>
      <c r="M845" s="17">
        <f t="shared" si="499"/>
        <v>0</v>
      </c>
      <c r="N845" s="17">
        <f t="shared" si="500"/>
        <v>0</v>
      </c>
      <c r="O845" s="17">
        <f t="shared" si="501"/>
        <v>0</v>
      </c>
      <c r="P845" s="17">
        <v>0</v>
      </c>
      <c r="Q845" s="17">
        <f t="shared" si="502"/>
        <v>0</v>
      </c>
      <c r="R845" s="17">
        <f t="shared" si="503"/>
        <v>0</v>
      </c>
      <c r="S845" s="17">
        <f t="shared" si="504"/>
        <v>0</v>
      </c>
      <c r="T845" s="17">
        <f t="shared" si="505"/>
        <v>0</v>
      </c>
      <c r="U845" s="17">
        <f t="shared" si="506"/>
        <v>0</v>
      </c>
      <c r="V845" s="17">
        <f t="shared" si="507"/>
        <v>0</v>
      </c>
      <c r="W845" s="17">
        <f t="shared" si="508"/>
        <v>0</v>
      </c>
      <c r="X845" s="17">
        <f t="shared" si="509"/>
        <v>0</v>
      </c>
      <c r="Y845" s="17">
        <f t="shared" si="510"/>
        <v>0</v>
      </c>
      <c r="Z845" s="17">
        <f t="shared" si="511"/>
        <v>0</v>
      </c>
      <c r="AA845" s="17">
        <f t="shared" si="512"/>
        <v>0</v>
      </c>
      <c r="AB845" s="17">
        <f t="shared" si="513"/>
        <v>0</v>
      </c>
      <c r="AC845" s="17">
        <v>0</v>
      </c>
      <c r="AD845" s="17">
        <f t="shared" si="514"/>
        <v>0</v>
      </c>
      <c r="AE845" s="17">
        <f t="shared" si="515"/>
        <v>0</v>
      </c>
      <c r="AF845" s="17">
        <f t="shared" si="516"/>
        <v>0</v>
      </c>
      <c r="AG845" s="17">
        <f t="shared" si="517"/>
        <v>0</v>
      </c>
      <c r="AH845" s="17">
        <f t="shared" si="518"/>
        <v>0</v>
      </c>
      <c r="AI845" s="17">
        <f t="shared" si="519"/>
        <v>0</v>
      </c>
      <c r="AJ845" s="17">
        <f t="shared" si="520"/>
        <v>0</v>
      </c>
      <c r="AK845" s="17">
        <f t="shared" si="521"/>
        <v>0</v>
      </c>
      <c r="AL845" s="17">
        <f t="shared" si="522"/>
        <v>0</v>
      </c>
      <c r="AM845" s="17">
        <f t="shared" si="523"/>
        <v>0</v>
      </c>
      <c r="AN845" s="17">
        <f t="shared" si="524"/>
        <v>0</v>
      </c>
      <c r="AO845" s="17">
        <f t="shared" si="525"/>
        <v>0</v>
      </c>
      <c r="AP845" s="17">
        <f t="shared" si="526"/>
        <v>0</v>
      </c>
      <c r="AQ845" s="18">
        <v>7.7498780809457015</v>
      </c>
      <c r="AR845" s="18">
        <v>9.2681264807138781</v>
      </c>
      <c r="AS845" s="18">
        <v>8.2023598547387913</v>
      </c>
      <c r="AT845" s="18">
        <v>6.2129719735770381</v>
      </c>
      <c r="AU845" s="18">
        <v>9.0102889033564466</v>
      </c>
      <c r="AV845" s="18">
        <v>7.3839217597761291</v>
      </c>
      <c r="AW845" s="18">
        <v>7.3512080744341297</v>
      </c>
      <c r="AX845" s="18">
        <v>4.992153464715579</v>
      </c>
      <c r="AY845" s="18">
        <v>7.3998697688289452</v>
      </c>
      <c r="AZ845" s="18">
        <v>6.4443353195427573</v>
      </c>
      <c r="BA845" s="18">
        <v>6.5799106407941137</v>
      </c>
      <c r="BB845" s="18">
        <v>6.4267381088772115</v>
      </c>
      <c r="BC845" s="23">
        <v>8.9181565948742242E-2</v>
      </c>
      <c r="BD845" s="23">
        <v>0.10665277883445198</v>
      </c>
      <c r="BE845" s="23">
        <v>9.438849084854764E-2</v>
      </c>
      <c r="BF845" s="23">
        <v>7.149564986855049E-2</v>
      </c>
      <c r="BG845" s="23">
        <v>0.10368571810536763</v>
      </c>
      <c r="BH845" s="23">
        <v>8.4970330952544637E-2</v>
      </c>
      <c r="BI845" s="23">
        <v>8.4593878877262704E-2</v>
      </c>
      <c r="BJ845" s="23">
        <v>5.7447105462779965E-2</v>
      </c>
      <c r="BK845" s="23">
        <v>8.5153852345557474E-2</v>
      </c>
      <c r="BL845" s="23">
        <v>7.4158058913035174E-2</v>
      </c>
      <c r="BM845" s="23">
        <v>7.5718189192107169E-2</v>
      </c>
      <c r="BN845" s="23">
        <v>7.3955559365675619E-2</v>
      </c>
    </row>
    <row r="846" spans="1:66" x14ac:dyDescent="0.25">
      <c r="A846" s="16">
        <v>6551</v>
      </c>
      <c r="B846" s="16" t="s">
        <v>1040</v>
      </c>
      <c r="C846" s="17">
        <v>0</v>
      </c>
      <c r="D846" s="17">
        <f t="shared" si="490"/>
        <v>0</v>
      </c>
      <c r="E846" s="17">
        <f t="shared" si="491"/>
        <v>0</v>
      </c>
      <c r="F846" s="17">
        <f t="shared" si="492"/>
        <v>0</v>
      </c>
      <c r="G846" s="17">
        <f t="shared" si="493"/>
        <v>0</v>
      </c>
      <c r="H846" s="17">
        <f t="shared" si="494"/>
        <v>0</v>
      </c>
      <c r="I846" s="17">
        <f t="shared" si="495"/>
        <v>0</v>
      </c>
      <c r="J846" s="17">
        <f t="shared" si="496"/>
        <v>0</v>
      </c>
      <c r="K846" s="17">
        <f t="shared" si="497"/>
        <v>0</v>
      </c>
      <c r="L846" s="17">
        <f t="shared" si="498"/>
        <v>0</v>
      </c>
      <c r="M846" s="17">
        <f t="shared" si="499"/>
        <v>0</v>
      </c>
      <c r="N846" s="17">
        <f t="shared" si="500"/>
        <v>0</v>
      </c>
      <c r="O846" s="17">
        <f t="shared" si="501"/>
        <v>0</v>
      </c>
      <c r="P846" s="17">
        <v>0</v>
      </c>
      <c r="Q846" s="17">
        <f t="shared" si="502"/>
        <v>0</v>
      </c>
      <c r="R846" s="17">
        <f t="shared" si="503"/>
        <v>0</v>
      </c>
      <c r="S846" s="17">
        <f t="shared" si="504"/>
        <v>0</v>
      </c>
      <c r="T846" s="17">
        <f t="shared" si="505"/>
        <v>0</v>
      </c>
      <c r="U846" s="17">
        <f t="shared" si="506"/>
        <v>0</v>
      </c>
      <c r="V846" s="17">
        <f t="shared" si="507"/>
        <v>0</v>
      </c>
      <c r="W846" s="17">
        <f t="shared" si="508"/>
        <v>0</v>
      </c>
      <c r="X846" s="17">
        <f t="shared" si="509"/>
        <v>0</v>
      </c>
      <c r="Y846" s="17">
        <f t="shared" si="510"/>
        <v>0</v>
      </c>
      <c r="Z846" s="17">
        <f t="shared" si="511"/>
        <v>0</v>
      </c>
      <c r="AA846" s="17">
        <f t="shared" si="512"/>
        <v>0</v>
      </c>
      <c r="AB846" s="17">
        <f t="shared" si="513"/>
        <v>0</v>
      </c>
      <c r="AC846" s="17">
        <v>0</v>
      </c>
      <c r="AD846" s="17">
        <f t="shared" si="514"/>
        <v>0</v>
      </c>
      <c r="AE846" s="17">
        <f t="shared" si="515"/>
        <v>0</v>
      </c>
      <c r="AF846" s="17">
        <f t="shared" si="516"/>
        <v>0</v>
      </c>
      <c r="AG846" s="17">
        <f t="shared" si="517"/>
        <v>0</v>
      </c>
      <c r="AH846" s="17">
        <f t="shared" si="518"/>
        <v>0</v>
      </c>
      <c r="AI846" s="17">
        <f t="shared" si="519"/>
        <v>0</v>
      </c>
      <c r="AJ846" s="17">
        <f t="shared" si="520"/>
        <v>0</v>
      </c>
      <c r="AK846" s="17">
        <f t="shared" si="521"/>
        <v>0</v>
      </c>
      <c r="AL846" s="17">
        <f t="shared" si="522"/>
        <v>0</v>
      </c>
      <c r="AM846" s="17">
        <f t="shared" si="523"/>
        <v>0</v>
      </c>
      <c r="AN846" s="17">
        <f t="shared" si="524"/>
        <v>0</v>
      </c>
      <c r="AO846" s="17">
        <f t="shared" si="525"/>
        <v>0</v>
      </c>
      <c r="AP846" s="17">
        <f t="shared" si="526"/>
        <v>0</v>
      </c>
      <c r="AQ846" s="18">
        <v>0</v>
      </c>
      <c r="AR846" s="18">
        <v>0</v>
      </c>
      <c r="AS846" s="18">
        <v>0</v>
      </c>
      <c r="AT846" s="18">
        <v>0</v>
      </c>
      <c r="AU846" s="18">
        <v>0</v>
      </c>
      <c r="AV846" s="18">
        <v>0</v>
      </c>
      <c r="AW846" s="18">
        <v>0</v>
      </c>
      <c r="AX846" s="18">
        <v>0</v>
      </c>
      <c r="AY846" s="18">
        <v>0</v>
      </c>
      <c r="AZ846" s="18">
        <v>0</v>
      </c>
      <c r="BA846" s="18">
        <v>0</v>
      </c>
      <c r="BB846" s="18">
        <v>0</v>
      </c>
      <c r="BC846" s="23">
        <v>8.9181565948742242E-2</v>
      </c>
      <c r="BD846" s="23">
        <v>0.10665277883445198</v>
      </c>
      <c r="BE846" s="23">
        <v>9.438849084854764E-2</v>
      </c>
      <c r="BF846" s="23">
        <v>7.149564986855049E-2</v>
      </c>
      <c r="BG846" s="23">
        <v>0.10368571810536763</v>
      </c>
      <c r="BH846" s="23">
        <v>8.4970330952544637E-2</v>
      </c>
      <c r="BI846" s="23">
        <v>8.4593878877262704E-2</v>
      </c>
      <c r="BJ846" s="23">
        <v>5.7447105462779965E-2</v>
      </c>
      <c r="BK846" s="23">
        <v>8.5153852345557474E-2</v>
      </c>
      <c r="BL846" s="23">
        <v>7.4158058913035174E-2</v>
      </c>
      <c r="BM846" s="23">
        <v>7.5718189192107169E-2</v>
      </c>
      <c r="BN846" s="23">
        <v>7.3955559365675619E-2</v>
      </c>
    </row>
    <row r="847" spans="1:66" x14ac:dyDescent="0.25">
      <c r="A847" s="16">
        <v>6555</v>
      </c>
      <c r="B847" s="16" t="s">
        <v>1041</v>
      </c>
      <c r="C847" s="17">
        <v>0</v>
      </c>
      <c r="D847" s="17">
        <f t="shared" si="490"/>
        <v>0</v>
      </c>
      <c r="E847" s="17">
        <f t="shared" si="491"/>
        <v>0</v>
      </c>
      <c r="F847" s="17">
        <f t="shared" si="492"/>
        <v>0</v>
      </c>
      <c r="G847" s="17">
        <f t="shared" si="493"/>
        <v>0</v>
      </c>
      <c r="H847" s="17">
        <f t="shared" si="494"/>
        <v>0</v>
      </c>
      <c r="I847" s="17">
        <f t="shared" si="495"/>
        <v>0</v>
      </c>
      <c r="J847" s="17">
        <f t="shared" si="496"/>
        <v>0</v>
      </c>
      <c r="K847" s="17">
        <f t="shared" si="497"/>
        <v>0</v>
      </c>
      <c r="L847" s="17">
        <f t="shared" si="498"/>
        <v>0</v>
      </c>
      <c r="M847" s="17">
        <f t="shared" si="499"/>
        <v>0</v>
      </c>
      <c r="N847" s="17">
        <f t="shared" si="500"/>
        <v>0</v>
      </c>
      <c r="O847" s="17">
        <f t="shared" si="501"/>
        <v>0</v>
      </c>
      <c r="P847" s="17">
        <v>0</v>
      </c>
      <c r="Q847" s="17">
        <f t="shared" si="502"/>
        <v>0</v>
      </c>
      <c r="R847" s="17">
        <f t="shared" si="503"/>
        <v>0</v>
      </c>
      <c r="S847" s="17">
        <f t="shared" si="504"/>
        <v>0</v>
      </c>
      <c r="T847" s="17">
        <f t="shared" si="505"/>
        <v>0</v>
      </c>
      <c r="U847" s="17">
        <f t="shared" si="506"/>
        <v>0</v>
      </c>
      <c r="V847" s="17">
        <f t="shared" si="507"/>
        <v>0</v>
      </c>
      <c r="W847" s="17">
        <f t="shared" si="508"/>
        <v>0</v>
      </c>
      <c r="X847" s="17">
        <f t="shared" si="509"/>
        <v>0</v>
      </c>
      <c r="Y847" s="17">
        <f t="shared" si="510"/>
        <v>0</v>
      </c>
      <c r="Z847" s="17">
        <f t="shared" si="511"/>
        <v>0</v>
      </c>
      <c r="AA847" s="17">
        <f t="shared" si="512"/>
        <v>0</v>
      </c>
      <c r="AB847" s="17">
        <f t="shared" si="513"/>
        <v>0</v>
      </c>
      <c r="AC847" s="17">
        <v>0</v>
      </c>
      <c r="AD847" s="17">
        <f t="shared" si="514"/>
        <v>0</v>
      </c>
      <c r="AE847" s="17">
        <f t="shared" si="515"/>
        <v>0</v>
      </c>
      <c r="AF847" s="17">
        <f t="shared" si="516"/>
        <v>0</v>
      </c>
      <c r="AG847" s="17">
        <f t="shared" si="517"/>
        <v>0</v>
      </c>
      <c r="AH847" s="17">
        <f t="shared" si="518"/>
        <v>0</v>
      </c>
      <c r="AI847" s="17">
        <f t="shared" si="519"/>
        <v>0</v>
      </c>
      <c r="AJ847" s="17">
        <f t="shared" si="520"/>
        <v>0</v>
      </c>
      <c r="AK847" s="17">
        <f t="shared" si="521"/>
        <v>0</v>
      </c>
      <c r="AL847" s="17">
        <f t="shared" si="522"/>
        <v>0</v>
      </c>
      <c r="AM847" s="17">
        <f t="shared" si="523"/>
        <v>0</v>
      </c>
      <c r="AN847" s="17">
        <f t="shared" si="524"/>
        <v>0</v>
      </c>
      <c r="AO847" s="17">
        <f t="shared" si="525"/>
        <v>0</v>
      </c>
      <c r="AP847" s="17">
        <f t="shared" si="526"/>
        <v>0</v>
      </c>
      <c r="AQ847" s="18">
        <v>0</v>
      </c>
      <c r="AR847" s="18">
        <v>0</v>
      </c>
      <c r="AS847" s="18">
        <v>0</v>
      </c>
      <c r="AT847" s="18">
        <v>0</v>
      </c>
      <c r="AU847" s="18">
        <v>0</v>
      </c>
      <c r="AV847" s="18">
        <v>0</v>
      </c>
      <c r="AW847" s="18">
        <v>0</v>
      </c>
      <c r="AX847" s="18">
        <v>0</v>
      </c>
      <c r="AY847" s="18">
        <v>0</v>
      </c>
      <c r="AZ847" s="18">
        <v>0</v>
      </c>
      <c r="BA847" s="18">
        <v>0</v>
      </c>
      <c r="BB847" s="18">
        <v>0</v>
      </c>
      <c r="BC847" s="23">
        <v>8.9181565948742242E-2</v>
      </c>
      <c r="BD847" s="23">
        <v>0.10665277883445198</v>
      </c>
      <c r="BE847" s="23">
        <v>9.438849084854764E-2</v>
      </c>
      <c r="BF847" s="23">
        <v>7.149564986855049E-2</v>
      </c>
      <c r="BG847" s="23">
        <v>0.10368571810536763</v>
      </c>
      <c r="BH847" s="23">
        <v>8.4970330952544637E-2</v>
      </c>
      <c r="BI847" s="23">
        <v>8.4593878877262704E-2</v>
      </c>
      <c r="BJ847" s="23">
        <v>5.7447105462779965E-2</v>
      </c>
      <c r="BK847" s="23">
        <v>8.5153852345557474E-2</v>
      </c>
      <c r="BL847" s="23">
        <v>7.4158058913035174E-2</v>
      </c>
      <c r="BM847" s="23">
        <v>7.5718189192107169E-2</v>
      </c>
      <c r="BN847" s="23">
        <v>7.3955559365675619E-2</v>
      </c>
    </row>
    <row r="848" spans="1:66" x14ac:dyDescent="0.25">
      <c r="A848" s="16">
        <v>6559</v>
      </c>
      <c r="B848" s="16" t="s">
        <v>1042</v>
      </c>
      <c r="C848" s="17">
        <v>0</v>
      </c>
      <c r="D848" s="17">
        <f t="shared" si="490"/>
        <v>0</v>
      </c>
      <c r="E848" s="17">
        <f t="shared" si="491"/>
        <v>0</v>
      </c>
      <c r="F848" s="17">
        <f t="shared" si="492"/>
        <v>0</v>
      </c>
      <c r="G848" s="17">
        <f t="shared" si="493"/>
        <v>0</v>
      </c>
      <c r="H848" s="17">
        <f t="shared" si="494"/>
        <v>0</v>
      </c>
      <c r="I848" s="17">
        <f t="shared" si="495"/>
        <v>0</v>
      </c>
      <c r="J848" s="17">
        <f t="shared" si="496"/>
        <v>0</v>
      </c>
      <c r="K848" s="17">
        <f t="shared" si="497"/>
        <v>0</v>
      </c>
      <c r="L848" s="17">
        <f t="shared" si="498"/>
        <v>0</v>
      </c>
      <c r="M848" s="17">
        <f t="shared" si="499"/>
        <v>0</v>
      </c>
      <c r="N848" s="17">
        <f t="shared" si="500"/>
        <v>0</v>
      </c>
      <c r="O848" s="17">
        <f t="shared" si="501"/>
        <v>0</v>
      </c>
      <c r="P848" s="17">
        <v>0</v>
      </c>
      <c r="Q848" s="17">
        <f t="shared" si="502"/>
        <v>0</v>
      </c>
      <c r="R848" s="17">
        <f t="shared" si="503"/>
        <v>0</v>
      </c>
      <c r="S848" s="17">
        <f t="shared" si="504"/>
        <v>0</v>
      </c>
      <c r="T848" s="17">
        <f t="shared" si="505"/>
        <v>0</v>
      </c>
      <c r="U848" s="17">
        <f t="shared" si="506"/>
        <v>0</v>
      </c>
      <c r="V848" s="17">
        <f t="shared" si="507"/>
        <v>0</v>
      </c>
      <c r="W848" s="17">
        <f t="shared" si="508"/>
        <v>0</v>
      </c>
      <c r="X848" s="17">
        <f t="shared" si="509"/>
        <v>0</v>
      </c>
      <c r="Y848" s="17">
        <f t="shared" si="510"/>
        <v>0</v>
      </c>
      <c r="Z848" s="17">
        <f t="shared" si="511"/>
        <v>0</v>
      </c>
      <c r="AA848" s="17">
        <f t="shared" si="512"/>
        <v>0</v>
      </c>
      <c r="AB848" s="17">
        <f t="shared" si="513"/>
        <v>0</v>
      </c>
      <c r="AC848" s="17">
        <v>0</v>
      </c>
      <c r="AD848" s="17">
        <f t="shared" si="514"/>
        <v>0</v>
      </c>
      <c r="AE848" s="17">
        <f t="shared" si="515"/>
        <v>0</v>
      </c>
      <c r="AF848" s="17">
        <f t="shared" si="516"/>
        <v>0</v>
      </c>
      <c r="AG848" s="17">
        <f t="shared" si="517"/>
        <v>0</v>
      </c>
      <c r="AH848" s="17">
        <f t="shared" si="518"/>
        <v>0</v>
      </c>
      <c r="AI848" s="17">
        <f t="shared" si="519"/>
        <v>0</v>
      </c>
      <c r="AJ848" s="17">
        <f t="shared" si="520"/>
        <v>0</v>
      </c>
      <c r="AK848" s="17">
        <f t="shared" si="521"/>
        <v>0</v>
      </c>
      <c r="AL848" s="17">
        <f t="shared" si="522"/>
        <v>0</v>
      </c>
      <c r="AM848" s="17">
        <f t="shared" si="523"/>
        <v>0</v>
      </c>
      <c r="AN848" s="17">
        <f t="shared" si="524"/>
        <v>0</v>
      </c>
      <c r="AO848" s="17">
        <f t="shared" si="525"/>
        <v>0</v>
      </c>
      <c r="AP848" s="17">
        <f t="shared" si="526"/>
        <v>0</v>
      </c>
      <c r="AQ848" s="18">
        <v>0</v>
      </c>
      <c r="AR848" s="18">
        <v>0</v>
      </c>
      <c r="AS848" s="18">
        <v>0</v>
      </c>
      <c r="AT848" s="18">
        <v>0</v>
      </c>
      <c r="AU848" s="18">
        <v>0</v>
      </c>
      <c r="AV848" s="18">
        <v>0</v>
      </c>
      <c r="AW848" s="18">
        <v>0</v>
      </c>
      <c r="AX848" s="18">
        <v>0</v>
      </c>
      <c r="AY848" s="18">
        <v>0</v>
      </c>
      <c r="AZ848" s="18">
        <v>0</v>
      </c>
      <c r="BA848" s="18">
        <v>0</v>
      </c>
      <c r="BB848" s="18">
        <v>0</v>
      </c>
      <c r="BC848" s="23">
        <v>8.9181565948742242E-2</v>
      </c>
      <c r="BD848" s="23">
        <v>0.10665277883445198</v>
      </c>
      <c r="BE848" s="23">
        <v>9.438849084854764E-2</v>
      </c>
      <c r="BF848" s="23">
        <v>7.149564986855049E-2</v>
      </c>
      <c r="BG848" s="23">
        <v>0.10368571810536763</v>
      </c>
      <c r="BH848" s="23">
        <v>8.4970330952544637E-2</v>
      </c>
      <c r="BI848" s="23">
        <v>8.4593878877262704E-2</v>
      </c>
      <c r="BJ848" s="23">
        <v>5.7447105462779965E-2</v>
      </c>
      <c r="BK848" s="23">
        <v>8.5153852345557474E-2</v>
      </c>
      <c r="BL848" s="23">
        <v>7.4158058913035174E-2</v>
      </c>
      <c r="BM848" s="23">
        <v>7.5718189192107169E-2</v>
      </c>
      <c r="BN848" s="23">
        <v>7.3955559365675619E-2</v>
      </c>
    </row>
    <row r="849" spans="1:66" x14ac:dyDescent="0.25">
      <c r="A849" s="16">
        <v>6562</v>
      </c>
      <c r="B849" s="16" t="s">
        <v>1043</v>
      </c>
      <c r="C849" s="17">
        <v>0</v>
      </c>
      <c r="D849" s="17">
        <f t="shared" si="490"/>
        <v>0</v>
      </c>
      <c r="E849" s="17">
        <f t="shared" si="491"/>
        <v>0</v>
      </c>
      <c r="F849" s="17">
        <f t="shared" si="492"/>
        <v>0</v>
      </c>
      <c r="G849" s="17">
        <f t="shared" si="493"/>
        <v>0</v>
      </c>
      <c r="H849" s="17">
        <f t="shared" si="494"/>
        <v>0</v>
      </c>
      <c r="I849" s="17">
        <f t="shared" si="495"/>
        <v>0</v>
      </c>
      <c r="J849" s="17">
        <f t="shared" si="496"/>
        <v>0</v>
      </c>
      <c r="K849" s="17">
        <f t="shared" si="497"/>
        <v>0</v>
      </c>
      <c r="L849" s="17">
        <f t="shared" si="498"/>
        <v>0</v>
      </c>
      <c r="M849" s="17">
        <f t="shared" si="499"/>
        <v>0</v>
      </c>
      <c r="N849" s="17">
        <f t="shared" si="500"/>
        <v>0</v>
      </c>
      <c r="O849" s="17">
        <f t="shared" si="501"/>
        <v>0</v>
      </c>
      <c r="P849" s="17">
        <v>0</v>
      </c>
      <c r="Q849" s="17">
        <f t="shared" si="502"/>
        <v>0</v>
      </c>
      <c r="R849" s="17">
        <f t="shared" si="503"/>
        <v>0</v>
      </c>
      <c r="S849" s="17">
        <f t="shared" si="504"/>
        <v>0</v>
      </c>
      <c r="T849" s="17">
        <f t="shared" si="505"/>
        <v>0</v>
      </c>
      <c r="U849" s="17">
        <f t="shared" si="506"/>
        <v>0</v>
      </c>
      <c r="V849" s="17">
        <f t="shared" si="507"/>
        <v>0</v>
      </c>
      <c r="W849" s="17">
        <f t="shared" si="508"/>
        <v>0</v>
      </c>
      <c r="X849" s="17">
        <f t="shared" si="509"/>
        <v>0</v>
      </c>
      <c r="Y849" s="17">
        <f t="shared" si="510"/>
        <v>0</v>
      </c>
      <c r="Z849" s="17">
        <f t="shared" si="511"/>
        <v>0</v>
      </c>
      <c r="AA849" s="17">
        <f t="shared" si="512"/>
        <v>0</v>
      </c>
      <c r="AB849" s="17">
        <f t="shared" si="513"/>
        <v>0</v>
      </c>
      <c r="AC849" s="17">
        <v>0</v>
      </c>
      <c r="AD849" s="17">
        <f t="shared" si="514"/>
        <v>0</v>
      </c>
      <c r="AE849" s="17">
        <f t="shared" si="515"/>
        <v>0</v>
      </c>
      <c r="AF849" s="17">
        <f t="shared" si="516"/>
        <v>0</v>
      </c>
      <c r="AG849" s="17">
        <f t="shared" si="517"/>
        <v>0</v>
      </c>
      <c r="AH849" s="17">
        <f t="shared" si="518"/>
        <v>0</v>
      </c>
      <c r="AI849" s="17">
        <f t="shared" si="519"/>
        <v>0</v>
      </c>
      <c r="AJ849" s="17">
        <f t="shared" si="520"/>
        <v>0</v>
      </c>
      <c r="AK849" s="17">
        <f t="shared" si="521"/>
        <v>0</v>
      </c>
      <c r="AL849" s="17">
        <f t="shared" si="522"/>
        <v>0</v>
      </c>
      <c r="AM849" s="17">
        <f t="shared" si="523"/>
        <v>0</v>
      </c>
      <c r="AN849" s="17">
        <f t="shared" si="524"/>
        <v>0</v>
      </c>
      <c r="AO849" s="17">
        <f t="shared" si="525"/>
        <v>0</v>
      </c>
      <c r="AP849" s="17">
        <f t="shared" si="526"/>
        <v>0</v>
      </c>
      <c r="AQ849" s="18">
        <v>0</v>
      </c>
      <c r="AR849" s="18">
        <v>0</v>
      </c>
      <c r="AS849" s="18">
        <v>0</v>
      </c>
      <c r="AT849" s="18">
        <v>0</v>
      </c>
      <c r="AU849" s="18">
        <v>0</v>
      </c>
      <c r="AV849" s="18">
        <v>0</v>
      </c>
      <c r="AW849" s="18">
        <v>0</v>
      </c>
      <c r="AX849" s="18">
        <v>0</v>
      </c>
      <c r="AY849" s="18">
        <v>0</v>
      </c>
      <c r="AZ849" s="18">
        <v>0</v>
      </c>
      <c r="BA849" s="18">
        <v>0</v>
      </c>
      <c r="BB849" s="18">
        <v>0</v>
      </c>
      <c r="BC849" s="23">
        <v>8.9181565948742242E-2</v>
      </c>
      <c r="BD849" s="23">
        <v>0.10665277883445198</v>
      </c>
      <c r="BE849" s="23">
        <v>9.438849084854764E-2</v>
      </c>
      <c r="BF849" s="23">
        <v>7.149564986855049E-2</v>
      </c>
      <c r="BG849" s="23">
        <v>0.10368571810536763</v>
      </c>
      <c r="BH849" s="23">
        <v>8.4970330952544637E-2</v>
      </c>
      <c r="BI849" s="23">
        <v>8.4593878877262704E-2</v>
      </c>
      <c r="BJ849" s="23">
        <v>5.7447105462779965E-2</v>
      </c>
      <c r="BK849" s="23">
        <v>8.5153852345557474E-2</v>
      </c>
      <c r="BL849" s="23">
        <v>7.4158058913035174E-2</v>
      </c>
      <c r="BM849" s="23">
        <v>7.5718189192107169E-2</v>
      </c>
      <c r="BN849" s="23">
        <v>7.3955559365675619E-2</v>
      </c>
    </row>
    <row r="850" spans="1:66" x14ac:dyDescent="0.25">
      <c r="A850" s="16">
        <v>6563</v>
      </c>
      <c r="B850" s="16" t="s">
        <v>1044</v>
      </c>
      <c r="C850" s="17">
        <v>0</v>
      </c>
      <c r="D850" s="17">
        <f t="shared" si="490"/>
        <v>0</v>
      </c>
      <c r="E850" s="17">
        <f t="shared" si="491"/>
        <v>0</v>
      </c>
      <c r="F850" s="17">
        <f t="shared" si="492"/>
        <v>0</v>
      </c>
      <c r="G850" s="17">
        <f t="shared" si="493"/>
        <v>0</v>
      </c>
      <c r="H850" s="17">
        <f t="shared" si="494"/>
        <v>0</v>
      </c>
      <c r="I850" s="17">
        <f t="shared" si="495"/>
        <v>0</v>
      </c>
      <c r="J850" s="17">
        <f t="shared" si="496"/>
        <v>0</v>
      </c>
      <c r="K850" s="17">
        <f t="shared" si="497"/>
        <v>0</v>
      </c>
      <c r="L850" s="17">
        <f t="shared" si="498"/>
        <v>0</v>
      </c>
      <c r="M850" s="17">
        <f t="shared" si="499"/>
        <v>0</v>
      </c>
      <c r="N850" s="17">
        <f t="shared" si="500"/>
        <v>0</v>
      </c>
      <c r="O850" s="17">
        <f t="shared" si="501"/>
        <v>0</v>
      </c>
      <c r="P850" s="17">
        <v>0</v>
      </c>
      <c r="Q850" s="17">
        <f t="shared" si="502"/>
        <v>0</v>
      </c>
      <c r="R850" s="17">
        <f t="shared" si="503"/>
        <v>0</v>
      </c>
      <c r="S850" s="17">
        <f t="shared" si="504"/>
        <v>0</v>
      </c>
      <c r="T850" s="17">
        <f t="shared" si="505"/>
        <v>0</v>
      </c>
      <c r="U850" s="17">
        <f t="shared" si="506"/>
        <v>0</v>
      </c>
      <c r="V850" s="17">
        <f t="shared" si="507"/>
        <v>0</v>
      </c>
      <c r="W850" s="17">
        <f t="shared" si="508"/>
        <v>0</v>
      </c>
      <c r="X850" s="17">
        <f t="shared" si="509"/>
        <v>0</v>
      </c>
      <c r="Y850" s="17">
        <f t="shared" si="510"/>
        <v>0</v>
      </c>
      <c r="Z850" s="17">
        <f t="shared" si="511"/>
        <v>0</v>
      </c>
      <c r="AA850" s="17">
        <f t="shared" si="512"/>
        <v>0</v>
      </c>
      <c r="AB850" s="17">
        <f t="shared" si="513"/>
        <v>0</v>
      </c>
      <c r="AC850" s="17">
        <v>0</v>
      </c>
      <c r="AD850" s="17">
        <f t="shared" si="514"/>
        <v>0</v>
      </c>
      <c r="AE850" s="17">
        <f t="shared" si="515"/>
        <v>0</v>
      </c>
      <c r="AF850" s="17">
        <f t="shared" si="516"/>
        <v>0</v>
      </c>
      <c r="AG850" s="17">
        <f t="shared" si="517"/>
        <v>0</v>
      </c>
      <c r="AH850" s="17">
        <f t="shared" si="518"/>
        <v>0</v>
      </c>
      <c r="AI850" s="17">
        <f t="shared" si="519"/>
        <v>0</v>
      </c>
      <c r="AJ850" s="17">
        <f t="shared" si="520"/>
        <v>0</v>
      </c>
      <c r="AK850" s="17">
        <f t="shared" si="521"/>
        <v>0</v>
      </c>
      <c r="AL850" s="17">
        <f t="shared" si="522"/>
        <v>0</v>
      </c>
      <c r="AM850" s="17">
        <f t="shared" si="523"/>
        <v>0</v>
      </c>
      <c r="AN850" s="17">
        <f t="shared" si="524"/>
        <v>0</v>
      </c>
      <c r="AO850" s="17">
        <f t="shared" si="525"/>
        <v>0</v>
      </c>
      <c r="AP850" s="17">
        <f t="shared" si="526"/>
        <v>0</v>
      </c>
      <c r="AQ850" s="18">
        <v>2.4524930635904121</v>
      </c>
      <c r="AR850" s="18">
        <v>2.9329514179474301</v>
      </c>
      <c r="AS850" s="18">
        <v>2.5956834983350605</v>
      </c>
      <c r="AT850" s="18">
        <v>1.9661303713851388</v>
      </c>
      <c r="AU850" s="18">
        <v>2.8513572478976101</v>
      </c>
      <c r="AV850" s="18">
        <v>2.3366841011949777</v>
      </c>
      <c r="AW850" s="18">
        <v>2.3263316691247247</v>
      </c>
      <c r="AX850" s="18">
        <v>1.5797954002264492</v>
      </c>
      <c r="AY850" s="18">
        <v>2.3417309395028307</v>
      </c>
      <c r="AZ850" s="18">
        <v>2.0393466201084673</v>
      </c>
      <c r="BA850" s="18">
        <v>2.0822502027829475</v>
      </c>
      <c r="BB850" s="18">
        <v>2.0337778825560799</v>
      </c>
      <c r="BC850" s="23">
        <v>8.9181565948742242E-2</v>
      </c>
      <c r="BD850" s="23">
        <v>0.10665277883445198</v>
      </c>
      <c r="BE850" s="23">
        <v>9.438849084854764E-2</v>
      </c>
      <c r="BF850" s="23">
        <v>7.149564986855049E-2</v>
      </c>
      <c r="BG850" s="23">
        <v>0.10368571810536763</v>
      </c>
      <c r="BH850" s="23">
        <v>8.4970330952544637E-2</v>
      </c>
      <c r="BI850" s="23">
        <v>8.4593878877262704E-2</v>
      </c>
      <c r="BJ850" s="23">
        <v>5.7447105462779965E-2</v>
      </c>
      <c r="BK850" s="23">
        <v>8.5153852345557474E-2</v>
      </c>
      <c r="BL850" s="23">
        <v>7.4158058913035174E-2</v>
      </c>
      <c r="BM850" s="23">
        <v>7.5718189192107169E-2</v>
      </c>
      <c r="BN850" s="23">
        <v>7.3955559365675619E-2</v>
      </c>
    </row>
    <row r="851" spans="1:66" x14ac:dyDescent="0.25">
      <c r="A851" s="16">
        <v>6568</v>
      </c>
      <c r="B851" s="16" t="s">
        <v>1045</v>
      </c>
      <c r="C851" s="17">
        <v>0</v>
      </c>
      <c r="D851" s="17">
        <f t="shared" si="490"/>
        <v>0</v>
      </c>
      <c r="E851" s="17">
        <f t="shared" si="491"/>
        <v>0</v>
      </c>
      <c r="F851" s="17">
        <f t="shared" si="492"/>
        <v>0</v>
      </c>
      <c r="G851" s="17">
        <f t="shared" si="493"/>
        <v>0</v>
      </c>
      <c r="H851" s="17">
        <f t="shared" si="494"/>
        <v>0</v>
      </c>
      <c r="I851" s="17">
        <f t="shared" si="495"/>
        <v>0</v>
      </c>
      <c r="J851" s="17">
        <f t="shared" si="496"/>
        <v>0</v>
      </c>
      <c r="K851" s="17">
        <f t="shared" si="497"/>
        <v>0</v>
      </c>
      <c r="L851" s="17">
        <f t="shared" si="498"/>
        <v>0</v>
      </c>
      <c r="M851" s="17">
        <f t="shared" si="499"/>
        <v>0</v>
      </c>
      <c r="N851" s="17">
        <f t="shared" si="500"/>
        <v>0</v>
      </c>
      <c r="O851" s="17">
        <f t="shared" si="501"/>
        <v>0</v>
      </c>
      <c r="P851" s="17">
        <v>0</v>
      </c>
      <c r="Q851" s="17">
        <f t="shared" si="502"/>
        <v>0</v>
      </c>
      <c r="R851" s="17">
        <f t="shared" si="503"/>
        <v>0</v>
      </c>
      <c r="S851" s="17">
        <f t="shared" si="504"/>
        <v>0</v>
      </c>
      <c r="T851" s="17">
        <f t="shared" si="505"/>
        <v>0</v>
      </c>
      <c r="U851" s="17">
        <f t="shared" si="506"/>
        <v>0</v>
      </c>
      <c r="V851" s="17">
        <f t="shared" si="507"/>
        <v>0</v>
      </c>
      <c r="W851" s="17">
        <f t="shared" si="508"/>
        <v>0</v>
      </c>
      <c r="X851" s="17">
        <f t="shared" si="509"/>
        <v>0</v>
      </c>
      <c r="Y851" s="17">
        <f t="shared" si="510"/>
        <v>0</v>
      </c>
      <c r="Z851" s="17">
        <f t="shared" si="511"/>
        <v>0</v>
      </c>
      <c r="AA851" s="17">
        <f t="shared" si="512"/>
        <v>0</v>
      </c>
      <c r="AB851" s="17">
        <f t="shared" si="513"/>
        <v>0</v>
      </c>
      <c r="AC851" s="17">
        <v>0</v>
      </c>
      <c r="AD851" s="17">
        <f t="shared" si="514"/>
        <v>0</v>
      </c>
      <c r="AE851" s="17">
        <f t="shared" si="515"/>
        <v>0</v>
      </c>
      <c r="AF851" s="17">
        <f t="shared" si="516"/>
        <v>0</v>
      </c>
      <c r="AG851" s="17">
        <f t="shared" si="517"/>
        <v>0</v>
      </c>
      <c r="AH851" s="17">
        <f t="shared" si="518"/>
        <v>0</v>
      </c>
      <c r="AI851" s="17">
        <f t="shared" si="519"/>
        <v>0</v>
      </c>
      <c r="AJ851" s="17">
        <f t="shared" si="520"/>
        <v>0</v>
      </c>
      <c r="AK851" s="17">
        <f t="shared" si="521"/>
        <v>0</v>
      </c>
      <c r="AL851" s="17">
        <f t="shared" si="522"/>
        <v>0</v>
      </c>
      <c r="AM851" s="17">
        <f t="shared" si="523"/>
        <v>0</v>
      </c>
      <c r="AN851" s="17">
        <f t="shared" si="524"/>
        <v>0</v>
      </c>
      <c r="AO851" s="17">
        <f t="shared" si="525"/>
        <v>0</v>
      </c>
      <c r="AP851" s="17">
        <f t="shared" si="526"/>
        <v>0</v>
      </c>
      <c r="AQ851" s="18">
        <v>0</v>
      </c>
      <c r="AR851" s="18">
        <v>0</v>
      </c>
      <c r="AS851" s="18">
        <v>0</v>
      </c>
      <c r="AT851" s="18">
        <v>0</v>
      </c>
      <c r="AU851" s="18">
        <v>0</v>
      </c>
      <c r="AV851" s="18">
        <v>0</v>
      </c>
      <c r="AW851" s="18">
        <v>0</v>
      </c>
      <c r="AX851" s="18">
        <v>0</v>
      </c>
      <c r="AY851" s="18">
        <v>0</v>
      </c>
      <c r="AZ851" s="18">
        <v>0</v>
      </c>
      <c r="BA851" s="18">
        <v>0</v>
      </c>
      <c r="BB851" s="18">
        <v>0</v>
      </c>
      <c r="BC851" s="23">
        <v>8.9181565948742242E-2</v>
      </c>
      <c r="BD851" s="23">
        <v>0.10665277883445198</v>
      </c>
      <c r="BE851" s="23">
        <v>9.438849084854764E-2</v>
      </c>
      <c r="BF851" s="23">
        <v>7.149564986855049E-2</v>
      </c>
      <c r="BG851" s="23">
        <v>0.10368571810536763</v>
      </c>
      <c r="BH851" s="23">
        <v>8.4970330952544637E-2</v>
      </c>
      <c r="BI851" s="23">
        <v>8.4593878877262704E-2</v>
      </c>
      <c r="BJ851" s="23">
        <v>5.7447105462779965E-2</v>
      </c>
      <c r="BK851" s="23">
        <v>8.5153852345557474E-2</v>
      </c>
      <c r="BL851" s="23">
        <v>7.4158058913035174E-2</v>
      </c>
      <c r="BM851" s="23">
        <v>7.5718189192107169E-2</v>
      </c>
      <c r="BN851" s="23">
        <v>7.3955559365675619E-2</v>
      </c>
    </row>
    <row r="852" spans="1:66" x14ac:dyDescent="0.25">
      <c r="A852" s="16">
        <v>6569</v>
      </c>
      <c r="B852" s="16" t="s">
        <v>1046</v>
      </c>
      <c r="C852" s="17">
        <v>0</v>
      </c>
      <c r="D852" s="17">
        <f t="shared" si="490"/>
        <v>0</v>
      </c>
      <c r="E852" s="17">
        <f t="shared" si="491"/>
        <v>0</v>
      </c>
      <c r="F852" s="17">
        <f t="shared" si="492"/>
        <v>0</v>
      </c>
      <c r="G852" s="17">
        <f t="shared" si="493"/>
        <v>0</v>
      </c>
      <c r="H852" s="17">
        <f t="shared" si="494"/>
        <v>0</v>
      </c>
      <c r="I852" s="17">
        <f t="shared" si="495"/>
        <v>0</v>
      </c>
      <c r="J852" s="17">
        <f t="shared" si="496"/>
        <v>0</v>
      </c>
      <c r="K852" s="17">
        <f t="shared" si="497"/>
        <v>0</v>
      </c>
      <c r="L852" s="17">
        <f t="shared" si="498"/>
        <v>0</v>
      </c>
      <c r="M852" s="17">
        <f t="shared" si="499"/>
        <v>0</v>
      </c>
      <c r="N852" s="17">
        <f t="shared" si="500"/>
        <v>0</v>
      </c>
      <c r="O852" s="17">
        <f t="shared" si="501"/>
        <v>0</v>
      </c>
      <c r="P852" s="17">
        <v>0</v>
      </c>
      <c r="Q852" s="17">
        <f t="shared" si="502"/>
        <v>0</v>
      </c>
      <c r="R852" s="17">
        <f t="shared" si="503"/>
        <v>0</v>
      </c>
      <c r="S852" s="17">
        <f t="shared" si="504"/>
        <v>0</v>
      </c>
      <c r="T852" s="17">
        <f t="shared" si="505"/>
        <v>0</v>
      </c>
      <c r="U852" s="17">
        <f t="shared" si="506"/>
        <v>0</v>
      </c>
      <c r="V852" s="17">
        <f t="shared" si="507"/>
        <v>0</v>
      </c>
      <c r="W852" s="17">
        <f t="shared" si="508"/>
        <v>0</v>
      </c>
      <c r="X852" s="17">
        <f t="shared" si="509"/>
        <v>0</v>
      </c>
      <c r="Y852" s="17">
        <f t="shared" si="510"/>
        <v>0</v>
      </c>
      <c r="Z852" s="17">
        <f t="shared" si="511"/>
        <v>0</v>
      </c>
      <c r="AA852" s="17">
        <f t="shared" si="512"/>
        <v>0</v>
      </c>
      <c r="AB852" s="17">
        <f t="shared" si="513"/>
        <v>0</v>
      </c>
      <c r="AC852" s="17">
        <v>0</v>
      </c>
      <c r="AD852" s="17">
        <f t="shared" si="514"/>
        <v>0</v>
      </c>
      <c r="AE852" s="17">
        <f t="shared" si="515"/>
        <v>0</v>
      </c>
      <c r="AF852" s="17">
        <f t="shared" si="516"/>
        <v>0</v>
      </c>
      <c r="AG852" s="17">
        <f t="shared" si="517"/>
        <v>0</v>
      </c>
      <c r="AH852" s="17">
        <f t="shared" si="518"/>
        <v>0</v>
      </c>
      <c r="AI852" s="17">
        <f t="shared" si="519"/>
        <v>0</v>
      </c>
      <c r="AJ852" s="17">
        <f t="shared" si="520"/>
        <v>0</v>
      </c>
      <c r="AK852" s="17">
        <f t="shared" si="521"/>
        <v>0</v>
      </c>
      <c r="AL852" s="17">
        <f t="shared" si="522"/>
        <v>0</v>
      </c>
      <c r="AM852" s="17">
        <f t="shared" si="523"/>
        <v>0</v>
      </c>
      <c r="AN852" s="17">
        <f t="shared" si="524"/>
        <v>0</v>
      </c>
      <c r="AO852" s="17">
        <f t="shared" si="525"/>
        <v>0</v>
      </c>
      <c r="AP852" s="17">
        <f t="shared" si="526"/>
        <v>0</v>
      </c>
      <c r="AQ852" s="18">
        <v>0</v>
      </c>
      <c r="AR852" s="18">
        <v>0</v>
      </c>
      <c r="AS852" s="18">
        <v>0</v>
      </c>
      <c r="AT852" s="18">
        <v>0</v>
      </c>
      <c r="AU852" s="18">
        <v>0</v>
      </c>
      <c r="AV852" s="18">
        <v>0</v>
      </c>
      <c r="AW852" s="18">
        <v>0</v>
      </c>
      <c r="AX852" s="18">
        <v>0</v>
      </c>
      <c r="AY852" s="18">
        <v>0</v>
      </c>
      <c r="AZ852" s="18">
        <v>0</v>
      </c>
      <c r="BA852" s="18">
        <v>0</v>
      </c>
      <c r="BB852" s="18">
        <v>0</v>
      </c>
      <c r="BC852" s="23">
        <v>8.9181565948742242E-2</v>
      </c>
      <c r="BD852" s="23">
        <v>0.10665277883445198</v>
      </c>
      <c r="BE852" s="23">
        <v>9.438849084854764E-2</v>
      </c>
      <c r="BF852" s="23">
        <v>7.149564986855049E-2</v>
      </c>
      <c r="BG852" s="23">
        <v>0.10368571810536763</v>
      </c>
      <c r="BH852" s="23">
        <v>8.4970330952544637E-2</v>
      </c>
      <c r="BI852" s="23">
        <v>8.4593878877262704E-2</v>
      </c>
      <c r="BJ852" s="23">
        <v>5.7447105462779965E-2</v>
      </c>
      <c r="BK852" s="23">
        <v>8.5153852345557474E-2</v>
      </c>
      <c r="BL852" s="23">
        <v>7.4158058913035174E-2</v>
      </c>
      <c r="BM852" s="23">
        <v>7.5718189192107169E-2</v>
      </c>
      <c r="BN852" s="23">
        <v>7.3955559365675619E-2</v>
      </c>
    </row>
    <row r="853" spans="1:66" x14ac:dyDescent="0.25">
      <c r="A853" s="16">
        <v>6573</v>
      </c>
      <c r="B853" s="16" t="s">
        <v>1047</v>
      </c>
      <c r="C853" s="17">
        <v>0</v>
      </c>
      <c r="D853" s="17">
        <f t="shared" si="490"/>
        <v>0</v>
      </c>
      <c r="E853" s="17">
        <f t="shared" si="491"/>
        <v>0</v>
      </c>
      <c r="F853" s="17">
        <f t="shared" si="492"/>
        <v>0</v>
      </c>
      <c r="G853" s="17">
        <f t="shared" si="493"/>
        <v>0</v>
      </c>
      <c r="H853" s="17">
        <f t="shared" si="494"/>
        <v>0</v>
      </c>
      <c r="I853" s="17">
        <f t="shared" si="495"/>
        <v>0</v>
      </c>
      <c r="J853" s="17">
        <f t="shared" si="496"/>
        <v>0</v>
      </c>
      <c r="K853" s="17">
        <f t="shared" si="497"/>
        <v>0</v>
      </c>
      <c r="L853" s="17">
        <f t="shared" si="498"/>
        <v>0</v>
      </c>
      <c r="M853" s="17">
        <f t="shared" si="499"/>
        <v>0</v>
      </c>
      <c r="N853" s="17">
        <f t="shared" si="500"/>
        <v>0</v>
      </c>
      <c r="O853" s="17">
        <f t="shared" si="501"/>
        <v>0</v>
      </c>
      <c r="P853" s="17">
        <v>0</v>
      </c>
      <c r="Q853" s="17">
        <f t="shared" si="502"/>
        <v>0</v>
      </c>
      <c r="R853" s="17">
        <f t="shared" si="503"/>
        <v>0</v>
      </c>
      <c r="S853" s="17">
        <f t="shared" si="504"/>
        <v>0</v>
      </c>
      <c r="T853" s="17">
        <f t="shared" si="505"/>
        <v>0</v>
      </c>
      <c r="U853" s="17">
        <f t="shared" si="506"/>
        <v>0</v>
      </c>
      <c r="V853" s="17">
        <f t="shared" si="507"/>
        <v>0</v>
      </c>
      <c r="W853" s="17">
        <f t="shared" si="508"/>
        <v>0</v>
      </c>
      <c r="X853" s="17">
        <f t="shared" si="509"/>
        <v>0</v>
      </c>
      <c r="Y853" s="17">
        <f t="shared" si="510"/>
        <v>0</v>
      </c>
      <c r="Z853" s="17">
        <f t="shared" si="511"/>
        <v>0</v>
      </c>
      <c r="AA853" s="17">
        <f t="shared" si="512"/>
        <v>0</v>
      </c>
      <c r="AB853" s="17">
        <f t="shared" si="513"/>
        <v>0</v>
      </c>
      <c r="AC853" s="17">
        <v>300</v>
      </c>
      <c r="AD853" s="17">
        <f t="shared" si="514"/>
        <v>26.754469784622671</v>
      </c>
      <c r="AE853" s="17">
        <f t="shared" si="515"/>
        <v>31.995833650335594</v>
      </c>
      <c r="AF853" s="17">
        <f t="shared" si="516"/>
        <v>28.316547254564291</v>
      </c>
      <c r="AG853" s="17">
        <f t="shared" si="517"/>
        <v>21.448694960565145</v>
      </c>
      <c r="AH853" s="17">
        <f t="shared" si="518"/>
        <v>31.105715431610289</v>
      </c>
      <c r="AI853" s="17">
        <f t="shared" si="519"/>
        <v>25.49109928576339</v>
      </c>
      <c r="AJ853" s="17">
        <f t="shared" si="520"/>
        <v>25.37816366317881</v>
      </c>
      <c r="AK853" s="17">
        <f t="shared" si="521"/>
        <v>17.23413163883399</v>
      </c>
      <c r="AL853" s="17">
        <f t="shared" si="522"/>
        <v>25.546155703667242</v>
      </c>
      <c r="AM853" s="17">
        <f t="shared" si="523"/>
        <v>22.247417673910551</v>
      </c>
      <c r="AN853" s="17">
        <f t="shared" si="524"/>
        <v>22.71545675763215</v>
      </c>
      <c r="AO853" s="17">
        <f t="shared" si="525"/>
        <v>22.186667809702687</v>
      </c>
      <c r="AP853" s="17">
        <f t="shared" si="526"/>
        <v>300</v>
      </c>
      <c r="AQ853" s="18">
        <v>0</v>
      </c>
      <c r="AR853" s="18">
        <v>0</v>
      </c>
      <c r="AS853" s="18">
        <v>0</v>
      </c>
      <c r="AT853" s="18">
        <v>0</v>
      </c>
      <c r="AU853" s="18">
        <v>0</v>
      </c>
      <c r="AV853" s="18">
        <v>0</v>
      </c>
      <c r="AW853" s="18">
        <v>0</v>
      </c>
      <c r="AX853" s="18">
        <v>0</v>
      </c>
      <c r="AY853" s="18">
        <v>0</v>
      </c>
      <c r="AZ853" s="18">
        <v>0</v>
      </c>
      <c r="BA853" s="18">
        <v>0</v>
      </c>
      <c r="BB853" s="18">
        <v>0</v>
      </c>
      <c r="BC853" s="23">
        <v>8.9181565948742242E-2</v>
      </c>
      <c r="BD853" s="23">
        <v>0.10665277883445198</v>
      </c>
      <c r="BE853" s="23">
        <v>9.438849084854764E-2</v>
      </c>
      <c r="BF853" s="23">
        <v>7.149564986855049E-2</v>
      </c>
      <c r="BG853" s="23">
        <v>0.10368571810536763</v>
      </c>
      <c r="BH853" s="23">
        <v>8.4970330952544637E-2</v>
      </c>
      <c r="BI853" s="23">
        <v>8.4593878877262704E-2</v>
      </c>
      <c r="BJ853" s="23">
        <v>5.7447105462779965E-2</v>
      </c>
      <c r="BK853" s="23">
        <v>8.5153852345557474E-2</v>
      </c>
      <c r="BL853" s="23">
        <v>7.4158058913035174E-2</v>
      </c>
      <c r="BM853" s="23">
        <v>7.5718189192107169E-2</v>
      </c>
      <c r="BN853" s="23">
        <v>7.3955559365675619E-2</v>
      </c>
    </row>
    <row r="854" spans="1:66" x14ac:dyDescent="0.25">
      <c r="A854" s="16">
        <v>6576</v>
      </c>
      <c r="B854" s="16" t="s">
        <v>1048</v>
      </c>
      <c r="C854" s="17">
        <v>0</v>
      </c>
      <c r="D854" s="17">
        <f t="shared" si="490"/>
        <v>0</v>
      </c>
      <c r="E854" s="17">
        <f t="shared" si="491"/>
        <v>0</v>
      </c>
      <c r="F854" s="17">
        <f t="shared" si="492"/>
        <v>0</v>
      </c>
      <c r="G854" s="17">
        <f t="shared" si="493"/>
        <v>0</v>
      </c>
      <c r="H854" s="17">
        <f t="shared" si="494"/>
        <v>0</v>
      </c>
      <c r="I854" s="17">
        <f t="shared" si="495"/>
        <v>0</v>
      </c>
      <c r="J854" s="17">
        <f t="shared" si="496"/>
        <v>0</v>
      </c>
      <c r="K854" s="17">
        <f t="shared" si="497"/>
        <v>0</v>
      </c>
      <c r="L854" s="17">
        <f t="shared" si="498"/>
        <v>0</v>
      </c>
      <c r="M854" s="17">
        <f t="shared" si="499"/>
        <v>0</v>
      </c>
      <c r="N854" s="17">
        <f t="shared" si="500"/>
        <v>0</v>
      </c>
      <c r="O854" s="17">
        <f t="shared" si="501"/>
        <v>0</v>
      </c>
      <c r="P854" s="17">
        <v>0</v>
      </c>
      <c r="Q854" s="17">
        <f t="shared" si="502"/>
        <v>0</v>
      </c>
      <c r="R854" s="17">
        <f t="shared" si="503"/>
        <v>0</v>
      </c>
      <c r="S854" s="17">
        <f t="shared" si="504"/>
        <v>0</v>
      </c>
      <c r="T854" s="17">
        <f t="shared" si="505"/>
        <v>0</v>
      </c>
      <c r="U854" s="17">
        <f t="shared" si="506"/>
        <v>0</v>
      </c>
      <c r="V854" s="17">
        <f t="shared" si="507"/>
        <v>0</v>
      </c>
      <c r="W854" s="17">
        <f t="shared" si="508"/>
        <v>0</v>
      </c>
      <c r="X854" s="17">
        <f t="shared" si="509"/>
        <v>0</v>
      </c>
      <c r="Y854" s="17">
        <f t="shared" si="510"/>
        <v>0</v>
      </c>
      <c r="Z854" s="17">
        <f t="shared" si="511"/>
        <v>0</v>
      </c>
      <c r="AA854" s="17">
        <f t="shared" si="512"/>
        <v>0</v>
      </c>
      <c r="AB854" s="17">
        <f t="shared" si="513"/>
        <v>0</v>
      </c>
      <c r="AC854" s="17">
        <v>0</v>
      </c>
      <c r="AD854" s="17">
        <f t="shared" si="514"/>
        <v>0</v>
      </c>
      <c r="AE854" s="17">
        <f t="shared" si="515"/>
        <v>0</v>
      </c>
      <c r="AF854" s="17">
        <f t="shared" si="516"/>
        <v>0</v>
      </c>
      <c r="AG854" s="17">
        <f t="shared" si="517"/>
        <v>0</v>
      </c>
      <c r="AH854" s="17">
        <f t="shared" si="518"/>
        <v>0</v>
      </c>
      <c r="AI854" s="17">
        <f t="shared" si="519"/>
        <v>0</v>
      </c>
      <c r="AJ854" s="17">
        <f t="shared" si="520"/>
        <v>0</v>
      </c>
      <c r="AK854" s="17">
        <f t="shared" si="521"/>
        <v>0</v>
      </c>
      <c r="AL854" s="17">
        <f t="shared" si="522"/>
        <v>0</v>
      </c>
      <c r="AM854" s="17">
        <f t="shared" si="523"/>
        <v>0</v>
      </c>
      <c r="AN854" s="17">
        <f t="shared" si="524"/>
        <v>0</v>
      </c>
      <c r="AO854" s="17">
        <f t="shared" si="525"/>
        <v>0</v>
      </c>
      <c r="AP854" s="17">
        <f t="shared" si="526"/>
        <v>0</v>
      </c>
      <c r="AQ854" s="18">
        <v>0</v>
      </c>
      <c r="AR854" s="18">
        <v>0</v>
      </c>
      <c r="AS854" s="18">
        <v>0</v>
      </c>
      <c r="AT854" s="18">
        <v>0</v>
      </c>
      <c r="AU854" s="18">
        <v>0</v>
      </c>
      <c r="AV854" s="18">
        <v>0</v>
      </c>
      <c r="AW854" s="18">
        <v>0</v>
      </c>
      <c r="AX854" s="18">
        <v>0</v>
      </c>
      <c r="AY854" s="18">
        <v>0</v>
      </c>
      <c r="AZ854" s="18">
        <v>0</v>
      </c>
      <c r="BA854" s="18">
        <v>0</v>
      </c>
      <c r="BB854" s="18">
        <v>0</v>
      </c>
      <c r="BC854" s="23">
        <v>8.9181565948742242E-2</v>
      </c>
      <c r="BD854" s="23">
        <v>0.10665277883445198</v>
      </c>
      <c r="BE854" s="23">
        <v>9.438849084854764E-2</v>
      </c>
      <c r="BF854" s="23">
        <v>7.149564986855049E-2</v>
      </c>
      <c r="BG854" s="23">
        <v>0.10368571810536763</v>
      </c>
      <c r="BH854" s="23">
        <v>8.4970330952544637E-2</v>
      </c>
      <c r="BI854" s="23">
        <v>8.4593878877262704E-2</v>
      </c>
      <c r="BJ854" s="23">
        <v>5.7447105462779965E-2</v>
      </c>
      <c r="BK854" s="23">
        <v>8.5153852345557474E-2</v>
      </c>
      <c r="BL854" s="23">
        <v>7.4158058913035174E-2</v>
      </c>
      <c r="BM854" s="23">
        <v>7.5718189192107169E-2</v>
      </c>
      <c r="BN854" s="23">
        <v>7.3955559365675619E-2</v>
      </c>
    </row>
    <row r="855" spans="1:66" x14ac:dyDescent="0.25">
      <c r="A855" s="16">
        <v>6583</v>
      </c>
      <c r="B855" s="16" t="s">
        <v>1049</v>
      </c>
      <c r="C855" s="17">
        <v>0</v>
      </c>
      <c r="D855" s="17">
        <f t="shared" si="490"/>
        <v>0</v>
      </c>
      <c r="E855" s="17">
        <f t="shared" si="491"/>
        <v>0</v>
      </c>
      <c r="F855" s="17">
        <f t="shared" si="492"/>
        <v>0</v>
      </c>
      <c r="G855" s="17">
        <f t="shared" si="493"/>
        <v>0</v>
      </c>
      <c r="H855" s="17">
        <f t="shared" si="494"/>
        <v>0</v>
      </c>
      <c r="I855" s="17">
        <f t="shared" si="495"/>
        <v>0</v>
      </c>
      <c r="J855" s="17">
        <f t="shared" si="496"/>
        <v>0</v>
      </c>
      <c r="K855" s="17">
        <f t="shared" si="497"/>
        <v>0</v>
      </c>
      <c r="L855" s="17">
        <f t="shared" si="498"/>
        <v>0</v>
      </c>
      <c r="M855" s="17">
        <f t="shared" si="499"/>
        <v>0</v>
      </c>
      <c r="N855" s="17">
        <f t="shared" si="500"/>
        <v>0</v>
      </c>
      <c r="O855" s="17">
        <f t="shared" si="501"/>
        <v>0</v>
      </c>
      <c r="P855" s="17">
        <v>0</v>
      </c>
      <c r="Q855" s="17">
        <f t="shared" si="502"/>
        <v>0</v>
      </c>
      <c r="R855" s="17">
        <f t="shared" si="503"/>
        <v>0</v>
      </c>
      <c r="S855" s="17">
        <f t="shared" si="504"/>
        <v>0</v>
      </c>
      <c r="T855" s="17">
        <f t="shared" si="505"/>
        <v>0</v>
      </c>
      <c r="U855" s="17">
        <f t="shared" si="506"/>
        <v>0</v>
      </c>
      <c r="V855" s="17">
        <f t="shared" si="507"/>
        <v>0</v>
      </c>
      <c r="W855" s="17">
        <f t="shared" si="508"/>
        <v>0</v>
      </c>
      <c r="X855" s="17">
        <f t="shared" si="509"/>
        <v>0</v>
      </c>
      <c r="Y855" s="17">
        <f t="shared" si="510"/>
        <v>0</v>
      </c>
      <c r="Z855" s="17">
        <f t="shared" si="511"/>
        <v>0</v>
      </c>
      <c r="AA855" s="17">
        <f t="shared" si="512"/>
        <v>0</v>
      </c>
      <c r="AB855" s="17">
        <f t="shared" si="513"/>
        <v>0</v>
      </c>
      <c r="AC855" s="17">
        <v>0</v>
      </c>
      <c r="AD855" s="17">
        <f t="shared" si="514"/>
        <v>0</v>
      </c>
      <c r="AE855" s="17">
        <f t="shared" si="515"/>
        <v>0</v>
      </c>
      <c r="AF855" s="17">
        <f t="shared" si="516"/>
        <v>0</v>
      </c>
      <c r="AG855" s="17">
        <f t="shared" si="517"/>
        <v>0</v>
      </c>
      <c r="AH855" s="17">
        <f t="shared" si="518"/>
        <v>0</v>
      </c>
      <c r="AI855" s="17">
        <f t="shared" si="519"/>
        <v>0</v>
      </c>
      <c r="AJ855" s="17">
        <f t="shared" si="520"/>
        <v>0</v>
      </c>
      <c r="AK855" s="17">
        <f t="shared" si="521"/>
        <v>0</v>
      </c>
      <c r="AL855" s="17">
        <f t="shared" si="522"/>
        <v>0</v>
      </c>
      <c r="AM855" s="17">
        <f t="shared" si="523"/>
        <v>0</v>
      </c>
      <c r="AN855" s="17">
        <f t="shared" si="524"/>
        <v>0</v>
      </c>
      <c r="AO855" s="17">
        <f t="shared" si="525"/>
        <v>0</v>
      </c>
      <c r="AP855" s="17">
        <f t="shared" si="526"/>
        <v>0</v>
      </c>
      <c r="AQ855" s="18">
        <v>0</v>
      </c>
      <c r="AR855" s="18">
        <v>0</v>
      </c>
      <c r="AS855" s="18">
        <v>0</v>
      </c>
      <c r="AT855" s="18">
        <v>0</v>
      </c>
      <c r="AU855" s="18">
        <v>0</v>
      </c>
      <c r="AV855" s="18">
        <v>0</v>
      </c>
      <c r="AW855" s="18">
        <v>0</v>
      </c>
      <c r="AX855" s="18">
        <v>0</v>
      </c>
      <c r="AY855" s="18">
        <v>0</v>
      </c>
      <c r="AZ855" s="18">
        <v>0</v>
      </c>
      <c r="BA855" s="18">
        <v>0</v>
      </c>
      <c r="BB855" s="18">
        <v>0</v>
      </c>
      <c r="BC855" s="23">
        <v>8.9181565948742242E-2</v>
      </c>
      <c r="BD855" s="23">
        <v>0.10665277883445198</v>
      </c>
      <c r="BE855" s="23">
        <v>9.438849084854764E-2</v>
      </c>
      <c r="BF855" s="23">
        <v>7.149564986855049E-2</v>
      </c>
      <c r="BG855" s="23">
        <v>0.10368571810536763</v>
      </c>
      <c r="BH855" s="23">
        <v>8.4970330952544637E-2</v>
      </c>
      <c r="BI855" s="23">
        <v>8.4593878877262704E-2</v>
      </c>
      <c r="BJ855" s="23">
        <v>5.7447105462779965E-2</v>
      </c>
      <c r="BK855" s="23">
        <v>8.5153852345557474E-2</v>
      </c>
      <c r="BL855" s="23">
        <v>7.4158058913035174E-2</v>
      </c>
      <c r="BM855" s="23">
        <v>7.5718189192107169E-2</v>
      </c>
      <c r="BN855" s="23">
        <v>7.3955559365675619E-2</v>
      </c>
    </row>
    <row r="856" spans="1:66" x14ac:dyDescent="0.25">
      <c r="A856" s="16">
        <v>6584</v>
      </c>
      <c r="B856" s="16" t="s">
        <v>1050</v>
      </c>
      <c r="C856" s="17">
        <v>0</v>
      </c>
      <c r="D856" s="17">
        <f t="shared" si="490"/>
        <v>0</v>
      </c>
      <c r="E856" s="17">
        <f t="shared" si="491"/>
        <v>0</v>
      </c>
      <c r="F856" s="17">
        <f t="shared" si="492"/>
        <v>0</v>
      </c>
      <c r="G856" s="17">
        <f t="shared" si="493"/>
        <v>0</v>
      </c>
      <c r="H856" s="17">
        <f t="shared" si="494"/>
        <v>0</v>
      </c>
      <c r="I856" s="17">
        <f t="shared" si="495"/>
        <v>0</v>
      </c>
      <c r="J856" s="17">
        <f t="shared" si="496"/>
        <v>0</v>
      </c>
      <c r="K856" s="17">
        <f t="shared" si="497"/>
        <v>0</v>
      </c>
      <c r="L856" s="17">
        <f t="shared" si="498"/>
        <v>0</v>
      </c>
      <c r="M856" s="17">
        <f t="shared" si="499"/>
        <v>0</v>
      </c>
      <c r="N856" s="17">
        <f t="shared" si="500"/>
        <v>0</v>
      </c>
      <c r="O856" s="17">
        <f t="shared" si="501"/>
        <v>0</v>
      </c>
      <c r="P856" s="17">
        <v>0</v>
      </c>
      <c r="Q856" s="17">
        <f t="shared" si="502"/>
        <v>0</v>
      </c>
      <c r="R856" s="17">
        <f t="shared" si="503"/>
        <v>0</v>
      </c>
      <c r="S856" s="17">
        <f t="shared" si="504"/>
        <v>0</v>
      </c>
      <c r="T856" s="17">
        <f t="shared" si="505"/>
        <v>0</v>
      </c>
      <c r="U856" s="17">
        <f t="shared" si="506"/>
        <v>0</v>
      </c>
      <c r="V856" s="17">
        <f t="shared" si="507"/>
        <v>0</v>
      </c>
      <c r="W856" s="17">
        <f t="shared" si="508"/>
        <v>0</v>
      </c>
      <c r="X856" s="17">
        <f t="shared" si="509"/>
        <v>0</v>
      </c>
      <c r="Y856" s="17">
        <f t="shared" si="510"/>
        <v>0</v>
      </c>
      <c r="Z856" s="17">
        <f t="shared" si="511"/>
        <v>0</v>
      </c>
      <c r="AA856" s="17">
        <f t="shared" si="512"/>
        <v>0</v>
      </c>
      <c r="AB856" s="17">
        <f t="shared" si="513"/>
        <v>0</v>
      </c>
      <c r="AC856" s="17">
        <v>0</v>
      </c>
      <c r="AD856" s="17">
        <f t="shared" si="514"/>
        <v>0</v>
      </c>
      <c r="AE856" s="17">
        <f t="shared" si="515"/>
        <v>0</v>
      </c>
      <c r="AF856" s="17">
        <f t="shared" si="516"/>
        <v>0</v>
      </c>
      <c r="AG856" s="17">
        <f t="shared" si="517"/>
        <v>0</v>
      </c>
      <c r="AH856" s="17">
        <f t="shared" si="518"/>
        <v>0</v>
      </c>
      <c r="AI856" s="17">
        <f t="shared" si="519"/>
        <v>0</v>
      </c>
      <c r="AJ856" s="17">
        <f t="shared" si="520"/>
        <v>0</v>
      </c>
      <c r="AK856" s="17">
        <f t="shared" si="521"/>
        <v>0</v>
      </c>
      <c r="AL856" s="17">
        <f t="shared" si="522"/>
        <v>0</v>
      </c>
      <c r="AM856" s="17">
        <f t="shared" si="523"/>
        <v>0</v>
      </c>
      <c r="AN856" s="17">
        <f t="shared" si="524"/>
        <v>0</v>
      </c>
      <c r="AO856" s="17">
        <f t="shared" si="525"/>
        <v>0</v>
      </c>
      <c r="AP856" s="17">
        <f t="shared" si="526"/>
        <v>0</v>
      </c>
      <c r="AQ856" s="18">
        <v>9.4666232254589886</v>
      </c>
      <c r="AR856" s="18">
        <v>11.321192473277078</v>
      </c>
      <c r="AS856" s="18">
        <v>10.019338303573333</v>
      </c>
      <c r="AT856" s="18">
        <v>7.5892632335466352</v>
      </c>
      <c r="AU856" s="18">
        <v>11.006238976884774</v>
      </c>
      <c r="AV856" s="18">
        <v>9.0196006306126133</v>
      </c>
      <c r="AW856" s="18">
        <v>8.9796402428214357</v>
      </c>
      <c r="AX856" s="18">
        <v>6.0980102448740938</v>
      </c>
      <c r="AY856" s="18">
        <v>9.0390814264809265</v>
      </c>
      <c r="AZ856" s="18">
        <v>7.871877953618684</v>
      </c>
      <c r="BA856" s="18">
        <v>8.0374857827421771</v>
      </c>
      <c r="BB856" s="18">
        <v>7.8503826266664678</v>
      </c>
      <c r="BC856" s="23">
        <v>8.9181565948742242E-2</v>
      </c>
      <c r="BD856" s="23">
        <v>0.10665277883445198</v>
      </c>
      <c r="BE856" s="23">
        <v>9.438849084854764E-2</v>
      </c>
      <c r="BF856" s="23">
        <v>7.149564986855049E-2</v>
      </c>
      <c r="BG856" s="23">
        <v>0.10368571810536763</v>
      </c>
      <c r="BH856" s="23">
        <v>8.4970330952544637E-2</v>
      </c>
      <c r="BI856" s="23">
        <v>8.4593878877262704E-2</v>
      </c>
      <c r="BJ856" s="23">
        <v>5.7447105462779965E-2</v>
      </c>
      <c r="BK856" s="23">
        <v>8.5153852345557474E-2</v>
      </c>
      <c r="BL856" s="23">
        <v>7.4158058913035174E-2</v>
      </c>
      <c r="BM856" s="23">
        <v>7.5718189192107169E-2</v>
      </c>
      <c r="BN856" s="23">
        <v>7.3955559365675619E-2</v>
      </c>
    </row>
    <row r="857" spans="1:66" x14ac:dyDescent="0.25">
      <c r="A857" s="16">
        <v>6585</v>
      </c>
      <c r="B857" s="16" t="s">
        <v>1051</v>
      </c>
      <c r="C857" s="17">
        <v>0</v>
      </c>
      <c r="D857" s="17">
        <f t="shared" si="490"/>
        <v>0</v>
      </c>
      <c r="E857" s="17">
        <f t="shared" si="491"/>
        <v>0</v>
      </c>
      <c r="F857" s="17">
        <f t="shared" si="492"/>
        <v>0</v>
      </c>
      <c r="G857" s="17">
        <f t="shared" si="493"/>
        <v>0</v>
      </c>
      <c r="H857" s="17">
        <f t="shared" si="494"/>
        <v>0</v>
      </c>
      <c r="I857" s="17">
        <f t="shared" si="495"/>
        <v>0</v>
      </c>
      <c r="J857" s="17">
        <f t="shared" si="496"/>
        <v>0</v>
      </c>
      <c r="K857" s="17">
        <f t="shared" si="497"/>
        <v>0</v>
      </c>
      <c r="L857" s="17">
        <f t="shared" si="498"/>
        <v>0</v>
      </c>
      <c r="M857" s="17">
        <f t="shared" si="499"/>
        <v>0</v>
      </c>
      <c r="N857" s="17">
        <f t="shared" si="500"/>
        <v>0</v>
      </c>
      <c r="O857" s="17">
        <f t="shared" si="501"/>
        <v>0</v>
      </c>
      <c r="P857" s="17">
        <v>0</v>
      </c>
      <c r="Q857" s="17">
        <f t="shared" si="502"/>
        <v>0</v>
      </c>
      <c r="R857" s="17">
        <f t="shared" si="503"/>
        <v>0</v>
      </c>
      <c r="S857" s="17">
        <f t="shared" si="504"/>
        <v>0</v>
      </c>
      <c r="T857" s="17">
        <f t="shared" si="505"/>
        <v>0</v>
      </c>
      <c r="U857" s="17">
        <f t="shared" si="506"/>
        <v>0</v>
      </c>
      <c r="V857" s="17">
        <f t="shared" si="507"/>
        <v>0</v>
      </c>
      <c r="W857" s="17">
        <f t="shared" si="508"/>
        <v>0</v>
      </c>
      <c r="X857" s="17">
        <f t="shared" si="509"/>
        <v>0</v>
      </c>
      <c r="Y857" s="17">
        <f t="shared" si="510"/>
        <v>0</v>
      </c>
      <c r="Z857" s="17">
        <f t="shared" si="511"/>
        <v>0</v>
      </c>
      <c r="AA857" s="17">
        <f t="shared" si="512"/>
        <v>0</v>
      </c>
      <c r="AB857" s="17">
        <f t="shared" si="513"/>
        <v>0</v>
      </c>
      <c r="AC857" s="17">
        <v>0</v>
      </c>
      <c r="AD857" s="17">
        <f t="shared" si="514"/>
        <v>0</v>
      </c>
      <c r="AE857" s="17">
        <f t="shared" si="515"/>
        <v>0</v>
      </c>
      <c r="AF857" s="17">
        <f t="shared" si="516"/>
        <v>0</v>
      </c>
      <c r="AG857" s="17">
        <f t="shared" si="517"/>
        <v>0</v>
      </c>
      <c r="AH857" s="17">
        <f t="shared" si="518"/>
        <v>0</v>
      </c>
      <c r="AI857" s="17">
        <f t="shared" si="519"/>
        <v>0</v>
      </c>
      <c r="AJ857" s="17">
        <f t="shared" si="520"/>
        <v>0</v>
      </c>
      <c r="AK857" s="17">
        <f t="shared" si="521"/>
        <v>0</v>
      </c>
      <c r="AL857" s="17">
        <f t="shared" si="522"/>
        <v>0</v>
      </c>
      <c r="AM857" s="17">
        <f t="shared" si="523"/>
        <v>0</v>
      </c>
      <c r="AN857" s="17">
        <f t="shared" si="524"/>
        <v>0</v>
      </c>
      <c r="AO857" s="17">
        <f t="shared" si="525"/>
        <v>0</v>
      </c>
      <c r="AP857" s="17">
        <f t="shared" si="526"/>
        <v>0</v>
      </c>
      <c r="AQ857" s="18">
        <v>3.4874451364255652</v>
      </c>
      <c r="AR857" s="18">
        <v>4.1706569163212448</v>
      </c>
      <c r="AS857" s="18">
        <v>3.6910619346324554</v>
      </c>
      <c r="AT857" s="18">
        <v>2.7958373881096668</v>
      </c>
      <c r="AU857" s="18">
        <v>4.0546300065104006</v>
      </c>
      <c r="AV857" s="18">
        <v>3.3227647918992576</v>
      </c>
      <c r="AW857" s="18">
        <v>3.3080436334953576</v>
      </c>
      <c r="AX857" s="18">
        <v>2.2464690591220102</v>
      </c>
      <c r="AY857" s="18">
        <v>3.3299413959730249</v>
      </c>
      <c r="AZ857" s="18">
        <v>2.8999508937942404</v>
      </c>
      <c r="BA857" s="18">
        <v>2.9609597883573504</v>
      </c>
      <c r="BB857" s="18">
        <v>2.8920321489947449</v>
      </c>
      <c r="BC857" s="23">
        <v>8.9181565948742242E-2</v>
      </c>
      <c r="BD857" s="23">
        <v>0.10665277883445198</v>
      </c>
      <c r="BE857" s="23">
        <v>9.438849084854764E-2</v>
      </c>
      <c r="BF857" s="23">
        <v>7.149564986855049E-2</v>
      </c>
      <c r="BG857" s="23">
        <v>0.10368571810536763</v>
      </c>
      <c r="BH857" s="23">
        <v>8.4970330952544637E-2</v>
      </c>
      <c r="BI857" s="23">
        <v>8.4593878877262704E-2</v>
      </c>
      <c r="BJ857" s="23">
        <v>5.7447105462779965E-2</v>
      </c>
      <c r="BK857" s="23">
        <v>8.5153852345557474E-2</v>
      </c>
      <c r="BL857" s="23">
        <v>7.4158058913035174E-2</v>
      </c>
      <c r="BM857" s="23">
        <v>7.5718189192107169E-2</v>
      </c>
      <c r="BN857" s="23">
        <v>7.3955559365675619E-2</v>
      </c>
    </row>
    <row r="858" spans="1:66" x14ac:dyDescent="0.25">
      <c r="A858" s="16">
        <v>6590</v>
      </c>
      <c r="B858" s="16" t="s">
        <v>1052</v>
      </c>
      <c r="C858" s="17">
        <v>0</v>
      </c>
      <c r="D858" s="17">
        <f t="shared" si="490"/>
        <v>0</v>
      </c>
      <c r="E858" s="17">
        <f t="shared" si="491"/>
        <v>0</v>
      </c>
      <c r="F858" s="17">
        <f t="shared" si="492"/>
        <v>0</v>
      </c>
      <c r="G858" s="17">
        <f t="shared" si="493"/>
        <v>0</v>
      </c>
      <c r="H858" s="17">
        <f t="shared" si="494"/>
        <v>0</v>
      </c>
      <c r="I858" s="17">
        <f t="shared" si="495"/>
        <v>0</v>
      </c>
      <c r="J858" s="17">
        <f t="shared" si="496"/>
        <v>0</v>
      </c>
      <c r="K858" s="17">
        <f t="shared" si="497"/>
        <v>0</v>
      </c>
      <c r="L858" s="17">
        <f t="shared" si="498"/>
        <v>0</v>
      </c>
      <c r="M858" s="17">
        <f t="shared" si="499"/>
        <v>0</v>
      </c>
      <c r="N858" s="17">
        <f t="shared" si="500"/>
        <v>0</v>
      </c>
      <c r="O858" s="17">
        <f t="shared" si="501"/>
        <v>0</v>
      </c>
      <c r="P858" s="17">
        <v>4000</v>
      </c>
      <c r="Q858" s="17">
        <f t="shared" si="502"/>
        <v>356.72626379496899</v>
      </c>
      <c r="R858" s="17">
        <f t="shared" si="503"/>
        <v>426.61111533780792</v>
      </c>
      <c r="S858" s="17">
        <f t="shared" si="504"/>
        <v>377.55396339419059</v>
      </c>
      <c r="T858" s="17">
        <f t="shared" si="505"/>
        <v>285.98259947420195</v>
      </c>
      <c r="U858" s="17">
        <f t="shared" si="506"/>
        <v>414.74287242147051</v>
      </c>
      <c r="V858" s="17">
        <f t="shared" si="507"/>
        <v>339.88132381017857</v>
      </c>
      <c r="W858" s="17">
        <f t="shared" si="508"/>
        <v>338.37551550905084</v>
      </c>
      <c r="X858" s="17">
        <f t="shared" si="509"/>
        <v>229.78842185111986</v>
      </c>
      <c r="Y858" s="17">
        <f t="shared" si="510"/>
        <v>340.61540938222987</v>
      </c>
      <c r="Z858" s="17">
        <f t="shared" si="511"/>
        <v>296.63223565214071</v>
      </c>
      <c r="AA858" s="17">
        <f t="shared" si="512"/>
        <v>302.8727567684287</v>
      </c>
      <c r="AB858" s="17">
        <f t="shared" si="513"/>
        <v>295.8222374627025</v>
      </c>
      <c r="AC858" s="17">
        <v>0</v>
      </c>
      <c r="AD858" s="17">
        <f t="shared" si="514"/>
        <v>0</v>
      </c>
      <c r="AE858" s="17">
        <f t="shared" si="515"/>
        <v>0</v>
      </c>
      <c r="AF858" s="17">
        <f t="shared" si="516"/>
        <v>0</v>
      </c>
      <c r="AG858" s="17">
        <f t="shared" si="517"/>
        <v>0</v>
      </c>
      <c r="AH858" s="17">
        <f t="shared" si="518"/>
        <v>0</v>
      </c>
      <c r="AI858" s="17">
        <f t="shared" si="519"/>
        <v>0</v>
      </c>
      <c r="AJ858" s="17">
        <f t="shared" si="520"/>
        <v>0</v>
      </c>
      <c r="AK858" s="17">
        <f t="shared" si="521"/>
        <v>0</v>
      </c>
      <c r="AL858" s="17">
        <f t="shared" si="522"/>
        <v>0</v>
      </c>
      <c r="AM858" s="17">
        <f t="shared" si="523"/>
        <v>0</v>
      </c>
      <c r="AN858" s="17">
        <f t="shared" si="524"/>
        <v>0</v>
      </c>
      <c r="AO858" s="17">
        <f t="shared" si="525"/>
        <v>0</v>
      </c>
      <c r="AP858" s="17">
        <f t="shared" si="526"/>
        <v>4000</v>
      </c>
      <c r="AQ858" s="18">
        <v>0</v>
      </c>
      <c r="AR858" s="18">
        <v>0</v>
      </c>
      <c r="AS858" s="18">
        <v>0</v>
      </c>
      <c r="AT858" s="18">
        <v>0</v>
      </c>
      <c r="AU858" s="18">
        <v>0</v>
      </c>
      <c r="AV858" s="18">
        <v>0</v>
      </c>
      <c r="AW858" s="18">
        <v>0</v>
      </c>
      <c r="AX858" s="18">
        <v>0</v>
      </c>
      <c r="AY858" s="18">
        <v>0</v>
      </c>
      <c r="AZ858" s="18">
        <v>0</v>
      </c>
      <c r="BA858" s="18">
        <v>0</v>
      </c>
      <c r="BB858" s="18">
        <v>0</v>
      </c>
      <c r="BC858" s="23">
        <v>8.9181565948742242E-2</v>
      </c>
      <c r="BD858" s="23">
        <v>0.10665277883445198</v>
      </c>
      <c r="BE858" s="23">
        <v>9.438849084854764E-2</v>
      </c>
      <c r="BF858" s="23">
        <v>7.149564986855049E-2</v>
      </c>
      <c r="BG858" s="23">
        <v>0.10368571810536763</v>
      </c>
      <c r="BH858" s="23">
        <v>8.4970330952544637E-2</v>
      </c>
      <c r="BI858" s="23">
        <v>8.4593878877262704E-2</v>
      </c>
      <c r="BJ858" s="23">
        <v>5.7447105462779965E-2</v>
      </c>
      <c r="BK858" s="23">
        <v>8.5153852345557474E-2</v>
      </c>
      <c r="BL858" s="23">
        <v>7.4158058913035174E-2</v>
      </c>
      <c r="BM858" s="23">
        <v>7.5718189192107169E-2</v>
      </c>
      <c r="BN858" s="23">
        <v>7.3955559365675619E-2</v>
      </c>
    </row>
    <row r="859" spans="1:66" x14ac:dyDescent="0.25">
      <c r="A859" s="16">
        <v>6591</v>
      </c>
      <c r="B859" s="16" t="s">
        <v>1053</v>
      </c>
      <c r="C859" s="17">
        <v>0</v>
      </c>
      <c r="D859" s="17">
        <f t="shared" si="490"/>
        <v>0</v>
      </c>
      <c r="E859" s="17">
        <f t="shared" si="491"/>
        <v>0</v>
      </c>
      <c r="F859" s="17">
        <f t="shared" si="492"/>
        <v>0</v>
      </c>
      <c r="G859" s="17">
        <f t="shared" si="493"/>
        <v>0</v>
      </c>
      <c r="H859" s="17">
        <f t="shared" si="494"/>
        <v>0</v>
      </c>
      <c r="I859" s="17">
        <f t="shared" si="495"/>
        <v>0</v>
      </c>
      <c r="J859" s="17">
        <f t="shared" si="496"/>
        <v>0</v>
      </c>
      <c r="K859" s="17">
        <f t="shared" si="497"/>
        <v>0</v>
      </c>
      <c r="L859" s="17">
        <f t="shared" si="498"/>
        <v>0</v>
      </c>
      <c r="M859" s="17">
        <f t="shared" si="499"/>
        <v>0</v>
      </c>
      <c r="N859" s="17">
        <f t="shared" si="500"/>
        <v>0</v>
      </c>
      <c r="O859" s="17">
        <f t="shared" si="501"/>
        <v>0</v>
      </c>
      <c r="P859" s="17">
        <v>0</v>
      </c>
      <c r="Q859" s="17">
        <f t="shared" si="502"/>
        <v>0</v>
      </c>
      <c r="R859" s="17">
        <f t="shared" si="503"/>
        <v>0</v>
      </c>
      <c r="S859" s="17">
        <f t="shared" si="504"/>
        <v>0</v>
      </c>
      <c r="T859" s="17">
        <f t="shared" si="505"/>
        <v>0</v>
      </c>
      <c r="U859" s="17">
        <f t="shared" si="506"/>
        <v>0</v>
      </c>
      <c r="V859" s="17">
        <f t="shared" si="507"/>
        <v>0</v>
      </c>
      <c r="W859" s="17">
        <f t="shared" si="508"/>
        <v>0</v>
      </c>
      <c r="X859" s="17">
        <f t="shared" si="509"/>
        <v>0</v>
      </c>
      <c r="Y859" s="17">
        <f t="shared" si="510"/>
        <v>0</v>
      </c>
      <c r="Z859" s="17">
        <f t="shared" si="511"/>
        <v>0</v>
      </c>
      <c r="AA859" s="17">
        <f t="shared" si="512"/>
        <v>0</v>
      </c>
      <c r="AB859" s="17">
        <f t="shared" si="513"/>
        <v>0</v>
      </c>
      <c r="AC859" s="17">
        <v>0</v>
      </c>
      <c r="AD859" s="17">
        <f t="shared" si="514"/>
        <v>0</v>
      </c>
      <c r="AE859" s="17">
        <f t="shared" si="515"/>
        <v>0</v>
      </c>
      <c r="AF859" s="17">
        <f t="shared" si="516"/>
        <v>0</v>
      </c>
      <c r="AG859" s="17">
        <f t="shared" si="517"/>
        <v>0</v>
      </c>
      <c r="AH859" s="17">
        <f t="shared" si="518"/>
        <v>0</v>
      </c>
      <c r="AI859" s="17">
        <f t="shared" si="519"/>
        <v>0</v>
      </c>
      <c r="AJ859" s="17">
        <f t="shared" si="520"/>
        <v>0</v>
      </c>
      <c r="AK859" s="17">
        <f t="shared" si="521"/>
        <v>0</v>
      </c>
      <c r="AL859" s="17">
        <f t="shared" si="522"/>
        <v>0</v>
      </c>
      <c r="AM859" s="17">
        <f t="shared" si="523"/>
        <v>0</v>
      </c>
      <c r="AN859" s="17">
        <f t="shared" si="524"/>
        <v>0</v>
      </c>
      <c r="AO859" s="17">
        <f t="shared" si="525"/>
        <v>0</v>
      </c>
      <c r="AP859" s="17">
        <f t="shared" si="526"/>
        <v>0</v>
      </c>
      <c r="AQ859" s="18">
        <v>5.2954230229044175</v>
      </c>
      <c r="AR859" s="18">
        <v>6.3328287016320903</v>
      </c>
      <c r="AS859" s="18">
        <v>5.6045998096050624</v>
      </c>
      <c r="AT859" s="18">
        <v>4.2452686978947911</v>
      </c>
      <c r="AU859" s="18">
        <v>6.1566505696605196</v>
      </c>
      <c r="AV859" s="18">
        <v>5.0453683113001961</v>
      </c>
      <c r="AW859" s="18">
        <v>5.0230153399741058</v>
      </c>
      <c r="AX859" s="18">
        <v>3.4110942281689494</v>
      </c>
      <c r="AY859" s="18">
        <v>5.0562654445745121</v>
      </c>
      <c r="AZ859" s="18">
        <v>4.4033572221382027</v>
      </c>
      <c r="BA859" s="18">
        <v>4.4959946378489404</v>
      </c>
      <c r="BB859" s="18">
        <v>4.3913332040150879</v>
      </c>
      <c r="BC859" s="23">
        <v>8.9181565948742242E-2</v>
      </c>
      <c r="BD859" s="23">
        <v>0.10665277883445198</v>
      </c>
      <c r="BE859" s="23">
        <v>9.438849084854764E-2</v>
      </c>
      <c r="BF859" s="23">
        <v>7.149564986855049E-2</v>
      </c>
      <c r="BG859" s="23">
        <v>0.10368571810536763</v>
      </c>
      <c r="BH859" s="23">
        <v>8.4970330952544637E-2</v>
      </c>
      <c r="BI859" s="23">
        <v>8.4593878877262704E-2</v>
      </c>
      <c r="BJ859" s="23">
        <v>5.7447105462779965E-2</v>
      </c>
      <c r="BK859" s="23">
        <v>8.5153852345557474E-2</v>
      </c>
      <c r="BL859" s="23">
        <v>7.4158058913035174E-2</v>
      </c>
      <c r="BM859" s="23">
        <v>7.5718189192107169E-2</v>
      </c>
      <c r="BN859" s="23">
        <v>7.3955559365675619E-2</v>
      </c>
    </row>
    <row r="860" spans="1:66" x14ac:dyDescent="0.25">
      <c r="A860" s="16">
        <v>6596</v>
      </c>
      <c r="B860" s="16" t="s">
        <v>1054</v>
      </c>
      <c r="C860" s="17">
        <v>0</v>
      </c>
      <c r="D860" s="17">
        <f t="shared" si="490"/>
        <v>0</v>
      </c>
      <c r="E860" s="17">
        <f t="shared" si="491"/>
        <v>0</v>
      </c>
      <c r="F860" s="17">
        <f t="shared" si="492"/>
        <v>0</v>
      </c>
      <c r="G860" s="17">
        <f t="shared" si="493"/>
        <v>0</v>
      </c>
      <c r="H860" s="17">
        <f t="shared" si="494"/>
        <v>0</v>
      </c>
      <c r="I860" s="17">
        <f t="shared" si="495"/>
        <v>0</v>
      </c>
      <c r="J860" s="17">
        <f t="shared" si="496"/>
        <v>0</v>
      </c>
      <c r="K860" s="17">
        <f t="shared" si="497"/>
        <v>0</v>
      </c>
      <c r="L860" s="17">
        <f t="shared" si="498"/>
        <v>0</v>
      </c>
      <c r="M860" s="17">
        <f t="shared" si="499"/>
        <v>0</v>
      </c>
      <c r="N860" s="17">
        <f t="shared" si="500"/>
        <v>0</v>
      </c>
      <c r="O860" s="17">
        <f t="shared" si="501"/>
        <v>0</v>
      </c>
      <c r="P860" s="17">
        <v>0</v>
      </c>
      <c r="Q860" s="17">
        <f t="shared" si="502"/>
        <v>0</v>
      </c>
      <c r="R860" s="17">
        <f t="shared" si="503"/>
        <v>0</v>
      </c>
      <c r="S860" s="17">
        <f t="shared" si="504"/>
        <v>0</v>
      </c>
      <c r="T860" s="17">
        <f t="shared" si="505"/>
        <v>0</v>
      </c>
      <c r="U860" s="17">
        <f t="shared" si="506"/>
        <v>0</v>
      </c>
      <c r="V860" s="17">
        <f t="shared" si="507"/>
        <v>0</v>
      </c>
      <c r="W860" s="17">
        <f t="shared" si="508"/>
        <v>0</v>
      </c>
      <c r="X860" s="17">
        <f t="shared" si="509"/>
        <v>0</v>
      </c>
      <c r="Y860" s="17">
        <f t="shared" si="510"/>
        <v>0</v>
      </c>
      <c r="Z860" s="17">
        <f t="shared" si="511"/>
        <v>0</v>
      </c>
      <c r="AA860" s="17">
        <f t="shared" si="512"/>
        <v>0</v>
      </c>
      <c r="AB860" s="17">
        <f t="shared" si="513"/>
        <v>0</v>
      </c>
      <c r="AC860" s="17">
        <v>0</v>
      </c>
      <c r="AD860" s="17">
        <f t="shared" si="514"/>
        <v>0</v>
      </c>
      <c r="AE860" s="17">
        <f t="shared" si="515"/>
        <v>0</v>
      </c>
      <c r="AF860" s="17">
        <f t="shared" si="516"/>
        <v>0</v>
      </c>
      <c r="AG860" s="17">
        <f t="shared" si="517"/>
        <v>0</v>
      </c>
      <c r="AH860" s="17">
        <f t="shared" si="518"/>
        <v>0</v>
      </c>
      <c r="AI860" s="17">
        <f t="shared" si="519"/>
        <v>0</v>
      </c>
      <c r="AJ860" s="17">
        <f t="shared" si="520"/>
        <v>0</v>
      </c>
      <c r="AK860" s="17">
        <f t="shared" si="521"/>
        <v>0</v>
      </c>
      <c r="AL860" s="17">
        <f t="shared" si="522"/>
        <v>0</v>
      </c>
      <c r="AM860" s="17">
        <f t="shared" si="523"/>
        <v>0</v>
      </c>
      <c r="AN860" s="17">
        <f t="shared" si="524"/>
        <v>0</v>
      </c>
      <c r="AO860" s="17">
        <f t="shared" si="525"/>
        <v>0</v>
      </c>
      <c r="AP860" s="17">
        <f t="shared" si="526"/>
        <v>0</v>
      </c>
      <c r="AQ860" s="18">
        <v>0</v>
      </c>
      <c r="AR860" s="18">
        <v>0</v>
      </c>
      <c r="AS860" s="18">
        <v>0</v>
      </c>
      <c r="AT860" s="18">
        <v>0</v>
      </c>
      <c r="AU860" s="18">
        <v>0</v>
      </c>
      <c r="AV860" s="18">
        <v>0</v>
      </c>
      <c r="AW860" s="18">
        <v>0</v>
      </c>
      <c r="AX860" s="18">
        <v>0</v>
      </c>
      <c r="AY860" s="18">
        <v>0</v>
      </c>
      <c r="AZ860" s="18">
        <v>0</v>
      </c>
      <c r="BA860" s="18">
        <v>0</v>
      </c>
      <c r="BB860" s="18">
        <v>0</v>
      </c>
      <c r="BC860" s="23">
        <v>8.9181565948742242E-2</v>
      </c>
      <c r="BD860" s="23">
        <v>0.10665277883445198</v>
      </c>
      <c r="BE860" s="23">
        <v>9.438849084854764E-2</v>
      </c>
      <c r="BF860" s="23">
        <v>7.149564986855049E-2</v>
      </c>
      <c r="BG860" s="23">
        <v>0.10368571810536763</v>
      </c>
      <c r="BH860" s="23">
        <v>8.4970330952544637E-2</v>
      </c>
      <c r="BI860" s="23">
        <v>8.4593878877262704E-2</v>
      </c>
      <c r="BJ860" s="23">
        <v>5.7447105462779965E-2</v>
      </c>
      <c r="BK860" s="23">
        <v>8.5153852345557474E-2</v>
      </c>
      <c r="BL860" s="23">
        <v>7.4158058913035174E-2</v>
      </c>
      <c r="BM860" s="23">
        <v>7.5718189192107169E-2</v>
      </c>
      <c r="BN860" s="23">
        <v>7.3955559365675619E-2</v>
      </c>
    </row>
    <row r="861" spans="1:66" x14ac:dyDescent="0.25">
      <c r="A861" s="16">
        <v>6597</v>
      </c>
      <c r="B861" s="16" t="s">
        <v>1055</v>
      </c>
      <c r="C861" s="17">
        <v>0</v>
      </c>
      <c r="D861" s="17">
        <f t="shared" si="490"/>
        <v>0</v>
      </c>
      <c r="E861" s="17">
        <f t="shared" si="491"/>
        <v>0</v>
      </c>
      <c r="F861" s="17">
        <f t="shared" si="492"/>
        <v>0</v>
      </c>
      <c r="G861" s="17">
        <f t="shared" si="493"/>
        <v>0</v>
      </c>
      <c r="H861" s="17">
        <f t="shared" si="494"/>
        <v>0</v>
      </c>
      <c r="I861" s="17">
        <f t="shared" si="495"/>
        <v>0</v>
      </c>
      <c r="J861" s="17">
        <f t="shared" si="496"/>
        <v>0</v>
      </c>
      <c r="K861" s="17">
        <f t="shared" si="497"/>
        <v>0</v>
      </c>
      <c r="L861" s="17">
        <f t="shared" si="498"/>
        <v>0</v>
      </c>
      <c r="M861" s="17">
        <f t="shared" si="499"/>
        <v>0</v>
      </c>
      <c r="N861" s="17">
        <f t="shared" si="500"/>
        <v>0</v>
      </c>
      <c r="O861" s="17">
        <f t="shared" si="501"/>
        <v>0</v>
      </c>
      <c r="P861" s="17">
        <v>0</v>
      </c>
      <c r="Q861" s="17">
        <f t="shared" si="502"/>
        <v>0</v>
      </c>
      <c r="R861" s="17">
        <f t="shared" si="503"/>
        <v>0</v>
      </c>
      <c r="S861" s="17">
        <f t="shared" si="504"/>
        <v>0</v>
      </c>
      <c r="T861" s="17">
        <f t="shared" si="505"/>
        <v>0</v>
      </c>
      <c r="U861" s="17">
        <f t="shared" si="506"/>
        <v>0</v>
      </c>
      <c r="V861" s="17">
        <f t="shared" si="507"/>
        <v>0</v>
      </c>
      <c r="W861" s="17">
        <f t="shared" si="508"/>
        <v>0</v>
      </c>
      <c r="X861" s="17">
        <f t="shared" si="509"/>
        <v>0</v>
      </c>
      <c r="Y861" s="17">
        <f t="shared" si="510"/>
        <v>0</v>
      </c>
      <c r="Z861" s="17">
        <f t="shared" si="511"/>
        <v>0</v>
      </c>
      <c r="AA861" s="17">
        <f t="shared" si="512"/>
        <v>0</v>
      </c>
      <c r="AB861" s="17">
        <f t="shared" si="513"/>
        <v>0</v>
      </c>
      <c r="AC861" s="17">
        <v>0</v>
      </c>
      <c r="AD861" s="17">
        <f t="shared" si="514"/>
        <v>0</v>
      </c>
      <c r="AE861" s="17">
        <f t="shared" si="515"/>
        <v>0</v>
      </c>
      <c r="AF861" s="17">
        <f t="shared" si="516"/>
        <v>0</v>
      </c>
      <c r="AG861" s="17">
        <f t="shared" si="517"/>
        <v>0</v>
      </c>
      <c r="AH861" s="17">
        <f t="shared" si="518"/>
        <v>0</v>
      </c>
      <c r="AI861" s="17">
        <f t="shared" si="519"/>
        <v>0</v>
      </c>
      <c r="AJ861" s="17">
        <f t="shared" si="520"/>
        <v>0</v>
      </c>
      <c r="AK861" s="17">
        <f t="shared" si="521"/>
        <v>0</v>
      </c>
      <c r="AL861" s="17">
        <f t="shared" si="522"/>
        <v>0</v>
      </c>
      <c r="AM861" s="17">
        <f t="shared" si="523"/>
        <v>0</v>
      </c>
      <c r="AN861" s="17">
        <f t="shared" si="524"/>
        <v>0</v>
      </c>
      <c r="AO861" s="17">
        <f t="shared" si="525"/>
        <v>0</v>
      </c>
      <c r="AP861" s="17">
        <f t="shared" si="526"/>
        <v>0</v>
      </c>
      <c r="AQ861" s="18">
        <v>0</v>
      </c>
      <c r="AR861" s="18">
        <v>0</v>
      </c>
      <c r="AS861" s="18">
        <v>0</v>
      </c>
      <c r="AT861" s="18">
        <v>0</v>
      </c>
      <c r="AU861" s="18">
        <v>0</v>
      </c>
      <c r="AV861" s="18">
        <v>0</v>
      </c>
      <c r="AW861" s="18">
        <v>0</v>
      </c>
      <c r="AX861" s="18">
        <v>0</v>
      </c>
      <c r="AY861" s="18">
        <v>0</v>
      </c>
      <c r="AZ861" s="18">
        <v>0</v>
      </c>
      <c r="BA861" s="18">
        <v>0</v>
      </c>
      <c r="BB861" s="18">
        <v>0</v>
      </c>
      <c r="BC861" s="23">
        <v>8.9181565948742242E-2</v>
      </c>
      <c r="BD861" s="23">
        <v>0.10665277883445198</v>
      </c>
      <c r="BE861" s="23">
        <v>9.438849084854764E-2</v>
      </c>
      <c r="BF861" s="23">
        <v>7.149564986855049E-2</v>
      </c>
      <c r="BG861" s="23">
        <v>0.10368571810536763</v>
      </c>
      <c r="BH861" s="23">
        <v>8.4970330952544637E-2</v>
      </c>
      <c r="BI861" s="23">
        <v>8.4593878877262704E-2</v>
      </c>
      <c r="BJ861" s="23">
        <v>5.7447105462779965E-2</v>
      </c>
      <c r="BK861" s="23">
        <v>8.5153852345557474E-2</v>
      </c>
      <c r="BL861" s="23">
        <v>7.4158058913035174E-2</v>
      </c>
      <c r="BM861" s="23">
        <v>7.5718189192107169E-2</v>
      </c>
      <c r="BN861" s="23">
        <v>7.3955559365675619E-2</v>
      </c>
    </row>
    <row r="862" spans="1:66" x14ac:dyDescent="0.25">
      <c r="A862" s="16">
        <v>6598</v>
      </c>
      <c r="B862" s="16" t="s">
        <v>1056</v>
      </c>
      <c r="C862" s="17">
        <v>0</v>
      </c>
      <c r="D862" s="17">
        <f t="shared" si="490"/>
        <v>0</v>
      </c>
      <c r="E862" s="17">
        <f t="shared" si="491"/>
        <v>0</v>
      </c>
      <c r="F862" s="17">
        <f t="shared" si="492"/>
        <v>0</v>
      </c>
      <c r="G862" s="17">
        <f t="shared" si="493"/>
        <v>0</v>
      </c>
      <c r="H862" s="17">
        <f t="shared" si="494"/>
        <v>0</v>
      </c>
      <c r="I862" s="17">
        <f t="shared" si="495"/>
        <v>0</v>
      </c>
      <c r="J862" s="17">
        <f t="shared" si="496"/>
        <v>0</v>
      </c>
      <c r="K862" s="17">
        <f t="shared" si="497"/>
        <v>0</v>
      </c>
      <c r="L862" s="17">
        <f t="shared" si="498"/>
        <v>0</v>
      </c>
      <c r="M862" s="17">
        <f t="shared" si="499"/>
        <v>0</v>
      </c>
      <c r="N862" s="17">
        <f t="shared" si="500"/>
        <v>0</v>
      </c>
      <c r="O862" s="17">
        <f t="shared" si="501"/>
        <v>0</v>
      </c>
      <c r="P862" s="17">
        <v>0</v>
      </c>
      <c r="Q862" s="17">
        <f t="shared" si="502"/>
        <v>0</v>
      </c>
      <c r="R862" s="17">
        <f t="shared" si="503"/>
        <v>0</v>
      </c>
      <c r="S862" s="17">
        <f t="shared" si="504"/>
        <v>0</v>
      </c>
      <c r="T862" s="17">
        <f t="shared" si="505"/>
        <v>0</v>
      </c>
      <c r="U862" s="17">
        <f t="shared" si="506"/>
        <v>0</v>
      </c>
      <c r="V862" s="17">
        <f t="shared" si="507"/>
        <v>0</v>
      </c>
      <c r="W862" s="17">
        <f t="shared" si="508"/>
        <v>0</v>
      </c>
      <c r="X862" s="17">
        <f t="shared" si="509"/>
        <v>0</v>
      </c>
      <c r="Y862" s="17">
        <f t="shared" si="510"/>
        <v>0</v>
      </c>
      <c r="Z862" s="17">
        <f t="shared" si="511"/>
        <v>0</v>
      </c>
      <c r="AA862" s="17">
        <f t="shared" si="512"/>
        <v>0</v>
      </c>
      <c r="AB862" s="17">
        <f t="shared" si="513"/>
        <v>0</v>
      </c>
      <c r="AC862" s="17">
        <v>0</v>
      </c>
      <c r="AD862" s="17">
        <f t="shared" si="514"/>
        <v>0</v>
      </c>
      <c r="AE862" s="17">
        <f t="shared" si="515"/>
        <v>0</v>
      </c>
      <c r="AF862" s="17">
        <f t="shared" si="516"/>
        <v>0</v>
      </c>
      <c r="AG862" s="17">
        <f t="shared" si="517"/>
        <v>0</v>
      </c>
      <c r="AH862" s="17">
        <f t="shared" si="518"/>
        <v>0</v>
      </c>
      <c r="AI862" s="17">
        <f t="shared" si="519"/>
        <v>0</v>
      </c>
      <c r="AJ862" s="17">
        <f t="shared" si="520"/>
        <v>0</v>
      </c>
      <c r="AK862" s="17">
        <f t="shared" si="521"/>
        <v>0</v>
      </c>
      <c r="AL862" s="17">
        <f t="shared" si="522"/>
        <v>0</v>
      </c>
      <c r="AM862" s="17">
        <f t="shared" si="523"/>
        <v>0</v>
      </c>
      <c r="AN862" s="17">
        <f t="shared" si="524"/>
        <v>0</v>
      </c>
      <c r="AO862" s="17">
        <f t="shared" si="525"/>
        <v>0</v>
      </c>
      <c r="AP862" s="17">
        <f t="shared" si="526"/>
        <v>0</v>
      </c>
      <c r="AQ862" s="18">
        <v>89.32470236208998</v>
      </c>
      <c r="AR862" s="18">
        <v>106.82395654448128</v>
      </c>
      <c r="AS862" s="18">
        <v>94.539984376359556</v>
      </c>
      <c r="AT862" s="18">
        <v>71.610400386589518</v>
      </c>
      <c r="AU862" s="18">
        <v>103.85213368292675</v>
      </c>
      <c r="AV862" s="18">
        <v>85.106708333723475</v>
      </c>
      <c r="AW862" s="18">
        <v>84.729652052860715</v>
      </c>
      <c r="AX862" s="18">
        <v>57.539308067047727</v>
      </c>
      <c r="AY862" s="18">
        <v>85.290524278572093</v>
      </c>
      <c r="AZ862" s="18">
        <v>74.277082597590592</v>
      </c>
      <c r="BA862" s="18">
        <v>75.839716885760495</v>
      </c>
      <c r="BB862" s="18">
        <v>74.074258038457529</v>
      </c>
      <c r="BC862" s="23">
        <v>8.9181565948742242E-2</v>
      </c>
      <c r="BD862" s="23">
        <v>0.10665277883445198</v>
      </c>
      <c r="BE862" s="23">
        <v>9.438849084854764E-2</v>
      </c>
      <c r="BF862" s="23">
        <v>7.149564986855049E-2</v>
      </c>
      <c r="BG862" s="23">
        <v>0.10368571810536763</v>
      </c>
      <c r="BH862" s="23">
        <v>8.4970330952544637E-2</v>
      </c>
      <c r="BI862" s="23">
        <v>8.4593878877262704E-2</v>
      </c>
      <c r="BJ862" s="23">
        <v>5.7447105462779965E-2</v>
      </c>
      <c r="BK862" s="23">
        <v>8.5153852345557474E-2</v>
      </c>
      <c r="BL862" s="23">
        <v>7.4158058913035174E-2</v>
      </c>
      <c r="BM862" s="23">
        <v>7.5718189192107169E-2</v>
      </c>
      <c r="BN862" s="23">
        <v>7.3955559365675619E-2</v>
      </c>
    </row>
    <row r="863" spans="1:66" x14ac:dyDescent="0.25">
      <c r="A863" s="16">
        <v>6599</v>
      </c>
      <c r="B863" s="16" t="s">
        <v>1057</v>
      </c>
      <c r="C863" s="17">
        <v>0</v>
      </c>
      <c r="D863" s="17">
        <f t="shared" si="490"/>
        <v>0</v>
      </c>
      <c r="E863" s="17">
        <f t="shared" si="491"/>
        <v>0</v>
      </c>
      <c r="F863" s="17">
        <f t="shared" si="492"/>
        <v>0</v>
      </c>
      <c r="G863" s="17">
        <f t="shared" si="493"/>
        <v>0</v>
      </c>
      <c r="H863" s="17">
        <f t="shared" si="494"/>
        <v>0</v>
      </c>
      <c r="I863" s="17">
        <f t="shared" si="495"/>
        <v>0</v>
      </c>
      <c r="J863" s="17">
        <f t="shared" si="496"/>
        <v>0</v>
      </c>
      <c r="K863" s="17">
        <f t="shared" si="497"/>
        <v>0</v>
      </c>
      <c r="L863" s="17">
        <f t="shared" si="498"/>
        <v>0</v>
      </c>
      <c r="M863" s="17">
        <f t="shared" si="499"/>
        <v>0</v>
      </c>
      <c r="N863" s="17">
        <f t="shared" si="500"/>
        <v>0</v>
      </c>
      <c r="O863" s="17">
        <f t="shared" si="501"/>
        <v>0</v>
      </c>
      <c r="P863" s="17">
        <v>0</v>
      </c>
      <c r="Q863" s="17">
        <f t="shared" si="502"/>
        <v>0</v>
      </c>
      <c r="R863" s="17">
        <f t="shared" si="503"/>
        <v>0</v>
      </c>
      <c r="S863" s="17">
        <f t="shared" si="504"/>
        <v>0</v>
      </c>
      <c r="T863" s="17">
        <f t="shared" si="505"/>
        <v>0</v>
      </c>
      <c r="U863" s="17">
        <f t="shared" si="506"/>
        <v>0</v>
      </c>
      <c r="V863" s="17">
        <f t="shared" si="507"/>
        <v>0</v>
      </c>
      <c r="W863" s="17">
        <f t="shared" si="508"/>
        <v>0</v>
      </c>
      <c r="X863" s="17">
        <f t="shared" si="509"/>
        <v>0</v>
      </c>
      <c r="Y863" s="17">
        <f t="shared" si="510"/>
        <v>0</v>
      </c>
      <c r="Z863" s="17">
        <f t="shared" si="511"/>
        <v>0</v>
      </c>
      <c r="AA863" s="17">
        <f t="shared" si="512"/>
        <v>0</v>
      </c>
      <c r="AB863" s="17">
        <f t="shared" si="513"/>
        <v>0</v>
      </c>
      <c r="AC863" s="17">
        <v>0</v>
      </c>
      <c r="AD863" s="17">
        <f t="shared" si="514"/>
        <v>0</v>
      </c>
      <c r="AE863" s="17">
        <f t="shared" si="515"/>
        <v>0</v>
      </c>
      <c r="AF863" s="17">
        <f t="shared" si="516"/>
        <v>0</v>
      </c>
      <c r="AG863" s="17">
        <f t="shared" si="517"/>
        <v>0</v>
      </c>
      <c r="AH863" s="17">
        <f t="shared" si="518"/>
        <v>0</v>
      </c>
      <c r="AI863" s="17">
        <f t="shared" si="519"/>
        <v>0</v>
      </c>
      <c r="AJ863" s="17">
        <f t="shared" si="520"/>
        <v>0</v>
      </c>
      <c r="AK863" s="17">
        <f t="shared" si="521"/>
        <v>0</v>
      </c>
      <c r="AL863" s="17">
        <f t="shared" si="522"/>
        <v>0</v>
      </c>
      <c r="AM863" s="17">
        <f t="shared" si="523"/>
        <v>0</v>
      </c>
      <c r="AN863" s="17">
        <f t="shared" si="524"/>
        <v>0</v>
      </c>
      <c r="AO863" s="17">
        <f t="shared" si="525"/>
        <v>0</v>
      </c>
      <c r="AP863" s="17">
        <f t="shared" si="526"/>
        <v>0</v>
      </c>
      <c r="AQ863" s="18">
        <v>45.485898351798646</v>
      </c>
      <c r="AR863" s="18">
        <v>54.396863358387385</v>
      </c>
      <c r="AS863" s="18">
        <v>48.141622706920693</v>
      </c>
      <c r="AT863" s="18">
        <v>36.465426772005884</v>
      </c>
      <c r="AU863" s="18">
        <v>52.883552605307386</v>
      </c>
      <c r="AV863" s="18">
        <v>43.338012688043008</v>
      </c>
      <c r="AW863" s="18">
        <v>43.146008200922438</v>
      </c>
      <c r="AX863" s="18">
        <v>29.300149328919904</v>
      </c>
      <c r="AY863" s="18">
        <v>43.431615388771093</v>
      </c>
      <c r="AZ863" s="18">
        <v>37.823353893827722</v>
      </c>
      <c r="BA863" s="18">
        <v>38.619078060974765</v>
      </c>
      <c r="BB863" s="18">
        <v>37.720071632191093</v>
      </c>
      <c r="BC863" s="23">
        <v>8.9181565948742242E-2</v>
      </c>
      <c r="BD863" s="23">
        <v>0.10665277883445198</v>
      </c>
      <c r="BE863" s="23">
        <v>9.438849084854764E-2</v>
      </c>
      <c r="BF863" s="23">
        <v>7.149564986855049E-2</v>
      </c>
      <c r="BG863" s="23">
        <v>0.10368571810536763</v>
      </c>
      <c r="BH863" s="23">
        <v>8.4970330952544637E-2</v>
      </c>
      <c r="BI863" s="23">
        <v>8.4593878877262704E-2</v>
      </c>
      <c r="BJ863" s="23">
        <v>5.7447105462779965E-2</v>
      </c>
      <c r="BK863" s="23">
        <v>8.5153852345557474E-2</v>
      </c>
      <c r="BL863" s="23">
        <v>7.4158058913035174E-2</v>
      </c>
      <c r="BM863" s="23">
        <v>7.5718189192107169E-2</v>
      </c>
      <c r="BN863" s="23">
        <v>7.3955559365675619E-2</v>
      </c>
    </row>
    <row r="864" spans="1:66" x14ac:dyDescent="0.25">
      <c r="A864" s="16">
        <v>6601</v>
      </c>
      <c r="B864" s="16" t="s">
        <v>1058</v>
      </c>
      <c r="C864" s="17">
        <v>0</v>
      </c>
      <c r="D864" s="17">
        <f t="shared" si="490"/>
        <v>0</v>
      </c>
      <c r="E864" s="17">
        <f t="shared" si="491"/>
        <v>0</v>
      </c>
      <c r="F864" s="17">
        <f t="shared" si="492"/>
        <v>0</v>
      </c>
      <c r="G864" s="17">
        <f t="shared" si="493"/>
        <v>0</v>
      </c>
      <c r="H864" s="17">
        <f t="shared" si="494"/>
        <v>0</v>
      </c>
      <c r="I864" s="17">
        <f t="shared" si="495"/>
        <v>0</v>
      </c>
      <c r="J864" s="17">
        <f t="shared" si="496"/>
        <v>0</v>
      </c>
      <c r="K864" s="17">
        <f t="shared" si="497"/>
        <v>0</v>
      </c>
      <c r="L864" s="17">
        <f t="shared" si="498"/>
        <v>0</v>
      </c>
      <c r="M864" s="17">
        <f t="shared" si="499"/>
        <v>0</v>
      </c>
      <c r="N864" s="17">
        <f t="shared" si="500"/>
        <v>0</v>
      </c>
      <c r="O864" s="17">
        <f t="shared" si="501"/>
        <v>0</v>
      </c>
      <c r="P864" s="17">
        <v>0</v>
      </c>
      <c r="Q864" s="17">
        <f t="shared" si="502"/>
        <v>0</v>
      </c>
      <c r="R864" s="17">
        <f t="shared" si="503"/>
        <v>0</v>
      </c>
      <c r="S864" s="17">
        <f t="shared" si="504"/>
        <v>0</v>
      </c>
      <c r="T864" s="17">
        <f t="shared" si="505"/>
        <v>0</v>
      </c>
      <c r="U864" s="17">
        <f t="shared" si="506"/>
        <v>0</v>
      </c>
      <c r="V864" s="17">
        <f t="shared" si="507"/>
        <v>0</v>
      </c>
      <c r="W864" s="17">
        <f t="shared" si="508"/>
        <v>0</v>
      </c>
      <c r="X864" s="17">
        <f t="shared" si="509"/>
        <v>0</v>
      </c>
      <c r="Y864" s="17">
        <f t="shared" si="510"/>
        <v>0</v>
      </c>
      <c r="Z864" s="17">
        <f t="shared" si="511"/>
        <v>0</v>
      </c>
      <c r="AA864" s="17">
        <f t="shared" si="512"/>
        <v>0</v>
      </c>
      <c r="AB864" s="17">
        <f t="shared" si="513"/>
        <v>0</v>
      </c>
      <c r="AC864" s="17">
        <v>0</v>
      </c>
      <c r="AD864" s="17">
        <f t="shared" si="514"/>
        <v>0</v>
      </c>
      <c r="AE864" s="17">
        <f t="shared" si="515"/>
        <v>0</v>
      </c>
      <c r="AF864" s="17">
        <f t="shared" si="516"/>
        <v>0</v>
      </c>
      <c r="AG864" s="17">
        <f t="shared" si="517"/>
        <v>0</v>
      </c>
      <c r="AH864" s="17">
        <f t="shared" si="518"/>
        <v>0</v>
      </c>
      <c r="AI864" s="17">
        <f t="shared" si="519"/>
        <v>0</v>
      </c>
      <c r="AJ864" s="17">
        <f t="shared" si="520"/>
        <v>0</v>
      </c>
      <c r="AK864" s="17">
        <f t="shared" si="521"/>
        <v>0</v>
      </c>
      <c r="AL864" s="17">
        <f t="shared" si="522"/>
        <v>0</v>
      </c>
      <c r="AM864" s="17">
        <f t="shared" si="523"/>
        <v>0</v>
      </c>
      <c r="AN864" s="17">
        <f t="shared" si="524"/>
        <v>0</v>
      </c>
      <c r="AO864" s="17">
        <f t="shared" si="525"/>
        <v>0</v>
      </c>
      <c r="AP864" s="17">
        <f t="shared" si="526"/>
        <v>0</v>
      </c>
      <c r="AQ864" s="18">
        <v>23.955952245151146</v>
      </c>
      <c r="AR864" s="18">
        <v>28.649069450510499</v>
      </c>
      <c r="AS864" s="18">
        <v>25.354636411736873</v>
      </c>
      <c r="AT864" s="18">
        <v>19.205161467690036</v>
      </c>
      <c r="AU864" s="18">
        <v>27.852057597463858</v>
      </c>
      <c r="AV864" s="18">
        <v>22.824730300472545</v>
      </c>
      <c r="AW864" s="18">
        <v>22.723607744010312</v>
      </c>
      <c r="AX864" s="18">
        <v>15.431441469411958</v>
      </c>
      <c r="AY864" s="18">
        <v>22.874027817063652</v>
      </c>
      <c r="AZ864" s="18">
        <v>19.920337785219512</v>
      </c>
      <c r="BA864" s="18">
        <v>20.339419980783834</v>
      </c>
      <c r="BB864" s="18">
        <v>19.865942356807789</v>
      </c>
      <c r="BC864" s="23">
        <v>8.9181565948742242E-2</v>
      </c>
      <c r="BD864" s="23">
        <v>0.10665277883445198</v>
      </c>
      <c r="BE864" s="23">
        <v>9.438849084854764E-2</v>
      </c>
      <c r="BF864" s="23">
        <v>7.149564986855049E-2</v>
      </c>
      <c r="BG864" s="23">
        <v>0.10368571810536763</v>
      </c>
      <c r="BH864" s="23">
        <v>8.4970330952544637E-2</v>
      </c>
      <c r="BI864" s="23">
        <v>8.4593878877262704E-2</v>
      </c>
      <c r="BJ864" s="23">
        <v>5.7447105462779965E-2</v>
      </c>
      <c r="BK864" s="23">
        <v>8.5153852345557474E-2</v>
      </c>
      <c r="BL864" s="23">
        <v>7.4158058913035174E-2</v>
      </c>
      <c r="BM864" s="23">
        <v>7.5718189192107169E-2</v>
      </c>
      <c r="BN864" s="23">
        <v>7.3955559365675619E-2</v>
      </c>
    </row>
    <row r="865" spans="1:66" x14ac:dyDescent="0.25">
      <c r="A865" s="16">
        <v>6602</v>
      </c>
      <c r="B865" s="16" t="s">
        <v>1059</v>
      </c>
      <c r="C865" s="17">
        <v>0</v>
      </c>
      <c r="D865" s="17">
        <f t="shared" si="490"/>
        <v>0</v>
      </c>
      <c r="E865" s="17">
        <f t="shared" si="491"/>
        <v>0</v>
      </c>
      <c r="F865" s="17">
        <f t="shared" si="492"/>
        <v>0</v>
      </c>
      <c r="G865" s="17">
        <f t="shared" si="493"/>
        <v>0</v>
      </c>
      <c r="H865" s="17">
        <f t="shared" si="494"/>
        <v>0</v>
      </c>
      <c r="I865" s="17">
        <f t="shared" si="495"/>
        <v>0</v>
      </c>
      <c r="J865" s="17">
        <f t="shared" si="496"/>
        <v>0</v>
      </c>
      <c r="K865" s="17">
        <f t="shared" si="497"/>
        <v>0</v>
      </c>
      <c r="L865" s="17">
        <f t="shared" si="498"/>
        <v>0</v>
      </c>
      <c r="M865" s="17">
        <f t="shared" si="499"/>
        <v>0</v>
      </c>
      <c r="N865" s="17">
        <f t="shared" si="500"/>
        <v>0</v>
      </c>
      <c r="O865" s="17">
        <f t="shared" si="501"/>
        <v>0</v>
      </c>
      <c r="P865" s="17">
        <v>0</v>
      </c>
      <c r="Q865" s="17">
        <f t="shared" si="502"/>
        <v>0</v>
      </c>
      <c r="R865" s="17">
        <f t="shared" si="503"/>
        <v>0</v>
      </c>
      <c r="S865" s="17">
        <f t="shared" si="504"/>
        <v>0</v>
      </c>
      <c r="T865" s="17">
        <f t="shared" si="505"/>
        <v>0</v>
      </c>
      <c r="U865" s="17">
        <f t="shared" si="506"/>
        <v>0</v>
      </c>
      <c r="V865" s="17">
        <f t="shared" si="507"/>
        <v>0</v>
      </c>
      <c r="W865" s="17">
        <f t="shared" si="508"/>
        <v>0</v>
      </c>
      <c r="X865" s="17">
        <f t="shared" si="509"/>
        <v>0</v>
      </c>
      <c r="Y865" s="17">
        <f t="shared" si="510"/>
        <v>0</v>
      </c>
      <c r="Z865" s="17">
        <f t="shared" si="511"/>
        <v>0</v>
      </c>
      <c r="AA865" s="17">
        <f t="shared" si="512"/>
        <v>0</v>
      </c>
      <c r="AB865" s="17">
        <f t="shared" si="513"/>
        <v>0</v>
      </c>
      <c r="AC865" s="17">
        <v>500</v>
      </c>
      <c r="AD865" s="17">
        <f t="shared" si="514"/>
        <v>44.590782974371123</v>
      </c>
      <c r="AE865" s="17">
        <f t="shared" si="515"/>
        <v>53.32638941722599</v>
      </c>
      <c r="AF865" s="17">
        <f t="shared" si="516"/>
        <v>47.194245424273824</v>
      </c>
      <c r="AG865" s="17">
        <f t="shared" si="517"/>
        <v>35.747824934275243</v>
      </c>
      <c r="AH865" s="17">
        <f t="shared" si="518"/>
        <v>51.842859052683814</v>
      </c>
      <c r="AI865" s="17">
        <f t="shared" si="519"/>
        <v>42.485165476272321</v>
      </c>
      <c r="AJ865" s="17">
        <f t="shared" si="520"/>
        <v>42.296939438631355</v>
      </c>
      <c r="AK865" s="17">
        <f t="shared" si="521"/>
        <v>28.723552731389983</v>
      </c>
      <c r="AL865" s="17">
        <f t="shared" si="522"/>
        <v>42.576926172778734</v>
      </c>
      <c r="AM865" s="17">
        <f t="shared" si="523"/>
        <v>37.079029456517588</v>
      </c>
      <c r="AN865" s="17">
        <f t="shared" si="524"/>
        <v>37.859094596053588</v>
      </c>
      <c r="AO865" s="17">
        <f t="shared" si="525"/>
        <v>36.977779682837813</v>
      </c>
      <c r="AP865" s="17">
        <f t="shared" si="526"/>
        <v>500</v>
      </c>
      <c r="AQ865" s="18">
        <v>0</v>
      </c>
      <c r="AR865" s="18">
        <v>0</v>
      </c>
      <c r="AS865" s="18">
        <v>0</v>
      </c>
      <c r="AT865" s="18">
        <v>0</v>
      </c>
      <c r="AU865" s="18">
        <v>0</v>
      </c>
      <c r="AV865" s="18">
        <v>0</v>
      </c>
      <c r="AW865" s="18">
        <v>0</v>
      </c>
      <c r="AX865" s="18">
        <v>0</v>
      </c>
      <c r="AY865" s="18">
        <v>0</v>
      </c>
      <c r="AZ865" s="18">
        <v>0</v>
      </c>
      <c r="BA865" s="18">
        <v>0</v>
      </c>
      <c r="BB865" s="18">
        <v>0</v>
      </c>
      <c r="BC865" s="23">
        <v>8.9181565948742242E-2</v>
      </c>
      <c r="BD865" s="23">
        <v>0.10665277883445198</v>
      </c>
      <c r="BE865" s="23">
        <v>9.438849084854764E-2</v>
      </c>
      <c r="BF865" s="23">
        <v>7.149564986855049E-2</v>
      </c>
      <c r="BG865" s="23">
        <v>0.10368571810536763</v>
      </c>
      <c r="BH865" s="23">
        <v>8.4970330952544637E-2</v>
      </c>
      <c r="BI865" s="23">
        <v>8.4593878877262704E-2</v>
      </c>
      <c r="BJ865" s="23">
        <v>5.7447105462779965E-2</v>
      </c>
      <c r="BK865" s="23">
        <v>8.5153852345557474E-2</v>
      </c>
      <c r="BL865" s="23">
        <v>7.4158058913035174E-2</v>
      </c>
      <c r="BM865" s="23">
        <v>7.5718189192107169E-2</v>
      </c>
      <c r="BN865" s="23">
        <v>7.3955559365675619E-2</v>
      </c>
    </row>
    <row r="866" spans="1:66" x14ac:dyDescent="0.25">
      <c r="A866" s="16">
        <v>6606</v>
      </c>
      <c r="B866" s="16" t="s">
        <v>1060</v>
      </c>
      <c r="C866" s="17">
        <v>0</v>
      </c>
      <c r="D866" s="17">
        <f t="shared" si="490"/>
        <v>0</v>
      </c>
      <c r="E866" s="17">
        <f t="shared" si="491"/>
        <v>0</v>
      </c>
      <c r="F866" s="17">
        <f t="shared" si="492"/>
        <v>0</v>
      </c>
      <c r="G866" s="17">
        <f t="shared" si="493"/>
        <v>0</v>
      </c>
      <c r="H866" s="17">
        <f t="shared" si="494"/>
        <v>0</v>
      </c>
      <c r="I866" s="17">
        <f t="shared" si="495"/>
        <v>0</v>
      </c>
      <c r="J866" s="17">
        <f t="shared" si="496"/>
        <v>0</v>
      </c>
      <c r="K866" s="17">
        <f t="shared" si="497"/>
        <v>0</v>
      </c>
      <c r="L866" s="17">
        <f t="shared" si="498"/>
        <v>0</v>
      </c>
      <c r="M866" s="17">
        <f t="shared" si="499"/>
        <v>0</v>
      </c>
      <c r="N866" s="17">
        <f t="shared" si="500"/>
        <v>0</v>
      </c>
      <c r="O866" s="17">
        <f t="shared" si="501"/>
        <v>0</v>
      </c>
      <c r="P866" s="17">
        <v>0</v>
      </c>
      <c r="Q866" s="17">
        <f t="shared" si="502"/>
        <v>0</v>
      </c>
      <c r="R866" s="17">
        <f t="shared" si="503"/>
        <v>0</v>
      </c>
      <c r="S866" s="17">
        <f t="shared" si="504"/>
        <v>0</v>
      </c>
      <c r="T866" s="17">
        <f t="shared" si="505"/>
        <v>0</v>
      </c>
      <c r="U866" s="17">
        <f t="shared" si="506"/>
        <v>0</v>
      </c>
      <c r="V866" s="17">
        <f t="shared" si="507"/>
        <v>0</v>
      </c>
      <c r="W866" s="17">
        <f t="shared" si="508"/>
        <v>0</v>
      </c>
      <c r="X866" s="17">
        <f t="shared" si="509"/>
        <v>0</v>
      </c>
      <c r="Y866" s="17">
        <f t="shared" si="510"/>
        <v>0</v>
      </c>
      <c r="Z866" s="17">
        <f t="shared" si="511"/>
        <v>0</v>
      </c>
      <c r="AA866" s="17">
        <f t="shared" si="512"/>
        <v>0</v>
      </c>
      <c r="AB866" s="17">
        <f t="shared" si="513"/>
        <v>0</v>
      </c>
      <c r="AC866" s="17">
        <v>0</v>
      </c>
      <c r="AD866" s="17">
        <f t="shared" si="514"/>
        <v>0</v>
      </c>
      <c r="AE866" s="17">
        <f t="shared" si="515"/>
        <v>0</v>
      </c>
      <c r="AF866" s="17">
        <f t="shared" si="516"/>
        <v>0</v>
      </c>
      <c r="AG866" s="17">
        <f t="shared" si="517"/>
        <v>0</v>
      </c>
      <c r="AH866" s="17">
        <f t="shared" si="518"/>
        <v>0</v>
      </c>
      <c r="AI866" s="17">
        <f t="shared" si="519"/>
        <v>0</v>
      </c>
      <c r="AJ866" s="17">
        <f t="shared" si="520"/>
        <v>0</v>
      </c>
      <c r="AK866" s="17">
        <f t="shared" si="521"/>
        <v>0</v>
      </c>
      <c r="AL866" s="17">
        <f t="shared" si="522"/>
        <v>0</v>
      </c>
      <c r="AM866" s="17">
        <f t="shared" si="523"/>
        <v>0</v>
      </c>
      <c r="AN866" s="17">
        <f t="shared" si="524"/>
        <v>0</v>
      </c>
      <c r="AO866" s="17">
        <f t="shared" si="525"/>
        <v>0</v>
      </c>
      <c r="AP866" s="17">
        <f t="shared" si="526"/>
        <v>0</v>
      </c>
      <c r="AQ866" s="18">
        <v>0</v>
      </c>
      <c r="AR866" s="18">
        <v>0</v>
      </c>
      <c r="AS866" s="18">
        <v>0</v>
      </c>
      <c r="AT866" s="18">
        <v>0</v>
      </c>
      <c r="AU866" s="18">
        <v>0</v>
      </c>
      <c r="AV866" s="18">
        <v>0</v>
      </c>
      <c r="AW866" s="18">
        <v>0</v>
      </c>
      <c r="AX866" s="18">
        <v>0</v>
      </c>
      <c r="AY866" s="18">
        <v>0</v>
      </c>
      <c r="AZ866" s="18">
        <v>0</v>
      </c>
      <c r="BA866" s="18">
        <v>0</v>
      </c>
      <c r="BB866" s="18">
        <v>0</v>
      </c>
      <c r="BC866" s="23">
        <v>8.9181565948742242E-2</v>
      </c>
      <c r="BD866" s="23">
        <v>0.10665277883445198</v>
      </c>
      <c r="BE866" s="23">
        <v>9.438849084854764E-2</v>
      </c>
      <c r="BF866" s="23">
        <v>7.149564986855049E-2</v>
      </c>
      <c r="BG866" s="23">
        <v>0.10368571810536763</v>
      </c>
      <c r="BH866" s="23">
        <v>8.4970330952544637E-2</v>
      </c>
      <c r="BI866" s="23">
        <v>8.4593878877262704E-2</v>
      </c>
      <c r="BJ866" s="23">
        <v>5.7447105462779965E-2</v>
      </c>
      <c r="BK866" s="23">
        <v>8.5153852345557474E-2</v>
      </c>
      <c r="BL866" s="23">
        <v>7.4158058913035174E-2</v>
      </c>
      <c r="BM866" s="23">
        <v>7.5718189192107169E-2</v>
      </c>
      <c r="BN866" s="23">
        <v>7.3955559365675619E-2</v>
      </c>
    </row>
    <row r="867" spans="1:66" x14ac:dyDescent="0.25">
      <c r="A867" s="16">
        <v>6608</v>
      </c>
      <c r="B867" s="16" t="s">
        <v>1061</v>
      </c>
      <c r="C867" s="17">
        <v>0</v>
      </c>
      <c r="D867" s="17">
        <f t="shared" si="490"/>
        <v>0</v>
      </c>
      <c r="E867" s="17">
        <f t="shared" si="491"/>
        <v>0</v>
      </c>
      <c r="F867" s="17">
        <f t="shared" si="492"/>
        <v>0</v>
      </c>
      <c r="G867" s="17">
        <f t="shared" si="493"/>
        <v>0</v>
      </c>
      <c r="H867" s="17">
        <f t="shared" si="494"/>
        <v>0</v>
      </c>
      <c r="I867" s="17">
        <f t="shared" si="495"/>
        <v>0</v>
      </c>
      <c r="J867" s="17">
        <f t="shared" si="496"/>
        <v>0</v>
      </c>
      <c r="K867" s="17">
        <f t="shared" si="497"/>
        <v>0</v>
      </c>
      <c r="L867" s="17">
        <f t="shared" si="498"/>
        <v>0</v>
      </c>
      <c r="M867" s="17">
        <f t="shared" si="499"/>
        <v>0</v>
      </c>
      <c r="N867" s="17">
        <f t="shared" si="500"/>
        <v>0</v>
      </c>
      <c r="O867" s="17">
        <f t="shared" si="501"/>
        <v>0</v>
      </c>
      <c r="P867" s="17">
        <v>0</v>
      </c>
      <c r="Q867" s="17">
        <f t="shared" si="502"/>
        <v>0</v>
      </c>
      <c r="R867" s="17">
        <f t="shared" si="503"/>
        <v>0</v>
      </c>
      <c r="S867" s="17">
        <f t="shared" si="504"/>
        <v>0</v>
      </c>
      <c r="T867" s="17">
        <f t="shared" si="505"/>
        <v>0</v>
      </c>
      <c r="U867" s="17">
        <f t="shared" si="506"/>
        <v>0</v>
      </c>
      <c r="V867" s="17">
        <f t="shared" si="507"/>
        <v>0</v>
      </c>
      <c r="W867" s="17">
        <f t="shared" si="508"/>
        <v>0</v>
      </c>
      <c r="X867" s="17">
        <f t="shared" si="509"/>
        <v>0</v>
      </c>
      <c r="Y867" s="17">
        <f t="shared" si="510"/>
        <v>0</v>
      </c>
      <c r="Z867" s="17">
        <f t="shared" si="511"/>
        <v>0</v>
      </c>
      <c r="AA867" s="17">
        <f t="shared" si="512"/>
        <v>0</v>
      </c>
      <c r="AB867" s="17">
        <f t="shared" si="513"/>
        <v>0</v>
      </c>
      <c r="AC867" s="17">
        <v>0</v>
      </c>
      <c r="AD867" s="17">
        <f t="shared" si="514"/>
        <v>0</v>
      </c>
      <c r="AE867" s="17">
        <f t="shared" si="515"/>
        <v>0</v>
      </c>
      <c r="AF867" s="17">
        <f t="shared" si="516"/>
        <v>0</v>
      </c>
      <c r="AG867" s="17">
        <f t="shared" si="517"/>
        <v>0</v>
      </c>
      <c r="AH867" s="17">
        <f t="shared" si="518"/>
        <v>0</v>
      </c>
      <c r="AI867" s="17">
        <f t="shared" si="519"/>
        <v>0</v>
      </c>
      <c r="AJ867" s="17">
        <f t="shared" si="520"/>
        <v>0</v>
      </c>
      <c r="AK867" s="17">
        <f t="shared" si="521"/>
        <v>0</v>
      </c>
      <c r="AL867" s="17">
        <f t="shared" si="522"/>
        <v>0</v>
      </c>
      <c r="AM867" s="17">
        <f t="shared" si="523"/>
        <v>0</v>
      </c>
      <c r="AN867" s="17">
        <f t="shared" si="524"/>
        <v>0</v>
      </c>
      <c r="AO867" s="17">
        <f t="shared" si="525"/>
        <v>0</v>
      </c>
      <c r="AP867" s="17">
        <f t="shared" si="526"/>
        <v>0</v>
      </c>
      <c r="AQ867" s="18">
        <v>9.1723240578281402</v>
      </c>
      <c r="AR867" s="18">
        <v>10.969238303123387</v>
      </c>
      <c r="AS867" s="18">
        <v>9.7078562837731255</v>
      </c>
      <c r="AT867" s="18">
        <v>7.3533275889804184</v>
      </c>
      <c r="AU867" s="18">
        <v>10.664076107137062</v>
      </c>
      <c r="AV867" s="18">
        <v>8.7391985384692159</v>
      </c>
      <c r="AW867" s="18">
        <v>8.7004804425264695</v>
      </c>
      <c r="AX867" s="18">
        <v>5.9084347968469197</v>
      </c>
      <c r="AY867" s="18">
        <v>8.7580737137405862</v>
      </c>
      <c r="AZ867" s="18">
        <v>7.6271563592056681</v>
      </c>
      <c r="BA867" s="18">
        <v>7.7876157584082231</v>
      </c>
      <c r="BB867" s="18">
        <v>7.6063292807597378</v>
      </c>
      <c r="BC867" s="23">
        <v>8.9181565948742242E-2</v>
      </c>
      <c r="BD867" s="23">
        <v>0.10665277883445198</v>
      </c>
      <c r="BE867" s="23">
        <v>9.438849084854764E-2</v>
      </c>
      <c r="BF867" s="23">
        <v>7.149564986855049E-2</v>
      </c>
      <c r="BG867" s="23">
        <v>0.10368571810536763</v>
      </c>
      <c r="BH867" s="23">
        <v>8.4970330952544637E-2</v>
      </c>
      <c r="BI867" s="23">
        <v>8.4593878877262704E-2</v>
      </c>
      <c r="BJ867" s="23">
        <v>5.7447105462779965E-2</v>
      </c>
      <c r="BK867" s="23">
        <v>8.5153852345557474E-2</v>
      </c>
      <c r="BL867" s="23">
        <v>7.4158058913035174E-2</v>
      </c>
      <c r="BM867" s="23">
        <v>7.5718189192107169E-2</v>
      </c>
      <c r="BN867" s="23">
        <v>7.3955559365675619E-2</v>
      </c>
    </row>
    <row r="868" spans="1:66" x14ac:dyDescent="0.25">
      <c r="A868" s="16">
        <v>6609</v>
      </c>
      <c r="B868" s="16" t="s">
        <v>1062</v>
      </c>
      <c r="C868" s="17">
        <v>0</v>
      </c>
      <c r="D868" s="17">
        <f t="shared" si="490"/>
        <v>0</v>
      </c>
      <c r="E868" s="17">
        <f t="shared" si="491"/>
        <v>0</v>
      </c>
      <c r="F868" s="17">
        <f t="shared" si="492"/>
        <v>0</v>
      </c>
      <c r="G868" s="17">
        <f t="shared" si="493"/>
        <v>0</v>
      </c>
      <c r="H868" s="17">
        <f t="shared" si="494"/>
        <v>0</v>
      </c>
      <c r="I868" s="17">
        <f t="shared" si="495"/>
        <v>0</v>
      </c>
      <c r="J868" s="17">
        <f t="shared" si="496"/>
        <v>0</v>
      </c>
      <c r="K868" s="17">
        <f t="shared" si="497"/>
        <v>0</v>
      </c>
      <c r="L868" s="17">
        <f t="shared" si="498"/>
        <v>0</v>
      </c>
      <c r="M868" s="17">
        <f t="shared" si="499"/>
        <v>0</v>
      </c>
      <c r="N868" s="17">
        <f t="shared" si="500"/>
        <v>0</v>
      </c>
      <c r="O868" s="17">
        <f t="shared" si="501"/>
        <v>0</v>
      </c>
      <c r="P868" s="17">
        <v>0</v>
      </c>
      <c r="Q868" s="17">
        <f t="shared" si="502"/>
        <v>0</v>
      </c>
      <c r="R868" s="17">
        <f t="shared" si="503"/>
        <v>0</v>
      </c>
      <c r="S868" s="17">
        <f t="shared" si="504"/>
        <v>0</v>
      </c>
      <c r="T868" s="17">
        <f t="shared" si="505"/>
        <v>0</v>
      </c>
      <c r="U868" s="17">
        <f t="shared" si="506"/>
        <v>0</v>
      </c>
      <c r="V868" s="17">
        <f t="shared" si="507"/>
        <v>0</v>
      </c>
      <c r="W868" s="17">
        <f t="shared" si="508"/>
        <v>0</v>
      </c>
      <c r="X868" s="17">
        <f t="shared" si="509"/>
        <v>0</v>
      </c>
      <c r="Y868" s="17">
        <f t="shared" si="510"/>
        <v>0</v>
      </c>
      <c r="Z868" s="17">
        <f t="shared" si="511"/>
        <v>0</v>
      </c>
      <c r="AA868" s="17">
        <f t="shared" si="512"/>
        <v>0</v>
      </c>
      <c r="AB868" s="17">
        <f t="shared" si="513"/>
        <v>0</v>
      </c>
      <c r="AC868" s="17">
        <v>0</v>
      </c>
      <c r="AD868" s="17">
        <f t="shared" si="514"/>
        <v>0</v>
      </c>
      <c r="AE868" s="17">
        <f t="shared" si="515"/>
        <v>0</v>
      </c>
      <c r="AF868" s="17">
        <f t="shared" si="516"/>
        <v>0</v>
      </c>
      <c r="AG868" s="17">
        <f t="shared" si="517"/>
        <v>0</v>
      </c>
      <c r="AH868" s="17">
        <f t="shared" si="518"/>
        <v>0</v>
      </c>
      <c r="AI868" s="17">
        <f t="shared" si="519"/>
        <v>0</v>
      </c>
      <c r="AJ868" s="17">
        <f t="shared" si="520"/>
        <v>0</v>
      </c>
      <c r="AK868" s="17">
        <f t="shared" si="521"/>
        <v>0</v>
      </c>
      <c r="AL868" s="17">
        <f t="shared" si="522"/>
        <v>0</v>
      </c>
      <c r="AM868" s="17">
        <f t="shared" si="523"/>
        <v>0</v>
      </c>
      <c r="AN868" s="17">
        <f t="shared" si="524"/>
        <v>0</v>
      </c>
      <c r="AO868" s="17">
        <f t="shared" si="525"/>
        <v>0</v>
      </c>
      <c r="AP868" s="17">
        <f t="shared" si="526"/>
        <v>0</v>
      </c>
      <c r="AQ868" s="18">
        <v>0</v>
      </c>
      <c r="AR868" s="18">
        <v>0</v>
      </c>
      <c r="AS868" s="18">
        <v>0</v>
      </c>
      <c r="AT868" s="18">
        <v>0</v>
      </c>
      <c r="AU868" s="18">
        <v>0</v>
      </c>
      <c r="AV868" s="18">
        <v>0</v>
      </c>
      <c r="AW868" s="18">
        <v>0</v>
      </c>
      <c r="AX868" s="18">
        <v>0</v>
      </c>
      <c r="AY868" s="18">
        <v>0</v>
      </c>
      <c r="AZ868" s="18">
        <v>0</v>
      </c>
      <c r="BA868" s="18">
        <v>0</v>
      </c>
      <c r="BB868" s="18">
        <v>0</v>
      </c>
      <c r="BC868" s="23">
        <v>8.9181565948742242E-2</v>
      </c>
      <c r="BD868" s="23">
        <v>0.10665277883445198</v>
      </c>
      <c r="BE868" s="23">
        <v>9.438849084854764E-2</v>
      </c>
      <c r="BF868" s="23">
        <v>7.149564986855049E-2</v>
      </c>
      <c r="BG868" s="23">
        <v>0.10368571810536763</v>
      </c>
      <c r="BH868" s="23">
        <v>8.4970330952544637E-2</v>
      </c>
      <c r="BI868" s="23">
        <v>8.4593878877262704E-2</v>
      </c>
      <c r="BJ868" s="23">
        <v>5.7447105462779965E-2</v>
      </c>
      <c r="BK868" s="23">
        <v>8.5153852345557474E-2</v>
      </c>
      <c r="BL868" s="23">
        <v>7.4158058913035174E-2</v>
      </c>
      <c r="BM868" s="23">
        <v>7.5718189192107169E-2</v>
      </c>
      <c r="BN868" s="23">
        <v>7.3955559365675619E-2</v>
      </c>
    </row>
    <row r="869" spans="1:66" x14ac:dyDescent="0.25">
      <c r="A869" s="16">
        <v>6613</v>
      </c>
      <c r="B869" s="16" t="s">
        <v>1063</v>
      </c>
      <c r="C869" s="17">
        <v>0</v>
      </c>
      <c r="D869" s="17">
        <f t="shared" si="490"/>
        <v>0</v>
      </c>
      <c r="E869" s="17">
        <f t="shared" si="491"/>
        <v>0</v>
      </c>
      <c r="F869" s="17">
        <f t="shared" si="492"/>
        <v>0</v>
      </c>
      <c r="G869" s="17">
        <f t="shared" si="493"/>
        <v>0</v>
      </c>
      <c r="H869" s="17">
        <f t="shared" si="494"/>
        <v>0</v>
      </c>
      <c r="I869" s="17">
        <f t="shared" si="495"/>
        <v>0</v>
      </c>
      <c r="J869" s="17">
        <f t="shared" si="496"/>
        <v>0</v>
      </c>
      <c r="K869" s="17">
        <f t="shared" si="497"/>
        <v>0</v>
      </c>
      <c r="L869" s="17">
        <f t="shared" si="498"/>
        <v>0</v>
      </c>
      <c r="M869" s="17">
        <f t="shared" si="499"/>
        <v>0</v>
      </c>
      <c r="N869" s="17">
        <f t="shared" si="500"/>
        <v>0</v>
      </c>
      <c r="O869" s="17">
        <f t="shared" si="501"/>
        <v>0</v>
      </c>
      <c r="P869" s="17">
        <v>0</v>
      </c>
      <c r="Q869" s="17">
        <f t="shared" si="502"/>
        <v>0</v>
      </c>
      <c r="R869" s="17">
        <f t="shared" si="503"/>
        <v>0</v>
      </c>
      <c r="S869" s="17">
        <f t="shared" si="504"/>
        <v>0</v>
      </c>
      <c r="T869" s="17">
        <f t="shared" si="505"/>
        <v>0</v>
      </c>
      <c r="U869" s="17">
        <f t="shared" si="506"/>
        <v>0</v>
      </c>
      <c r="V869" s="17">
        <f t="shared" si="507"/>
        <v>0</v>
      </c>
      <c r="W869" s="17">
        <f t="shared" si="508"/>
        <v>0</v>
      </c>
      <c r="X869" s="17">
        <f t="shared" si="509"/>
        <v>0</v>
      </c>
      <c r="Y869" s="17">
        <f t="shared" si="510"/>
        <v>0</v>
      </c>
      <c r="Z869" s="17">
        <f t="shared" si="511"/>
        <v>0</v>
      </c>
      <c r="AA869" s="17">
        <f t="shared" si="512"/>
        <v>0</v>
      </c>
      <c r="AB869" s="17">
        <f t="shared" si="513"/>
        <v>0</v>
      </c>
      <c r="AC869" s="17">
        <v>0</v>
      </c>
      <c r="AD869" s="17">
        <f t="shared" si="514"/>
        <v>0</v>
      </c>
      <c r="AE869" s="17">
        <f t="shared" si="515"/>
        <v>0</v>
      </c>
      <c r="AF869" s="17">
        <f t="shared" si="516"/>
        <v>0</v>
      </c>
      <c r="AG869" s="17">
        <f t="shared" si="517"/>
        <v>0</v>
      </c>
      <c r="AH869" s="17">
        <f t="shared" si="518"/>
        <v>0</v>
      </c>
      <c r="AI869" s="17">
        <f t="shared" si="519"/>
        <v>0</v>
      </c>
      <c r="AJ869" s="17">
        <f t="shared" si="520"/>
        <v>0</v>
      </c>
      <c r="AK869" s="17">
        <f t="shared" si="521"/>
        <v>0</v>
      </c>
      <c r="AL869" s="17">
        <f t="shared" si="522"/>
        <v>0</v>
      </c>
      <c r="AM869" s="17">
        <f t="shared" si="523"/>
        <v>0</v>
      </c>
      <c r="AN869" s="17">
        <f t="shared" si="524"/>
        <v>0</v>
      </c>
      <c r="AO869" s="17">
        <f t="shared" si="525"/>
        <v>0</v>
      </c>
      <c r="AP869" s="17">
        <f t="shared" si="526"/>
        <v>0</v>
      </c>
      <c r="AQ869" s="18">
        <v>0</v>
      </c>
      <c r="AR869" s="18">
        <v>0</v>
      </c>
      <c r="AS869" s="18">
        <v>0</v>
      </c>
      <c r="AT869" s="18">
        <v>0</v>
      </c>
      <c r="AU869" s="18">
        <v>0</v>
      </c>
      <c r="AV869" s="18">
        <v>0</v>
      </c>
      <c r="AW869" s="18">
        <v>0</v>
      </c>
      <c r="AX869" s="18">
        <v>0</v>
      </c>
      <c r="AY869" s="18">
        <v>0</v>
      </c>
      <c r="AZ869" s="18">
        <v>0</v>
      </c>
      <c r="BA869" s="18">
        <v>0</v>
      </c>
      <c r="BB869" s="18">
        <v>0</v>
      </c>
      <c r="BC869" s="23">
        <v>8.9181565948742242E-2</v>
      </c>
      <c r="BD869" s="23">
        <v>0.10665277883445198</v>
      </c>
      <c r="BE869" s="23">
        <v>9.438849084854764E-2</v>
      </c>
      <c r="BF869" s="23">
        <v>7.149564986855049E-2</v>
      </c>
      <c r="BG869" s="23">
        <v>0.10368571810536763</v>
      </c>
      <c r="BH869" s="23">
        <v>8.4970330952544637E-2</v>
      </c>
      <c r="BI869" s="23">
        <v>8.4593878877262704E-2</v>
      </c>
      <c r="BJ869" s="23">
        <v>5.7447105462779965E-2</v>
      </c>
      <c r="BK869" s="23">
        <v>8.5153852345557474E-2</v>
      </c>
      <c r="BL869" s="23">
        <v>7.4158058913035174E-2</v>
      </c>
      <c r="BM869" s="23">
        <v>7.5718189192107169E-2</v>
      </c>
      <c r="BN869" s="23">
        <v>7.3955559365675619E-2</v>
      </c>
    </row>
    <row r="870" spans="1:66" x14ac:dyDescent="0.25">
      <c r="A870" s="16">
        <v>6626</v>
      </c>
      <c r="B870" s="16" t="s">
        <v>1064</v>
      </c>
      <c r="C870" s="17">
        <v>0</v>
      </c>
      <c r="D870" s="17">
        <f t="shared" si="490"/>
        <v>0</v>
      </c>
      <c r="E870" s="17">
        <f t="shared" si="491"/>
        <v>0</v>
      </c>
      <c r="F870" s="17">
        <f t="shared" si="492"/>
        <v>0</v>
      </c>
      <c r="G870" s="17">
        <f t="shared" si="493"/>
        <v>0</v>
      </c>
      <c r="H870" s="17">
        <f t="shared" si="494"/>
        <v>0</v>
      </c>
      <c r="I870" s="17">
        <f t="shared" si="495"/>
        <v>0</v>
      </c>
      <c r="J870" s="17">
        <f t="shared" si="496"/>
        <v>0</v>
      </c>
      <c r="K870" s="17">
        <f t="shared" si="497"/>
        <v>0</v>
      </c>
      <c r="L870" s="17">
        <f t="shared" si="498"/>
        <v>0</v>
      </c>
      <c r="M870" s="17">
        <f t="shared" si="499"/>
        <v>0</v>
      </c>
      <c r="N870" s="17">
        <f t="shared" si="500"/>
        <v>0</v>
      </c>
      <c r="O870" s="17">
        <f t="shared" si="501"/>
        <v>0</v>
      </c>
      <c r="P870" s="17">
        <v>0</v>
      </c>
      <c r="Q870" s="17">
        <f t="shared" si="502"/>
        <v>0</v>
      </c>
      <c r="R870" s="17">
        <f t="shared" si="503"/>
        <v>0</v>
      </c>
      <c r="S870" s="17">
        <f t="shared" si="504"/>
        <v>0</v>
      </c>
      <c r="T870" s="17">
        <f t="shared" si="505"/>
        <v>0</v>
      </c>
      <c r="U870" s="17">
        <f t="shared" si="506"/>
        <v>0</v>
      </c>
      <c r="V870" s="17">
        <f t="shared" si="507"/>
        <v>0</v>
      </c>
      <c r="W870" s="17">
        <f t="shared" si="508"/>
        <v>0</v>
      </c>
      <c r="X870" s="17">
        <f t="shared" si="509"/>
        <v>0</v>
      </c>
      <c r="Y870" s="17">
        <f t="shared" si="510"/>
        <v>0</v>
      </c>
      <c r="Z870" s="17">
        <f t="shared" si="511"/>
        <v>0</v>
      </c>
      <c r="AA870" s="17">
        <f t="shared" si="512"/>
        <v>0</v>
      </c>
      <c r="AB870" s="17">
        <f t="shared" si="513"/>
        <v>0</v>
      </c>
      <c r="AC870" s="17">
        <v>0</v>
      </c>
      <c r="AD870" s="17">
        <f t="shared" si="514"/>
        <v>0</v>
      </c>
      <c r="AE870" s="17">
        <f t="shared" si="515"/>
        <v>0</v>
      </c>
      <c r="AF870" s="17">
        <f t="shared" si="516"/>
        <v>0</v>
      </c>
      <c r="AG870" s="17">
        <f t="shared" si="517"/>
        <v>0</v>
      </c>
      <c r="AH870" s="17">
        <f t="shared" si="518"/>
        <v>0</v>
      </c>
      <c r="AI870" s="17">
        <f t="shared" si="519"/>
        <v>0</v>
      </c>
      <c r="AJ870" s="17">
        <f t="shared" si="520"/>
        <v>0</v>
      </c>
      <c r="AK870" s="17">
        <f t="shared" si="521"/>
        <v>0</v>
      </c>
      <c r="AL870" s="17">
        <f t="shared" si="522"/>
        <v>0</v>
      </c>
      <c r="AM870" s="17">
        <f t="shared" si="523"/>
        <v>0</v>
      </c>
      <c r="AN870" s="17">
        <f t="shared" si="524"/>
        <v>0</v>
      </c>
      <c r="AO870" s="17">
        <f t="shared" si="525"/>
        <v>0</v>
      </c>
      <c r="AP870" s="17">
        <f t="shared" si="526"/>
        <v>0</v>
      </c>
      <c r="AQ870" s="18">
        <v>4.3163877919191247</v>
      </c>
      <c r="AR870" s="18">
        <v>5.1619944955874768</v>
      </c>
      <c r="AS870" s="18">
        <v>4.568402957069706</v>
      </c>
      <c r="AT870" s="18">
        <v>3.4603894536378443</v>
      </c>
      <c r="AU870" s="18">
        <v>5.0183887562997942</v>
      </c>
      <c r="AV870" s="18">
        <v>4.1125640181031606</v>
      </c>
      <c r="AW870" s="18">
        <v>4.0943437376595151</v>
      </c>
      <c r="AX870" s="18">
        <v>2.7804399043985506</v>
      </c>
      <c r="AY870" s="18">
        <v>4.1214464535249826</v>
      </c>
      <c r="AZ870" s="18">
        <v>3.5892500513909029</v>
      </c>
      <c r="BA870" s="18">
        <v>3.6647603568979874</v>
      </c>
      <c r="BB870" s="18">
        <v>3.5794490732987003</v>
      </c>
      <c r="BC870" s="23">
        <v>8.9181565948742242E-2</v>
      </c>
      <c r="BD870" s="23">
        <v>0.10665277883445198</v>
      </c>
      <c r="BE870" s="23">
        <v>9.438849084854764E-2</v>
      </c>
      <c r="BF870" s="23">
        <v>7.149564986855049E-2</v>
      </c>
      <c r="BG870" s="23">
        <v>0.10368571810536763</v>
      </c>
      <c r="BH870" s="23">
        <v>8.4970330952544637E-2</v>
      </c>
      <c r="BI870" s="23">
        <v>8.4593878877262704E-2</v>
      </c>
      <c r="BJ870" s="23">
        <v>5.7447105462779965E-2</v>
      </c>
      <c r="BK870" s="23">
        <v>8.5153852345557474E-2</v>
      </c>
      <c r="BL870" s="23">
        <v>7.4158058913035174E-2</v>
      </c>
      <c r="BM870" s="23">
        <v>7.5718189192107169E-2</v>
      </c>
      <c r="BN870" s="23">
        <v>7.3955559365675619E-2</v>
      </c>
    </row>
    <row r="871" spans="1:66" x14ac:dyDescent="0.25">
      <c r="A871" s="16">
        <v>6628</v>
      </c>
      <c r="B871" s="16" t="s">
        <v>1065</v>
      </c>
      <c r="C871" s="17">
        <v>0</v>
      </c>
      <c r="D871" s="17">
        <f t="shared" si="490"/>
        <v>0</v>
      </c>
      <c r="E871" s="17">
        <f t="shared" si="491"/>
        <v>0</v>
      </c>
      <c r="F871" s="17">
        <f t="shared" si="492"/>
        <v>0</v>
      </c>
      <c r="G871" s="17">
        <f t="shared" si="493"/>
        <v>0</v>
      </c>
      <c r="H871" s="17">
        <f t="shared" si="494"/>
        <v>0</v>
      </c>
      <c r="I871" s="17">
        <f t="shared" si="495"/>
        <v>0</v>
      </c>
      <c r="J871" s="17">
        <f t="shared" si="496"/>
        <v>0</v>
      </c>
      <c r="K871" s="17">
        <f t="shared" si="497"/>
        <v>0</v>
      </c>
      <c r="L871" s="17">
        <f t="shared" si="498"/>
        <v>0</v>
      </c>
      <c r="M871" s="17">
        <f t="shared" si="499"/>
        <v>0</v>
      </c>
      <c r="N871" s="17">
        <f t="shared" si="500"/>
        <v>0</v>
      </c>
      <c r="O871" s="17">
        <f t="shared" si="501"/>
        <v>0</v>
      </c>
      <c r="P871" s="17">
        <v>0</v>
      </c>
      <c r="Q871" s="17">
        <f t="shared" si="502"/>
        <v>0</v>
      </c>
      <c r="R871" s="17">
        <f t="shared" si="503"/>
        <v>0</v>
      </c>
      <c r="S871" s="17">
        <f t="shared" si="504"/>
        <v>0</v>
      </c>
      <c r="T871" s="17">
        <f t="shared" si="505"/>
        <v>0</v>
      </c>
      <c r="U871" s="17">
        <f t="shared" si="506"/>
        <v>0</v>
      </c>
      <c r="V871" s="17">
        <f t="shared" si="507"/>
        <v>0</v>
      </c>
      <c r="W871" s="17">
        <f t="shared" si="508"/>
        <v>0</v>
      </c>
      <c r="X871" s="17">
        <f t="shared" si="509"/>
        <v>0</v>
      </c>
      <c r="Y871" s="17">
        <f t="shared" si="510"/>
        <v>0</v>
      </c>
      <c r="Z871" s="17">
        <f t="shared" si="511"/>
        <v>0</v>
      </c>
      <c r="AA871" s="17">
        <f t="shared" si="512"/>
        <v>0</v>
      </c>
      <c r="AB871" s="17">
        <f t="shared" si="513"/>
        <v>0</v>
      </c>
      <c r="AC871" s="17">
        <v>0</v>
      </c>
      <c r="AD871" s="17">
        <f t="shared" si="514"/>
        <v>0</v>
      </c>
      <c r="AE871" s="17">
        <f t="shared" si="515"/>
        <v>0</v>
      </c>
      <c r="AF871" s="17">
        <f t="shared" si="516"/>
        <v>0</v>
      </c>
      <c r="AG871" s="17">
        <f t="shared" si="517"/>
        <v>0</v>
      </c>
      <c r="AH871" s="17">
        <f t="shared" si="518"/>
        <v>0</v>
      </c>
      <c r="AI871" s="17">
        <f t="shared" si="519"/>
        <v>0</v>
      </c>
      <c r="AJ871" s="17">
        <f t="shared" si="520"/>
        <v>0</v>
      </c>
      <c r="AK871" s="17">
        <f t="shared" si="521"/>
        <v>0</v>
      </c>
      <c r="AL871" s="17">
        <f t="shared" si="522"/>
        <v>0</v>
      </c>
      <c r="AM871" s="17">
        <f t="shared" si="523"/>
        <v>0</v>
      </c>
      <c r="AN871" s="17">
        <f t="shared" si="524"/>
        <v>0</v>
      </c>
      <c r="AO871" s="17">
        <f t="shared" si="525"/>
        <v>0</v>
      </c>
      <c r="AP871" s="17">
        <f t="shared" si="526"/>
        <v>0</v>
      </c>
      <c r="AQ871" s="18">
        <v>0</v>
      </c>
      <c r="AR871" s="18">
        <v>0</v>
      </c>
      <c r="AS871" s="18">
        <v>0</v>
      </c>
      <c r="AT871" s="18">
        <v>0</v>
      </c>
      <c r="AU871" s="18">
        <v>0</v>
      </c>
      <c r="AV871" s="18">
        <v>0</v>
      </c>
      <c r="AW871" s="18">
        <v>0</v>
      </c>
      <c r="AX871" s="18">
        <v>0</v>
      </c>
      <c r="AY871" s="18">
        <v>0</v>
      </c>
      <c r="AZ871" s="18">
        <v>0</v>
      </c>
      <c r="BA871" s="18">
        <v>0</v>
      </c>
      <c r="BB871" s="18">
        <v>0</v>
      </c>
      <c r="BC871" s="23">
        <v>8.9181565948742242E-2</v>
      </c>
      <c r="BD871" s="23">
        <v>0.10665277883445198</v>
      </c>
      <c r="BE871" s="23">
        <v>9.438849084854764E-2</v>
      </c>
      <c r="BF871" s="23">
        <v>7.149564986855049E-2</v>
      </c>
      <c r="BG871" s="23">
        <v>0.10368571810536763</v>
      </c>
      <c r="BH871" s="23">
        <v>8.4970330952544637E-2</v>
      </c>
      <c r="BI871" s="23">
        <v>8.4593878877262704E-2</v>
      </c>
      <c r="BJ871" s="23">
        <v>5.7447105462779965E-2</v>
      </c>
      <c r="BK871" s="23">
        <v>8.5153852345557474E-2</v>
      </c>
      <c r="BL871" s="23">
        <v>7.4158058913035174E-2</v>
      </c>
      <c r="BM871" s="23">
        <v>7.5718189192107169E-2</v>
      </c>
      <c r="BN871" s="23">
        <v>7.3955559365675619E-2</v>
      </c>
    </row>
    <row r="872" spans="1:66" x14ac:dyDescent="0.25">
      <c r="A872" s="16">
        <v>6633</v>
      </c>
      <c r="B872" s="16" t="s">
        <v>1066</v>
      </c>
      <c r="C872" s="17">
        <v>0</v>
      </c>
      <c r="D872" s="17">
        <f t="shared" si="490"/>
        <v>0</v>
      </c>
      <c r="E872" s="17">
        <f t="shared" si="491"/>
        <v>0</v>
      </c>
      <c r="F872" s="17">
        <f t="shared" si="492"/>
        <v>0</v>
      </c>
      <c r="G872" s="17">
        <f t="shared" si="493"/>
        <v>0</v>
      </c>
      <c r="H872" s="17">
        <f t="shared" si="494"/>
        <v>0</v>
      </c>
      <c r="I872" s="17">
        <f t="shared" si="495"/>
        <v>0</v>
      </c>
      <c r="J872" s="17">
        <f t="shared" si="496"/>
        <v>0</v>
      </c>
      <c r="K872" s="17">
        <f t="shared" si="497"/>
        <v>0</v>
      </c>
      <c r="L872" s="17">
        <f t="shared" si="498"/>
        <v>0</v>
      </c>
      <c r="M872" s="17">
        <f t="shared" si="499"/>
        <v>0</v>
      </c>
      <c r="N872" s="17">
        <f t="shared" si="500"/>
        <v>0</v>
      </c>
      <c r="O872" s="17">
        <f t="shared" si="501"/>
        <v>0</v>
      </c>
      <c r="P872" s="17">
        <v>0</v>
      </c>
      <c r="Q872" s="17">
        <f t="shared" si="502"/>
        <v>0</v>
      </c>
      <c r="R872" s="17">
        <f t="shared" si="503"/>
        <v>0</v>
      </c>
      <c r="S872" s="17">
        <f t="shared" si="504"/>
        <v>0</v>
      </c>
      <c r="T872" s="17">
        <f t="shared" si="505"/>
        <v>0</v>
      </c>
      <c r="U872" s="17">
        <f t="shared" si="506"/>
        <v>0</v>
      </c>
      <c r="V872" s="17">
        <f t="shared" si="507"/>
        <v>0</v>
      </c>
      <c r="W872" s="17">
        <f t="shared" si="508"/>
        <v>0</v>
      </c>
      <c r="X872" s="17">
        <f t="shared" si="509"/>
        <v>0</v>
      </c>
      <c r="Y872" s="17">
        <f t="shared" si="510"/>
        <v>0</v>
      </c>
      <c r="Z872" s="17">
        <f t="shared" si="511"/>
        <v>0</v>
      </c>
      <c r="AA872" s="17">
        <f t="shared" si="512"/>
        <v>0</v>
      </c>
      <c r="AB872" s="17">
        <f t="shared" si="513"/>
        <v>0</v>
      </c>
      <c r="AC872" s="17">
        <v>0</v>
      </c>
      <c r="AD872" s="17">
        <f t="shared" si="514"/>
        <v>0</v>
      </c>
      <c r="AE872" s="17">
        <f t="shared" si="515"/>
        <v>0</v>
      </c>
      <c r="AF872" s="17">
        <f t="shared" si="516"/>
        <v>0</v>
      </c>
      <c r="AG872" s="17">
        <f t="shared" si="517"/>
        <v>0</v>
      </c>
      <c r="AH872" s="17">
        <f t="shared" si="518"/>
        <v>0</v>
      </c>
      <c r="AI872" s="17">
        <f t="shared" si="519"/>
        <v>0</v>
      </c>
      <c r="AJ872" s="17">
        <f t="shared" si="520"/>
        <v>0</v>
      </c>
      <c r="AK872" s="17">
        <f t="shared" si="521"/>
        <v>0</v>
      </c>
      <c r="AL872" s="17">
        <f t="shared" si="522"/>
        <v>0</v>
      </c>
      <c r="AM872" s="17">
        <f t="shared" si="523"/>
        <v>0</v>
      </c>
      <c r="AN872" s="17">
        <f t="shared" si="524"/>
        <v>0</v>
      </c>
      <c r="AO872" s="17">
        <f t="shared" si="525"/>
        <v>0</v>
      </c>
      <c r="AP872" s="17">
        <f t="shared" si="526"/>
        <v>0</v>
      </c>
      <c r="AQ872" s="18">
        <v>0</v>
      </c>
      <c r="AR872" s="18">
        <v>0</v>
      </c>
      <c r="AS872" s="18">
        <v>0</v>
      </c>
      <c r="AT872" s="18">
        <v>0</v>
      </c>
      <c r="AU872" s="18">
        <v>0</v>
      </c>
      <c r="AV872" s="18">
        <v>0</v>
      </c>
      <c r="AW872" s="18">
        <v>0</v>
      </c>
      <c r="AX872" s="18">
        <v>0</v>
      </c>
      <c r="AY872" s="18">
        <v>0</v>
      </c>
      <c r="AZ872" s="18">
        <v>0</v>
      </c>
      <c r="BA872" s="18">
        <v>0</v>
      </c>
      <c r="BB872" s="18">
        <v>0</v>
      </c>
      <c r="BC872" s="23">
        <v>8.9181565948742242E-2</v>
      </c>
      <c r="BD872" s="23">
        <v>0.10665277883445198</v>
      </c>
      <c r="BE872" s="23">
        <v>9.438849084854764E-2</v>
      </c>
      <c r="BF872" s="23">
        <v>7.149564986855049E-2</v>
      </c>
      <c r="BG872" s="23">
        <v>0.10368571810536763</v>
      </c>
      <c r="BH872" s="23">
        <v>8.4970330952544637E-2</v>
      </c>
      <c r="BI872" s="23">
        <v>8.4593878877262704E-2</v>
      </c>
      <c r="BJ872" s="23">
        <v>5.7447105462779965E-2</v>
      </c>
      <c r="BK872" s="23">
        <v>8.5153852345557474E-2</v>
      </c>
      <c r="BL872" s="23">
        <v>7.4158058913035174E-2</v>
      </c>
      <c r="BM872" s="23">
        <v>7.5718189192107169E-2</v>
      </c>
      <c r="BN872" s="23">
        <v>7.3955559365675619E-2</v>
      </c>
    </row>
    <row r="873" spans="1:66" x14ac:dyDescent="0.25">
      <c r="A873" s="16">
        <v>6636</v>
      </c>
      <c r="B873" s="16" t="s">
        <v>1067</v>
      </c>
      <c r="C873" s="17">
        <v>0</v>
      </c>
      <c r="D873" s="17">
        <f t="shared" si="490"/>
        <v>0</v>
      </c>
      <c r="E873" s="17">
        <f t="shared" si="491"/>
        <v>0</v>
      </c>
      <c r="F873" s="17">
        <f t="shared" si="492"/>
        <v>0</v>
      </c>
      <c r="G873" s="17">
        <f t="shared" si="493"/>
        <v>0</v>
      </c>
      <c r="H873" s="17">
        <f t="shared" si="494"/>
        <v>0</v>
      </c>
      <c r="I873" s="17">
        <f t="shared" si="495"/>
        <v>0</v>
      </c>
      <c r="J873" s="17">
        <f t="shared" si="496"/>
        <v>0</v>
      </c>
      <c r="K873" s="17">
        <f t="shared" si="497"/>
        <v>0</v>
      </c>
      <c r="L873" s="17">
        <f t="shared" si="498"/>
        <v>0</v>
      </c>
      <c r="M873" s="17">
        <f t="shared" si="499"/>
        <v>0</v>
      </c>
      <c r="N873" s="17">
        <f t="shared" si="500"/>
        <v>0</v>
      </c>
      <c r="O873" s="17">
        <f t="shared" si="501"/>
        <v>0</v>
      </c>
      <c r="P873" s="17">
        <v>0</v>
      </c>
      <c r="Q873" s="17">
        <f t="shared" si="502"/>
        <v>0</v>
      </c>
      <c r="R873" s="17">
        <f t="shared" si="503"/>
        <v>0</v>
      </c>
      <c r="S873" s="17">
        <f t="shared" si="504"/>
        <v>0</v>
      </c>
      <c r="T873" s="17">
        <f t="shared" si="505"/>
        <v>0</v>
      </c>
      <c r="U873" s="17">
        <f t="shared" si="506"/>
        <v>0</v>
      </c>
      <c r="V873" s="17">
        <f t="shared" si="507"/>
        <v>0</v>
      </c>
      <c r="W873" s="17">
        <f t="shared" si="508"/>
        <v>0</v>
      </c>
      <c r="X873" s="17">
        <f t="shared" si="509"/>
        <v>0</v>
      </c>
      <c r="Y873" s="17">
        <f t="shared" si="510"/>
        <v>0</v>
      </c>
      <c r="Z873" s="17">
        <f t="shared" si="511"/>
        <v>0</v>
      </c>
      <c r="AA873" s="17">
        <f t="shared" si="512"/>
        <v>0</v>
      </c>
      <c r="AB873" s="17">
        <f t="shared" si="513"/>
        <v>0</v>
      </c>
      <c r="AC873" s="17">
        <v>0</v>
      </c>
      <c r="AD873" s="17">
        <f t="shared" si="514"/>
        <v>0</v>
      </c>
      <c r="AE873" s="17">
        <f t="shared" si="515"/>
        <v>0</v>
      </c>
      <c r="AF873" s="17">
        <f t="shared" si="516"/>
        <v>0</v>
      </c>
      <c r="AG873" s="17">
        <f t="shared" si="517"/>
        <v>0</v>
      </c>
      <c r="AH873" s="17">
        <f t="shared" si="518"/>
        <v>0</v>
      </c>
      <c r="AI873" s="17">
        <f t="shared" si="519"/>
        <v>0</v>
      </c>
      <c r="AJ873" s="17">
        <f t="shared" si="520"/>
        <v>0</v>
      </c>
      <c r="AK873" s="17">
        <f t="shared" si="521"/>
        <v>0</v>
      </c>
      <c r="AL873" s="17">
        <f t="shared" si="522"/>
        <v>0</v>
      </c>
      <c r="AM873" s="17">
        <f t="shared" si="523"/>
        <v>0</v>
      </c>
      <c r="AN873" s="17">
        <f t="shared" si="524"/>
        <v>0</v>
      </c>
      <c r="AO873" s="17">
        <f t="shared" si="525"/>
        <v>0</v>
      </c>
      <c r="AP873" s="17">
        <f t="shared" si="526"/>
        <v>0</v>
      </c>
      <c r="AQ873" s="18">
        <v>0</v>
      </c>
      <c r="AR873" s="18">
        <v>0</v>
      </c>
      <c r="AS873" s="18">
        <v>0</v>
      </c>
      <c r="AT873" s="18">
        <v>0</v>
      </c>
      <c r="AU873" s="18">
        <v>0</v>
      </c>
      <c r="AV873" s="18">
        <v>0</v>
      </c>
      <c r="AW873" s="18">
        <v>0</v>
      </c>
      <c r="AX873" s="18">
        <v>0</v>
      </c>
      <c r="AY873" s="18">
        <v>0</v>
      </c>
      <c r="AZ873" s="18">
        <v>0</v>
      </c>
      <c r="BA873" s="18">
        <v>0</v>
      </c>
      <c r="BB873" s="18">
        <v>0</v>
      </c>
      <c r="BC873" s="23">
        <v>8.9181565948742242E-2</v>
      </c>
      <c r="BD873" s="23">
        <v>0.10665277883445198</v>
      </c>
      <c r="BE873" s="23">
        <v>9.438849084854764E-2</v>
      </c>
      <c r="BF873" s="23">
        <v>7.149564986855049E-2</v>
      </c>
      <c r="BG873" s="23">
        <v>0.10368571810536763</v>
      </c>
      <c r="BH873" s="23">
        <v>8.4970330952544637E-2</v>
      </c>
      <c r="BI873" s="23">
        <v>8.4593878877262704E-2</v>
      </c>
      <c r="BJ873" s="23">
        <v>5.7447105462779965E-2</v>
      </c>
      <c r="BK873" s="23">
        <v>8.5153852345557474E-2</v>
      </c>
      <c r="BL873" s="23">
        <v>7.4158058913035174E-2</v>
      </c>
      <c r="BM873" s="23">
        <v>7.5718189192107169E-2</v>
      </c>
      <c r="BN873" s="23">
        <v>7.3955559365675619E-2</v>
      </c>
    </row>
    <row r="874" spans="1:66" x14ac:dyDescent="0.25">
      <c r="A874" s="16">
        <v>6638</v>
      </c>
      <c r="B874" s="16" t="s">
        <v>1068</v>
      </c>
      <c r="C874" s="17">
        <v>0</v>
      </c>
      <c r="D874" s="17">
        <f t="shared" si="490"/>
        <v>0</v>
      </c>
      <c r="E874" s="17">
        <f t="shared" si="491"/>
        <v>0</v>
      </c>
      <c r="F874" s="17">
        <f t="shared" si="492"/>
        <v>0</v>
      </c>
      <c r="G874" s="17">
        <f t="shared" si="493"/>
        <v>0</v>
      </c>
      <c r="H874" s="17">
        <f t="shared" si="494"/>
        <v>0</v>
      </c>
      <c r="I874" s="17">
        <f t="shared" si="495"/>
        <v>0</v>
      </c>
      <c r="J874" s="17">
        <f t="shared" si="496"/>
        <v>0</v>
      </c>
      <c r="K874" s="17">
        <f t="shared" si="497"/>
        <v>0</v>
      </c>
      <c r="L874" s="17">
        <f t="shared" si="498"/>
        <v>0</v>
      </c>
      <c r="M874" s="17">
        <f t="shared" si="499"/>
        <v>0</v>
      </c>
      <c r="N874" s="17">
        <f t="shared" si="500"/>
        <v>0</v>
      </c>
      <c r="O874" s="17">
        <f t="shared" si="501"/>
        <v>0</v>
      </c>
      <c r="P874" s="17">
        <v>0</v>
      </c>
      <c r="Q874" s="17">
        <f t="shared" si="502"/>
        <v>0</v>
      </c>
      <c r="R874" s="17">
        <f t="shared" si="503"/>
        <v>0</v>
      </c>
      <c r="S874" s="17">
        <f t="shared" si="504"/>
        <v>0</v>
      </c>
      <c r="T874" s="17">
        <f t="shared" si="505"/>
        <v>0</v>
      </c>
      <c r="U874" s="17">
        <f t="shared" si="506"/>
        <v>0</v>
      </c>
      <c r="V874" s="17">
        <f t="shared" si="507"/>
        <v>0</v>
      </c>
      <c r="W874" s="17">
        <f t="shared" si="508"/>
        <v>0</v>
      </c>
      <c r="X874" s="17">
        <f t="shared" si="509"/>
        <v>0</v>
      </c>
      <c r="Y874" s="17">
        <f t="shared" si="510"/>
        <v>0</v>
      </c>
      <c r="Z874" s="17">
        <f t="shared" si="511"/>
        <v>0</v>
      </c>
      <c r="AA874" s="17">
        <f t="shared" si="512"/>
        <v>0</v>
      </c>
      <c r="AB874" s="17">
        <f t="shared" si="513"/>
        <v>0</v>
      </c>
      <c r="AC874" s="17">
        <v>0</v>
      </c>
      <c r="AD874" s="17">
        <f t="shared" si="514"/>
        <v>0</v>
      </c>
      <c r="AE874" s="17">
        <f t="shared" si="515"/>
        <v>0</v>
      </c>
      <c r="AF874" s="17">
        <f t="shared" si="516"/>
        <v>0</v>
      </c>
      <c r="AG874" s="17">
        <f t="shared" si="517"/>
        <v>0</v>
      </c>
      <c r="AH874" s="17">
        <f t="shared" si="518"/>
        <v>0</v>
      </c>
      <c r="AI874" s="17">
        <f t="shared" si="519"/>
        <v>0</v>
      </c>
      <c r="AJ874" s="17">
        <f t="shared" si="520"/>
        <v>0</v>
      </c>
      <c r="AK874" s="17">
        <f t="shared" si="521"/>
        <v>0</v>
      </c>
      <c r="AL874" s="17">
        <f t="shared" si="522"/>
        <v>0</v>
      </c>
      <c r="AM874" s="17">
        <f t="shared" si="523"/>
        <v>0</v>
      </c>
      <c r="AN874" s="17">
        <f t="shared" si="524"/>
        <v>0</v>
      </c>
      <c r="AO874" s="17">
        <f t="shared" si="525"/>
        <v>0</v>
      </c>
      <c r="AP874" s="17">
        <f t="shared" si="526"/>
        <v>0</v>
      </c>
      <c r="AQ874" s="18">
        <v>0</v>
      </c>
      <c r="AR874" s="18">
        <v>0</v>
      </c>
      <c r="AS874" s="18">
        <v>0</v>
      </c>
      <c r="AT874" s="18">
        <v>0</v>
      </c>
      <c r="AU874" s="18">
        <v>0</v>
      </c>
      <c r="AV874" s="18">
        <v>0</v>
      </c>
      <c r="AW874" s="18">
        <v>0</v>
      </c>
      <c r="AX874" s="18">
        <v>0</v>
      </c>
      <c r="AY874" s="18">
        <v>0</v>
      </c>
      <c r="AZ874" s="18">
        <v>0</v>
      </c>
      <c r="BA874" s="18">
        <v>0</v>
      </c>
      <c r="BB874" s="18">
        <v>0</v>
      </c>
      <c r="BC874" s="23">
        <v>8.9181565948742242E-2</v>
      </c>
      <c r="BD874" s="23">
        <v>0.10665277883445198</v>
      </c>
      <c r="BE874" s="23">
        <v>9.438849084854764E-2</v>
      </c>
      <c r="BF874" s="23">
        <v>7.149564986855049E-2</v>
      </c>
      <c r="BG874" s="23">
        <v>0.10368571810536763</v>
      </c>
      <c r="BH874" s="23">
        <v>8.4970330952544637E-2</v>
      </c>
      <c r="BI874" s="23">
        <v>8.4593878877262704E-2</v>
      </c>
      <c r="BJ874" s="23">
        <v>5.7447105462779965E-2</v>
      </c>
      <c r="BK874" s="23">
        <v>8.5153852345557474E-2</v>
      </c>
      <c r="BL874" s="23">
        <v>7.4158058913035174E-2</v>
      </c>
      <c r="BM874" s="23">
        <v>7.5718189192107169E-2</v>
      </c>
      <c r="BN874" s="23">
        <v>7.3955559365675619E-2</v>
      </c>
    </row>
    <row r="875" spans="1:66" x14ac:dyDescent="0.25">
      <c r="A875" s="16">
        <v>6639</v>
      </c>
      <c r="B875" s="16" t="s">
        <v>1069</v>
      </c>
      <c r="C875" s="17">
        <v>0</v>
      </c>
      <c r="D875" s="17">
        <f t="shared" si="490"/>
        <v>0</v>
      </c>
      <c r="E875" s="17">
        <f t="shared" si="491"/>
        <v>0</v>
      </c>
      <c r="F875" s="17">
        <f t="shared" si="492"/>
        <v>0</v>
      </c>
      <c r="G875" s="17">
        <f t="shared" si="493"/>
        <v>0</v>
      </c>
      <c r="H875" s="17">
        <f t="shared" si="494"/>
        <v>0</v>
      </c>
      <c r="I875" s="17">
        <f t="shared" si="495"/>
        <v>0</v>
      </c>
      <c r="J875" s="17">
        <f t="shared" si="496"/>
        <v>0</v>
      </c>
      <c r="K875" s="17">
        <f t="shared" si="497"/>
        <v>0</v>
      </c>
      <c r="L875" s="17">
        <f t="shared" si="498"/>
        <v>0</v>
      </c>
      <c r="M875" s="17">
        <f t="shared" si="499"/>
        <v>0</v>
      </c>
      <c r="N875" s="17">
        <f t="shared" si="500"/>
        <v>0</v>
      </c>
      <c r="O875" s="17">
        <f t="shared" si="501"/>
        <v>0</v>
      </c>
      <c r="P875" s="17">
        <v>0</v>
      </c>
      <c r="Q875" s="17">
        <f t="shared" si="502"/>
        <v>0</v>
      </c>
      <c r="R875" s="17">
        <f t="shared" si="503"/>
        <v>0</v>
      </c>
      <c r="S875" s="17">
        <f t="shared" si="504"/>
        <v>0</v>
      </c>
      <c r="T875" s="17">
        <f t="shared" si="505"/>
        <v>0</v>
      </c>
      <c r="U875" s="17">
        <f t="shared" si="506"/>
        <v>0</v>
      </c>
      <c r="V875" s="17">
        <f t="shared" si="507"/>
        <v>0</v>
      </c>
      <c r="W875" s="17">
        <f t="shared" si="508"/>
        <v>0</v>
      </c>
      <c r="X875" s="17">
        <f t="shared" si="509"/>
        <v>0</v>
      </c>
      <c r="Y875" s="17">
        <f t="shared" si="510"/>
        <v>0</v>
      </c>
      <c r="Z875" s="17">
        <f t="shared" si="511"/>
        <v>0</v>
      </c>
      <c r="AA875" s="17">
        <f t="shared" si="512"/>
        <v>0</v>
      </c>
      <c r="AB875" s="17">
        <f t="shared" si="513"/>
        <v>0</v>
      </c>
      <c r="AC875" s="17">
        <v>0</v>
      </c>
      <c r="AD875" s="17">
        <f t="shared" si="514"/>
        <v>0</v>
      </c>
      <c r="AE875" s="17">
        <f t="shared" si="515"/>
        <v>0</v>
      </c>
      <c r="AF875" s="17">
        <f t="shared" si="516"/>
        <v>0</v>
      </c>
      <c r="AG875" s="17">
        <f t="shared" si="517"/>
        <v>0</v>
      </c>
      <c r="AH875" s="17">
        <f t="shared" si="518"/>
        <v>0</v>
      </c>
      <c r="AI875" s="17">
        <f t="shared" si="519"/>
        <v>0</v>
      </c>
      <c r="AJ875" s="17">
        <f t="shared" si="520"/>
        <v>0</v>
      </c>
      <c r="AK875" s="17">
        <f t="shared" si="521"/>
        <v>0</v>
      </c>
      <c r="AL875" s="17">
        <f t="shared" si="522"/>
        <v>0</v>
      </c>
      <c r="AM875" s="17">
        <f t="shared" si="523"/>
        <v>0</v>
      </c>
      <c r="AN875" s="17">
        <f t="shared" si="524"/>
        <v>0</v>
      </c>
      <c r="AO875" s="17">
        <f t="shared" si="525"/>
        <v>0</v>
      </c>
      <c r="AP875" s="17">
        <f t="shared" si="526"/>
        <v>0</v>
      </c>
      <c r="AQ875" s="18">
        <v>6.0086080057965088</v>
      </c>
      <c r="AR875" s="18">
        <v>7.1857309739712028</v>
      </c>
      <c r="AS875" s="18">
        <v>6.359424570920897</v>
      </c>
      <c r="AT875" s="18">
        <v>4.8170194098935895</v>
      </c>
      <c r="AU875" s="18">
        <v>6.9858252573491439</v>
      </c>
      <c r="AV875" s="18">
        <v>5.7248760479276948</v>
      </c>
      <c r="AW875" s="18">
        <v>5.6995125893555745</v>
      </c>
      <c r="AX875" s="18">
        <v>3.8704987305548002</v>
      </c>
      <c r="AY875" s="18">
        <v>5.737240801781935</v>
      </c>
      <c r="AZ875" s="18">
        <v>4.9963992192657445</v>
      </c>
      <c r="BA875" s="18">
        <v>5.1015129968182205</v>
      </c>
      <c r="BB875" s="18">
        <v>4.9827558122623952</v>
      </c>
      <c r="BC875" s="23">
        <v>8.9181565948742242E-2</v>
      </c>
      <c r="BD875" s="23">
        <v>0.10665277883445198</v>
      </c>
      <c r="BE875" s="23">
        <v>9.438849084854764E-2</v>
      </c>
      <c r="BF875" s="23">
        <v>7.149564986855049E-2</v>
      </c>
      <c r="BG875" s="23">
        <v>0.10368571810536763</v>
      </c>
      <c r="BH875" s="23">
        <v>8.4970330952544637E-2</v>
      </c>
      <c r="BI875" s="23">
        <v>8.4593878877262704E-2</v>
      </c>
      <c r="BJ875" s="23">
        <v>5.7447105462779965E-2</v>
      </c>
      <c r="BK875" s="23">
        <v>8.5153852345557474E-2</v>
      </c>
      <c r="BL875" s="23">
        <v>7.4158058913035174E-2</v>
      </c>
      <c r="BM875" s="23">
        <v>7.5718189192107169E-2</v>
      </c>
      <c r="BN875" s="23">
        <v>7.3955559365675619E-2</v>
      </c>
    </row>
    <row r="876" spans="1:66" x14ac:dyDescent="0.25">
      <c r="A876" s="16">
        <v>6643</v>
      </c>
      <c r="B876" s="16" t="s">
        <v>1070</v>
      </c>
      <c r="C876" s="17">
        <v>0</v>
      </c>
      <c r="D876" s="17">
        <f t="shared" si="490"/>
        <v>0</v>
      </c>
      <c r="E876" s="17">
        <f t="shared" si="491"/>
        <v>0</v>
      </c>
      <c r="F876" s="17">
        <f t="shared" si="492"/>
        <v>0</v>
      </c>
      <c r="G876" s="17">
        <f t="shared" si="493"/>
        <v>0</v>
      </c>
      <c r="H876" s="17">
        <f t="shared" si="494"/>
        <v>0</v>
      </c>
      <c r="I876" s="17">
        <f t="shared" si="495"/>
        <v>0</v>
      </c>
      <c r="J876" s="17">
        <f t="shared" si="496"/>
        <v>0</v>
      </c>
      <c r="K876" s="17">
        <f t="shared" si="497"/>
        <v>0</v>
      </c>
      <c r="L876" s="17">
        <f t="shared" si="498"/>
        <v>0</v>
      </c>
      <c r="M876" s="17">
        <f t="shared" si="499"/>
        <v>0</v>
      </c>
      <c r="N876" s="17">
        <f t="shared" si="500"/>
        <v>0</v>
      </c>
      <c r="O876" s="17">
        <f t="shared" si="501"/>
        <v>0</v>
      </c>
      <c r="P876" s="17">
        <v>0</v>
      </c>
      <c r="Q876" s="17">
        <f t="shared" si="502"/>
        <v>0</v>
      </c>
      <c r="R876" s="17">
        <f t="shared" si="503"/>
        <v>0</v>
      </c>
      <c r="S876" s="17">
        <f t="shared" si="504"/>
        <v>0</v>
      </c>
      <c r="T876" s="17">
        <f t="shared" si="505"/>
        <v>0</v>
      </c>
      <c r="U876" s="17">
        <f t="shared" si="506"/>
        <v>0</v>
      </c>
      <c r="V876" s="17">
        <f t="shared" si="507"/>
        <v>0</v>
      </c>
      <c r="W876" s="17">
        <f t="shared" si="508"/>
        <v>0</v>
      </c>
      <c r="X876" s="17">
        <f t="shared" si="509"/>
        <v>0</v>
      </c>
      <c r="Y876" s="17">
        <f t="shared" si="510"/>
        <v>0</v>
      </c>
      <c r="Z876" s="17">
        <f t="shared" si="511"/>
        <v>0</v>
      </c>
      <c r="AA876" s="17">
        <f t="shared" si="512"/>
        <v>0</v>
      </c>
      <c r="AB876" s="17">
        <f t="shared" si="513"/>
        <v>0</v>
      </c>
      <c r="AC876" s="17">
        <v>0</v>
      </c>
      <c r="AD876" s="17">
        <f t="shared" si="514"/>
        <v>0</v>
      </c>
      <c r="AE876" s="17">
        <f t="shared" si="515"/>
        <v>0</v>
      </c>
      <c r="AF876" s="17">
        <f t="shared" si="516"/>
        <v>0</v>
      </c>
      <c r="AG876" s="17">
        <f t="shared" si="517"/>
        <v>0</v>
      </c>
      <c r="AH876" s="17">
        <f t="shared" si="518"/>
        <v>0</v>
      </c>
      <c r="AI876" s="17">
        <f t="shared" si="519"/>
        <v>0</v>
      </c>
      <c r="AJ876" s="17">
        <f t="shared" si="520"/>
        <v>0</v>
      </c>
      <c r="AK876" s="17">
        <f t="shared" si="521"/>
        <v>0</v>
      </c>
      <c r="AL876" s="17">
        <f t="shared" si="522"/>
        <v>0</v>
      </c>
      <c r="AM876" s="17">
        <f t="shared" si="523"/>
        <v>0</v>
      </c>
      <c r="AN876" s="17">
        <f t="shared" si="524"/>
        <v>0</v>
      </c>
      <c r="AO876" s="17">
        <f t="shared" si="525"/>
        <v>0</v>
      </c>
      <c r="AP876" s="17">
        <f t="shared" si="526"/>
        <v>0</v>
      </c>
      <c r="AQ876" s="18">
        <v>0</v>
      </c>
      <c r="AR876" s="18">
        <v>0</v>
      </c>
      <c r="AS876" s="18">
        <v>0</v>
      </c>
      <c r="AT876" s="18">
        <v>0</v>
      </c>
      <c r="AU876" s="18">
        <v>0</v>
      </c>
      <c r="AV876" s="18">
        <v>0</v>
      </c>
      <c r="AW876" s="18">
        <v>0</v>
      </c>
      <c r="AX876" s="18">
        <v>0</v>
      </c>
      <c r="AY876" s="18">
        <v>0</v>
      </c>
      <c r="AZ876" s="18">
        <v>0</v>
      </c>
      <c r="BA876" s="18">
        <v>0</v>
      </c>
      <c r="BB876" s="18">
        <v>0</v>
      </c>
      <c r="BC876" s="23">
        <v>8.9181565948742242E-2</v>
      </c>
      <c r="BD876" s="23">
        <v>0.10665277883445198</v>
      </c>
      <c r="BE876" s="23">
        <v>9.438849084854764E-2</v>
      </c>
      <c r="BF876" s="23">
        <v>7.149564986855049E-2</v>
      </c>
      <c r="BG876" s="23">
        <v>0.10368571810536763</v>
      </c>
      <c r="BH876" s="23">
        <v>8.4970330952544637E-2</v>
      </c>
      <c r="BI876" s="23">
        <v>8.4593878877262704E-2</v>
      </c>
      <c r="BJ876" s="23">
        <v>5.7447105462779965E-2</v>
      </c>
      <c r="BK876" s="23">
        <v>8.5153852345557474E-2</v>
      </c>
      <c r="BL876" s="23">
        <v>7.4158058913035174E-2</v>
      </c>
      <c r="BM876" s="23">
        <v>7.5718189192107169E-2</v>
      </c>
      <c r="BN876" s="23">
        <v>7.3955559365675619E-2</v>
      </c>
    </row>
    <row r="877" spans="1:66" x14ac:dyDescent="0.25">
      <c r="A877" s="16">
        <v>6646</v>
      </c>
      <c r="B877" s="16" t="s">
        <v>1071</v>
      </c>
      <c r="C877" s="17">
        <v>0</v>
      </c>
      <c r="D877" s="17">
        <f t="shared" si="490"/>
        <v>0</v>
      </c>
      <c r="E877" s="17">
        <f t="shared" si="491"/>
        <v>0</v>
      </c>
      <c r="F877" s="17">
        <f t="shared" si="492"/>
        <v>0</v>
      </c>
      <c r="G877" s="17">
        <f t="shared" si="493"/>
        <v>0</v>
      </c>
      <c r="H877" s="17">
        <f t="shared" si="494"/>
        <v>0</v>
      </c>
      <c r="I877" s="17">
        <f t="shared" si="495"/>
        <v>0</v>
      </c>
      <c r="J877" s="17">
        <f t="shared" si="496"/>
        <v>0</v>
      </c>
      <c r="K877" s="17">
        <f t="shared" si="497"/>
        <v>0</v>
      </c>
      <c r="L877" s="17">
        <f t="shared" si="498"/>
        <v>0</v>
      </c>
      <c r="M877" s="17">
        <f t="shared" si="499"/>
        <v>0</v>
      </c>
      <c r="N877" s="17">
        <f t="shared" si="500"/>
        <v>0</v>
      </c>
      <c r="O877" s="17">
        <f t="shared" si="501"/>
        <v>0</v>
      </c>
      <c r="P877" s="17">
        <v>0</v>
      </c>
      <c r="Q877" s="17">
        <f t="shared" si="502"/>
        <v>0</v>
      </c>
      <c r="R877" s="17">
        <f t="shared" si="503"/>
        <v>0</v>
      </c>
      <c r="S877" s="17">
        <f t="shared" si="504"/>
        <v>0</v>
      </c>
      <c r="T877" s="17">
        <f t="shared" si="505"/>
        <v>0</v>
      </c>
      <c r="U877" s="17">
        <f t="shared" si="506"/>
        <v>0</v>
      </c>
      <c r="V877" s="17">
        <f t="shared" si="507"/>
        <v>0</v>
      </c>
      <c r="W877" s="17">
        <f t="shared" si="508"/>
        <v>0</v>
      </c>
      <c r="X877" s="17">
        <f t="shared" si="509"/>
        <v>0</v>
      </c>
      <c r="Y877" s="17">
        <f t="shared" si="510"/>
        <v>0</v>
      </c>
      <c r="Z877" s="17">
        <f t="shared" si="511"/>
        <v>0</v>
      </c>
      <c r="AA877" s="17">
        <f t="shared" si="512"/>
        <v>0</v>
      </c>
      <c r="AB877" s="17">
        <f t="shared" si="513"/>
        <v>0</v>
      </c>
      <c r="AC877" s="17">
        <v>0</v>
      </c>
      <c r="AD877" s="17">
        <f t="shared" si="514"/>
        <v>0</v>
      </c>
      <c r="AE877" s="17">
        <f t="shared" si="515"/>
        <v>0</v>
      </c>
      <c r="AF877" s="17">
        <f t="shared" si="516"/>
        <v>0</v>
      </c>
      <c r="AG877" s="17">
        <f t="shared" si="517"/>
        <v>0</v>
      </c>
      <c r="AH877" s="17">
        <f t="shared" si="518"/>
        <v>0</v>
      </c>
      <c r="AI877" s="17">
        <f t="shared" si="519"/>
        <v>0</v>
      </c>
      <c r="AJ877" s="17">
        <f t="shared" si="520"/>
        <v>0</v>
      </c>
      <c r="AK877" s="17">
        <f t="shared" si="521"/>
        <v>0</v>
      </c>
      <c r="AL877" s="17">
        <f t="shared" si="522"/>
        <v>0</v>
      </c>
      <c r="AM877" s="17">
        <f t="shared" si="523"/>
        <v>0</v>
      </c>
      <c r="AN877" s="17">
        <f t="shared" si="524"/>
        <v>0</v>
      </c>
      <c r="AO877" s="17">
        <f t="shared" si="525"/>
        <v>0</v>
      </c>
      <c r="AP877" s="17">
        <f t="shared" si="526"/>
        <v>0</v>
      </c>
      <c r="AQ877" s="18">
        <v>14.106740101772051</v>
      </c>
      <c r="AR877" s="18">
        <v>16.870336556033617</v>
      </c>
      <c r="AS877" s="18">
        <v>14.930371482423269</v>
      </c>
      <c r="AT877" s="18">
        <v>11.309181896207319</v>
      </c>
      <c r="AU877" s="18">
        <v>16.401006889907055</v>
      </c>
      <c r="AV877" s="18">
        <v>13.440606950073514</v>
      </c>
      <c r="AW877" s="18">
        <v>13.381059760805417</v>
      </c>
      <c r="AX877" s="18">
        <v>9.0869831421025378</v>
      </c>
      <c r="AY877" s="18">
        <v>13.469636364020284</v>
      </c>
      <c r="AZ877" s="18">
        <v>11.730321758863907</v>
      </c>
      <c r="BA877" s="18">
        <v>11.977103166407515</v>
      </c>
      <c r="BB877" s="18">
        <v>11.698290380462572</v>
      </c>
      <c r="BC877" s="23">
        <v>8.9181565948742242E-2</v>
      </c>
      <c r="BD877" s="23">
        <v>0.10665277883445198</v>
      </c>
      <c r="BE877" s="23">
        <v>9.438849084854764E-2</v>
      </c>
      <c r="BF877" s="23">
        <v>7.149564986855049E-2</v>
      </c>
      <c r="BG877" s="23">
        <v>0.10368571810536763</v>
      </c>
      <c r="BH877" s="23">
        <v>8.4970330952544637E-2</v>
      </c>
      <c r="BI877" s="23">
        <v>8.4593878877262704E-2</v>
      </c>
      <c r="BJ877" s="23">
        <v>5.7447105462779965E-2</v>
      </c>
      <c r="BK877" s="23">
        <v>8.5153852345557474E-2</v>
      </c>
      <c r="BL877" s="23">
        <v>7.4158058913035174E-2</v>
      </c>
      <c r="BM877" s="23">
        <v>7.5718189192107169E-2</v>
      </c>
      <c r="BN877" s="23">
        <v>7.3955559365675619E-2</v>
      </c>
    </row>
    <row r="878" spans="1:66" x14ac:dyDescent="0.25">
      <c r="A878" s="16">
        <v>6647</v>
      </c>
      <c r="B878" s="16" t="s">
        <v>1072</v>
      </c>
      <c r="C878" s="17">
        <v>0</v>
      </c>
      <c r="D878" s="17">
        <f t="shared" si="490"/>
        <v>0</v>
      </c>
      <c r="E878" s="17">
        <f t="shared" si="491"/>
        <v>0</v>
      </c>
      <c r="F878" s="17">
        <f t="shared" si="492"/>
        <v>0</v>
      </c>
      <c r="G878" s="17">
        <f t="shared" si="493"/>
        <v>0</v>
      </c>
      <c r="H878" s="17">
        <f t="shared" si="494"/>
        <v>0</v>
      </c>
      <c r="I878" s="17">
        <f t="shared" si="495"/>
        <v>0</v>
      </c>
      <c r="J878" s="17">
        <f t="shared" si="496"/>
        <v>0</v>
      </c>
      <c r="K878" s="17">
        <f t="shared" si="497"/>
        <v>0</v>
      </c>
      <c r="L878" s="17">
        <f t="shared" si="498"/>
        <v>0</v>
      </c>
      <c r="M878" s="17">
        <f t="shared" si="499"/>
        <v>0</v>
      </c>
      <c r="N878" s="17">
        <f t="shared" si="500"/>
        <v>0</v>
      </c>
      <c r="O878" s="17">
        <f t="shared" si="501"/>
        <v>0</v>
      </c>
      <c r="P878" s="17">
        <v>0</v>
      </c>
      <c r="Q878" s="17">
        <f t="shared" si="502"/>
        <v>0</v>
      </c>
      <c r="R878" s="17">
        <f t="shared" si="503"/>
        <v>0</v>
      </c>
      <c r="S878" s="17">
        <f t="shared" si="504"/>
        <v>0</v>
      </c>
      <c r="T878" s="17">
        <f t="shared" si="505"/>
        <v>0</v>
      </c>
      <c r="U878" s="17">
        <f t="shared" si="506"/>
        <v>0</v>
      </c>
      <c r="V878" s="17">
        <f t="shared" si="507"/>
        <v>0</v>
      </c>
      <c r="W878" s="17">
        <f t="shared" si="508"/>
        <v>0</v>
      </c>
      <c r="X878" s="17">
        <f t="shared" si="509"/>
        <v>0</v>
      </c>
      <c r="Y878" s="17">
        <f t="shared" si="510"/>
        <v>0</v>
      </c>
      <c r="Z878" s="17">
        <f t="shared" si="511"/>
        <v>0</v>
      </c>
      <c r="AA878" s="17">
        <f t="shared" si="512"/>
        <v>0</v>
      </c>
      <c r="AB878" s="17">
        <f t="shared" si="513"/>
        <v>0</v>
      </c>
      <c r="AC878" s="17">
        <v>250</v>
      </c>
      <c r="AD878" s="17">
        <f t="shared" si="514"/>
        <v>22.295391487185562</v>
      </c>
      <c r="AE878" s="17">
        <f t="shared" si="515"/>
        <v>26.663194708612995</v>
      </c>
      <c r="AF878" s="17">
        <f t="shared" si="516"/>
        <v>23.597122712136912</v>
      </c>
      <c r="AG878" s="17">
        <f t="shared" si="517"/>
        <v>17.873912467137622</v>
      </c>
      <c r="AH878" s="17">
        <f t="shared" si="518"/>
        <v>25.921429526341907</v>
      </c>
      <c r="AI878" s="17">
        <f t="shared" si="519"/>
        <v>21.242582738136161</v>
      </c>
      <c r="AJ878" s="17">
        <f t="shared" si="520"/>
        <v>21.148469719315678</v>
      </c>
      <c r="AK878" s="17">
        <f t="shared" si="521"/>
        <v>14.361776365694991</v>
      </c>
      <c r="AL878" s="17">
        <f t="shared" si="522"/>
        <v>21.288463086389367</v>
      </c>
      <c r="AM878" s="17">
        <f t="shared" si="523"/>
        <v>18.539514728258794</v>
      </c>
      <c r="AN878" s="17">
        <f t="shared" si="524"/>
        <v>18.929547298026794</v>
      </c>
      <c r="AO878" s="17">
        <f t="shared" si="525"/>
        <v>18.488889841418906</v>
      </c>
      <c r="AP878" s="17">
        <f t="shared" si="526"/>
        <v>250</v>
      </c>
      <c r="AQ878" s="18">
        <v>14.089082151714196</v>
      </c>
      <c r="AR878" s="18">
        <v>16.849219305824395</v>
      </c>
      <c r="AS878" s="18">
        <v>14.911682561235253</v>
      </c>
      <c r="AT878" s="18">
        <v>11.295025757533343</v>
      </c>
      <c r="AU878" s="18">
        <v>16.38047711772219</v>
      </c>
      <c r="AV878" s="18">
        <v>13.423782824544906</v>
      </c>
      <c r="AW878" s="18">
        <v>13.364310172787716</v>
      </c>
      <c r="AX878" s="18">
        <v>9.0756086152209043</v>
      </c>
      <c r="AY878" s="18">
        <v>13.45277590125586</v>
      </c>
      <c r="AZ878" s="18">
        <v>11.715638463199124</v>
      </c>
      <c r="BA878" s="18">
        <v>11.962110964947474</v>
      </c>
      <c r="BB878" s="18">
        <v>11.683647179708165</v>
      </c>
      <c r="BC878" s="23">
        <v>8.9181565948742242E-2</v>
      </c>
      <c r="BD878" s="23">
        <v>0.10665277883445198</v>
      </c>
      <c r="BE878" s="23">
        <v>9.438849084854764E-2</v>
      </c>
      <c r="BF878" s="23">
        <v>7.149564986855049E-2</v>
      </c>
      <c r="BG878" s="23">
        <v>0.10368571810536763</v>
      </c>
      <c r="BH878" s="23">
        <v>8.4970330952544637E-2</v>
      </c>
      <c r="BI878" s="23">
        <v>8.4593878877262704E-2</v>
      </c>
      <c r="BJ878" s="23">
        <v>5.7447105462779965E-2</v>
      </c>
      <c r="BK878" s="23">
        <v>8.5153852345557474E-2</v>
      </c>
      <c r="BL878" s="23">
        <v>7.4158058913035174E-2</v>
      </c>
      <c r="BM878" s="23">
        <v>7.5718189192107169E-2</v>
      </c>
      <c r="BN878" s="23">
        <v>7.3955559365675619E-2</v>
      </c>
    </row>
    <row r="879" spans="1:66" x14ac:dyDescent="0.25">
      <c r="A879" s="16">
        <v>6651</v>
      </c>
      <c r="B879" s="16" t="s">
        <v>1073</v>
      </c>
      <c r="C879" s="17">
        <v>0</v>
      </c>
      <c r="D879" s="17">
        <f t="shared" si="490"/>
        <v>0</v>
      </c>
      <c r="E879" s="17">
        <f t="shared" si="491"/>
        <v>0</v>
      </c>
      <c r="F879" s="17">
        <f t="shared" si="492"/>
        <v>0</v>
      </c>
      <c r="G879" s="17">
        <f t="shared" si="493"/>
        <v>0</v>
      </c>
      <c r="H879" s="17">
        <f t="shared" si="494"/>
        <v>0</v>
      </c>
      <c r="I879" s="17">
        <f t="shared" si="495"/>
        <v>0</v>
      </c>
      <c r="J879" s="17">
        <f t="shared" si="496"/>
        <v>0</v>
      </c>
      <c r="K879" s="17">
        <f t="shared" si="497"/>
        <v>0</v>
      </c>
      <c r="L879" s="17">
        <f t="shared" si="498"/>
        <v>0</v>
      </c>
      <c r="M879" s="17">
        <f t="shared" si="499"/>
        <v>0</v>
      </c>
      <c r="N879" s="17">
        <f t="shared" si="500"/>
        <v>0</v>
      </c>
      <c r="O879" s="17">
        <f t="shared" si="501"/>
        <v>0</v>
      </c>
      <c r="P879" s="17">
        <v>1500</v>
      </c>
      <c r="Q879" s="17">
        <f t="shared" si="502"/>
        <v>133.77234892311336</v>
      </c>
      <c r="R879" s="17">
        <f t="shared" si="503"/>
        <v>159.97916825167798</v>
      </c>
      <c r="S879" s="17">
        <f t="shared" si="504"/>
        <v>141.58273627282145</v>
      </c>
      <c r="T879" s="17">
        <f t="shared" si="505"/>
        <v>107.24347480282573</v>
      </c>
      <c r="U879" s="17">
        <f t="shared" si="506"/>
        <v>155.52857715805143</v>
      </c>
      <c r="V879" s="17">
        <f t="shared" si="507"/>
        <v>127.45549642881696</v>
      </c>
      <c r="W879" s="17">
        <f t="shared" si="508"/>
        <v>126.89081831589405</v>
      </c>
      <c r="X879" s="17">
        <f t="shared" si="509"/>
        <v>86.170658194169945</v>
      </c>
      <c r="Y879" s="17">
        <f t="shared" si="510"/>
        <v>127.73077851833621</v>
      </c>
      <c r="Z879" s="17">
        <f t="shared" si="511"/>
        <v>111.23708836955277</v>
      </c>
      <c r="AA879" s="17">
        <f t="shared" si="512"/>
        <v>113.57728378816076</v>
      </c>
      <c r="AB879" s="17">
        <f t="shared" si="513"/>
        <v>110.93333904851343</v>
      </c>
      <c r="AC879" s="17">
        <v>0</v>
      </c>
      <c r="AD879" s="17">
        <f t="shared" si="514"/>
        <v>0</v>
      </c>
      <c r="AE879" s="17">
        <f t="shared" si="515"/>
        <v>0</v>
      </c>
      <c r="AF879" s="17">
        <f t="shared" si="516"/>
        <v>0</v>
      </c>
      <c r="AG879" s="17">
        <f t="shared" si="517"/>
        <v>0</v>
      </c>
      <c r="AH879" s="17">
        <f t="shared" si="518"/>
        <v>0</v>
      </c>
      <c r="AI879" s="17">
        <f t="shared" si="519"/>
        <v>0</v>
      </c>
      <c r="AJ879" s="17">
        <f t="shared" si="520"/>
        <v>0</v>
      </c>
      <c r="AK879" s="17">
        <f t="shared" si="521"/>
        <v>0</v>
      </c>
      <c r="AL879" s="17">
        <f t="shared" si="522"/>
        <v>0</v>
      </c>
      <c r="AM879" s="17">
        <f t="shared" si="523"/>
        <v>0</v>
      </c>
      <c r="AN879" s="17">
        <f t="shared" si="524"/>
        <v>0</v>
      </c>
      <c r="AO879" s="17">
        <f t="shared" si="525"/>
        <v>0</v>
      </c>
      <c r="AP879" s="17">
        <f t="shared" si="526"/>
        <v>1500</v>
      </c>
      <c r="AQ879" s="18">
        <v>0</v>
      </c>
      <c r="AR879" s="18">
        <v>0</v>
      </c>
      <c r="AS879" s="18">
        <v>0</v>
      </c>
      <c r="AT879" s="18">
        <v>0</v>
      </c>
      <c r="AU879" s="18">
        <v>0</v>
      </c>
      <c r="AV879" s="18">
        <v>0</v>
      </c>
      <c r="AW879" s="18">
        <v>0</v>
      </c>
      <c r="AX879" s="18">
        <v>0</v>
      </c>
      <c r="AY879" s="18">
        <v>0</v>
      </c>
      <c r="AZ879" s="18">
        <v>0</v>
      </c>
      <c r="BA879" s="18">
        <v>0</v>
      </c>
      <c r="BB879" s="18">
        <v>0</v>
      </c>
      <c r="BC879" s="23">
        <v>8.9181565948742242E-2</v>
      </c>
      <c r="BD879" s="23">
        <v>0.10665277883445198</v>
      </c>
      <c r="BE879" s="23">
        <v>9.438849084854764E-2</v>
      </c>
      <c r="BF879" s="23">
        <v>7.149564986855049E-2</v>
      </c>
      <c r="BG879" s="23">
        <v>0.10368571810536763</v>
      </c>
      <c r="BH879" s="23">
        <v>8.4970330952544637E-2</v>
      </c>
      <c r="BI879" s="23">
        <v>8.4593878877262704E-2</v>
      </c>
      <c r="BJ879" s="23">
        <v>5.7447105462779965E-2</v>
      </c>
      <c r="BK879" s="23">
        <v>8.5153852345557474E-2</v>
      </c>
      <c r="BL879" s="23">
        <v>7.4158058913035174E-2</v>
      </c>
      <c r="BM879" s="23">
        <v>7.5718189192107169E-2</v>
      </c>
      <c r="BN879" s="23">
        <v>7.3955559365675619E-2</v>
      </c>
    </row>
    <row r="880" spans="1:66" x14ac:dyDescent="0.25">
      <c r="A880" s="16">
        <v>6654</v>
      </c>
      <c r="B880" s="16" t="s">
        <v>1074</v>
      </c>
      <c r="C880" s="17">
        <v>0</v>
      </c>
      <c r="D880" s="17">
        <f t="shared" si="490"/>
        <v>0</v>
      </c>
      <c r="E880" s="17">
        <f t="shared" si="491"/>
        <v>0</v>
      </c>
      <c r="F880" s="17">
        <f t="shared" si="492"/>
        <v>0</v>
      </c>
      <c r="G880" s="17">
        <f t="shared" si="493"/>
        <v>0</v>
      </c>
      <c r="H880" s="17">
        <f t="shared" si="494"/>
        <v>0</v>
      </c>
      <c r="I880" s="17">
        <f t="shared" si="495"/>
        <v>0</v>
      </c>
      <c r="J880" s="17">
        <f t="shared" si="496"/>
        <v>0</v>
      </c>
      <c r="K880" s="17">
        <f t="shared" si="497"/>
        <v>0</v>
      </c>
      <c r="L880" s="17">
        <f t="shared" si="498"/>
        <v>0</v>
      </c>
      <c r="M880" s="17">
        <f t="shared" si="499"/>
        <v>0</v>
      </c>
      <c r="N880" s="17">
        <f t="shared" si="500"/>
        <v>0</v>
      </c>
      <c r="O880" s="17">
        <f t="shared" si="501"/>
        <v>0</v>
      </c>
      <c r="P880" s="17">
        <v>0</v>
      </c>
      <c r="Q880" s="17">
        <f t="shared" si="502"/>
        <v>0</v>
      </c>
      <c r="R880" s="17">
        <f t="shared" si="503"/>
        <v>0</v>
      </c>
      <c r="S880" s="17">
        <f t="shared" si="504"/>
        <v>0</v>
      </c>
      <c r="T880" s="17">
        <f t="shared" si="505"/>
        <v>0</v>
      </c>
      <c r="U880" s="17">
        <f t="shared" si="506"/>
        <v>0</v>
      </c>
      <c r="V880" s="17">
        <f t="shared" si="507"/>
        <v>0</v>
      </c>
      <c r="W880" s="17">
        <f t="shared" si="508"/>
        <v>0</v>
      </c>
      <c r="X880" s="17">
        <f t="shared" si="509"/>
        <v>0</v>
      </c>
      <c r="Y880" s="17">
        <f t="shared" si="510"/>
        <v>0</v>
      </c>
      <c r="Z880" s="17">
        <f t="shared" si="511"/>
        <v>0</v>
      </c>
      <c r="AA880" s="17">
        <f t="shared" si="512"/>
        <v>0</v>
      </c>
      <c r="AB880" s="17">
        <f t="shared" si="513"/>
        <v>0</v>
      </c>
      <c r="AC880" s="17">
        <v>0</v>
      </c>
      <c r="AD880" s="17">
        <f t="shared" si="514"/>
        <v>0</v>
      </c>
      <c r="AE880" s="17">
        <f t="shared" si="515"/>
        <v>0</v>
      </c>
      <c r="AF880" s="17">
        <f t="shared" si="516"/>
        <v>0</v>
      </c>
      <c r="AG880" s="17">
        <f t="shared" si="517"/>
        <v>0</v>
      </c>
      <c r="AH880" s="17">
        <f t="shared" si="518"/>
        <v>0</v>
      </c>
      <c r="AI880" s="17">
        <f t="shared" si="519"/>
        <v>0</v>
      </c>
      <c r="AJ880" s="17">
        <f t="shared" si="520"/>
        <v>0</v>
      </c>
      <c r="AK880" s="17">
        <f t="shared" si="521"/>
        <v>0</v>
      </c>
      <c r="AL880" s="17">
        <f t="shared" si="522"/>
        <v>0</v>
      </c>
      <c r="AM880" s="17">
        <f t="shared" si="523"/>
        <v>0</v>
      </c>
      <c r="AN880" s="17">
        <f t="shared" si="524"/>
        <v>0</v>
      </c>
      <c r="AO880" s="17">
        <f t="shared" si="525"/>
        <v>0</v>
      </c>
      <c r="AP880" s="17">
        <f t="shared" si="526"/>
        <v>0</v>
      </c>
      <c r="AQ880" s="18">
        <v>40.358225854443816</v>
      </c>
      <c r="AR880" s="18">
        <v>48.2646485337429</v>
      </c>
      <c r="AS880" s="18">
        <v>42.714567648601751</v>
      </c>
      <c r="AT880" s="18">
        <v>32.354641391513837</v>
      </c>
      <c r="AU880" s="18">
        <v>46.921934871403067</v>
      </c>
      <c r="AV880" s="18">
        <v>38.452473569264555</v>
      </c>
      <c r="AW880" s="18">
        <v>38.282113947116464</v>
      </c>
      <c r="AX880" s="18">
        <v>25.997113106126445</v>
      </c>
      <c r="AY880" s="18">
        <v>38.535524340458579</v>
      </c>
      <c r="AZ880" s="18">
        <v>33.55948798050494</v>
      </c>
      <c r="BA880" s="18">
        <v>34.265509336996182</v>
      </c>
      <c r="BB880" s="18">
        <v>33.467848835342849</v>
      </c>
      <c r="BC880" s="23">
        <v>8.9181565948742242E-2</v>
      </c>
      <c r="BD880" s="23">
        <v>0.10665277883445198</v>
      </c>
      <c r="BE880" s="23">
        <v>9.438849084854764E-2</v>
      </c>
      <c r="BF880" s="23">
        <v>7.149564986855049E-2</v>
      </c>
      <c r="BG880" s="23">
        <v>0.10368571810536763</v>
      </c>
      <c r="BH880" s="23">
        <v>8.4970330952544637E-2</v>
      </c>
      <c r="BI880" s="23">
        <v>8.4593878877262704E-2</v>
      </c>
      <c r="BJ880" s="23">
        <v>5.7447105462779965E-2</v>
      </c>
      <c r="BK880" s="23">
        <v>8.5153852345557474E-2</v>
      </c>
      <c r="BL880" s="23">
        <v>7.4158058913035174E-2</v>
      </c>
      <c r="BM880" s="23">
        <v>7.5718189192107169E-2</v>
      </c>
      <c r="BN880" s="23">
        <v>7.3955559365675619E-2</v>
      </c>
    </row>
    <row r="881" spans="1:66" x14ac:dyDescent="0.25">
      <c r="A881" s="16">
        <v>6655</v>
      </c>
      <c r="B881" s="16" t="s">
        <v>1075</v>
      </c>
      <c r="C881" s="17">
        <v>0</v>
      </c>
      <c r="D881" s="17">
        <f t="shared" si="490"/>
        <v>0</v>
      </c>
      <c r="E881" s="17">
        <f t="shared" si="491"/>
        <v>0</v>
      </c>
      <c r="F881" s="17">
        <f t="shared" si="492"/>
        <v>0</v>
      </c>
      <c r="G881" s="17">
        <f t="shared" si="493"/>
        <v>0</v>
      </c>
      <c r="H881" s="17">
        <f t="shared" si="494"/>
        <v>0</v>
      </c>
      <c r="I881" s="17">
        <f t="shared" si="495"/>
        <v>0</v>
      </c>
      <c r="J881" s="17">
        <f t="shared" si="496"/>
        <v>0</v>
      </c>
      <c r="K881" s="17">
        <f t="shared" si="497"/>
        <v>0</v>
      </c>
      <c r="L881" s="17">
        <f t="shared" si="498"/>
        <v>0</v>
      </c>
      <c r="M881" s="17">
        <f t="shared" si="499"/>
        <v>0</v>
      </c>
      <c r="N881" s="17">
        <f t="shared" si="500"/>
        <v>0</v>
      </c>
      <c r="O881" s="17">
        <f t="shared" si="501"/>
        <v>0</v>
      </c>
      <c r="P881" s="17">
        <v>0</v>
      </c>
      <c r="Q881" s="17">
        <f t="shared" si="502"/>
        <v>0</v>
      </c>
      <c r="R881" s="17">
        <f t="shared" si="503"/>
        <v>0</v>
      </c>
      <c r="S881" s="17">
        <f t="shared" si="504"/>
        <v>0</v>
      </c>
      <c r="T881" s="17">
        <f t="shared" si="505"/>
        <v>0</v>
      </c>
      <c r="U881" s="17">
        <f t="shared" si="506"/>
        <v>0</v>
      </c>
      <c r="V881" s="17">
        <f t="shared" si="507"/>
        <v>0</v>
      </c>
      <c r="W881" s="17">
        <f t="shared" si="508"/>
        <v>0</v>
      </c>
      <c r="X881" s="17">
        <f t="shared" si="509"/>
        <v>0</v>
      </c>
      <c r="Y881" s="17">
        <f t="shared" si="510"/>
        <v>0</v>
      </c>
      <c r="Z881" s="17">
        <f t="shared" si="511"/>
        <v>0</v>
      </c>
      <c r="AA881" s="17">
        <f t="shared" si="512"/>
        <v>0</v>
      </c>
      <c r="AB881" s="17">
        <f t="shared" si="513"/>
        <v>0</v>
      </c>
      <c r="AC881" s="17">
        <v>0</v>
      </c>
      <c r="AD881" s="17">
        <f t="shared" si="514"/>
        <v>0</v>
      </c>
      <c r="AE881" s="17">
        <f t="shared" si="515"/>
        <v>0</v>
      </c>
      <c r="AF881" s="17">
        <f t="shared" si="516"/>
        <v>0</v>
      </c>
      <c r="AG881" s="17">
        <f t="shared" si="517"/>
        <v>0</v>
      </c>
      <c r="AH881" s="17">
        <f t="shared" si="518"/>
        <v>0</v>
      </c>
      <c r="AI881" s="17">
        <f t="shared" si="519"/>
        <v>0</v>
      </c>
      <c r="AJ881" s="17">
        <f t="shared" si="520"/>
        <v>0</v>
      </c>
      <c r="AK881" s="17">
        <f t="shared" si="521"/>
        <v>0</v>
      </c>
      <c r="AL881" s="17">
        <f t="shared" si="522"/>
        <v>0</v>
      </c>
      <c r="AM881" s="17">
        <f t="shared" si="523"/>
        <v>0</v>
      </c>
      <c r="AN881" s="17">
        <f t="shared" si="524"/>
        <v>0</v>
      </c>
      <c r="AO881" s="17">
        <f t="shared" si="525"/>
        <v>0</v>
      </c>
      <c r="AP881" s="17">
        <f t="shared" si="526"/>
        <v>0</v>
      </c>
      <c r="AQ881" s="18">
        <v>0</v>
      </c>
      <c r="AR881" s="18">
        <v>0</v>
      </c>
      <c r="AS881" s="18">
        <v>0</v>
      </c>
      <c r="AT881" s="18">
        <v>0</v>
      </c>
      <c r="AU881" s="18">
        <v>0</v>
      </c>
      <c r="AV881" s="18">
        <v>0</v>
      </c>
      <c r="AW881" s="18">
        <v>0</v>
      </c>
      <c r="AX881" s="18">
        <v>0</v>
      </c>
      <c r="AY881" s="18">
        <v>0</v>
      </c>
      <c r="AZ881" s="18">
        <v>0</v>
      </c>
      <c r="BA881" s="18">
        <v>0</v>
      </c>
      <c r="BB881" s="18">
        <v>0</v>
      </c>
      <c r="BC881" s="23">
        <v>8.9181565948742242E-2</v>
      </c>
      <c r="BD881" s="23">
        <v>0.10665277883445198</v>
      </c>
      <c r="BE881" s="23">
        <v>9.438849084854764E-2</v>
      </c>
      <c r="BF881" s="23">
        <v>7.149564986855049E-2</v>
      </c>
      <c r="BG881" s="23">
        <v>0.10368571810536763</v>
      </c>
      <c r="BH881" s="23">
        <v>8.4970330952544637E-2</v>
      </c>
      <c r="BI881" s="23">
        <v>8.4593878877262704E-2</v>
      </c>
      <c r="BJ881" s="23">
        <v>5.7447105462779965E-2</v>
      </c>
      <c r="BK881" s="23">
        <v>8.5153852345557474E-2</v>
      </c>
      <c r="BL881" s="23">
        <v>7.4158058913035174E-2</v>
      </c>
      <c r="BM881" s="23">
        <v>7.5718189192107169E-2</v>
      </c>
      <c r="BN881" s="23">
        <v>7.3955559365675619E-2</v>
      </c>
    </row>
    <row r="882" spans="1:66" x14ac:dyDescent="0.25">
      <c r="A882" s="16">
        <v>6662</v>
      </c>
      <c r="B882" s="16" t="s">
        <v>1076</v>
      </c>
      <c r="C882" s="17">
        <v>0</v>
      </c>
      <c r="D882" s="17">
        <f t="shared" si="490"/>
        <v>0</v>
      </c>
      <c r="E882" s="17">
        <f t="shared" si="491"/>
        <v>0</v>
      </c>
      <c r="F882" s="17">
        <f t="shared" si="492"/>
        <v>0</v>
      </c>
      <c r="G882" s="17">
        <f t="shared" si="493"/>
        <v>0</v>
      </c>
      <c r="H882" s="17">
        <f t="shared" si="494"/>
        <v>0</v>
      </c>
      <c r="I882" s="17">
        <f t="shared" si="495"/>
        <v>0</v>
      </c>
      <c r="J882" s="17">
        <f t="shared" si="496"/>
        <v>0</v>
      </c>
      <c r="K882" s="17">
        <f t="shared" si="497"/>
        <v>0</v>
      </c>
      <c r="L882" s="17">
        <f t="shared" si="498"/>
        <v>0</v>
      </c>
      <c r="M882" s="17">
        <f t="shared" si="499"/>
        <v>0</v>
      </c>
      <c r="N882" s="17">
        <f t="shared" si="500"/>
        <v>0</v>
      </c>
      <c r="O882" s="17">
        <f t="shared" si="501"/>
        <v>0</v>
      </c>
      <c r="P882" s="17">
        <v>0</v>
      </c>
      <c r="Q882" s="17">
        <f t="shared" si="502"/>
        <v>0</v>
      </c>
      <c r="R882" s="17">
        <f t="shared" si="503"/>
        <v>0</v>
      </c>
      <c r="S882" s="17">
        <f t="shared" si="504"/>
        <v>0</v>
      </c>
      <c r="T882" s="17">
        <f t="shared" si="505"/>
        <v>0</v>
      </c>
      <c r="U882" s="17">
        <f t="shared" si="506"/>
        <v>0</v>
      </c>
      <c r="V882" s="17">
        <f t="shared" si="507"/>
        <v>0</v>
      </c>
      <c r="W882" s="17">
        <f t="shared" si="508"/>
        <v>0</v>
      </c>
      <c r="X882" s="17">
        <f t="shared" si="509"/>
        <v>0</v>
      </c>
      <c r="Y882" s="17">
        <f t="shared" si="510"/>
        <v>0</v>
      </c>
      <c r="Z882" s="17">
        <f t="shared" si="511"/>
        <v>0</v>
      </c>
      <c r="AA882" s="17">
        <f t="shared" si="512"/>
        <v>0</v>
      </c>
      <c r="AB882" s="17">
        <f t="shared" si="513"/>
        <v>0</v>
      </c>
      <c r="AC882" s="17">
        <v>0</v>
      </c>
      <c r="AD882" s="17">
        <f t="shared" si="514"/>
        <v>0</v>
      </c>
      <c r="AE882" s="17">
        <f t="shared" si="515"/>
        <v>0</v>
      </c>
      <c r="AF882" s="17">
        <f t="shared" si="516"/>
        <v>0</v>
      </c>
      <c r="AG882" s="17">
        <f t="shared" si="517"/>
        <v>0</v>
      </c>
      <c r="AH882" s="17">
        <f t="shared" si="518"/>
        <v>0</v>
      </c>
      <c r="AI882" s="17">
        <f t="shared" si="519"/>
        <v>0</v>
      </c>
      <c r="AJ882" s="17">
        <f t="shared" si="520"/>
        <v>0</v>
      </c>
      <c r="AK882" s="17">
        <f t="shared" si="521"/>
        <v>0</v>
      </c>
      <c r="AL882" s="17">
        <f t="shared" si="522"/>
        <v>0</v>
      </c>
      <c r="AM882" s="17">
        <f t="shared" si="523"/>
        <v>0</v>
      </c>
      <c r="AN882" s="17">
        <f t="shared" si="524"/>
        <v>0</v>
      </c>
      <c r="AO882" s="17">
        <f t="shared" si="525"/>
        <v>0</v>
      </c>
      <c r="AP882" s="17">
        <f t="shared" si="526"/>
        <v>0</v>
      </c>
      <c r="AQ882" s="18">
        <v>0</v>
      </c>
      <c r="AR882" s="18">
        <v>0</v>
      </c>
      <c r="AS882" s="18">
        <v>0</v>
      </c>
      <c r="AT882" s="18">
        <v>0</v>
      </c>
      <c r="AU882" s="18">
        <v>0</v>
      </c>
      <c r="AV882" s="18">
        <v>0</v>
      </c>
      <c r="AW882" s="18">
        <v>0</v>
      </c>
      <c r="AX882" s="18">
        <v>0</v>
      </c>
      <c r="AY882" s="18">
        <v>0</v>
      </c>
      <c r="AZ882" s="18">
        <v>0</v>
      </c>
      <c r="BA882" s="18">
        <v>0</v>
      </c>
      <c r="BB882" s="18">
        <v>0</v>
      </c>
      <c r="BC882" s="23">
        <v>8.9181565948742242E-2</v>
      </c>
      <c r="BD882" s="23">
        <v>0.10665277883445198</v>
      </c>
      <c r="BE882" s="23">
        <v>9.438849084854764E-2</v>
      </c>
      <c r="BF882" s="23">
        <v>7.149564986855049E-2</v>
      </c>
      <c r="BG882" s="23">
        <v>0.10368571810536763</v>
      </c>
      <c r="BH882" s="23">
        <v>8.4970330952544637E-2</v>
      </c>
      <c r="BI882" s="23">
        <v>8.4593878877262704E-2</v>
      </c>
      <c r="BJ882" s="23">
        <v>5.7447105462779965E-2</v>
      </c>
      <c r="BK882" s="23">
        <v>8.5153852345557474E-2</v>
      </c>
      <c r="BL882" s="23">
        <v>7.4158058913035174E-2</v>
      </c>
      <c r="BM882" s="23">
        <v>7.5718189192107169E-2</v>
      </c>
      <c r="BN882" s="23">
        <v>7.3955559365675619E-2</v>
      </c>
    </row>
    <row r="883" spans="1:66" x14ac:dyDescent="0.25">
      <c r="A883" s="16">
        <v>6664</v>
      </c>
      <c r="B883" s="16" t="s">
        <v>1077</v>
      </c>
      <c r="C883" s="17">
        <v>0</v>
      </c>
      <c r="D883" s="17">
        <f t="shared" si="490"/>
        <v>0</v>
      </c>
      <c r="E883" s="17">
        <f t="shared" si="491"/>
        <v>0</v>
      </c>
      <c r="F883" s="17">
        <f t="shared" si="492"/>
        <v>0</v>
      </c>
      <c r="G883" s="17">
        <f t="shared" si="493"/>
        <v>0</v>
      </c>
      <c r="H883" s="17">
        <f t="shared" si="494"/>
        <v>0</v>
      </c>
      <c r="I883" s="17">
        <f t="shared" si="495"/>
        <v>0</v>
      </c>
      <c r="J883" s="17">
        <f t="shared" si="496"/>
        <v>0</v>
      </c>
      <c r="K883" s="17">
        <f t="shared" si="497"/>
        <v>0</v>
      </c>
      <c r="L883" s="17">
        <f t="shared" si="498"/>
        <v>0</v>
      </c>
      <c r="M883" s="17">
        <f t="shared" si="499"/>
        <v>0</v>
      </c>
      <c r="N883" s="17">
        <f t="shared" si="500"/>
        <v>0</v>
      </c>
      <c r="O883" s="17">
        <f t="shared" si="501"/>
        <v>0</v>
      </c>
      <c r="P883" s="17">
        <v>0</v>
      </c>
      <c r="Q883" s="17">
        <f t="shared" si="502"/>
        <v>0</v>
      </c>
      <c r="R883" s="17">
        <f t="shared" si="503"/>
        <v>0</v>
      </c>
      <c r="S883" s="17">
        <f t="shared" si="504"/>
        <v>0</v>
      </c>
      <c r="T883" s="17">
        <f t="shared" si="505"/>
        <v>0</v>
      </c>
      <c r="U883" s="17">
        <f t="shared" si="506"/>
        <v>0</v>
      </c>
      <c r="V883" s="17">
        <f t="shared" si="507"/>
        <v>0</v>
      </c>
      <c r="W883" s="17">
        <f t="shared" si="508"/>
        <v>0</v>
      </c>
      <c r="X883" s="17">
        <f t="shared" si="509"/>
        <v>0</v>
      </c>
      <c r="Y883" s="17">
        <f t="shared" si="510"/>
        <v>0</v>
      </c>
      <c r="Z883" s="17">
        <f t="shared" si="511"/>
        <v>0</v>
      </c>
      <c r="AA883" s="17">
        <f t="shared" si="512"/>
        <v>0</v>
      </c>
      <c r="AB883" s="17">
        <f t="shared" si="513"/>
        <v>0</v>
      </c>
      <c r="AC883" s="17">
        <v>0</v>
      </c>
      <c r="AD883" s="17">
        <f t="shared" si="514"/>
        <v>0</v>
      </c>
      <c r="AE883" s="17">
        <f t="shared" si="515"/>
        <v>0</v>
      </c>
      <c r="AF883" s="17">
        <f t="shared" si="516"/>
        <v>0</v>
      </c>
      <c r="AG883" s="17">
        <f t="shared" si="517"/>
        <v>0</v>
      </c>
      <c r="AH883" s="17">
        <f t="shared" si="518"/>
        <v>0</v>
      </c>
      <c r="AI883" s="17">
        <f t="shared" si="519"/>
        <v>0</v>
      </c>
      <c r="AJ883" s="17">
        <f t="shared" si="520"/>
        <v>0</v>
      </c>
      <c r="AK883" s="17">
        <f t="shared" si="521"/>
        <v>0</v>
      </c>
      <c r="AL883" s="17">
        <f t="shared" si="522"/>
        <v>0</v>
      </c>
      <c r="AM883" s="17">
        <f t="shared" si="523"/>
        <v>0</v>
      </c>
      <c r="AN883" s="17">
        <f t="shared" si="524"/>
        <v>0</v>
      </c>
      <c r="AO883" s="17">
        <f t="shared" si="525"/>
        <v>0</v>
      </c>
      <c r="AP883" s="17">
        <f t="shared" si="526"/>
        <v>0</v>
      </c>
      <c r="AQ883" s="18">
        <v>0.15695955606978637</v>
      </c>
      <c r="AR883" s="18">
        <v>0.1877088907486355</v>
      </c>
      <c r="AS883" s="18">
        <v>0.16612374389344386</v>
      </c>
      <c r="AT883" s="18">
        <v>0.12583234376864888</v>
      </c>
      <c r="AU883" s="18">
        <v>0.18248686386544705</v>
      </c>
      <c r="AV883" s="18">
        <v>0.14954778247647857</v>
      </c>
      <c r="AW883" s="18">
        <v>0.14888522682398239</v>
      </c>
      <c r="AX883" s="18">
        <v>0.10110690561449276</v>
      </c>
      <c r="AY883" s="18">
        <v>0.14987078012818117</v>
      </c>
      <c r="AZ883" s="18">
        <v>0.13051818368694193</v>
      </c>
      <c r="BA883" s="18">
        <v>0.13326401297810864</v>
      </c>
      <c r="BB883" s="18">
        <v>0.13016178448358912</v>
      </c>
      <c r="BC883" s="23">
        <v>8.9181565948742242E-2</v>
      </c>
      <c r="BD883" s="23">
        <v>0.10665277883445198</v>
      </c>
      <c r="BE883" s="23">
        <v>9.438849084854764E-2</v>
      </c>
      <c r="BF883" s="23">
        <v>7.149564986855049E-2</v>
      </c>
      <c r="BG883" s="23">
        <v>0.10368571810536763</v>
      </c>
      <c r="BH883" s="23">
        <v>8.4970330952544637E-2</v>
      </c>
      <c r="BI883" s="23">
        <v>8.4593878877262704E-2</v>
      </c>
      <c r="BJ883" s="23">
        <v>5.7447105462779965E-2</v>
      </c>
      <c r="BK883" s="23">
        <v>8.5153852345557474E-2</v>
      </c>
      <c r="BL883" s="23">
        <v>7.4158058913035174E-2</v>
      </c>
      <c r="BM883" s="23">
        <v>7.5718189192107169E-2</v>
      </c>
      <c r="BN883" s="23">
        <v>7.3955559365675619E-2</v>
      </c>
    </row>
    <row r="884" spans="1:66" x14ac:dyDescent="0.25">
      <c r="A884" s="16">
        <v>6666</v>
      </c>
      <c r="B884" s="16" t="s">
        <v>1078</v>
      </c>
      <c r="C884" s="17">
        <v>0</v>
      </c>
      <c r="D884" s="17">
        <f t="shared" si="490"/>
        <v>0</v>
      </c>
      <c r="E884" s="17">
        <f t="shared" si="491"/>
        <v>0</v>
      </c>
      <c r="F884" s="17">
        <f t="shared" si="492"/>
        <v>0</v>
      </c>
      <c r="G884" s="17">
        <f t="shared" si="493"/>
        <v>0</v>
      </c>
      <c r="H884" s="17">
        <f t="shared" si="494"/>
        <v>0</v>
      </c>
      <c r="I884" s="17">
        <f t="shared" si="495"/>
        <v>0</v>
      </c>
      <c r="J884" s="17">
        <f t="shared" si="496"/>
        <v>0</v>
      </c>
      <c r="K884" s="17">
        <f t="shared" si="497"/>
        <v>0</v>
      </c>
      <c r="L884" s="17">
        <f t="shared" si="498"/>
        <v>0</v>
      </c>
      <c r="M884" s="17">
        <f t="shared" si="499"/>
        <v>0</v>
      </c>
      <c r="N884" s="17">
        <f t="shared" si="500"/>
        <v>0</v>
      </c>
      <c r="O884" s="17">
        <f t="shared" si="501"/>
        <v>0</v>
      </c>
      <c r="P884" s="17">
        <v>0</v>
      </c>
      <c r="Q884" s="17">
        <f t="shared" si="502"/>
        <v>0</v>
      </c>
      <c r="R884" s="17">
        <f t="shared" si="503"/>
        <v>0</v>
      </c>
      <c r="S884" s="17">
        <f t="shared" si="504"/>
        <v>0</v>
      </c>
      <c r="T884" s="17">
        <f t="shared" si="505"/>
        <v>0</v>
      </c>
      <c r="U884" s="17">
        <f t="shared" si="506"/>
        <v>0</v>
      </c>
      <c r="V884" s="17">
        <f t="shared" si="507"/>
        <v>0</v>
      </c>
      <c r="W884" s="17">
        <f t="shared" si="508"/>
        <v>0</v>
      </c>
      <c r="X884" s="17">
        <f t="shared" si="509"/>
        <v>0</v>
      </c>
      <c r="Y884" s="17">
        <f t="shared" si="510"/>
        <v>0</v>
      </c>
      <c r="Z884" s="17">
        <f t="shared" si="511"/>
        <v>0</v>
      </c>
      <c r="AA884" s="17">
        <f t="shared" si="512"/>
        <v>0</v>
      </c>
      <c r="AB884" s="17">
        <f t="shared" si="513"/>
        <v>0</v>
      </c>
      <c r="AC884" s="17">
        <v>0</v>
      </c>
      <c r="AD884" s="17">
        <f t="shared" si="514"/>
        <v>0</v>
      </c>
      <c r="AE884" s="17">
        <f t="shared" si="515"/>
        <v>0</v>
      </c>
      <c r="AF884" s="17">
        <f t="shared" si="516"/>
        <v>0</v>
      </c>
      <c r="AG884" s="17">
        <f t="shared" si="517"/>
        <v>0</v>
      </c>
      <c r="AH884" s="17">
        <f t="shared" si="518"/>
        <v>0</v>
      </c>
      <c r="AI884" s="17">
        <f t="shared" si="519"/>
        <v>0</v>
      </c>
      <c r="AJ884" s="17">
        <f t="shared" si="520"/>
        <v>0</v>
      </c>
      <c r="AK884" s="17">
        <f t="shared" si="521"/>
        <v>0</v>
      </c>
      <c r="AL884" s="17">
        <f t="shared" si="522"/>
        <v>0</v>
      </c>
      <c r="AM884" s="17">
        <f t="shared" si="523"/>
        <v>0</v>
      </c>
      <c r="AN884" s="17">
        <f t="shared" si="524"/>
        <v>0</v>
      </c>
      <c r="AO884" s="17">
        <f t="shared" si="525"/>
        <v>0</v>
      </c>
      <c r="AP884" s="17">
        <f t="shared" si="526"/>
        <v>0</v>
      </c>
      <c r="AQ884" s="18">
        <v>0</v>
      </c>
      <c r="AR884" s="18">
        <v>0</v>
      </c>
      <c r="AS884" s="18">
        <v>0</v>
      </c>
      <c r="AT884" s="18">
        <v>0</v>
      </c>
      <c r="AU884" s="18">
        <v>0</v>
      </c>
      <c r="AV884" s="18">
        <v>0</v>
      </c>
      <c r="AW884" s="18">
        <v>0</v>
      </c>
      <c r="AX884" s="18">
        <v>0</v>
      </c>
      <c r="AY884" s="18">
        <v>0</v>
      </c>
      <c r="AZ884" s="18">
        <v>0</v>
      </c>
      <c r="BA884" s="18">
        <v>0</v>
      </c>
      <c r="BB884" s="18">
        <v>0</v>
      </c>
      <c r="BC884" s="23">
        <v>8.9181565948742242E-2</v>
      </c>
      <c r="BD884" s="23">
        <v>0.10665277883445198</v>
      </c>
      <c r="BE884" s="23">
        <v>9.438849084854764E-2</v>
      </c>
      <c r="BF884" s="23">
        <v>7.149564986855049E-2</v>
      </c>
      <c r="BG884" s="23">
        <v>0.10368571810536763</v>
      </c>
      <c r="BH884" s="23">
        <v>8.4970330952544637E-2</v>
      </c>
      <c r="BI884" s="23">
        <v>8.4593878877262704E-2</v>
      </c>
      <c r="BJ884" s="23">
        <v>5.7447105462779965E-2</v>
      </c>
      <c r="BK884" s="23">
        <v>8.5153852345557474E-2</v>
      </c>
      <c r="BL884" s="23">
        <v>7.4158058913035174E-2</v>
      </c>
      <c r="BM884" s="23">
        <v>7.5718189192107169E-2</v>
      </c>
      <c r="BN884" s="23">
        <v>7.3955559365675619E-2</v>
      </c>
    </row>
    <row r="885" spans="1:66" x14ac:dyDescent="0.25">
      <c r="A885" s="16">
        <v>6670</v>
      </c>
      <c r="B885" s="16" t="s">
        <v>1079</v>
      </c>
      <c r="C885" s="17">
        <v>0</v>
      </c>
      <c r="D885" s="17">
        <f t="shared" si="490"/>
        <v>0</v>
      </c>
      <c r="E885" s="17">
        <f t="shared" si="491"/>
        <v>0</v>
      </c>
      <c r="F885" s="17">
        <f t="shared" si="492"/>
        <v>0</v>
      </c>
      <c r="G885" s="17">
        <f t="shared" si="493"/>
        <v>0</v>
      </c>
      <c r="H885" s="17">
        <f t="shared" si="494"/>
        <v>0</v>
      </c>
      <c r="I885" s="17">
        <f t="shared" si="495"/>
        <v>0</v>
      </c>
      <c r="J885" s="17">
        <f t="shared" si="496"/>
        <v>0</v>
      </c>
      <c r="K885" s="17">
        <f t="shared" si="497"/>
        <v>0</v>
      </c>
      <c r="L885" s="17">
        <f t="shared" si="498"/>
        <v>0</v>
      </c>
      <c r="M885" s="17">
        <f t="shared" si="499"/>
        <v>0</v>
      </c>
      <c r="N885" s="17">
        <f t="shared" si="500"/>
        <v>0</v>
      </c>
      <c r="O885" s="17">
        <f t="shared" si="501"/>
        <v>0</v>
      </c>
      <c r="P885" s="17">
        <v>0</v>
      </c>
      <c r="Q885" s="17">
        <f t="shared" si="502"/>
        <v>0</v>
      </c>
      <c r="R885" s="17">
        <f t="shared" si="503"/>
        <v>0</v>
      </c>
      <c r="S885" s="17">
        <f t="shared" si="504"/>
        <v>0</v>
      </c>
      <c r="T885" s="17">
        <f t="shared" si="505"/>
        <v>0</v>
      </c>
      <c r="U885" s="17">
        <f t="shared" si="506"/>
        <v>0</v>
      </c>
      <c r="V885" s="17">
        <f t="shared" si="507"/>
        <v>0</v>
      </c>
      <c r="W885" s="17">
        <f t="shared" si="508"/>
        <v>0</v>
      </c>
      <c r="X885" s="17">
        <f t="shared" si="509"/>
        <v>0</v>
      </c>
      <c r="Y885" s="17">
        <f t="shared" si="510"/>
        <v>0</v>
      </c>
      <c r="Z885" s="17">
        <f t="shared" si="511"/>
        <v>0</v>
      </c>
      <c r="AA885" s="17">
        <f t="shared" si="512"/>
        <v>0</v>
      </c>
      <c r="AB885" s="17">
        <f t="shared" si="513"/>
        <v>0</v>
      </c>
      <c r="AC885" s="17">
        <v>0</v>
      </c>
      <c r="AD885" s="17">
        <f t="shared" si="514"/>
        <v>0</v>
      </c>
      <c r="AE885" s="17">
        <f t="shared" si="515"/>
        <v>0</v>
      </c>
      <c r="AF885" s="17">
        <f t="shared" si="516"/>
        <v>0</v>
      </c>
      <c r="AG885" s="17">
        <f t="shared" si="517"/>
        <v>0</v>
      </c>
      <c r="AH885" s="17">
        <f t="shared" si="518"/>
        <v>0</v>
      </c>
      <c r="AI885" s="17">
        <f t="shared" si="519"/>
        <v>0</v>
      </c>
      <c r="AJ885" s="17">
        <f t="shared" si="520"/>
        <v>0</v>
      </c>
      <c r="AK885" s="17">
        <f t="shared" si="521"/>
        <v>0</v>
      </c>
      <c r="AL885" s="17">
        <f t="shared" si="522"/>
        <v>0</v>
      </c>
      <c r="AM885" s="17">
        <f t="shared" si="523"/>
        <v>0</v>
      </c>
      <c r="AN885" s="17">
        <f t="shared" si="524"/>
        <v>0</v>
      </c>
      <c r="AO885" s="17">
        <f t="shared" si="525"/>
        <v>0</v>
      </c>
      <c r="AP885" s="17">
        <f t="shared" si="526"/>
        <v>0</v>
      </c>
      <c r="AQ885" s="18">
        <v>2.3279064159600189</v>
      </c>
      <c r="AR885" s="18">
        <v>2.7839574859157001</v>
      </c>
      <c r="AS885" s="18">
        <v>2.4638227766196392</v>
      </c>
      <c r="AT885" s="18">
        <v>1.8662509485187735</v>
      </c>
      <c r="AU885" s="18">
        <v>2.7065082997044114</v>
      </c>
      <c r="AV885" s="18">
        <v>2.217980548854273</v>
      </c>
      <c r="AW885" s="18">
        <v>2.2081540203331884</v>
      </c>
      <c r="AX885" s="18">
        <v>1.4995417938949456</v>
      </c>
      <c r="AY885" s="18">
        <v>2.2227710077760867</v>
      </c>
      <c r="AZ885" s="18">
        <v>1.9357478118069573</v>
      </c>
      <c r="BA885" s="18">
        <v>1.9764718924815736</v>
      </c>
      <c r="BB885" s="18">
        <v>1.9304619661222309</v>
      </c>
      <c r="BC885" s="23">
        <v>8.9181565948742242E-2</v>
      </c>
      <c r="BD885" s="23">
        <v>0.10665277883445198</v>
      </c>
      <c r="BE885" s="23">
        <v>9.438849084854764E-2</v>
      </c>
      <c r="BF885" s="23">
        <v>7.149564986855049E-2</v>
      </c>
      <c r="BG885" s="23">
        <v>0.10368571810536763</v>
      </c>
      <c r="BH885" s="23">
        <v>8.4970330952544637E-2</v>
      </c>
      <c r="BI885" s="23">
        <v>8.4593878877262704E-2</v>
      </c>
      <c r="BJ885" s="23">
        <v>5.7447105462779965E-2</v>
      </c>
      <c r="BK885" s="23">
        <v>8.5153852345557474E-2</v>
      </c>
      <c r="BL885" s="23">
        <v>7.4158058913035174E-2</v>
      </c>
      <c r="BM885" s="23">
        <v>7.5718189192107169E-2</v>
      </c>
      <c r="BN885" s="23">
        <v>7.3955559365675619E-2</v>
      </c>
    </row>
    <row r="886" spans="1:66" x14ac:dyDescent="0.25">
      <c r="A886" s="16">
        <v>6674</v>
      </c>
      <c r="B886" s="16" t="s">
        <v>1080</v>
      </c>
      <c r="C886" s="17">
        <v>0</v>
      </c>
      <c r="D886" s="17">
        <f t="shared" si="490"/>
        <v>0</v>
      </c>
      <c r="E886" s="17">
        <f t="shared" si="491"/>
        <v>0</v>
      </c>
      <c r="F886" s="17">
        <f t="shared" si="492"/>
        <v>0</v>
      </c>
      <c r="G886" s="17">
        <f t="shared" si="493"/>
        <v>0</v>
      </c>
      <c r="H886" s="17">
        <f t="shared" si="494"/>
        <v>0</v>
      </c>
      <c r="I886" s="17">
        <f t="shared" si="495"/>
        <v>0</v>
      </c>
      <c r="J886" s="17">
        <f t="shared" si="496"/>
        <v>0</v>
      </c>
      <c r="K886" s="17">
        <f t="shared" si="497"/>
        <v>0</v>
      </c>
      <c r="L886" s="17">
        <f t="shared" si="498"/>
        <v>0</v>
      </c>
      <c r="M886" s="17">
        <f t="shared" si="499"/>
        <v>0</v>
      </c>
      <c r="N886" s="17">
        <f t="shared" si="500"/>
        <v>0</v>
      </c>
      <c r="O886" s="17">
        <f t="shared" si="501"/>
        <v>0</v>
      </c>
      <c r="P886" s="17">
        <v>0</v>
      </c>
      <c r="Q886" s="17">
        <f t="shared" si="502"/>
        <v>0</v>
      </c>
      <c r="R886" s="17">
        <f t="shared" si="503"/>
        <v>0</v>
      </c>
      <c r="S886" s="17">
        <f t="shared" si="504"/>
        <v>0</v>
      </c>
      <c r="T886" s="17">
        <f t="shared" si="505"/>
        <v>0</v>
      </c>
      <c r="U886" s="17">
        <f t="shared" si="506"/>
        <v>0</v>
      </c>
      <c r="V886" s="17">
        <f t="shared" si="507"/>
        <v>0</v>
      </c>
      <c r="W886" s="17">
        <f t="shared" si="508"/>
        <v>0</v>
      </c>
      <c r="X886" s="17">
        <f t="shared" si="509"/>
        <v>0</v>
      </c>
      <c r="Y886" s="17">
        <f t="shared" si="510"/>
        <v>0</v>
      </c>
      <c r="Z886" s="17">
        <f t="shared" si="511"/>
        <v>0</v>
      </c>
      <c r="AA886" s="17">
        <f t="shared" si="512"/>
        <v>0</v>
      </c>
      <c r="AB886" s="17">
        <f t="shared" si="513"/>
        <v>0</v>
      </c>
      <c r="AC886" s="17">
        <v>0</v>
      </c>
      <c r="AD886" s="17">
        <f t="shared" si="514"/>
        <v>0</v>
      </c>
      <c r="AE886" s="17">
        <f t="shared" si="515"/>
        <v>0</v>
      </c>
      <c r="AF886" s="17">
        <f t="shared" si="516"/>
        <v>0</v>
      </c>
      <c r="AG886" s="17">
        <f t="shared" si="517"/>
        <v>0</v>
      </c>
      <c r="AH886" s="17">
        <f t="shared" si="518"/>
        <v>0</v>
      </c>
      <c r="AI886" s="17">
        <f t="shared" si="519"/>
        <v>0</v>
      </c>
      <c r="AJ886" s="17">
        <f t="shared" si="520"/>
        <v>0</v>
      </c>
      <c r="AK886" s="17">
        <f t="shared" si="521"/>
        <v>0</v>
      </c>
      <c r="AL886" s="17">
        <f t="shared" si="522"/>
        <v>0</v>
      </c>
      <c r="AM886" s="17">
        <f t="shared" si="523"/>
        <v>0</v>
      </c>
      <c r="AN886" s="17">
        <f t="shared" si="524"/>
        <v>0</v>
      </c>
      <c r="AO886" s="17">
        <f t="shared" si="525"/>
        <v>0</v>
      </c>
      <c r="AP886" s="17">
        <f t="shared" si="526"/>
        <v>0</v>
      </c>
      <c r="AQ886" s="18">
        <v>0.26486925086776453</v>
      </c>
      <c r="AR886" s="18">
        <v>0.31675875313832247</v>
      </c>
      <c r="AS886" s="18">
        <v>0.28033381782018657</v>
      </c>
      <c r="AT886" s="18">
        <v>0.21234208010959499</v>
      </c>
      <c r="AU886" s="18">
        <v>0.3079465827729419</v>
      </c>
      <c r="AV886" s="18">
        <v>0.25236188292905765</v>
      </c>
      <c r="AW886" s="18">
        <v>0.25124382026547026</v>
      </c>
      <c r="AX886" s="18">
        <v>0.17061790322445652</v>
      </c>
      <c r="AY886" s="18">
        <v>0.25290694146630577</v>
      </c>
      <c r="AZ886" s="18">
        <v>0.22024943497171451</v>
      </c>
      <c r="BA886" s="18">
        <v>0.22488302190055834</v>
      </c>
      <c r="BB886" s="18">
        <v>0.21964801131605663</v>
      </c>
      <c r="BC886" s="23">
        <v>8.9181565948742242E-2</v>
      </c>
      <c r="BD886" s="23">
        <v>0.10665277883445198</v>
      </c>
      <c r="BE886" s="23">
        <v>9.438849084854764E-2</v>
      </c>
      <c r="BF886" s="23">
        <v>7.149564986855049E-2</v>
      </c>
      <c r="BG886" s="23">
        <v>0.10368571810536763</v>
      </c>
      <c r="BH886" s="23">
        <v>8.4970330952544637E-2</v>
      </c>
      <c r="BI886" s="23">
        <v>8.4593878877262704E-2</v>
      </c>
      <c r="BJ886" s="23">
        <v>5.7447105462779965E-2</v>
      </c>
      <c r="BK886" s="23">
        <v>8.5153852345557474E-2</v>
      </c>
      <c r="BL886" s="23">
        <v>7.4158058913035174E-2</v>
      </c>
      <c r="BM886" s="23">
        <v>7.5718189192107169E-2</v>
      </c>
      <c r="BN886" s="23">
        <v>7.3955559365675619E-2</v>
      </c>
    </row>
    <row r="887" spans="1:66" x14ac:dyDescent="0.25">
      <c r="A887" s="16">
        <v>6676</v>
      </c>
      <c r="B887" s="16" t="s">
        <v>1081</v>
      </c>
      <c r="C887" s="17">
        <v>0</v>
      </c>
      <c r="D887" s="17">
        <f t="shared" si="490"/>
        <v>0</v>
      </c>
      <c r="E887" s="17">
        <f t="shared" si="491"/>
        <v>0</v>
      </c>
      <c r="F887" s="17">
        <f t="shared" si="492"/>
        <v>0</v>
      </c>
      <c r="G887" s="17">
        <f t="shared" si="493"/>
        <v>0</v>
      </c>
      <c r="H887" s="17">
        <f t="shared" si="494"/>
        <v>0</v>
      </c>
      <c r="I887" s="17">
        <f t="shared" si="495"/>
        <v>0</v>
      </c>
      <c r="J887" s="17">
        <f t="shared" si="496"/>
        <v>0</v>
      </c>
      <c r="K887" s="17">
        <f t="shared" si="497"/>
        <v>0</v>
      </c>
      <c r="L887" s="17">
        <f t="shared" si="498"/>
        <v>0</v>
      </c>
      <c r="M887" s="17">
        <f t="shared" si="499"/>
        <v>0</v>
      </c>
      <c r="N887" s="17">
        <f t="shared" si="500"/>
        <v>0</v>
      </c>
      <c r="O887" s="17">
        <f t="shared" si="501"/>
        <v>0</v>
      </c>
      <c r="P887" s="17">
        <v>0</v>
      </c>
      <c r="Q887" s="17">
        <f t="shared" si="502"/>
        <v>0</v>
      </c>
      <c r="R887" s="17">
        <f t="shared" si="503"/>
        <v>0</v>
      </c>
      <c r="S887" s="17">
        <f t="shared" si="504"/>
        <v>0</v>
      </c>
      <c r="T887" s="17">
        <f t="shared" si="505"/>
        <v>0</v>
      </c>
      <c r="U887" s="17">
        <f t="shared" si="506"/>
        <v>0</v>
      </c>
      <c r="V887" s="17">
        <f t="shared" si="507"/>
        <v>0</v>
      </c>
      <c r="W887" s="17">
        <f t="shared" si="508"/>
        <v>0</v>
      </c>
      <c r="X887" s="17">
        <f t="shared" si="509"/>
        <v>0</v>
      </c>
      <c r="Y887" s="17">
        <f t="shared" si="510"/>
        <v>0</v>
      </c>
      <c r="Z887" s="17">
        <f t="shared" si="511"/>
        <v>0</v>
      </c>
      <c r="AA887" s="17">
        <f t="shared" si="512"/>
        <v>0</v>
      </c>
      <c r="AB887" s="17">
        <f t="shared" si="513"/>
        <v>0</v>
      </c>
      <c r="AC887" s="17">
        <v>0</v>
      </c>
      <c r="AD887" s="17">
        <f t="shared" si="514"/>
        <v>0</v>
      </c>
      <c r="AE887" s="17">
        <f t="shared" si="515"/>
        <v>0</v>
      </c>
      <c r="AF887" s="17">
        <f t="shared" si="516"/>
        <v>0</v>
      </c>
      <c r="AG887" s="17">
        <f t="shared" si="517"/>
        <v>0</v>
      </c>
      <c r="AH887" s="17">
        <f t="shared" si="518"/>
        <v>0</v>
      </c>
      <c r="AI887" s="17">
        <f t="shared" si="519"/>
        <v>0</v>
      </c>
      <c r="AJ887" s="17">
        <f t="shared" si="520"/>
        <v>0</v>
      </c>
      <c r="AK887" s="17">
        <f t="shared" si="521"/>
        <v>0</v>
      </c>
      <c r="AL887" s="17">
        <f t="shared" si="522"/>
        <v>0</v>
      </c>
      <c r="AM887" s="17">
        <f t="shared" si="523"/>
        <v>0</v>
      </c>
      <c r="AN887" s="17">
        <f t="shared" si="524"/>
        <v>0</v>
      </c>
      <c r="AO887" s="17">
        <f t="shared" si="525"/>
        <v>0</v>
      </c>
      <c r="AP887" s="17">
        <f t="shared" si="526"/>
        <v>0</v>
      </c>
      <c r="AQ887" s="18">
        <v>3.0459963849792913</v>
      </c>
      <c r="AR887" s="18">
        <v>3.6427256610907075</v>
      </c>
      <c r="AS887" s="18">
        <v>3.223838904932145</v>
      </c>
      <c r="AT887" s="18">
        <v>2.4419339212603419</v>
      </c>
      <c r="AU887" s="18">
        <v>3.5413857018888315</v>
      </c>
      <c r="AV887" s="18">
        <v>2.9021616536841623</v>
      </c>
      <c r="AW887" s="18">
        <v>2.8893039330529078</v>
      </c>
      <c r="AX887" s="18">
        <v>1.9621058870812498</v>
      </c>
      <c r="AY887" s="18">
        <v>2.9084298268625157</v>
      </c>
      <c r="AZ887" s="18">
        <v>2.5328685021747166</v>
      </c>
      <c r="BA887" s="18">
        <v>2.5861547518564203</v>
      </c>
      <c r="BB887" s="18">
        <v>2.5259521301346508</v>
      </c>
      <c r="BC887" s="23">
        <v>8.9181565948742242E-2</v>
      </c>
      <c r="BD887" s="23">
        <v>0.10665277883445198</v>
      </c>
      <c r="BE887" s="23">
        <v>9.438849084854764E-2</v>
      </c>
      <c r="BF887" s="23">
        <v>7.149564986855049E-2</v>
      </c>
      <c r="BG887" s="23">
        <v>0.10368571810536763</v>
      </c>
      <c r="BH887" s="23">
        <v>8.4970330952544637E-2</v>
      </c>
      <c r="BI887" s="23">
        <v>8.4593878877262704E-2</v>
      </c>
      <c r="BJ887" s="23">
        <v>5.7447105462779965E-2</v>
      </c>
      <c r="BK887" s="23">
        <v>8.5153852345557474E-2</v>
      </c>
      <c r="BL887" s="23">
        <v>7.4158058913035174E-2</v>
      </c>
      <c r="BM887" s="23">
        <v>7.5718189192107169E-2</v>
      </c>
      <c r="BN887" s="23">
        <v>7.3955559365675619E-2</v>
      </c>
    </row>
    <row r="888" spans="1:66" x14ac:dyDescent="0.25">
      <c r="A888" s="16">
        <v>6681</v>
      </c>
      <c r="B888" s="16" t="s">
        <v>1082</v>
      </c>
      <c r="C888" s="17">
        <v>0</v>
      </c>
      <c r="D888" s="17">
        <f t="shared" si="490"/>
        <v>0</v>
      </c>
      <c r="E888" s="17">
        <f t="shared" si="491"/>
        <v>0</v>
      </c>
      <c r="F888" s="17">
        <f t="shared" si="492"/>
        <v>0</v>
      </c>
      <c r="G888" s="17">
        <f t="shared" si="493"/>
        <v>0</v>
      </c>
      <c r="H888" s="17">
        <f t="shared" si="494"/>
        <v>0</v>
      </c>
      <c r="I888" s="17">
        <f t="shared" si="495"/>
        <v>0</v>
      </c>
      <c r="J888" s="17">
        <f t="shared" si="496"/>
        <v>0</v>
      </c>
      <c r="K888" s="17">
        <f t="shared" si="497"/>
        <v>0</v>
      </c>
      <c r="L888" s="17">
        <f t="shared" si="498"/>
        <v>0</v>
      </c>
      <c r="M888" s="17">
        <f t="shared" si="499"/>
        <v>0</v>
      </c>
      <c r="N888" s="17">
        <f t="shared" si="500"/>
        <v>0</v>
      </c>
      <c r="O888" s="17">
        <f t="shared" si="501"/>
        <v>0</v>
      </c>
      <c r="P888" s="17">
        <v>0</v>
      </c>
      <c r="Q888" s="17">
        <f t="shared" si="502"/>
        <v>0</v>
      </c>
      <c r="R888" s="17">
        <f t="shared" si="503"/>
        <v>0</v>
      </c>
      <c r="S888" s="17">
        <f t="shared" si="504"/>
        <v>0</v>
      </c>
      <c r="T888" s="17">
        <f t="shared" si="505"/>
        <v>0</v>
      </c>
      <c r="U888" s="17">
        <f t="shared" si="506"/>
        <v>0</v>
      </c>
      <c r="V888" s="17">
        <f t="shared" si="507"/>
        <v>0</v>
      </c>
      <c r="W888" s="17">
        <f t="shared" si="508"/>
        <v>0</v>
      </c>
      <c r="X888" s="17">
        <f t="shared" si="509"/>
        <v>0</v>
      </c>
      <c r="Y888" s="17">
        <f t="shared" si="510"/>
        <v>0</v>
      </c>
      <c r="Z888" s="17">
        <f t="shared" si="511"/>
        <v>0</v>
      </c>
      <c r="AA888" s="17">
        <f t="shared" si="512"/>
        <v>0</v>
      </c>
      <c r="AB888" s="17">
        <f t="shared" si="513"/>
        <v>0</v>
      </c>
      <c r="AC888" s="17">
        <v>0</v>
      </c>
      <c r="AD888" s="17">
        <f t="shared" si="514"/>
        <v>0</v>
      </c>
      <c r="AE888" s="17">
        <f t="shared" si="515"/>
        <v>0</v>
      </c>
      <c r="AF888" s="17">
        <f t="shared" si="516"/>
        <v>0</v>
      </c>
      <c r="AG888" s="17">
        <f t="shared" si="517"/>
        <v>0</v>
      </c>
      <c r="AH888" s="17">
        <f t="shared" si="518"/>
        <v>0</v>
      </c>
      <c r="AI888" s="17">
        <f t="shared" si="519"/>
        <v>0</v>
      </c>
      <c r="AJ888" s="17">
        <f t="shared" si="520"/>
        <v>0</v>
      </c>
      <c r="AK888" s="17">
        <f t="shared" si="521"/>
        <v>0</v>
      </c>
      <c r="AL888" s="17">
        <f t="shared" si="522"/>
        <v>0</v>
      </c>
      <c r="AM888" s="17">
        <f t="shared" si="523"/>
        <v>0</v>
      </c>
      <c r="AN888" s="17">
        <f t="shared" si="524"/>
        <v>0</v>
      </c>
      <c r="AO888" s="17">
        <f t="shared" si="525"/>
        <v>0</v>
      </c>
      <c r="AP888" s="17">
        <f t="shared" si="526"/>
        <v>0</v>
      </c>
      <c r="AQ888" s="18">
        <v>9.6628226705462232</v>
      </c>
      <c r="AR888" s="18">
        <v>11.555828586712874</v>
      </c>
      <c r="AS888" s="18">
        <v>10.226992983440137</v>
      </c>
      <c r="AT888" s="18">
        <v>7.7465536632574459</v>
      </c>
      <c r="AU888" s="18">
        <v>11.234347556716584</v>
      </c>
      <c r="AV888" s="18">
        <v>9.2065353587082122</v>
      </c>
      <c r="AW888" s="18">
        <v>9.1657467763514155</v>
      </c>
      <c r="AX888" s="18">
        <v>6.2243938768922096</v>
      </c>
      <c r="AY888" s="18">
        <v>9.2264199016411528</v>
      </c>
      <c r="AZ888" s="18">
        <v>8.0350256832273619</v>
      </c>
      <c r="BA888" s="18">
        <v>8.2040657989648125</v>
      </c>
      <c r="BB888" s="18">
        <v>8.0130848572709539</v>
      </c>
      <c r="BC888" s="23">
        <v>8.9181565948742242E-2</v>
      </c>
      <c r="BD888" s="23">
        <v>0.10665277883445198</v>
      </c>
      <c r="BE888" s="23">
        <v>9.438849084854764E-2</v>
      </c>
      <c r="BF888" s="23">
        <v>7.149564986855049E-2</v>
      </c>
      <c r="BG888" s="23">
        <v>0.10368571810536763</v>
      </c>
      <c r="BH888" s="23">
        <v>8.4970330952544637E-2</v>
      </c>
      <c r="BI888" s="23">
        <v>8.4593878877262704E-2</v>
      </c>
      <c r="BJ888" s="23">
        <v>5.7447105462779965E-2</v>
      </c>
      <c r="BK888" s="23">
        <v>8.5153852345557474E-2</v>
      </c>
      <c r="BL888" s="23">
        <v>7.4158058913035174E-2</v>
      </c>
      <c r="BM888" s="23">
        <v>7.5718189192107169E-2</v>
      </c>
      <c r="BN888" s="23">
        <v>7.3955559365675619E-2</v>
      </c>
    </row>
    <row r="889" spans="1:66" x14ac:dyDescent="0.25">
      <c r="A889" s="16">
        <v>6683</v>
      </c>
      <c r="B889" s="16" t="s">
        <v>1083</v>
      </c>
      <c r="C889" s="17">
        <v>0</v>
      </c>
      <c r="D889" s="17">
        <f t="shared" si="490"/>
        <v>0</v>
      </c>
      <c r="E889" s="17">
        <f t="shared" si="491"/>
        <v>0</v>
      </c>
      <c r="F889" s="17">
        <f t="shared" si="492"/>
        <v>0</v>
      </c>
      <c r="G889" s="17">
        <f t="shared" si="493"/>
        <v>0</v>
      </c>
      <c r="H889" s="17">
        <f t="shared" si="494"/>
        <v>0</v>
      </c>
      <c r="I889" s="17">
        <f t="shared" si="495"/>
        <v>0</v>
      </c>
      <c r="J889" s="17">
        <f t="shared" si="496"/>
        <v>0</v>
      </c>
      <c r="K889" s="17">
        <f t="shared" si="497"/>
        <v>0</v>
      </c>
      <c r="L889" s="17">
        <f t="shared" si="498"/>
        <v>0</v>
      </c>
      <c r="M889" s="17">
        <f t="shared" si="499"/>
        <v>0</v>
      </c>
      <c r="N889" s="17">
        <f t="shared" si="500"/>
        <v>0</v>
      </c>
      <c r="O889" s="17">
        <f t="shared" si="501"/>
        <v>0</v>
      </c>
      <c r="P889" s="17">
        <v>5000</v>
      </c>
      <c r="Q889" s="17">
        <f t="shared" si="502"/>
        <v>445.9078297437112</v>
      </c>
      <c r="R889" s="17">
        <f t="shared" si="503"/>
        <v>533.26389417225994</v>
      </c>
      <c r="S889" s="17">
        <f t="shared" si="504"/>
        <v>471.94245424273822</v>
      </c>
      <c r="T889" s="17">
        <f t="shared" si="505"/>
        <v>357.47824934275246</v>
      </c>
      <c r="U889" s="17">
        <f t="shared" si="506"/>
        <v>518.42859052683809</v>
      </c>
      <c r="V889" s="17">
        <f t="shared" si="507"/>
        <v>424.85165476272317</v>
      </c>
      <c r="W889" s="17">
        <f t="shared" si="508"/>
        <v>422.96939438631352</v>
      </c>
      <c r="X889" s="17">
        <f t="shared" si="509"/>
        <v>287.23552731389981</v>
      </c>
      <c r="Y889" s="17">
        <f t="shared" si="510"/>
        <v>425.76926172778735</v>
      </c>
      <c r="Z889" s="17">
        <f t="shared" si="511"/>
        <v>370.79029456517588</v>
      </c>
      <c r="AA889" s="17">
        <f t="shared" si="512"/>
        <v>378.59094596053586</v>
      </c>
      <c r="AB889" s="17">
        <f t="shared" si="513"/>
        <v>369.77779682837809</v>
      </c>
      <c r="AC889" s="17">
        <v>0</v>
      </c>
      <c r="AD889" s="17">
        <f t="shared" si="514"/>
        <v>0</v>
      </c>
      <c r="AE889" s="17">
        <f t="shared" si="515"/>
        <v>0</v>
      </c>
      <c r="AF889" s="17">
        <f t="shared" si="516"/>
        <v>0</v>
      </c>
      <c r="AG889" s="17">
        <f t="shared" si="517"/>
        <v>0</v>
      </c>
      <c r="AH889" s="17">
        <f t="shared" si="518"/>
        <v>0</v>
      </c>
      <c r="AI889" s="17">
        <f t="shared" si="519"/>
        <v>0</v>
      </c>
      <c r="AJ889" s="17">
        <f t="shared" si="520"/>
        <v>0</v>
      </c>
      <c r="AK889" s="17">
        <f t="shared" si="521"/>
        <v>0</v>
      </c>
      <c r="AL889" s="17">
        <f t="shared" si="522"/>
        <v>0</v>
      </c>
      <c r="AM889" s="17">
        <f t="shared" si="523"/>
        <v>0</v>
      </c>
      <c r="AN889" s="17">
        <f t="shared" si="524"/>
        <v>0</v>
      </c>
      <c r="AO889" s="17">
        <f t="shared" si="525"/>
        <v>0</v>
      </c>
      <c r="AP889" s="17">
        <f t="shared" si="526"/>
        <v>5000</v>
      </c>
      <c r="AQ889" s="18">
        <v>0</v>
      </c>
      <c r="AR889" s="18">
        <v>0</v>
      </c>
      <c r="AS889" s="18">
        <v>0</v>
      </c>
      <c r="AT889" s="18">
        <v>0</v>
      </c>
      <c r="AU889" s="18">
        <v>0</v>
      </c>
      <c r="AV889" s="18">
        <v>0</v>
      </c>
      <c r="AW889" s="18">
        <v>0</v>
      </c>
      <c r="AX889" s="18">
        <v>0</v>
      </c>
      <c r="AY889" s="18">
        <v>0</v>
      </c>
      <c r="AZ889" s="18">
        <v>0</v>
      </c>
      <c r="BA889" s="18">
        <v>0</v>
      </c>
      <c r="BB889" s="18">
        <v>0</v>
      </c>
      <c r="BC889" s="23">
        <v>8.9181565948742242E-2</v>
      </c>
      <c r="BD889" s="23">
        <v>0.10665277883445198</v>
      </c>
      <c r="BE889" s="23">
        <v>9.438849084854764E-2</v>
      </c>
      <c r="BF889" s="23">
        <v>7.149564986855049E-2</v>
      </c>
      <c r="BG889" s="23">
        <v>0.10368571810536763</v>
      </c>
      <c r="BH889" s="23">
        <v>8.4970330952544637E-2</v>
      </c>
      <c r="BI889" s="23">
        <v>8.4593878877262704E-2</v>
      </c>
      <c r="BJ889" s="23">
        <v>5.7447105462779965E-2</v>
      </c>
      <c r="BK889" s="23">
        <v>8.5153852345557474E-2</v>
      </c>
      <c r="BL889" s="23">
        <v>7.4158058913035174E-2</v>
      </c>
      <c r="BM889" s="23">
        <v>7.5718189192107169E-2</v>
      </c>
      <c r="BN889" s="23">
        <v>7.3955559365675619E-2</v>
      </c>
    </row>
    <row r="890" spans="1:66" x14ac:dyDescent="0.25">
      <c r="A890" s="16">
        <v>6686</v>
      </c>
      <c r="B890" s="16" t="s">
        <v>1084</v>
      </c>
      <c r="C890" s="17">
        <v>0</v>
      </c>
      <c r="D890" s="17">
        <f t="shared" si="490"/>
        <v>0</v>
      </c>
      <c r="E890" s="17">
        <f t="shared" si="491"/>
        <v>0</v>
      </c>
      <c r="F890" s="17">
        <f t="shared" si="492"/>
        <v>0</v>
      </c>
      <c r="G890" s="17">
        <f t="shared" si="493"/>
        <v>0</v>
      </c>
      <c r="H890" s="17">
        <f t="shared" si="494"/>
        <v>0</v>
      </c>
      <c r="I890" s="17">
        <f t="shared" si="495"/>
        <v>0</v>
      </c>
      <c r="J890" s="17">
        <f t="shared" si="496"/>
        <v>0</v>
      </c>
      <c r="K890" s="17">
        <f t="shared" si="497"/>
        <v>0</v>
      </c>
      <c r="L890" s="17">
        <f t="shared" si="498"/>
        <v>0</v>
      </c>
      <c r="M890" s="17">
        <f t="shared" si="499"/>
        <v>0</v>
      </c>
      <c r="N890" s="17">
        <f t="shared" si="500"/>
        <v>0</v>
      </c>
      <c r="O890" s="17">
        <f t="shared" si="501"/>
        <v>0</v>
      </c>
      <c r="P890" s="17">
        <v>0</v>
      </c>
      <c r="Q890" s="17">
        <f t="shared" si="502"/>
        <v>0</v>
      </c>
      <c r="R890" s="17">
        <f t="shared" si="503"/>
        <v>0</v>
      </c>
      <c r="S890" s="17">
        <f t="shared" si="504"/>
        <v>0</v>
      </c>
      <c r="T890" s="17">
        <f t="shared" si="505"/>
        <v>0</v>
      </c>
      <c r="U890" s="17">
        <f t="shared" si="506"/>
        <v>0</v>
      </c>
      <c r="V890" s="17">
        <f t="shared" si="507"/>
        <v>0</v>
      </c>
      <c r="W890" s="17">
        <f t="shared" si="508"/>
        <v>0</v>
      </c>
      <c r="X890" s="17">
        <f t="shared" si="509"/>
        <v>0</v>
      </c>
      <c r="Y890" s="17">
        <f t="shared" si="510"/>
        <v>0</v>
      </c>
      <c r="Z890" s="17">
        <f t="shared" si="511"/>
        <v>0</v>
      </c>
      <c r="AA890" s="17">
        <f t="shared" si="512"/>
        <v>0</v>
      </c>
      <c r="AB890" s="17">
        <f t="shared" si="513"/>
        <v>0</v>
      </c>
      <c r="AC890" s="17">
        <v>0</v>
      </c>
      <c r="AD890" s="17">
        <f t="shared" si="514"/>
        <v>0</v>
      </c>
      <c r="AE890" s="17">
        <f t="shared" si="515"/>
        <v>0</v>
      </c>
      <c r="AF890" s="17">
        <f t="shared" si="516"/>
        <v>0</v>
      </c>
      <c r="AG890" s="17">
        <f t="shared" si="517"/>
        <v>0</v>
      </c>
      <c r="AH890" s="17">
        <f t="shared" si="518"/>
        <v>0</v>
      </c>
      <c r="AI890" s="17">
        <f t="shared" si="519"/>
        <v>0</v>
      </c>
      <c r="AJ890" s="17">
        <f t="shared" si="520"/>
        <v>0</v>
      </c>
      <c r="AK890" s="17">
        <f t="shared" si="521"/>
        <v>0</v>
      </c>
      <c r="AL890" s="17">
        <f t="shared" si="522"/>
        <v>0</v>
      </c>
      <c r="AM890" s="17">
        <f t="shared" si="523"/>
        <v>0</v>
      </c>
      <c r="AN890" s="17">
        <f t="shared" si="524"/>
        <v>0</v>
      </c>
      <c r="AO890" s="17">
        <f t="shared" si="525"/>
        <v>0</v>
      </c>
      <c r="AP890" s="17">
        <f t="shared" si="526"/>
        <v>0</v>
      </c>
      <c r="AQ890" s="18">
        <v>65.923013549310269</v>
      </c>
      <c r="AR890" s="18">
        <v>78.837734114426908</v>
      </c>
      <c r="AS890" s="18">
        <v>69.771972435246425</v>
      </c>
      <c r="AT890" s="18">
        <v>52.849584382832525</v>
      </c>
      <c r="AU890" s="18">
        <v>76.644482823487749</v>
      </c>
      <c r="AV890" s="18">
        <v>62.810068640121003</v>
      </c>
      <c r="AW890" s="18">
        <v>62.531795266072592</v>
      </c>
      <c r="AX890" s="18">
        <v>42.46490035808695</v>
      </c>
      <c r="AY890" s="18">
        <v>62.945727653836087</v>
      </c>
      <c r="AZ890" s="18">
        <v>54.817637148515601</v>
      </c>
      <c r="BA890" s="18">
        <v>55.970885450805625</v>
      </c>
      <c r="BB890" s="18">
        <v>54.667949483107421</v>
      </c>
      <c r="BC890" s="23">
        <v>8.9181565948742242E-2</v>
      </c>
      <c r="BD890" s="23">
        <v>0.10665277883445198</v>
      </c>
      <c r="BE890" s="23">
        <v>9.438849084854764E-2</v>
      </c>
      <c r="BF890" s="23">
        <v>7.149564986855049E-2</v>
      </c>
      <c r="BG890" s="23">
        <v>0.10368571810536763</v>
      </c>
      <c r="BH890" s="23">
        <v>8.4970330952544637E-2</v>
      </c>
      <c r="BI890" s="23">
        <v>8.4593878877262704E-2</v>
      </c>
      <c r="BJ890" s="23">
        <v>5.7447105462779965E-2</v>
      </c>
      <c r="BK890" s="23">
        <v>8.5153852345557474E-2</v>
      </c>
      <c r="BL890" s="23">
        <v>7.4158058913035174E-2</v>
      </c>
      <c r="BM890" s="23">
        <v>7.5718189192107169E-2</v>
      </c>
      <c r="BN890" s="23">
        <v>7.3955559365675619E-2</v>
      </c>
    </row>
    <row r="891" spans="1:66" x14ac:dyDescent="0.25">
      <c r="A891" s="16">
        <v>6689</v>
      </c>
      <c r="B891" s="16" t="s">
        <v>1085</v>
      </c>
      <c r="C891" s="17">
        <v>0</v>
      </c>
      <c r="D891" s="17">
        <f t="shared" si="490"/>
        <v>0</v>
      </c>
      <c r="E891" s="17">
        <f t="shared" si="491"/>
        <v>0</v>
      </c>
      <c r="F891" s="17">
        <f t="shared" si="492"/>
        <v>0</v>
      </c>
      <c r="G891" s="17">
        <f t="shared" si="493"/>
        <v>0</v>
      </c>
      <c r="H891" s="17">
        <f t="shared" si="494"/>
        <v>0</v>
      </c>
      <c r="I891" s="17">
        <f t="shared" si="495"/>
        <v>0</v>
      </c>
      <c r="J891" s="17">
        <f t="shared" si="496"/>
        <v>0</v>
      </c>
      <c r="K891" s="17">
        <f t="shared" si="497"/>
        <v>0</v>
      </c>
      <c r="L891" s="17">
        <f t="shared" si="498"/>
        <v>0</v>
      </c>
      <c r="M891" s="17">
        <f t="shared" si="499"/>
        <v>0</v>
      </c>
      <c r="N891" s="17">
        <f t="shared" si="500"/>
        <v>0</v>
      </c>
      <c r="O891" s="17">
        <f t="shared" si="501"/>
        <v>0</v>
      </c>
      <c r="P891" s="17">
        <v>0</v>
      </c>
      <c r="Q891" s="17">
        <f t="shared" si="502"/>
        <v>0</v>
      </c>
      <c r="R891" s="17">
        <f t="shared" si="503"/>
        <v>0</v>
      </c>
      <c r="S891" s="17">
        <f t="shared" si="504"/>
        <v>0</v>
      </c>
      <c r="T891" s="17">
        <f t="shared" si="505"/>
        <v>0</v>
      </c>
      <c r="U891" s="17">
        <f t="shared" si="506"/>
        <v>0</v>
      </c>
      <c r="V891" s="17">
        <f t="shared" si="507"/>
        <v>0</v>
      </c>
      <c r="W891" s="17">
        <f t="shared" si="508"/>
        <v>0</v>
      </c>
      <c r="X891" s="17">
        <f t="shared" si="509"/>
        <v>0</v>
      </c>
      <c r="Y891" s="17">
        <f t="shared" si="510"/>
        <v>0</v>
      </c>
      <c r="Z891" s="17">
        <f t="shared" si="511"/>
        <v>0</v>
      </c>
      <c r="AA891" s="17">
        <f t="shared" si="512"/>
        <v>0</v>
      </c>
      <c r="AB891" s="17">
        <f t="shared" si="513"/>
        <v>0</v>
      </c>
      <c r="AC891" s="17">
        <v>0</v>
      </c>
      <c r="AD891" s="17">
        <f t="shared" si="514"/>
        <v>0</v>
      </c>
      <c r="AE891" s="17">
        <f t="shared" si="515"/>
        <v>0</v>
      </c>
      <c r="AF891" s="17">
        <f t="shared" si="516"/>
        <v>0</v>
      </c>
      <c r="AG891" s="17">
        <f t="shared" si="517"/>
        <v>0</v>
      </c>
      <c r="AH891" s="17">
        <f t="shared" si="518"/>
        <v>0</v>
      </c>
      <c r="AI891" s="17">
        <f t="shared" si="519"/>
        <v>0</v>
      </c>
      <c r="AJ891" s="17">
        <f t="shared" si="520"/>
        <v>0</v>
      </c>
      <c r="AK891" s="17">
        <f t="shared" si="521"/>
        <v>0</v>
      </c>
      <c r="AL891" s="17">
        <f t="shared" si="522"/>
        <v>0</v>
      </c>
      <c r="AM891" s="17">
        <f t="shared" si="523"/>
        <v>0</v>
      </c>
      <c r="AN891" s="17">
        <f t="shared" si="524"/>
        <v>0</v>
      </c>
      <c r="AO891" s="17">
        <f t="shared" si="525"/>
        <v>0</v>
      </c>
      <c r="AP891" s="17">
        <f t="shared" si="526"/>
        <v>0</v>
      </c>
      <c r="AQ891" s="18">
        <v>0.38651290682184891</v>
      </c>
      <c r="AR891" s="18">
        <v>0.46223314346851496</v>
      </c>
      <c r="AS891" s="18">
        <v>0.40907971933760551</v>
      </c>
      <c r="AT891" s="18">
        <v>0.30986214653029787</v>
      </c>
      <c r="AU891" s="18">
        <v>0.44937390226866336</v>
      </c>
      <c r="AV891" s="18">
        <v>0.36826141434832849</v>
      </c>
      <c r="AW891" s="18">
        <v>0.36662987105405659</v>
      </c>
      <c r="AX891" s="18">
        <v>0.24897575507568839</v>
      </c>
      <c r="AY891" s="18">
        <v>0.36905679606564612</v>
      </c>
      <c r="AZ891" s="18">
        <v>0.32140102732909448</v>
      </c>
      <c r="BA891" s="18">
        <v>0.32816263195859252</v>
      </c>
      <c r="BB891" s="18">
        <v>0.32052339429083815</v>
      </c>
      <c r="BC891" s="23">
        <v>8.9181565948742242E-2</v>
      </c>
      <c r="BD891" s="23">
        <v>0.10665277883445198</v>
      </c>
      <c r="BE891" s="23">
        <v>9.438849084854764E-2</v>
      </c>
      <c r="BF891" s="23">
        <v>7.149564986855049E-2</v>
      </c>
      <c r="BG891" s="23">
        <v>0.10368571810536763</v>
      </c>
      <c r="BH891" s="23">
        <v>8.4970330952544637E-2</v>
      </c>
      <c r="BI891" s="23">
        <v>8.4593878877262704E-2</v>
      </c>
      <c r="BJ891" s="23">
        <v>5.7447105462779965E-2</v>
      </c>
      <c r="BK891" s="23">
        <v>8.5153852345557474E-2</v>
      </c>
      <c r="BL891" s="23">
        <v>7.4158058913035174E-2</v>
      </c>
      <c r="BM891" s="23">
        <v>7.5718189192107169E-2</v>
      </c>
      <c r="BN891" s="23">
        <v>7.3955559365675619E-2</v>
      </c>
    </row>
    <row r="892" spans="1:66" x14ac:dyDescent="0.25">
      <c r="A892" s="16">
        <v>6691</v>
      </c>
      <c r="B892" s="16" t="s">
        <v>1086</v>
      </c>
      <c r="C892" s="17">
        <v>0</v>
      </c>
      <c r="D892" s="17">
        <f t="shared" si="490"/>
        <v>0</v>
      </c>
      <c r="E892" s="17">
        <f t="shared" si="491"/>
        <v>0</v>
      </c>
      <c r="F892" s="17">
        <f t="shared" si="492"/>
        <v>0</v>
      </c>
      <c r="G892" s="17">
        <f t="shared" si="493"/>
        <v>0</v>
      </c>
      <c r="H892" s="17">
        <f t="shared" si="494"/>
        <v>0</v>
      </c>
      <c r="I892" s="17">
        <f t="shared" si="495"/>
        <v>0</v>
      </c>
      <c r="J892" s="17">
        <f t="shared" si="496"/>
        <v>0</v>
      </c>
      <c r="K892" s="17">
        <f t="shared" si="497"/>
        <v>0</v>
      </c>
      <c r="L892" s="17">
        <f t="shared" si="498"/>
        <v>0</v>
      </c>
      <c r="M892" s="17">
        <f t="shared" si="499"/>
        <v>0</v>
      </c>
      <c r="N892" s="17">
        <f t="shared" si="500"/>
        <v>0</v>
      </c>
      <c r="O892" s="17">
        <f t="shared" si="501"/>
        <v>0</v>
      </c>
      <c r="P892" s="17">
        <v>0</v>
      </c>
      <c r="Q892" s="17">
        <f t="shared" si="502"/>
        <v>0</v>
      </c>
      <c r="R892" s="17">
        <f t="shared" si="503"/>
        <v>0</v>
      </c>
      <c r="S892" s="17">
        <f t="shared" si="504"/>
        <v>0</v>
      </c>
      <c r="T892" s="17">
        <f t="shared" si="505"/>
        <v>0</v>
      </c>
      <c r="U892" s="17">
        <f t="shared" si="506"/>
        <v>0</v>
      </c>
      <c r="V892" s="17">
        <f t="shared" si="507"/>
        <v>0</v>
      </c>
      <c r="W892" s="17">
        <f t="shared" si="508"/>
        <v>0</v>
      </c>
      <c r="X892" s="17">
        <f t="shared" si="509"/>
        <v>0</v>
      </c>
      <c r="Y892" s="17">
        <f t="shared" si="510"/>
        <v>0</v>
      </c>
      <c r="Z892" s="17">
        <f t="shared" si="511"/>
        <v>0</v>
      </c>
      <c r="AA892" s="17">
        <f t="shared" si="512"/>
        <v>0</v>
      </c>
      <c r="AB892" s="17">
        <f t="shared" si="513"/>
        <v>0</v>
      </c>
      <c r="AC892" s="17">
        <v>0</v>
      </c>
      <c r="AD892" s="17">
        <f t="shared" si="514"/>
        <v>0</v>
      </c>
      <c r="AE892" s="17">
        <f t="shared" si="515"/>
        <v>0</v>
      </c>
      <c r="AF892" s="17">
        <f t="shared" si="516"/>
        <v>0</v>
      </c>
      <c r="AG892" s="17">
        <f t="shared" si="517"/>
        <v>0</v>
      </c>
      <c r="AH892" s="17">
        <f t="shared" si="518"/>
        <v>0</v>
      </c>
      <c r="AI892" s="17">
        <f t="shared" si="519"/>
        <v>0</v>
      </c>
      <c r="AJ892" s="17">
        <f t="shared" si="520"/>
        <v>0</v>
      </c>
      <c r="AK892" s="17">
        <f t="shared" si="521"/>
        <v>0</v>
      </c>
      <c r="AL892" s="17">
        <f t="shared" si="522"/>
        <v>0</v>
      </c>
      <c r="AM892" s="17">
        <f t="shared" si="523"/>
        <v>0</v>
      </c>
      <c r="AN892" s="17">
        <f t="shared" si="524"/>
        <v>0</v>
      </c>
      <c r="AO892" s="17">
        <f t="shared" si="525"/>
        <v>0</v>
      </c>
      <c r="AP892" s="17">
        <f t="shared" si="526"/>
        <v>0</v>
      </c>
      <c r="AQ892" s="18">
        <v>1.4322559491368005</v>
      </c>
      <c r="AR892" s="18">
        <v>1.7128436280812991</v>
      </c>
      <c r="AS892" s="18">
        <v>1.5158791630276753</v>
      </c>
      <c r="AT892" s="18">
        <v>1.1482201368889211</v>
      </c>
      <c r="AU892" s="18">
        <v>1.6651926327722044</v>
      </c>
      <c r="AV892" s="18">
        <v>1.3646235150978672</v>
      </c>
      <c r="AW892" s="18">
        <v>1.3585776947688393</v>
      </c>
      <c r="AX892" s="18">
        <v>0.92260051373224639</v>
      </c>
      <c r="AY892" s="18">
        <v>1.3675708686696533</v>
      </c>
      <c r="AZ892" s="18">
        <v>1.1909784261433451</v>
      </c>
      <c r="BA892" s="18">
        <v>1.2160341184252412</v>
      </c>
      <c r="BB892" s="18">
        <v>1.1877262834127507</v>
      </c>
      <c r="BC892" s="23">
        <v>8.9181565948742242E-2</v>
      </c>
      <c r="BD892" s="23">
        <v>0.10665277883445198</v>
      </c>
      <c r="BE892" s="23">
        <v>9.438849084854764E-2</v>
      </c>
      <c r="BF892" s="23">
        <v>7.149564986855049E-2</v>
      </c>
      <c r="BG892" s="23">
        <v>0.10368571810536763</v>
      </c>
      <c r="BH892" s="23">
        <v>8.4970330952544637E-2</v>
      </c>
      <c r="BI892" s="23">
        <v>8.4593878877262704E-2</v>
      </c>
      <c r="BJ892" s="23">
        <v>5.7447105462779965E-2</v>
      </c>
      <c r="BK892" s="23">
        <v>8.5153852345557474E-2</v>
      </c>
      <c r="BL892" s="23">
        <v>7.4158058913035174E-2</v>
      </c>
      <c r="BM892" s="23">
        <v>7.5718189192107169E-2</v>
      </c>
      <c r="BN892" s="23">
        <v>7.3955559365675619E-2</v>
      </c>
    </row>
    <row r="893" spans="1:66" x14ac:dyDescent="0.25">
      <c r="A893" s="16">
        <v>6693</v>
      </c>
      <c r="B893" s="16" t="s">
        <v>1087</v>
      </c>
      <c r="C893" s="17">
        <v>0</v>
      </c>
      <c r="D893" s="17">
        <f t="shared" si="490"/>
        <v>0</v>
      </c>
      <c r="E893" s="17">
        <f t="shared" si="491"/>
        <v>0</v>
      </c>
      <c r="F893" s="17">
        <f t="shared" si="492"/>
        <v>0</v>
      </c>
      <c r="G893" s="17">
        <f t="shared" si="493"/>
        <v>0</v>
      </c>
      <c r="H893" s="17">
        <f t="shared" si="494"/>
        <v>0</v>
      </c>
      <c r="I893" s="17">
        <f t="shared" si="495"/>
        <v>0</v>
      </c>
      <c r="J893" s="17">
        <f t="shared" si="496"/>
        <v>0</v>
      </c>
      <c r="K893" s="17">
        <f t="shared" si="497"/>
        <v>0</v>
      </c>
      <c r="L893" s="17">
        <f t="shared" si="498"/>
        <v>0</v>
      </c>
      <c r="M893" s="17">
        <f t="shared" si="499"/>
        <v>0</v>
      </c>
      <c r="N893" s="17">
        <f t="shared" si="500"/>
        <v>0</v>
      </c>
      <c r="O893" s="17">
        <f t="shared" si="501"/>
        <v>0</v>
      </c>
      <c r="P893" s="17">
        <v>1000</v>
      </c>
      <c r="Q893" s="17">
        <f t="shared" si="502"/>
        <v>89.181565948742247</v>
      </c>
      <c r="R893" s="17">
        <f t="shared" si="503"/>
        <v>106.65277883445198</v>
      </c>
      <c r="S893" s="17">
        <f t="shared" si="504"/>
        <v>94.388490848547647</v>
      </c>
      <c r="T893" s="17">
        <f t="shared" si="505"/>
        <v>71.495649868550487</v>
      </c>
      <c r="U893" s="17">
        <f t="shared" si="506"/>
        <v>103.68571810536763</v>
      </c>
      <c r="V893" s="17">
        <f t="shared" si="507"/>
        <v>84.970330952544643</v>
      </c>
      <c r="W893" s="17">
        <f t="shared" si="508"/>
        <v>84.593878877262711</v>
      </c>
      <c r="X893" s="17">
        <f t="shared" si="509"/>
        <v>57.447105462779966</v>
      </c>
      <c r="Y893" s="17">
        <f t="shared" si="510"/>
        <v>85.153852345557468</v>
      </c>
      <c r="Z893" s="17">
        <f t="shared" si="511"/>
        <v>74.158058913035177</v>
      </c>
      <c r="AA893" s="17">
        <f t="shared" si="512"/>
        <v>75.718189192107175</v>
      </c>
      <c r="AB893" s="17">
        <f t="shared" si="513"/>
        <v>73.955559365675626</v>
      </c>
      <c r="AC893" s="17">
        <v>0</v>
      </c>
      <c r="AD893" s="17">
        <f t="shared" si="514"/>
        <v>0</v>
      </c>
      <c r="AE893" s="17">
        <f t="shared" si="515"/>
        <v>0</v>
      </c>
      <c r="AF893" s="17">
        <f t="shared" si="516"/>
        <v>0</v>
      </c>
      <c r="AG893" s="17">
        <f t="shared" si="517"/>
        <v>0</v>
      </c>
      <c r="AH893" s="17">
        <f t="shared" si="518"/>
        <v>0</v>
      </c>
      <c r="AI893" s="17">
        <f t="shared" si="519"/>
        <v>0</v>
      </c>
      <c r="AJ893" s="17">
        <f t="shared" si="520"/>
        <v>0</v>
      </c>
      <c r="AK893" s="17">
        <f t="shared" si="521"/>
        <v>0</v>
      </c>
      <c r="AL893" s="17">
        <f t="shared" si="522"/>
        <v>0</v>
      </c>
      <c r="AM893" s="17">
        <f t="shared" si="523"/>
        <v>0</v>
      </c>
      <c r="AN893" s="17">
        <f t="shared" si="524"/>
        <v>0</v>
      </c>
      <c r="AO893" s="17">
        <f t="shared" si="525"/>
        <v>0</v>
      </c>
      <c r="AP893" s="17">
        <f t="shared" si="526"/>
        <v>1000</v>
      </c>
      <c r="AQ893" s="18">
        <v>5.3758647953901821</v>
      </c>
      <c r="AR893" s="18">
        <v>6.4290295081407658</v>
      </c>
      <c r="AS893" s="18">
        <v>5.6897382283504516</v>
      </c>
      <c r="AT893" s="18">
        <v>4.3097577740762238</v>
      </c>
      <c r="AU893" s="18">
        <v>6.2501750873915611</v>
      </c>
      <c r="AV893" s="18">
        <v>5.1220115498193906</v>
      </c>
      <c r="AW893" s="18">
        <v>5.0993190187213955</v>
      </c>
      <c r="AX893" s="18">
        <v>3.4629115172963765</v>
      </c>
      <c r="AY893" s="18">
        <v>5.1330742193902044</v>
      </c>
      <c r="AZ893" s="18">
        <v>4.4702477912777603</v>
      </c>
      <c r="BA893" s="18">
        <v>4.5642924445002206</v>
      </c>
      <c r="BB893" s="18">
        <v>4.4580411185629263</v>
      </c>
      <c r="BC893" s="23">
        <v>8.9181565948742242E-2</v>
      </c>
      <c r="BD893" s="23">
        <v>0.10665277883445198</v>
      </c>
      <c r="BE893" s="23">
        <v>9.438849084854764E-2</v>
      </c>
      <c r="BF893" s="23">
        <v>7.149564986855049E-2</v>
      </c>
      <c r="BG893" s="23">
        <v>0.10368571810536763</v>
      </c>
      <c r="BH893" s="23">
        <v>8.4970330952544637E-2</v>
      </c>
      <c r="BI893" s="23">
        <v>8.4593878877262704E-2</v>
      </c>
      <c r="BJ893" s="23">
        <v>5.7447105462779965E-2</v>
      </c>
      <c r="BK893" s="23">
        <v>8.5153852345557474E-2</v>
      </c>
      <c r="BL893" s="23">
        <v>7.4158058913035174E-2</v>
      </c>
      <c r="BM893" s="23">
        <v>7.5718189192107169E-2</v>
      </c>
      <c r="BN893" s="23">
        <v>7.3955559365675619E-2</v>
      </c>
    </row>
    <row r="894" spans="1:66" x14ac:dyDescent="0.25">
      <c r="A894" s="16">
        <v>6695</v>
      </c>
      <c r="B894" s="16" t="s">
        <v>1088</v>
      </c>
      <c r="C894" s="17">
        <v>0</v>
      </c>
      <c r="D894" s="17">
        <f t="shared" si="490"/>
        <v>0</v>
      </c>
      <c r="E894" s="17">
        <f t="shared" si="491"/>
        <v>0</v>
      </c>
      <c r="F894" s="17">
        <f t="shared" si="492"/>
        <v>0</v>
      </c>
      <c r="G894" s="17">
        <f t="shared" si="493"/>
        <v>0</v>
      </c>
      <c r="H894" s="17">
        <f t="shared" si="494"/>
        <v>0</v>
      </c>
      <c r="I894" s="17">
        <f t="shared" si="495"/>
        <v>0</v>
      </c>
      <c r="J894" s="17">
        <f t="shared" si="496"/>
        <v>0</v>
      </c>
      <c r="K894" s="17">
        <f t="shared" si="497"/>
        <v>0</v>
      </c>
      <c r="L894" s="17">
        <f t="shared" si="498"/>
        <v>0</v>
      </c>
      <c r="M894" s="17">
        <f t="shared" si="499"/>
        <v>0</v>
      </c>
      <c r="N894" s="17">
        <f t="shared" si="500"/>
        <v>0</v>
      </c>
      <c r="O894" s="17">
        <f t="shared" si="501"/>
        <v>0</v>
      </c>
      <c r="P894" s="17">
        <v>0</v>
      </c>
      <c r="Q894" s="17">
        <f t="shared" si="502"/>
        <v>0</v>
      </c>
      <c r="R894" s="17">
        <f t="shared" si="503"/>
        <v>0</v>
      </c>
      <c r="S894" s="17">
        <f t="shared" si="504"/>
        <v>0</v>
      </c>
      <c r="T894" s="17">
        <f t="shared" si="505"/>
        <v>0</v>
      </c>
      <c r="U894" s="17">
        <f t="shared" si="506"/>
        <v>0</v>
      </c>
      <c r="V894" s="17">
        <f t="shared" si="507"/>
        <v>0</v>
      </c>
      <c r="W894" s="17">
        <f t="shared" si="508"/>
        <v>0</v>
      </c>
      <c r="X894" s="17">
        <f t="shared" si="509"/>
        <v>0</v>
      </c>
      <c r="Y894" s="17">
        <f t="shared" si="510"/>
        <v>0</v>
      </c>
      <c r="Z894" s="17">
        <f t="shared" si="511"/>
        <v>0</v>
      </c>
      <c r="AA894" s="17">
        <f t="shared" si="512"/>
        <v>0</v>
      </c>
      <c r="AB894" s="17">
        <f t="shared" si="513"/>
        <v>0</v>
      </c>
      <c r="AC894" s="17">
        <v>0</v>
      </c>
      <c r="AD894" s="17">
        <f t="shared" si="514"/>
        <v>0</v>
      </c>
      <c r="AE894" s="17">
        <f t="shared" si="515"/>
        <v>0</v>
      </c>
      <c r="AF894" s="17">
        <f t="shared" si="516"/>
        <v>0</v>
      </c>
      <c r="AG894" s="17">
        <f t="shared" si="517"/>
        <v>0</v>
      </c>
      <c r="AH894" s="17">
        <f t="shared" si="518"/>
        <v>0</v>
      </c>
      <c r="AI894" s="17">
        <f t="shared" si="519"/>
        <v>0</v>
      </c>
      <c r="AJ894" s="17">
        <f t="shared" si="520"/>
        <v>0</v>
      </c>
      <c r="AK894" s="17">
        <f t="shared" si="521"/>
        <v>0</v>
      </c>
      <c r="AL894" s="17">
        <f t="shared" si="522"/>
        <v>0</v>
      </c>
      <c r="AM894" s="17">
        <f t="shared" si="523"/>
        <v>0</v>
      </c>
      <c r="AN894" s="17">
        <f t="shared" si="524"/>
        <v>0</v>
      </c>
      <c r="AO894" s="17">
        <f t="shared" si="525"/>
        <v>0</v>
      </c>
      <c r="AP894" s="17">
        <f t="shared" si="526"/>
        <v>0</v>
      </c>
      <c r="AQ894" s="18">
        <v>20.968815693698023</v>
      </c>
      <c r="AR894" s="18">
        <v>25.076734623450527</v>
      </c>
      <c r="AS894" s="18">
        <v>22.193093910764766</v>
      </c>
      <c r="AT894" s="18">
        <v>16.810414675342937</v>
      </c>
      <c r="AU894" s="18">
        <v>24.379104469524567</v>
      </c>
      <c r="AV894" s="18">
        <v>19.978649065217059</v>
      </c>
      <c r="AW894" s="18">
        <v>19.890135771016396</v>
      </c>
      <c r="AX894" s="18">
        <v>13.507250671936141</v>
      </c>
      <c r="AY894" s="18">
        <v>20.021799532749203</v>
      </c>
      <c r="AZ894" s="18">
        <v>17.436413601927399</v>
      </c>
      <c r="BA894" s="18">
        <v>17.803239233794201</v>
      </c>
      <c r="BB894" s="18">
        <v>17.388800895854484</v>
      </c>
      <c r="BC894" s="23">
        <v>8.9181565948742242E-2</v>
      </c>
      <c r="BD894" s="23">
        <v>0.10665277883445198</v>
      </c>
      <c r="BE894" s="23">
        <v>9.438849084854764E-2</v>
      </c>
      <c r="BF894" s="23">
        <v>7.149564986855049E-2</v>
      </c>
      <c r="BG894" s="23">
        <v>0.10368571810536763</v>
      </c>
      <c r="BH894" s="23">
        <v>8.4970330952544637E-2</v>
      </c>
      <c r="BI894" s="23">
        <v>8.4593878877262704E-2</v>
      </c>
      <c r="BJ894" s="23">
        <v>5.7447105462779965E-2</v>
      </c>
      <c r="BK894" s="23">
        <v>8.5153852345557474E-2</v>
      </c>
      <c r="BL894" s="23">
        <v>7.4158058913035174E-2</v>
      </c>
      <c r="BM894" s="23">
        <v>7.5718189192107169E-2</v>
      </c>
      <c r="BN894" s="23">
        <v>7.3955559365675619E-2</v>
      </c>
    </row>
    <row r="895" spans="1:66" x14ac:dyDescent="0.25">
      <c r="A895" s="16">
        <v>6696</v>
      </c>
      <c r="B895" s="16" t="s">
        <v>1089</v>
      </c>
      <c r="C895" s="17">
        <v>0</v>
      </c>
      <c r="D895" s="17">
        <f t="shared" si="490"/>
        <v>0</v>
      </c>
      <c r="E895" s="17">
        <f t="shared" si="491"/>
        <v>0</v>
      </c>
      <c r="F895" s="17">
        <f t="shared" si="492"/>
        <v>0</v>
      </c>
      <c r="G895" s="17">
        <f t="shared" si="493"/>
        <v>0</v>
      </c>
      <c r="H895" s="17">
        <f t="shared" si="494"/>
        <v>0</v>
      </c>
      <c r="I895" s="17">
        <f t="shared" si="495"/>
        <v>0</v>
      </c>
      <c r="J895" s="17">
        <f t="shared" si="496"/>
        <v>0</v>
      </c>
      <c r="K895" s="17">
        <f t="shared" si="497"/>
        <v>0</v>
      </c>
      <c r="L895" s="17">
        <f t="shared" si="498"/>
        <v>0</v>
      </c>
      <c r="M895" s="17">
        <f t="shared" si="499"/>
        <v>0</v>
      </c>
      <c r="N895" s="17">
        <f t="shared" si="500"/>
        <v>0</v>
      </c>
      <c r="O895" s="17">
        <f t="shared" si="501"/>
        <v>0</v>
      </c>
      <c r="P895" s="17">
        <v>0</v>
      </c>
      <c r="Q895" s="17">
        <f t="shared" si="502"/>
        <v>0</v>
      </c>
      <c r="R895" s="17">
        <f t="shared" si="503"/>
        <v>0</v>
      </c>
      <c r="S895" s="17">
        <f t="shared" si="504"/>
        <v>0</v>
      </c>
      <c r="T895" s="17">
        <f t="shared" si="505"/>
        <v>0</v>
      </c>
      <c r="U895" s="17">
        <f t="shared" si="506"/>
        <v>0</v>
      </c>
      <c r="V895" s="17">
        <f t="shared" si="507"/>
        <v>0</v>
      </c>
      <c r="W895" s="17">
        <f t="shared" si="508"/>
        <v>0</v>
      </c>
      <c r="X895" s="17">
        <f t="shared" si="509"/>
        <v>0</v>
      </c>
      <c r="Y895" s="17">
        <f t="shared" si="510"/>
        <v>0</v>
      </c>
      <c r="Z895" s="17">
        <f t="shared" si="511"/>
        <v>0</v>
      </c>
      <c r="AA895" s="17">
        <f t="shared" si="512"/>
        <v>0</v>
      </c>
      <c r="AB895" s="17">
        <f t="shared" si="513"/>
        <v>0</v>
      </c>
      <c r="AC895" s="17">
        <v>0</v>
      </c>
      <c r="AD895" s="17">
        <f t="shared" si="514"/>
        <v>0</v>
      </c>
      <c r="AE895" s="17">
        <f t="shared" si="515"/>
        <v>0</v>
      </c>
      <c r="AF895" s="17">
        <f t="shared" si="516"/>
        <v>0</v>
      </c>
      <c r="AG895" s="17">
        <f t="shared" si="517"/>
        <v>0</v>
      </c>
      <c r="AH895" s="17">
        <f t="shared" si="518"/>
        <v>0</v>
      </c>
      <c r="AI895" s="17">
        <f t="shared" si="519"/>
        <v>0</v>
      </c>
      <c r="AJ895" s="17">
        <f t="shared" si="520"/>
        <v>0</v>
      </c>
      <c r="AK895" s="17">
        <f t="shared" si="521"/>
        <v>0</v>
      </c>
      <c r="AL895" s="17">
        <f t="shared" si="522"/>
        <v>0</v>
      </c>
      <c r="AM895" s="17">
        <f t="shared" si="523"/>
        <v>0</v>
      </c>
      <c r="AN895" s="17">
        <f t="shared" si="524"/>
        <v>0</v>
      </c>
      <c r="AO895" s="17">
        <f t="shared" si="525"/>
        <v>0</v>
      </c>
      <c r="AP895" s="17">
        <f t="shared" si="526"/>
        <v>0</v>
      </c>
      <c r="AQ895" s="18">
        <v>5.0030858497244397</v>
      </c>
      <c r="AR895" s="18">
        <v>5.9832208926127564</v>
      </c>
      <c r="AS895" s="18">
        <v>5.2951943366035223</v>
      </c>
      <c r="AT895" s="18">
        <v>4.0109059576256829</v>
      </c>
      <c r="AU895" s="18">
        <v>5.8167687857111243</v>
      </c>
      <c r="AV895" s="18">
        <v>4.766835566437754</v>
      </c>
      <c r="AW895" s="18">
        <v>4.7457166050144375</v>
      </c>
      <c r="AX895" s="18">
        <v>3.2227826164619562</v>
      </c>
      <c r="AY895" s="18">
        <v>4.7771311165857746</v>
      </c>
      <c r="AZ895" s="18">
        <v>4.1602671050212736</v>
      </c>
      <c r="BA895" s="18">
        <v>4.2477904136772127</v>
      </c>
      <c r="BB895" s="18">
        <v>4.148906880414402</v>
      </c>
      <c r="BC895" s="23">
        <v>8.9181565948742242E-2</v>
      </c>
      <c r="BD895" s="23">
        <v>0.10665277883445198</v>
      </c>
      <c r="BE895" s="23">
        <v>9.438849084854764E-2</v>
      </c>
      <c r="BF895" s="23">
        <v>7.149564986855049E-2</v>
      </c>
      <c r="BG895" s="23">
        <v>0.10368571810536763</v>
      </c>
      <c r="BH895" s="23">
        <v>8.4970330952544637E-2</v>
      </c>
      <c r="BI895" s="23">
        <v>8.4593878877262704E-2</v>
      </c>
      <c r="BJ895" s="23">
        <v>5.7447105462779965E-2</v>
      </c>
      <c r="BK895" s="23">
        <v>8.5153852345557474E-2</v>
      </c>
      <c r="BL895" s="23">
        <v>7.4158058913035174E-2</v>
      </c>
      <c r="BM895" s="23">
        <v>7.5718189192107169E-2</v>
      </c>
      <c r="BN895" s="23">
        <v>7.3955559365675619E-2</v>
      </c>
    </row>
    <row r="896" spans="1:66" x14ac:dyDescent="0.25">
      <c r="A896" s="16">
        <v>6697</v>
      </c>
      <c r="B896" s="16" t="s">
        <v>1090</v>
      </c>
      <c r="C896" s="17">
        <v>0</v>
      </c>
      <c r="D896" s="17">
        <f t="shared" si="490"/>
        <v>0</v>
      </c>
      <c r="E896" s="17">
        <f t="shared" si="491"/>
        <v>0</v>
      </c>
      <c r="F896" s="17">
        <f t="shared" si="492"/>
        <v>0</v>
      </c>
      <c r="G896" s="17">
        <f t="shared" si="493"/>
        <v>0</v>
      </c>
      <c r="H896" s="17">
        <f t="shared" si="494"/>
        <v>0</v>
      </c>
      <c r="I896" s="17">
        <f t="shared" si="495"/>
        <v>0</v>
      </c>
      <c r="J896" s="17">
        <f t="shared" si="496"/>
        <v>0</v>
      </c>
      <c r="K896" s="17">
        <f t="shared" si="497"/>
        <v>0</v>
      </c>
      <c r="L896" s="17">
        <f t="shared" si="498"/>
        <v>0</v>
      </c>
      <c r="M896" s="17">
        <f t="shared" si="499"/>
        <v>0</v>
      </c>
      <c r="N896" s="17">
        <f t="shared" si="500"/>
        <v>0</v>
      </c>
      <c r="O896" s="17">
        <f t="shared" si="501"/>
        <v>0</v>
      </c>
      <c r="P896" s="17">
        <v>0</v>
      </c>
      <c r="Q896" s="17">
        <f t="shared" si="502"/>
        <v>0</v>
      </c>
      <c r="R896" s="17">
        <f t="shared" si="503"/>
        <v>0</v>
      </c>
      <c r="S896" s="17">
        <f t="shared" si="504"/>
        <v>0</v>
      </c>
      <c r="T896" s="17">
        <f t="shared" si="505"/>
        <v>0</v>
      </c>
      <c r="U896" s="17">
        <f t="shared" si="506"/>
        <v>0</v>
      </c>
      <c r="V896" s="17">
        <f t="shared" si="507"/>
        <v>0</v>
      </c>
      <c r="W896" s="17">
        <f t="shared" si="508"/>
        <v>0</v>
      </c>
      <c r="X896" s="17">
        <f t="shared" si="509"/>
        <v>0</v>
      </c>
      <c r="Y896" s="17">
        <f t="shared" si="510"/>
        <v>0</v>
      </c>
      <c r="Z896" s="17">
        <f t="shared" si="511"/>
        <v>0</v>
      </c>
      <c r="AA896" s="17">
        <f t="shared" si="512"/>
        <v>0</v>
      </c>
      <c r="AB896" s="17">
        <f t="shared" si="513"/>
        <v>0</v>
      </c>
      <c r="AC896" s="17">
        <v>0</v>
      </c>
      <c r="AD896" s="17">
        <f t="shared" si="514"/>
        <v>0</v>
      </c>
      <c r="AE896" s="17">
        <f t="shared" si="515"/>
        <v>0</v>
      </c>
      <c r="AF896" s="17">
        <f t="shared" si="516"/>
        <v>0</v>
      </c>
      <c r="AG896" s="17">
        <f t="shared" si="517"/>
        <v>0</v>
      </c>
      <c r="AH896" s="17">
        <f t="shared" si="518"/>
        <v>0</v>
      </c>
      <c r="AI896" s="17">
        <f t="shared" si="519"/>
        <v>0</v>
      </c>
      <c r="AJ896" s="17">
        <f t="shared" si="520"/>
        <v>0</v>
      </c>
      <c r="AK896" s="17">
        <f t="shared" si="521"/>
        <v>0</v>
      </c>
      <c r="AL896" s="17">
        <f t="shared" si="522"/>
        <v>0</v>
      </c>
      <c r="AM896" s="17">
        <f t="shared" si="523"/>
        <v>0</v>
      </c>
      <c r="AN896" s="17">
        <f t="shared" si="524"/>
        <v>0</v>
      </c>
      <c r="AO896" s="17">
        <f t="shared" si="525"/>
        <v>0</v>
      </c>
      <c r="AP896" s="17">
        <f t="shared" si="526"/>
        <v>0</v>
      </c>
      <c r="AQ896" s="18">
        <v>3.4334902890265764</v>
      </c>
      <c r="AR896" s="18">
        <v>4.1061319851264013</v>
      </c>
      <c r="AS896" s="18">
        <v>3.6339568976690844</v>
      </c>
      <c r="AT896" s="18">
        <v>2.7525825199391938</v>
      </c>
      <c r="AU896" s="18">
        <v>3.9919001470566537</v>
      </c>
      <c r="AV896" s="18">
        <v>3.2713577416729684</v>
      </c>
      <c r="AW896" s="18">
        <v>3.2568643367746142</v>
      </c>
      <c r="AX896" s="18">
        <v>2.2117135603170288</v>
      </c>
      <c r="AY896" s="18">
        <v>3.2784233153039626</v>
      </c>
      <c r="AZ896" s="18">
        <v>2.8550852681518544</v>
      </c>
      <c r="BA896" s="18">
        <v>2.9151502838961258</v>
      </c>
      <c r="BB896" s="18">
        <v>2.8472890355785112</v>
      </c>
      <c r="BC896" s="23">
        <v>8.9181565948742242E-2</v>
      </c>
      <c r="BD896" s="23">
        <v>0.10665277883445198</v>
      </c>
      <c r="BE896" s="23">
        <v>9.438849084854764E-2</v>
      </c>
      <c r="BF896" s="23">
        <v>7.149564986855049E-2</v>
      </c>
      <c r="BG896" s="23">
        <v>0.10368571810536763</v>
      </c>
      <c r="BH896" s="23">
        <v>8.4970330952544637E-2</v>
      </c>
      <c r="BI896" s="23">
        <v>8.4593878877262704E-2</v>
      </c>
      <c r="BJ896" s="23">
        <v>5.7447105462779965E-2</v>
      </c>
      <c r="BK896" s="23">
        <v>8.5153852345557474E-2</v>
      </c>
      <c r="BL896" s="23">
        <v>7.4158058913035174E-2</v>
      </c>
      <c r="BM896" s="23">
        <v>7.5718189192107169E-2</v>
      </c>
      <c r="BN896" s="23">
        <v>7.3955559365675619E-2</v>
      </c>
    </row>
    <row r="897" spans="1:66" x14ac:dyDescent="0.25">
      <c r="A897" s="16">
        <v>6700</v>
      </c>
      <c r="B897" s="16" t="s">
        <v>1091</v>
      </c>
      <c r="C897" s="17">
        <v>0</v>
      </c>
      <c r="D897" s="17">
        <f t="shared" si="490"/>
        <v>0</v>
      </c>
      <c r="E897" s="17">
        <f t="shared" si="491"/>
        <v>0</v>
      </c>
      <c r="F897" s="17">
        <f t="shared" si="492"/>
        <v>0</v>
      </c>
      <c r="G897" s="17">
        <f t="shared" si="493"/>
        <v>0</v>
      </c>
      <c r="H897" s="17">
        <f t="shared" si="494"/>
        <v>0</v>
      </c>
      <c r="I897" s="17">
        <f t="shared" si="495"/>
        <v>0</v>
      </c>
      <c r="J897" s="17">
        <f t="shared" si="496"/>
        <v>0</v>
      </c>
      <c r="K897" s="17">
        <f t="shared" si="497"/>
        <v>0</v>
      </c>
      <c r="L897" s="17">
        <f t="shared" si="498"/>
        <v>0</v>
      </c>
      <c r="M897" s="17">
        <f t="shared" si="499"/>
        <v>0</v>
      </c>
      <c r="N897" s="17">
        <f t="shared" si="500"/>
        <v>0</v>
      </c>
      <c r="O897" s="17">
        <f t="shared" si="501"/>
        <v>0</v>
      </c>
      <c r="P897" s="17">
        <v>0</v>
      </c>
      <c r="Q897" s="17">
        <f t="shared" si="502"/>
        <v>0</v>
      </c>
      <c r="R897" s="17">
        <f t="shared" si="503"/>
        <v>0</v>
      </c>
      <c r="S897" s="17">
        <f t="shared" si="504"/>
        <v>0</v>
      </c>
      <c r="T897" s="17">
        <f t="shared" si="505"/>
        <v>0</v>
      </c>
      <c r="U897" s="17">
        <f t="shared" si="506"/>
        <v>0</v>
      </c>
      <c r="V897" s="17">
        <f t="shared" si="507"/>
        <v>0</v>
      </c>
      <c r="W897" s="17">
        <f t="shared" si="508"/>
        <v>0</v>
      </c>
      <c r="X897" s="17">
        <f t="shared" si="509"/>
        <v>0</v>
      </c>
      <c r="Y897" s="17">
        <f t="shared" si="510"/>
        <v>0</v>
      </c>
      <c r="Z897" s="17">
        <f t="shared" si="511"/>
        <v>0</v>
      </c>
      <c r="AA897" s="17">
        <f t="shared" si="512"/>
        <v>0</v>
      </c>
      <c r="AB897" s="17">
        <f t="shared" si="513"/>
        <v>0</v>
      </c>
      <c r="AC897" s="17">
        <v>400</v>
      </c>
      <c r="AD897" s="17">
        <f t="shared" si="514"/>
        <v>35.672626379496897</v>
      </c>
      <c r="AE897" s="17">
        <f t="shared" si="515"/>
        <v>42.66111153378079</v>
      </c>
      <c r="AF897" s="17">
        <f t="shared" si="516"/>
        <v>37.755396339419057</v>
      </c>
      <c r="AG897" s="17">
        <f t="shared" si="517"/>
        <v>28.598259947420196</v>
      </c>
      <c r="AH897" s="17">
        <f t="shared" si="518"/>
        <v>41.474287242147049</v>
      </c>
      <c r="AI897" s="17">
        <f t="shared" si="519"/>
        <v>33.988132381017856</v>
      </c>
      <c r="AJ897" s="17">
        <f t="shared" si="520"/>
        <v>33.837551550905083</v>
      </c>
      <c r="AK897" s="17">
        <f t="shared" si="521"/>
        <v>22.978842185111986</v>
      </c>
      <c r="AL897" s="17">
        <f t="shared" si="522"/>
        <v>34.06154093822299</v>
      </c>
      <c r="AM897" s="17">
        <f t="shared" si="523"/>
        <v>29.663223565214068</v>
      </c>
      <c r="AN897" s="17">
        <f t="shared" si="524"/>
        <v>30.287275676842867</v>
      </c>
      <c r="AO897" s="17">
        <f t="shared" si="525"/>
        <v>29.582223746270248</v>
      </c>
      <c r="AP897" s="17">
        <f t="shared" si="526"/>
        <v>400</v>
      </c>
      <c r="AQ897" s="18">
        <v>2.1581938959595623</v>
      </c>
      <c r="AR897" s="18">
        <v>2.5809972477937384</v>
      </c>
      <c r="AS897" s="18">
        <v>2.284201478534853</v>
      </c>
      <c r="AT897" s="18">
        <v>1.7301947268189222</v>
      </c>
      <c r="AU897" s="18">
        <v>2.5091943781498971</v>
      </c>
      <c r="AV897" s="18">
        <v>2.0562820090515803</v>
      </c>
      <c r="AW897" s="18">
        <v>2.0471718688297575</v>
      </c>
      <c r="AX897" s="18">
        <v>1.3902199521992753</v>
      </c>
      <c r="AY897" s="18">
        <v>2.0607232267624913</v>
      </c>
      <c r="AZ897" s="18">
        <v>1.7946250256954515</v>
      </c>
      <c r="BA897" s="18">
        <v>1.8323801784489937</v>
      </c>
      <c r="BB897" s="18">
        <v>1.7897245366493502</v>
      </c>
      <c r="BC897" s="23">
        <v>8.9181565948742242E-2</v>
      </c>
      <c r="BD897" s="23">
        <v>0.10665277883445198</v>
      </c>
      <c r="BE897" s="23">
        <v>9.438849084854764E-2</v>
      </c>
      <c r="BF897" s="23">
        <v>7.149564986855049E-2</v>
      </c>
      <c r="BG897" s="23">
        <v>0.10368571810536763</v>
      </c>
      <c r="BH897" s="23">
        <v>8.4970330952544637E-2</v>
      </c>
      <c r="BI897" s="23">
        <v>8.4593878877262704E-2</v>
      </c>
      <c r="BJ897" s="23">
        <v>5.7447105462779965E-2</v>
      </c>
      <c r="BK897" s="23">
        <v>8.5153852345557474E-2</v>
      </c>
      <c r="BL897" s="23">
        <v>7.4158058913035174E-2</v>
      </c>
      <c r="BM897" s="23">
        <v>7.5718189192107169E-2</v>
      </c>
      <c r="BN897" s="23">
        <v>7.3955559365675619E-2</v>
      </c>
    </row>
    <row r="898" spans="1:66" x14ac:dyDescent="0.25">
      <c r="A898" s="16">
        <v>6701</v>
      </c>
      <c r="B898" s="16" t="s">
        <v>1092</v>
      </c>
      <c r="C898" s="17">
        <v>0</v>
      </c>
      <c r="D898" s="17">
        <f t="shared" si="490"/>
        <v>0</v>
      </c>
      <c r="E898" s="17">
        <f t="shared" si="491"/>
        <v>0</v>
      </c>
      <c r="F898" s="17">
        <f t="shared" si="492"/>
        <v>0</v>
      </c>
      <c r="G898" s="17">
        <f t="shared" si="493"/>
        <v>0</v>
      </c>
      <c r="H898" s="17">
        <f t="shared" si="494"/>
        <v>0</v>
      </c>
      <c r="I898" s="17">
        <f t="shared" si="495"/>
        <v>0</v>
      </c>
      <c r="J898" s="17">
        <f t="shared" si="496"/>
        <v>0</v>
      </c>
      <c r="K898" s="17">
        <f t="shared" si="497"/>
        <v>0</v>
      </c>
      <c r="L898" s="17">
        <f t="shared" si="498"/>
        <v>0</v>
      </c>
      <c r="M898" s="17">
        <f t="shared" si="499"/>
        <v>0</v>
      </c>
      <c r="N898" s="17">
        <f t="shared" si="500"/>
        <v>0</v>
      </c>
      <c r="O898" s="17">
        <f t="shared" si="501"/>
        <v>0</v>
      </c>
      <c r="P898" s="17">
        <v>1500</v>
      </c>
      <c r="Q898" s="17">
        <f t="shared" si="502"/>
        <v>133.77234892311336</v>
      </c>
      <c r="R898" s="17">
        <f t="shared" si="503"/>
        <v>159.97916825167798</v>
      </c>
      <c r="S898" s="17">
        <f t="shared" si="504"/>
        <v>141.58273627282145</v>
      </c>
      <c r="T898" s="17">
        <f t="shared" si="505"/>
        <v>107.24347480282573</v>
      </c>
      <c r="U898" s="17">
        <f t="shared" si="506"/>
        <v>155.52857715805143</v>
      </c>
      <c r="V898" s="17">
        <f t="shared" si="507"/>
        <v>127.45549642881696</v>
      </c>
      <c r="W898" s="17">
        <f t="shared" si="508"/>
        <v>126.89081831589405</v>
      </c>
      <c r="X898" s="17">
        <f t="shared" si="509"/>
        <v>86.170658194169945</v>
      </c>
      <c r="Y898" s="17">
        <f t="shared" si="510"/>
        <v>127.73077851833621</v>
      </c>
      <c r="Z898" s="17">
        <f t="shared" si="511"/>
        <v>111.23708836955277</v>
      </c>
      <c r="AA898" s="17">
        <f t="shared" si="512"/>
        <v>113.57728378816076</v>
      </c>
      <c r="AB898" s="17">
        <f t="shared" si="513"/>
        <v>110.93333904851343</v>
      </c>
      <c r="AC898" s="17">
        <v>0</v>
      </c>
      <c r="AD898" s="17">
        <f t="shared" si="514"/>
        <v>0</v>
      </c>
      <c r="AE898" s="17">
        <f t="shared" si="515"/>
        <v>0</v>
      </c>
      <c r="AF898" s="17">
        <f t="shared" si="516"/>
        <v>0</v>
      </c>
      <c r="AG898" s="17">
        <f t="shared" si="517"/>
        <v>0</v>
      </c>
      <c r="AH898" s="17">
        <f t="shared" si="518"/>
        <v>0</v>
      </c>
      <c r="AI898" s="17">
        <f t="shared" si="519"/>
        <v>0</v>
      </c>
      <c r="AJ898" s="17">
        <f t="shared" si="520"/>
        <v>0</v>
      </c>
      <c r="AK898" s="17">
        <f t="shared" si="521"/>
        <v>0</v>
      </c>
      <c r="AL898" s="17">
        <f t="shared" si="522"/>
        <v>0</v>
      </c>
      <c r="AM898" s="17">
        <f t="shared" si="523"/>
        <v>0</v>
      </c>
      <c r="AN898" s="17">
        <f t="shared" si="524"/>
        <v>0</v>
      </c>
      <c r="AO898" s="17">
        <f t="shared" si="525"/>
        <v>0</v>
      </c>
      <c r="AP898" s="17">
        <f t="shared" si="526"/>
        <v>1500</v>
      </c>
      <c r="AQ898" s="18">
        <v>0</v>
      </c>
      <c r="AR898" s="18">
        <v>0</v>
      </c>
      <c r="AS898" s="18">
        <v>0</v>
      </c>
      <c r="AT898" s="18">
        <v>0</v>
      </c>
      <c r="AU898" s="18">
        <v>0</v>
      </c>
      <c r="AV898" s="18">
        <v>0</v>
      </c>
      <c r="AW898" s="18">
        <v>0</v>
      </c>
      <c r="AX898" s="18">
        <v>0</v>
      </c>
      <c r="AY898" s="18">
        <v>0</v>
      </c>
      <c r="AZ898" s="18">
        <v>0</v>
      </c>
      <c r="BA898" s="18">
        <v>0</v>
      </c>
      <c r="BB898" s="18">
        <v>0</v>
      </c>
      <c r="BC898" s="23">
        <v>8.9181565948742242E-2</v>
      </c>
      <c r="BD898" s="23">
        <v>0.10665277883445198</v>
      </c>
      <c r="BE898" s="23">
        <v>9.438849084854764E-2</v>
      </c>
      <c r="BF898" s="23">
        <v>7.149564986855049E-2</v>
      </c>
      <c r="BG898" s="23">
        <v>0.10368571810536763</v>
      </c>
      <c r="BH898" s="23">
        <v>8.4970330952544637E-2</v>
      </c>
      <c r="BI898" s="23">
        <v>8.4593878877262704E-2</v>
      </c>
      <c r="BJ898" s="23">
        <v>5.7447105462779965E-2</v>
      </c>
      <c r="BK898" s="23">
        <v>8.5153852345557474E-2</v>
      </c>
      <c r="BL898" s="23">
        <v>7.4158058913035174E-2</v>
      </c>
      <c r="BM898" s="23">
        <v>7.5718189192107169E-2</v>
      </c>
      <c r="BN898" s="23">
        <v>7.3955559365675619E-2</v>
      </c>
    </row>
    <row r="899" spans="1:66" x14ac:dyDescent="0.25">
      <c r="A899" s="16">
        <v>6702</v>
      </c>
      <c r="B899" s="16" t="s">
        <v>1093</v>
      </c>
      <c r="C899" s="17">
        <v>0</v>
      </c>
      <c r="D899" s="17">
        <f t="shared" si="490"/>
        <v>0</v>
      </c>
      <c r="E899" s="17">
        <f t="shared" si="491"/>
        <v>0</v>
      </c>
      <c r="F899" s="17">
        <f t="shared" si="492"/>
        <v>0</v>
      </c>
      <c r="G899" s="17">
        <f t="shared" si="493"/>
        <v>0</v>
      </c>
      <c r="H899" s="17">
        <f t="shared" si="494"/>
        <v>0</v>
      </c>
      <c r="I899" s="17">
        <f t="shared" si="495"/>
        <v>0</v>
      </c>
      <c r="J899" s="17">
        <f t="shared" si="496"/>
        <v>0</v>
      </c>
      <c r="K899" s="17">
        <f t="shared" si="497"/>
        <v>0</v>
      </c>
      <c r="L899" s="17">
        <f t="shared" si="498"/>
        <v>0</v>
      </c>
      <c r="M899" s="17">
        <f t="shared" si="499"/>
        <v>0</v>
      </c>
      <c r="N899" s="17">
        <f t="shared" si="500"/>
        <v>0</v>
      </c>
      <c r="O899" s="17">
        <f t="shared" si="501"/>
        <v>0</v>
      </c>
      <c r="P899" s="17">
        <v>0</v>
      </c>
      <c r="Q899" s="17">
        <f t="shared" si="502"/>
        <v>0</v>
      </c>
      <c r="R899" s="17">
        <f t="shared" si="503"/>
        <v>0</v>
      </c>
      <c r="S899" s="17">
        <f t="shared" si="504"/>
        <v>0</v>
      </c>
      <c r="T899" s="17">
        <f t="shared" si="505"/>
        <v>0</v>
      </c>
      <c r="U899" s="17">
        <f t="shared" si="506"/>
        <v>0</v>
      </c>
      <c r="V899" s="17">
        <f t="shared" si="507"/>
        <v>0</v>
      </c>
      <c r="W899" s="17">
        <f t="shared" si="508"/>
        <v>0</v>
      </c>
      <c r="X899" s="17">
        <f t="shared" si="509"/>
        <v>0</v>
      </c>
      <c r="Y899" s="17">
        <f t="shared" si="510"/>
        <v>0</v>
      </c>
      <c r="Z899" s="17">
        <f t="shared" si="511"/>
        <v>0</v>
      </c>
      <c r="AA899" s="17">
        <f t="shared" si="512"/>
        <v>0</v>
      </c>
      <c r="AB899" s="17">
        <f t="shared" si="513"/>
        <v>0</v>
      </c>
      <c r="AC899" s="17">
        <v>0</v>
      </c>
      <c r="AD899" s="17">
        <f t="shared" si="514"/>
        <v>0</v>
      </c>
      <c r="AE899" s="17">
        <f t="shared" si="515"/>
        <v>0</v>
      </c>
      <c r="AF899" s="17">
        <f t="shared" si="516"/>
        <v>0</v>
      </c>
      <c r="AG899" s="17">
        <f t="shared" si="517"/>
        <v>0</v>
      </c>
      <c r="AH899" s="17">
        <f t="shared" si="518"/>
        <v>0</v>
      </c>
      <c r="AI899" s="17">
        <f t="shared" si="519"/>
        <v>0</v>
      </c>
      <c r="AJ899" s="17">
        <f t="shared" si="520"/>
        <v>0</v>
      </c>
      <c r="AK899" s="17">
        <f t="shared" si="521"/>
        <v>0</v>
      </c>
      <c r="AL899" s="17">
        <f t="shared" si="522"/>
        <v>0</v>
      </c>
      <c r="AM899" s="17">
        <f t="shared" si="523"/>
        <v>0</v>
      </c>
      <c r="AN899" s="17">
        <f t="shared" si="524"/>
        <v>0</v>
      </c>
      <c r="AO899" s="17">
        <f t="shared" si="525"/>
        <v>0</v>
      </c>
      <c r="AP899" s="17">
        <f t="shared" si="526"/>
        <v>0</v>
      </c>
      <c r="AQ899" s="18">
        <v>4.2428130000114122</v>
      </c>
      <c r="AR899" s="18">
        <v>5.0740059530490536</v>
      </c>
      <c r="AS899" s="18">
        <v>4.4905324521196546</v>
      </c>
      <c r="AT899" s="18">
        <v>3.4014055424962897</v>
      </c>
      <c r="AU899" s="18">
        <v>4.9328480388628648</v>
      </c>
      <c r="AV899" s="18">
        <v>4.0424634950673113</v>
      </c>
      <c r="AW899" s="18">
        <v>4.0245537875857735</v>
      </c>
      <c r="AX899" s="18">
        <v>2.7330460423917571</v>
      </c>
      <c r="AY899" s="18">
        <v>4.0511945253398967</v>
      </c>
      <c r="AZ899" s="18">
        <v>3.5280696527876487</v>
      </c>
      <c r="BA899" s="18">
        <v>3.6022928508144987</v>
      </c>
      <c r="BB899" s="18">
        <v>3.5184357368220178</v>
      </c>
      <c r="BC899" s="23">
        <v>8.9181565948742242E-2</v>
      </c>
      <c r="BD899" s="23">
        <v>0.10665277883445198</v>
      </c>
      <c r="BE899" s="23">
        <v>9.438849084854764E-2</v>
      </c>
      <c r="BF899" s="23">
        <v>7.149564986855049E-2</v>
      </c>
      <c r="BG899" s="23">
        <v>0.10368571810536763</v>
      </c>
      <c r="BH899" s="23">
        <v>8.4970330952544637E-2</v>
      </c>
      <c r="BI899" s="23">
        <v>8.4593878877262704E-2</v>
      </c>
      <c r="BJ899" s="23">
        <v>5.7447105462779965E-2</v>
      </c>
      <c r="BK899" s="23">
        <v>8.5153852345557474E-2</v>
      </c>
      <c r="BL899" s="23">
        <v>7.4158058913035174E-2</v>
      </c>
      <c r="BM899" s="23">
        <v>7.5718189192107169E-2</v>
      </c>
      <c r="BN899" s="23">
        <v>7.3955559365675619E-2</v>
      </c>
    </row>
    <row r="900" spans="1:66" x14ac:dyDescent="0.25">
      <c r="A900" s="16">
        <v>6704</v>
      </c>
      <c r="B900" s="16" t="s">
        <v>1094</v>
      </c>
      <c r="C900" s="17">
        <v>0</v>
      </c>
      <c r="D900" s="17">
        <f t="shared" ref="D900:D963" si="527">+$C900*BC900</f>
        <v>0</v>
      </c>
      <c r="E900" s="17">
        <f t="shared" ref="E900:E963" si="528">+$C900*BD900</f>
        <v>0</v>
      </c>
      <c r="F900" s="17">
        <f t="shared" ref="F900:F963" si="529">+$C900*BE900</f>
        <v>0</v>
      </c>
      <c r="G900" s="17">
        <f t="shared" ref="G900:G963" si="530">+$C900*BF900</f>
        <v>0</v>
      </c>
      <c r="H900" s="17">
        <f t="shared" ref="H900:H963" si="531">+$C900*BG900</f>
        <v>0</v>
      </c>
      <c r="I900" s="17">
        <f t="shared" ref="I900:I963" si="532">+$C900*BH900</f>
        <v>0</v>
      </c>
      <c r="J900" s="17">
        <f t="shared" ref="J900:J963" si="533">+$C900*BI900</f>
        <v>0</v>
      </c>
      <c r="K900" s="17">
        <f t="shared" ref="K900:K963" si="534">+$C900*BJ900</f>
        <v>0</v>
      </c>
      <c r="L900" s="17">
        <f t="shared" ref="L900:L963" si="535">+$C900*BK900</f>
        <v>0</v>
      </c>
      <c r="M900" s="17">
        <f t="shared" ref="M900:M963" si="536">+$C900*BL900</f>
        <v>0</v>
      </c>
      <c r="N900" s="17">
        <f t="shared" ref="N900:N963" si="537">+$C900*BM900</f>
        <v>0</v>
      </c>
      <c r="O900" s="17">
        <f t="shared" ref="O900:O963" si="538">+$C900*BN900</f>
        <v>0</v>
      </c>
      <c r="P900" s="17">
        <v>0</v>
      </c>
      <c r="Q900" s="17">
        <f t="shared" ref="Q900:Q963" si="539">+$P900*BC900</f>
        <v>0</v>
      </c>
      <c r="R900" s="17">
        <f t="shared" ref="R900:R963" si="540">+$P900*BD900</f>
        <v>0</v>
      </c>
      <c r="S900" s="17">
        <f t="shared" ref="S900:S963" si="541">+$P900*BE900</f>
        <v>0</v>
      </c>
      <c r="T900" s="17">
        <f t="shared" ref="T900:T963" si="542">+$P900*BF900</f>
        <v>0</v>
      </c>
      <c r="U900" s="17">
        <f t="shared" ref="U900:U963" si="543">+$P900*BG900</f>
        <v>0</v>
      </c>
      <c r="V900" s="17">
        <f t="shared" ref="V900:V963" si="544">+$P900*BH900</f>
        <v>0</v>
      </c>
      <c r="W900" s="17">
        <f t="shared" ref="W900:W963" si="545">+$P900*BI900</f>
        <v>0</v>
      </c>
      <c r="X900" s="17">
        <f t="shared" ref="X900:X963" si="546">+$P900*BJ900</f>
        <v>0</v>
      </c>
      <c r="Y900" s="17">
        <f t="shared" ref="Y900:Y963" si="547">+$P900*BK900</f>
        <v>0</v>
      </c>
      <c r="Z900" s="17">
        <f t="shared" ref="Z900:Z963" si="548">+$P900*BL900</f>
        <v>0</v>
      </c>
      <c r="AA900" s="17">
        <f t="shared" ref="AA900:AA963" si="549">+$P900*BM900</f>
        <v>0</v>
      </c>
      <c r="AB900" s="17">
        <f t="shared" ref="AB900:AB963" si="550">+$P900*BN900</f>
        <v>0</v>
      </c>
      <c r="AC900" s="17">
        <v>0</v>
      </c>
      <c r="AD900" s="17">
        <f t="shared" ref="AD900:AD963" si="551">+$AC900*BC900</f>
        <v>0</v>
      </c>
      <c r="AE900" s="17">
        <f t="shared" ref="AE900:AE963" si="552">+$AC900*BD900</f>
        <v>0</v>
      </c>
      <c r="AF900" s="17">
        <f t="shared" ref="AF900:AF963" si="553">+$AC900*BE900</f>
        <v>0</v>
      </c>
      <c r="AG900" s="17">
        <f t="shared" ref="AG900:AG963" si="554">+$AC900*BF900</f>
        <v>0</v>
      </c>
      <c r="AH900" s="17">
        <f t="shared" ref="AH900:AH963" si="555">+$AC900*BG900</f>
        <v>0</v>
      </c>
      <c r="AI900" s="17">
        <f t="shared" ref="AI900:AI963" si="556">+$AC900*BH900</f>
        <v>0</v>
      </c>
      <c r="AJ900" s="17">
        <f t="shared" ref="AJ900:AJ963" si="557">+$AC900*BI900</f>
        <v>0</v>
      </c>
      <c r="AK900" s="17">
        <f t="shared" ref="AK900:AK963" si="558">+$AC900*BJ900</f>
        <v>0</v>
      </c>
      <c r="AL900" s="17">
        <f t="shared" ref="AL900:AL963" si="559">+$AC900*BK900</f>
        <v>0</v>
      </c>
      <c r="AM900" s="17">
        <f t="shared" ref="AM900:AM963" si="560">+$AC900*BL900</f>
        <v>0</v>
      </c>
      <c r="AN900" s="17">
        <f t="shared" ref="AN900:AN963" si="561">+$AC900*BM900</f>
        <v>0</v>
      </c>
      <c r="AO900" s="17">
        <f t="shared" ref="AO900:AO963" si="562">+$AC900*BN900</f>
        <v>0</v>
      </c>
      <c r="AP900" s="17">
        <f t="shared" ref="AP900:AP963" si="563">+AC900+P900+C900</f>
        <v>0</v>
      </c>
      <c r="AQ900" s="18">
        <v>2.8448919537648776E-2</v>
      </c>
      <c r="AR900" s="18">
        <v>3.4022236448190184E-2</v>
      </c>
      <c r="AS900" s="18">
        <v>3.0109928580686698E-2</v>
      </c>
      <c r="AT900" s="18">
        <v>2.2807112308067607E-2</v>
      </c>
      <c r="AU900" s="18">
        <v>3.3075744075612271E-2</v>
      </c>
      <c r="AV900" s="18">
        <v>2.7105535573861739E-2</v>
      </c>
      <c r="AW900" s="18">
        <v>2.6985447361846802E-2</v>
      </c>
      <c r="AX900" s="18">
        <v>1.8325626642626811E-2</v>
      </c>
      <c r="AY900" s="18">
        <v>2.7164078898232833E-2</v>
      </c>
      <c r="AZ900" s="18">
        <v>2.365642079325822E-2</v>
      </c>
      <c r="BA900" s="18">
        <v>2.4154102352282186E-2</v>
      </c>
      <c r="BB900" s="18">
        <v>2.3591823437650521E-2</v>
      </c>
      <c r="BC900" s="23">
        <v>8.9181565948742242E-2</v>
      </c>
      <c r="BD900" s="23">
        <v>0.10665277883445198</v>
      </c>
      <c r="BE900" s="23">
        <v>9.438849084854764E-2</v>
      </c>
      <c r="BF900" s="23">
        <v>7.149564986855049E-2</v>
      </c>
      <c r="BG900" s="23">
        <v>0.10368571810536763</v>
      </c>
      <c r="BH900" s="23">
        <v>8.4970330952544637E-2</v>
      </c>
      <c r="BI900" s="23">
        <v>8.4593878877262704E-2</v>
      </c>
      <c r="BJ900" s="23">
        <v>5.7447105462779965E-2</v>
      </c>
      <c r="BK900" s="23">
        <v>8.5153852345557474E-2</v>
      </c>
      <c r="BL900" s="23">
        <v>7.4158058913035174E-2</v>
      </c>
      <c r="BM900" s="23">
        <v>7.5718189192107169E-2</v>
      </c>
      <c r="BN900" s="23">
        <v>7.3955559365675619E-2</v>
      </c>
    </row>
    <row r="901" spans="1:66" x14ac:dyDescent="0.25">
      <c r="A901" s="16">
        <v>6706</v>
      </c>
      <c r="B901" s="16" t="s">
        <v>1095</v>
      </c>
      <c r="C901" s="17">
        <v>0</v>
      </c>
      <c r="D901" s="17">
        <f t="shared" si="527"/>
        <v>0</v>
      </c>
      <c r="E901" s="17">
        <f t="shared" si="528"/>
        <v>0</v>
      </c>
      <c r="F901" s="17">
        <f t="shared" si="529"/>
        <v>0</v>
      </c>
      <c r="G901" s="17">
        <f t="shared" si="530"/>
        <v>0</v>
      </c>
      <c r="H901" s="17">
        <f t="shared" si="531"/>
        <v>0</v>
      </c>
      <c r="I901" s="17">
        <f t="shared" si="532"/>
        <v>0</v>
      </c>
      <c r="J901" s="17">
        <f t="shared" si="533"/>
        <v>0</v>
      </c>
      <c r="K901" s="17">
        <f t="shared" si="534"/>
        <v>0</v>
      </c>
      <c r="L901" s="17">
        <f t="shared" si="535"/>
        <v>0</v>
      </c>
      <c r="M901" s="17">
        <f t="shared" si="536"/>
        <v>0</v>
      </c>
      <c r="N901" s="17">
        <f t="shared" si="537"/>
        <v>0</v>
      </c>
      <c r="O901" s="17">
        <f t="shared" si="538"/>
        <v>0</v>
      </c>
      <c r="P901" s="17">
        <v>0</v>
      </c>
      <c r="Q901" s="17">
        <f t="shared" si="539"/>
        <v>0</v>
      </c>
      <c r="R901" s="17">
        <f t="shared" si="540"/>
        <v>0</v>
      </c>
      <c r="S901" s="17">
        <f t="shared" si="541"/>
        <v>0</v>
      </c>
      <c r="T901" s="17">
        <f t="shared" si="542"/>
        <v>0</v>
      </c>
      <c r="U901" s="17">
        <f t="shared" si="543"/>
        <v>0</v>
      </c>
      <c r="V901" s="17">
        <f t="shared" si="544"/>
        <v>0</v>
      </c>
      <c r="W901" s="17">
        <f t="shared" si="545"/>
        <v>0</v>
      </c>
      <c r="X901" s="17">
        <f t="shared" si="546"/>
        <v>0</v>
      </c>
      <c r="Y901" s="17">
        <f t="shared" si="547"/>
        <v>0</v>
      </c>
      <c r="Z901" s="17">
        <f t="shared" si="548"/>
        <v>0</v>
      </c>
      <c r="AA901" s="17">
        <f t="shared" si="549"/>
        <v>0</v>
      </c>
      <c r="AB901" s="17">
        <f t="shared" si="550"/>
        <v>0</v>
      </c>
      <c r="AC901" s="17">
        <v>0</v>
      </c>
      <c r="AD901" s="17">
        <f t="shared" si="551"/>
        <v>0</v>
      </c>
      <c r="AE901" s="17">
        <f t="shared" si="552"/>
        <v>0</v>
      </c>
      <c r="AF901" s="17">
        <f t="shared" si="553"/>
        <v>0</v>
      </c>
      <c r="AG901" s="17">
        <f t="shared" si="554"/>
        <v>0</v>
      </c>
      <c r="AH901" s="17">
        <f t="shared" si="555"/>
        <v>0</v>
      </c>
      <c r="AI901" s="17">
        <f t="shared" si="556"/>
        <v>0</v>
      </c>
      <c r="AJ901" s="17">
        <f t="shared" si="557"/>
        <v>0</v>
      </c>
      <c r="AK901" s="17">
        <f t="shared" si="558"/>
        <v>0</v>
      </c>
      <c r="AL901" s="17">
        <f t="shared" si="559"/>
        <v>0</v>
      </c>
      <c r="AM901" s="17">
        <f t="shared" si="560"/>
        <v>0</v>
      </c>
      <c r="AN901" s="17">
        <f t="shared" si="561"/>
        <v>0</v>
      </c>
      <c r="AO901" s="17">
        <f t="shared" si="562"/>
        <v>0</v>
      </c>
      <c r="AP901" s="17">
        <f t="shared" si="563"/>
        <v>0</v>
      </c>
      <c r="AQ901" s="18">
        <v>7.2377975292680228</v>
      </c>
      <c r="AR901" s="18">
        <v>8.6557262246464539</v>
      </c>
      <c r="AS901" s="18">
        <v>7.6603811402864297</v>
      </c>
      <c r="AT901" s="18">
        <v>5.8024439520318207</v>
      </c>
      <c r="AU901" s="18">
        <v>8.4149255099954257</v>
      </c>
      <c r="AV901" s="18">
        <v>6.8960221194466174</v>
      </c>
      <c r="AW901" s="18">
        <v>6.8654700219208866</v>
      </c>
      <c r="AX901" s="18">
        <v>4.6622921851482966</v>
      </c>
      <c r="AY901" s="18">
        <v>6.9109163486607539</v>
      </c>
      <c r="AZ901" s="18">
        <v>6.0185197452641086</v>
      </c>
      <c r="BA901" s="18">
        <v>6.1451367984530334</v>
      </c>
      <c r="BB901" s="18">
        <v>6.0020852869995016</v>
      </c>
      <c r="BC901" s="23">
        <v>8.9181565948742242E-2</v>
      </c>
      <c r="BD901" s="23">
        <v>0.10665277883445198</v>
      </c>
      <c r="BE901" s="23">
        <v>9.438849084854764E-2</v>
      </c>
      <c r="BF901" s="23">
        <v>7.149564986855049E-2</v>
      </c>
      <c r="BG901" s="23">
        <v>0.10368571810536763</v>
      </c>
      <c r="BH901" s="23">
        <v>8.4970330952544637E-2</v>
      </c>
      <c r="BI901" s="23">
        <v>8.4593878877262704E-2</v>
      </c>
      <c r="BJ901" s="23">
        <v>5.7447105462779965E-2</v>
      </c>
      <c r="BK901" s="23">
        <v>8.5153852345557474E-2</v>
      </c>
      <c r="BL901" s="23">
        <v>7.4158058913035174E-2</v>
      </c>
      <c r="BM901" s="23">
        <v>7.5718189192107169E-2</v>
      </c>
      <c r="BN901" s="23">
        <v>7.3955559365675619E-2</v>
      </c>
    </row>
    <row r="902" spans="1:66" x14ac:dyDescent="0.25">
      <c r="A902" s="16">
        <v>6707</v>
      </c>
      <c r="B902" s="16" t="s">
        <v>1096</v>
      </c>
      <c r="C902" s="17">
        <v>0</v>
      </c>
      <c r="D902" s="17">
        <f t="shared" si="527"/>
        <v>0</v>
      </c>
      <c r="E902" s="17">
        <f t="shared" si="528"/>
        <v>0</v>
      </c>
      <c r="F902" s="17">
        <f t="shared" si="529"/>
        <v>0</v>
      </c>
      <c r="G902" s="17">
        <f t="shared" si="530"/>
        <v>0</v>
      </c>
      <c r="H902" s="17">
        <f t="shared" si="531"/>
        <v>0</v>
      </c>
      <c r="I902" s="17">
        <f t="shared" si="532"/>
        <v>0</v>
      </c>
      <c r="J902" s="17">
        <f t="shared" si="533"/>
        <v>0</v>
      </c>
      <c r="K902" s="17">
        <f t="shared" si="534"/>
        <v>0</v>
      </c>
      <c r="L902" s="17">
        <f t="shared" si="535"/>
        <v>0</v>
      </c>
      <c r="M902" s="17">
        <f t="shared" si="536"/>
        <v>0</v>
      </c>
      <c r="N902" s="17">
        <f t="shared" si="537"/>
        <v>0</v>
      </c>
      <c r="O902" s="17">
        <f t="shared" si="538"/>
        <v>0</v>
      </c>
      <c r="P902" s="17">
        <v>1000</v>
      </c>
      <c r="Q902" s="17">
        <f t="shared" si="539"/>
        <v>89.181565948742247</v>
      </c>
      <c r="R902" s="17">
        <f t="shared" si="540"/>
        <v>106.65277883445198</v>
      </c>
      <c r="S902" s="17">
        <f t="shared" si="541"/>
        <v>94.388490848547647</v>
      </c>
      <c r="T902" s="17">
        <f t="shared" si="542"/>
        <v>71.495649868550487</v>
      </c>
      <c r="U902" s="17">
        <f t="shared" si="543"/>
        <v>103.68571810536763</v>
      </c>
      <c r="V902" s="17">
        <f t="shared" si="544"/>
        <v>84.970330952544643</v>
      </c>
      <c r="W902" s="17">
        <f t="shared" si="545"/>
        <v>84.593878877262711</v>
      </c>
      <c r="X902" s="17">
        <f t="shared" si="546"/>
        <v>57.447105462779966</v>
      </c>
      <c r="Y902" s="17">
        <f t="shared" si="547"/>
        <v>85.153852345557468</v>
      </c>
      <c r="Z902" s="17">
        <f t="shared" si="548"/>
        <v>74.158058913035177</v>
      </c>
      <c r="AA902" s="17">
        <f t="shared" si="549"/>
        <v>75.718189192107175</v>
      </c>
      <c r="AB902" s="17">
        <f t="shared" si="550"/>
        <v>73.955559365675626</v>
      </c>
      <c r="AC902" s="17">
        <v>0</v>
      </c>
      <c r="AD902" s="17">
        <f t="shared" si="551"/>
        <v>0</v>
      </c>
      <c r="AE902" s="17">
        <f t="shared" si="552"/>
        <v>0</v>
      </c>
      <c r="AF902" s="17">
        <f t="shared" si="553"/>
        <v>0</v>
      </c>
      <c r="AG902" s="17">
        <f t="shared" si="554"/>
        <v>0</v>
      </c>
      <c r="AH902" s="17">
        <f t="shared" si="555"/>
        <v>0</v>
      </c>
      <c r="AI902" s="17">
        <f t="shared" si="556"/>
        <v>0</v>
      </c>
      <c r="AJ902" s="17">
        <f t="shared" si="557"/>
        <v>0</v>
      </c>
      <c r="AK902" s="17">
        <f t="shared" si="558"/>
        <v>0</v>
      </c>
      <c r="AL902" s="17">
        <f t="shared" si="559"/>
        <v>0</v>
      </c>
      <c r="AM902" s="17">
        <f t="shared" si="560"/>
        <v>0</v>
      </c>
      <c r="AN902" s="17">
        <f t="shared" si="561"/>
        <v>0</v>
      </c>
      <c r="AO902" s="17">
        <f t="shared" si="562"/>
        <v>0</v>
      </c>
      <c r="AP902" s="17">
        <f t="shared" si="563"/>
        <v>1000</v>
      </c>
      <c r="AQ902" s="18">
        <v>0</v>
      </c>
      <c r="AR902" s="18">
        <v>0</v>
      </c>
      <c r="AS902" s="18">
        <v>0</v>
      </c>
      <c r="AT902" s="18">
        <v>0</v>
      </c>
      <c r="AU902" s="18">
        <v>0</v>
      </c>
      <c r="AV902" s="18">
        <v>0</v>
      </c>
      <c r="AW902" s="18">
        <v>0</v>
      </c>
      <c r="AX902" s="18">
        <v>0</v>
      </c>
      <c r="AY902" s="18">
        <v>0</v>
      </c>
      <c r="AZ902" s="18">
        <v>0</v>
      </c>
      <c r="BA902" s="18">
        <v>0</v>
      </c>
      <c r="BB902" s="18">
        <v>0</v>
      </c>
      <c r="BC902" s="23">
        <v>8.9181565948742242E-2</v>
      </c>
      <c r="BD902" s="23">
        <v>0.10665277883445198</v>
      </c>
      <c r="BE902" s="23">
        <v>9.438849084854764E-2</v>
      </c>
      <c r="BF902" s="23">
        <v>7.149564986855049E-2</v>
      </c>
      <c r="BG902" s="23">
        <v>0.10368571810536763</v>
      </c>
      <c r="BH902" s="23">
        <v>8.4970330952544637E-2</v>
      </c>
      <c r="BI902" s="23">
        <v>8.4593878877262704E-2</v>
      </c>
      <c r="BJ902" s="23">
        <v>5.7447105462779965E-2</v>
      </c>
      <c r="BK902" s="23">
        <v>8.5153852345557474E-2</v>
      </c>
      <c r="BL902" s="23">
        <v>7.4158058913035174E-2</v>
      </c>
      <c r="BM902" s="23">
        <v>7.5718189192107169E-2</v>
      </c>
      <c r="BN902" s="23">
        <v>7.3955559365675619E-2</v>
      </c>
    </row>
    <row r="903" spans="1:66" x14ac:dyDescent="0.25">
      <c r="A903" s="16">
        <v>6709</v>
      </c>
      <c r="B903" s="16" t="s">
        <v>1097</v>
      </c>
      <c r="C903" s="17">
        <v>0</v>
      </c>
      <c r="D903" s="17">
        <f t="shared" si="527"/>
        <v>0</v>
      </c>
      <c r="E903" s="17">
        <f t="shared" si="528"/>
        <v>0</v>
      </c>
      <c r="F903" s="17">
        <f t="shared" si="529"/>
        <v>0</v>
      </c>
      <c r="G903" s="17">
        <f t="shared" si="530"/>
        <v>0</v>
      </c>
      <c r="H903" s="17">
        <f t="shared" si="531"/>
        <v>0</v>
      </c>
      <c r="I903" s="17">
        <f t="shared" si="532"/>
        <v>0</v>
      </c>
      <c r="J903" s="17">
        <f t="shared" si="533"/>
        <v>0</v>
      </c>
      <c r="K903" s="17">
        <f t="shared" si="534"/>
        <v>0</v>
      </c>
      <c r="L903" s="17">
        <f t="shared" si="535"/>
        <v>0</v>
      </c>
      <c r="M903" s="17">
        <f t="shared" si="536"/>
        <v>0</v>
      </c>
      <c r="N903" s="17">
        <f t="shared" si="537"/>
        <v>0</v>
      </c>
      <c r="O903" s="17">
        <f t="shared" si="538"/>
        <v>0</v>
      </c>
      <c r="P903" s="17">
        <v>0</v>
      </c>
      <c r="Q903" s="17">
        <f t="shared" si="539"/>
        <v>0</v>
      </c>
      <c r="R903" s="17">
        <f t="shared" si="540"/>
        <v>0</v>
      </c>
      <c r="S903" s="17">
        <f t="shared" si="541"/>
        <v>0</v>
      </c>
      <c r="T903" s="17">
        <f t="shared" si="542"/>
        <v>0</v>
      </c>
      <c r="U903" s="17">
        <f t="shared" si="543"/>
        <v>0</v>
      </c>
      <c r="V903" s="17">
        <f t="shared" si="544"/>
        <v>0</v>
      </c>
      <c r="W903" s="17">
        <f t="shared" si="545"/>
        <v>0</v>
      </c>
      <c r="X903" s="17">
        <f t="shared" si="546"/>
        <v>0</v>
      </c>
      <c r="Y903" s="17">
        <f t="shared" si="547"/>
        <v>0</v>
      </c>
      <c r="Z903" s="17">
        <f t="shared" si="548"/>
        <v>0</v>
      </c>
      <c r="AA903" s="17">
        <f t="shared" si="549"/>
        <v>0</v>
      </c>
      <c r="AB903" s="17">
        <f t="shared" si="550"/>
        <v>0</v>
      </c>
      <c r="AC903" s="17">
        <v>0</v>
      </c>
      <c r="AD903" s="17">
        <f t="shared" si="551"/>
        <v>0</v>
      </c>
      <c r="AE903" s="17">
        <f t="shared" si="552"/>
        <v>0</v>
      </c>
      <c r="AF903" s="17">
        <f t="shared" si="553"/>
        <v>0</v>
      </c>
      <c r="AG903" s="17">
        <f t="shared" si="554"/>
        <v>0</v>
      </c>
      <c r="AH903" s="17">
        <f t="shared" si="555"/>
        <v>0</v>
      </c>
      <c r="AI903" s="17">
        <f t="shared" si="556"/>
        <v>0</v>
      </c>
      <c r="AJ903" s="17">
        <f t="shared" si="557"/>
        <v>0</v>
      </c>
      <c r="AK903" s="17">
        <f t="shared" si="558"/>
        <v>0</v>
      </c>
      <c r="AL903" s="17">
        <f t="shared" si="559"/>
        <v>0</v>
      </c>
      <c r="AM903" s="17">
        <f t="shared" si="560"/>
        <v>0</v>
      </c>
      <c r="AN903" s="17">
        <f t="shared" si="561"/>
        <v>0</v>
      </c>
      <c r="AO903" s="17">
        <f t="shared" si="562"/>
        <v>0</v>
      </c>
      <c r="AP903" s="17">
        <f t="shared" si="563"/>
        <v>0</v>
      </c>
      <c r="AQ903" s="18">
        <v>0</v>
      </c>
      <c r="AR903" s="18">
        <v>0</v>
      </c>
      <c r="AS903" s="18">
        <v>0</v>
      </c>
      <c r="AT903" s="18">
        <v>0</v>
      </c>
      <c r="AU903" s="18">
        <v>0</v>
      </c>
      <c r="AV903" s="18">
        <v>0</v>
      </c>
      <c r="AW903" s="18">
        <v>0</v>
      </c>
      <c r="AX903" s="18">
        <v>0</v>
      </c>
      <c r="AY903" s="18">
        <v>0</v>
      </c>
      <c r="AZ903" s="18">
        <v>0</v>
      </c>
      <c r="BA903" s="18">
        <v>0</v>
      </c>
      <c r="BB903" s="18">
        <v>0</v>
      </c>
      <c r="BC903" s="23">
        <v>8.9181565948742242E-2</v>
      </c>
      <c r="BD903" s="23">
        <v>0.10665277883445198</v>
      </c>
      <c r="BE903" s="23">
        <v>9.438849084854764E-2</v>
      </c>
      <c r="BF903" s="23">
        <v>7.149564986855049E-2</v>
      </c>
      <c r="BG903" s="23">
        <v>0.10368571810536763</v>
      </c>
      <c r="BH903" s="23">
        <v>8.4970330952544637E-2</v>
      </c>
      <c r="BI903" s="23">
        <v>8.4593878877262704E-2</v>
      </c>
      <c r="BJ903" s="23">
        <v>5.7447105462779965E-2</v>
      </c>
      <c r="BK903" s="23">
        <v>8.5153852345557474E-2</v>
      </c>
      <c r="BL903" s="23">
        <v>7.4158058913035174E-2</v>
      </c>
      <c r="BM903" s="23">
        <v>7.5718189192107169E-2</v>
      </c>
      <c r="BN903" s="23">
        <v>7.3955559365675619E-2</v>
      </c>
    </row>
    <row r="904" spans="1:66" x14ac:dyDescent="0.25">
      <c r="A904" s="16">
        <v>6710</v>
      </c>
      <c r="B904" s="16" t="s">
        <v>1098</v>
      </c>
      <c r="C904" s="17">
        <v>0</v>
      </c>
      <c r="D904" s="17">
        <f t="shared" si="527"/>
        <v>0</v>
      </c>
      <c r="E904" s="17">
        <f t="shared" si="528"/>
        <v>0</v>
      </c>
      <c r="F904" s="17">
        <f t="shared" si="529"/>
        <v>0</v>
      </c>
      <c r="G904" s="17">
        <f t="shared" si="530"/>
        <v>0</v>
      </c>
      <c r="H904" s="17">
        <f t="shared" si="531"/>
        <v>0</v>
      </c>
      <c r="I904" s="17">
        <f t="shared" si="532"/>
        <v>0</v>
      </c>
      <c r="J904" s="17">
        <f t="shared" si="533"/>
        <v>0</v>
      </c>
      <c r="K904" s="17">
        <f t="shared" si="534"/>
        <v>0</v>
      </c>
      <c r="L904" s="17">
        <f t="shared" si="535"/>
        <v>0</v>
      </c>
      <c r="M904" s="17">
        <f t="shared" si="536"/>
        <v>0</v>
      </c>
      <c r="N904" s="17">
        <f t="shared" si="537"/>
        <v>0</v>
      </c>
      <c r="O904" s="17">
        <f t="shared" si="538"/>
        <v>0</v>
      </c>
      <c r="P904" s="17">
        <v>0</v>
      </c>
      <c r="Q904" s="17">
        <f t="shared" si="539"/>
        <v>0</v>
      </c>
      <c r="R904" s="17">
        <f t="shared" si="540"/>
        <v>0</v>
      </c>
      <c r="S904" s="17">
        <f t="shared" si="541"/>
        <v>0</v>
      </c>
      <c r="T904" s="17">
        <f t="shared" si="542"/>
        <v>0</v>
      </c>
      <c r="U904" s="17">
        <f t="shared" si="543"/>
        <v>0</v>
      </c>
      <c r="V904" s="17">
        <f t="shared" si="544"/>
        <v>0</v>
      </c>
      <c r="W904" s="17">
        <f t="shared" si="545"/>
        <v>0</v>
      </c>
      <c r="X904" s="17">
        <f t="shared" si="546"/>
        <v>0</v>
      </c>
      <c r="Y904" s="17">
        <f t="shared" si="547"/>
        <v>0</v>
      </c>
      <c r="Z904" s="17">
        <f t="shared" si="548"/>
        <v>0</v>
      </c>
      <c r="AA904" s="17">
        <f t="shared" si="549"/>
        <v>0</v>
      </c>
      <c r="AB904" s="17">
        <f t="shared" si="550"/>
        <v>0</v>
      </c>
      <c r="AC904" s="17">
        <v>0</v>
      </c>
      <c r="AD904" s="17">
        <f t="shared" si="551"/>
        <v>0</v>
      </c>
      <c r="AE904" s="17">
        <f t="shared" si="552"/>
        <v>0</v>
      </c>
      <c r="AF904" s="17">
        <f t="shared" si="553"/>
        <v>0</v>
      </c>
      <c r="AG904" s="17">
        <f t="shared" si="554"/>
        <v>0</v>
      </c>
      <c r="AH904" s="17">
        <f t="shared" si="555"/>
        <v>0</v>
      </c>
      <c r="AI904" s="17">
        <f t="shared" si="556"/>
        <v>0</v>
      </c>
      <c r="AJ904" s="17">
        <f t="shared" si="557"/>
        <v>0</v>
      </c>
      <c r="AK904" s="17">
        <f t="shared" si="558"/>
        <v>0</v>
      </c>
      <c r="AL904" s="17">
        <f t="shared" si="559"/>
        <v>0</v>
      </c>
      <c r="AM904" s="17">
        <f t="shared" si="560"/>
        <v>0</v>
      </c>
      <c r="AN904" s="17">
        <f t="shared" si="561"/>
        <v>0</v>
      </c>
      <c r="AO904" s="17">
        <f t="shared" si="562"/>
        <v>0</v>
      </c>
      <c r="AP904" s="17">
        <f t="shared" si="563"/>
        <v>0</v>
      </c>
      <c r="AQ904" s="18">
        <v>0</v>
      </c>
      <c r="AR904" s="18">
        <v>0</v>
      </c>
      <c r="AS904" s="18">
        <v>0</v>
      </c>
      <c r="AT904" s="18">
        <v>0</v>
      </c>
      <c r="AU904" s="18">
        <v>0</v>
      </c>
      <c r="AV904" s="18">
        <v>0</v>
      </c>
      <c r="AW904" s="18">
        <v>0</v>
      </c>
      <c r="AX904" s="18">
        <v>0</v>
      </c>
      <c r="AY904" s="18">
        <v>0</v>
      </c>
      <c r="AZ904" s="18">
        <v>0</v>
      </c>
      <c r="BA904" s="18">
        <v>0</v>
      </c>
      <c r="BB904" s="18">
        <v>0</v>
      </c>
      <c r="BC904" s="23">
        <v>8.9181565948742242E-2</v>
      </c>
      <c r="BD904" s="23">
        <v>0.10665277883445198</v>
      </c>
      <c r="BE904" s="23">
        <v>9.438849084854764E-2</v>
      </c>
      <c r="BF904" s="23">
        <v>7.149564986855049E-2</v>
      </c>
      <c r="BG904" s="23">
        <v>0.10368571810536763</v>
      </c>
      <c r="BH904" s="23">
        <v>8.4970330952544637E-2</v>
      </c>
      <c r="BI904" s="23">
        <v>8.4593878877262704E-2</v>
      </c>
      <c r="BJ904" s="23">
        <v>5.7447105462779965E-2</v>
      </c>
      <c r="BK904" s="23">
        <v>8.5153852345557474E-2</v>
      </c>
      <c r="BL904" s="23">
        <v>7.4158058913035174E-2</v>
      </c>
      <c r="BM904" s="23">
        <v>7.5718189192107169E-2</v>
      </c>
      <c r="BN904" s="23">
        <v>7.3955559365675619E-2</v>
      </c>
    </row>
    <row r="905" spans="1:66" x14ac:dyDescent="0.25">
      <c r="A905" s="16">
        <v>6711</v>
      </c>
      <c r="B905" s="16" t="s">
        <v>1099</v>
      </c>
      <c r="C905" s="17">
        <v>0</v>
      </c>
      <c r="D905" s="17">
        <f t="shared" si="527"/>
        <v>0</v>
      </c>
      <c r="E905" s="17">
        <f t="shared" si="528"/>
        <v>0</v>
      </c>
      <c r="F905" s="17">
        <f t="shared" si="529"/>
        <v>0</v>
      </c>
      <c r="G905" s="17">
        <f t="shared" si="530"/>
        <v>0</v>
      </c>
      <c r="H905" s="17">
        <f t="shared" si="531"/>
        <v>0</v>
      </c>
      <c r="I905" s="17">
        <f t="shared" si="532"/>
        <v>0</v>
      </c>
      <c r="J905" s="17">
        <f t="shared" si="533"/>
        <v>0</v>
      </c>
      <c r="K905" s="17">
        <f t="shared" si="534"/>
        <v>0</v>
      </c>
      <c r="L905" s="17">
        <f t="shared" si="535"/>
        <v>0</v>
      </c>
      <c r="M905" s="17">
        <f t="shared" si="536"/>
        <v>0</v>
      </c>
      <c r="N905" s="17">
        <f t="shared" si="537"/>
        <v>0</v>
      </c>
      <c r="O905" s="17">
        <f t="shared" si="538"/>
        <v>0</v>
      </c>
      <c r="P905" s="17">
        <v>0</v>
      </c>
      <c r="Q905" s="17">
        <f t="shared" si="539"/>
        <v>0</v>
      </c>
      <c r="R905" s="17">
        <f t="shared" si="540"/>
        <v>0</v>
      </c>
      <c r="S905" s="17">
        <f t="shared" si="541"/>
        <v>0</v>
      </c>
      <c r="T905" s="17">
        <f t="shared" si="542"/>
        <v>0</v>
      </c>
      <c r="U905" s="17">
        <f t="shared" si="543"/>
        <v>0</v>
      </c>
      <c r="V905" s="17">
        <f t="shared" si="544"/>
        <v>0</v>
      </c>
      <c r="W905" s="17">
        <f t="shared" si="545"/>
        <v>0</v>
      </c>
      <c r="X905" s="17">
        <f t="shared" si="546"/>
        <v>0</v>
      </c>
      <c r="Y905" s="17">
        <f t="shared" si="547"/>
        <v>0</v>
      </c>
      <c r="Z905" s="17">
        <f t="shared" si="548"/>
        <v>0</v>
      </c>
      <c r="AA905" s="17">
        <f t="shared" si="549"/>
        <v>0</v>
      </c>
      <c r="AB905" s="17">
        <f t="shared" si="550"/>
        <v>0</v>
      </c>
      <c r="AC905" s="17">
        <v>0</v>
      </c>
      <c r="AD905" s="17">
        <f t="shared" si="551"/>
        <v>0</v>
      </c>
      <c r="AE905" s="17">
        <f t="shared" si="552"/>
        <v>0</v>
      </c>
      <c r="AF905" s="17">
        <f t="shared" si="553"/>
        <v>0</v>
      </c>
      <c r="AG905" s="17">
        <f t="shared" si="554"/>
        <v>0</v>
      </c>
      <c r="AH905" s="17">
        <f t="shared" si="555"/>
        <v>0</v>
      </c>
      <c r="AI905" s="17">
        <f t="shared" si="556"/>
        <v>0</v>
      </c>
      <c r="AJ905" s="17">
        <f t="shared" si="557"/>
        <v>0</v>
      </c>
      <c r="AK905" s="17">
        <f t="shared" si="558"/>
        <v>0</v>
      </c>
      <c r="AL905" s="17">
        <f t="shared" si="559"/>
        <v>0</v>
      </c>
      <c r="AM905" s="17">
        <f t="shared" si="560"/>
        <v>0</v>
      </c>
      <c r="AN905" s="17">
        <f t="shared" si="561"/>
        <v>0</v>
      </c>
      <c r="AO905" s="17">
        <f t="shared" si="562"/>
        <v>0</v>
      </c>
      <c r="AP905" s="17">
        <f t="shared" si="563"/>
        <v>0</v>
      </c>
      <c r="AQ905" s="18">
        <v>0</v>
      </c>
      <c r="AR905" s="18">
        <v>0</v>
      </c>
      <c r="AS905" s="18">
        <v>0</v>
      </c>
      <c r="AT905" s="18">
        <v>0</v>
      </c>
      <c r="AU905" s="18">
        <v>0</v>
      </c>
      <c r="AV905" s="18">
        <v>0</v>
      </c>
      <c r="AW905" s="18">
        <v>0</v>
      </c>
      <c r="AX905" s="18">
        <v>0</v>
      </c>
      <c r="AY905" s="18">
        <v>0</v>
      </c>
      <c r="AZ905" s="18">
        <v>0</v>
      </c>
      <c r="BA905" s="18">
        <v>0</v>
      </c>
      <c r="BB905" s="18">
        <v>0</v>
      </c>
      <c r="BC905" s="23">
        <v>8.9181565948742242E-2</v>
      </c>
      <c r="BD905" s="23">
        <v>0.10665277883445198</v>
      </c>
      <c r="BE905" s="23">
        <v>9.438849084854764E-2</v>
      </c>
      <c r="BF905" s="23">
        <v>7.149564986855049E-2</v>
      </c>
      <c r="BG905" s="23">
        <v>0.10368571810536763</v>
      </c>
      <c r="BH905" s="23">
        <v>8.4970330952544637E-2</v>
      </c>
      <c r="BI905" s="23">
        <v>8.4593878877262704E-2</v>
      </c>
      <c r="BJ905" s="23">
        <v>5.7447105462779965E-2</v>
      </c>
      <c r="BK905" s="23">
        <v>8.5153852345557474E-2</v>
      </c>
      <c r="BL905" s="23">
        <v>7.4158058913035174E-2</v>
      </c>
      <c r="BM905" s="23">
        <v>7.5718189192107169E-2</v>
      </c>
      <c r="BN905" s="23">
        <v>7.3955559365675619E-2</v>
      </c>
    </row>
    <row r="906" spans="1:66" x14ac:dyDescent="0.25">
      <c r="A906" s="16">
        <v>6712</v>
      </c>
      <c r="B906" s="16" t="s">
        <v>1100</v>
      </c>
      <c r="C906" s="17">
        <v>0</v>
      </c>
      <c r="D906" s="17">
        <f t="shared" si="527"/>
        <v>0</v>
      </c>
      <c r="E906" s="17">
        <f t="shared" si="528"/>
        <v>0</v>
      </c>
      <c r="F906" s="17">
        <f t="shared" si="529"/>
        <v>0</v>
      </c>
      <c r="G906" s="17">
        <f t="shared" si="530"/>
        <v>0</v>
      </c>
      <c r="H906" s="17">
        <f t="shared" si="531"/>
        <v>0</v>
      </c>
      <c r="I906" s="17">
        <f t="shared" si="532"/>
        <v>0</v>
      </c>
      <c r="J906" s="17">
        <f t="shared" si="533"/>
        <v>0</v>
      </c>
      <c r="K906" s="17">
        <f t="shared" si="534"/>
        <v>0</v>
      </c>
      <c r="L906" s="17">
        <f t="shared" si="535"/>
        <v>0</v>
      </c>
      <c r="M906" s="17">
        <f t="shared" si="536"/>
        <v>0</v>
      </c>
      <c r="N906" s="17">
        <f t="shared" si="537"/>
        <v>0</v>
      </c>
      <c r="O906" s="17">
        <f t="shared" si="538"/>
        <v>0</v>
      </c>
      <c r="P906" s="17">
        <v>0</v>
      </c>
      <c r="Q906" s="17">
        <f t="shared" si="539"/>
        <v>0</v>
      </c>
      <c r="R906" s="17">
        <f t="shared" si="540"/>
        <v>0</v>
      </c>
      <c r="S906" s="17">
        <f t="shared" si="541"/>
        <v>0</v>
      </c>
      <c r="T906" s="17">
        <f t="shared" si="542"/>
        <v>0</v>
      </c>
      <c r="U906" s="17">
        <f t="shared" si="543"/>
        <v>0</v>
      </c>
      <c r="V906" s="17">
        <f t="shared" si="544"/>
        <v>0</v>
      </c>
      <c r="W906" s="17">
        <f t="shared" si="545"/>
        <v>0</v>
      </c>
      <c r="X906" s="17">
        <f t="shared" si="546"/>
        <v>0</v>
      </c>
      <c r="Y906" s="17">
        <f t="shared" si="547"/>
        <v>0</v>
      </c>
      <c r="Z906" s="17">
        <f t="shared" si="548"/>
        <v>0</v>
      </c>
      <c r="AA906" s="17">
        <f t="shared" si="549"/>
        <v>0</v>
      </c>
      <c r="AB906" s="17">
        <f t="shared" si="550"/>
        <v>0</v>
      </c>
      <c r="AC906" s="17">
        <v>0</v>
      </c>
      <c r="AD906" s="17">
        <f t="shared" si="551"/>
        <v>0</v>
      </c>
      <c r="AE906" s="17">
        <f t="shared" si="552"/>
        <v>0</v>
      </c>
      <c r="AF906" s="17">
        <f t="shared" si="553"/>
        <v>0</v>
      </c>
      <c r="AG906" s="17">
        <f t="shared" si="554"/>
        <v>0</v>
      </c>
      <c r="AH906" s="17">
        <f t="shared" si="555"/>
        <v>0</v>
      </c>
      <c r="AI906" s="17">
        <f t="shared" si="556"/>
        <v>0</v>
      </c>
      <c r="AJ906" s="17">
        <f t="shared" si="557"/>
        <v>0</v>
      </c>
      <c r="AK906" s="17">
        <f t="shared" si="558"/>
        <v>0</v>
      </c>
      <c r="AL906" s="17">
        <f t="shared" si="559"/>
        <v>0</v>
      </c>
      <c r="AM906" s="17">
        <f t="shared" si="560"/>
        <v>0</v>
      </c>
      <c r="AN906" s="17">
        <f t="shared" si="561"/>
        <v>0</v>
      </c>
      <c r="AO906" s="17">
        <f t="shared" si="562"/>
        <v>0</v>
      </c>
      <c r="AP906" s="17">
        <f t="shared" si="563"/>
        <v>0</v>
      </c>
      <c r="AQ906" s="18">
        <v>0</v>
      </c>
      <c r="AR906" s="18">
        <v>0</v>
      </c>
      <c r="AS906" s="18">
        <v>0</v>
      </c>
      <c r="AT906" s="18">
        <v>0</v>
      </c>
      <c r="AU906" s="18">
        <v>0</v>
      </c>
      <c r="AV906" s="18">
        <v>0</v>
      </c>
      <c r="AW906" s="18">
        <v>0</v>
      </c>
      <c r="AX906" s="18">
        <v>0</v>
      </c>
      <c r="AY906" s="18">
        <v>0</v>
      </c>
      <c r="AZ906" s="18">
        <v>0</v>
      </c>
      <c r="BA906" s="18">
        <v>0</v>
      </c>
      <c r="BB906" s="18">
        <v>0</v>
      </c>
      <c r="BC906" s="23">
        <v>8.9181565948742242E-2</v>
      </c>
      <c r="BD906" s="23">
        <v>0.10665277883445198</v>
      </c>
      <c r="BE906" s="23">
        <v>9.438849084854764E-2</v>
      </c>
      <c r="BF906" s="23">
        <v>7.149564986855049E-2</v>
      </c>
      <c r="BG906" s="23">
        <v>0.10368571810536763</v>
      </c>
      <c r="BH906" s="23">
        <v>8.4970330952544637E-2</v>
      </c>
      <c r="BI906" s="23">
        <v>8.4593878877262704E-2</v>
      </c>
      <c r="BJ906" s="23">
        <v>5.7447105462779965E-2</v>
      </c>
      <c r="BK906" s="23">
        <v>8.5153852345557474E-2</v>
      </c>
      <c r="BL906" s="23">
        <v>7.4158058913035174E-2</v>
      </c>
      <c r="BM906" s="23">
        <v>7.5718189192107169E-2</v>
      </c>
      <c r="BN906" s="23">
        <v>7.3955559365675619E-2</v>
      </c>
    </row>
    <row r="907" spans="1:66" x14ac:dyDescent="0.25">
      <c r="A907" s="16">
        <v>6715</v>
      </c>
      <c r="B907" s="16" t="s">
        <v>1101</v>
      </c>
      <c r="C907" s="17">
        <v>0</v>
      </c>
      <c r="D907" s="17">
        <f t="shared" si="527"/>
        <v>0</v>
      </c>
      <c r="E907" s="17">
        <f t="shared" si="528"/>
        <v>0</v>
      </c>
      <c r="F907" s="17">
        <f t="shared" si="529"/>
        <v>0</v>
      </c>
      <c r="G907" s="17">
        <f t="shared" si="530"/>
        <v>0</v>
      </c>
      <c r="H907" s="17">
        <f t="shared" si="531"/>
        <v>0</v>
      </c>
      <c r="I907" s="17">
        <f t="shared" si="532"/>
        <v>0</v>
      </c>
      <c r="J907" s="17">
        <f t="shared" si="533"/>
        <v>0</v>
      </c>
      <c r="K907" s="17">
        <f t="shared" si="534"/>
        <v>0</v>
      </c>
      <c r="L907" s="17">
        <f t="shared" si="535"/>
        <v>0</v>
      </c>
      <c r="M907" s="17">
        <f t="shared" si="536"/>
        <v>0</v>
      </c>
      <c r="N907" s="17">
        <f t="shared" si="537"/>
        <v>0</v>
      </c>
      <c r="O907" s="17">
        <f t="shared" si="538"/>
        <v>0</v>
      </c>
      <c r="P907" s="17">
        <v>0</v>
      </c>
      <c r="Q907" s="17">
        <f t="shared" si="539"/>
        <v>0</v>
      </c>
      <c r="R907" s="17">
        <f t="shared" si="540"/>
        <v>0</v>
      </c>
      <c r="S907" s="17">
        <f t="shared" si="541"/>
        <v>0</v>
      </c>
      <c r="T907" s="17">
        <f t="shared" si="542"/>
        <v>0</v>
      </c>
      <c r="U907" s="17">
        <f t="shared" si="543"/>
        <v>0</v>
      </c>
      <c r="V907" s="17">
        <f t="shared" si="544"/>
        <v>0</v>
      </c>
      <c r="W907" s="17">
        <f t="shared" si="545"/>
        <v>0</v>
      </c>
      <c r="X907" s="17">
        <f t="shared" si="546"/>
        <v>0</v>
      </c>
      <c r="Y907" s="17">
        <f t="shared" si="547"/>
        <v>0</v>
      </c>
      <c r="Z907" s="17">
        <f t="shared" si="548"/>
        <v>0</v>
      </c>
      <c r="AA907" s="17">
        <f t="shared" si="549"/>
        <v>0</v>
      </c>
      <c r="AB907" s="17">
        <f t="shared" si="550"/>
        <v>0</v>
      </c>
      <c r="AC907" s="17">
        <v>0</v>
      </c>
      <c r="AD907" s="17">
        <f t="shared" si="551"/>
        <v>0</v>
      </c>
      <c r="AE907" s="17">
        <f t="shared" si="552"/>
        <v>0</v>
      </c>
      <c r="AF907" s="17">
        <f t="shared" si="553"/>
        <v>0</v>
      </c>
      <c r="AG907" s="17">
        <f t="shared" si="554"/>
        <v>0</v>
      </c>
      <c r="AH907" s="17">
        <f t="shared" si="555"/>
        <v>0</v>
      </c>
      <c r="AI907" s="17">
        <f t="shared" si="556"/>
        <v>0</v>
      </c>
      <c r="AJ907" s="17">
        <f t="shared" si="557"/>
        <v>0</v>
      </c>
      <c r="AK907" s="17">
        <f t="shared" si="558"/>
        <v>0</v>
      </c>
      <c r="AL907" s="17">
        <f t="shared" si="559"/>
        <v>0</v>
      </c>
      <c r="AM907" s="17">
        <f t="shared" si="560"/>
        <v>0</v>
      </c>
      <c r="AN907" s="17">
        <f t="shared" si="561"/>
        <v>0</v>
      </c>
      <c r="AO907" s="17">
        <f t="shared" si="562"/>
        <v>0</v>
      </c>
      <c r="AP907" s="17">
        <f t="shared" si="563"/>
        <v>0</v>
      </c>
      <c r="AQ907" s="18">
        <v>0</v>
      </c>
      <c r="AR907" s="18">
        <v>0</v>
      </c>
      <c r="AS907" s="18">
        <v>0</v>
      </c>
      <c r="AT907" s="18">
        <v>0</v>
      </c>
      <c r="AU907" s="18">
        <v>0</v>
      </c>
      <c r="AV907" s="18">
        <v>0</v>
      </c>
      <c r="AW907" s="18">
        <v>0</v>
      </c>
      <c r="AX907" s="18">
        <v>0</v>
      </c>
      <c r="AY907" s="18">
        <v>0</v>
      </c>
      <c r="AZ907" s="18">
        <v>0</v>
      </c>
      <c r="BA907" s="18">
        <v>0</v>
      </c>
      <c r="BB907" s="18">
        <v>0</v>
      </c>
      <c r="BC907" s="23">
        <v>8.9181565948742242E-2</v>
      </c>
      <c r="BD907" s="23">
        <v>0.10665277883445198</v>
      </c>
      <c r="BE907" s="23">
        <v>9.438849084854764E-2</v>
      </c>
      <c r="BF907" s="23">
        <v>7.149564986855049E-2</v>
      </c>
      <c r="BG907" s="23">
        <v>0.10368571810536763</v>
      </c>
      <c r="BH907" s="23">
        <v>8.4970330952544637E-2</v>
      </c>
      <c r="BI907" s="23">
        <v>8.4593878877262704E-2</v>
      </c>
      <c r="BJ907" s="23">
        <v>5.7447105462779965E-2</v>
      </c>
      <c r="BK907" s="23">
        <v>8.5153852345557474E-2</v>
      </c>
      <c r="BL907" s="23">
        <v>7.4158058913035174E-2</v>
      </c>
      <c r="BM907" s="23">
        <v>7.5718189192107169E-2</v>
      </c>
      <c r="BN907" s="23">
        <v>7.3955559365675619E-2</v>
      </c>
    </row>
    <row r="908" spans="1:66" x14ac:dyDescent="0.25">
      <c r="A908" s="16">
        <v>6718</v>
      </c>
      <c r="B908" s="16" t="s">
        <v>1102</v>
      </c>
      <c r="C908" s="17">
        <v>0</v>
      </c>
      <c r="D908" s="17">
        <f t="shared" si="527"/>
        <v>0</v>
      </c>
      <c r="E908" s="17">
        <f t="shared" si="528"/>
        <v>0</v>
      </c>
      <c r="F908" s="17">
        <f t="shared" si="529"/>
        <v>0</v>
      </c>
      <c r="G908" s="17">
        <f t="shared" si="530"/>
        <v>0</v>
      </c>
      <c r="H908" s="17">
        <f t="shared" si="531"/>
        <v>0</v>
      </c>
      <c r="I908" s="17">
        <f t="shared" si="532"/>
        <v>0</v>
      </c>
      <c r="J908" s="17">
        <f t="shared" si="533"/>
        <v>0</v>
      </c>
      <c r="K908" s="17">
        <f t="shared" si="534"/>
        <v>0</v>
      </c>
      <c r="L908" s="17">
        <f t="shared" si="535"/>
        <v>0</v>
      </c>
      <c r="M908" s="17">
        <f t="shared" si="536"/>
        <v>0</v>
      </c>
      <c r="N908" s="17">
        <f t="shared" si="537"/>
        <v>0</v>
      </c>
      <c r="O908" s="17">
        <f t="shared" si="538"/>
        <v>0</v>
      </c>
      <c r="P908" s="17">
        <v>0</v>
      </c>
      <c r="Q908" s="17">
        <f t="shared" si="539"/>
        <v>0</v>
      </c>
      <c r="R908" s="17">
        <f t="shared" si="540"/>
        <v>0</v>
      </c>
      <c r="S908" s="17">
        <f t="shared" si="541"/>
        <v>0</v>
      </c>
      <c r="T908" s="17">
        <f t="shared" si="542"/>
        <v>0</v>
      </c>
      <c r="U908" s="17">
        <f t="shared" si="543"/>
        <v>0</v>
      </c>
      <c r="V908" s="17">
        <f t="shared" si="544"/>
        <v>0</v>
      </c>
      <c r="W908" s="17">
        <f t="shared" si="545"/>
        <v>0</v>
      </c>
      <c r="X908" s="17">
        <f t="shared" si="546"/>
        <v>0</v>
      </c>
      <c r="Y908" s="17">
        <f t="shared" si="547"/>
        <v>0</v>
      </c>
      <c r="Z908" s="17">
        <f t="shared" si="548"/>
        <v>0</v>
      </c>
      <c r="AA908" s="17">
        <f t="shared" si="549"/>
        <v>0</v>
      </c>
      <c r="AB908" s="17">
        <f t="shared" si="550"/>
        <v>0</v>
      </c>
      <c r="AC908" s="17">
        <v>0</v>
      </c>
      <c r="AD908" s="17">
        <f t="shared" si="551"/>
        <v>0</v>
      </c>
      <c r="AE908" s="17">
        <f t="shared" si="552"/>
        <v>0</v>
      </c>
      <c r="AF908" s="17">
        <f t="shared" si="553"/>
        <v>0</v>
      </c>
      <c r="AG908" s="17">
        <f t="shared" si="554"/>
        <v>0</v>
      </c>
      <c r="AH908" s="17">
        <f t="shared" si="555"/>
        <v>0</v>
      </c>
      <c r="AI908" s="17">
        <f t="shared" si="556"/>
        <v>0</v>
      </c>
      <c r="AJ908" s="17">
        <f t="shared" si="557"/>
        <v>0</v>
      </c>
      <c r="AK908" s="17">
        <f t="shared" si="558"/>
        <v>0</v>
      </c>
      <c r="AL908" s="17">
        <f t="shared" si="559"/>
        <v>0</v>
      </c>
      <c r="AM908" s="17">
        <f t="shared" si="560"/>
        <v>0</v>
      </c>
      <c r="AN908" s="17">
        <f t="shared" si="561"/>
        <v>0</v>
      </c>
      <c r="AO908" s="17">
        <f t="shared" si="562"/>
        <v>0</v>
      </c>
      <c r="AP908" s="17">
        <f t="shared" si="563"/>
        <v>0</v>
      </c>
      <c r="AQ908" s="18">
        <v>0</v>
      </c>
      <c r="AR908" s="18">
        <v>0</v>
      </c>
      <c r="AS908" s="18">
        <v>0</v>
      </c>
      <c r="AT908" s="18">
        <v>0</v>
      </c>
      <c r="AU908" s="18">
        <v>0</v>
      </c>
      <c r="AV908" s="18">
        <v>0</v>
      </c>
      <c r="AW908" s="18">
        <v>0</v>
      </c>
      <c r="AX908" s="18">
        <v>0</v>
      </c>
      <c r="AY908" s="18">
        <v>0</v>
      </c>
      <c r="AZ908" s="18">
        <v>0</v>
      </c>
      <c r="BA908" s="18">
        <v>0</v>
      </c>
      <c r="BB908" s="18">
        <v>0</v>
      </c>
      <c r="BC908" s="23">
        <v>8.9181565948742242E-2</v>
      </c>
      <c r="BD908" s="23">
        <v>0.10665277883445198</v>
      </c>
      <c r="BE908" s="23">
        <v>9.438849084854764E-2</v>
      </c>
      <c r="BF908" s="23">
        <v>7.149564986855049E-2</v>
      </c>
      <c r="BG908" s="23">
        <v>0.10368571810536763</v>
      </c>
      <c r="BH908" s="23">
        <v>8.4970330952544637E-2</v>
      </c>
      <c r="BI908" s="23">
        <v>8.4593878877262704E-2</v>
      </c>
      <c r="BJ908" s="23">
        <v>5.7447105462779965E-2</v>
      </c>
      <c r="BK908" s="23">
        <v>8.5153852345557474E-2</v>
      </c>
      <c r="BL908" s="23">
        <v>7.4158058913035174E-2</v>
      </c>
      <c r="BM908" s="23">
        <v>7.5718189192107169E-2</v>
      </c>
      <c r="BN908" s="23">
        <v>7.3955559365675619E-2</v>
      </c>
    </row>
    <row r="909" spans="1:66" x14ac:dyDescent="0.25">
      <c r="A909" s="16">
        <v>6719</v>
      </c>
      <c r="B909" s="16" t="s">
        <v>1103</v>
      </c>
      <c r="C909" s="17">
        <v>0</v>
      </c>
      <c r="D909" s="17">
        <f t="shared" si="527"/>
        <v>0</v>
      </c>
      <c r="E909" s="17">
        <f t="shared" si="528"/>
        <v>0</v>
      </c>
      <c r="F909" s="17">
        <f t="shared" si="529"/>
        <v>0</v>
      </c>
      <c r="G909" s="17">
        <f t="shared" si="530"/>
        <v>0</v>
      </c>
      <c r="H909" s="17">
        <f t="shared" si="531"/>
        <v>0</v>
      </c>
      <c r="I909" s="17">
        <f t="shared" si="532"/>
        <v>0</v>
      </c>
      <c r="J909" s="17">
        <f t="shared" si="533"/>
        <v>0</v>
      </c>
      <c r="K909" s="17">
        <f t="shared" si="534"/>
        <v>0</v>
      </c>
      <c r="L909" s="17">
        <f t="shared" si="535"/>
        <v>0</v>
      </c>
      <c r="M909" s="17">
        <f t="shared" si="536"/>
        <v>0</v>
      </c>
      <c r="N909" s="17">
        <f t="shared" si="537"/>
        <v>0</v>
      </c>
      <c r="O909" s="17">
        <f t="shared" si="538"/>
        <v>0</v>
      </c>
      <c r="P909" s="17">
        <v>0</v>
      </c>
      <c r="Q909" s="17">
        <f t="shared" si="539"/>
        <v>0</v>
      </c>
      <c r="R909" s="17">
        <f t="shared" si="540"/>
        <v>0</v>
      </c>
      <c r="S909" s="17">
        <f t="shared" si="541"/>
        <v>0</v>
      </c>
      <c r="T909" s="17">
        <f t="shared" si="542"/>
        <v>0</v>
      </c>
      <c r="U909" s="17">
        <f t="shared" si="543"/>
        <v>0</v>
      </c>
      <c r="V909" s="17">
        <f t="shared" si="544"/>
        <v>0</v>
      </c>
      <c r="W909" s="17">
        <f t="shared" si="545"/>
        <v>0</v>
      </c>
      <c r="X909" s="17">
        <f t="shared" si="546"/>
        <v>0</v>
      </c>
      <c r="Y909" s="17">
        <f t="shared" si="547"/>
        <v>0</v>
      </c>
      <c r="Z909" s="17">
        <f t="shared" si="548"/>
        <v>0</v>
      </c>
      <c r="AA909" s="17">
        <f t="shared" si="549"/>
        <v>0</v>
      </c>
      <c r="AB909" s="17">
        <f t="shared" si="550"/>
        <v>0</v>
      </c>
      <c r="AC909" s="17">
        <v>0</v>
      </c>
      <c r="AD909" s="17">
        <f t="shared" si="551"/>
        <v>0</v>
      </c>
      <c r="AE909" s="17">
        <f t="shared" si="552"/>
        <v>0</v>
      </c>
      <c r="AF909" s="17">
        <f t="shared" si="553"/>
        <v>0</v>
      </c>
      <c r="AG909" s="17">
        <f t="shared" si="554"/>
        <v>0</v>
      </c>
      <c r="AH909" s="17">
        <f t="shared" si="555"/>
        <v>0</v>
      </c>
      <c r="AI909" s="17">
        <f t="shared" si="556"/>
        <v>0</v>
      </c>
      <c r="AJ909" s="17">
        <f t="shared" si="557"/>
        <v>0</v>
      </c>
      <c r="AK909" s="17">
        <f t="shared" si="558"/>
        <v>0</v>
      </c>
      <c r="AL909" s="17">
        <f t="shared" si="559"/>
        <v>0</v>
      </c>
      <c r="AM909" s="17">
        <f t="shared" si="560"/>
        <v>0</v>
      </c>
      <c r="AN909" s="17">
        <f t="shared" si="561"/>
        <v>0</v>
      </c>
      <c r="AO909" s="17">
        <f t="shared" si="562"/>
        <v>0</v>
      </c>
      <c r="AP909" s="17">
        <f t="shared" si="563"/>
        <v>0</v>
      </c>
      <c r="AQ909" s="18">
        <v>6.0037030196693282</v>
      </c>
      <c r="AR909" s="18">
        <v>7.1798650711353087</v>
      </c>
      <c r="AS909" s="18">
        <v>6.3542332039242275</v>
      </c>
      <c r="AT909" s="18">
        <v>4.8130871491508191</v>
      </c>
      <c r="AU909" s="18">
        <v>6.9801225428533495</v>
      </c>
      <c r="AV909" s="18">
        <v>5.7202026797253058</v>
      </c>
      <c r="AW909" s="18">
        <v>5.694859926017326</v>
      </c>
      <c r="AX909" s="18">
        <v>3.8673391397543475</v>
      </c>
      <c r="AY909" s="18">
        <v>5.7325573399029297</v>
      </c>
      <c r="AZ909" s="18">
        <v>4.9923205260255283</v>
      </c>
      <c r="BA909" s="18">
        <v>5.0973484964126552</v>
      </c>
      <c r="BB909" s="18">
        <v>4.978688256497283</v>
      </c>
      <c r="BC909" s="23">
        <v>8.9181565948742242E-2</v>
      </c>
      <c r="BD909" s="23">
        <v>0.10665277883445198</v>
      </c>
      <c r="BE909" s="23">
        <v>9.438849084854764E-2</v>
      </c>
      <c r="BF909" s="23">
        <v>7.149564986855049E-2</v>
      </c>
      <c r="BG909" s="23">
        <v>0.10368571810536763</v>
      </c>
      <c r="BH909" s="23">
        <v>8.4970330952544637E-2</v>
      </c>
      <c r="BI909" s="23">
        <v>8.4593878877262704E-2</v>
      </c>
      <c r="BJ909" s="23">
        <v>5.7447105462779965E-2</v>
      </c>
      <c r="BK909" s="23">
        <v>8.5153852345557474E-2</v>
      </c>
      <c r="BL909" s="23">
        <v>7.4158058913035174E-2</v>
      </c>
      <c r="BM909" s="23">
        <v>7.5718189192107169E-2</v>
      </c>
      <c r="BN909" s="23">
        <v>7.3955559365675619E-2</v>
      </c>
    </row>
    <row r="910" spans="1:66" x14ac:dyDescent="0.25">
      <c r="A910" s="16">
        <v>6725</v>
      </c>
      <c r="B910" s="16" t="s">
        <v>1104</v>
      </c>
      <c r="C910" s="17">
        <v>0</v>
      </c>
      <c r="D910" s="17">
        <f t="shared" si="527"/>
        <v>0</v>
      </c>
      <c r="E910" s="17">
        <f t="shared" si="528"/>
        <v>0</v>
      </c>
      <c r="F910" s="17">
        <f t="shared" si="529"/>
        <v>0</v>
      </c>
      <c r="G910" s="17">
        <f t="shared" si="530"/>
        <v>0</v>
      </c>
      <c r="H910" s="17">
        <f t="shared" si="531"/>
        <v>0</v>
      </c>
      <c r="I910" s="17">
        <f t="shared" si="532"/>
        <v>0</v>
      </c>
      <c r="J910" s="17">
        <f t="shared" si="533"/>
        <v>0</v>
      </c>
      <c r="K910" s="17">
        <f t="shared" si="534"/>
        <v>0</v>
      </c>
      <c r="L910" s="17">
        <f t="shared" si="535"/>
        <v>0</v>
      </c>
      <c r="M910" s="17">
        <f t="shared" si="536"/>
        <v>0</v>
      </c>
      <c r="N910" s="17">
        <f t="shared" si="537"/>
        <v>0</v>
      </c>
      <c r="O910" s="17">
        <f t="shared" si="538"/>
        <v>0</v>
      </c>
      <c r="P910" s="17">
        <v>0</v>
      </c>
      <c r="Q910" s="17">
        <f t="shared" si="539"/>
        <v>0</v>
      </c>
      <c r="R910" s="17">
        <f t="shared" si="540"/>
        <v>0</v>
      </c>
      <c r="S910" s="17">
        <f t="shared" si="541"/>
        <v>0</v>
      </c>
      <c r="T910" s="17">
        <f t="shared" si="542"/>
        <v>0</v>
      </c>
      <c r="U910" s="17">
        <f t="shared" si="543"/>
        <v>0</v>
      </c>
      <c r="V910" s="17">
        <f t="shared" si="544"/>
        <v>0</v>
      </c>
      <c r="W910" s="17">
        <f t="shared" si="545"/>
        <v>0</v>
      </c>
      <c r="X910" s="17">
        <f t="shared" si="546"/>
        <v>0</v>
      </c>
      <c r="Y910" s="17">
        <f t="shared" si="547"/>
        <v>0</v>
      </c>
      <c r="Z910" s="17">
        <f t="shared" si="548"/>
        <v>0</v>
      </c>
      <c r="AA910" s="17">
        <f t="shared" si="549"/>
        <v>0</v>
      </c>
      <c r="AB910" s="17">
        <f t="shared" si="550"/>
        <v>0</v>
      </c>
      <c r="AC910" s="17">
        <v>0</v>
      </c>
      <c r="AD910" s="17">
        <f t="shared" si="551"/>
        <v>0</v>
      </c>
      <c r="AE910" s="17">
        <f t="shared" si="552"/>
        <v>0</v>
      </c>
      <c r="AF910" s="17">
        <f t="shared" si="553"/>
        <v>0</v>
      </c>
      <c r="AG910" s="17">
        <f t="shared" si="554"/>
        <v>0</v>
      </c>
      <c r="AH910" s="17">
        <f t="shared" si="555"/>
        <v>0</v>
      </c>
      <c r="AI910" s="17">
        <f t="shared" si="556"/>
        <v>0</v>
      </c>
      <c r="AJ910" s="17">
        <f t="shared" si="557"/>
        <v>0</v>
      </c>
      <c r="AK910" s="17">
        <f t="shared" si="558"/>
        <v>0</v>
      </c>
      <c r="AL910" s="17">
        <f t="shared" si="559"/>
        <v>0</v>
      </c>
      <c r="AM910" s="17">
        <f t="shared" si="560"/>
        <v>0</v>
      </c>
      <c r="AN910" s="17">
        <f t="shared" si="561"/>
        <v>0</v>
      </c>
      <c r="AO910" s="17">
        <f t="shared" si="562"/>
        <v>0</v>
      </c>
      <c r="AP910" s="17">
        <f t="shared" si="563"/>
        <v>0</v>
      </c>
      <c r="AQ910" s="18">
        <v>0.8828975028925482</v>
      </c>
      <c r="AR910" s="18">
        <v>1.0558625104610746</v>
      </c>
      <c r="AS910" s="18">
        <v>0.93444605940062164</v>
      </c>
      <c r="AT910" s="18">
        <v>0.70780693369864989</v>
      </c>
      <c r="AU910" s="18">
        <v>1.0264886092431396</v>
      </c>
      <c r="AV910" s="18">
        <v>0.84120627643019197</v>
      </c>
      <c r="AW910" s="18">
        <v>0.8374794008849008</v>
      </c>
      <c r="AX910" s="18">
        <v>0.56872634408152167</v>
      </c>
      <c r="AY910" s="18">
        <v>0.84302313822101904</v>
      </c>
      <c r="AZ910" s="18">
        <v>0.73416478323904821</v>
      </c>
      <c r="BA910" s="18">
        <v>0.749610073001861</v>
      </c>
      <c r="BB910" s="18">
        <v>0.73216003772018867</v>
      </c>
      <c r="BC910" s="23">
        <v>8.9181565948742242E-2</v>
      </c>
      <c r="BD910" s="23">
        <v>0.10665277883445198</v>
      </c>
      <c r="BE910" s="23">
        <v>9.438849084854764E-2</v>
      </c>
      <c r="BF910" s="23">
        <v>7.149564986855049E-2</v>
      </c>
      <c r="BG910" s="23">
        <v>0.10368571810536763</v>
      </c>
      <c r="BH910" s="23">
        <v>8.4970330952544637E-2</v>
      </c>
      <c r="BI910" s="23">
        <v>8.4593878877262704E-2</v>
      </c>
      <c r="BJ910" s="23">
        <v>5.7447105462779965E-2</v>
      </c>
      <c r="BK910" s="23">
        <v>8.5153852345557474E-2</v>
      </c>
      <c r="BL910" s="23">
        <v>7.4158058913035174E-2</v>
      </c>
      <c r="BM910" s="23">
        <v>7.5718189192107169E-2</v>
      </c>
      <c r="BN910" s="23">
        <v>7.3955559365675619E-2</v>
      </c>
    </row>
    <row r="911" spans="1:66" x14ac:dyDescent="0.25">
      <c r="A911" s="16">
        <v>6831</v>
      </c>
      <c r="B911" s="16" t="s">
        <v>1105</v>
      </c>
      <c r="C911" s="17">
        <v>0</v>
      </c>
      <c r="D911" s="17">
        <f t="shared" si="527"/>
        <v>0</v>
      </c>
      <c r="E911" s="17">
        <f t="shared" si="528"/>
        <v>0</v>
      </c>
      <c r="F911" s="17">
        <f t="shared" si="529"/>
        <v>0</v>
      </c>
      <c r="G911" s="17">
        <f t="shared" si="530"/>
        <v>0</v>
      </c>
      <c r="H911" s="17">
        <f t="shared" si="531"/>
        <v>0</v>
      </c>
      <c r="I911" s="17">
        <f t="shared" si="532"/>
        <v>0</v>
      </c>
      <c r="J911" s="17">
        <f t="shared" si="533"/>
        <v>0</v>
      </c>
      <c r="K911" s="17">
        <f t="shared" si="534"/>
        <v>0</v>
      </c>
      <c r="L911" s="17">
        <f t="shared" si="535"/>
        <v>0</v>
      </c>
      <c r="M911" s="17">
        <f t="shared" si="536"/>
        <v>0</v>
      </c>
      <c r="N911" s="17">
        <f t="shared" si="537"/>
        <v>0</v>
      </c>
      <c r="O911" s="17">
        <f t="shared" si="538"/>
        <v>0</v>
      </c>
      <c r="P911" s="17">
        <v>0</v>
      </c>
      <c r="Q911" s="17">
        <f t="shared" si="539"/>
        <v>0</v>
      </c>
      <c r="R911" s="17">
        <f t="shared" si="540"/>
        <v>0</v>
      </c>
      <c r="S911" s="17">
        <f t="shared" si="541"/>
        <v>0</v>
      </c>
      <c r="T911" s="17">
        <f t="shared" si="542"/>
        <v>0</v>
      </c>
      <c r="U911" s="17">
        <f t="shared" si="543"/>
        <v>0</v>
      </c>
      <c r="V911" s="17">
        <f t="shared" si="544"/>
        <v>0</v>
      </c>
      <c r="W911" s="17">
        <f t="shared" si="545"/>
        <v>0</v>
      </c>
      <c r="X911" s="17">
        <f t="shared" si="546"/>
        <v>0</v>
      </c>
      <c r="Y911" s="17">
        <f t="shared" si="547"/>
        <v>0</v>
      </c>
      <c r="Z911" s="17">
        <f t="shared" si="548"/>
        <v>0</v>
      </c>
      <c r="AA911" s="17">
        <f t="shared" si="549"/>
        <v>0</v>
      </c>
      <c r="AB911" s="17">
        <f t="shared" si="550"/>
        <v>0</v>
      </c>
      <c r="AC911" s="17">
        <v>0</v>
      </c>
      <c r="AD911" s="17">
        <f t="shared" si="551"/>
        <v>0</v>
      </c>
      <c r="AE911" s="17">
        <f t="shared" si="552"/>
        <v>0</v>
      </c>
      <c r="AF911" s="17">
        <f t="shared" si="553"/>
        <v>0</v>
      </c>
      <c r="AG911" s="17">
        <f t="shared" si="554"/>
        <v>0</v>
      </c>
      <c r="AH911" s="17">
        <f t="shared" si="555"/>
        <v>0</v>
      </c>
      <c r="AI911" s="17">
        <f t="shared" si="556"/>
        <v>0</v>
      </c>
      <c r="AJ911" s="17">
        <f t="shared" si="557"/>
        <v>0</v>
      </c>
      <c r="AK911" s="17">
        <f t="shared" si="558"/>
        <v>0</v>
      </c>
      <c r="AL911" s="17">
        <f t="shared" si="559"/>
        <v>0</v>
      </c>
      <c r="AM911" s="17">
        <f t="shared" si="560"/>
        <v>0</v>
      </c>
      <c r="AN911" s="17">
        <f t="shared" si="561"/>
        <v>0</v>
      </c>
      <c r="AO911" s="17">
        <f t="shared" si="562"/>
        <v>0</v>
      </c>
      <c r="AP911" s="17">
        <f t="shared" si="563"/>
        <v>0</v>
      </c>
      <c r="AQ911" s="18">
        <v>0</v>
      </c>
      <c r="AR911" s="18">
        <v>0</v>
      </c>
      <c r="AS911" s="18">
        <v>0</v>
      </c>
      <c r="AT911" s="18">
        <v>0</v>
      </c>
      <c r="AU911" s="18">
        <v>0</v>
      </c>
      <c r="AV911" s="18">
        <v>0</v>
      </c>
      <c r="AW911" s="18">
        <v>0</v>
      </c>
      <c r="AX911" s="18">
        <v>0</v>
      </c>
      <c r="AY911" s="18">
        <v>0</v>
      </c>
      <c r="AZ911" s="18">
        <v>0</v>
      </c>
      <c r="BA911" s="18">
        <v>0</v>
      </c>
      <c r="BB911" s="18">
        <v>0</v>
      </c>
      <c r="BC911" s="23">
        <v>8.9181565948742242E-2</v>
      </c>
      <c r="BD911" s="23">
        <v>0.10665277883445198</v>
      </c>
      <c r="BE911" s="23">
        <v>9.438849084854764E-2</v>
      </c>
      <c r="BF911" s="23">
        <v>7.149564986855049E-2</v>
      </c>
      <c r="BG911" s="23">
        <v>0.10368571810536763</v>
      </c>
      <c r="BH911" s="23">
        <v>8.4970330952544637E-2</v>
      </c>
      <c r="BI911" s="23">
        <v>8.4593878877262704E-2</v>
      </c>
      <c r="BJ911" s="23">
        <v>5.7447105462779965E-2</v>
      </c>
      <c r="BK911" s="23">
        <v>8.5153852345557474E-2</v>
      </c>
      <c r="BL911" s="23">
        <v>7.4158058913035174E-2</v>
      </c>
      <c r="BM911" s="23">
        <v>7.5718189192107169E-2</v>
      </c>
      <c r="BN911" s="23">
        <v>7.3955559365675619E-2</v>
      </c>
    </row>
    <row r="912" spans="1:66" x14ac:dyDescent="0.25">
      <c r="A912" s="16">
        <v>6835</v>
      </c>
      <c r="B912" s="16" t="s">
        <v>1106</v>
      </c>
      <c r="C912" s="17">
        <v>0</v>
      </c>
      <c r="D912" s="17">
        <f t="shared" si="527"/>
        <v>0</v>
      </c>
      <c r="E912" s="17">
        <f t="shared" si="528"/>
        <v>0</v>
      </c>
      <c r="F912" s="17">
        <f t="shared" si="529"/>
        <v>0</v>
      </c>
      <c r="G912" s="17">
        <f t="shared" si="530"/>
        <v>0</v>
      </c>
      <c r="H912" s="17">
        <f t="shared" si="531"/>
        <v>0</v>
      </c>
      <c r="I912" s="17">
        <f t="shared" si="532"/>
        <v>0</v>
      </c>
      <c r="J912" s="17">
        <f t="shared" si="533"/>
        <v>0</v>
      </c>
      <c r="K912" s="17">
        <f t="shared" si="534"/>
        <v>0</v>
      </c>
      <c r="L912" s="17">
        <f t="shared" si="535"/>
        <v>0</v>
      </c>
      <c r="M912" s="17">
        <f t="shared" si="536"/>
        <v>0</v>
      </c>
      <c r="N912" s="17">
        <f t="shared" si="537"/>
        <v>0</v>
      </c>
      <c r="O912" s="17">
        <f t="shared" si="538"/>
        <v>0</v>
      </c>
      <c r="P912" s="17">
        <v>0</v>
      </c>
      <c r="Q912" s="17">
        <f t="shared" si="539"/>
        <v>0</v>
      </c>
      <c r="R912" s="17">
        <f t="shared" si="540"/>
        <v>0</v>
      </c>
      <c r="S912" s="17">
        <f t="shared" si="541"/>
        <v>0</v>
      </c>
      <c r="T912" s="17">
        <f t="shared" si="542"/>
        <v>0</v>
      </c>
      <c r="U912" s="17">
        <f t="shared" si="543"/>
        <v>0</v>
      </c>
      <c r="V912" s="17">
        <f t="shared" si="544"/>
        <v>0</v>
      </c>
      <c r="W912" s="17">
        <f t="shared" si="545"/>
        <v>0</v>
      </c>
      <c r="X912" s="17">
        <f t="shared" si="546"/>
        <v>0</v>
      </c>
      <c r="Y912" s="17">
        <f t="shared" si="547"/>
        <v>0</v>
      </c>
      <c r="Z912" s="17">
        <f t="shared" si="548"/>
        <v>0</v>
      </c>
      <c r="AA912" s="17">
        <f t="shared" si="549"/>
        <v>0</v>
      </c>
      <c r="AB912" s="17">
        <f t="shared" si="550"/>
        <v>0</v>
      </c>
      <c r="AC912" s="17">
        <v>0</v>
      </c>
      <c r="AD912" s="17">
        <f t="shared" si="551"/>
        <v>0</v>
      </c>
      <c r="AE912" s="17">
        <f t="shared" si="552"/>
        <v>0</v>
      </c>
      <c r="AF912" s="17">
        <f t="shared" si="553"/>
        <v>0</v>
      </c>
      <c r="AG912" s="17">
        <f t="shared" si="554"/>
        <v>0</v>
      </c>
      <c r="AH912" s="17">
        <f t="shared" si="555"/>
        <v>0</v>
      </c>
      <c r="AI912" s="17">
        <f t="shared" si="556"/>
        <v>0</v>
      </c>
      <c r="AJ912" s="17">
        <f t="shared" si="557"/>
        <v>0</v>
      </c>
      <c r="AK912" s="17">
        <f t="shared" si="558"/>
        <v>0</v>
      </c>
      <c r="AL912" s="17">
        <f t="shared" si="559"/>
        <v>0</v>
      </c>
      <c r="AM912" s="17">
        <f t="shared" si="560"/>
        <v>0</v>
      </c>
      <c r="AN912" s="17">
        <f t="shared" si="561"/>
        <v>0</v>
      </c>
      <c r="AO912" s="17">
        <f t="shared" si="562"/>
        <v>0</v>
      </c>
      <c r="AP912" s="17">
        <f t="shared" si="563"/>
        <v>0</v>
      </c>
      <c r="AQ912" s="18">
        <v>2.1581938959595623</v>
      </c>
      <c r="AR912" s="18">
        <v>2.5809972477937384</v>
      </c>
      <c r="AS912" s="18">
        <v>2.284201478534853</v>
      </c>
      <c r="AT912" s="18">
        <v>1.7301947268189222</v>
      </c>
      <c r="AU912" s="18">
        <v>2.5091943781498971</v>
      </c>
      <c r="AV912" s="18">
        <v>2.0562820090515803</v>
      </c>
      <c r="AW912" s="18">
        <v>2.0471718688297575</v>
      </c>
      <c r="AX912" s="18">
        <v>1.3902199521992753</v>
      </c>
      <c r="AY912" s="18">
        <v>2.0607232267624913</v>
      </c>
      <c r="AZ912" s="18">
        <v>1.7946250256954515</v>
      </c>
      <c r="BA912" s="18">
        <v>1.8323801784489937</v>
      </c>
      <c r="BB912" s="18">
        <v>1.7897245366493502</v>
      </c>
      <c r="BC912" s="23">
        <v>8.9181565948742242E-2</v>
      </c>
      <c r="BD912" s="23">
        <v>0.10665277883445198</v>
      </c>
      <c r="BE912" s="23">
        <v>9.438849084854764E-2</v>
      </c>
      <c r="BF912" s="23">
        <v>7.149564986855049E-2</v>
      </c>
      <c r="BG912" s="23">
        <v>0.10368571810536763</v>
      </c>
      <c r="BH912" s="23">
        <v>8.4970330952544637E-2</v>
      </c>
      <c r="BI912" s="23">
        <v>8.4593878877262704E-2</v>
      </c>
      <c r="BJ912" s="23">
        <v>5.7447105462779965E-2</v>
      </c>
      <c r="BK912" s="23">
        <v>8.5153852345557474E-2</v>
      </c>
      <c r="BL912" s="23">
        <v>7.4158058913035174E-2</v>
      </c>
      <c r="BM912" s="23">
        <v>7.5718189192107169E-2</v>
      </c>
      <c r="BN912" s="23">
        <v>7.3955559365675619E-2</v>
      </c>
    </row>
    <row r="913" spans="1:66" x14ac:dyDescent="0.25">
      <c r="A913" s="16">
        <v>6839</v>
      </c>
      <c r="B913" s="16" t="s">
        <v>1107</v>
      </c>
      <c r="C913" s="17">
        <v>0</v>
      </c>
      <c r="D913" s="17">
        <f t="shared" si="527"/>
        <v>0</v>
      </c>
      <c r="E913" s="17">
        <f t="shared" si="528"/>
        <v>0</v>
      </c>
      <c r="F913" s="17">
        <f t="shared" si="529"/>
        <v>0</v>
      </c>
      <c r="G913" s="17">
        <f t="shared" si="530"/>
        <v>0</v>
      </c>
      <c r="H913" s="17">
        <f t="shared" si="531"/>
        <v>0</v>
      </c>
      <c r="I913" s="17">
        <f t="shared" si="532"/>
        <v>0</v>
      </c>
      <c r="J913" s="17">
        <f t="shared" si="533"/>
        <v>0</v>
      </c>
      <c r="K913" s="17">
        <f t="shared" si="534"/>
        <v>0</v>
      </c>
      <c r="L913" s="17">
        <f t="shared" si="535"/>
        <v>0</v>
      </c>
      <c r="M913" s="17">
        <f t="shared" si="536"/>
        <v>0</v>
      </c>
      <c r="N913" s="17">
        <f t="shared" si="537"/>
        <v>0</v>
      </c>
      <c r="O913" s="17">
        <f t="shared" si="538"/>
        <v>0</v>
      </c>
      <c r="P913" s="17">
        <v>3000</v>
      </c>
      <c r="Q913" s="17">
        <f t="shared" si="539"/>
        <v>267.54469784622671</v>
      </c>
      <c r="R913" s="17">
        <f t="shared" si="540"/>
        <v>319.95833650335595</v>
      </c>
      <c r="S913" s="17">
        <f t="shared" si="541"/>
        <v>283.1654725456429</v>
      </c>
      <c r="T913" s="17">
        <f t="shared" si="542"/>
        <v>214.48694960565146</v>
      </c>
      <c r="U913" s="17">
        <f t="shared" si="543"/>
        <v>311.05715431610287</v>
      </c>
      <c r="V913" s="17">
        <f t="shared" si="544"/>
        <v>254.91099285763391</v>
      </c>
      <c r="W913" s="17">
        <f t="shared" si="545"/>
        <v>253.7816366317881</v>
      </c>
      <c r="X913" s="17">
        <f t="shared" si="546"/>
        <v>172.34131638833989</v>
      </c>
      <c r="Y913" s="17">
        <f t="shared" si="547"/>
        <v>255.46155703667242</v>
      </c>
      <c r="Z913" s="17">
        <f t="shared" si="548"/>
        <v>222.47417673910553</v>
      </c>
      <c r="AA913" s="17">
        <f t="shared" si="549"/>
        <v>227.15456757632151</v>
      </c>
      <c r="AB913" s="17">
        <f t="shared" si="550"/>
        <v>221.86667809702686</v>
      </c>
      <c r="AC913" s="17">
        <v>0</v>
      </c>
      <c r="AD913" s="17">
        <f t="shared" si="551"/>
        <v>0</v>
      </c>
      <c r="AE913" s="17">
        <f t="shared" si="552"/>
        <v>0</v>
      </c>
      <c r="AF913" s="17">
        <f t="shared" si="553"/>
        <v>0</v>
      </c>
      <c r="AG913" s="17">
        <f t="shared" si="554"/>
        <v>0</v>
      </c>
      <c r="AH913" s="17">
        <f t="shared" si="555"/>
        <v>0</v>
      </c>
      <c r="AI913" s="17">
        <f t="shared" si="556"/>
        <v>0</v>
      </c>
      <c r="AJ913" s="17">
        <f t="shared" si="557"/>
        <v>0</v>
      </c>
      <c r="AK913" s="17">
        <f t="shared" si="558"/>
        <v>0</v>
      </c>
      <c r="AL913" s="17">
        <f t="shared" si="559"/>
        <v>0</v>
      </c>
      <c r="AM913" s="17">
        <f t="shared" si="560"/>
        <v>0</v>
      </c>
      <c r="AN913" s="17">
        <f t="shared" si="561"/>
        <v>0</v>
      </c>
      <c r="AO913" s="17">
        <f t="shared" si="562"/>
        <v>0</v>
      </c>
      <c r="AP913" s="17">
        <f t="shared" si="563"/>
        <v>3000</v>
      </c>
      <c r="AQ913" s="18">
        <v>5.5632352654484896</v>
      </c>
      <c r="AR913" s="18">
        <v>6.6531069964719496</v>
      </c>
      <c r="AS913" s="18">
        <v>5.88804844762325</v>
      </c>
      <c r="AT913" s="18">
        <v>4.4599701344500478</v>
      </c>
      <c r="AU913" s="18">
        <v>6.4680187811309384</v>
      </c>
      <c r="AV913" s="18">
        <v>5.3005342151506873</v>
      </c>
      <c r="AW913" s="18">
        <v>5.2770507582425248</v>
      </c>
      <c r="AX913" s="18">
        <v>3.5836078858736768</v>
      </c>
      <c r="AY913" s="18">
        <v>5.3119824631682206</v>
      </c>
      <c r="AZ913" s="18">
        <v>4.6260538730540475</v>
      </c>
      <c r="BA913" s="18">
        <v>4.7233763599928373</v>
      </c>
      <c r="BB913" s="18">
        <v>4.6134217487902109</v>
      </c>
      <c r="BC913" s="23">
        <v>8.9181565948742242E-2</v>
      </c>
      <c r="BD913" s="23">
        <v>0.10665277883445198</v>
      </c>
      <c r="BE913" s="23">
        <v>9.438849084854764E-2</v>
      </c>
      <c r="BF913" s="23">
        <v>7.149564986855049E-2</v>
      </c>
      <c r="BG913" s="23">
        <v>0.10368571810536763</v>
      </c>
      <c r="BH913" s="23">
        <v>8.4970330952544637E-2</v>
      </c>
      <c r="BI913" s="23">
        <v>8.4593878877262704E-2</v>
      </c>
      <c r="BJ913" s="23">
        <v>5.7447105462779965E-2</v>
      </c>
      <c r="BK913" s="23">
        <v>8.5153852345557474E-2</v>
      </c>
      <c r="BL913" s="23">
        <v>7.4158058913035174E-2</v>
      </c>
      <c r="BM913" s="23">
        <v>7.5718189192107169E-2</v>
      </c>
      <c r="BN913" s="23">
        <v>7.3955559365675619E-2</v>
      </c>
    </row>
    <row r="914" spans="1:66" x14ac:dyDescent="0.25">
      <c r="A914" s="16">
        <v>11207</v>
      </c>
      <c r="B914" s="16" t="s">
        <v>1108</v>
      </c>
      <c r="C914" s="17">
        <v>0</v>
      </c>
      <c r="D914" s="17">
        <f t="shared" si="527"/>
        <v>0</v>
      </c>
      <c r="E914" s="17">
        <f t="shared" si="528"/>
        <v>0</v>
      </c>
      <c r="F914" s="17">
        <f t="shared" si="529"/>
        <v>0</v>
      </c>
      <c r="G914" s="17">
        <f t="shared" si="530"/>
        <v>0</v>
      </c>
      <c r="H914" s="17">
        <f t="shared" si="531"/>
        <v>0</v>
      </c>
      <c r="I914" s="17">
        <f t="shared" si="532"/>
        <v>0</v>
      </c>
      <c r="J914" s="17">
        <f t="shared" si="533"/>
        <v>0</v>
      </c>
      <c r="K914" s="17">
        <f t="shared" si="534"/>
        <v>0</v>
      </c>
      <c r="L914" s="17">
        <f t="shared" si="535"/>
        <v>0</v>
      </c>
      <c r="M914" s="17">
        <f t="shared" si="536"/>
        <v>0</v>
      </c>
      <c r="N914" s="17">
        <f t="shared" si="537"/>
        <v>0</v>
      </c>
      <c r="O914" s="17">
        <f t="shared" si="538"/>
        <v>0</v>
      </c>
      <c r="P914" s="17">
        <v>0</v>
      </c>
      <c r="Q914" s="17">
        <f t="shared" si="539"/>
        <v>0</v>
      </c>
      <c r="R914" s="17">
        <f t="shared" si="540"/>
        <v>0</v>
      </c>
      <c r="S914" s="17">
        <f t="shared" si="541"/>
        <v>0</v>
      </c>
      <c r="T914" s="17">
        <f t="shared" si="542"/>
        <v>0</v>
      </c>
      <c r="U914" s="17">
        <f t="shared" si="543"/>
        <v>0</v>
      </c>
      <c r="V914" s="17">
        <f t="shared" si="544"/>
        <v>0</v>
      </c>
      <c r="W914" s="17">
        <f t="shared" si="545"/>
        <v>0</v>
      </c>
      <c r="X914" s="17">
        <f t="shared" si="546"/>
        <v>0</v>
      </c>
      <c r="Y914" s="17">
        <f t="shared" si="547"/>
        <v>0</v>
      </c>
      <c r="Z914" s="17">
        <f t="shared" si="548"/>
        <v>0</v>
      </c>
      <c r="AA914" s="17">
        <f t="shared" si="549"/>
        <v>0</v>
      </c>
      <c r="AB914" s="17">
        <f t="shared" si="550"/>
        <v>0</v>
      </c>
      <c r="AC914" s="17">
        <v>0</v>
      </c>
      <c r="AD914" s="17">
        <f t="shared" si="551"/>
        <v>0</v>
      </c>
      <c r="AE914" s="17">
        <f t="shared" si="552"/>
        <v>0</v>
      </c>
      <c r="AF914" s="17">
        <f t="shared" si="553"/>
        <v>0</v>
      </c>
      <c r="AG914" s="17">
        <f t="shared" si="554"/>
        <v>0</v>
      </c>
      <c r="AH914" s="17">
        <f t="shared" si="555"/>
        <v>0</v>
      </c>
      <c r="AI914" s="17">
        <f t="shared" si="556"/>
        <v>0</v>
      </c>
      <c r="AJ914" s="17">
        <f t="shared" si="557"/>
        <v>0</v>
      </c>
      <c r="AK914" s="17">
        <f t="shared" si="558"/>
        <v>0</v>
      </c>
      <c r="AL914" s="17">
        <f t="shared" si="559"/>
        <v>0</v>
      </c>
      <c r="AM914" s="17">
        <f t="shared" si="560"/>
        <v>0</v>
      </c>
      <c r="AN914" s="17">
        <f t="shared" si="561"/>
        <v>0</v>
      </c>
      <c r="AO914" s="17">
        <f t="shared" si="562"/>
        <v>0</v>
      </c>
      <c r="AP914" s="17">
        <f t="shared" si="563"/>
        <v>0</v>
      </c>
      <c r="AQ914" s="18">
        <v>5.8369334913451798</v>
      </c>
      <c r="AR914" s="18">
        <v>6.9804243747148824</v>
      </c>
      <c r="AS914" s="18">
        <v>6.1777267260374433</v>
      </c>
      <c r="AT914" s="18">
        <v>4.6793902838966295</v>
      </c>
      <c r="AU914" s="18">
        <v>6.7862302499963114</v>
      </c>
      <c r="AV914" s="18">
        <v>5.5613081608440469</v>
      </c>
      <c r="AW914" s="18">
        <v>5.5366693725168439</v>
      </c>
      <c r="AX914" s="18">
        <v>3.7599130525389488</v>
      </c>
      <c r="AY914" s="18">
        <v>5.5733196360167367</v>
      </c>
      <c r="AZ914" s="18">
        <v>4.8536449558581527</v>
      </c>
      <c r="BA914" s="18">
        <v>4.955755482623414</v>
      </c>
      <c r="BB914" s="18">
        <v>4.8403913604834692</v>
      </c>
      <c r="BC914" s="23">
        <v>8.9181565948742242E-2</v>
      </c>
      <c r="BD914" s="23">
        <v>0.10665277883445198</v>
      </c>
      <c r="BE914" s="23">
        <v>9.438849084854764E-2</v>
      </c>
      <c r="BF914" s="23">
        <v>7.149564986855049E-2</v>
      </c>
      <c r="BG914" s="23">
        <v>0.10368571810536763</v>
      </c>
      <c r="BH914" s="23">
        <v>8.4970330952544637E-2</v>
      </c>
      <c r="BI914" s="23">
        <v>8.4593878877262704E-2</v>
      </c>
      <c r="BJ914" s="23">
        <v>5.7447105462779965E-2</v>
      </c>
      <c r="BK914" s="23">
        <v>8.5153852345557474E-2</v>
      </c>
      <c r="BL914" s="23">
        <v>7.4158058913035174E-2</v>
      </c>
      <c r="BM914" s="23">
        <v>7.5718189192107169E-2</v>
      </c>
      <c r="BN914" s="23">
        <v>7.3955559365675619E-2</v>
      </c>
    </row>
    <row r="915" spans="1:66" x14ac:dyDescent="0.25">
      <c r="A915" s="16">
        <v>11402</v>
      </c>
      <c r="B915" s="16" t="s">
        <v>1109</v>
      </c>
      <c r="C915" s="17">
        <v>0</v>
      </c>
      <c r="D915" s="17">
        <f t="shared" si="527"/>
        <v>0</v>
      </c>
      <c r="E915" s="17">
        <f t="shared" si="528"/>
        <v>0</v>
      </c>
      <c r="F915" s="17">
        <f t="shared" si="529"/>
        <v>0</v>
      </c>
      <c r="G915" s="17">
        <f t="shared" si="530"/>
        <v>0</v>
      </c>
      <c r="H915" s="17">
        <f t="shared" si="531"/>
        <v>0</v>
      </c>
      <c r="I915" s="17">
        <f t="shared" si="532"/>
        <v>0</v>
      </c>
      <c r="J915" s="17">
        <f t="shared" si="533"/>
        <v>0</v>
      </c>
      <c r="K915" s="17">
        <f t="shared" si="534"/>
        <v>0</v>
      </c>
      <c r="L915" s="17">
        <f t="shared" si="535"/>
        <v>0</v>
      </c>
      <c r="M915" s="17">
        <f t="shared" si="536"/>
        <v>0</v>
      </c>
      <c r="N915" s="17">
        <f t="shared" si="537"/>
        <v>0</v>
      </c>
      <c r="O915" s="17">
        <f t="shared" si="538"/>
        <v>0</v>
      </c>
      <c r="P915" s="17">
        <v>0</v>
      </c>
      <c r="Q915" s="17">
        <f t="shared" si="539"/>
        <v>0</v>
      </c>
      <c r="R915" s="17">
        <f t="shared" si="540"/>
        <v>0</v>
      </c>
      <c r="S915" s="17">
        <f t="shared" si="541"/>
        <v>0</v>
      </c>
      <c r="T915" s="17">
        <f t="shared" si="542"/>
        <v>0</v>
      </c>
      <c r="U915" s="17">
        <f t="shared" si="543"/>
        <v>0</v>
      </c>
      <c r="V915" s="17">
        <f t="shared" si="544"/>
        <v>0</v>
      </c>
      <c r="W915" s="17">
        <f t="shared" si="545"/>
        <v>0</v>
      </c>
      <c r="X915" s="17">
        <f t="shared" si="546"/>
        <v>0</v>
      </c>
      <c r="Y915" s="17">
        <f t="shared" si="547"/>
        <v>0</v>
      </c>
      <c r="Z915" s="17">
        <f t="shared" si="548"/>
        <v>0</v>
      </c>
      <c r="AA915" s="17">
        <f t="shared" si="549"/>
        <v>0</v>
      </c>
      <c r="AB915" s="17">
        <f t="shared" si="550"/>
        <v>0</v>
      </c>
      <c r="AC915" s="17">
        <v>0</v>
      </c>
      <c r="AD915" s="17">
        <f t="shared" si="551"/>
        <v>0</v>
      </c>
      <c r="AE915" s="17">
        <f t="shared" si="552"/>
        <v>0</v>
      </c>
      <c r="AF915" s="17">
        <f t="shared" si="553"/>
        <v>0</v>
      </c>
      <c r="AG915" s="17">
        <f t="shared" si="554"/>
        <v>0</v>
      </c>
      <c r="AH915" s="17">
        <f t="shared" si="555"/>
        <v>0</v>
      </c>
      <c r="AI915" s="17">
        <f t="shared" si="556"/>
        <v>0</v>
      </c>
      <c r="AJ915" s="17">
        <f t="shared" si="557"/>
        <v>0</v>
      </c>
      <c r="AK915" s="17">
        <f t="shared" si="558"/>
        <v>0</v>
      </c>
      <c r="AL915" s="17">
        <f t="shared" si="559"/>
        <v>0</v>
      </c>
      <c r="AM915" s="17">
        <f t="shared" si="560"/>
        <v>0</v>
      </c>
      <c r="AN915" s="17">
        <f t="shared" si="561"/>
        <v>0</v>
      </c>
      <c r="AO915" s="17">
        <f t="shared" si="562"/>
        <v>0</v>
      </c>
      <c r="AP915" s="17">
        <f t="shared" si="563"/>
        <v>0</v>
      </c>
      <c r="AQ915" s="18">
        <v>1.9816143953810528</v>
      </c>
      <c r="AR915" s="18">
        <v>2.3698247457015231</v>
      </c>
      <c r="AS915" s="18">
        <v>2.0973122666547286</v>
      </c>
      <c r="AT915" s="18">
        <v>1.5886333400791921</v>
      </c>
      <c r="AU915" s="18">
        <v>2.3038966563012688</v>
      </c>
      <c r="AV915" s="18">
        <v>1.8880407537655421</v>
      </c>
      <c r="AW915" s="18">
        <v>1.8796759886527774</v>
      </c>
      <c r="AX915" s="18">
        <v>1.276474683382971</v>
      </c>
      <c r="AY915" s="18">
        <v>1.8921185991182872</v>
      </c>
      <c r="AZ915" s="18">
        <v>1.6477920690476417</v>
      </c>
      <c r="BA915" s="18">
        <v>1.6824581638486216</v>
      </c>
      <c r="BB915" s="18">
        <v>1.6432925291053124</v>
      </c>
      <c r="BC915" s="23">
        <v>8.9181565948742242E-2</v>
      </c>
      <c r="BD915" s="23">
        <v>0.10665277883445198</v>
      </c>
      <c r="BE915" s="23">
        <v>9.438849084854764E-2</v>
      </c>
      <c r="BF915" s="23">
        <v>7.149564986855049E-2</v>
      </c>
      <c r="BG915" s="23">
        <v>0.10368571810536763</v>
      </c>
      <c r="BH915" s="23">
        <v>8.4970330952544637E-2</v>
      </c>
      <c r="BI915" s="23">
        <v>8.4593878877262704E-2</v>
      </c>
      <c r="BJ915" s="23">
        <v>5.7447105462779965E-2</v>
      </c>
      <c r="BK915" s="23">
        <v>8.5153852345557474E-2</v>
      </c>
      <c r="BL915" s="23">
        <v>7.4158058913035174E-2</v>
      </c>
      <c r="BM915" s="23">
        <v>7.5718189192107169E-2</v>
      </c>
      <c r="BN915" s="23">
        <v>7.3955559365675619E-2</v>
      </c>
    </row>
    <row r="916" spans="1:66" x14ac:dyDescent="0.25">
      <c r="A916" s="16">
        <v>13100</v>
      </c>
      <c r="B916" s="16" t="s">
        <v>1110</v>
      </c>
      <c r="C916" s="17">
        <v>0</v>
      </c>
      <c r="D916" s="17">
        <f t="shared" si="527"/>
        <v>0</v>
      </c>
      <c r="E916" s="17">
        <f t="shared" si="528"/>
        <v>0</v>
      </c>
      <c r="F916" s="17">
        <f t="shared" si="529"/>
        <v>0</v>
      </c>
      <c r="G916" s="17">
        <f t="shared" si="530"/>
        <v>0</v>
      </c>
      <c r="H916" s="17">
        <f t="shared" si="531"/>
        <v>0</v>
      </c>
      <c r="I916" s="17">
        <f t="shared" si="532"/>
        <v>0</v>
      </c>
      <c r="J916" s="17">
        <f t="shared" si="533"/>
        <v>0</v>
      </c>
      <c r="K916" s="17">
        <f t="shared" si="534"/>
        <v>0</v>
      </c>
      <c r="L916" s="17">
        <f t="shared" si="535"/>
        <v>0</v>
      </c>
      <c r="M916" s="17">
        <f t="shared" si="536"/>
        <v>0</v>
      </c>
      <c r="N916" s="17">
        <f t="shared" si="537"/>
        <v>0</v>
      </c>
      <c r="O916" s="17">
        <f t="shared" si="538"/>
        <v>0</v>
      </c>
      <c r="P916" s="17">
        <v>500</v>
      </c>
      <c r="Q916" s="17">
        <f t="shared" si="539"/>
        <v>44.590782974371123</v>
      </c>
      <c r="R916" s="17">
        <f t="shared" si="540"/>
        <v>53.32638941722599</v>
      </c>
      <c r="S916" s="17">
        <f t="shared" si="541"/>
        <v>47.194245424273824</v>
      </c>
      <c r="T916" s="17">
        <f t="shared" si="542"/>
        <v>35.747824934275243</v>
      </c>
      <c r="U916" s="17">
        <f t="shared" si="543"/>
        <v>51.842859052683814</v>
      </c>
      <c r="V916" s="17">
        <f t="shared" si="544"/>
        <v>42.485165476272321</v>
      </c>
      <c r="W916" s="17">
        <f t="shared" si="545"/>
        <v>42.296939438631355</v>
      </c>
      <c r="X916" s="17">
        <f t="shared" si="546"/>
        <v>28.723552731389983</v>
      </c>
      <c r="Y916" s="17">
        <f t="shared" si="547"/>
        <v>42.576926172778734</v>
      </c>
      <c r="Z916" s="17">
        <f t="shared" si="548"/>
        <v>37.079029456517588</v>
      </c>
      <c r="AA916" s="17">
        <f t="shared" si="549"/>
        <v>37.859094596053588</v>
      </c>
      <c r="AB916" s="17">
        <f t="shared" si="550"/>
        <v>36.977779682837813</v>
      </c>
      <c r="AC916" s="17">
        <v>0</v>
      </c>
      <c r="AD916" s="17">
        <f t="shared" si="551"/>
        <v>0</v>
      </c>
      <c r="AE916" s="17">
        <f t="shared" si="552"/>
        <v>0</v>
      </c>
      <c r="AF916" s="17">
        <f t="shared" si="553"/>
        <v>0</v>
      </c>
      <c r="AG916" s="17">
        <f t="shared" si="554"/>
        <v>0</v>
      </c>
      <c r="AH916" s="17">
        <f t="shared" si="555"/>
        <v>0</v>
      </c>
      <c r="AI916" s="17">
        <f t="shared" si="556"/>
        <v>0</v>
      </c>
      <c r="AJ916" s="17">
        <f t="shared" si="557"/>
        <v>0</v>
      </c>
      <c r="AK916" s="17">
        <f t="shared" si="558"/>
        <v>0</v>
      </c>
      <c r="AL916" s="17">
        <f t="shared" si="559"/>
        <v>0</v>
      </c>
      <c r="AM916" s="17">
        <f t="shared" si="560"/>
        <v>0</v>
      </c>
      <c r="AN916" s="17">
        <f t="shared" si="561"/>
        <v>0</v>
      </c>
      <c r="AO916" s="17">
        <f t="shared" si="562"/>
        <v>0</v>
      </c>
      <c r="AP916" s="17">
        <f t="shared" si="563"/>
        <v>500</v>
      </c>
      <c r="AQ916" s="18">
        <v>51.208055167767796</v>
      </c>
      <c r="AR916" s="18">
        <v>61.240025606742336</v>
      </c>
      <c r="AS916" s="18">
        <v>54.197871445236061</v>
      </c>
      <c r="AT916" s="18">
        <v>41.052802154521693</v>
      </c>
      <c r="AU916" s="18">
        <v>59.536339336102095</v>
      </c>
      <c r="AV916" s="18">
        <v>48.789964032951133</v>
      </c>
      <c r="AW916" s="18">
        <v>48.573805251324245</v>
      </c>
      <c r="AX916" s="18">
        <v>32.986127956728261</v>
      </c>
      <c r="AY916" s="18">
        <v>48.895342016819107</v>
      </c>
      <c r="AZ916" s="18">
        <v>42.581557427864801</v>
      </c>
      <c r="BA916" s="18">
        <v>43.477384234107937</v>
      </c>
      <c r="BB916" s="18">
        <v>42.465282187770946</v>
      </c>
      <c r="BC916" s="23">
        <v>8.9181565948742242E-2</v>
      </c>
      <c r="BD916" s="23">
        <v>0.10665277883445198</v>
      </c>
      <c r="BE916" s="23">
        <v>9.438849084854764E-2</v>
      </c>
      <c r="BF916" s="23">
        <v>7.149564986855049E-2</v>
      </c>
      <c r="BG916" s="23">
        <v>0.10368571810536763</v>
      </c>
      <c r="BH916" s="23">
        <v>8.4970330952544637E-2</v>
      </c>
      <c r="BI916" s="23">
        <v>8.4593878877262704E-2</v>
      </c>
      <c r="BJ916" s="23">
        <v>5.7447105462779965E-2</v>
      </c>
      <c r="BK916" s="23">
        <v>8.5153852345557474E-2</v>
      </c>
      <c r="BL916" s="23">
        <v>7.4158058913035174E-2</v>
      </c>
      <c r="BM916" s="23">
        <v>7.5718189192107169E-2</v>
      </c>
      <c r="BN916" s="23">
        <v>7.3955559365675619E-2</v>
      </c>
    </row>
    <row r="917" spans="1:66" x14ac:dyDescent="0.25">
      <c r="A917" s="16">
        <v>14223</v>
      </c>
      <c r="B917" s="16" t="s">
        <v>1111</v>
      </c>
      <c r="C917" s="17">
        <v>0</v>
      </c>
      <c r="D917" s="17">
        <f t="shared" si="527"/>
        <v>0</v>
      </c>
      <c r="E917" s="17">
        <f t="shared" si="528"/>
        <v>0</v>
      </c>
      <c r="F917" s="17">
        <f t="shared" si="529"/>
        <v>0</v>
      </c>
      <c r="G917" s="17">
        <f t="shared" si="530"/>
        <v>0</v>
      </c>
      <c r="H917" s="17">
        <f t="shared" si="531"/>
        <v>0</v>
      </c>
      <c r="I917" s="17">
        <f t="shared" si="532"/>
        <v>0</v>
      </c>
      <c r="J917" s="17">
        <f t="shared" si="533"/>
        <v>0</v>
      </c>
      <c r="K917" s="17">
        <f t="shared" si="534"/>
        <v>0</v>
      </c>
      <c r="L917" s="17">
        <f t="shared" si="535"/>
        <v>0</v>
      </c>
      <c r="M917" s="17">
        <f t="shared" si="536"/>
        <v>0</v>
      </c>
      <c r="N917" s="17">
        <f t="shared" si="537"/>
        <v>0</v>
      </c>
      <c r="O917" s="17">
        <f t="shared" si="538"/>
        <v>0</v>
      </c>
      <c r="P917" s="17">
        <v>0</v>
      </c>
      <c r="Q917" s="17">
        <f t="shared" si="539"/>
        <v>0</v>
      </c>
      <c r="R917" s="17">
        <f t="shared" si="540"/>
        <v>0</v>
      </c>
      <c r="S917" s="17">
        <f t="shared" si="541"/>
        <v>0</v>
      </c>
      <c r="T917" s="17">
        <f t="shared" si="542"/>
        <v>0</v>
      </c>
      <c r="U917" s="17">
        <f t="shared" si="543"/>
        <v>0</v>
      </c>
      <c r="V917" s="17">
        <f t="shared" si="544"/>
        <v>0</v>
      </c>
      <c r="W917" s="17">
        <f t="shared" si="545"/>
        <v>0</v>
      </c>
      <c r="X917" s="17">
        <f t="shared" si="546"/>
        <v>0</v>
      </c>
      <c r="Y917" s="17">
        <f t="shared" si="547"/>
        <v>0</v>
      </c>
      <c r="Z917" s="17">
        <f t="shared" si="548"/>
        <v>0</v>
      </c>
      <c r="AA917" s="17">
        <f t="shared" si="549"/>
        <v>0</v>
      </c>
      <c r="AB917" s="17">
        <f t="shared" si="550"/>
        <v>0</v>
      </c>
      <c r="AC917" s="17">
        <v>0</v>
      </c>
      <c r="AD917" s="17">
        <f t="shared" si="551"/>
        <v>0</v>
      </c>
      <c r="AE917" s="17">
        <f t="shared" si="552"/>
        <v>0</v>
      </c>
      <c r="AF917" s="17">
        <f t="shared" si="553"/>
        <v>0</v>
      </c>
      <c r="AG917" s="17">
        <f t="shared" si="554"/>
        <v>0</v>
      </c>
      <c r="AH917" s="17">
        <f t="shared" si="555"/>
        <v>0</v>
      </c>
      <c r="AI917" s="17">
        <f t="shared" si="556"/>
        <v>0</v>
      </c>
      <c r="AJ917" s="17">
        <f t="shared" si="557"/>
        <v>0</v>
      </c>
      <c r="AK917" s="17">
        <f t="shared" si="558"/>
        <v>0</v>
      </c>
      <c r="AL917" s="17">
        <f t="shared" si="559"/>
        <v>0</v>
      </c>
      <c r="AM917" s="17">
        <f t="shared" si="560"/>
        <v>0</v>
      </c>
      <c r="AN917" s="17">
        <f t="shared" si="561"/>
        <v>0</v>
      </c>
      <c r="AO917" s="17">
        <f t="shared" si="562"/>
        <v>0</v>
      </c>
      <c r="AP917" s="17">
        <f t="shared" si="563"/>
        <v>0</v>
      </c>
      <c r="AQ917" s="18">
        <v>3.6022218118015967</v>
      </c>
      <c r="AR917" s="18">
        <v>4.3079190426811849</v>
      </c>
      <c r="AS917" s="18">
        <v>3.8125399223545364</v>
      </c>
      <c r="AT917" s="18">
        <v>2.8878522894904917</v>
      </c>
      <c r="AU917" s="18">
        <v>4.1880735257120092</v>
      </c>
      <c r="AV917" s="18">
        <v>3.4321216078351831</v>
      </c>
      <c r="AW917" s="18">
        <v>3.4169159556103956</v>
      </c>
      <c r="AX917" s="18">
        <v>2.3204034838526084</v>
      </c>
      <c r="AY917" s="18">
        <v>3.4395344039417579</v>
      </c>
      <c r="AZ917" s="18">
        <v>2.9953923156153168</v>
      </c>
      <c r="BA917" s="18">
        <v>3.0584090978475929</v>
      </c>
      <c r="BB917" s="18">
        <v>2.9872129538983696</v>
      </c>
      <c r="BC917" s="23">
        <v>8.9181565948742242E-2</v>
      </c>
      <c r="BD917" s="23">
        <v>0.10665277883445198</v>
      </c>
      <c r="BE917" s="23">
        <v>9.438849084854764E-2</v>
      </c>
      <c r="BF917" s="23">
        <v>7.149564986855049E-2</v>
      </c>
      <c r="BG917" s="23">
        <v>0.10368571810536763</v>
      </c>
      <c r="BH917" s="23">
        <v>8.4970330952544637E-2</v>
      </c>
      <c r="BI917" s="23">
        <v>8.4593878877262704E-2</v>
      </c>
      <c r="BJ917" s="23">
        <v>5.7447105462779965E-2</v>
      </c>
      <c r="BK917" s="23">
        <v>8.5153852345557474E-2</v>
      </c>
      <c r="BL917" s="23">
        <v>7.4158058913035174E-2</v>
      </c>
      <c r="BM917" s="23">
        <v>7.5718189192107169E-2</v>
      </c>
      <c r="BN917" s="23">
        <v>7.3955559365675619E-2</v>
      </c>
    </row>
    <row r="918" spans="1:66" x14ac:dyDescent="0.25">
      <c r="A918" s="16">
        <v>15200</v>
      </c>
      <c r="B918" s="16" t="s">
        <v>1112</v>
      </c>
      <c r="C918" s="17">
        <v>0</v>
      </c>
      <c r="D918" s="17">
        <f t="shared" si="527"/>
        <v>0</v>
      </c>
      <c r="E918" s="17">
        <f t="shared" si="528"/>
        <v>0</v>
      </c>
      <c r="F918" s="17">
        <f t="shared" si="529"/>
        <v>0</v>
      </c>
      <c r="G918" s="17">
        <f t="shared" si="530"/>
        <v>0</v>
      </c>
      <c r="H918" s="17">
        <f t="shared" si="531"/>
        <v>0</v>
      </c>
      <c r="I918" s="17">
        <f t="shared" si="532"/>
        <v>0</v>
      </c>
      <c r="J918" s="17">
        <f t="shared" si="533"/>
        <v>0</v>
      </c>
      <c r="K918" s="17">
        <f t="shared" si="534"/>
        <v>0</v>
      </c>
      <c r="L918" s="17">
        <f t="shared" si="535"/>
        <v>0</v>
      </c>
      <c r="M918" s="17">
        <f t="shared" si="536"/>
        <v>0</v>
      </c>
      <c r="N918" s="17">
        <f t="shared" si="537"/>
        <v>0</v>
      </c>
      <c r="O918" s="17">
        <f t="shared" si="538"/>
        <v>0</v>
      </c>
      <c r="P918" s="17">
        <v>0</v>
      </c>
      <c r="Q918" s="17">
        <f t="shared" si="539"/>
        <v>0</v>
      </c>
      <c r="R918" s="17">
        <f t="shared" si="540"/>
        <v>0</v>
      </c>
      <c r="S918" s="17">
        <f t="shared" si="541"/>
        <v>0</v>
      </c>
      <c r="T918" s="17">
        <f t="shared" si="542"/>
        <v>0</v>
      </c>
      <c r="U918" s="17">
        <f t="shared" si="543"/>
        <v>0</v>
      </c>
      <c r="V918" s="17">
        <f t="shared" si="544"/>
        <v>0</v>
      </c>
      <c r="W918" s="17">
        <f t="shared" si="545"/>
        <v>0</v>
      </c>
      <c r="X918" s="17">
        <f t="shared" si="546"/>
        <v>0</v>
      </c>
      <c r="Y918" s="17">
        <f t="shared" si="547"/>
        <v>0</v>
      </c>
      <c r="Z918" s="17">
        <f t="shared" si="548"/>
        <v>0</v>
      </c>
      <c r="AA918" s="17">
        <f t="shared" si="549"/>
        <v>0</v>
      </c>
      <c r="AB918" s="17">
        <f t="shared" si="550"/>
        <v>0</v>
      </c>
      <c r="AC918" s="17">
        <v>0</v>
      </c>
      <c r="AD918" s="17">
        <f t="shared" si="551"/>
        <v>0</v>
      </c>
      <c r="AE918" s="17">
        <f t="shared" si="552"/>
        <v>0</v>
      </c>
      <c r="AF918" s="17">
        <f t="shared" si="553"/>
        <v>0</v>
      </c>
      <c r="AG918" s="17">
        <f t="shared" si="554"/>
        <v>0</v>
      </c>
      <c r="AH918" s="17">
        <f t="shared" si="555"/>
        <v>0</v>
      </c>
      <c r="AI918" s="17">
        <f t="shared" si="556"/>
        <v>0</v>
      </c>
      <c r="AJ918" s="17">
        <f t="shared" si="557"/>
        <v>0</v>
      </c>
      <c r="AK918" s="17">
        <f t="shared" si="558"/>
        <v>0</v>
      </c>
      <c r="AL918" s="17">
        <f t="shared" si="559"/>
        <v>0</v>
      </c>
      <c r="AM918" s="17">
        <f t="shared" si="560"/>
        <v>0</v>
      </c>
      <c r="AN918" s="17">
        <f t="shared" si="561"/>
        <v>0</v>
      </c>
      <c r="AO918" s="17">
        <f t="shared" si="562"/>
        <v>0</v>
      </c>
      <c r="AP918" s="17">
        <f t="shared" si="563"/>
        <v>0</v>
      </c>
      <c r="AQ918" s="18">
        <v>47.087866820935901</v>
      </c>
      <c r="AR918" s="18">
        <v>56.312667224590648</v>
      </c>
      <c r="AS918" s="18">
        <v>49.837123168033152</v>
      </c>
      <c r="AT918" s="18">
        <v>37.749703130594661</v>
      </c>
      <c r="AU918" s="18">
        <v>54.746059159634108</v>
      </c>
      <c r="AV918" s="18">
        <v>44.864334742943569</v>
      </c>
      <c r="AW918" s="18">
        <v>44.665568047194711</v>
      </c>
      <c r="AX918" s="18">
        <v>30.33207168434782</v>
      </c>
      <c r="AY918" s="18">
        <v>44.961234038454343</v>
      </c>
      <c r="AZ918" s="18">
        <v>39.15545510608257</v>
      </c>
      <c r="BA918" s="18">
        <v>39.979203893432583</v>
      </c>
      <c r="BB918" s="18">
        <v>39.048535345076729</v>
      </c>
      <c r="BC918" s="23">
        <v>8.9181565948742242E-2</v>
      </c>
      <c r="BD918" s="23">
        <v>0.10665277883445198</v>
      </c>
      <c r="BE918" s="23">
        <v>9.438849084854764E-2</v>
      </c>
      <c r="BF918" s="23">
        <v>7.149564986855049E-2</v>
      </c>
      <c r="BG918" s="23">
        <v>0.10368571810536763</v>
      </c>
      <c r="BH918" s="23">
        <v>8.4970330952544637E-2</v>
      </c>
      <c r="BI918" s="23">
        <v>8.4593878877262704E-2</v>
      </c>
      <c r="BJ918" s="23">
        <v>5.7447105462779965E-2</v>
      </c>
      <c r="BK918" s="23">
        <v>8.5153852345557474E-2</v>
      </c>
      <c r="BL918" s="23">
        <v>7.4158058913035174E-2</v>
      </c>
      <c r="BM918" s="23">
        <v>7.5718189192107169E-2</v>
      </c>
      <c r="BN918" s="23">
        <v>7.3955559365675619E-2</v>
      </c>
    </row>
    <row r="919" spans="1:66" x14ac:dyDescent="0.25">
      <c r="A919" s="16">
        <v>15209</v>
      </c>
      <c r="B919" s="16" t="s">
        <v>1113</v>
      </c>
      <c r="C919" s="17">
        <v>0</v>
      </c>
      <c r="D919" s="17">
        <f t="shared" si="527"/>
        <v>0</v>
      </c>
      <c r="E919" s="17">
        <f t="shared" si="528"/>
        <v>0</v>
      </c>
      <c r="F919" s="17">
        <f t="shared" si="529"/>
        <v>0</v>
      </c>
      <c r="G919" s="17">
        <f t="shared" si="530"/>
        <v>0</v>
      </c>
      <c r="H919" s="17">
        <f t="shared" si="531"/>
        <v>0</v>
      </c>
      <c r="I919" s="17">
        <f t="shared" si="532"/>
        <v>0</v>
      </c>
      <c r="J919" s="17">
        <f t="shared" si="533"/>
        <v>0</v>
      </c>
      <c r="K919" s="17">
        <f t="shared" si="534"/>
        <v>0</v>
      </c>
      <c r="L919" s="17">
        <f t="shared" si="535"/>
        <v>0</v>
      </c>
      <c r="M919" s="17">
        <f t="shared" si="536"/>
        <v>0</v>
      </c>
      <c r="N919" s="17">
        <f t="shared" si="537"/>
        <v>0</v>
      </c>
      <c r="O919" s="17">
        <f t="shared" si="538"/>
        <v>0</v>
      </c>
      <c r="P919" s="17">
        <v>2000</v>
      </c>
      <c r="Q919" s="17">
        <f t="shared" si="539"/>
        <v>178.36313189748449</v>
      </c>
      <c r="R919" s="17">
        <f t="shared" si="540"/>
        <v>213.30555766890396</v>
      </c>
      <c r="S919" s="17">
        <f t="shared" si="541"/>
        <v>188.77698169709529</v>
      </c>
      <c r="T919" s="17">
        <f t="shared" si="542"/>
        <v>142.99129973710097</v>
      </c>
      <c r="U919" s="17">
        <f t="shared" si="543"/>
        <v>207.37143621073525</v>
      </c>
      <c r="V919" s="17">
        <f t="shared" si="544"/>
        <v>169.94066190508929</v>
      </c>
      <c r="W919" s="17">
        <f t="shared" si="545"/>
        <v>169.18775775452542</v>
      </c>
      <c r="X919" s="17">
        <f t="shared" si="546"/>
        <v>114.89421092555993</v>
      </c>
      <c r="Y919" s="17">
        <f t="shared" si="547"/>
        <v>170.30770469111494</v>
      </c>
      <c r="Z919" s="17">
        <f t="shared" si="548"/>
        <v>148.31611782607035</v>
      </c>
      <c r="AA919" s="17">
        <f t="shared" si="549"/>
        <v>151.43637838421435</v>
      </c>
      <c r="AB919" s="17">
        <f t="shared" si="550"/>
        <v>147.91111873135125</v>
      </c>
      <c r="AC919" s="17">
        <v>0</v>
      </c>
      <c r="AD919" s="17">
        <f t="shared" si="551"/>
        <v>0</v>
      </c>
      <c r="AE919" s="17">
        <f t="shared" si="552"/>
        <v>0</v>
      </c>
      <c r="AF919" s="17">
        <f t="shared" si="553"/>
        <v>0</v>
      </c>
      <c r="AG919" s="17">
        <f t="shared" si="554"/>
        <v>0</v>
      </c>
      <c r="AH919" s="17">
        <f t="shared" si="555"/>
        <v>0</v>
      </c>
      <c r="AI919" s="17">
        <f t="shared" si="556"/>
        <v>0</v>
      </c>
      <c r="AJ919" s="17">
        <f t="shared" si="557"/>
        <v>0</v>
      </c>
      <c r="AK919" s="17">
        <f t="shared" si="558"/>
        <v>0</v>
      </c>
      <c r="AL919" s="17">
        <f t="shared" si="559"/>
        <v>0</v>
      </c>
      <c r="AM919" s="17">
        <f t="shared" si="560"/>
        <v>0</v>
      </c>
      <c r="AN919" s="17">
        <f t="shared" si="561"/>
        <v>0</v>
      </c>
      <c r="AO919" s="17">
        <f t="shared" si="562"/>
        <v>0</v>
      </c>
      <c r="AP919" s="17">
        <f t="shared" si="563"/>
        <v>2000</v>
      </c>
      <c r="AQ919" s="18">
        <v>0</v>
      </c>
      <c r="AR919" s="18">
        <v>0</v>
      </c>
      <c r="AS919" s="18">
        <v>0</v>
      </c>
      <c r="AT919" s="18">
        <v>0</v>
      </c>
      <c r="AU919" s="18">
        <v>0</v>
      </c>
      <c r="AV919" s="18">
        <v>0</v>
      </c>
      <c r="AW919" s="18">
        <v>0</v>
      </c>
      <c r="AX919" s="18">
        <v>0</v>
      </c>
      <c r="AY919" s="18">
        <v>0</v>
      </c>
      <c r="AZ919" s="18">
        <v>0</v>
      </c>
      <c r="BA919" s="18">
        <v>0</v>
      </c>
      <c r="BB919" s="18">
        <v>0</v>
      </c>
      <c r="BC919" s="23">
        <v>8.9181565948742242E-2</v>
      </c>
      <c r="BD919" s="23">
        <v>0.10665277883445198</v>
      </c>
      <c r="BE919" s="23">
        <v>9.438849084854764E-2</v>
      </c>
      <c r="BF919" s="23">
        <v>7.149564986855049E-2</v>
      </c>
      <c r="BG919" s="23">
        <v>0.10368571810536763</v>
      </c>
      <c r="BH919" s="23">
        <v>8.4970330952544637E-2</v>
      </c>
      <c r="BI919" s="23">
        <v>8.4593878877262704E-2</v>
      </c>
      <c r="BJ919" s="23">
        <v>5.7447105462779965E-2</v>
      </c>
      <c r="BK919" s="23">
        <v>8.5153852345557474E-2</v>
      </c>
      <c r="BL919" s="23">
        <v>7.4158058913035174E-2</v>
      </c>
      <c r="BM919" s="23">
        <v>7.5718189192107169E-2</v>
      </c>
      <c r="BN919" s="23">
        <v>7.3955559365675619E-2</v>
      </c>
    </row>
    <row r="920" spans="1:66" x14ac:dyDescent="0.25">
      <c r="A920" s="16">
        <v>15211</v>
      </c>
      <c r="B920" s="16" t="s">
        <v>1114</v>
      </c>
      <c r="C920" s="17">
        <v>0</v>
      </c>
      <c r="D920" s="17">
        <f t="shared" si="527"/>
        <v>0</v>
      </c>
      <c r="E920" s="17">
        <f t="shared" si="528"/>
        <v>0</v>
      </c>
      <c r="F920" s="17">
        <f t="shared" si="529"/>
        <v>0</v>
      </c>
      <c r="G920" s="17">
        <f t="shared" si="530"/>
        <v>0</v>
      </c>
      <c r="H920" s="17">
        <f t="shared" si="531"/>
        <v>0</v>
      </c>
      <c r="I920" s="17">
        <f t="shared" si="532"/>
        <v>0</v>
      </c>
      <c r="J920" s="17">
        <f t="shared" si="533"/>
        <v>0</v>
      </c>
      <c r="K920" s="17">
        <f t="shared" si="534"/>
        <v>0</v>
      </c>
      <c r="L920" s="17">
        <f t="shared" si="535"/>
        <v>0</v>
      </c>
      <c r="M920" s="17">
        <f t="shared" si="536"/>
        <v>0</v>
      </c>
      <c r="N920" s="17">
        <f t="shared" si="537"/>
        <v>0</v>
      </c>
      <c r="O920" s="17">
        <f t="shared" si="538"/>
        <v>0</v>
      </c>
      <c r="P920" s="17">
        <v>1500</v>
      </c>
      <c r="Q920" s="17">
        <f t="shared" si="539"/>
        <v>133.77234892311336</v>
      </c>
      <c r="R920" s="17">
        <f t="shared" si="540"/>
        <v>159.97916825167798</v>
      </c>
      <c r="S920" s="17">
        <f t="shared" si="541"/>
        <v>141.58273627282145</v>
      </c>
      <c r="T920" s="17">
        <f t="shared" si="542"/>
        <v>107.24347480282573</v>
      </c>
      <c r="U920" s="17">
        <f t="shared" si="543"/>
        <v>155.52857715805143</v>
      </c>
      <c r="V920" s="17">
        <f t="shared" si="544"/>
        <v>127.45549642881696</v>
      </c>
      <c r="W920" s="17">
        <f t="shared" si="545"/>
        <v>126.89081831589405</v>
      </c>
      <c r="X920" s="17">
        <f t="shared" si="546"/>
        <v>86.170658194169945</v>
      </c>
      <c r="Y920" s="17">
        <f t="shared" si="547"/>
        <v>127.73077851833621</v>
      </c>
      <c r="Z920" s="17">
        <f t="shared" si="548"/>
        <v>111.23708836955277</v>
      </c>
      <c r="AA920" s="17">
        <f t="shared" si="549"/>
        <v>113.57728378816076</v>
      </c>
      <c r="AB920" s="17">
        <f t="shared" si="550"/>
        <v>110.93333904851343</v>
      </c>
      <c r="AC920" s="17">
        <v>0</v>
      </c>
      <c r="AD920" s="17">
        <f t="shared" si="551"/>
        <v>0</v>
      </c>
      <c r="AE920" s="17">
        <f t="shared" si="552"/>
        <v>0</v>
      </c>
      <c r="AF920" s="17">
        <f t="shared" si="553"/>
        <v>0</v>
      </c>
      <c r="AG920" s="17">
        <f t="shared" si="554"/>
        <v>0</v>
      </c>
      <c r="AH920" s="17">
        <f t="shared" si="555"/>
        <v>0</v>
      </c>
      <c r="AI920" s="17">
        <f t="shared" si="556"/>
        <v>0</v>
      </c>
      <c r="AJ920" s="17">
        <f t="shared" si="557"/>
        <v>0</v>
      </c>
      <c r="AK920" s="17">
        <f t="shared" si="558"/>
        <v>0</v>
      </c>
      <c r="AL920" s="17">
        <f t="shared" si="559"/>
        <v>0</v>
      </c>
      <c r="AM920" s="17">
        <f t="shared" si="560"/>
        <v>0</v>
      </c>
      <c r="AN920" s="17">
        <f t="shared" si="561"/>
        <v>0</v>
      </c>
      <c r="AO920" s="17">
        <f t="shared" si="562"/>
        <v>0</v>
      </c>
      <c r="AP920" s="17">
        <f t="shared" si="563"/>
        <v>1500</v>
      </c>
      <c r="AQ920" s="18">
        <v>0</v>
      </c>
      <c r="AR920" s="18">
        <v>0</v>
      </c>
      <c r="AS920" s="18">
        <v>0</v>
      </c>
      <c r="AT920" s="18">
        <v>0</v>
      </c>
      <c r="AU920" s="18">
        <v>0</v>
      </c>
      <c r="AV920" s="18">
        <v>0</v>
      </c>
      <c r="AW920" s="18">
        <v>0</v>
      </c>
      <c r="AX920" s="18">
        <v>0</v>
      </c>
      <c r="AY920" s="18">
        <v>0</v>
      </c>
      <c r="AZ920" s="18">
        <v>0</v>
      </c>
      <c r="BA920" s="18">
        <v>0</v>
      </c>
      <c r="BB920" s="18">
        <v>0</v>
      </c>
      <c r="BC920" s="23">
        <v>8.9181565948742242E-2</v>
      </c>
      <c r="BD920" s="23">
        <v>0.10665277883445198</v>
      </c>
      <c r="BE920" s="23">
        <v>9.438849084854764E-2</v>
      </c>
      <c r="BF920" s="23">
        <v>7.149564986855049E-2</v>
      </c>
      <c r="BG920" s="23">
        <v>0.10368571810536763</v>
      </c>
      <c r="BH920" s="23">
        <v>8.4970330952544637E-2</v>
      </c>
      <c r="BI920" s="23">
        <v>8.4593878877262704E-2</v>
      </c>
      <c r="BJ920" s="23">
        <v>5.7447105462779965E-2</v>
      </c>
      <c r="BK920" s="23">
        <v>8.5153852345557474E-2</v>
      </c>
      <c r="BL920" s="23">
        <v>7.4158058913035174E-2</v>
      </c>
      <c r="BM920" s="23">
        <v>7.5718189192107169E-2</v>
      </c>
      <c r="BN920" s="23">
        <v>7.3955559365675619E-2</v>
      </c>
    </row>
    <row r="921" spans="1:66" x14ac:dyDescent="0.25">
      <c r="A921" s="16">
        <v>15216</v>
      </c>
      <c r="B921" s="16" t="s">
        <v>1115</v>
      </c>
      <c r="C921" s="17">
        <v>0</v>
      </c>
      <c r="D921" s="17">
        <f t="shared" si="527"/>
        <v>0</v>
      </c>
      <c r="E921" s="17">
        <f t="shared" si="528"/>
        <v>0</v>
      </c>
      <c r="F921" s="17">
        <f t="shared" si="529"/>
        <v>0</v>
      </c>
      <c r="G921" s="17">
        <f t="shared" si="530"/>
        <v>0</v>
      </c>
      <c r="H921" s="17">
        <f t="shared" si="531"/>
        <v>0</v>
      </c>
      <c r="I921" s="17">
        <f t="shared" si="532"/>
        <v>0</v>
      </c>
      <c r="J921" s="17">
        <f t="shared" si="533"/>
        <v>0</v>
      </c>
      <c r="K921" s="17">
        <f t="shared" si="534"/>
        <v>0</v>
      </c>
      <c r="L921" s="17">
        <f t="shared" si="535"/>
        <v>0</v>
      </c>
      <c r="M921" s="17">
        <f t="shared" si="536"/>
        <v>0</v>
      </c>
      <c r="N921" s="17">
        <f t="shared" si="537"/>
        <v>0</v>
      </c>
      <c r="O921" s="17">
        <f t="shared" si="538"/>
        <v>0</v>
      </c>
      <c r="P921" s="17">
        <v>500</v>
      </c>
      <c r="Q921" s="17">
        <f t="shared" si="539"/>
        <v>44.590782974371123</v>
      </c>
      <c r="R921" s="17">
        <f t="shared" si="540"/>
        <v>53.32638941722599</v>
      </c>
      <c r="S921" s="17">
        <f t="shared" si="541"/>
        <v>47.194245424273824</v>
      </c>
      <c r="T921" s="17">
        <f t="shared" si="542"/>
        <v>35.747824934275243</v>
      </c>
      <c r="U921" s="17">
        <f t="shared" si="543"/>
        <v>51.842859052683814</v>
      </c>
      <c r="V921" s="17">
        <f t="shared" si="544"/>
        <v>42.485165476272321</v>
      </c>
      <c r="W921" s="17">
        <f t="shared" si="545"/>
        <v>42.296939438631355</v>
      </c>
      <c r="X921" s="17">
        <f t="shared" si="546"/>
        <v>28.723552731389983</v>
      </c>
      <c r="Y921" s="17">
        <f t="shared" si="547"/>
        <v>42.576926172778734</v>
      </c>
      <c r="Z921" s="17">
        <f t="shared" si="548"/>
        <v>37.079029456517588</v>
      </c>
      <c r="AA921" s="17">
        <f t="shared" si="549"/>
        <v>37.859094596053588</v>
      </c>
      <c r="AB921" s="17">
        <f t="shared" si="550"/>
        <v>36.977779682837813</v>
      </c>
      <c r="AC921" s="17">
        <v>0</v>
      </c>
      <c r="AD921" s="17">
        <f t="shared" si="551"/>
        <v>0</v>
      </c>
      <c r="AE921" s="17">
        <f t="shared" si="552"/>
        <v>0</v>
      </c>
      <c r="AF921" s="17">
        <f t="shared" si="553"/>
        <v>0</v>
      </c>
      <c r="AG921" s="17">
        <f t="shared" si="554"/>
        <v>0</v>
      </c>
      <c r="AH921" s="17">
        <f t="shared" si="555"/>
        <v>0</v>
      </c>
      <c r="AI921" s="17">
        <f t="shared" si="556"/>
        <v>0</v>
      </c>
      <c r="AJ921" s="17">
        <f t="shared" si="557"/>
        <v>0</v>
      </c>
      <c r="AK921" s="17">
        <f t="shared" si="558"/>
        <v>0</v>
      </c>
      <c r="AL921" s="17">
        <f t="shared" si="559"/>
        <v>0</v>
      </c>
      <c r="AM921" s="17">
        <f t="shared" si="560"/>
        <v>0</v>
      </c>
      <c r="AN921" s="17">
        <f t="shared" si="561"/>
        <v>0</v>
      </c>
      <c r="AO921" s="17">
        <f t="shared" si="562"/>
        <v>0</v>
      </c>
      <c r="AP921" s="17">
        <f t="shared" si="563"/>
        <v>500</v>
      </c>
      <c r="AQ921" s="18">
        <v>0</v>
      </c>
      <c r="AR921" s="18">
        <v>0</v>
      </c>
      <c r="AS921" s="18">
        <v>0</v>
      </c>
      <c r="AT921" s="18">
        <v>0</v>
      </c>
      <c r="AU921" s="18">
        <v>0</v>
      </c>
      <c r="AV921" s="18">
        <v>0</v>
      </c>
      <c r="AW921" s="18">
        <v>0</v>
      </c>
      <c r="AX921" s="18">
        <v>0</v>
      </c>
      <c r="AY921" s="18">
        <v>0</v>
      </c>
      <c r="AZ921" s="18">
        <v>0</v>
      </c>
      <c r="BA921" s="18">
        <v>0</v>
      </c>
      <c r="BB921" s="18">
        <v>0</v>
      </c>
      <c r="BC921" s="23">
        <v>8.9181565948742242E-2</v>
      </c>
      <c r="BD921" s="23">
        <v>0.10665277883445198</v>
      </c>
      <c r="BE921" s="23">
        <v>9.438849084854764E-2</v>
      </c>
      <c r="BF921" s="23">
        <v>7.149564986855049E-2</v>
      </c>
      <c r="BG921" s="23">
        <v>0.10368571810536763</v>
      </c>
      <c r="BH921" s="23">
        <v>8.4970330952544637E-2</v>
      </c>
      <c r="BI921" s="23">
        <v>8.4593878877262704E-2</v>
      </c>
      <c r="BJ921" s="23">
        <v>5.7447105462779965E-2</v>
      </c>
      <c r="BK921" s="23">
        <v>8.5153852345557474E-2</v>
      </c>
      <c r="BL921" s="23">
        <v>7.4158058913035174E-2</v>
      </c>
      <c r="BM921" s="23">
        <v>7.5718189192107169E-2</v>
      </c>
      <c r="BN921" s="23">
        <v>7.3955559365675619E-2</v>
      </c>
    </row>
    <row r="922" spans="1:66" x14ac:dyDescent="0.25">
      <c r="A922" s="16">
        <v>15242</v>
      </c>
      <c r="B922" s="16" t="s">
        <v>1116</v>
      </c>
      <c r="C922" s="17">
        <v>0</v>
      </c>
      <c r="D922" s="17">
        <f t="shared" si="527"/>
        <v>0</v>
      </c>
      <c r="E922" s="17">
        <f t="shared" si="528"/>
        <v>0</v>
      </c>
      <c r="F922" s="17">
        <f t="shared" si="529"/>
        <v>0</v>
      </c>
      <c r="G922" s="17">
        <f t="shared" si="530"/>
        <v>0</v>
      </c>
      <c r="H922" s="17">
        <f t="shared" si="531"/>
        <v>0</v>
      </c>
      <c r="I922" s="17">
        <f t="shared" si="532"/>
        <v>0</v>
      </c>
      <c r="J922" s="17">
        <f t="shared" si="533"/>
        <v>0</v>
      </c>
      <c r="K922" s="17">
        <f t="shared" si="534"/>
        <v>0</v>
      </c>
      <c r="L922" s="17">
        <f t="shared" si="535"/>
        <v>0</v>
      </c>
      <c r="M922" s="17">
        <f t="shared" si="536"/>
        <v>0</v>
      </c>
      <c r="N922" s="17">
        <f t="shared" si="537"/>
        <v>0</v>
      </c>
      <c r="O922" s="17">
        <f t="shared" si="538"/>
        <v>0</v>
      </c>
      <c r="P922" s="17">
        <v>0</v>
      </c>
      <c r="Q922" s="17">
        <f t="shared" si="539"/>
        <v>0</v>
      </c>
      <c r="R922" s="17">
        <f t="shared" si="540"/>
        <v>0</v>
      </c>
      <c r="S922" s="17">
        <f t="shared" si="541"/>
        <v>0</v>
      </c>
      <c r="T922" s="17">
        <f t="shared" si="542"/>
        <v>0</v>
      </c>
      <c r="U922" s="17">
        <f t="shared" si="543"/>
        <v>0</v>
      </c>
      <c r="V922" s="17">
        <f t="shared" si="544"/>
        <v>0</v>
      </c>
      <c r="W922" s="17">
        <f t="shared" si="545"/>
        <v>0</v>
      </c>
      <c r="X922" s="17">
        <f t="shared" si="546"/>
        <v>0</v>
      </c>
      <c r="Y922" s="17">
        <f t="shared" si="547"/>
        <v>0</v>
      </c>
      <c r="Z922" s="17">
        <f t="shared" si="548"/>
        <v>0</v>
      </c>
      <c r="AA922" s="17">
        <f t="shared" si="549"/>
        <v>0</v>
      </c>
      <c r="AB922" s="17">
        <f t="shared" si="550"/>
        <v>0</v>
      </c>
      <c r="AC922" s="17">
        <v>0</v>
      </c>
      <c r="AD922" s="17">
        <f t="shared" si="551"/>
        <v>0</v>
      </c>
      <c r="AE922" s="17">
        <f t="shared" si="552"/>
        <v>0</v>
      </c>
      <c r="AF922" s="17">
        <f t="shared" si="553"/>
        <v>0</v>
      </c>
      <c r="AG922" s="17">
        <f t="shared" si="554"/>
        <v>0</v>
      </c>
      <c r="AH922" s="17">
        <f t="shared" si="555"/>
        <v>0</v>
      </c>
      <c r="AI922" s="17">
        <f t="shared" si="556"/>
        <v>0</v>
      </c>
      <c r="AJ922" s="17">
        <f t="shared" si="557"/>
        <v>0</v>
      </c>
      <c r="AK922" s="17">
        <f t="shared" si="558"/>
        <v>0</v>
      </c>
      <c r="AL922" s="17">
        <f t="shared" si="559"/>
        <v>0</v>
      </c>
      <c r="AM922" s="17">
        <f t="shared" si="560"/>
        <v>0</v>
      </c>
      <c r="AN922" s="17">
        <f t="shared" si="561"/>
        <v>0</v>
      </c>
      <c r="AO922" s="17">
        <f t="shared" si="562"/>
        <v>0</v>
      </c>
      <c r="AP922" s="17">
        <f t="shared" si="563"/>
        <v>0</v>
      </c>
      <c r="AQ922" s="18">
        <v>95.950357622685814</v>
      </c>
      <c r="AR922" s="18">
        <v>114.74761809520804</v>
      </c>
      <c r="AS922" s="18">
        <v>101.55248291546155</v>
      </c>
      <c r="AT922" s="18">
        <v>76.922098197923589</v>
      </c>
      <c r="AU922" s="18">
        <v>111.55536042384691</v>
      </c>
      <c r="AV922" s="18">
        <v>91.419494101511816</v>
      </c>
      <c r="AW922" s="18">
        <v>91.014469690168056</v>
      </c>
      <c r="AX922" s="18">
        <v>61.807283320299497</v>
      </c>
      <c r="AY922" s="18">
        <v>91.616944584732934</v>
      </c>
      <c r="AZ922" s="18">
        <v>79.786581426475621</v>
      </c>
      <c r="BA922" s="18">
        <v>81.465124033598897</v>
      </c>
      <c r="BB922" s="18">
        <v>79.568712365971024</v>
      </c>
      <c r="BC922" s="23">
        <v>8.9181565948742242E-2</v>
      </c>
      <c r="BD922" s="23">
        <v>0.10665277883445198</v>
      </c>
      <c r="BE922" s="23">
        <v>9.438849084854764E-2</v>
      </c>
      <c r="BF922" s="23">
        <v>7.149564986855049E-2</v>
      </c>
      <c r="BG922" s="23">
        <v>0.10368571810536763</v>
      </c>
      <c r="BH922" s="23">
        <v>8.4970330952544637E-2</v>
      </c>
      <c r="BI922" s="23">
        <v>8.4593878877262704E-2</v>
      </c>
      <c r="BJ922" s="23">
        <v>5.7447105462779965E-2</v>
      </c>
      <c r="BK922" s="23">
        <v>8.5153852345557474E-2</v>
      </c>
      <c r="BL922" s="23">
        <v>7.4158058913035174E-2</v>
      </c>
      <c r="BM922" s="23">
        <v>7.5718189192107169E-2</v>
      </c>
      <c r="BN922" s="23">
        <v>7.3955559365675619E-2</v>
      </c>
    </row>
    <row r="923" spans="1:66" x14ac:dyDescent="0.25">
      <c r="A923" s="16">
        <v>15401</v>
      </c>
      <c r="B923" s="16" t="s">
        <v>1117</v>
      </c>
      <c r="C923" s="17">
        <v>0</v>
      </c>
      <c r="D923" s="17">
        <f t="shared" si="527"/>
        <v>0</v>
      </c>
      <c r="E923" s="17">
        <f t="shared" si="528"/>
        <v>0</v>
      </c>
      <c r="F923" s="17">
        <f t="shared" si="529"/>
        <v>0</v>
      </c>
      <c r="G923" s="17">
        <f t="shared" si="530"/>
        <v>0</v>
      </c>
      <c r="H923" s="17">
        <f t="shared" si="531"/>
        <v>0</v>
      </c>
      <c r="I923" s="17">
        <f t="shared" si="532"/>
        <v>0</v>
      </c>
      <c r="J923" s="17">
        <f t="shared" si="533"/>
        <v>0</v>
      </c>
      <c r="K923" s="17">
        <f t="shared" si="534"/>
        <v>0</v>
      </c>
      <c r="L923" s="17">
        <f t="shared" si="535"/>
        <v>0</v>
      </c>
      <c r="M923" s="17">
        <f t="shared" si="536"/>
        <v>0</v>
      </c>
      <c r="N923" s="17">
        <f t="shared" si="537"/>
        <v>0</v>
      </c>
      <c r="O923" s="17">
        <f t="shared" si="538"/>
        <v>0</v>
      </c>
      <c r="P923" s="17">
        <v>0</v>
      </c>
      <c r="Q923" s="17">
        <f t="shared" si="539"/>
        <v>0</v>
      </c>
      <c r="R923" s="17">
        <f t="shared" si="540"/>
        <v>0</v>
      </c>
      <c r="S923" s="17">
        <f t="shared" si="541"/>
        <v>0</v>
      </c>
      <c r="T923" s="17">
        <f t="shared" si="542"/>
        <v>0</v>
      </c>
      <c r="U923" s="17">
        <f t="shared" si="543"/>
        <v>0</v>
      </c>
      <c r="V923" s="17">
        <f t="shared" si="544"/>
        <v>0</v>
      </c>
      <c r="W923" s="17">
        <f t="shared" si="545"/>
        <v>0</v>
      </c>
      <c r="X923" s="17">
        <f t="shared" si="546"/>
        <v>0</v>
      </c>
      <c r="Y923" s="17">
        <f t="shared" si="547"/>
        <v>0</v>
      </c>
      <c r="Z923" s="17">
        <f t="shared" si="548"/>
        <v>0</v>
      </c>
      <c r="AA923" s="17">
        <f t="shared" si="549"/>
        <v>0</v>
      </c>
      <c r="AB923" s="17">
        <f t="shared" si="550"/>
        <v>0</v>
      </c>
      <c r="AC923" s="17">
        <v>0</v>
      </c>
      <c r="AD923" s="17">
        <f t="shared" si="551"/>
        <v>0</v>
      </c>
      <c r="AE923" s="17">
        <f t="shared" si="552"/>
        <v>0</v>
      </c>
      <c r="AF923" s="17">
        <f t="shared" si="553"/>
        <v>0</v>
      </c>
      <c r="AG923" s="17">
        <f t="shared" si="554"/>
        <v>0</v>
      </c>
      <c r="AH923" s="17">
        <f t="shared" si="555"/>
        <v>0</v>
      </c>
      <c r="AI923" s="17">
        <f t="shared" si="556"/>
        <v>0</v>
      </c>
      <c r="AJ923" s="17">
        <f t="shared" si="557"/>
        <v>0</v>
      </c>
      <c r="AK923" s="17">
        <f t="shared" si="558"/>
        <v>0</v>
      </c>
      <c r="AL923" s="17">
        <f t="shared" si="559"/>
        <v>0</v>
      </c>
      <c r="AM923" s="17">
        <f t="shared" si="560"/>
        <v>0</v>
      </c>
      <c r="AN923" s="17">
        <f t="shared" si="561"/>
        <v>0</v>
      </c>
      <c r="AO923" s="17">
        <f t="shared" si="562"/>
        <v>0</v>
      </c>
      <c r="AP923" s="17">
        <f t="shared" si="563"/>
        <v>0</v>
      </c>
      <c r="AQ923" s="18">
        <v>0</v>
      </c>
      <c r="AR923" s="18">
        <v>0</v>
      </c>
      <c r="AS923" s="18">
        <v>0</v>
      </c>
      <c r="AT923" s="18">
        <v>0</v>
      </c>
      <c r="AU923" s="18">
        <v>0</v>
      </c>
      <c r="AV923" s="18">
        <v>0</v>
      </c>
      <c r="AW923" s="18">
        <v>0</v>
      </c>
      <c r="AX923" s="18">
        <v>0</v>
      </c>
      <c r="AY923" s="18">
        <v>0</v>
      </c>
      <c r="AZ923" s="18">
        <v>0</v>
      </c>
      <c r="BA923" s="18">
        <v>0</v>
      </c>
      <c r="BB923" s="18">
        <v>0</v>
      </c>
      <c r="BC923" s="23">
        <v>8.9181565948742242E-2</v>
      </c>
      <c r="BD923" s="23">
        <v>0.10665277883445198</v>
      </c>
      <c r="BE923" s="23">
        <v>9.438849084854764E-2</v>
      </c>
      <c r="BF923" s="23">
        <v>7.149564986855049E-2</v>
      </c>
      <c r="BG923" s="23">
        <v>0.10368571810536763</v>
      </c>
      <c r="BH923" s="23">
        <v>8.4970330952544637E-2</v>
      </c>
      <c r="BI923" s="23">
        <v>8.4593878877262704E-2</v>
      </c>
      <c r="BJ923" s="23">
        <v>5.7447105462779965E-2</v>
      </c>
      <c r="BK923" s="23">
        <v>8.5153852345557474E-2</v>
      </c>
      <c r="BL923" s="23">
        <v>7.4158058913035174E-2</v>
      </c>
      <c r="BM923" s="23">
        <v>7.5718189192107169E-2</v>
      </c>
      <c r="BN923" s="23">
        <v>7.3955559365675619E-2</v>
      </c>
    </row>
    <row r="924" spans="1:66" x14ac:dyDescent="0.25">
      <c r="A924" s="16">
        <v>15412</v>
      </c>
      <c r="B924" s="16" t="s">
        <v>1118</v>
      </c>
      <c r="C924" s="17">
        <v>0</v>
      </c>
      <c r="D924" s="17">
        <f t="shared" si="527"/>
        <v>0</v>
      </c>
      <c r="E924" s="17">
        <f t="shared" si="528"/>
        <v>0</v>
      </c>
      <c r="F924" s="17">
        <f t="shared" si="529"/>
        <v>0</v>
      </c>
      <c r="G924" s="17">
        <f t="shared" si="530"/>
        <v>0</v>
      </c>
      <c r="H924" s="17">
        <f t="shared" si="531"/>
        <v>0</v>
      </c>
      <c r="I924" s="17">
        <f t="shared" si="532"/>
        <v>0</v>
      </c>
      <c r="J924" s="17">
        <f t="shared" si="533"/>
        <v>0</v>
      </c>
      <c r="K924" s="17">
        <f t="shared" si="534"/>
        <v>0</v>
      </c>
      <c r="L924" s="17">
        <f t="shared" si="535"/>
        <v>0</v>
      </c>
      <c r="M924" s="17">
        <f t="shared" si="536"/>
        <v>0</v>
      </c>
      <c r="N924" s="17">
        <f t="shared" si="537"/>
        <v>0</v>
      </c>
      <c r="O924" s="17">
        <f t="shared" si="538"/>
        <v>0</v>
      </c>
      <c r="P924" s="17">
        <v>0</v>
      </c>
      <c r="Q924" s="17">
        <f t="shared" si="539"/>
        <v>0</v>
      </c>
      <c r="R924" s="17">
        <f t="shared" si="540"/>
        <v>0</v>
      </c>
      <c r="S924" s="17">
        <f t="shared" si="541"/>
        <v>0</v>
      </c>
      <c r="T924" s="17">
        <f t="shared" si="542"/>
        <v>0</v>
      </c>
      <c r="U924" s="17">
        <f t="shared" si="543"/>
        <v>0</v>
      </c>
      <c r="V924" s="17">
        <f t="shared" si="544"/>
        <v>0</v>
      </c>
      <c r="W924" s="17">
        <f t="shared" si="545"/>
        <v>0</v>
      </c>
      <c r="X924" s="17">
        <f t="shared" si="546"/>
        <v>0</v>
      </c>
      <c r="Y924" s="17">
        <f t="shared" si="547"/>
        <v>0</v>
      </c>
      <c r="Z924" s="17">
        <f t="shared" si="548"/>
        <v>0</v>
      </c>
      <c r="AA924" s="17">
        <f t="shared" si="549"/>
        <v>0</v>
      </c>
      <c r="AB924" s="17">
        <f t="shared" si="550"/>
        <v>0</v>
      </c>
      <c r="AC924" s="17">
        <v>0</v>
      </c>
      <c r="AD924" s="17">
        <f t="shared" si="551"/>
        <v>0</v>
      </c>
      <c r="AE924" s="17">
        <f t="shared" si="552"/>
        <v>0</v>
      </c>
      <c r="AF924" s="17">
        <f t="shared" si="553"/>
        <v>0</v>
      </c>
      <c r="AG924" s="17">
        <f t="shared" si="554"/>
        <v>0</v>
      </c>
      <c r="AH924" s="17">
        <f t="shared" si="555"/>
        <v>0</v>
      </c>
      <c r="AI924" s="17">
        <f t="shared" si="556"/>
        <v>0</v>
      </c>
      <c r="AJ924" s="17">
        <f t="shared" si="557"/>
        <v>0</v>
      </c>
      <c r="AK924" s="17">
        <f t="shared" si="558"/>
        <v>0</v>
      </c>
      <c r="AL924" s="17">
        <f t="shared" si="559"/>
        <v>0</v>
      </c>
      <c r="AM924" s="17">
        <f t="shared" si="560"/>
        <v>0</v>
      </c>
      <c r="AN924" s="17">
        <f t="shared" si="561"/>
        <v>0</v>
      </c>
      <c r="AO924" s="17">
        <f t="shared" si="562"/>
        <v>0</v>
      </c>
      <c r="AP924" s="17">
        <f t="shared" si="563"/>
        <v>0</v>
      </c>
      <c r="AQ924" s="18">
        <v>0</v>
      </c>
      <c r="AR924" s="18">
        <v>0</v>
      </c>
      <c r="AS924" s="18">
        <v>0</v>
      </c>
      <c r="AT924" s="18">
        <v>0</v>
      </c>
      <c r="AU924" s="18">
        <v>0</v>
      </c>
      <c r="AV924" s="18">
        <v>0</v>
      </c>
      <c r="AW924" s="18">
        <v>0</v>
      </c>
      <c r="AX924" s="18">
        <v>0</v>
      </c>
      <c r="AY924" s="18">
        <v>0</v>
      </c>
      <c r="AZ924" s="18">
        <v>0</v>
      </c>
      <c r="BA924" s="18">
        <v>0</v>
      </c>
      <c r="BB924" s="18">
        <v>0</v>
      </c>
      <c r="BC924" s="23">
        <v>8.9181565948742242E-2</v>
      </c>
      <c r="BD924" s="23">
        <v>0.10665277883445198</v>
      </c>
      <c r="BE924" s="23">
        <v>9.438849084854764E-2</v>
      </c>
      <c r="BF924" s="23">
        <v>7.149564986855049E-2</v>
      </c>
      <c r="BG924" s="23">
        <v>0.10368571810536763</v>
      </c>
      <c r="BH924" s="23">
        <v>8.4970330952544637E-2</v>
      </c>
      <c r="BI924" s="23">
        <v>8.4593878877262704E-2</v>
      </c>
      <c r="BJ924" s="23">
        <v>5.7447105462779965E-2</v>
      </c>
      <c r="BK924" s="23">
        <v>8.5153852345557474E-2</v>
      </c>
      <c r="BL924" s="23">
        <v>7.4158058913035174E-2</v>
      </c>
      <c r="BM924" s="23">
        <v>7.5718189192107169E-2</v>
      </c>
      <c r="BN924" s="23">
        <v>7.3955559365675619E-2</v>
      </c>
    </row>
    <row r="925" spans="1:66" x14ac:dyDescent="0.25">
      <c r="A925" s="16">
        <v>15424</v>
      </c>
      <c r="B925" s="16" t="s">
        <v>1119</v>
      </c>
      <c r="C925" s="17">
        <v>0</v>
      </c>
      <c r="D925" s="17">
        <f t="shared" si="527"/>
        <v>0</v>
      </c>
      <c r="E925" s="17">
        <f t="shared" si="528"/>
        <v>0</v>
      </c>
      <c r="F925" s="17">
        <f t="shared" si="529"/>
        <v>0</v>
      </c>
      <c r="G925" s="17">
        <f t="shared" si="530"/>
        <v>0</v>
      </c>
      <c r="H925" s="17">
        <f t="shared" si="531"/>
        <v>0</v>
      </c>
      <c r="I925" s="17">
        <f t="shared" si="532"/>
        <v>0</v>
      </c>
      <c r="J925" s="17">
        <f t="shared" si="533"/>
        <v>0</v>
      </c>
      <c r="K925" s="17">
        <f t="shared" si="534"/>
        <v>0</v>
      </c>
      <c r="L925" s="17">
        <f t="shared" si="535"/>
        <v>0</v>
      </c>
      <c r="M925" s="17">
        <f t="shared" si="536"/>
        <v>0</v>
      </c>
      <c r="N925" s="17">
        <f t="shared" si="537"/>
        <v>0</v>
      </c>
      <c r="O925" s="17">
        <f t="shared" si="538"/>
        <v>0</v>
      </c>
      <c r="P925" s="17">
        <v>1500</v>
      </c>
      <c r="Q925" s="17">
        <f t="shared" si="539"/>
        <v>133.77234892311336</v>
      </c>
      <c r="R925" s="17">
        <f t="shared" si="540"/>
        <v>159.97916825167798</v>
      </c>
      <c r="S925" s="17">
        <f t="shared" si="541"/>
        <v>141.58273627282145</v>
      </c>
      <c r="T925" s="17">
        <f t="shared" si="542"/>
        <v>107.24347480282573</v>
      </c>
      <c r="U925" s="17">
        <f t="shared" si="543"/>
        <v>155.52857715805143</v>
      </c>
      <c r="V925" s="17">
        <f t="shared" si="544"/>
        <v>127.45549642881696</v>
      </c>
      <c r="W925" s="17">
        <f t="shared" si="545"/>
        <v>126.89081831589405</v>
      </c>
      <c r="X925" s="17">
        <f t="shared" si="546"/>
        <v>86.170658194169945</v>
      </c>
      <c r="Y925" s="17">
        <f t="shared" si="547"/>
        <v>127.73077851833621</v>
      </c>
      <c r="Z925" s="17">
        <f t="shared" si="548"/>
        <v>111.23708836955277</v>
      </c>
      <c r="AA925" s="17">
        <f t="shared" si="549"/>
        <v>113.57728378816076</v>
      </c>
      <c r="AB925" s="17">
        <f t="shared" si="550"/>
        <v>110.93333904851343</v>
      </c>
      <c r="AC925" s="17">
        <v>0</v>
      </c>
      <c r="AD925" s="17">
        <f t="shared" si="551"/>
        <v>0</v>
      </c>
      <c r="AE925" s="17">
        <f t="shared" si="552"/>
        <v>0</v>
      </c>
      <c r="AF925" s="17">
        <f t="shared" si="553"/>
        <v>0</v>
      </c>
      <c r="AG925" s="17">
        <f t="shared" si="554"/>
        <v>0</v>
      </c>
      <c r="AH925" s="17">
        <f t="shared" si="555"/>
        <v>0</v>
      </c>
      <c r="AI925" s="17">
        <f t="shared" si="556"/>
        <v>0</v>
      </c>
      <c r="AJ925" s="17">
        <f t="shared" si="557"/>
        <v>0</v>
      </c>
      <c r="AK925" s="17">
        <f t="shared" si="558"/>
        <v>0</v>
      </c>
      <c r="AL925" s="17">
        <f t="shared" si="559"/>
        <v>0</v>
      </c>
      <c r="AM925" s="17">
        <f t="shared" si="560"/>
        <v>0</v>
      </c>
      <c r="AN925" s="17">
        <f t="shared" si="561"/>
        <v>0</v>
      </c>
      <c r="AO925" s="17">
        <f t="shared" si="562"/>
        <v>0</v>
      </c>
      <c r="AP925" s="17">
        <f t="shared" si="563"/>
        <v>1500</v>
      </c>
      <c r="AQ925" s="18">
        <v>97.126573295983789</v>
      </c>
      <c r="AR925" s="18">
        <v>116.15426159525563</v>
      </c>
      <c r="AS925" s="18">
        <v>102.79737272126305</v>
      </c>
      <c r="AT925" s="18">
        <v>77.865054324039917</v>
      </c>
      <c r="AU925" s="18">
        <v>112.92287135993861</v>
      </c>
      <c r="AV925" s="18">
        <v>92.540167796444933</v>
      </c>
      <c r="AW925" s="18">
        <v>92.130178358680283</v>
      </c>
      <c r="AX925" s="18">
        <v>62.564953194248105</v>
      </c>
      <c r="AY925" s="18">
        <v>92.740038743318493</v>
      </c>
      <c r="AZ925" s="18">
        <v>80.764652065479652</v>
      </c>
      <c r="BA925" s="18">
        <v>82.463771230853609</v>
      </c>
      <c r="BB925" s="18">
        <v>80.544112238444924</v>
      </c>
      <c r="BC925" s="23">
        <v>8.9181565948742242E-2</v>
      </c>
      <c r="BD925" s="23">
        <v>0.10665277883445198</v>
      </c>
      <c r="BE925" s="23">
        <v>9.438849084854764E-2</v>
      </c>
      <c r="BF925" s="23">
        <v>7.149564986855049E-2</v>
      </c>
      <c r="BG925" s="23">
        <v>0.10368571810536763</v>
      </c>
      <c r="BH925" s="23">
        <v>8.4970330952544637E-2</v>
      </c>
      <c r="BI925" s="23">
        <v>8.4593878877262704E-2</v>
      </c>
      <c r="BJ925" s="23">
        <v>5.7447105462779965E-2</v>
      </c>
      <c r="BK925" s="23">
        <v>8.5153852345557474E-2</v>
      </c>
      <c r="BL925" s="23">
        <v>7.4158058913035174E-2</v>
      </c>
      <c r="BM925" s="23">
        <v>7.5718189192107169E-2</v>
      </c>
      <c r="BN925" s="23">
        <v>7.3955559365675619E-2</v>
      </c>
    </row>
    <row r="926" spans="1:66" x14ac:dyDescent="0.25">
      <c r="A926" s="16">
        <v>15507</v>
      </c>
      <c r="B926" s="16" t="s">
        <v>1120</v>
      </c>
      <c r="C926" s="17">
        <v>0</v>
      </c>
      <c r="D926" s="17">
        <f t="shared" si="527"/>
        <v>0</v>
      </c>
      <c r="E926" s="17">
        <f t="shared" si="528"/>
        <v>0</v>
      </c>
      <c r="F926" s="17">
        <f t="shared" si="529"/>
        <v>0</v>
      </c>
      <c r="G926" s="17">
        <f t="shared" si="530"/>
        <v>0</v>
      </c>
      <c r="H926" s="17">
        <f t="shared" si="531"/>
        <v>0</v>
      </c>
      <c r="I926" s="17">
        <f t="shared" si="532"/>
        <v>0</v>
      </c>
      <c r="J926" s="17">
        <f t="shared" si="533"/>
        <v>0</v>
      </c>
      <c r="K926" s="17">
        <f t="shared" si="534"/>
        <v>0</v>
      </c>
      <c r="L926" s="17">
        <f t="shared" si="535"/>
        <v>0</v>
      </c>
      <c r="M926" s="17">
        <f t="shared" si="536"/>
        <v>0</v>
      </c>
      <c r="N926" s="17">
        <f t="shared" si="537"/>
        <v>0</v>
      </c>
      <c r="O926" s="17">
        <f t="shared" si="538"/>
        <v>0</v>
      </c>
      <c r="P926" s="17">
        <v>0</v>
      </c>
      <c r="Q926" s="17">
        <f t="shared" si="539"/>
        <v>0</v>
      </c>
      <c r="R926" s="17">
        <f t="shared" si="540"/>
        <v>0</v>
      </c>
      <c r="S926" s="17">
        <f t="shared" si="541"/>
        <v>0</v>
      </c>
      <c r="T926" s="17">
        <f t="shared" si="542"/>
        <v>0</v>
      </c>
      <c r="U926" s="17">
        <f t="shared" si="543"/>
        <v>0</v>
      </c>
      <c r="V926" s="17">
        <f t="shared" si="544"/>
        <v>0</v>
      </c>
      <c r="W926" s="17">
        <f t="shared" si="545"/>
        <v>0</v>
      </c>
      <c r="X926" s="17">
        <f t="shared" si="546"/>
        <v>0</v>
      </c>
      <c r="Y926" s="17">
        <f t="shared" si="547"/>
        <v>0</v>
      </c>
      <c r="Z926" s="17">
        <f t="shared" si="548"/>
        <v>0</v>
      </c>
      <c r="AA926" s="17">
        <f t="shared" si="549"/>
        <v>0</v>
      </c>
      <c r="AB926" s="17">
        <f t="shared" si="550"/>
        <v>0</v>
      </c>
      <c r="AC926" s="17">
        <v>0</v>
      </c>
      <c r="AD926" s="17">
        <f t="shared" si="551"/>
        <v>0</v>
      </c>
      <c r="AE926" s="17">
        <f t="shared" si="552"/>
        <v>0</v>
      </c>
      <c r="AF926" s="17">
        <f t="shared" si="553"/>
        <v>0</v>
      </c>
      <c r="AG926" s="17">
        <f t="shared" si="554"/>
        <v>0</v>
      </c>
      <c r="AH926" s="17">
        <f t="shared" si="555"/>
        <v>0</v>
      </c>
      <c r="AI926" s="17">
        <f t="shared" si="556"/>
        <v>0</v>
      </c>
      <c r="AJ926" s="17">
        <f t="shared" si="557"/>
        <v>0</v>
      </c>
      <c r="AK926" s="17">
        <f t="shared" si="558"/>
        <v>0</v>
      </c>
      <c r="AL926" s="17">
        <f t="shared" si="559"/>
        <v>0</v>
      </c>
      <c r="AM926" s="17">
        <f t="shared" si="560"/>
        <v>0</v>
      </c>
      <c r="AN926" s="17">
        <f t="shared" si="561"/>
        <v>0</v>
      </c>
      <c r="AO926" s="17">
        <f t="shared" si="562"/>
        <v>0</v>
      </c>
      <c r="AP926" s="17">
        <f t="shared" si="563"/>
        <v>0</v>
      </c>
      <c r="AQ926" s="18">
        <v>0</v>
      </c>
      <c r="AR926" s="18">
        <v>0</v>
      </c>
      <c r="AS926" s="18">
        <v>0</v>
      </c>
      <c r="AT926" s="18">
        <v>0</v>
      </c>
      <c r="AU926" s="18">
        <v>0</v>
      </c>
      <c r="AV926" s="18">
        <v>0</v>
      </c>
      <c r="AW926" s="18">
        <v>0</v>
      </c>
      <c r="AX926" s="18">
        <v>0</v>
      </c>
      <c r="AY926" s="18">
        <v>0</v>
      </c>
      <c r="AZ926" s="18">
        <v>0</v>
      </c>
      <c r="BA926" s="18">
        <v>0</v>
      </c>
      <c r="BB926" s="18">
        <v>0</v>
      </c>
      <c r="BC926" s="23">
        <v>8.9181565948742242E-2</v>
      </c>
      <c r="BD926" s="23">
        <v>0.10665277883445198</v>
      </c>
      <c r="BE926" s="23">
        <v>9.438849084854764E-2</v>
      </c>
      <c r="BF926" s="23">
        <v>7.149564986855049E-2</v>
      </c>
      <c r="BG926" s="23">
        <v>0.10368571810536763</v>
      </c>
      <c r="BH926" s="23">
        <v>8.4970330952544637E-2</v>
      </c>
      <c r="BI926" s="23">
        <v>8.4593878877262704E-2</v>
      </c>
      <c r="BJ926" s="23">
        <v>5.7447105462779965E-2</v>
      </c>
      <c r="BK926" s="23">
        <v>8.5153852345557474E-2</v>
      </c>
      <c r="BL926" s="23">
        <v>7.4158058913035174E-2</v>
      </c>
      <c r="BM926" s="23">
        <v>7.5718189192107169E-2</v>
      </c>
      <c r="BN926" s="23">
        <v>7.3955559365675619E-2</v>
      </c>
    </row>
    <row r="927" spans="1:66" x14ac:dyDescent="0.25">
      <c r="A927" s="16">
        <v>16053</v>
      </c>
      <c r="B927" s="16" t="s">
        <v>1121</v>
      </c>
      <c r="C927" s="17">
        <v>0</v>
      </c>
      <c r="D927" s="17">
        <f t="shared" si="527"/>
        <v>0</v>
      </c>
      <c r="E927" s="17">
        <f t="shared" si="528"/>
        <v>0</v>
      </c>
      <c r="F927" s="17">
        <f t="shared" si="529"/>
        <v>0</v>
      </c>
      <c r="G927" s="17">
        <f t="shared" si="530"/>
        <v>0</v>
      </c>
      <c r="H927" s="17">
        <f t="shared" si="531"/>
        <v>0</v>
      </c>
      <c r="I927" s="17">
        <f t="shared" si="532"/>
        <v>0</v>
      </c>
      <c r="J927" s="17">
        <f t="shared" si="533"/>
        <v>0</v>
      </c>
      <c r="K927" s="17">
        <f t="shared" si="534"/>
        <v>0</v>
      </c>
      <c r="L927" s="17">
        <f t="shared" si="535"/>
        <v>0</v>
      </c>
      <c r="M927" s="17">
        <f t="shared" si="536"/>
        <v>0</v>
      </c>
      <c r="N927" s="17">
        <f t="shared" si="537"/>
        <v>0</v>
      </c>
      <c r="O927" s="17">
        <f t="shared" si="538"/>
        <v>0</v>
      </c>
      <c r="P927" s="17">
        <v>0</v>
      </c>
      <c r="Q927" s="17">
        <f t="shared" si="539"/>
        <v>0</v>
      </c>
      <c r="R927" s="17">
        <f t="shared" si="540"/>
        <v>0</v>
      </c>
      <c r="S927" s="17">
        <f t="shared" si="541"/>
        <v>0</v>
      </c>
      <c r="T927" s="17">
        <f t="shared" si="542"/>
        <v>0</v>
      </c>
      <c r="U927" s="17">
        <f t="shared" si="543"/>
        <v>0</v>
      </c>
      <c r="V927" s="17">
        <f t="shared" si="544"/>
        <v>0</v>
      </c>
      <c r="W927" s="17">
        <f t="shared" si="545"/>
        <v>0</v>
      </c>
      <c r="X927" s="17">
        <f t="shared" si="546"/>
        <v>0</v>
      </c>
      <c r="Y927" s="17">
        <f t="shared" si="547"/>
        <v>0</v>
      </c>
      <c r="Z927" s="17">
        <f t="shared" si="548"/>
        <v>0</v>
      </c>
      <c r="AA927" s="17">
        <f t="shared" si="549"/>
        <v>0</v>
      </c>
      <c r="AB927" s="17">
        <f t="shared" si="550"/>
        <v>0</v>
      </c>
      <c r="AC927" s="17">
        <v>0</v>
      </c>
      <c r="AD927" s="17">
        <f t="shared" si="551"/>
        <v>0</v>
      </c>
      <c r="AE927" s="17">
        <f t="shared" si="552"/>
        <v>0</v>
      </c>
      <c r="AF927" s="17">
        <f t="shared" si="553"/>
        <v>0</v>
      </c>
      <c r="AG927" s="17">
        <f t="shared" si="554"/>
        <v>0</v>
      </c>
      <c r="AH927" s="17">
        <f t="shared" si="555"/>
        <v>0</v>
      </c>
      <c r="AI927" s="17">
        <f t="shared" si="556"/>
        <v>0</v>
      </c>
      <c r="AJ927" s="17">
        <f t="shared" si="557"/>
        <v>0</v>
      </c>
      <c r="AK927" s="17">
        <f t="shared" si="558"/>
        <v>0</v>
      </c>
      <c r="AL927" s="17">
        <f t="shared" si="559"/>
        <v>0</v>
      </c>
      <c r="AM927" s="17">
        <f t="shared" si="560"/>
        <v>0</v>
      </c>
      <c r="AN927" s="17">
        <f t="shared" si="561"/>
        <v>0</v>
      </c>
      <c r="AO927" s="17">
        <f t="shared" si="562"/>
        <v>0</v>
      </c>
      <c r="AP927" s="17">
        <f t="shared" si="563"/>
        <v>0</v>
      </c>
      <c r="AQ927" s="18">
        <v>0</v>
      </c>
      <c r="AR927" s="18">
        <v>0</v>
      </c>
      <c r="AS927" s="18">
        <v>0</v>
      </c>
      <c r="AT927" s="18">
        <v>0</v>
      </c>
      <c r="AU927" s="18">
        <v>0</v>
      </c>
      <c r="AV927" s="18">
        <v>0</v>
      </c>
      <c r="AW927" s="18">
        <v>0</v>
      </c>
      <c r="AX927" s="18">
        <v>0</v>
      </c>
      <c r="AY927" s="18">
        <v>0</v>
      </c>
      <c r="AZ927" s="18">
        <v>0</v>
      </c>
      <c r="BA927" s="18">
        <v>0</v>
      </c>
      <c r="BB927" s="18">
        <v>0</v>
      </c>
      <c r="BC927" s="23">
        <v>8.9181565948742242E-2</v>
      </c>
      <c r="BD927" s="23">
        <v>0.10665277883445198</v>
      </c>
      <c r="BE927" s="23">
        <v>9.438849084854764E-2</v>
      </c>
      <c r="BF927" s="23">
        <v>7.149564986855049E-2</v>
      </c>
      <c r="BG927" s="23">
        <v>0.10368571810536763</v>
      </c>
      <c r="BH927" s="23">
        <v>8.4970330952544637E-2</v>
      </c>
      <c r="BI927" s="23">
        <v>8.4593878877262704E-2</v>
      </c>
      <c r="BJ927" s="23">
        <v>5.7447105462779965E-2</v>
      </c>
      <c r="BK927" s="23">
        <v>8.5153852345557474E-2</v>
      </c>
      <c r="BL927" s="23">
        <v>7.4158058913035174E-2</v>
      </c>
      <c r="BM927" s="23">
        <v>7.5718189192107169E-2</v>
      </c>
      <c r="BN927" s="23">
        <v>7.3955559365675619E-2</v>
      </c>
    </row>
    <row r="928" spans="1:66" x14ac:dyDescent="0.25">
      <c r="A928" s="16">
        <v>16059</v>
      </c>
      <c r="B928" s="16" t="s">
        <v>1122</v>
      </c>
      <c r="C928" s="17">
        <v>0</v>
      </c>
      <c r="D928" s="17">
        <f t="shared" si="527"/>
        <v>0</v>
      </c>
      <c r="E928" s="17">
        <f t="shared" si="528"/>
        <v>0</v>
      </c>
      <c r="F928" s="17">
        <f t="shared" si="529"/>
        <v>0</v>
      </c>
      <c r="G928" s="17">
        <f t="shared" si="530"/>
        <v>0</v>
      </c>
      <c r="H928" s="17">
        <f t="shared" si="531"/>
        <v>0</v>
      </c>
      <c r="I928" s="17">
        <f t="shared" si="532"/>
        <v>0</v>
      </c>
      <c r="J928" s="17">
        <f t="shared" si="533"/>
        <v>0</v>
      </c>
      <c r="K928" s="17">
        <f t="shared" si="534"/>
        <v>0</v>
      </c>
      <c r="L928" s="17">
        <f t="shared" si="535"/>
        <v>0</v>
      </c>
      <c r="M928" s="17">
        <f t="shared" si="536"/>
        <v>0</v>
      </c>
      <c r="N928" s="17">
        <f t="shared" si="537"/>
        <v>0</v>
      </c>
      <c r="O928" s="17">
        <f t="shared" si="538"/>
        <v>0</v>
      </c>
      <c r="P928" s="17">
        <v>500</v>
      </c>
      <c r="Q928" s="17">
        <f t="shared" si="539"/>
        <v>44.590782974371123</v>
      </c>
      <c r="R928" s="17">
        <f t="shared" si="540"/>
        <v>53.32638941722599</v>
      </c>
      <c r="S928" s="17">
        <f t="shared" si="541"/>
        <v>47.194245424273824</v>
      </c>
      <c r="T928" s="17">
        <f t="shared" si="542"/>
        <v>35.747824934275243</v>
      </c>
      <c r="U928" s="17">
        <f t="shared" si="543"/>
        <v>51.842859052683814</v>
      </c>
      <c r="V928" s="17">
        <f t="shared" si="544"/>
        <v>42.485165476272321</v>
      </c>
      <c r="W928" s="17">
        <f t="shared" si="545"/>
        <v>42.296939438631355</v>
      </c>
      <c r="X928" s="17">
        <f t="shared" si="546"/>
        <v>28.723552731389983</v>
      </c>
      <c r="Y928" s="17">
        <f t="shared" si="547"/>
        <v>42.576926172778734</v>
      </c>
      <c r="Z928" s="17">
        <f t="shared" si="548"/>
        <v>37.079029456517588</v>
      </c>
      <c r="AA928" s="17">
        <f t="shared" si="549"/>
        <v>37.859094596053588</v>
      </c>
      <c r="AB928" s="17">
        <f t="shared" si="550"/>
        <v>36.977779682837813</v>
      </c>
      <c r="AC928" s="17">
        <v>0</v>
      </c>
      <c r="AD928" s="17">
        <f t="shared" si="551"/>
        <v>0</v>
      </c>
      <c r="AE928" s="17">
        <f t="shared" si="552"/>
        <v>0</v>
      </c>
      <c r="AF928" s="17">
        <f t="shared" si="553"/>
        <v>0</v>
      </c>
      <c r="AG928" s="17">
        <f t="shared" si="554"/>
        <v>0</v>
      </c>
      <c r="AH928" s="17">
        <f t="shared" si="555"/>
        <v>0</v>
      </c>
      <c r="AI928" s="17">
        <f t="shared" si="556"/>
        <v>0</v>
      </c>
      <c r="AJ928" s="17">
        <f t="shared" si="557"/>
        <v>0</v>
      </c>
      <c r="AK928" s="17">
        <f t="shared" si="558"/>
        <v>0</v>
      </c>
      <c r="AL928" s="17">
        <f t="shared" si="559"/>
        <v>0</v>
      </c>
      <c r="AM928" s="17">
        <f t="shared" si="560"/>
        <v>0</v>
      </c>
      <c r="AN928" s="17">
        <f t="shared" si="561"/>
        <v>0</v>
      </c>
      <c r="AO928" s="17">
        <f t="shared" si="562"/>
        <v>0</v>
      </c>
      <c r="AP928" s="17">
        <f t="shared" si="563"/>
        <v>500</v>
      </c>
      <c r="AQ928" s="18">
        <v>22.680655852084129</v>
      </c>
      <c r="AR928" s="18">
        <v>27.123934713177832</v>
      </c>
      <c r="AS928" s="18">
        <v>24.004880992602637</v>
      </c>
      <c r="AT928" s="18">
        <v>18.182773674569763</v>
      </c>
      <c r="AU928" s="18">
        <v>26.369351828557097</v>
      </c>
      <c r="AV928" s="18">
        <v>21.609654567851155</v>
      </c>
      <c r="AW928" s="18">
        <v>21.513915276065454</v>
      </c>
      <c r="AX928" s="18">
        <v>14.609947861294202</v>
      </c>
      <c r="AY928" s="18">
        <v>21.656327728522179</v>
      </c>
      <c r="AZ928" s="18">
        <v>18.859877542763108</v>
      </c>
      <c r="BA928" s="18">
        <v>19.256649875336695</v>
      </c>
      <c r="BB928" s="18">
        <v>18.808377857878625</v>
      </c>
      <c r="BC928" s="23">
        <v>8.9181565948742242E-2</v>
      </c>
      <c r="BD928" s="23">
        <v>0.10665277883445198</v>
      </c>
      <c r="BE928" s="23">
        <v>9.438849084854764E-2</v>
      </c>
      <c r="BF928" s="23">
        <v>7.149564986855049E-2</v>
      </c>
      <c r="BG928" s="23">
        <v>0.10368571810536763</v>
      </c>
      <c r="BH928" s="23">
        <v>8.4970330952544637E-2</v>
      </c>
      <c r="BI928" s="23">
        <v>8.4593878877262704E-2</v>
      </c>
      <c r="BJ928" s="23">
        <v>5.7447105462779965E-2</v>
      </c>
      <c r="BK928" s="23">
        <v>8.5153852345557474E-2</v>
      </c>
      <c r="BL928" s="23">
        <v>7.4158058913035174E-2</v>
      </c>
      <c r="BM928" s="23">
        <v>7.5718189192107169E-2</v>
      </c>
      <c r="BN928" s="23">
        <v>7.3955559365675619E-2</v>
      </c>
    </row>
    <row r="929" spans="1:66" x14ac:dyDescent="0.25">
      <c r="A929" s="16">
        <v>16061</v>
      </c>
      <c r="B929" s="16" t="s">
        <v>1123</v>
      </c>
      <c r="C929" s="17">
        <v>0</v>
      </c>
      <c r="D929" s="17">
        <f t="shared" si="527"/>
        <v>0</v>
      </c>
      <c r="E929" s="17">
        <f t="shared" si="528"/>
        <v>0</v>
      </c>
      <c r="F929" s="17">
        <f t="shared" si="529"/>
        <v>0</v>
      </c>
      <c r="G929" s="17">
        <f t="shared" si="530"/>
        <v>0</v>
      </c>
      <c r="H929" s="17">
        <f t="shared" si="531"/>
        <v>0</v>
      </c>
      <c r="I929" s="17">
        <f t="shared" si="532"/>
        <v>0</v>
      </c>
      <c r="J929" s="17">
        <f t="shared" si="533"/>
        <v>0</v>
      </c>
      <c r="K929" s="17">
        <f t="shared" si="534"/>
        <v>0</v>
      </c>
      <c r="L929" s="17">
        <f t="shared" si="535"/>
        <v>0</v>
      </c>
      <c r="M929" s="17">
        <f t="shared" si="536"/>
        <v>0</v>
      </c>
      <c r="N929" s="17">
        <f t="shared" si="537"/>
        <v>0</v>
      </c>
      <c r="O929" s="17">
        <f t="shared" si="538"/>
        <v>0</v>
      </c>
      <c r="P929" s="17">
        <v>0</v>
      </c>
      <c r="Q929" s="17">
        <f t="shared" si="539"/>
        <v>0</v>
      </c>
      <c r="R929" s="17">
        <f t="shared" si="540"/>
        <v>0</v>
      </c>
      <c r="S929" s="17">
        <f t="shared" si="541"/>
        <v>0</v>
      </c>
      <c r="T929" s="17">
        <f t="shared" si="542"/>
        <v>0</v>
      </c>
      <c r="U929" s="17">
        <f t="shared" si="543"/>
        <v>0</v>
      </c>
      <c r="V929" s="17">
        <f t="shared" si="544"/>
        <v>0</v>
      </c>
      <c r="W929" s="17">
        <f t="shared" si="545"/>
        <v>0</v>
      </c>
      <c r="X929" s="17">
        <f t="shared" si="546"/>
        <v>0</v>
      </c>
      <c r="Y929" s="17">
        <f t="shared" si="547"/>
        <v>0</v>
      </c>
      <c r="Z929" s="17">
        <f t="shared" si="548"/>
        <v>0</v>
      </c>
      <c r="AA929" s="17">
        <f t="shared" si="549"/>
        <v>0</v>
      </c>
      <c r="AB929" s="17">
        <f t="shared" si="550"/>
        <v>0</v>
      </c>
      <c r="AC929" s="17">
        <v>0</v>
      </c>
      <c r="AD929" s="17">
        <f t="shared" si="551"/>
        <v>0</v>
      </c>
      <c r="AE929" s="17">
        <f t="shared" si="552"/>
        <v>0</v>
      </c>
      <c r="AF929" s="17">
        <f t="shared" si="553"/>
        <v>0</v>
      </c>
      <c r="AG929" s="17">
        <f t="shared" si="554"/>
        <v>0</v>
      </c>
      <c r="AH929" s="17">
        <f t="shared" si="555"/>
        <v>0</v>
      </c>
      <c r="AI929" s="17">
        <f t="shared" si="556"/>
        <v>0</v>
      </c>
      <c r="AJ929" s="17">
        <f t="shared" si="557"/>
        <v>0</v>
      </c>
      <c r="AK929" s="17">
        <f t="shared" si="558"/>
        <v>0</v>
      </c>
      <c r="AL929" s="17">
        <f t="shared" si="559"/>
        <v>0</v>
      </c>
      <c r="AM929" s="17">
        <f t="shared" si="560"/>
        <v>0</v>
      </c>
      <c r="AN929" s="17">
        <f t="shared" si="561"/>
        <v>0</v>
      </c>
      <c r="AO929" s="17">
        <f t="shared" si="562"/>
        <v>0</v>
      </c>
      <c r="AP929" s="17">
        <f t="shared" si="563"/>
        <v>0</v>
      </c>
      <c r="AQ929" s="18">
        <v>0</v>
      </c>
      <c r="AR929" s="18">
        <v>0</v>
      </c>
      <c r="AS929" s="18">
        <v>0</v>
      </c>
      <c r="AT929" s="18">
        <v>0</v>
      </c>
      <c r="AU929" s="18">
        <v>0</v>
      </c>
      <c r="AV929" s="18">
        <v>0</v>
      </c>
      <c r="AW929" s="18">
        <v>0</v>
      </c>
      <c r="AX929" s="18">
        <v>0</v>
      </c>
      <c r="AY929" s="18">
        <v>0</v>
      </c>
      <c r="AZ929" s="18">
        <v>0</v>
      </c>
      <c r="BA929" s="18">
        <v>0</v>
      </c>
      <c r="BB929" s="18">
        <v>0</v>
      </c>
      <c r="BC929" s="23">
        <v>8.9181565948742242E-2</v>
      </c>
      <c r="BD929" s="23">
        <v>0.10665277883445198</v>
      </c>
      <c r="BE929" s="23">
        <v>9.438849084854764E-2</v>
      </c>
      <c r="BF929" s="23">
        <v>7.149564986855049E-2</v>
      </c>
      <c r="BG929" s="23">
        <v>0.10368571810536763</v>
      </c>
      <c r="BH929" s="23">
        <v>8.4970330952544637E-2</v>
      </c>
      <c r="BI929" s="23">
        <v>8.4593878877262704E-2</v>
      </c>
      <c r="BJ929" s="23">
        <v>5.7447105462779965E-2</v>
      </c>
      <c r="BK929" s="23">
        <v>8.5153852345557474E-2</v>
      </c>
      <c r="BL929" s="23">
        <v>7.4158058913035174E-2</v>
      </c>
      <c r="BM929" s="23">
        <v>7.5718189192107169E-2</v>
      </c>
      <c r="BN929" s="23">
        <v>7.3955559365675619E-2</v>
      </c>
    </row>
    <row r="930" spans="1:66" x14ac:dyDescent="0.25">
      <c r="A930" s="16">
        <v>16086</v>
      </c>
      <c r="B930" s="16" t="s">
        <v>1124</v>
      </c>
      <c r="C930" s="17">
        <v>0</v>
      </c>
      <c r="D930" s="17">
        <f t="shared" si="527"/>
        <v>0</v>
      </c>
      <c r="E930" s="17">
        <f t="shared" si="528"/>
        <v>0</v>
      </c>
      <c r="F930" s="17">
        <f t="shared" si="529"/>
        <v>0</v>
      </c>
      <c r="G930" s="17">
        <f t="shared" si="530"/>
        <v>0</v>
      </c>
      <c r="H930" s="17">
        <f t="shared" si="531"/>
        <v>0</v>
      </c>
      <c r="I930" s="17">
        <f t="shared" si="532"/>
        <v>0</v>
      </c>
      <c r="J930" s="17">
        <f t="shared" si="533"/>
        <v>0</v>
      </c>
      <c r="K930" s="17">
        <f t="shared" si="534"/>
        <v>0</v>
      </c>
      <c r="L930" s="17">
        <f t="shared" si="535"/>
        <v>0</v>
      </c>
      <c r="M930" s="17">
        <f t="shared" si="536"/>
        <v>0</v>
      </c>
      <c r="N930" s="17">
        <f t="shared" si="537"/>
        <v>0</v>
      </c>
      <c r="O930" s="17">
        <f t="shared" si="538"/>
        <v>0</v>
      </c>
      <c r="P930" s="17">
        <v>0</v>
      </c>
      <c r="Q930" s="17">
        <f t="shared" si="539"/>
        <v>0</v>
      </c>
      <c r="R930" s="17">
        <f t="shared" si="540"/>
        <v>0</v>
      </c>
      <c r="S930" s="17">
        <f t="shared" si="541"/>
        <v>0</v>
      </c>
      <c r="T930" s="17">
        <f t="shared" si="542"/>
        <v>0</v>
      </c>
      <c r="U930" s="17">
        <f t="shared" si="543"/>
        <v>0</v>
      </c>
      <c r="V930" s="17">
        <f t="shared" si="544"/>
        <v>0</v>
      </c>
      <c r="W930" s="17">
        <f t="shared" si="545"/>
        <v>0</v>
      </c>
      <c r="X930" s="17">
        <f t="shared" si="546"/>
        <v>0</v>
      </c>
      <c r="Y930" s="17">
        <f t="shared" si="547"/>
        <v>0</v>
      </c>
      <c r="Z930" s="17">
        <f t="shared" si="548"/>
        <v>0</v>
      </c>
      <c r="AA930" s="17">
        <f t="shared" si="549"/>
        <v>0</v>
      </c>
      <c r="AB930" s="17">
        <f t="shared" si="550"/>
        <v>0</v>
      </c>
      <c r="AC930" s="17">
        <v>0</v>
      </c>
      <c r="AD930" s="17">
        <f t="shared" si="551"/>
        <v>0</v>
      </c>
      <c r="AE930" s="17">
        <f t="shared" si="552"/>
        <v>0</v>
      </c>
      <c r="AF930" s="17">
        <f t="shared" si="553"/>
        <v>0</v>
      </c>
      <c r="AG930" s="17">
        <f t="shared" si="554"/>
        <v>0</v>
      </c>
      <c r="AH930" s="17">
        <f t="shared" si="555"/>
        <v>0</v>
      </c>
      <c r="AI930" s="17">
        <f t="shared" si="556"/>
        <v>0</v>
      </c>
      <c r="AJ930" s="17">
        <f t="shared" si="557"/>
        <v>0</v>
      </c>
      <c r="AK930" s="17">
        <f t="shared" si="558"/>
        <v>0</v>
      </c>
      <c r="AL930" s="17">
        <f t="shared" si="559"/>
        <v>0</v>
      </c>
      <c r="AM930" s="17">
        <f t="shared" si="560"/>
        <v>0</v>
      </c>
      <c r="AN930" s="17">
        <f t="shared" si="561"/>
        <v>0</v>
      </c>
      <c r="AO930" s="17">
        <f t="shared" si="562"/>
        <v>0</v>
      </c>
      <c r="AP930" s="17">
        <f t="shared" si="563"/>
        <v>0</v>
      </c>
      <c r="AQ930" s="18">
        <v>0</v>
      </c>
      <c r="AR930" s="18">
        <v>0</v>
      </c>
      <c r="AS930" s="18">
        <v>0</v>
      </c>
      <c r="AT930" s="18">
        <v>0</v>
      </c>
      <c r="AU930" s="18">
        <v>0</v>
      </c>
      <c r="AV930" s="18">
        <v>0</v>
      </c>
      <c r="AW930" s="18">
        <v>0</v>
      </c>
      <c r="AX930" s="18">
        <v>0</v>
      </c>
      <c r="AY930" s="18">
        <v>0</v>
      </c>
      <c r="AZ930" s="18">
        <v>0</v>
      </c>
      <c r="BA930" s="18">
        <v>0</v>
      </c>
      <c r="BB930" s="18">
        <v>0</v>
      </c>
      <c r="BC930" s="23">
        <v>8.9181565948742242E-2</v>
      </c>
      <c r="BD930" s="23">
        <v>0.10665277883445198</v>
      </c>
      <c r="BE930" s="23">
        <v>9.438849084854764E-2</v>
      </c>
      <c r="BF930" s="23">
        <v>7.149564986855049E-2</v>
      </c>
      <c r="BG930" s="23">
        <v>0.10368571810536763</v>
      </c>
      <c r="BH930" s="23">
        <v>8.4970330952544637E-2</v>
      </c>
      <c r="BI930" s="23">
        <v>8.4593878877262704E-2</v>
      </c>
      <c r="BJ930" s="23">
        <v>5.7447105462779965E-2</v>
      </c>
      <c r="BK930" s="23">
        <v>8.5153852345557474E-2</v>
      </c>
      <c r="BL930" s="23">
        <v>7.4158058913035174E-2</v>
      </c>
      <c r="BM930" s="23">
        <v>7.5718189192107169E-2</v>
      </c>
      <c r="BN930" s="23">
        <v>7.3955559365675619E-2</v>
      </c>
    </row>
    <row r="931" spans="1:66" x14ac:dyDescent="0.25">
      <c r="A931" s="16">
        <v>16111</v>
      </c>
      <c r="B931" s="16" t="s">
        <v>1125</v>
      </c>
      <c r="C931" s="17">
        <v>0</v>
      </c>
      <c r="D931" s="17">
        <f t="shared" si="527"/>
        <v>0</v>
      </c>
      <c r="E931" s="17">
        <f t="shared" si="528"/>
        <v>0</v>
      </c>
      <c r="F931" s="17">
        <f t="shared" si="529"/>
        <v>0</v>
      </c>
      <c r="G931" s="17">
        <f t="shared" si="530"/>
        <v>0</v>
      </c>
      <c r="H931" s="17">
        <f t="shared" si="531"/>
        <v>0</v>
      </c>
      <c r="I931" s="17">
        <f t="shared" si="532"/>
        <v>0</v>
      </c>
      <c r="J931" s="17">
        <f t="shared" si="533"/>
        <v>0</v>
      </c>
      <c r="K931" s="17">
        <f t="shared" si="534"/>
        <v>0</v>
      </c>
      <c r="L931" s="17">
        <f t="shared" si="535"/>
        <v>0</v>
      </c>
      <c r="M931" s="17">
        <f t="shared" si="536"/>
        <v>0</v>
      </c>
      <c r="N931" s="17">
        <f t="shared" si="537"/>
        <v>0</v>
      </c>
      <c r="O931" s="17">
        <f t="shared" si="538"/>
        <v>0</v>
      </c>
      <c r="P931" s="17">
        <v>0</v>
      </c>
      <c r="Q931" s="17">
        <f t="shared" si="539"/>
        <v>0</v>
      </c>
      <c r="R931" s="17">
        <f t="shared" si="540"/>
        <v>0</v>
      </c>
      <c r="S931" s="17">
        <f t="shared" si="541"/>
        <v>0</v>
      </c>
      <c r="T931" s="17">
        <f t="shared" si="542"/>
        <v>0</v>
      </c>
      <c r="U931" s="17">
        <f t="shared" si="543"/>
        <v>0</v>
      </c>
      <c r="V931" s="17">
        <f t="shared" si="544"/>
        <v>0</v>
      </c>
      <c r="W931" s="17">
        <f t="shared" si="545"/>
        <v>0</v>
      </c>
      <c r="X931" s="17">
        <f t="shared" si="546"/>
        <v>0</v>
      </c>
      <c r="Y931" s="17">
        <f t="shared" si="547"/>
        <v>0</v>
      </c>
      <c r="Z931" s="17">
        <f t="shared" si="548"/>
        <v>0</v>
      </c>
      <c r="AA931" s="17">
        <f t="shared" si="549"/>
        <v>0</v>
      </c>
      <c r="AB931" s="17">
        <f t="shared" si="550"/>
        <v>0</v>
      </c>
      <c r="AC931" s="17">
        <v>0</v>
      </c>
      <c r="AD931" s="17">
        <f t="shared" si="551"/>
        <v>0</v>
      </c>
      <c r="AE931" s="17">
        <f t="shared" si="552"/>
        <v>0</v>
      </c>
      <c r="AF931" s="17">
        <f t="shared" si="553"/>
        <v>0</v>
      </c>
      <c r="AG931" s="17">
        <f t="shared" si="554"/>
        <v>0</v>
      </c>
      <c r="AH931" s="17">
        <f t="shared" si="555"/>
        <v>0</v>
      </c>
      <c r="AI931" s="17">
        <f t="shared" si="556"/>
        <v>0</v>
      </c>
      <c r="AJ931" s="17">
        <f t="shared" si="557"/>
        <v>0</v>
      </c>
      <c r="AK931" s="17">
        <f t="shared" si="558"/>
        <v>0</v>
      </c>
      <c r="AL931" s="17">
        <f t="shared" si="559"/>
        <v>0</v>
      </c>
      <c r="AM931" s="17">
        <f t="shared" si="560"/>
        <v>0</v>
      </c>
      <c r="AN931" s="17">
        <f t="shared" si="561"/>
        <v>0</v>
      </c>
      <c r="AO931" s="17">
        <f t="shared" si="562"/>
        <v>0</v>
      </c>
      <c r="AP931" s="17">
        <f t="shared" si="563"/>
        <v>0</v>
      </c>
      <c r="AQ931" s="18">
        <v>6.6707811329659208</v>
      </c>
      <c r="AR931" s="18">
        <v>7.9776278568170094</v>
      </c>
      <c r="AS931" s="18">
        <v>7.0602591154713643</v>
      </c>
      <c r="AT931" s="18">
        <v>5.3478746101675778</v>
      </c>
      <c r="AU931" s="18">
        <v>7.7556917142814994</v>
      </c>
      <c r="AV931" s="18">
        <v>6.3557807552503398</v>
      </c>
      <c r="AW931" s="18">
        <v>6.3276221400192512</v>
      </c>
      <c r="AX931" s="18">
        <v>4.2970434886159419</v>
      </c>
      <c r="AY931" s="18">
        <v>6.3695081554476998</v>
      </c>
      <c r="AZ931" s="18">
        <v>5.5470228066950318</v>
      </c>
      <c r="BA931" s="18">
        <v>5.6637205515696172</v>
      </c>
      <c r="BB931" s="18">
        <v>5.5318758405525372</v>
      </c>
      <c r="BC931" s="23">
        <v>8.9181565948742242E-2</v>
      </c>
      <c r="BD931" s="23">
        <v>0.10665277883445198</v>
      </c>
      <c r="BE931" s="23">
        <v>9.438849084854764E-2</v>
      </c>
      <c r="BF931" s="23">
        <v>7.149564986855049E-2</v>
      </c>
      <c r="BG931" s="23">
        <v>0.10368571810536763</v>
      </c>
      <c r="BH931" s="23">
        <v>8.4970330952544637E-2</v>
      </c>
      <c r="BI931" s="23">
        <v>8.4593878877262704E-2</v>
      </c>
      <c r="BJ931" s="23">
        <v>5.7447105462779965E-2</v>
      </c>
      <c r="BK931" s="23">
        <v>8.5153852345557474E-2</v>
      </c>
      <c r="BL931" s="23">
        <v>7.4158058913035174E-2</v>
      </c>
      <c r="BM931" s="23">
        <v>7.5718189192107169E-2</v>
      </c>
      <c r="BN931" s="23">
        <v>7.3955559365675619E-2</v>
      </c>
    </row>
    <row r="932" spans="1:66" x14ac:dyDescent="0.25">
      <c r="A932" s="16">
        <v>16301</v>
      </c>
      <c r="B932" s="16" t="s">
        <v>1126</v>
      </c>
      <c r="C932" s="17">
        <v>0</v>
      </c>
      <c r="D932" s="17">
        <f t="shared" si="527"/>
        <v>0</v>
      </c>
      <c r="E932" s="17">
        <f t="shared" si="528"/>
        <v>0</v>
      </c>
      <c r="F932" s="17">
        <f t="shared" si="529"/>
        <v>0</v>
      </c>
      <c r="G932" s="17">
        <f t="shared" si="530"/>
        <v>0</v>
      </c>
      <c r="H932" s="17">
        <f t="shared" si="531"/>
        <v>0</v>
      </c>
      <c r="I932" s="17">
        <f t="shared" si="532"/>
        <v>0</v>
      </c>
      <c r="J932" s="17">
        <f t="shared" si="533"/>
        <v>0</v>
      </c>
      <c r="K932" s="17">
        <f t="shared" si="534"/>
        <v>0</v>
      </c>
      <c r="L932" s="17">
        <f t="shared" si="535"/>
        <v>0</v>
      </c>
      <c r="M932" s="17">
        <f t="shared" si="536"/>
        <v>0</v>
      </c>
      <c r="N932" s="17">
        <f t="shared" si="537"/>
        <v>0</v>
      </c>
      <c r="O932" s="17">
        <f t="shared" si="538"/>
        <v>0</v>
      </c>
      <c r="P932" s="17">
        <v>6000</v>
      </c>
      <c r="Q932" s="17">
        <f t="shared" si="539"/>
        <v>535.08939569245342</v>
      </c>
      <c r="R932" s="17">
        <f t="shared" si="540"/>
        <v>639.9166730067119</v>
      </c>
      <c r="S932" s="17">
        <f t="shared" si="541"/>
        <v>566.3309450912858</v>
      </c>
      <c r="T932" s="17">
        <f t="shared" si="542"/>
        <v>428.97389921130292</v>
      </c>
      <c r="U932" s="17">
        <f t="shared" si="543"/>
        <v>622.11430863220573</v>
      </c>
      <c r="V932" s="17">
        <f t="shared" si="544"/>
        <v>509.82198571526783</v>
      </c>
      <c r="W932" s="17">
        <f t="shared" si="545"/>
        <v>507.56327326357621</v>
      </c>
      <c r="X932" s="17">
        <f t="shared" si="546"/>
        <v>344.68263277667978</v>
      </c>
      <c r="Y932" s="17">
        <f t="shared" si="547"/>
        <v>510.92311407334483</v>
      </c>
      <c r="Z932" s="17">
        <f t="shared" si="548"/>
        <v>444.94835347821106</v>
      </c>
      <c r="AA932" s="17">
        <f t="shared" si="549"/>
        <v>454.30913515264302</v>
      </c>
      <c r="AB932" s="17">
        <f t="shared" si="550"/>
        <v>443.73335619405373</v>
      </c>
      <c r="AC932" s="17">
        <v>0</v>
      </c>
      <c r="AD932" s="17">
        <f t="shared" si="551"/>
        <v>0</v>
      </c>
      <c r="AE932" s="17">
        <f t="shared" si="552"/>
        <v>0</v>
      </c>
      <c r="AF932" s="17">
        <f t="shared" si="553"/>
        <v>0</v>
      </c>
      <c r="AG932" s="17">
        <f t="shared" si="554"/>
        <v>0</v>
      </c>
      <c r="AH932" s="17">
        <f t="shared" si="555"/>
        <v>0</v>
      </c>
      <c r="AI932" s="17">
        <f t="shared" si="556"/>
        <v>0</v>
      </c>
      <c r="AJ932" s="17">
        <f t="shared" si="557"/>
        <v>0</v>
      </c>
      <c r="AK932" s="17">
        <f t="shared" si="558"/>
        <v>0</v>
      </c>
      <c r="AL932" s="17">
        <f t="shared" si="559"/>
        <v>0</v>
      </c>
      <c r="AM932" s="17">
        <f t="shared" si="560"/>
        <v>0</v>
      </c>
      <c r="AN932" s="17">
        <f t="shared" si="561"/>
        <v>0</v>
      </c>
      <c r="AO932" s="17">
        <f t="shared" si="562"/>
        <v>0</v>
      </c>
      <c r="AP932" s="17">
        <f t="shared" si="563"/>
        <v>6000</v>
      </c>
      <c r="AQ932" s="18">
        <v>74.212440104245871</v>
      </c>
      <c r="AR932" s="18">
        <v>88.75110990708923</v>
      </c>
      <c r="AS932" s="18">
        <v>78.545382659618923</v>
      </c>
      <c r="AT932" s="18">
        <v>59.495105038114296</v>
      </c>
      <c r="AU932" s="18">
        <v>86.282070321381681</v>
      </c>
      <c r="AV932" s="18">
        <v>70.708060902160028</v>
      </c>
      <c r="AW932" s="18">
        <v>70.394796307714174</v>
      </c>
      <c r="AX932" s="18">
        <v>47.804608810852351</v>
      </c>
      <c r="AY932" s="18">
        <v>70.86077822935566</v>
      </c>
      <c r="AZ932" s="18">
        <v>61.710628724482227</v>
      </c>
      <c r="BA932" s="18">
        <v>63.008891136211986</v>
      </c>
      <c r="BB932" s="18">
        <v>61.542118726146974</v>
      </c>
      <c r="BC932" s="23">
        <v>8.9181565948742242E-2</v>
      </c>
      <c r="BD932" s="23">
        <v>0.10665277883445198</v>
      </c>
      <c r="BE932" s="23">
        <v>9.438849084854764E-2</v>
      </c>
      <c r="BF932" s="23">
        <v>7.149564986855049E-2</v>
      </c>
      <c r="BG932" s="23">
        <v>0.10368571810536763</v>
      </c>
      <c r="BH932" s="23">
        <v>8.4970330952544637E-2</v>
      </c>
      <c r="BI932" s="23">
        <v>8.4593878877262704E-2</v>
      </c>
      <c r="BJ932" s="23">
        <v>5.7447105462779965E-2</v>
      </c>
      <c r="BK932" s="23">
        <v>8.5153852345557474E-2</v>
      </c>
      <c r="BL932" s="23">
        <v>7.4158058913035174E-2</v>
      </c>
      <c r="BM932" s="23">
        <v>7.5718189192107169E-2</v>
      </c>
      <c r="BN932" s="23">
        <v>7.3955559365675619E-2</v>
      </c>
    </row>
    <row r="933" spans="1:66" x14ac:dyDescent="0.25">
      <c r="A933" s="16">
        <v>16308</v>
      </c>
      <c r="B933" s="16" t="s">
        <v>1127</v>
      </c>
      <c r="C933" s="17">
        <v>0</v>
      </c>
      <c r="D933" s="17">
        <f t="shared" si="527"/>
        <v>0</v>
      </c>
      <c r="E933" s="17">
        <f t="shared" si="528"/>
        <v>0</v>
      </c>
      <c r="F933" s="17">
        <f t="shared" si="529"/>
        <v>0</v>
      </c>
      <c r="G933" s="17">
        <f t="shared" si="530"/>
        <v>0</v>
      </c>
      <c r="H933" s="17">
        <f t="shared" si="531"/>
        <v>0</v>
      </c>
      <c r="I933" s="17">
        <f t="shared" si="532"/>
        <v>0</v>
      </c>
      <c r="J933" s="17">
        <f t="shared" si="533"/>
        <v>0</v>
      </c>
      <c r="K933" s="17">
        <f t="shared" si="534"/>
        <v>0</v>
      </c>
      <c r="L933" s="17">
        <f t="shared" si="535"/>
        <v>0</v>
      </c>
      <c r="M933" s="17">
        <f t="shared" si="536"/>
        <v>0</v>
      </c>
      <c r="N933" s="17">
        <f t="shared" si="537"/>
        <v>0</v>
      </c>
      <c r="O933" s="17">
        <f t="shared" si="538"/>
        <v>0</v>
      </c>
      <c r="P933" s="17">
        <v>3000</v>
      </c>
      <c r="Q933" s="17">
        <f t="shared" si="539"/>
        <v>267.54469784622671</v>
      </c>
      <c r="R933" s="17">
        <f t="shared" si="540"/>
        <v>319.95833650335595</v>
      </c>
      <c r="S933" s="17">
        <f t="shared" si="541"/>
        <v>283.1654725456429</v>
      </c>
      <c r="T933" s="17">
        <f t="shared" si="542"/>
        <v>214.48694960565146</v>
      </c>
      <c r="U933" s="17">
        <f t="shared" si="543"/>
        <v>311.05715431610287</v>
      </c>
      <c r="V933" s="17">
        <f t="shared" si="544"/>
        <v>254.91099285763391</v>
      </c>
      <c r="W933" s="17">
        <f t="shared" si="545"/>
        <v>253.7816366317881</v>
      </c>
      <c r="X933" s="17">
        <f t="shared" si="546"/>
        <v>172.34131638833989</v>
      </c>
      <c r="Y933" s="17">
        <f t="shared" si="547"/>
        <v>255.46155703667242</v>
      </c>
      <c r="Z933" s="17">
        <f t="shared" si="548"/>
        <v>222.47417673910553</v>
      </c>
      <c r="AA933" s="17">
        <f t="shared" si="549"/>
        <v>227.15456757632151</v>
      </c>
      <c r="AB933" s="17">
        <f t="shared" si="550"/>
        <v>221.86667809702686</v>
      </c>
      <c r="AC933" s="17">
        <v>0</v>
      </c>
      <c r="AD933" s="17">
        <f t="shared" si="551"/>
        <v>0</v>
      </c>
      <c r="AE933" s="17">
        <f t="shared" si="552"/>
        <v>0</v>
      </c>
      <c r="AF933" s="17">
        <f t="shared" si="553"/>
        <v>0</v>
      </c>
      <c r="AG933" s="17">
        <f t="shared" si="554"/>
        <v>0</v>
      </c>
      <c r="AH933" s="17">
        <f t="shared" si="555"/>
        <v>0</v>
      </c>
      <c r="AI933" s="17">
        <f t="shared" si="556"/>
        <v>0</v>
      </c>
      <c r="AJ933" s="17">
        <f t="shared" si="557"/>
        <v>0</v>
      </c>
      <c r="AK933" s="17">
        <f t="shared" si="558"/>
        <v>0</v>
      </c>
      <c r="AL933" s="17">
        <f t="shared" si="559"/>
        <v>0</v>
      </c>
      <c r="AM933" s="17">
        <f t="shared" si="560"/>
        <v>0</v>
      </c>
      <c r="AN933" s="17">
        <f t="shared" si="561"/>
        <v>0</v>
      </c>
      <c r="AO933" s="17">
        <f t="shared" si="562"/>
        <v>0</v>
      </c>
      <c r="AP933" s="17">
        <f t="shared" si="563"/>
        <v>3000</v>
      </c>
      <c r="AQ933" s="18">
        <v>93.940294307767132</v>
      </c>
      <c r="AR933" s="18">
        <v>112.34377111305835</v>
      </c>
      <c r="AS933" s="18">
        <v>99.425060720226156</v>
      </c>
      <c r="AT933" s="18">
        <v>75.310657745536346</v>
      </c>
      <c r="AU933" s="18">
        <v>109.21838802347006</v>
      </c>
      <c r="AV933" s="18">
        <v>89.504347812172426</v>
      </c>
      <c r="AW933" s="18">
        <v>89.107808254153454</v>
      </c>
      <c r="AX933" s="18">
        <v>60.512483010273911</v>
      </c>
      <c r="AY933" s="18">
        <v>89.697661906716434</v>
      </c>
      <c r="AZ933" s="18">
        <v>78.115132936634737</v>
      </c>
      <c r="BA933" s="18">
        <v>79.758511767398019</v>
      </c>
      <c r="BB933" s="18">
        <v>77.901828013428073</v>
      </c>
      <c r="BC933" s="23">
        <v>8.9181565948742242E-2</v>
      </c>
      <c r="BD933" s="23">
        <v>0.10665277883445198</v>
      </c>
      <c r="BE933" s="23">
        <v>9.438849084854764E-2</v>
      </c>
      <c r="BF933" s="23">
        <v>7.149564986855049E-2</v>
      </c>
      <c r="BG933" s="23">
        <v>0.10368571810536763</v>
      </c>
      <c r="BH933" s="23">
        <v>8.4970330952544637E-2</v>
      </c>
      <c r="BI933" s="23">
        <v>8.4593878877262704E-2</v>
      </c>
      <c r="BJ933" s="23">
        <v>5.7447105462779965E-2</v>
      </c>
      <c r="BK933" s="23">
        <v>8.5153852345557474E-2</v>
      </c>
      <c r="BL933" s="23">
        <v>7.4158058913035174E-2</v>
      </c>
      <c r="BM933" s="23">
        <v>7.5718189192107169E-2</v>
      </c>
      <c r="BN933" s="23">
        <v>7.3955559365675619E-2</v>
      </c>
    </row>
    <row r="934" spans="1:66" x14ac:dyDescent="0.25">
      <c r="A934" s="16">
        <v>16312</v>
      </c>
      <c r="B934" s="16" t="s">
        <v>1128</v>
      </c>
      <c r="C934" s="17">
        <v>0</v>
      </c>
      <c r="D934" s="17">
        <f t="shared" si="527"/>
        <v>0</v>
      </c>
      <c r="E934" s="17">
        <f t="shared" si="528"/>
        <v>0</v>
      </c>
      <c r="F934" s="17">
        <f t="shared" si="529"/>
        <v>0</v>
      </c>
      <c r="G934" s="17">
        <f t="shared" si="530"/>
        <v>0</v>
      </c>
      <c r="H934" s="17">
        <f t="shared" si="531"/>
        <v>0</v>
      </c>
      <c r="I934" s="17">
        <f t="shared" si="532"/>
        <v>0</v>
      </c>
      <c r="J934" s="17">
        <f t="shared" si="533"/>
        <v>0</v>
      </c>
      <c r="K934" s="17">
        <f t="shared" si="534"/>
        <v>0</v>
      </c>
      <c r="L934" s="17">
        <f t="shared" si="535"/>
        <v>0</v>
      </c>
      <c r="M934" s="17">
        <f t="shared" si="536"/>
        <v>0</v>
      </c>
      <c r="N934" s="17">
        <f t="shared" si="537"/>
        <v>0</v>
      </c>
      <c r="O934" s="17">
        <f t="shared" si="538"/>
        <v>0</v>
      </c>
      <c r="P934" s="17">
        <v>0</v>
      </c>
      <c r="Q934" s="17">
        <f t="shared" si="539"/>
        <v>0</v>
      </c>
      <c r="R934" s="17">
        <f t="shared" si="540"/>
        <v>0</v>
      </c>
      <c r="S934" s="17">
        <f t="shared" si="541"/>
        <v>0</v>
      </c>
      <c r="T934" s="17">
        <f t="shared" si="542"/>
        <v>0</v>
      </c>
      <c r="U934" s="17">
        <f t="shared" si="543"/>
        <v>0</v>
      </c>
      <c r="V934" s="17">
        <f t="shared" si="544"/>
        <v>0</v>
      </c>
      <c r="W934" s="17">
        <f t="shared" si="545"/>
        <v>0</v>
      </c>
      <c r="X934" s="17">
        <f t="shared" si="546"/>
        <v>0</v>
      </c>
      <c r="Y934" s="17">
        <f t="shared" si="547"/>
        <v>0</v>
      </c>
      <c r="Z934" s="17">
        <f t="shared" si="548"/>
        <v>0</v>
      </c>
      <c r="AA934" s="17">
        <f t="shared" si="549"/>
        <v>0</v>
      </c>
      <c r="AB934" s="17">
        <f t="shared" si="550"/>
        <v>0</v>
      </c>
      <c r="AC934" s="17">
        <v>0</v>
      </c>
      <c r="AD934" s="17">
        <f t="shared" si="551"/>
        <v>0</v>
      </c>
      <c r="AE934" s="17">
        <f t="shared" si="552"/>
        <v>0</v>
      </c>
      <c r="AF934" s="17">
        <f t="shared" si="553"/>
        <v>0</v>
      </c>
      <c r="AG934" s="17">
        <f t="shared" si="554"/>
        <v>0</v>
      </c>
      <c r="AH934" s="17">
        <f t="shared" si="555"/>
        <v>0</v>
      </c>
      <c r="AI934" s="17">
        <f t="shared" si="556"/>
        <v>0</v>
      </c>
      <c r="AJ934" s="17">
        <f t="shared" si="557"/>
        <v>0</v>
      </c>
      <c r="AK934" s="17">
        <f t="shared" si="558"/>
        <v>0</v>
      </c>
      <c r="AL934" s="17">
        <f t="shared" si="559"/>
        <v>0</v>
      </c>
      <c r="AM934" s="17">
        <f t="shared" si="560"/>
        <v>0</v>
      </c>
      <c r="AN934" s="17">
        <f t="shared" si="561"/>
        <v>0</v>
      </c>
      <c r="AO934" s="17">
        <f t="shared" si="562"/>
        <v>0</v>
      </c>
      <c r="AP934" s="17">
        <f t="shared" si="563"/>
        <v>0</v>
      </c>
      <c r="AQ934" s="18">
        <v>173.8817582085602</v>
      </c>
      <c r="AR934" s="18">
        <v>207.94625553247278</v>
      </c>
      <c r="AS934" s="18">
        <v>184.03396003195579</v>
      </c>
      <c r="AT934" s="18">
        <v>139.39864333120633</v>
      </c>
      <c r="AU934" s="18">
        <v>202.16122887594057</v>
      </c>
      <c r="AV934" s="18">
        <v>165.67090277472391</v>
      </c>
      <c r="AW934" s="18">
        <v>164.93691534094299</v>
      </c>
      <c r="AX934" s="18">
        <v>112.00749387605525</v>
      </c>
      <c r="AY934" s="18">
        <v>166.02872361075072</v>
      </c>
      <c r="AZ934" s="18">
        <v>144.58967536569034</v>
      </c>
      <c r="BA934" s="18">
        <v>147.63153937731096</v>
      </c>
      <c r="BB934" s="18">
        <v>144.19485187322604</v>
      </c>
      <c r="BC934" s="23">
        <v>8.9181565948742242E-2</v>
      </c>
      <c r="BD934" s="23">
        <v>0.10665277883445198</v>
      </c>
      <c r="BE934" s="23">
        <v>9.438849084854764E-2</v>
      </c>
      <c r="BF934" s="23">
        <v>7.149564986855049E-2</v>
      </c>
      <c r="BG934" s="23">
        <v>0.10368571810536763</v>
      </c>
      <c r="BH934" s="23">
        <v>8.4970330952544637E-2</v>
      </c>
      <c r="BI934" s="23">
        <v>8.4593878877262704E-2</v>
      </c>
      <c r="BJ934" s="23">
        <v>5.7447105462779965E-2</v>
      </c>
      <c r="BK934" s="23">
        <v>8.5153852345557474E-2</v>
      </c>
      <c r="BL934" s="23">
        <v>7.4158058913035174E-2</v>
      </c>
      <c r="BM934" s="23">
        <v>7.5718189192107169E-2</v>
      </c>
      <c r="BN934" s="23">
        <v>7.3955559365675619E-2</v>
      </c>
    </row>
    <row r="935" spans="1:66" x14ac:dyDescent="0.25">
      <c r="A935" s="16">
        <v>16429</v>
      </c>
      <c r="B935" s="16" t="s">
        <v>1129</v>
      </c>
      <c r="C935" s="17">
        <v>0</v>
      </c>
      <c r="D935" s="17">
        <f t="shared" si="527"/>
        <v>0</v>
      </c>
      <c r="E935" s="17">
        <f t="shared" si="528"/>
        <v>0</v>
      </c>
      <c r="F935" s="17">
        <f t="shared" si="529"/>
        <v>0</v>
      </c>
      <c r="G935" s="17">
        <f t="shared" si="530"/>
        <v>0</v>
      </c>
      <c r="H935" s="17">
        <f t="shared" si="531"/>
        <v>0</v>
      </c>
      <c r="I935" s="17">
        <f t="shared" si="532"/>
        <v>0</v>
      </c>
      <c r="J935" s="17">
        <f t="shared" si="533"/>
        <v>0</v>
      </c>
      <c r="K935" s="17">
        <f t="shared" si="534"/>
        <v>0</v>
      </c>
      <c r="L935" s="17">
        <f t="shared" si="535"/>
        <v>0</v>
      </c>
      <c r="M935" s="17">
        <f t="shared" si="536"/>
        <v>0</v>
      </c>
      <c r="N935" s="17">
        <f t="shared" si="537"/>
        <v>0</v>
      </c>
      <c r="O935" s="17">
        <f t="shared" si="538"/>
        <v>0</v>
      </c>
      <c r="P935" s="17">
        <v>0</v>
      </c>
      <c r="Q935" s="17">
        <f t="shared" si="539"/>
        <v>0</v>
      </c>
      <c r="R935" s="17">
        <f t="shared" si="540"/>
        <v>0</v>
      </c>
      <c r="S935" s="17">
        <f t="shared" si="541"/>
        <v>0</v>
      </c>
      <c r="T935" s="17">
        <f t="shared" si="542"/>
        <v>0</v>
      </c>
      <c r="U935" s="17">
        <f t="shared" si="543"/>
        <v>0</v>
      </c>
      <c r="V935" s="17">
        <f t="shared" si="544"/>
        <v>0</v>
      </c>
      <c r="W935" s="17">
        <f t="shared" si="545"/>
        <v>0</v>
      </c>
      <c r="X935" s="17">
        <f t="shared" si="546"/>
        <v>0</v>
      </c>
      <c r="Y935" s="17">
        <f t="shared" si="547"/>
        <v>0</v>
      </c>
      <c r="Z935" s="17">
        <f t="shared" si="548"/>
        <v>0</v>
      </c>
      <c r="AA935" s="17">
        <f t="shared" si="549"/>
        <v>0</v>
      </c>
      <c r="AB935" s="17">
        <f t="shared" si="550"/>
        <v>0</v>
      </c>
      <c r="AC935" s="17">
        <v>0</v>
      </c>
      <c r="AD935" s="17">
        <f t="shared" si="551"/>
        <v>0</v>
      </c>
      <c r="AE935" s="17">
        <f t="shared" si="552"/>
        <v>0</v>
      </c>
      <c r="AF935" s="17">
        <f t="shared" si="553"/>
        <v>0</v>
      </c>
      <c r="AG935" s="17">
        <f t="shared" si="554"/>
        <v>0</v>
      </c>
      <c r="AH935" s="17">
        <f t="shared" si="555"/>
        <v>0</v>
      </c>
      <c r="AI935" s="17">
        <f t="shared" si="556"/>
        <v>0</v>
      </c>
      <c r="AJ935" s="17">
        <f t="shared" si="557"/>
        <v>0</v>
      </c>
      <c r="AK935" s="17">
        <f t="shared" si="558"/>
        <v>0</v>
      </c>
      <c r="AL935" s="17">
        <f t="shared" si="559"/>
        <v>0</v>
      </c>
      <c r="AM935" s="17">
        <f t="shared" si="560"/>
        <v>0</v>
      </c>
      <c r="AN935" s="17">
        <f t="shared" si="561"/>
        <v>0</v>
      </c>
      <c r="AO935" s="17">
        <f t="shared" si="562"/>
        <v>0</v>
      </c>
      <c r="AP935" s="17">
        <f t="shared" si="563"/>
        <v>0</v>
      </c>
      <c r="AQ935" s="18">
        <v>0</v>
      </c>
      <c r="AR935" s="18">
        <v>0</v>
      </c>
      <c r="AS935" s="18">
        <v>0</v>
      </c>
      <c r="AT935" s="18">
        <v>0</v>
      </c>
      <c r="AU935" s="18">
        <v>0</v>
      </c>
      <c r="AV935" s="18">
        <v>0</v>
      </c>
      <c r="AW935" s="18">
        <v>0</v>
      </c>
      <c r="AX935" s="18">
        <v>0</v>
      </c>
      <c r="AY935" s="18">
        <v>0</v>
      </c>
      <c r="AZ935" s="18">
        <v>0</v>
      </c>
      <c r="BA935" s="18">
        <v>0</v>
      </c>
      <c r="BB935" s="18">
        <v>0</v>
      </c>
      <c r="BC935" s="23">
        <v>8.9181565948742242E-2</v>
      </c>
      <c r="BD935" s="23">
        <v>0.10665277883445198</v>
      </c>
      <c r="BE935" s="23">
        <v>9.438849084854764E-2</v>
      </c>
      <c r="BF935" s="23">
        <v>7.149564986855049E-2</v>
      </c>
      <c r="BG935" s="23">
        <v>0.10368571810536763</v>
      </c>
      <c r="BH935" s="23">
        <v>8.4970330952544637E-2</v>
      </c>
      <c r="BI935" s="23">
        <v>8.4593878877262704E-2</v>
      </c>
      <c r="BJ935" s="23">
        <v>5.7447105462779965E-2</v>
      </c>
      <c r="BK935" s="23">
        <v>8.5153852345557474E-2</v>
      </c>
      <c r="BL935" s="23">
        <v>7.4158058913035174E-2</v>
      </c>
      <c r="BM935" s="23">
        <v>7.5718189192107169E-2</v>
      </c>
      <c r="BN935" s="23">
        <v>7.3955559365675619E-2</v>
      </c>
    </row>
    <row r="936" spans="1:66" x14ac:dyDescent="0.25">
      <c r="A936" s="16">
        <v>16439</v>
      </c>
      <c r="B936" s="16" t="s">
        <v>1130</v>
      </c>
      <c r="C936" s="17">
        <v>0</v>
      </c>
      <c r="D936" s="17">
        <f t="shared" si="527"/>
        <v>0</v>
      </c>
      <c r="E936" s="17">
        <f t="shared" si="528"/>
        <v>0</v>
      </c>
      <c r="F936" s="17">
        <f t="shared" si="529"/>
        <v>0</v>
      </c>
      <c r="G936" s="17">
        <f t="shared" si="530"/>
        <v>0</v>
      </c>
      <c r="H936" s="17">
        <f t="shared" si="531"/>
        <v>0</v>
      </c>
      <c r="I936" s="17">
        <f t="shared" si="532"/>
        <v>0</v>
      </c>
      <c r="J936" s="17">
        <f t="shared" si="533"/>
        <v>0</v>
      </c>
      <c r="K936" s="17">
        <f t="shared" si="534"/>
        <v>0</v>
      </c>
      <c r="L936" s="17">
        <f t="shared" si="535"/>
        <v>0</v>
      </c>
      <c r="M936" s="17">
        <f t="shared" si="536"/>
        <v>0</v>
      </c>
      <c r="N936" s="17">
        <f t="shared" si="537"/>
        <v>0</v>
      </c>
      <c r="O936" s="17">
        <f t="shared" si="538"/>
        <v>0</v>
      </c>
      <c r="P936" s="17">
        <v>1000</v>
      </c>
      <c r="Q936" s="17">
        <f t="shared" si="539"/>
        <v>89.181565948742247</v>
      </c>
      <c r="R936" s="17">
        <f t="shared" si="540"/>
        <v>106.65277883445198</v>
      </c>
      <c r="S936" s="17">
        <f t="shared" si="541"/>
        <v>94.388490848547647</v>
      </c>
      <c r="T936" s="17">
        <f t="shared" si="542"/>
        <v>71.495649868550487</v>
      </c>
      <c r="U936" s="17">
        <f t="shared" si="543"/>
        <v>103.68571810536763</v>
      </c>
      <c r="V936" s="17">
        <f t="shared" si="544"/>
        <v>84.970330952544643</v>
      </c>
      <c r="W936" s="17">
        <f t="shared" si="545"/>
        <v>84.593878877262711</v>
      </c>
      <c r="X936" s="17">
        <f t="shared" si="546"/>
        <v>57.447105462779966</v>
      </c>
      <c r="Y936" s="17">
        <f t="shared" si="547"/>
        <v>85.153852345557468</v>
      </c>
      <c r="Z936" s="17">
        <f t="shared" si="548"/>
        <v>74.158058913035177</v>
      </c>
      <c r="AA936" s="17">
        <f t="shared" si="549"/>
        <v>75.718189192107175</v>
      </c>
      <c r="AB936" s="17">
        <f t="shared" si="550"/>
        <v>73.955559365675626</v>
      </c>
      <c r="AC936" s="17">
        <v>0</v>
      </c>
      <c r="AD936" s="17">
        <f t="shared" si="551"/>
        <v>0</v>
      </c>
      <c r="AE936" s="17">
        <f t="shared" si="552"/>
        <v>0</v>
      </c>
      <c r="AF936" s="17">
        <f t="shared" si="553"/>
        <v>0</v>
      </c>
      <c r="AG936" s="17">
        <f t="shared" si="554"/>
        <v>0</v>
      </c>
      <c r="AH936" s="17">
        <f t="shared" si="555"/>
        <v>0</v>
      </c>
      <c r="AI936" s="17">
        <f t="shared" si="556"/>
        <v>0</v>
      </c>
      <c r="AJ936" s="17">
        <f t="shared" si="557"/>
        <v>0</v>
      </c>
      <c r="AK936" s="17">
        <f t="shared" si="558"/>
        <v>0</v>
      </c>
      <c r="AL936" s="17">
        <f t="shared" si="559"/>
        <v>0</v>
      </c>
      <c r="AM936" s="17">
        <f t="shared" si="560"/>
        <v>0</v>
      </c>
      <c r="AN936" s="17">
        <f t="shared" si="561"/>
        <v>0</v>
      </c>
      <c r="AO936" s="17">
        <f t="shared" si="562"/>
        <v>0</v>
      </c>
      <c r="AP936" s="17">
        <f t="shared" si="563"/>
        <v>1000</v>
      </c>
      <c r="AQ936" s="18">
        <v>10.900841169046663</v>
      </c>
      <c r="AR936" s="18">
        <v>13.036382462492737</v>
      </c>
      <c r="AS936" s="18">
        <v>11.537294013399677</v>
      </c>
      <c r="AT936" s="18">
        <v>8.7390562747326648</v>
      </c>
      <c r="AU936" s="18">
        <v>12.673712695455297</v>
      </c>
      <c r="AV936" s="18">
        <v>10.386093492991437</v>
      </c>
      <c r="AW936" s="18">
        <v>10.340079002925576</v>
      </c>
      <c r="AX936" s="18">
        <v>7.0218745949265218</v>
      </c>
      <c r="AY936" s="18">
        <v>10.408525679902182</v>
      </c>
      <c r="AZ936" s="18">
        <v>9.0644878570581167</v>
      </c>
      <c r="BA936" s="18">
        <v>9.2551857013296441</v>
      </c>
      <c r="BB936" s="18">
        <v>9.0397359323852626</v>
      </c>
      <c r="BC936" s="23">
        <v>8.9181565948742242E-2</v>
      </c>
      <c r="BD936" s="23">
        <v>0.10665277883445198</v>
      </c>
      <c r="BE936" s="23">
        <v>9.438849084854764E-2</v>
      </c>
      <c r="BF936" s="23">
        <v>7.149564986855049E-2</v>
      </c>
      <c r="BG936" s="23">
        <v>0.10368571810536763</v>
      </c>
      <c r="BH936" s="23">
        <v>8.4970330952544637E-2</v>
      </c>
      <c r="BI936" s="23">
        <v>8.4593878877262704E-2</v>
      </c>
      <c r="BJ936" s="23">
        <v>5.7447105462779965E-2</v>
      </c>
      <c r="BK936" s="23">
        <v>8.5153852345557474E-2</v>
      </c>
      <c r="BL936" s="23">
        <v>7.4158058913035174E-2</v>
      </c>
      <c r="BM936" s="23">
        <v>7.5718189192107169E-2</v>
      </c>
      <c r="BN936" s="23">
        <v>7.3955559365675619E-2</v>
      </c>
    </row>
    <row r="937" spans="1:66" x14ac:dyDescent="0.25">
      <c r="A937" s="16">
        <v>16507</v>
      </c>
      <c r="B937" s="16" t="s">
        <v>1131</v>
      </c>
      <c r="C937" s="17">
        <v>0</v>
      </c>
      <c r="D937" s="17">
        <f t="shared" si="527"/>
        <v>0</v>
      </c>
      <c r="E937" s="17">
        <f t="shared" si="528"/>
        <v>0</v>
      </c>
      <c r="F937" s="17">
        <f t="shared" si="529"/>
        <v>0</v>
      </c>
      <c r="G937" s="17">
        <f t="shared" si="530"/>
        <v>0</v>
      </c>
      <c r="H937" s="17">
        <f t="shared" si="531"/>
        <v>0</v>
      </c>
      <c r="I937" s="17">
        <f t="shared" si="532"/>
        <v>0</v>
      </c>
      <c r="J937" s="17">
        <f t="shared" si="533"/>
        <v>0</v>
      </c>
      <c r="K937" s="17">
        <f t="shared" si="534"/>
        <v>0</v>
      </c>
      <c r="L937" s="17">
        <f t="shared" si="535"/>
        <v>0</v>
      </c>
      <c r="M937" s="17">
        <f t="shared" si="536"/>
        <v>0</v>
      </c>
      <c r="N937" s="17">
        <f t="shared" si="537"/>
        <v>0</v>
      </c>
      <c r="O937" s="17">
        <f t="shared" si="538"/>
        <v>0</v>
      </c>
      <c r="P937" s="17">
        <v>0</v>
      </c>
      <c r="Q937" s="17">
        <f t="shared" si="539"/>
        <v>0</v>
      </c>
      <c r="R937" s="17">
        <f t="shared" si="540"/>
        <v>0</v>
      </c>
      <c r="S937" s="17">
        <f t="shared" si="541"/>
        <v>0</v>
      </c>
      <c r="T937" s="17">
        <f t="shared" si="542"/>
        <v>0</v>
      </c>
      <c r="U937" s="17">
        <f t="shared" si="543"/>
        <v>0</v>
      </c>
      <c r="V937" s="17">
        <f t="shared" si="544"/>
        <v>0</v>
      </c>
      <c r="W937" s="17">
        <f t="shared" si="545"/>
        <v>0</v>
      </c>
      <c r="X937" s="17">
        <f t="shared" si="546"/>
        <v>0</v>
      </c>
      <c r="Y937" s="17">
        <f t="shared" si="547"/>
        <v>0</v>
      </c>
      <c r="Z937" s="17">
        <f t="shared" si="548"/>
        <v>0</v>
      </c>
      <c r="AA937" s="17">
        <f t="shared" si="549"/>
        <v>0</v>
      </c>
      <c r="AB937" s="17">
        <f t="shared" si="550"/>
        <v>0</v>
      </c>
      <c r="AC937" s="17">
        <v>0</v>
      </c>
      <c r="AD937" s="17">
        <f t="shared" si="551"/>
        <v>0</v>
      </c>
      <c r="AE937" s="17">
        <f t="shared" si="552"/>
        <v>0</v>
      </c>
      <c r="AF937" s="17">
        <f t="shared" si="553"/>
        <v>0</v>
      </c>
      <c r="AG937" s="17">
        <f t="shared" si="554"/>
        <v>0</v>
      </c>
      <c r="AH937" s="17">
        <f t="shared" si="555"/>
        <v>0</v>
      </c>
      <c r="AI937" s="17">
        <f t="shared" si="556"/>
        <v>0</v>
      </c>
      <c r="AJ937" s="17">
        <f t="shared" si="557"/>
        <v>0</v>
      </c>
      <c r="AK937" s="17">
        <f t="shared" si="558"/>
        <v>0</v>
      </c>
      <c r="AL937" s="17">
        <f t="shared" si="559"/>
        <v>0</v>
      </c>
      <c r="AM937" s="17">
        <f t="shared" si="560"/>
        <v>0</v>
      </c>
      <c r="AN937" s="17">
        <f t="shared" si="561"/>
        <v>0</v>
      </c>
      <c r="AO937" s="17">
        <f t="shared" si="562"/>
        <v>0</v>
      </c>
      <c r="AP937" s="17">
        <f t="shared" si="563"/>
        <v>0</v>
      </c>
      <c r="AQ937" s="18">
        <v>46.101964609372565</v>
      </c>
      <c r="AR937" s="18">
        <v>55.133620754575787</v>
      </c>
      <c r="AS937" s="18">
        <v>48.793658401702466</v>
      </c>
      <c r="AT937" s="18">
        <v>36.959318721297834</v>
      </c>
      <c r="AU937" s="18">
        <v>53.599813545979273</v>
      </c>
      <c r="AV937" s="18">
        <v>43.92498773426319</v>
      </c>
      <c r="AW937" s="18">
        <v>43.73038271620657</v>
      </c>
      <c r="AX937" s="18">
        <v>29.696993933456792</v>
      </c>
      <c r="AY937" s="18">
        <v>44.019858200774209</v>
      </c>
      <c r="AZ937" s="18">
        <v>38.335637764798975</v>
      </c>
      <c r="BA937" s="18">
        <v>39.142139311913844</v>
      </c>
      <c r="BB937" s="18">
        <v>38.230956636289186</v>
      </c>
      <c r="BC937" s="23">
        <v>8.9181565948742242E-2</v>
      </c>
      <c r="BD937" s="23">
        <v>0.10665277883445198</v>
      </c>
      <c r="BE937" s="23">
        <v>9.438849084854764E-2</v>
      </c>
      <c r="BF937" s="23">
        <v>7.149564986855049E-2</v>
      </c>
      <c r="BG937" s="23">
        <v>0.10368571810536763</v>
      </c>
      <c r="BH937" s="23">
        <v>8.4970330952544637E-2</v>
      </c>
      <c r="BI937" s="23">
        <v>8.4593878877262704E-2</v>
      </c>
      <c r="BJ937" s="23">
        <v>5.7447105462779965E-2</v>
      </c>
      <c r="BK937" s="23">
        <v>8.5153852345557474E-2</v>
      </c>
      <c r="BL937" s="23">
        <v>7.4158058913035174E-2</v>
      </c>
      <c r="BM937" s="23">
        <v>7.5718189192107169E-2</v>
      </c>
      <c r="BN937" s="23">
        <v>7.3955559365675619E-2</v>
      </c>
    </row>
    <row r="938" spans="1:66" x14ac:dyDescent="0.25">
      <c r="A938" s="16">
        <v>16520</v>
      </c>
      <c r="B938" s="16" t="s">
        <v>1132</v>
      </c>
      <c r="C938" s="17">
        <v>0</v>
      </c>
      <c r="D938" s="17">
        <f t="shared" si="527"/>
        <v>0</v>
      </c>
      <c r="E938" s="17">
        <f t="shared" si="528"/>
        <v>0</v>
      </c>
      <c r="F938" s="17">
        <f t="shared" si="529"/>
        <v>0</v>
      </c>
      <c r="G938" s="17">
        <f t="shared" si="530"/>
        <v>0</v>
      </c>
      <c r="H938" s="17">
        <f t="shared" si="531"/>
        <v>0</v>
      </c>
      <c r="I938" s="17">
        <f t="shared" si="532"/>
        <v>0</v>
      </c>
      <c r="J938" s="17">
        <f t="shared" si="533"/>
        <v>0</v>
      </c>
      <c r="K938" s="17">
        <f t="shared" si="534"/>
        <v>0</v>
      </c>
      <c r="L938" s="17">
        <f t="shared" si="535"/>
        <v>0</v>
      </c>
      <c r="M938" s="17">
        <f t="shared" si="536"/>
        <v>0</v>
      </c>
      <c r="N938" s="17">
        <f t="shared" si="537"/>
        <v>0</v>
      </c>
      <c r="O938" s="17">
        <f t="shared" si="538"/>
        <v>0</v>
      </c>
      <c r="P938" s="17">
        <v>0</v>
      </c>
      <c r="Q938" s="17">
        <f t="shared" si="539"/>
        <v>0</v>
      </c>
      <c r="R938" s="17">
        <f t="shared" si="540"/>
        <v>0</v>
      </c>
      <c r="S938" s="17">
        <f t="shared" si="541"/>
        <v>0</v>
      </c>
      <c r="T938" s="17">
        <f t="shared" si="542"/>
        <v>0</v>
      </c>
      <c r="U938" s="17">
        <f t="shared" si="543"/>
        <v>0</v>
      </c>
      <c r="V938" s="17">
        <f t="shared" si="544"/>
        <v>0</v>
      </c>
      <c r="W938" s="17">
        <f t="shared" si="545"/>
        <v>0</v>
      </c>
      <c r="X938" s="17">
        <f t="shared" si="546"/>
        <v>0</v>
      </c>
      <c r="Y938" s="17">
        <f t="shared" si="547"/>
        <v>0</v>
      </c>
      <c r="Z938" s="17">
        <f t="shared" si="548"/>
        <v>0</v>
      </c>
      <c r="AA938" s="17">
        <f t="shared" si="549"/>
        <v>0</v>
      </c>
      <c r="AB938" s="17">
        <f t="shared" si="550"/>
        <v>0</v>
      </c>
      <c r="AC938" s="17">
        <v>0</v>
      </c>
      <c r="AD938" s="17">
        <f t="shared" si="551"/>
        <v>0</v>
      </c>
      <c r="AE938" s="17">
        <f t="shared" si="552"/>
        <v>0</v>
      </c>
      <c r="AF938" s="17">
        <f t="shared" si="553"/>
        <v>0</v>
      </c>
      <c r="AG938" s="17">
        <f t="shared" si="554"/>
        <v>0</v>
      </c>
      <c r="AH938" s="17">
        <f t="shared" si="555"/>
        <v>0</v>
      </c>
      <c r="AI938" s="17">
        <f t="shared" si="556"/>
        <v>0</v>
      </c>
      <c r="AJ938" s="17">
        <f t="shared" si="557"/>
        <v>0</v>
      </c>
      <c r="AK938" s="17">
        <f t="shared" si="558"/>
        <v>0</v>
      </c>
      <c r="AL938" s="17">
        <f t="shared" si="559"/>
        <v>0</v>
      </c>
      <c r="AM938" s="17">
        <f t="shared" si="560"/>
        <v>0</v>
      </c>
      <c r="AN938" s="17">
        <f t="shared" si="561"/>
        <v>0</v>
      </c>
      <c r="AO938" s="17">
        <f t="shared" si="562"/>
        <v>0</v>
      </c>
      <c r="AP938" s="17">
        <f t="shared" si="563"/>
        <v>0</v>
      </c>
      <c r="AQ938" s="18">
        <v>0</v>
      </c>
      <c r="AR938" s="18">
        <v>0</v>
      </c>
      <c r="AS938" s="18">
        <v>0</v>
      </c>
      <c r="AT938" s="18">
        <v>0</v>
      </c>
      <c r="AU938" s="18">
        <v>0</v>
      </c>
      <c r="AV938" s="18">
        <v>0</v>
      </c>
      <c r="AW938" s="18">
        <v>0</v>
      </c>
      <c r="AX938" s="18">
        <v>0</v>
      </c>
      <c r="AY938" s="18">
        <v>0</v>
      </c>
      <c r="AZ938" s="18">
        <v>0</v>
      </c>
      <c r="BA938" s="18">
        <v>0</v>
      </c>
      <c r="BB938" s="18">
        <v>0</v>
      </c>
      <c r="BC938" s="23">
        <v>8.9181565948742242E-2</v>
      </c>
      <c r="BD938" s="23">
        <v>0.10665277883445198</v>
      </c>
      <c r="BE938" s="23">
        <v>9.438849084854764E-2</v>
      </c>
      <c r="BF938" s="23">
        <v>7.149564986855049E-2</v>
      </c>
      <c r="BG938" s="23">
        <v>0.10368571810536763</v>
      </c>
      <c r="BH938" s="23">
        <v>8.4970330952544637E-2</v>
      </c>
      <c r="BI938" s="23">
        <v>8.4593878877262704E-2</v>
      </c>
      <c r="BJ938" s="23">
        <v>5.7447105462779965E-2</v>
      </c>
      <c r="BK938" s="23">
        <v>8.5153852345557474E-2</v>
      </c>
      <c r="BL938" s="23">
        <v>7.4158058913035174E-2</v>
      </c>
      <c r="BM938" s="23">
        <v>7.5718189192107169E-2</v>
      </c>
      <c r="BN938" s="23">
        <v>7.3955559365675619E-2</v>
      </c>
    </row>
    <row r="939" spans="1:66" x14ac:dyDescent="0.25">
      <c r="A939" s="16">
        <v>16521</v>
      </c>
      <c r="B939" s="16" t="s">
        <v>1133</v>
      </c>
      <c r="C939" s="17">
        <v>0</v>
      </c>
      <c r="D939" s="17">
        <f t="shared" si="527"/>
        <v>0</v>
      </c>
      <c r="E939" s="17">
        <f t="shared" si="528"/>
        <v>0</v>
      </c>
      <c r="F939" s="17">
        <f t="shared" si="529"/>
        <v>0</v>
      </c>
      <c r="G939" s="17">
        <f t="shared" si="530"/>
        <v>0</v>
      </c>
      <c r="H939" s="17">
        <f t="shared" si="531"/>
        <v>0</v>
      </c>
      <c r="I939" s="17">
        <f t="shared" si="532"/>
        <v>0</v>
      </c>
      <c r="J939" s="17">
        <f t="shared" si="533"/>
        <v>0</v>
      </c>
      <c r="K939" s="17">
        <f t="shared" si="534"/>
        <v>0</v>
      </c>
      <c r="L939" s="17">
        <f t="shared" si="535"/>
        <v>0</v>
      </c>
      <c r="M939" s="17">
        <f t="shared" si="536"/>
        <v>0</v>
      </c>
      <c r="N939" s="17">
        <f t="shared" si="537"/>
        <v>0</v>
      </c>
      <c r="O939" s="17">
        <f t="shared" si="538"/>
        <v>0</v>
      </c>
      <c r="P939" s="17">
        <v>5000</v>
      </c>
      <c r="Q939" s="17">
        <f t="shared" si="539"/>
        <v>445.9078297437112</v>
      </c>
      <c r="R939" s="17">
        <f t="shared" si="540"/>
        <v>533.26389417225994</v>
      </c>
      <c r="S939" s="17">
        <f t="shared" si="541"/>
        <v>471.94245424273822</v>
      </c>
      <c r="T939" s="17">
        <f t="shared" si="542"/>
        <v>357.47824934275246</v>
      </c>
      <c r="U939" s="17">
        <f t="shared" si="543"/>
        <v>518.42859052683809</v>
      </c>
      <c r="V939" s="17">
        <f t="shared" si="544"/>
        <v>424.85165476272317</v>
      </c>
      <c r="W939" s="17">
        <f t="shared" si="545"/>
        <v>422.96939438631352</v>
      </c>
      <c r="X939" s="17">
        <f t="shared" si="546"/>
        <v>287.23552731389981</v>
      </c>
      <c r="Y939" s="17">
        <f t="shared" si="547"/>
        <v>425.76926172778735</v>
      </c>
      <c r="Z939" s="17">
        <f t="shared" si="548"/>
        <v>370.79029456517588</v>
      </c>
      <c r="AA939" s="17">
        <f t="shared" si="549"/>
        <v>378.59094596053586</v>
      </c>
      <c r="AB939" s="17">
        <f t="shared" si="550"/>
        <v>369.77779682837809</v>
      </c>
      <c r="AC939" s="17">
        <v>0</v>
      </c>
      <c r="AD939" s="17">
        <f t="shared" si="551"/>
        <v>0</v>
      </c>
      <c r="AE939" s="17">
        <f t="shared" si="552"/>
        <v>0</v>
      </c>
      <c r="AF939" s="17">
        <f t="shared" si="553"/>
        <v>0</v>
      </c>
      <c r="AG939" s="17">
        <f t="shared" si="554"/>
        <v>0</v>
      </c>
      <c r="AH939" s="17">
        <f t="shared" si="555"/>
        <v>0</v>
      </c>
      <c r="AI939" s="17">
        <f t="shared" si="556"/>
        <v>0</v>
      </c>
      <c r="AJ939" s="17">
        <f t="shared" si="557"/>
        <v>0</v>
      </c>
      <c r="AK939" s="17">
        <f t="shared" si="558"/>
        <v>0</v>
      </c>
      <c r="AL939" s="17">
        <f t="shared" si="559"/>
        <v>0</v>
      </c>
      <c r="AM939" s="17">
        <f t="shared" si="560"/>
        <v>0</v>
      </c>
      <c r="AN939" s="17">
        <f t="shared" si="561"/>
        <v>0</v>
      </c>
      <c r="AO939" s="17">
        <f t="shared" si="562"/>
        <v>0</v>
      </c>
      <c r="AP939" s="17">
        <f t="shared" si="563"/>
        <v>5000</v>
      </c>
      <c r="AQ939" s="18">
        <v>29.528016485628559</v>
      </c>
      <c r="AR939" s="18">
        <v>35.312735072087051</v>
      </c>
      <c r="AS939" s="18">
        <v>31.252029319954126</v>
      </c>
      <c r="AT939" s="18">
        <v>23.67220967147707</v>
      </c>
      <c r="AU939" s="18">
        <v>34.33034126468722</v>
      </c>
      <c r="AV939" s="18">
        <v>28.133676578387533</v>
      </c>
      <c r="AW939" s="18">
        <v>28.009033296261684</v>
      </c>
      <c r="AX939" s="18">
        <v>19.020736618726449</v>
      </c>
      <c r="AY939" s="18">
        <v>28.194440511614083</v>
      </c>
      <c r="AZ939" s="18">
        <v>24.553733306105947</v>
      </c>
      <c r="BA939" s="18">
        <v>25.070292441506684</v>
      </c>
      <c r="BB939" s="18">
        <v>24.486685705975198</v>
      </c>
      <c r="BC939" s="23">
        <v>8.9181565948742242E-2</v>
      </c>
      <c r="BD939" s="23">
        <v>0.10665277883445198</v>
      </c>
      <c r="BE939" s="23">
        <v>9.438849084854764E-2</v>
      </c>
      <c r="BF939" s="23">
        <v>7.149564986855049E-2</v>
      </c>
      <c r="BG939" s="23">
        <v>0.10368571810536763</v>
      </c>
      <c r="BH939" s="23">
        <v>8.4970330952544637E-2</v>
      </c>
      <c r="BI939" s="23">
        <v>8.4593878877262704E-2</v>
      </c>
      <c r="BJ939" s="23">
        <v>5.7447105462779965E-2</v>
      </c>
      <c r="BK939" s="23">
        <v>8.5153852345557474E-2</v>
      </c>
      <c r="BL939" s="23">
        <v>7.4158058913035174E-2</v>
      </c>
      <c r="BM939" s="23">
        <v>7.5718189192107169E-2</v>
      </c>
      <c r="BN939" s="23">
        <v>7.3955559365675619E-2</v>
      </c>
    </row>
    <row r="940" spans="1:66" x14ac:dyDescent="0.25">
      <c r="A940" s="16">
        <v>16522</v>
      </c>
      <c r="B940" s="16" t="s">
        <v>1134</v>
      </c>
      <c r="C940" s="17">
        <v>0</v>
      </c>
      <c r="D940" s="17">
        <f t="shared" si="527"/>
        <v>0</v>
      </c>
      <c r="E940" s="17">
        <f t="shared" si="528"/>
        <v>0</v>
      </c>
      <c r="F940" s="17">
        <f t="shared" si="529"/>
        <v>0</v>
      </c>
      <c r="G940" s="17">
        <f t="shared" si="530"/>
        <v>0</v>
      </c>
      <c r="H940" s="17">
        <f t="shared" si="531"/>
        <v>0</v>
      </c>
      <c r="I940" s="17">
        <f t="shared" si="532"/>
        <v>0</v>
      </c>
      <c r="J940" s="17">
        <f t="shared" si="533"/>
        <v>0</v>
      </c>
      <c r="K940" s="17">
        <f t="shared" si="534"/>
        <v>0</v>
      </c>
      <c r="L940" s="17">
        <f t="shared" si="535"/>
        <v>0</v>
      </c>
      <c r="M940" s="17">
        <f t="shared" si="536"/>
        <v>0</v>
      </c>
      <c r="N940" s="17">
        <f t="shared" si="537"/>
        <v>0</v>
      </c>
      <c r="O940" s="17">
        <f t="shared" si="538"/>
        <v>0</v>
      </c>
      <c r="P940" s="17">
        <v>2000</v>
      </c>
      <c r="Q940" s="17">
        <f t="shared" si="539"/>
        <v>178.36313189748449</v>
      </c>
      <c r="R940" s="17">
        <f t="shared" si="540"/>
        <v>213.30555766890396</v>
      </c>
      <c r="S940" s="17">
        <f t="shared" si="541"/>
        <v>188.77698169709529</v>
      </c>
      <c r="T940" s="17">
        <f t="shared" si="542"/>
        <v>142.99129973710097</v>
      </c>
      <c r="U940" s="17">
        <f t="shared" si="543"/>
        <v>207.37143621073525</v>
      </c>
      <c r="V940" s="17">
        <f t="shared" si="544"/>
        <v>169.94066190508929</v>
      </c>
      <c r="W940" s="17">
        <f t="shared" si="545"/>
        <v>169.18775775452542</v>
      </c>
      <c r="X940" s="17">
        <f t="shared" si="546"/>
        <v>114.89421092555993</v>
      </c>
      <c r="Y940" s="17">
        <f t="shared" si="547"/>
        <v>170.30770469111494</v>
      </c>
      <c r="Z940" s="17">
        <f t="shared" si="548"/>
        <v>148.31611782607035</v>
      </c>
      <c r="AA940" s="17">
        <f t="shared" si="549"/>
        <v>151.43637838421435</v>
      </c>
      <c r="AB940" s="17">
        <f t="shared" si="550"/>
        <v>147.91111873135125</v>
      </c>
      <c r="AC940" s="17">
        <v>0</v>
      </c>
      <c r="AD940" s="17">
        <f t="shared" si="551"/>
        <v>0</v>
      </c>
      <c r="AE940" s="17">
        <f t="shared" si="552"/>
        <v>0</v>
      </c>
      <c r="AF940" s="17">
        <f t="shared" si="553"/>
        <v>0</v>
      </c>
      <c r="AG940" s="17">
        <f t="shared" si="554"/>
        <v>0</v>
      </c>
      <c r="AH940" s="17">
        <f t="shared" si="555"/>
        <v>0</v>
      </c>
      <c r="AI940" s="17">
        <f t="shared" si="556"/>
        <v>0</v>
      </c>
      <c r="AJ940" s="17">
        <f t="shared" si="557"/>
        <v>0</v>
      </c>
      <c r="AK940" s="17">
        <f t="shared" si="558"/>
        <v>0</v>
      </c>
      <c r="AL940" s="17">
        <f t="shared" si="559"/>
        <v>0</v>
      </c>
      <c r="AM940" s="17">
        <f t="shared" si="560"/>
        <v>0</v>
      </c>
      <c r="AN940" s="17">
        <f t="shared" si="561"/>
        <v>0</v>
      </c>
      <c r="AO940" s="17">
        <f t="shared" si="562"/>
        <v>0</v>
      </c>
      <c r="AP940" s="17">
        <f t="shared" si="563"/>
        <v>2000</v>
      </c>
      <c r="AQ940" s="18">
        <v>0</v>
      </c>
      <c r="AR940" s="18">
        <v>0</v>
      </c>
      <c r="AS940" s="18">
        <v>0</v>
      </c>
      <c r="AT940" s="18">
        <v>0</v>
      </c>
      <c r="AU940" s="18">
        <v>0</v>
      </c>
      <c r="AV940" s="18">
        <v>0</v>
      </c>
      <c r="AW940" s="18">
        <v>0</v>
      </c>
      <c r="AX940" s="18">
        <v>0</v>
      </c>
      <c r="AY940" s="18">
        <v>0</v>
      </c>
      <c r="AZ940" s="18">
        <v>0</v>
      </c>
      <c r="BA940" s="18">
        <v>0</v>
      </c>
      <c r="BB940" s="18">
        <v>0</v>
      </c>
      <c r="BC940" s="23">
        <v>8.9181565948742242E-2</v>
      </c>
      <c r="BD940" s="23">
        <v>0.10665277883445198</v>
      </c>
      <c r="BE940" s="23">
        <v>9.438849084854764E-2</v>
      </c>
      <c r="BF940" s="23">
        <v>7.149564986855049E-2</v>
      </c>
      <c r="BG940" s="23">
        <v>0.10368571810536763</v>
      </c>
      <c r="BH940" s="23">
        <v>8.4970330952544637E-2</v>
      </c>
      <c r="BI940" s="23">
        <v>8.4593878877262704E-2</v>
      </c>
      <c r="BJ940" s="23">
        <v>5.7447105462779965E-2</v>
      </c>
      <c r="BK940" s="23">
        <v>8.5153852345557474E-2</v>
      </c>
      <c r="BL940" s="23">
        <v>7.4158058913035174E-2</v>
      </c>
      <c r="BM940" s="23">
        <v>7.5718189192107169E-2</v>
      </c>
      <c r="BN940" s="23">
        <v>7.3955559365675619E-2</v>
      </c>
    </row>
    <row r="941" spans="1:66" x14ac:dyDescent="0.25">
      <c r="A941" s="16">
        <v>16616</v>
      </c>
      <c r="B941" s="16" t="s">
        <v>1135</v>
      </c>
      <c r="C941" s="17">
        <v>0</v>
      </c>
      <c r="D941" s="17">
        <f t="shared" si="527"/>
        <v>0</v>
      </c>
      <c r="E941" s="17">
        <f t="shared" si="528"/>
        <v>0</v>
      </c>
      <c r="F941" s="17">
        <f t="shared" si="529"/>
        <v>0</v>
      </c>
      <c r="G941" s="17">
        <f t="shared" si="530"/>
        <v>0</v>
      </c>
      <c r="H941" s="17">
        <f t="shared" si="531"/>
        <v>0</v>
      </c>
      <c r="I941" s="17">
        <f t="shared" si="532"/>
        <v>0</v>
      </c>
      <c r="J941" s="17">
        <f t="shared" si="533"/>
        <v>0</v>
      </c>
      <c r="K941" s="17">
        <f t="shared" si="534"/>
        <v>0</v>
      </c>
      <c r="L941" s="17">
        <f t="shared" si="535"/>
        <v>0</v>
      </c>
      <c r="M941" s="17">
        <f t="shared" si="536"/>
        <v>0</v>
      </c>
      <c r="N941" s="17">
        <f t="shared" si="537"/>
        <v>0</v>
      </c>
      <c r="O941" s="17">
        <f t="shared" si="538"/>
        <v>0</v>
      </c>
      <c r="P941" s="17">
        <v>1000</v>
      </c>
      <c r="Q941" s="17">
        <f t="shared" si="539"/>
        <v>89.181565948742247</v>
      </c>
      <c r="R941" s="17">
        <f t="shared" si="540"/>
        <v>106.65277883445198</v>
      </c>
      <c r="S941" s="17">
        <f t="shared" si="541"/>
        <v>94.388490848547647</v>
      </c>
      <c r="T941" s="17">
        <f t="shared" si="542"/>
        <v>71.495649868550487</v>
      </c>
      <c r="U941" s="17">
        <f t="shared" si="543"/>
        <v>103.68571810536763</v>
      </c>
      <c r="V941" s="17">
        <f t="shared" si="544"/>
        <v>84.970330952544643</v>
      </c>
      <c r="W941" s="17">
        <f t="shared" si="545"/>
        <v>84.593878877262711</v>
      </c>
      <c r="X941" s="17">
        <f t="shared" si="546"/>
        <v>57.447105462779966</v>
      </c>
      <c r="Y941" s="17">
        <f t="shared" si="547"/>
        <v>85.153852345557468</v>
      </c>
      <c r="Z941" s="17">
        <f t="shared" si="548"/>
        <v>74.158058913035177</v>
      </c>
      <c r="AA941" s="17">
        <f t="shared" si="549"/>
        <v>75.718189192107175</v>
      </c>
      <c r="AB941" s="17">
        <f t="shared" si="550"/>
        <v>73.955559365675626</v>
      </c>
      <c r="AC941" s="17">
        <v>0</v>
      </c>
      <c r="AD941" s="17">
        <f t="shared" si="551"/>
        <v>0</v>
      </c>
      <c r="AE941" s="17">
        <f t="shared" si="552"/>
        <v>0</v>
      </c>
      <c r="AF941" s="17">
        <f t="shared" si="553"/>
        <v>0</v>
      </c>
      <c r="AG941" s="17">
        <f t="shared" si="554"/>
        <v>0</v>
      </c>
      <c r="AH941" s="17">
        <f t="shared" si="555"/>
        <v>0</v>
      </c>
      <c r="AI941" s="17">
        <f t="shared" si="556"/>
        <v>0</v>
      </c>
      <c r="AJ941" s="17">
        <f t="shared" si="557"/>
        <v>0</v>
      </c>
      <c r="AK941" s="17">
        <f t="shared" si="558"/>
        <v>0</v>
      </c>
      <c r="AL941" s="17">
        <f t="shared" si="559"/>
        <v>0</v>
      </c>
      <c r="AM941" s="17">
        <f t="shared" si="560"/>
        <v>0</v>
      </c>
      <c r="AN941" s="17">
        <f t="shared" si="561"/>
        <v>0</v>
      </c>
      <c r="AO941" s="17">
        <f t="shared" si="562"/>
        <v>0</v>
      </c>
      <c r="AP941" s="17">
        <f t="shared" si="563"/>
        <v>1000</v>
      </c>
      <c r="AQ941" s="18">
        <v>66.321298422837359</v>
      </c>
      <c r="AR941" s="18">
        <v>79.314045424701575</v>
      </c>
      <c r="AS941" s="18">
        <v>70.193511435376038</v>
      </c>
      <c r="AT941" s="18">
        <v>53.168883955145475</v>
      </c>
      <c r="AU941" s="18">
        <v>77.107543240546335</v>
      </c>
      <c r="AV941" s="18">
        <v>63.189546138155066</v>
      </c>
      <c r="AW941" s="18">
        <v>62.909591529138453</v>
      </c>
      <c r="AX941" s="18">
        <v>42.721459131083726</v>
      </c>
      <c r="AY941" s="18">
        <v>63.32602475841135</v>
      </c>
      <c r="AZ941" s="18">
        <v>55.148827039621217</v>
      </c>
      <c r="BA941" s="18">
        <v>56.309042883737575</v>
      </c>
      <c r="BB941" s="18">
        <v>54.998235011234527</v>
      </c>
      <c r="BC941" s="23">
        <v>8.9181565948742242E-2</v>
      </c>
      <c r="BD941" s="23">
        <v>0.10665277883445198</v>
      </c>
      <c r="BE941" s="23">
        <v>9.438849084854764E-2</v>
      </c>
      <c r="BF941" s="23">
        <v>7.149564986855049E-2</v>
      </c>
      <c r="BG941" s="23">
        <v>0.10368571810536763</v>
      </c>
      <c r="BH941" s="23">
        <v>8.4970330952544637E-2</v>
      </c>
      <c r="BI941" s="23">
        <v>8.4593878877262704E-2</v>
      </c>
      <c r="BJ941" s="23">
        <v>5.7447105462779965E-2</v>
      </c>
      <c r="BK941" s="23">
        <v>8.5153852345557474E-2</v>
      </c>
      <c r="BL941" s="23">
        <v>7.4158058913035174E-2</v>
      </c>
      <c r="BM941" s="23">
        <v>7.5718189192107169E-2</v>
      </c>
      <c r="BN941" s="23">
        <v>7.3955559365675619E-2</v>
      </c>
    </row>
    <row r="942" spans="1:66" x14ac:dyDescent="0.25">
      <c r="A942" s="16">
        <v>16995</v>
      </c>
      <c r="B942" s="16" t="s">
        <v>1136</v>
      </c>
      <c r="C942" s="17">
        <v>0</v>
      </c>
      <c r="D942" s="17">
        <f t="shared" si="527"/>
        <v>0</v>
      </c>
      <c r="E942" s="17">
        <f t="shared" si="528"/>
        <v>0</v>
      </c>
      <c r="F942" s="17">
        <f t="shared" si="529"/>
        <v>0</v>
      </c>
      <c r="G942" s="17">
        <f t="shared" si="530"/>
        <v>0</v>
      </c>
      <c r="H942" s="17">
        <f t="shared" si="531"/>
        <v>0</v>
      </c>
      <c r="I942" s="17">
        <f t="shared" si="532"/>
        <v>0</v>
      </c>
      <c r="J942" s="17">
        <f t="shared" si="533"/>
        <v>0</v>
      </c>
      <c r="K942" s="17">
        <f t="shared" si="534"/>
        <v>0</v>
      </c>
      <c r="L942" s="17">
        <f t="shared" si="535"/>
        <v>0</v>
      </c>
      <c r="M942" s="17">
        <f t="shared" si="536"/>
        <v>0</v>
      </c>
      <c r="N942" s="17">
        <f t="shared" si="537"/>
        <v>0</v>
      </c>
      <c r="O942" s="17">
        <f t="shared" si="538"/>
        <v>0</v>
      </c>
      <c r="P942" s="17">
        <v>0</v>
      </c>
      <c r="Q942" s="17">
        <f t="shared" si="539"/>
        <v>0</v>
      </c>
      <c r="R942" s="17">
        <f t="shared" si="540"/>
        <v>0</v>
      </c>
      <c r="S942" s="17">
        <f t="shared" si="541"/>
        <v>0</v>
      </c>
      <c r="T942" s="17">
        <f t="shared" si="542"/>
        <v>0</v>
      </c>
      <c r="U942" s="17">
        <f t="shared" si="543"/>
        <v>0</v>
      </c>
      <c r="V942" s="17">
        <f t="shared" si="544"/>
        <v>0</v>
      </c>
      <c r="W942" s="17">
        <f t="shared" si="545"/>
        <v>0</v>
      </c>
      <c r="X942" s="17">
        <f t="shared" si="546"/>
        <v>0</v>
      </c>
      <c r="Y942" s="17">
        <f t="shared" si="547"/>
        <v>0</v>
      </c>
      <c r="Z942" s="17">
        <f t="shared" si="548"/>
        <v>0</v>
      </c>
      <c r="AA942" s="17">
        <f t="shared" si="549"/>
        <v>0</v>
      </c>
      <c r="AB942" s="17">
        <f t="shared" si="550"/>
        <v>0</v>
      </c>
      <c r="AC942" s="17">
        <v>0</v>
      </c>
      <c r="AD942" s="17">
        <f t="shared" si="551"/>
        <v>0</v>
      </c>
      <c r="AE942" s="17">
        <f t="shared" si="552"/>
        <v>0</v>
      </c>
      <c r="AF942" s="17">
        <f t="shared" si="553"/>
        <v>0</v>
      </c>
      <c r="AG942" s="17">
        <f t="shared" si="554"/>
        <v>0</v>
      </c>
      <c r="AH942" s="17">
        <f t="shared" si="555"/>
        <v>0</v>
      </c>
      <c r="AI942" s="17">
        <f t="shared" si="556"/>
        <v>0</v>
      </c>
      <c r="AJ942" s="17">
        <f t="shared" si="557"/>
        <v>0</v>
      </c>
      <c r="AK942" s="17">
        <f t="shared" si="558"/>
        <v>0</v>
      </c>
      <c r="AL942" s="17">
        <f t="shared" si="559"/>
        <v>0</v>
      </c>
      <c r="AM942" s="17">
        <f t="shared" si="560"/>
        <v>0</v>
      </c>
      <c r="AN942" s="17">
        <f t="shared" si="561"/>
        <v>0</v>
      </c>
      <c r="AO942" s="17">
        <f t="shared" si="562"/>
        <v>0</v>
      </c>
      <c r="AP942" s="17">
        <f t="shared" si="563"/>
        <v>0</v>
      </c>
      <c r="AQ942" s="18">
        <v>117.5882134241313</v>
      </c>
      <c r="AR942" s="18">
        <v>140.62446186547461</v>
      </c>
      <c r="AS942" s="18">
        <v>124.45367928457212</v>
      </c>
      <c r="AT942" s="18">
        <v>94.268873238580397</v>
      </c>
      <c r="AU942" s="18">
        <v>136.71231515059793</v>
      </c>
      <c r="AV942" s="18">
        <v>112.03559058953486</v>
      </c>
      <c r="AW942" s="18">
        <v>111.53922874052166</v>
      </c>
      <c r="AX942" s="18">
        <v>75.745502177417407</v>
      </c>
      <c r="AY942" s="18">
        <v>112.2775683177785</v>
      </c>
      <c r="AZ942" s="18">
        <v>97.779328786368609</v>
      </c>
      <c r="BA942" s="18">
        <v>99.836401122712289</v>
      </c>
      <c r="BB942" s="18">
        <v>97.512327868186802</v>
      </c>
      <c r="BC942" s="23">
        <v>8.9181565948742242E-2</v>
      </c>
      <c r="BD942" s="23">
        <v>0.10665277883445198</v>
      </c>
      <c r="BE942" s="23">
        <v>9.438849084854764E-2</v>
      </c>
      <c r="BF942" s="23">
        <v>7.149564986855049E-2</v>
      </c>
      <c r="BG942" s="23">
        <v>0.10368571810536763</v>
      </c>
      <c r="BH942" s="23">
        <v>8.4970330952544637E-2</v>
      </c>
      <c r="BI942" s="23">
        <v>8.4593878877262704E-2</v>
      </c>
      <c r="BJ942" s="23">
        <v>5.7447105462779965E-2</v>
      </c>
      <c r="BK942" s="23">
        <v>8.5153852345557474E-2</v>
      </c>
      <c r="BL942" s="23">
        <v>7.4158058913035174E-2</v>
      </c>
      <c r="BM942" s="23">
        <v>7.5718189192107169E-2</v>
      </c>
      <c r="BN942" s="23">
        <v>7.3955559365675619E-2</v>
      </c>
    </row>
    <row r="943" spans="1:66" x14ac:dyDescent="0.25">
      <c r="A943" s="16">
        <v>17068</v>
      </c>
      <c r="B943" s="16" t="s">
        <v>1137</v>
      </c>
      <c r="C943" s="17">
        <v>0</v>
      </c>
      <c r="D943" s="17">
        <f t="shared" si="527"/>
        <v>0</v>
      </c>
      <c r="E943" s="17">
        <f t="shared" si="528"/>
        <v>0</v>
      </c>
      <c r="F943" s="17">
        <f t="shared" si="529"/>
        <v>0</v>
      </c>
      <c r="G943" s="17">
        <f t="shared" si="530"/>
        <v>0</v>
      </c>
      <c r="H943" s="17">
        <f t="shared" si="531"/>
        <v>0</v>
      </c>
      <c r="I943" s="17">
        <f t="shared" si="532"/>
        <v>0</v>
      </c>
      <c r="J943" s="17">
        <f t="shared" si="533"/>
        <v>0</v>
      </c>
      <c r="K943" s="17">
        <f t="shared" si="534"/>
        <v>0</v>
      </c>
      <c r="L943" s="17">
        <f t="shared" si="535"/>
        <v>0</v>
      </c>
      <c r="M943" s="17">
        <f t="shared" si="536"/>
        <v>0</v>
      </c>
      <c r="N943" s="17">
        <f t="shared" si="537"/>
        <v>0</v>
      </c>
      <c r="O943" s="17">
        <f t="shared" si="538"/>
        <v>0</v>
      </c>
      <c r="P943" s="17">
        <v>0</v>
      </c>
      <c r="Q943" s="17">
        <f t="shared" si="539"/>
        <v>0</v>
      </c>
      <c r="R943" s="17">
        <f t="shared" si="540"/>
        <v>0</v>
      </c>
      <c r="S943" s="17">
        <f t="shared" si="541"/>
        <v>0</v>
      </c>
      <c r="T943" s="17">
        <f t="shared" si="542"/>
        <v>0</v>
      </c>
      <c r="U943" s="17">
        <f t="shared" si="543"/>
        <v>0</v>
      </c>
      <c r="V943" s="17">
        <f t="shared" si="544"/>
        <v>0</v>
      </c>
      <c r="W943" s="17">
        <f t="shared" si="545"/>
        <v>0</v>
      </c>
      <c r="X943" s="17">
        <f t="shared" si="546"/>
        <v>0</v>
      </c>
      <c r="Y943" s="17">
        <f t="shared" si="547"/>
        <v>0</v>
      </c>
      <c r="Z943" s="17">
        <f t="shared" si="548"/>
        <v>0</v>
      </c>
      <c r="AA943" s="17">
        <f t="shared" si="549"/>
        <v>0</v>
      </c>
      <c r="AB943" s="17">
        <f t="shared" si="550"/>
        <v>0</v>
      </c>
      <c r="AC943" s="17">
        <v>0</v>
      </c>
      <c r="AD943" s="17">
        <f t="shared" si="551"/>
        <v>0</v>
      </c>
      <c r="AE943" s="17">
        <f t="shared" si="552"/>
        <v>0</v>
      </c>
      <c r="AF943" s="17">
        <f t="shared" si="553"/>
        <v>0</v>
      </c>
      <c r="AG943" s="17">
        <f t="shared" si="554"/>
        <v>0</v>
      </c>
      <c r="AH943" s="17">
        <f t="shared" si="555"/>
        <v>0</v>
      </c>
      <c r="AI943" s="17">
        <f t="shared" si="556"/>
        <v>0</v>
      </c>
      <c r="AJ943" s="17">
        <f t="shared" si="557"/>
        <v>0</v>
      </c>
      <c r="AK943" s="17">
        <f t="shared" si="558"/>
        <v>0</v>
      </c>
      <c r="AL943" s="17">
        <f t="shared" si="559"/>
        <v>0</v>
      </c>
      <c r="AM943" s="17">
        <f t="shared" si="560"/>
        <v>0</v>
      </c>
      <c r="AN943" s="17">
        <f t="shared" si="561"/>
        <v>0</v>
      </c>
      <c r="AO943" s="17">
        <f t="shared" si="562"/>
        <v>0</v>
      </c>
      <c r="AP943" s="17">
        <f t="shared" si="563"/>
        <v>0</v>
      </c>
      <c r="AQ943" s="18">
        <v>25.505927861340282</v>
      </c>
      <c r="AR943" s="18">
        <v>30.502694746653269</v>
      </c>
      <c r="AS943" s="18">
        <v>26.995108382684624</v>
      </c>
      <c r="AT943" s="18">
        <v>20.44775586240544</v>
      </c>
      <c r="AU943" s="18">
        <v>29.654115378135142</v>
      </c>
      <c r="AV943" s="18">
        <v>24.301514652427766</v>
      </c>
      <c r="AW943" s="18">
        <v>24.193849358897133</v>
      </c>
      <c r="AX943" s="18">
        <v>16.429872162355071</v>
      </c>
      <c r="AY943" s="18">
        <v>24.354001770829438</v>
      </c>
      <c r="AZ943" s="18">
        <v>21.20920484912806</v>
      </c>
      <c r="BA943" s="18">
        <v>21.655402108942649</v>
      </c>
      <c r="BB943" s="18">
        <v>21.151289978583225</v>
      </c>
      <c r="BC943" s="23">
        <v>8.9181565948742242E-2</v>
      </c>
      <c r="BD943" s="23">
        <v>0.10665277883445198</v>
      </c>
      <c r="BE943" s="23">
        <v>9.438849084854764E-2</v>
      </c>
      <c r="BF943" s="23">
        <v>7.149564986855049E-2</v>
      </c>
      <c r="BG943" s="23">
        <v>0.10368571810536763</v>
      </c>
      <c r="BH943" s="23">
        <v>8.4970330952544637E-2</v>
      </c>
      <c r="BI943" s="23">
        <v>8.4593878877262704E-2</v>
      </c>
      <c r="BJ943" s="23">
        <v>5.7447105462779965E-2</v>
      </c>
      <c r="BK943" s="23">
        <v>8.5153852345557474E-2</v>
      </c>
      <c r="BL943" s="23">
        <v>7.4158058913035174E-2</v>
      </c>
      <c r="BM943" s="23">
        <v>7.5718189192107169E-2</v>
      </c>
      <c r="BN943" s="23">
        <v>7.3955559365675619E-2</v>
      </c>
    </row>
    <row r="944" spans="1:66" x14ac:dyDescent="0.25">
      <c r="A944" s="16">
        <v>17084</v>
      </c>
      <c r="B944" s="16" t="s">
        <v>1138</v>
      </c>
      <c r="C944" s="17">
        <v>0</v>
      </c>
      <c r="D944" s="17">
        <f t="shared" si="527"/>
        <v>0</v>
      </c>
      <c r="E944" s="17">
        <f t="shared" si="528"/>
        <v>0</v>
      </c>
      <c r="F944" s="17">
        <f t="shared" si="529"/>
        <v>0</v>
      </c>
      <c r="G944" s="17">
        <f t="shared" si="530"/>
        <v>0</v>
      </c>
      <c r="H944" s="17">
        <f t="shared" si="531"/>
        <v>0</v>
      </c>
      <c r="I944" s="17">
        <f t="shared" si="532"/>
        <v>0</v>
      </c>
      <c r="J944" s="17">
        <f t="shared" si="533"/>
        <v>0</v>
      </c>
      <c r="K944" s="17">
        <f t="shared" si="534"/>
        <v>0</v>
      </c>
      <c r="L944" s="17">
        <f t="shared" si="535"/>
        <v>0</v>
      </c>
      <c r="M944" s="17">
        <f t="shared" si="536"/>
        <v>0</v>
      </c>
      <c r="N944" s="17">
        <f t="shared" si="537"/>
        <v>0</v>
      </c>
      <c r="O944" s="17">
        <f t="shared" si="538"/>
        <v>0</v>
      </c>
      <c r="P944" s="17">
        <v>0</v>
      </c>
      <c r="Q944" s="17">
        <f t="shared" si="539"/>
        <v>0</v>
      </c>
      <c r="R944" s="17">
        <f t="shared" si="540"/>
        <v>0</v>
      </c>
      <c r="S944" s="17">
        <f t="shared" si="541"/>
        <v>0</v>
      </c>
      <c r="T944" s="17">
        <f t="shared" si="542"/>
        <v>0</v>
      </c>
      <c r="U944" s="17">
        <f t="shared" si="543"/>
        <v>0</v>
      </c>
      <c r="V944" s="17">
        <f t="shared" si="544"/>
        <v>0</v>
      </c>
      <c r="W944" s="17">
        <f t="shared" si="545"/>
        <v>0</v>
      </c>
      <c r="X944" s="17">
        <f t="shared" si="546"/>
        <v>0</v>
      </c>
      <c r="Y944" s="17">
        <f t="shared" si="547"/>
        <v>0</v>
      </c>
      <c r="Z944" s="17">
        <f t="shared" si="548"/>
        <v>0</v>
      </c>
      <c r="AA944" s="17">
        <f t="shared" si="549"/>
        <v>0</v>
      </c>
      <c r="AB944" s="17">
        <f t="shared" si="550"/>
        <v>0</v>
      </c>
      <c r="AC944" s="17">
        <v>0</v>
      </c>
      <c r="AD944" s="17">
        <f t="shared" si="551"/>
        <v>0</v>
      </c>
      <c r="AE944" s="17">
        <f t="shared" si="552"/>
        <v>0</v>
      </c>
      <c r="AF944" s="17">
        <f t="shared" si="553"/>
        <v>0</v>
      </c>
      <c r="AG944" s="17">
        <f t="shared" si="554"/>
        <v>0</v>
      </c>
      <c r="AH944" s="17">
        <f t="shared" si="555"/>
        <v>0</v>
      </c>
      <c r="AI944" s="17">
        <f t="shared" si="556"/>
        <v>0</v>
      </c>
      <c r="AJ944" s="17">
        <f t="shared" si="557"/>
        <v>0</v>
      </c>
      <c r="AK944" s="17">
        <f t="shared" si="558"/>
        <v>0</v>
      </c>
      <c r="AL944" s="17">
        <f t="shared" si="559"/>
        <v>0</v>
      </c>
      <c r="AM944" s="17">
        <f t="shared" si="560"/>
        <v>0</v>
      </c>
      <c r="AN944" s="17">
        <f t="shared" si="561"/>
        <v>0</v>
      </c>
      <c r="AO944" s="17">
        <f t="shared" si="562"/>
        <v>0</v>
      </c>
      <c r="AP944" s="17">
        <f t="shared" si="563"/>
        <v>0</v>
      </c>
      <c r="AQ944" s="18">
        <v>0</v>
      </c>
      <c r="AR944" s="18">
        <v>0</v>
      </c>
      <c r="AS944" s="18">
        <v>0</v>
      </c>
      <c r="AT944" s="18">
        <v>0</v>
      </c>
      <c r="AU944" s="18">
        <v>0</v>
      </c>
      <c r="AV944" s="18">
        <v>0</v>
      </c>
      <c r="AW944" s="18">
        <v>0</v>
      </c>
      <c r="AX944" s="18">
        <v>0</v>
      </c>
      <c r="AY944" s="18">
        <v>0</v>
      </c>
      <c r="AZ944" s="18">
        <v>0</v>
      </c>
      <c r="BA944" s="18">
        <v>0</v>
      </c>
      <c r="BB944" s="18">
        <v>0</v>
      </c>
      <c r="BC944" s="23">
        <v>8.9181565948742242E-2</v>
      </c>
      <c r="BD944" s="23">
        <v>0.10665277883445198</v>
      </c>
      <c r="BE944" s="23">
        <v>9.438849084854764E-2</v>
      </c>
      <c r="BF944" s="23">
        <v>7.149564986855049E-2</v>
      </c>
      <c r="BG944" s="23">
        <v>0.10368571810536763</v>
      </c>
      <c r="BH944" s="23">
        <v>8.4970330952544637E-2</v>
      </c>
      <c r="BI944" s="23">
        <v>8.4593878877262704E-2</v>
      </c>
      <c r="BJ944" s="23">
        <v>5.7447105462779965E-2</v>
      </c>
      <c r="BK944" s="23">
        <v>8.5153852345557474E-2</v>
      </c>
      <c r="BL944" s="23">
        <v>7.4158058913035174E-2</v>
      </c>
      <c r="BM944" s="23">
        <v>7.5718189192107169E-2</v>
      </c>
      <c r="BN944" s="23">
        <v>7.3955559365675619E-2</v>
      </c>
    </row>
    <row r="945" spans="1:66" x14ac:dyDescent="0.25">
      <c r="A945" s="16">
        <v>17094</v>
      </c>
      <c r="B945" s="16" t="s">
        <v>1139</v>
      </c>
      <c r="C945" s="17">
        <v>0</v>
      </c>
      <c r="D945" s="17">
        <f t="shared" si="527"/>
        <v>0</v>
      </c>
      <c r="E945" s="17">
        <f t="shared" si="528"/>
        <v>0</v>
      </c>
      <c r="F945" s="17">
        <f t="shared" si="529"/>
        <v>0</v>
      </c>
      <c r="G945" s="17">
        <f t="shared" si="530"/>
        <v>0</v>
      </c>
      <c r="H945" s="17">
        <f t="shared" si="531"/>
        <v>0</v>
      </c>
      <c r="I945" s="17">
        <f t="shared" si="532"/>
        <v>0</v>
      </c>
      <c r="J945" s="17">
        <f t="shared" si="533"/>
        <v>0</v>
      </c>
      <c r="K945" s="17">
        <f t="shared" si="534"/>
        <v>0</v>
      </c>
      <c r="L945" s="17">
        <f t="shared" si="535"/>
        <v>0</v>
      </c>
      <c r="M945" s="17">
        <f t="shared" si="536"/>
        <v>0</v>
      </c>
      <c r="N945" s="17">
        <f t="shared" si="537"/>
        <v>0</v>
      </c>
      <c r="O945" s="17">
        <f t="shared" si="538"/>
        <v>0</v>
      </c>
      <c r="P945" s="17">
        <v>0</v>
      </c>
      <c r="Q945" s="17">
        <f t="shared" si="539"/>
        <v>0</v>
      </c>
      <c r="R945" s="17">
        <f t="shared" si="540"/>
        <v>0</v>
      </c>
      <c r="S945" s="17">
        <f t="shared" si="541"/>
        <v>0</v>
      </c>
      <c r="T945" s="17">
        <f t="shared" si="542"/>
        <v>0</v>
      </c>
      <c r="U945" s="17">
        <f t="shared" si="543"/>
        <v>0</v>
      </c>
      <c r="V945" s="17">
        <f t="shared" si="544"/>
        <v>0</v>
      </c>
      <c r="W945" s="17">
        <f t="shared" si="545"/>
        <v>0</v>
      </c>
      <c r="X945" s="17">
        <f t="shared" si="546"/>
        <v>0</v>
      </c>
      <c r="Y945" s="17">
        <f t="shared" si="547"/>
        <v>0</v>
      </c>
      <c r="Z945" s="17">
        <f t="shared" si="548"/>
        <v>0</v>
      </c>
      <c r="AA945" s="17">
        <f t="shared" si="549"/>
        <v>0</v>
      </c>
      <c r="AB945" s="17">
        <f t="shared" si="550"/>
        <v>0</v>
      </c>
      <c r="AC945" s="17">
        <v>0</v>
      </c>
      <c r="AD945" s="17">
        <f t="shared" si="551"/>
        <v>0</v>
      </c>
      <c r="AE945" s="17">
        <f t="shared" si="552"/>
        <v>0</v>
      </c>
      <c r="AF945" s="17">
        <f t="shared" si="553"/>
        <v>0</v>
      </c>
      <c r="AG945" s="17">
        <f t="shared" si="554"/>
        <v>0</v>
      </c>
      <c r="AH945" s="17">
        <f t="shared" si="555"/>
        <v>0</v>
      </c>
      <c r="AI945" s="17">
        <f t="shared" si="556"/>
        <v>0</v>
      </c>
      <c r="AJ945" s="17">
        <f t="shared" si="557"/>
        <v>0</v>
      </c>
      <c r="AK945" s="17">
        <f t="shared" si="558"/>
        <v>0</v>
      </c>
      <c r="AL945" s="17">
        <f t="shared" si="559"/>
        <v>0</v>
      </c>
      <c r="AM945" s="17">
        <f t="shared" si="560"/>
        <v>0</v>
      </c>
      <c r="AN945" s="17">
        <f t="shared" si="561"/>
        <v>0</v>
      </c>
      <c r="AO945" s="17">
        <f t="shared" si="562"/>
        <v>0</v>
      </c>
      <c r="AP945" s="17">
        <f t="shared" si="563"/>
        <v>0</v>
      </c>
      <c r="AQ945" s="18">
        <v>0</v>
      </c>
      <c r="AR945" s="18">
        <v>0</v>
      </c>
      <c r="AS945" s="18">
        <v>0</v>
      </c>
      <c r="AT945" s="18">
        <v>0</v>
      </c>
      <c r="AU945" s="18">
        <v>0</v>
      </c>
      <c r="AV945" s="18">
        <v>0</v>
      </c>
      <c r="AW945" s="18">
        <v>0</v>
      </c>
      <c r="AX945" s="18">
        <v>0</v>
      </c>
      <c r="AY945" s="18">
        <v>0</v>
      </c>
      <c r="AZ945" s="18">
        <v>0</v>
      </c>
      <c r="BA945" s="18">
        <v>0</v>
      </c>
      <c r="BB945" s="18">
        <v>0</v>
      </c>
      <c r="BC945" s="23">
        <v>8.9181565948742242E-2</v>
      </c>
      <c r="BD945" s="23">
        <v>0.10665277883445198</v>
      </c>
      <c r="BE945" s="23">
        <v>9.438849084854764E-2</v>
      </c>
      <c r="BF945" s="23">
        <v>7.149564986855049E-2</v>
      </c>
      <c r="BG945" s="23">
        <v>0.10368571810536763</v>
      </c>
      <c r="BH945" s="23">
        <v>8.4970330952544637E-2</v>
      </c>
      <c r="BI945" s="23">
        <v>8.4593878877262704E-2</v>
      </c>
      <c r="BJ945" s="23">
        <v>5.7447105462779965E-2</v>
      </c>
      <c r="BK945" s="23">
        <v>8.5153852345557474E-2</v>
      </c>
      <c r="BL945" s="23">
        <v>7.4158058913035174E-2</v>
      </c>
      <c r="BM945" s="23">
        <v>7.5718189192107169E-2</v>
      </c>
      <c r="BN945" s="23">
        <v>7.3955559365675619E-2</v>
      </c>
    </row>
    <row r="946" spans="1:66" x14ac:dyDescent="0.25">
      <c r="A946" s="16">
        <v>17164</v>
      </c>
      <c r="B946" s="16" t="s">
        <v>1140</v>
      </c>
      <c r="C946" s="17">
        <v>0</v>
      </c>
      <c r="D946" s="17">
        <f t="shared" si="527"/>
        <v>0</v>
      </c>
      <c r="E946" s="17">
        <f t="shared" si="528"/>
        <v>0</v>
      </c>
      <c r="F946" s="17">
        <f t="shared" si="529"/>
        <v>0</v>
      </c>
      <c r="G946" s="17">
        <f t="shared" si="530"/>
        <v>0</v>
      </c>
      <c r="H946" s="17">
        <f t="shared" si="531"/>
        <v>0</v>
      </c>
      <c r="I946" s="17">
        <f t="shared" si="532"/>
        <v>0</v>
      </c>
      <c r="J946" s="17">
        <f t="shared" si="533"/>
        <v>0</v>
      </c>
      <c r="K946" s="17">
        <f t="shared" si="534"/>
        <v>0</v>
      </c>
      <c r="L946" s="17">
        <f t="shared" si="535"/>
        <v>0</v>
      </c>
      <c r="M946" s="17">
        <f t="shared" si="536"/>
        <v>0</v>
      </c>
      <c r="N946" s="17">
        <f t="shared" si="537"/>
        <v>0</v>
      </c>
      <c r="O946" s="17">
        <f t="shared" si="538"/>
        <v>0</v>
      </c>
      <c r="P946" s="17">
        <v>1000</v>
      </c>
      <c r="Q946" s="17">
        <f t="shared" si="539"/>
        <v>89.181565948742247</v>
      </c>
      <c r="R946" s="17">
        <f t="shared" si="540"/>
        <v>106.65277883445198</v>
      </c>
      <c r="S946" s="17">
        <f t="shared" si="541"/>
        <v>94.388490848547647</v>
      </c>
      <c r="T946" s="17">
        <f t="shared" si="542"/>
        <v>71.495649868550487</v>
      </c>
      <c r="U946" s="17">
        <f t="shared" si="543"/>
        <v>103.68571810536763</v>
      </c>
      <c r="V946" s="17">
        <f t="shared" si="544"/>
        <v>84.970330952544643</v>
      </c>
      <c r="W946" s="17">
        <f t="shared" si="545"/>
        <v>84.593878877262711</v>
      </c>
      <c r="X946" s="17">
        <f t="shared" si="546"/>
        <v>57.447105462779966</v>
      </c>
      <c r="Y946" s="17">
        <f t="shared" si="547"/>
        <v>85.153852345557468</v>
      </c>
      <c r="Z946" s="17">
        <f t="shared" si="548"/>
        <v>74.158058913035177</v>
      </c>
      <c r="AA946" s="17">
        <f t="shared" si="549"/>
        <v>75.718189192107175</v>
      </c>
      <c r="AB946" s="17">
        <f t="shared" si="550"/>
        <v>73.955559365675626</v>
      </c>
      <c r="AC946" s="17">
        <v>0</v>
      </c>
      <c r="AD946" s="17">
        <f t="shared" si="551"/>
        <v>0</v>
      </c>
      <c r="AE946" s="17">
        <f t="shared" si="552"/>
        <v>0</v>
      </c>
      <c r="AF946" s="17">
        <f t="shared" si="553"/>
        <v>0</v>
      </c>
      <c r="AG946" s="17">
        <f t="shared" si="554"/>
        <v>0</v>
      </c>
      <c r="AH946" s="17">
        <f t="shared" si="555"/>
        <v>0</v>
      </c>
      <c r="AI946" s="17">
        <f t="shared" si="556"/>
        <v>0</v>
      </c>
      <c r="AJ946" s="17">
        <f t="shared" si="557"/>
        <v>0</v>
      </c>
      <c r="AK946" s="17">
        <f t="shared" si="558"/>
        <v>0</v>
      </c>
      <c r="AL946" s="17">
        <f t="shared" si="559"/>
        <v>0</v>
      </c>
      <c r="AM946" s="17">
        <f t="shared" si="560"/>
        <v>0</v>
      </c>
      <c r="AN946" s="17">
        <f t="shared" si="561"/>
        <v>0</v>
      </c>
      <c r="AO946" s="17">
        <f t="shared" si="562"/>
        <v>0</v>
      </c>
      <c r="AP946" s="17">
        <f t="shared" si="563"/>
        <v>1000</v>
      </c>
      <c r="AQ946" s="18">
        <v>0</v>
      </c>
      <c r="AR946" s="18">
        <v>0</v>
      </c>
      <c r="AS946" s="18">
        <v>0</v>
      </c>
      <c r="AT946" s="18">
        <v>0</v>
      </c>
      <c r="AU946" s="18">
        <v>0</v>
      </c>
      <c r="AV946" s="18">
        <v>0</v>
      </c>
      <c r="AW946" s="18">
        <v>0</v>
      </c>
      <c r="AX946" s="18">
        <v>0</v>
      </c>
      <c r="AY946" s="18">
        <v>0</v>
      </c>
      <c r="AZ946" s="18">
        <v>0</v>
      </c>
      <c r="BA946" s="18">
        <v>0</v>
      </c>
      <c r="BB946" s="18">
        <v>0</v>
      </c>
      <c r="BC946" s="23">
        <v>8.9181565948742242E-2</v>
      </c>
      <c r="BD946" s="23">
        <v>0.10665277883445198</v>
      </c>
      <c r="BE946" s="23">
        <v>9.438849084854764E-2</v>
      </c>
      <c r="BF946" s="23">
        <v>7.149564986855049E-2</v>
      </c>
      <c r="BG946" s="23">
        <v>0.10368571810536763</v>
      </c>
      <c r="BH946" s="23">
        <v>8.4970330952544637E-2</v>
      </c>
      <c r="BI946" s="23">
        <v>8.4593878877262704E-2</v>
      </c>
      <c r="BJ946" s="23">
        <v>5.7447105462779965E-2</v>
      </c>
      <c r="BK946" s="23">
        <v>8.5153852345557474E-2</v>
      </c>
      <c r="BL946" s="23">
        <v>7.4158058913035174E-2</v>
      </c>
      <c r="BM946" s="23">
        <v>7.5718189192107169E-2</v>
      </c>
      <c r="BN946" s="23">
        <v>7.3955559365675619E-2</v>
      </c>
    </row>
    <row r="947" spans="1:66" x14ac:dyDescent="0.25">
      <c r="A947" s="16">
        <v>17193</v>
      </c>
      <c r="B947" s="16" t="s">
        <v>1141</v>
      </c>
      <c r="C947" s="17">
        <v>0</v>
      </c>
      <c r="D947" s="17">
        <f t="shared" si="527"/>
        <v>0</v>
      </c>
      <c r="E947" s="17">
        <f t="shared" si="528"/>
        <v>0</v>
      </c>
      <c r="F947" s="17">
        <f t="shared" si="529"/>
        <v>0</v>
      </c>
      <c r="G947" s="17">
        <f t="shared" si="530"/>
        <v>0</v>
      </c>
      <c r="H947" s="17">
        <f t="shared" si="531"/>
        <v>0</v>
      </c>
      <c r="I947" s="17">
        <f t="shared" si="532"/>
        <v>0</v>
      </c>
      <c r="J947" s="17">
        <f t="shared" si="533"/>
        <v>0</v>
      </c>
      <c r="K947" s="17">
        <f t="shared" si="534"/>
        <v>0</v>
      </c>
      <c r="L947" s="17">
        <f t="shared" si="535"/>
        <v>0</v>
      </c>
      <c r="M947" s="17">
        <f t="shared" si="536"/>
        <v>0</v>
      </c>
      <c r="N947" s="17">
        <f t="shared" si="537"/>
        <v>0</v>
      </c>
      <c r="O947" s="17">
        <f t="shared" si="538"/>
        <v>0</v>
      </c>
      <c r="P947" s="17">
        <v>10000</v>
      </c>
      <c r="Q947" s="17">
        <f t="shared" si="539"/>
        <v>891.81565948742241</v>
      </c>
      <c r="R947" s="17">
        <f t="shared" si="540"/>
        <v>1066.5277883445199</v>
      </c>
      <c r="S947" s="17">
        <f t="shared" si="541"/>
        <v>943.88490848547644</v>
      </c>
      <c r="T947" s="17">
        <f t="shared" si="542"/>
        <v>714.95649868550493</v>
      </c>
      <c r="U947" s="17">
        <f t="shared" si="543"/>
        <v>1036.8571810536762</v>
      </c>
      <c r="V947" s="17">
        <f t="shared" si="544"/>
        <v>849.70330952544634</v>
      </c>
      <c r="W947" s="17">
        <f t="shared" si="545"/>
        <v>845.93878877262705</v>
      </c>
      <c r="X947" s="17">
        <f t="shared" si="546"/>
        <v>574.47105462779962</v>
      </c>
      <c r="Y947" s="17">
        <f t="shared" si="547"/>
        <v>851.5385234555747</v>
      </c>
      <c r="Z947" s="17">
        <f t="shared" si="548"/>
        <v>741.58058913035177</v>
      </c>
      <c r="AA947" s="17">
        <f t="shared" si="549"/>
        <v>757.18189192107172</v>
      </c>
      <c r="AB947" s="17">
        <f t="shared" si="550"/>
        <v>739.55559365675617</v>
      </c>
      <c r="AC947" s="17">
        <v>0</v>
      </c>
      <c r="AD947" s="17">
        <f t="shared" si="551"/>
        <v>0</v>
      </c>
      <c r="AE947" s="17">
        <f t="shared" si="552"/>
        <v>0</v>
      </c>
      <c r="AF947" s="17">
        <f t="shared" si="553"/>
        <v>0</v>
      </c>
      <c r="AG947" s="17">
        <f t="shared" si="554"/>
        <v>0</v>
      </c>
      <c r="AH947" s="17">
        <f t="shared" si="555"/>
        <v>0</v>
      </c>
      <c r="AI947" s="17">
        <f t="shared" si="556"/>
        <v>0</v>
      </c>
      <c r="AJ947" s="17">
        <f t="shared" si="557"/>
        <v>0</v>
      </c>
      <c r="AK947" s="17">
        <f t="shared" si="558"/>
        <v>0</v>
      </c>
      <c r="AL947" s="17">
        <f t="shared" si="559"/>
        <v>0</v>
      </c>
      <c r="AM947" s="17">
        <f t="shared" si="560"/>
        <v>0</v>
      </c>
      <c r="AN947" s="17">
        <f t="shared" si="561"/>
        <v>0</v>
      </c>
      <c r="AO947" s="17">
        <f t="shared" si="562"/>
        <v>0</v>
      </c>
      <c r="AP947" s="17">
        <f t="shared" si="563"/>
        <v>10000</v>
      </c>
      <c r="AQ947" s="18">
        <v>0</v>
      </c>
      <c r="AR947" s="18">
        <v>0</v>
      </c>
      <c r="AS947" s="18">
        <v>0</v>
      </c>
      <c r="AT947" s="18">
        <v>0</v>
      </c>
      <c r="AU947" s="18">
        <v>0</v>
      </c>
      <c r="AV947" s="18">
        <v>0</v>
      </c>
      <c r="AW947" s="18">
        <v>0</v>
      </c>
      <c r="AX947" s="18">
        <v>0</v>
      </c>
      <c r="AY947" s="18">
        <v>0</v>
      </c>
      <c r="AZ947" s="18">
        <v>0</v>
      </c>
      <c r="BA947" s="18">
        <v>0</v>
      </c>
      <c r="BB947" s="18">
        <v>0</v>
      </c>
      <c r="BC947" s="23">
        <v>8.9181565948742242E-2</v>
      </c>
      <c r="BD947" s="23">
        <v>0.10665277883445198</v>
      </c>
      <c r="BE947" s="23">
        <v>9.438849084854764E-2</v>
      </c>
      <c r="BF947" s="23">
        <v>7.149564986855049E-2</v>
      </c>
      <c r="BG947" s="23">
        <v>0.10368571810536763</v>
      </c>
      <c r="BH947" s="23">
        <v>8.4970330952544637E-2</v>
      </c>
      <c r="BI947" s="23">
        <v>8.4593878877262704E-2</v>
      </c>
      <c r="BJ947" s="23">
        <v>5.7447105462779965E-2</v>
      </c>
      <c r="BK947" s="23">
        <v>8.5153852345557474E-2</v>
      </c>
      <c r="BL947" s="23">
        <v>7.4158058913035174E-2</v>
      </c>
      <c r="BM947" s="23">
        <v>7.5718189192107169E-2</v>
      </c>
      <c r="BN947" s="23">
        <v>7.3955559365675619E-2</v>
      </c>
    </row>
    <row r="948" spans="1:66" x14ac:dyDescent="0.25">
      <c r="A948" s="16">
        <v>17229</v>
      </c>
      <c r="B948" s="16" t="s">
        <v>1142</v>
      </c>
      <c r="C948" s="17">
        <v>0</v>
      </c>
      <c r="D948" s="17">
        <f t="shared" si="527"/>
        <v>0</v>
      </c>
      <c r="E948" s="17">
        <f t="shared" si="528"/>
        <v>0</v>
      </c>
      <c r="F948" s="17">
        <f t="shared" si="529"/>
        <v>0</v>
      </c>
      <c r="G948" s="17">
        <f t="shared" si="530"/>
        <v>0</v>
      </c>
      <c r="H948" s="17">
        <f t="shared" si="531"/>
        <v>0</v>
      </c>
      <c r="I948" s="17">
        <f t="shared" si="532"/>
        <v>0</v>
      </c>
      <c r="J948" s="17">
        <f t="shared" si="533"/>
        <v>0</v>
      </c>
      <c r="K948" s="17">
        <f t="shared" si="534"/>
        <v>0</v>
      </c>
      <c r="L948" s="17">
        <f t="shared" si="535"/>
        <v>0</v>
      </c>
      <c r="M948" s="17">
        <f t="shared" si="536"/>
        <v>0</v>
      </c>
      <c r="N948" s="17">
        <f t="shared" si="537"/>
        <v>0</v>
      </c>
      <c r="O948" s="17">
        <f t="shared" si="538"/>
        <v>0</v>
      </c>
      <c r="P948" s="17">
        <v>0</v>
      </c>
      <c r="Q948" s="17">
        <f t="shared" si="539"/>
        <v>0</v>
      </c>
      <c r="R948" s="17">
        <f t="shared" si="540"/>
        <v>0</v>
      </c>
      <c r="S948" s="17">
        <f t="shared" si="541"/>
        <v>0</v>
      </c>
      <c r="T948" s="17">
        <f t="shared" si="542"/>
        <v>0</v>
      </c>
      <c r="U948" s="17">
        <f t="shared" si="543"/>
        <v>0</v>
      </c>
      <c r="V948" s="17">
        <f t="shared" si="544"/>
        <v>0</v>
      </c>
      <c r="W948" s="17">
        <f t="shared" si="545"/>
        <v>0</v>
      </c>
      <c r="X948" s="17">
        <f t="shared" si="546"/>
        <v>0</v>
      </c>
      <c r="Y948" s="17">
        <f t="shared" si="547"/>
        <v>0</v>
      </c>
      <c r="Z948" s="17">
        <f t="shared" si="548"/>
        <v>0</v>
      </c>
      <c r="AA948" s="17">
        <f t="shared" si="549"/>
        <v>0</v>
      </c>
      <c r="AB948" s="17">
        <f t="shared" si="550"/>
        <v>0</v>
      </c>
      <c r="AC948" s="17">
        <v>0</v>
      </c>
      <c r="AD948" s="17">
        <f t="shared" si="551"/>
        <v>0</v>
      </c>
      <c r="AE948" s="17">
        <f t="shared" si="552"/>
        <v>0</v>
      </c>
      <c r="AF948" s="17">
        <f t="shared" si="553"/>
        <v>0</v>
      </c>
      <c r="AG948" s="17">
        <f t="shared" si="554"/>
        <v>0</v>
      </c>
      <c r="AH948" s="17">
        <f t="shared" si="555"/>
        <v>0</v>
      </c>
      <c r="AI948" s="17">
        <f t="shared" si="556"/>
        <v>0</v>
      </c>
      <c r="AJ948" s="17">
        <f t="shared" si="557"/>
        <v>0</v>
      </c>
      <c r="AK948" s="17">
        <f t="shared" si="558"/>
        <v>0</v>
      </c>
      <c r="AL948" s="17">
        <f t="shared" si="559"/>
        <v>0</v>
      </c>
      <c r="AM948" s="17">
        <f t="shared" si="560"/>
        <v>0</v>
      </c>
      <c r="AN948" s="17">
        <f t="shared" si="561"/>
        <v>0</v>
      </c>
      <c r="AO948" s="17">
        <f t="shared" si="562"/>
        <v>0</v>
      </c>
      <c r="AP948" s="17">
        <f t="shared" si="563"/>
        <v>0</v>
      </c>
      <c r="AQ948" s="18">
        <v>0</v>
      </c>
      <c r="AR948" s="18">
        <v>0</v>
      </c>
      <c r="AS948" s="18">
        <v>0</v>
      </c>
      <c r="AT948" s="18">
        <v>0</v>
      </c>
      <c r="AU948" s="18">
        <v>0</v>
      </c>
      <c r="AV948" s="18">
        <v>0</v>
      </c>
      <c r="AW948" s="18">
        <v>0</v>
      </c>
      <c r="AX948" s="18">
        <v>0</v>
      </c>
      <c r="AY948" s="18">
        <v>0</v>
      </c>
      <c r="AZ948" s="18">
        <v>0</v>
      </c>
      <c r="BA948" s="18">
        <v>0</v>
      </c>
      <c r="BB948" s="18">
        <v>0</v>
      </c>
      <c r="BC948" s="23">
        <v>8.9181565948742242E-2</v>
      </c>
      <c r="BD948" s="23">
        <v>0.10665277883445198</v>
      </c>
      <c r="BE948" s="23">
        <v>9.438849084854764E-2</v>
      </c>
      <c r="BF948" s="23">
        <v>7.149564986855049E-2</v>
      </c>
      <c r="BG948" s="23">
        <v>0.10368571810536763</v>
      </c>
      <c r="BH948" s="23">
        <v>8.4970330952544637E-2</v>
      </c>
      <c r="BI948" s="23">
        <v>8.4593878877262704E-2</v>
      </c>
      <c r="BJ948" s="23">
        <v>5.7447105462779965E-2</v>
      </c>
      <c r="BK948" s="23">
        <v>8.5153852345557474E-2</v>
      </c>
      <c r="BL948" s="23">
        <v>7.4158058913035174E-2</v>
      </c>
      <c r="BM948" s="23">
        <v>7.5718189192107169E-2</v>
      </c>
      <c r="BN948" s="23">
        <v>7.3955559365675619E-2</v>
      </c>
    </row>
    <row r="949" spans="1:66" x14ac:dyDescent="0.25">
      <c r="A949" s="16">
        <v>17245</v>
      </c>
      <c r="B949" s="16" t="s">
        <v>1143</v>
      </c>
      <c r="C949" s="17">
        <v>0</v>
      </c>
      <c r="D949" s="17">
        <f t="shared" si="527"/>
        <v>0</v>
      </c>
      <c r="E949" s="17">
        <f t="shared" si="528"/>
        <v>0</v>
      </c>
      <c r="F949" s="17">
        <f t="shared" si="529"/>
        <v>0</v>
      </c>
      <c r="G949" s="17">
        <f t="shared" si="530"/>
        <v>0</v>
      </c>
      <c r="H949" s="17">
        <f t="shared" si="531"/>
        <v>0</v>
      </c>
      <c r="I949" s="17">
        <f t="shared" si="532"/>
        <v>0</v>
      </c>
      <c r="J949" s="17">
        <f t="shared" si="533"/>
        <v>0</v>
      </c>
      <c r="K949" s="17">
        <f t="shared" si="534"/>
        <v>0</v>
      </c>
      <c r="L949" s="17">
        <f t="shared" si="535"/>
        <v>0</v>
      </c>
      <c r="M949" s="17">
        <f t="shared" si="536"/>
        <v>0</v>
      </c>
      <c r="N949" s="17">
        <f t="shared" si="537"/>
        <v>0</v>
      </c>
      <c r="O949" s="17">
        <f t="shared" si="538"/>
        <v>0</v>
      </c>
      <c r="P949" s="17">
        <v>0</v>
      </c>
      <c r="Q949" s="17">
        <f t="shared" si="539"/>
        <v>0</v>
      </c>
      <c r="R949" s="17">
        <f t="shared" si="540"/>
        <v>0</v>
      </c>
      <c r="S949" s="17">
        <f t="shared" si="541"/>
        <v>0</v>
      </c>
      <c r="T949" s="17">
        <f t="shared" si="542"/>
        <v>0</v>
      </c>
      <c r="U949" s="17">
        <f t="shared" si="543"/>
        <v>0</v>
      </c>
      <c r="V949" s="17">
        <f t="shared" si="544"/>
        <v>0</v>
      </c>
      <c r="W949" s="17">
        <f t="shared" si="545"/>
        <v>0</v>
      </c>
      <c r="X949" s="17">
        <f t="shared" si="546"/>
        <v>0</v>
      </c>
      <c r="Y949" s="17">
        <f t="shared" si="547"/>
        <v>0</v>
      </c>
      <c r="Z949" s="17">
        <f t="shared" si="548"/>
        <v>0</v>
      </c>
      <c r="AA949" s="17">
        <f t="shared" si="549"/>
        <v>0</v>
      </c>
      <c r="AB949" s="17">
        <f t="shared" si="550"/>
        <v>0</v>
      </c>
      <c r="AC949" s="17">
        <v>0</v>
      </c>
      <c r="AD949" s="17">
        <f t="shared" si="551"/>
        <v>0</v>
      </c>
      <c r="AE949" s="17">
        <f t="shared" si="552"/>
        <v>0</v>
      </c>
      <c r="AF949" s="17">
        <f t="shared" si="553"/>
        <v>0</v>
      </c>
      <c r="AG949" s="17">
        <f t="shared" si="554"/>
        <v>0</v>
      </c>
      <c r="AH949" s="17">
        <f t="shared" si="555"/>
        <v>0</v>
      </c>
      <c r="AI949" s="17">
        <f t="shared" si="556"/>
        <v>0</v>
      </c>
      <c r="AJ949" s="17">
        <f t="shared" si="557"/>
        <v>0</v>
      </c>
      <c r="AK949" s="17">
        <f t="shared" si="558"/>
        <v>0</v>
      </c>
      <c r="AL949" s="17">
        <f t="shared" si="559"/>
        <v>0</v>
      </c>
      <c r="AM949" s="17">
        <f t="shared" si="560"/>
        <v>0</v>
      </c>
      <c r="AN949" s="17">
        <f t="shared" si="561"/>
        <v>0</v>
      </c>
      <c r="AO949" s="17">
        <f t="shared" si="562"/>
        <v>0</v>
      </c>
      <c r="AP949" s="17">
        <f t="shared" si="563"/>
        <v>0</v>
      </c>
      <c r="AQ949" s="18">
        <v>15.113243255069554</v>
      </c>
      <c r="AR949" s="18">
        <v>18.07401981795924</v>
      </c>
      <c r="AS949" s="18">
        <v>15.995639990139976</v>
      </c>
      <c r="AT949" s="18">
        <v>12.116081800623778</v>
      </c>
      <c r="AU949" s="18">
        <v>17.571203904444232</v>
      </c>
      <c r="AV949" s="18">
        <v>14.39958210520393</v>
      </c>
      <c r="AW949" s="18">
        <v>14.335786277814202</v>
      </c>
      <c r="AX949" s="18">
        <v>9.7353311743554709</v>
      </c>
      <c r="AY949" s="18">
        <v>14.430682741592243</v>
      </c>
      <c r="AZ949" s="18">
        <v>12.567269611756419</v>
      </c>
      <c r="BA949" s="18">
        <v>12.831658649629635</v>
      </c>
      <c r="BB949" s="18">
        <v>12.532952823463585</v>
      </c>
      <c r="BC949" s="23">
        <v>8.9181565948742242E-2</v>
      </c>
      <c r="BD949" s="23">
        <v>0.10665277883445198</v>
      </c>
      <c r="BE949" s="23">
        <v>9.438849084854764E-2</v>
      </c>
      <c r="BF949" s="23">
        <v>7.149564986855049E-2</v>
      </c>
      <c r="BG949" s="23">
        <v>0.10368571810536763</v>
      </c>
      <c r="BH949" s="23">
        <v>8.4970330952544637E-2</v>
      </c>
      <c r="BI949" s="23">
        <v>8.4593878877262704E-2</v>
      </c>
      <c r="BJ949" s="23">
        <v>5.7447105462779965E-2</v>
      </c>
      <c r="BK949" s="23">
        <v>8.5153852345557474E-2</v>
      </c>
      <c r="BL949" s="23">
        <v>7.4158058913035174E-2</v>
      </c>
      <c r="BM949" s="23">
        <v>7.5718189192107169E-2</v>
      </c>
      <c r="BN949" s="23">
        <v>7.3955559365675619E-2</v>
      </c>
    </row>
    <row r="950" spans="1:66" x14ac:dyDescent="0.25">
      <c r="A950" s="16">
        <v>17263</v>
      </c>
      <c r="B950" s="16" t="s">
        <v>1144</v>
      </c>
      <c r="C950" s="17">
        <v>0</v>
      </c>
      <c r="D950" s="17">
        <f t="shared" si="527"/>
        <v>0</v>
      </c>
      <c r="E950" s="17">
        <f t="shared" si="528"/>
        <v>0</v>
      </c>
      <c r="F950" s="17">
        <f t="shared" si="529"/>
        <v>0</v>
      </c>
      <c r="G950" s="17">
        <f t="shared" si="530"/>
        <v>0</v>
      </c>
      <c r="H950" s="17">
        <f t="shared" si="531"/>
        <v>0</v>
      </c>
      <c r="I950" s="17">
        <f t="shared" si="532"/>
        <v>0</v>
      </c>
      <c r="J950" s="17">
        <f t="shared" si="533"/>
        <v>0</v>
      </c>
      <c r="K950" s="17">
        <f t="shared" si="534"/>
        <v>0</v>
      </c>
      <c r="L950" s="17">
        <f t="shared" si="535"/>
        <v>0</v>
      </c>
      <c r="M950" s="17">
        <f t="shared" si="536"/>
        <v>0</v>
      </c>
      <c r="N950" s="17">
        <f t="shared" si="537"/>
        <v>0</v>
      </c>
      <c r="O950" s="17">
        <f t="shared" si="538"/>
        <v>0</v>
      </c>
      <c r="P950" s="17">
        <v>500</v>
      </c>
      <c r="Q950" s="17">
        <f t="shared" si="539"/>
        <v>44.590782974371123</v>
      </c>
      <c r="R950" s="17">
        <f t="shared" si="540"/>
        <v>53.32638941722599</v>
      </c>
      <c r="S950" s="17">
        <f t="shared" si="541"/>
        <v>47.194245424273824</v>
      </c>
      <c r="T950" s="17">
        <f t="shared" si="542"/>
        <v>35.747824934275243</v>
      </c>
      <c r="U950" s="17">
        <f t="shared" si="543"/>
        <v>51.842859052683814</v>
      </c>
      <c r="V950" s="17">
        <f t="shared" si="544"/>
        <v>42.485165476272321</v>
      </c>
      <c r="W950" s="17">
        <f t="shared" si="545"/>
        <v>42.296939438631355</v>
      </c>
      <c r="X950" s="17">
        <f t="shared" si="546"/>
        <v>28.723552731389983</v>
      </c>
      <c r="Y950" s="17">
        <f t="shared" si="547"/>
        <v>42.576926172778734</v>
      </c>
      <c r="Z950" s="17">
        <f t="shared" si="548"/>
        <v>37.079029456517588</v>
      </c>
      <c r="AA950" s="17">
        <f t="shared" si="549"/>
        <v>37.859094596053588</v>
      </c>
      <c r="AB950" s="17">
        <f t="shared" si="550"/>
        <v>36.977779682837813</v>
      </c>
      <c r="AC950" s="17">
        <v>0</v>
      </c>
      <c r="AD950" s="17">
        <f t="shared" si="551"/>
        <v>0</v>
      </c>
      <c r="AE950" s="17">
        <f t="shared" si="552"/>
        <v>0</v>
      </c>
      <c r="AF950" s="17">
        <f t="shared" si="553"/>
        <v>0</v>
      </c>
      <c r="AG950" s="17">
        <f t="shared" si="554"/>
        <v>0</v>
      </c>
      <c r="AH950" s="17">
        <f t="shared" si="555"/>
        <v>0</v>
      </c>
      <c r="AI950" s="17">
        <f t="shared" si="556"/>
        <v>0</v>
      </c>
      <c r="AJ950" s="17">
        <f t="shared" si="557"/>
        <v>0</v>
      </c>
      <c r="AK950" s="17">
        <f t="shared" si="558"/>
        <v>0</v>
      </c>
      <c r="AL950" s="17">
        <f t="shared" si="559"/>
        <v>0</v>
      </c>
      <c r="AM950" s="17">
        <f t="shared" si="560"/>
        <v>0</v>
      </c>
      <c r="AN950" s="17">
        <f t="shared" si="561"/>
        <v>0</v>
      </c>
      <c r="AO950" s="17">
        <f t="shared" si="562"/>
        <v>0</v>
      </c>
      <c r="AP950" s="17">
        <f t="shared" si="563"/>
        <v>500</v>
      </c>
      <c r="AQ950" s="18">
        <v>0</v>
      </c>
      <c r="AR950" s="18">
        <v>0</v>
      </c>
      <c r="AS950" s="18">
        <v>0</v>
      </c>
      <c r="AT950" s="18">
        <v>0</v>
      </c>
      <c r="AU950" s="18">
        <v>0</v>
      </c>
      <c r="AV950" s="18">
        <v>0</v>
      </c>
      <c r="AW950" s="18">
        <v>0</v>
      </c>
      <c r="AX950" s="18">
        <v>0</v>
      </c>
      <c r="AY950" s="18">
        <v>0</v>
      </c>
      <c r="AZ950" s="18">
        <v>0</v>
      </c>
      <c r="BA950" s="18">
        <v>0</v>
      </c>
      <c r="BB950" s="18">
        <v>0</v>
      </c>
      <c r="BC950" s="23">
        <v>8.9181565948742242E-2</v>
      </c>
      <c r="BD950" s="23">
        <v>0.10665277883445198</v>
      </c>
      <c r="BE950" s="23">
        <v>9.438849084854764E-2</v>
      </c>
      <c r="BF950" s="23">
        <v>7.149564986855049E-2</v>
      </c>
      <c r="BG950" s="23">
        <v>0.10368571810536763</v>
      </c>
      <c r="BH950" s="23">
        <v>8.4970330952544637E-2</v>
      </c>
      <c r="BI950" s="23">
        <v>8.4593878877262704E-2</v>
      </c>
      <c r="BJ950" s="23">
        <v>5.7447105462779965E-2</v>
      </c>
      <c r="BK950" s="23">
        <v>8.5153852345557474E-2</v>
      </c>
      <c r="BL950" s="23">
        <v>7.4158058913035174E-2</v>
      </c>
      <c r="BM950" s="23">
        <v>7.5718189192107169E-2</v>
      </c>
      <c r="BN950" s="23">
        <v>7.3955559365675619E-2</v>
      </c>
    </row>
    <row r="951" spans="1:66" x14ac:dyDescent="0.25">
      <c r="A951" s="16">
        <v>17265</v>
      </c>
      <c r="B951" s="16" t="s">
        <v>1145</v>
      </c>
      <c r="C951" s="17">
        <v>0</v>
      </c>
      <c r="D951" s="17">
        <f t="shared" si="527"/>
        <v>0</v>
      </c>
      <c r="E951" s="17">
        <f t="shared" si="528"/>
        <v>0</v>
      </c>
      <c r="F951" s="17">
        <f t="shared" si="529"/>
        <v>0</v>
      </c>
      <c r="G951" s="17">
        <f t="shared" si="530"/>
        <v>0</v>
      </c>
      <c r="H951" s="17">
        <f t="shared" si="531"/>
        <v>0</v>
      </c>
      <c r="I951" s="17">
        <f t="shared" si="532"/>
        <v>0</v>
      </c>
      <c r="J951" s="17">
        <f t="shared" si="533"/>
        <v>0</v>
      </c>
      <c r="K951" s="17">
        <f t="shared" si="534"/>
        <v>0</v>
      </c>
      <c r="L951" s="17">
        <f t="shared" si="535"/>
        <v>0</v>
      </c>
      <c r="M951" s="17">
        <f t="shared" si="536"/>
        <v>0</v>
      </c>
      <c r="N951" s="17">
        <f t="shared" si="537"/>
        <v>0</v>
      </c>
      <c r="O951" s="17">
        <f t="shared" si="538"/>
        <v>0</v>
      </c>
      <c r="P951" s="17">
        <v>0</v>
      </c>
      <c r="Q951" s="17">
        <f t="shared" si="539"/>
        <v>0</v>
      </c>
      <c r="R951" s="17">
        <f t="shared" si="540"/>
        <v>0</v>
      </c>
      <c r="S951" s="17">
        <f t="shared" si="541"/>
        <v>0</v>
      </c>
      <c r="T951" s="17">
        <f t="shared" si="542"/>
        <v>0</v>
      </c>
      <c r="U951" s="17">
        <f t="shared" si="543"/>
        <v>0</v>
      </c>
      <c r="V951" s="17">
        <f t="shared" si="544"/>
        <v>0</v>
      </c>
      <c r="W951" s="17">
        <f t="shared" si="545"/>
        <v>0</v>
      </c>
      <c r="X951" s="17">
        <f t="shared" si="546"/>
        <v>0</v>
      </c>
      <c r="Y951" s="17">
        <f t="shared" si="547"/>
        <v>0</v>
      </c>
      <c r="Z951" s="17">
        <f t="shared" si="548"/>
        <v>0</v>
      </c>
      <c r="AA951" s="17">
        <f t="shared" si="549"/>
        <v>0</v>
      </c>
      <c r="AB951" s="17">
        <f t="shared" si="550"/>
        <v>0</v>
      </c>
      <c r="AC951" s="17">
        <v>0</v>
      </c>
      <c r="AD951" s="17">
        <f t="shared" si="551"/>
        <v>0</v>
      </c>
      <c r="AE951" s="17">
        <f t="shared" si="552"/>
        <v>0</v>
      </c>
      <c r="AF951" s="17">
        <f t="shared" si="553"/>
        <v>0</v>
      </c>
      <c r="AG951" s="17">
        <f t="shared" si="554"/>
        <v>0</v>
      </c>
      <c r="AH951" s="17">
        <f t="shared" si="555"/>
        <v>0</v>
      </c>
      <c r="AI951" s="17">
        <f t="shared" si="556"/>
        <v>0</v>
      </c>
      <c r="AJ951" s="17">
        <f t="shared" si="557"/>
        <v>0</v>
      </c>
      <c r="AK951" s="17">
        <f t="shared" si="558"/>
        <v>0</v>
      </c>
      <c r="AL951" s="17">
        <f t="shared" si="559"/>
        <v>0</v>
      </c>
      <c r="AM951" s="17">
        <f t="shared" si="560"/>
        <v>0</v>
      </c>
      <c r="AN951" s="17">
        <f t="shared" si="561"/>
        <v>0</v>
      </c>
      <c r="AO951" s="17">
        <f t="shared" si="562"/>
        <v>0</v>
      </c>
      <c r="AP951" s="17">
        <f t="shared" si="563"/>
        <v>0</v>
      </c>
      <c r="AQ951" s="18">
        <v>0</v>
      </c>
      <c r="AR951" s="18">
        <v>0</v>
      </c>
      <c r="AS951" s="18">
        <v>0</v>
      </c>
      <c r="AT951" s="18">
        <v>0</v>
      </c>
      <c r="AU951" s="18">
        <v>0</v>
      </c>
      <c r="AV951" s="18">
        <v>0</v>
      </c>
      <c r="AW951" s="18">
        <v>0</v>
      </c>
      <c r="AX951" s="18">
        <v>0</v>
      </c>
      <c r="AY951" s="18">
        <v>0</v>
      </c>
      <c r="AZ951" s="18">
        <v>0</v>
      </c>
      <c r="BA951" s="18">
        <v>0</v>
      </c>
      <c r="BB951" s="18">
        <v>0</v>
      </c>
      <c r="BC951" s="23">
        <v>8.9181565948742242E-2</v>
      </c>
      <c r="BD951" s="23">
        <v>0.10665277883445198</v>
      </c>
      <c r="BE951" s="23">
        <v>9.438849084854764E-2</v>
      </c>
      <c r="BF951" s="23">
        <v>7.149564986855049E-2</v>
      </c>
      <c r="BG951" s="23">
        <v>0.10368571810536763</v>
      </c>
      <c r="BH951" s="23">
        <v>8.4970330952544637E-2</v>
      </c>
      <c r="BI951" s="23">
        <v>8.4593878877262704E-2</v>
      </c>
      <c r="BJ951" s="23">
        <v>5.7447105462779965E-2</v>
      </c>
      <c r="BK951" s="23">
        <v>8.5153852345557474E-2</v>
      </c>
      <c r="BL951" s="23">
        <v>7.4158058913035174E-2</v>
      </c>
      <c r="BM951" s="23">
        <v>7.5718189192107169E-2</v>
      </c>
      <c r="BN951" s="23">
        <v>7.3955559365675619E-2</v>
      </c>
    </row>
    <row r="952" spans="1:66" x14ac:dyDescent="0.25">
      <c r="A952" s="16">
        <v>17274</v>
      </c>
      <c r="B952" s="16" t="s">
        <v>1146</v>
      </c>
      <c r="C952" s="17">
        <v>0</v>
      </c>
      <c r="D952" s="17">
        <f t="shared" si="527"/>
        <v>0</v>
      </c>
      <c r="E952" s="17">
        <f t="shared" si="528"/>
        <v>0</v>
      </c>
      <c r="F952" s="17">
        <f t="shared" si="529"/>
        <v>0</v>
      </c>
      <c r="G952" s="17">
        <f t="shared" si="530"/>
        <v>0</v>
      </c>
      <c r="H952" s="17">
        <f t="shared" si="531"/>
        <v>0</v>
      </c>
      <c r="I952" s="17">
        <f t="shared" si="532"/>
        <v>0</v>
      </c>
      <c r="J952" s="17">
        <f t="shared" si="533"/>
        <v>0</v>
      </c>
      <c r="K952" s="17">
        <f t="shared" si="534"/>
        <v>0</v>
      </c>
      <c r="L952" s="17">
        <f t="shared" si="535"/>
        <v>0</v>
      </c>
      <c r="M952" s="17">
        <f t="shared" si="536"/>
        <v>0</v>
      </c>
      <c r="N952" s="17">
        <f t="shared" si="537"/>
        <v>0</v>
      </c>
      <c r="O952" s="17">
        <f t="shared" si="538"/>
        <v>0</v>
      </c>
      <c r="P952" s="17">
        <v>1000</v>
      </c>
      <c r="Q952" s="17">
        <f t="shared" si="539"/>
        <v>89.181565948742247</v>
      </c>
      <c r="R952" s="17">
        <f t="shared" si="540"/>
        <v>106.65277883445198</v>
      </c>
      <c r="S952" s="17">
        <f t="shared" si="541"/>
        <v>94.388490848547647</v>
      </c>
      <c r="T952" s="17">
        <f t="shared" si="542"/>
        <v>71.495649868550487</v>
      </c>
      <c r="U952" s="17">
        <f t="shared" si="543"/>
        <v>103.68571810536763</v>
      </c>
      <c r="V952" s="17">
        <f t="shared" si="544"/>
        <v>84.970330952544643</v>
      </c>
      <c r="W952" s="17">
        <f t="shared" si="545"/>
        <v>84.593878877262711</v>
      </c>
      <c r="X952" s="17">
        <f t="shared" si="546"/>
        <v>57.447105462779966</v>
      </c>
      <c r="Y952" s="17">
        <f t="shared" si="547"/>
        <v>85.153852345557468</v>
      </c>
      <c r="Z952" s="17">
        <f t="shared" si="548"/>
        <v>74.158058913035177</v>
      </c>
      <c r="AA952" s="17">
        <f t="shared" si="549"/>
        <v>75.718189192107175</v>
      </c>
      <c r="AB952" s="17">
        <f t="shared" si="550"/>
        <v>73.955559365675626</v>
      </c>
      <c r="AC952" s="17">
        <v>0</v>
      </c>
      <c r="AD952" s="17">
        <f t="shared" si="551"/>
        <v>0</v>
      </c>
      <c r="AE952" s="17">
        <f t="shared" si="552"/>
        <v>0</v>
      </c>
      <c r="AF952" s="17">
        <f t="shared" si="553"/>
        <v>0</v>
      </c>
      <c r="AG952" s="17">
        <f t="shared" si="554"/>
        <v>0</v>
      </c>
      <c r="AH952" s="17">
        <f t="shared" si="555"/>
        <v>0</v>
      </c>
      <c r="AI952" s="17">
        <f t="shared" si="556"/>
        <v>0</v>
      </c>
      <c r="AJ952" s="17">
        <f t="shared" si="557"/>
        <v>0</v>
      </c>
      <c r="AK952" s="17">
        <f t="shared" si="558"/>
        <v>0</v>
      </c>
      <c r="AL952" s="17">
        <f t="shared" si="559"/>
        <v>0</v>
      </c>
      <c r="AM952" s="17">
        <f t="shared" si="560"/>
        <v>0</v>
      </c>
      <c r="AN952" s="17">
        <f t="shared" si="561"/>
        <v>0</v>
      </c>
      <c r="AO952" s="17">
        <f t="shared" si="562"/>
        <v>0</v>
      </c>
      <c r="AP952" s="17">
        <f t="shared" si="563"/>
        <v>1000</v>
      </c>
      <c r="AQ952" s="18">
        <v>0</v>
      </c>
      <c r="AR952" s="18">
        <v>0</v>
      </c>
      <c r="AS952" s="18">
        <v>0</v>
      </c>
      <c r="AT952" s="18">
        <v>0</v>
      </c>
      <c r="AU952" s="18">
        <v>0</v>
      </c>
      <c r="AV952" s="18">
        <v>0</v>
      </c>
      <c r="AW952" s="18">
        <v>0</v>
      </c>
      <c r="AX952" s="18">
        <v>0</v>
      </c>
      <c r="AY952" s="18">
        <v>0</v>
      </c>
      <c r="AZ952" s="18">
        <v>0</v>
      </c>
      <c r="BA952" s="18">
        <v>0</v>
      </c>
      <c r="BB952" s="18">
        <v>0</v>
      </c>
      <c r="BC952" s="23">
        <v>8.9181565948742242E-2</v>
      </c>
      <c r="BD952" s="23">
        <v>0.10665277883445198</v>
      </c>
      <c r="BE952" s="23">
        <v>9.438849084854764E-2</v>
      </c>
      <c r="BF952" s="23">
        <v>7.149564986855049E-2</v>
      </c>
      <c r="BG952" s="23">
        <v>0.10368571810536763</v>
      </c>
      <c r="BH952" s="23">
        <v>8.4970330952544637E-2</v>
      </c>
      <c r="BI952" s="23">
        <v>8.4593878877262704E-2</v>
      </c>
      <c r="BJ952" s="23">
        <v>5.7447105462779965E-2</v>
      </c>
      <c r="BK952" s="23">
        <v>8.5153852345557474E-2</v>
      </c>
      <c r="BL952" s="23">
        <v>7.4158058913035174E-2</v>
      </c>
      <c r="BM952" s="23">
        <v>7.5718189192107169E-2</v>
      </c>
      <c r="BN952" s="23">
        <v>7.3955559365675619E-2</v>
      </c>
    </row>
    <row r="953" spans="1:66" x14ac:dyDescent="0.25">
      <c r="A953" s="16">
        <v>17291</v>
      </c>
      <c r="B953" s="16" t="s">
        <v>1147</v>
      </c>
      <c r="C953" s="17">
        <v>0</v>
      </c>
      <c r="D953" s="17">
        <f t="shared" si="527"/>
        <v>0</v>
      </c>
      <c r="E953" s="17">
        <f t="shared" si="528"/>
        <v>0</v>
      </c>
      <c r="F953" s="17">
        <f t="shared" si="529"/>
        <v>0</v>
      </c>
      <c r="G953" s="17">
        <f t="shared" si="530"/>
        <v>0</v>
      </c>
      <c r="H953" s="17">
        <f t="shared" si="531"/>
        <v>0</v>
      </c>
      <c r="I953" s="17">
        <f t="shared" si="532"/>
        <v>0</v>
      </c>
      <c r="J953" s="17">
        <f t="shared" si="533"/>
        <v>0</v>
      </c>
      <c r="K953" s="17">
        <f t="shared" si="534"/>
        <v>0</v>
      </c>
      <c r="L953" s="17">
        <f t="shared" si="535"/>
        <v>0</v>
      </c>
      <c r="M953" s="17">
        <f t="shared" si="536"/>
        <v>0</v>
      </c>
      <c r="N953" s="17">
        <f t="shared" si="537"/>
        <v>0</v>
      </c>
      <c r="O953" s="17">
        <f t="shared" si="538"/>
        <v>0</v>
      </c>
      <c r="P953" s="17">
        <v>0</v>
      </c>
      <c r="Q953" s="17">
        <f t="shared" si="539"/>
        <v>0</v>
      </c>
      <c r="R953" s="17">
        <f t="shared" si="540"/>
        <v>0</v>
      </c>
      <c r="S953" s="17">
        <f t="shared" si="541"/>
        <v>0</v>
      </c>
      <c r="T953" s="17">
        <f t="shared" si="542"/>
        <v>0</v>
      </c>
      <c r="U953" s="17">
        <f t="shared" si="543"/>
        <v>0</v>
      </c>
      <c r="V953" s="17">
        <f t="shared" si="544"/>
        <v>0</v>
      </c>
      <c r="W953" s="17">
        <f t="shared" si="545"/>
        <v>0</v>
      </c>
      <c r="X953" s="17">
        <f t="shared" si="546"/>
        <v>0</v>
      </c>
      <c r="Y953" s="17">
        <f t="shared" si="547"/>
        <v>0</v>
      </c>
      <c r="Z953" s="17">
        <f t="shared" si="548"/>
        <v>0</v>
      </c>
      <c r="AA953" s="17">
        <f t="shared" si="549"/>
        <v>0</v>
      </c>
      <c r="AB953" s="17">
        <f t="shared" si="550"/>
        <v>0</v>
      </c>
      <c r="AC953" s="17">
        <v>0</v>
      </c>
      <c r="AD953" s="17">
        <f t="shared" si="551"/>
        <v>0</v>
      </c>
      <c r="AE953" s="17">
        <f t="shared" si="552"/>
        <v>0</v>
      </c>
      <c r="AF953" s="17">
        <f t="shared" si="553"/>
        <v>0</v>
      </c>
      <c r="AG953" s="17">
        <f t="shared" si="554"/>
        <v>0</v>
      </c>
      <c r="AH953" s="17">
        <f t="shared" si="555"/>
        <v>0</v>
      </c>
      <c r="AI953" s="17">
        <f t="shared" si="556"/>
        <v>0</v>
      </c>
      <c r="AJ953" s="17">
        <f t="shared" si="557"/>
        <v>0</v>
      </c>
      <c r="AK953" s="17">
        <f t="shared" si="558"/>
        <v>0</v>
      </c>
      <c r="AL953" s="17">
        <f t="shared" si="559"/>
        <v>0</v>
      </c>
      <c r="AM953" s="17">
        <f t="shared" si="560"/>
        <v>0</v>
      </c>
      <c r="AN953" s="17">
        <f t="shared" si="561"/>
        <v>0</v>
      </c>
      <c r="AO953" s="17">
        <f t="shared" si="562"/>
        <v>0</v>
      </c>
      <c r="AP953" s="17">
        <f t="shared" si="563"/>
        <v>0</v>
      </c>
      <c r="AQ953" s="18">
        <v>0</v>
      </c>
      <c r="AR953" s="18">
        <v>0</v>
      </c>
      <c r="AS953" s="18">
        <v>0</v>
      </c>
      <c r="AT953" s="18">
        <v>0</v>
      </c>
      <c r="AU953" s="18">
        <v>0</v>
      </c>
      <c r="AV953" s="18">
        <v>0</v>
      </c>
      <c r="AW953" s="18">
        <v>0</v>
      </c>
      <c r="AX953" s="18">
        <v>0</v>
      </c>
      <c r="AY953" s="18">
        <v>0</v>
      </c>
      <c r="AZ953" s="18">
        <v>0</v>
      </c>
      <c r="BA953" s="18">
        <v>0</v>
      </c>
      <c r="BB953" s="18">
        <v>0</v>
      </c>
      <c r="BC953" s="23">
        <v>8.9181565948742242E-2</v>
      </c>
      <c r="BD953" s="23">
        <v>0.10665277883445198</v>
      </c>
      <c r="BE953" s="23">
        <v>9.438849084854764E-2</v>
      </c>
      <c r="BF953" s="23">
        <v>7.149564986855049E-2</v>
      </c>
      <c r="BG953" s="23">
        <v>0.10368571810536763</v>
      </c>
      <c r="BH953" s="23">
        <v>8.4970330952544637E-2</v>
      </c>
      <c r="BI953" s="23">
        <v>8.4593878877262704E-2</v>
      </c>
      <c r="BJ953" s="23">
        <v>5.7447105462779965E-2</v>
      </c>
      <c r="BK953" s="23">
        <v>8.5153852345557474E-2</v>
      </c>
      <c r="BL953" s="23">
        <v>7.4158058913035174E-2</v>
      </c>
      <c r="BM953" s="23">
        <v>7.5718189192107169E-2</v>
      </c>
      <c r="BN953" s="23">
        <v>7.3955559365675619E-2</v>
      </c>
    </row>
    <row r="954" spans="1:66" x14ac:dyDescent="0.25">
      <c r="A954" s="16">
        <v>17299</v>
      </c>
      <c r="B954" s="16" t="s">
        <v>1148</v>
      </c>
      <c r="C954" s="17">
        <v>0</v>
      </c>
      <c r="D954" s="17">
        <f t="shared" si="527"/>
        <v>0</v>
      </c>
      <c r="E954" s="17">
        <f t="shared" si="528"/>
        <v>0</v>
      </c>
      <c r="F954" s="17">
        <f t="shared" si="529"/>
        <v>0</v>
      </c>
      <c r="G954" s="17">
        <f t="shared" si="530"/>
        <v>0</v>
      </c>
      <c r="H954" s="17">
        <f t="shared" si="531"/>
        <v>0</v>
      </c>
      <c r="I954" s="17">
        <f t="shared" si="532"/>
        <v>0</v>
      </c>
      <c r="J954" s="17">
        <f t="shared" si="533"/>
        <v>0</v>
      </c>
      <c r="K954" s="17">
        <f t="shared" si="534"/>
        <v>0</v>
      </c>
      <c r="L954" s="17">
        <f t="shared" si="535"/>
        <v>0</v>
      </c>
      <c r="M954" s="17">
        <f t="shared" si="536"/>
        <v>0</v>
      </c>
      <c r="N954" s="17">
        <f t="shared" si="537"/>
        <v>0</v>
      </c>
      <c r="O954" s="17">
        <f t="shared" si="538"/>
        <v>0</v>
      </c>
      <c r="P954" s="17">
        <v>0</v>
      </c>
      <c r="Q954" s="17">
        <f t="shared" si="539"/>
        <v>0</v>
      </c>
      <c r="R954" s="17">
        <f t="shared" si="540"/>
        <v>0</v>
      </c>
      <c r="S954" s="17">
        <f t="shared" si="541"/>
        <v>0</v>
      </c>
      <c r="T954" s="17">
        <f t="shared" si="542"/>
        <v>0</v>
      </c>
      <c r="U954" s="17">
        <f t="shared" si="543"/>
        <v>0</v>
      </c>
      <c r="V954" s="17">
        <f t="shared" si="544"/>
        <v>0</v>
      </c>
      <c r="W954" s="17">
        <f t="shared" si="545"/>
        <v>0</v>
      </c>
      <c r="X954" s="17">
        <f t="shared" si="546"/>
        <v>0</v>
      </c>
      <c r="Y954" s="17">
        <f t="shared" si="547"/>
        <v>0</v>
      </c>
      <c r="Z954" s="17">
        <f t="shared" si="548"/>
        <v>0</v>
      </c>
      <c r="AA954" s="17">
        <f t="shared" si="549"/>
        <v>0</v>
      </c>
      <c r="AB954" s="17">
        <f t="shared" si="550"/>
        <v>0</v>
      </c>
      <c r="AC954" s="17">
        <v>0</v>
      </c>
      <c r="AD954" s="17">
        <f t="shared" si="551"/>
        <v>0</v>
      </c>
      <c r="AE954" s="17">
        <f t="shared" si="552"/>
        <v>0</v>
      </c>
      <c r="AF954" s="17">
        <f t="shared" si="553"/>
        <v>0</v>
      </c>
      <c r="AG954" s="17">
        <f t="shared" si="554"/>
        <v>0</v>
      </c>
      <c r="AH954" s="17">
        <f t="shared" si="555"/>
        <v>0</v>
      </c>
      <c r="AI954" s="17">
        <f t="shared" si="556"/>
        <v>0</v>
      </c>
      <c r="AJ954" s="17">
        <f t="shared" si="557"/>
        <v>0</v>
      </c>
      <c r="AK954" s="17">
        <f t="shared" si="558"/>
        <v>0</v>
      </c>
      <c r="AL954" s="17">
        <f t="shared" si="559"/>
        <v>0</v>
      </c>
      <c r="AM954" s="17">
        <f t="shared" si="560"/>
        <v>0</v>
      </c>
      <c r="AN954" s="17">
        <f t="shared" si="561"/>
        <v>0</v>
      </c>
      <c r="AO954" s="17">
        <f t="shared" si="562"/>
        <v>0</v>
      </c>
      <c r="AP954" s="17">
        <f t="shared" si="563"/>
        <v>0</v>
      </c>
      <c r="AQ954" s="18">
        <v>0</v>
      </c>
      <c r="AR954" s="18">
        <v>0</v>
      </c>
      <c r="AS954" s="18">
        <v>0</v>
      </c>
      <c r="AT954" s="18">
        <v>0</v>
      </c>
      <c r="AU954" s="18">
        <v>0</v>
      </c>
      <c r="AV954" s="18">
        <v>0</v>
      </c>
      <c r="AW954" s="18">
        <v>0</v>
      </c>
      <c r="AX954" s="18">
        <v>0</v>
      </c>
      <c r="AY954" s="18">
        <v>0</v>
      </c>
      <c r="AZ954" s="18">
        <v>0</v>
      </c>
      <c r="BA954" s="18">
        <v>0</v>
      </c>
      <c r="BB954" s="18">
        <v>0</v>
      </c>
      <c r="BC954" s="23">
        <v>8.9181565948742242E-2</v>
      </c>
      <c r="BD954" s="23">
        <v>0.10665277883445198</v>
      </c>
      <c r="BE954" s="23">
        <v>9.438849084854764E-2</v>
      </c>
      <c r="BF954" s="23">
        <v>7.149564986855049E-2</v>
      </c>
      <c r="BG954" s="23">
        <v>0.10368571810536763</v>
      </c>
      <c r="BH954" s="23">
        <v>8.4970330952544637E-2</v>
      </c>
      <c r="BI954" s="23">
        <v>8.4593878877262704E-2</v>
      </c>
      <c r="BJ954" s="23">
        <v>5.7447105462779965E-2</v>
      </c>
      <c r="BK954" s="23">
        <v>8.5153852345557474E-2</v>
      </c>
      <c r="BL954" s="23">
        <v>7.4158058913035174E-2</v>
      </c>
      <c r="BM954" s="23">
        <v>7.5718189192107169E-2</v>
      </c>
      <c r="BN954" s="23">
        <v>7.3955559365675619E-2</v>
      </c>
    </row>
    <row r="955" spans="1:66" x14ac:dyDescent="0.25">
      <c r="A955" s="16">
        <v>17306</v>
      </c>
      <c r="B955" s="16" t="s">
        <v>1149</v>
      </c>
      <c r="C955" s="17">
        <v>0</v>
      </c>
      <c r="D955" s="17">
        <f t="shared" si="527"/>
        <v>0</v>
      </c>
      <c r="E955" s="17">
        <f t="shared" si="528"/>
        <v>0</v>
      </c>
      <c r="F955" s="17">
        <f t="shared" si="529"/>
        <v>0</v>
      </c>
      <c r="G955" s="17">
        <f t="shared" si="530"/>
        <v>0</v>
      </c>
      <c r="H955" s="17">
        <f t="shared" si="531"/>
        <v>0</v>
      </c>
      <c r="I955" s="17">
        <f t="shared" si="532"/>
        <v>0</v>
      </c>
      <c r="J955" s="17">
        <f t="shared" si="533"/>
        <v>0</v>
      </c>
      <c r="K955" s="17">
        <f t="shared" si="534"/>
        <v>0</v>
      </c>
      <c r="L955" s="17">
        <f t="shared" si="535"/>
        <v>0</v>
      </c>
      <c r="M955" s="17">
        <f t="shared" si="536"/>
        <v>0</v>
      </c>
      <c r="N955" s="17">
        <f t="shared" si="537"/>
        <v>0</v>
      </c>
      <c r="O955" s="17">
        <f t="shared" si="538"/>
        <v>0</v>
      </c>
      <c r="P955" s="17">
        <v>0</v>
      </c>
      <c r="Q955" s="17">
        <f t="shared" si="539"/>
        <v>0</v>
      </c>
      <c r="R955" s="17">
        <f t="shared" si="540"/>
        <v>0</v>
      </c>
      <c r="S955" s="17">
        <f t="shared" si="541"/>
        <v>0</v>
      </c>
      <c r="T955" s="17">
        <f t="shared" si="542"/>
        <v>0</v>
      </c>
      <c r="U955" s="17">
        <f t="shared" si="543"/>
        <v>0</v>
      </c>
      <c r="V955" s="17">
        <f t="shared" si="544"/>
        <v>0</v>
      </c>
      <c r="W955" s="17">
        <f t="shared" si="545"/>
        <v>0</v>
      </c>
      <c r="X955" s="17">
        <f t="shared" si="546"/>
        <v>0</v>
      </c>
      <c r="Y955" s="17">
        <f t="shared" si="547"/>
        <v>0</v>
      </c>
      <c r="Z955" s="17">
        <f t="shared" si="548"/>
        <v>0</v>
      </c>
      <c r="AA955" s="17">
        <f t="shared" si="549"/>
        <v>0</v>
      </c>
      <c r="AB955" s="17">
        <f t="shared" si="550"/>
        <v>0</v>
      </c>
      <c r="AC955" s="17">
        <v>0</v>
      </c>
      <c r="AD955" s="17">
        <f t="shared" si="551"/>
        <v>0</v>
      </c>
      <c r="AE955" s="17">
        <f t="shared" si="552"/>
        <v>0</v>
      </c>
      <c r="AF955" s="17">
        <f t="shared" si="553"/>
        <v>0</v>
      </c>
      <c r="AG955" s="17">
        <f t="shared" si="554"/>
        <v>0</v>
      </c>
      <c r="AH955" s="17">
        <f t="shared" si="555"/>
        <v>0</v>
      </c>
      <c r="AI955" s="17">
        <f t="shared" si="556"/>
        <v>0</v>
      </c>
      <c r="AJ955" s="17">
        <f t="shared" si="557"/>
        <v>0</v>
      </c>
      <c r="AK955" s="17">
        <f t="shared" si="558"/>
        <v>0</v>
      </c>
      <c r="AL955" s="17">
        <f t="shared" si="559"/>
        <v>0</v>
      </c>
      <c r="AM955" s="17">
        <f t="shared" si="560"/>
        <v>0</v>
      </c>
      <c r="AN955" s="17">
        <f t="shared" si="561"/>
        <v>0</v>
      </c>
      <c r="AO955" s="17">
        <f t="shared" si="562"/>
        <v>0</v>
      </c>
      <c r="AP955" s="17">
        <f t="shared" si="563"/>
        <v>0</v>
      </c>
      <c r="AQ955" s="18">
        <v>31.342861352685464</v>
      </c>
      <c r="AR955" s="18">
        <v>37.483119121368155</v>
      </c>
      <c r="AS955" s="18">
        <v>33.172835108722076</v>
      </c>
      <c r="AT955" s="18">
        <v>25.127146146302074</v>
      </c>
      <c r="AU955" s="18">
        <v>36.44034562813146</v>
      </c>
      <c r="AV955" s="18">
        <v>29.862822813271816</v>
      </c>
      <c r="AW955" s="18">
        <v>29.73051873141398</v>
      </c>
      <c r="AX955" s="18">
        <v>20.189785214894023</v>
      </c>
      <c r="AY955" s="18">
        <v>29.927321406846179</v>
      </c>
      <c r="AZ955" s="18">
        <v>26.062849804986215</v>
      </c>
      <c r="BA955" s="18">
        <v>26.611157591566069</v>
      </c>
      <c r="BB955" s="18">
        <v>25.991681339066698</v>
      </c>
      <c r="BC955" s="23">
        <v>8.9181565948742242E-2</v>
      </c>
      <c r="BD955" s="23">
        <v>0.10665277883445198</v>
      </c>
      <c r="BE955" s="23">
        <v>9.438849084854764E-2</v>
      </c>
      <c r="BF955" s="23">
        <v>7.149564986855049E-2</v>
      </c>
      <c r="BG955" s="23">
        <v>0.10368571810536763</v>
      </c>
      <c r="BH955" s="23">
        <v>8.4970330952544637E-2</v>
      </c>
      <c r="BI955" s="23">
        <v>8.4593878877262704E-2</v>
      </c>
      <c r="BJ955" s="23">
        <v>5.7447105462779965E-2</v>
      </c>
      <c r="BK955" s="23">
        <v>8.5153852345557474E-2</v>
      </c>
      <c r="BL955" s="23">
        <v>7.4158058913035174E-2</v>
      </c>
      <c r="BM955" s="23">
        <v>7.5718189192107169E-2</v>
      </c>
      <c r="BN955" s="23">
        <v>7.3955559365675619E-2</v>
      </c>
    </row>
    <row r="956" spans="1:66" x14ac:dyDescent="0.25">
      <c r="A956" s="16">
        <v>17312</v>
      </c>
      <c r="B956" s="16" t="s">
        <v>1150</v>
      </c>
      <c r="C956" s="17">
        <v>0</v>
      </c>
      <c r="D956" s="17">
        <f t="shared" si="527"/>
        <v>0</v>
      </c>
      <c r="E956" s="17">
        <f t="shared" si="528"/>
        <v>0</v>
      </c>
      <c r="F956" s="17">
        <f t="shared" si="529"/>
        <v>0</v>
      </c>
      <c r="G956" s="17">
        <f t="shared" si="530"/>
        <v>0</v>
      </c>
      <c r="H956" s="17">
        <f t="shared" si="531"/>
        <v>0</v>
      </c>
      <c r="I956" s="17">
        <f t="shared" si="532"/>
        <v>0</v>
      </c>
      <c r="J956" s="17">
        <f t="shared" si="533"/>
        <v>0</v>
      </c>
      <c r="K956" s="17">
        <f t="shared" si="534"/>
        <v>0</v>
      </c>
      <c r="L956" s="17">
        <f t="shared" si="535"/>
        <v>0</v>
      </c>
      <c r="M956" s="17">
        <f t="shared" si="536"/>
        <v>0</v>
      </c>
      <c r="N956" s="17">
        <f t="shared" si="537"/>
        <v>0</v>
      </c>
      <c r="O956" s="17">
        <f t="shared" si="538"/>
        <v>0</v>
      </c>
      <c r="P956" s="17">
        <v>0</v>
      </c>
      <c r="Q956" s="17">
        <f t="shared" si="539"/>
        <v>0</v>
      </c>
      <c r="R956" s="17">
        <f t="shared" si="540"/>
        <v>0</v>
      </c>
      <c r="S956" s="17">
        <f t="shared" si="541"/>
        <v>0</v>
      </c>
      <c r="T956" s="17">
        <f t="shared" si="542"/>
        <v>0</v>
      </c>
      <c r="U956" s="17">
        <f t="shared" si="543"/>
        <v>0</v>
      </c>
      <c r="V956" s="17">
        <f t="shared" si="544"/>
        <v>0</v>
      </c>
      <c r="W956" s="17">
        <f t="shared" si="545"/>
        <v>0</v>
      </c>
      <c r="X956" s="17">
        <f t="shared" si="546"/>
        <v>0</v>
      </c>
      <c r="Y956" s="17">
        <f t="shared" si="547"/>
        <v>0</v>
      </c>
      <c r="Z956" s="17">
        <f t="shared" si="548"/>
        <v>0</v>
      </c>
      <c r="AA956" s="17">
        <f t="shared" si="549"/>
        <v>0</v>
      </c>
      <c r="AB956" s="17">
        <f t="shared" si="550"/>
        <v>0</v>
      </c>
      <c r="AC956" s="17">
        <v>0</v>
      </c>
      <c r="AD956" s="17">
        <f t="shared" si="551"/>
        <v>0</v>
      </c>
      <c r="AE956" s="17">
        <f t="shared" si="552"/>
        <v>0</v>
      </c>
      <c r="AF956" s="17">
        <f t="shared" si="553"/>
        <v>0</v>
      </c>
      <c r="AG956" s="17">
        <f t="shared" si="554"/>
        <v>0</v>
      </c>
      <c r="AH956" s="17">
        <f t="shared" si="555"/>
        <v>0</v>
      </c>
      <c r="AI956" s="17">
        <f t="shared" si="556"/>
        <v>0</v>
      </c>
      <c r="AJ956" s="17">
        <f t="shared" si="557"/>
        <v>0</v>
      </c>
      <c r="AK956" s="17">
        <f t="shared" si="558"/>
        <v>0</v>
      </c>
      <c r="AL956" s="17">
        <f t="shared" si="559"/>
        <v>0</v>
      </c>
      <c r="AM956" s="17">
        <f t="shared" si="560"/>
        <v>0</v>
      </c>
      <c r="AN956" s="17">
        <f t="shared" si="561"/>
        <v>0</v>
      </c>
      <c r="AO956" s="17">
        <f t="shared" si="562"/>
        <v>0</v>
      </c>
      <c r="AP956" s="17">
        <f t="shared" si="563"/>
        <v>0</v>
      </c>
      <c r="AQ956" s="18">
        <v>0</v>
      </c>
      <c r="AR956" s="18">
        <v>0</v>
      </c>
      <c r="AS956" s="18">
        <v>0</v>
      </c>
      <c r="AT956" s="18">
        <v>0</v>
      </c>
      <c r="AU956" s="18">
        <v>0</v>
      </c>
      <c r="AV956" s="18">
        <v>0</v>
      </c>
      <c r="AW956" s="18">
        <v>0</v>
      </c>
      <c r="AX956" s="18">
        <v>0</v>
      </c>
      <c r="AY956" s="18">
        <v>0</v>
      </c>
      <c r="AZ956" s="18">
        <v>0</v>
      </c>
      <c r="BA956" s="18">
        <v>0</v>
      </c>
      <c r="BB956" s="18">
        <v>0</v>
      </c>
      <c r="BC956" s="23">
        <v>8.9181565948742242E-2</v>
      </c>
      <c r="BD956" s="23">
        <v>0.10665277883445198</v>
      </c>
      <c r="BE956" s="23">
        <v>9.438849084854764E-2</v>
      </c>
      <c r="BF956" s="23">
        <v>7.149564986855049E-2</v>
      </c>
      <c r="BG956" s="23">
        <v>0.10368571810536763</v>
      </c>
      <c r="BH956" s="23">
        <v>8.4970330952544637E-2</v>
      </c>
      <c r="BI956" s="23">
        <v>8.4593878877262704E-2</v>
      </c>
      <c r="BJ956" s="23">
        <v>5.7447105462779965E-2</v>
      </c>
      <c r="BK956" s="23">
        <v>8.5153852345557474E-2</v>
      </c>
      <c r="BL956" s="23">
        <v>7.4158058913035174E-2</v>
      </c>
      <c r="BM956" s="23">
        <v>7.5718189192107169E-2</v>
      </c>
      <c r="BN956" s="23">
        <v>7.3955559365675619E-2</v>
      </c>
    </row>
    <row r="957" spans="1:66" x14ac:dyDescent="0.25">
      <c r="A957" s="16">
        <v>17317</v>
      </c>
      <c r="B957" s="16" t="s">
        <v>1151</v>
      </c>
      <c r="C957" s="17">
        <v>0</v>
      </c>
      <c r="D957" s="17">
        <f t="shared" si="527"/>
        <v>0</v>
      </c>
      <c r="E957" s="17">
        <f t="shared" si="528"/>
        <v>0</v>
      </c>
      <c r="F957" s="17">
        <f t="shared" si="529"/>
        <v>0</v>
      </c>
      <c r="G957" s="17">
        <f t="shared" si="530"/>
        <v>0</v>
      </c>
      <c r="H957" s="17">
        <f t="shared" si="531"/>
        <v>0</v>
      </c>
      <c r="I957" s="17">
        <f t="shared" si="532"/>
        <v>0</v>
      </c>
      <c r="J957" s="17">
        <f t="shared" si="533"/>
        <v>0</v>
      </c>
      <c r="K957" s="17">
        <f t="shared" si="534"/>
        <v>0</v>
      </c>
      <c r="L957" s="17">
        <f t="shared" si="535"/>
        <v>0</v>
      </c>
      <c r="M957" s="17">
        <f t="shared" si="536"/>
        <v>0</v>
      </c>
      <c r="N957" s="17">
        <f t="shared" si="537"/>
        <v>0</v>
      </c>
      <c r="O957" s="17">
        <f t="shared" si="538"/>
        <v>0</v>
      </c>
      <c r="P957" s="17">
        <v>0</v>
      </c>
      <c r="Q957" s="17">
        <f t="shared" si="539"/>
        <v>0</v>
      </c>
      <c r="R957" s="17">
        <f t="shared" si="540"/>
        <v>0</v>
      </c>
      <c r="S957" s="17">
        <f t="shared" si="541"/>
        <v>0</v>
      </c>
      <c r="T957" s="17">
        <f t="shared" si="542"/>
        <v>0</v>
      </c>
      <c r="U957" s="17">
        <f t="shared" si="543"/>
        <v>0</v>
      </c>
      <c r="V957" s="17">
        <f t="shared" si="544"/>
        <v>0</v>
      </c>
      <c r="W957" s="17">
        <f t="shared" si="545"/>
        <v>0</v>
      </c>
      <c r="X957" s="17">
        <f t="shared" si="546"/>
        <v>0</v>
      </c>
      <c r="Y957" s="17">
        <f t="shared" si="547"/>
        <v>0</v>
      </c>
      <c r="Z957" s="17">
        <f t="shared" si="548"/>
        <v>0</v>
      </c>
      <c r="AA957" s="17">
        <f t="shared" si="549"/>
        <v>0</v>
      </c>
      <c r="AB957" s="17">
        <f t="shared" si="550"/>
        <v>0</v>
      </c>
      <c r="AC957" s="17">
        <v>0</v>
      </c>
      <c r="AD957" s="17">
        <f t="shared" si="551"/>
        <v>0</v>
      </c>
      <c r="AE957" s="17">
        <f t="shared" si="552"/>
        <v>0</v>
      </c>
      <c r="AF957" s="17">
        <f t="shared" si="553"/>
        <v>0</v>
      </c>
      <c r="AG957" s="17">
        <f t="shared" si="554"/>
        <v>0</v>
      </c>
      <c r="AH957" s="17">
        <f t="shared" si="555"/>
        <v>0</v>
      </c>
      <c r="AI957" s="17">
        <f t="shared" si="556"/>
        <v>0</v>
      </c>
      <c r="AJ957" s="17">
        <f t="shared" si="557"/>
        <v>0</v>
      </c>
      <c r="AK957" s="17">
        <f t="shared" si="558"/>
        <v>0</v>
      </c>
      <c r="AL957" s="17">
        <f t="shared" si="559"/>
        <v>0</v>
      </c>
      <c r="AM957" s="17">
        <f t="shared" si="560"/>
        <v>0</v>
      </c>
      <c r="AN957" s="17">
        <f t="shared" si="561"/>
        <v>0</v>
      </c>
      <c r="AO957" s="17">
        <f t="shared" si="562"/>
        <v>0</v>
      </c>
      <c r="AP957" s="17">
        <f t="shared" si="563"/>
        <v>0</v>
      </c>
      <c r="AQ957" s="18">
        <v>0</v>
      </c>
      <c r="AR957" s="18">
        <v>0</v>
      </c>
      <c r="AS957" s="18">
        <v>0</v>
      </c>
      <c r="AT957" s="18">
        <v>0</v>
      </c>
      <c r="AU957" s="18">
        <v>0</v>
      </c>
      <c r="AV957" s="18">
        <v>0</v>
      </c>
      <c r="AW957" s="18">
        <v>0</v>
      </c>
      <c r="AX957" s="18">
        <v>0</v>
      </c>
      <c r="AY957" s="18">
        <v>0</v>
      </c>
      <c r="AZ957" s="18">
        <v>0</v>
      </c>
      <c r="BA957" s="18">
        <v>0</v>
      </c>
      <c r="BB957" s="18">
        <v>0</v>
      </c>
      <c r="BC957" s="23">
        <v>8.9181565948742242E-2</v>
      </c>
      <c r="BD957" s="23">
        <v>0.10665277883445198</v>
      </c>
      <c r="BE957" s="23">
        <v>9.438849084854764E-2</v>
      </c>
      <c r="BF957" s="23">
        <v>7.149564986855049E-2</v>
      </c>
      <c r="BG957" s="23">
        <v>0.10368571810536763</v>
      </c>
      <c r="BH957" s="23">
        <v>8.4970330952544637E-2</v>
      </c>
      <c r="BI957" s="23">
        <v>8.4593878877262704E-2</v>
      </c>
      <c r="BJ957" s="23">
        <v>5.7447105462779965E-2</v>
      </c>
      <c r="BK957" s="23">
        <v>8.5153852345557474E-2</v>
      </c>
      <c r="BL957" s="23">
        <v>7.4158058913035174E-2</v>
      </c>
      <c r="BM957" s="23">
        <v>7.5718189192107169E-2</v>
      </c>
      <c r="BN957" s="23">
        <v>7.3955559365675619E-2</v>
      </c>
    </row>
    <row r="958" spans="1:66" x14ac:dyDescent="0.25">
      <c r="A958" s="16">
        <v>17338</v>
      </c>
      <c r="B958" s="16" t="s">
        <v>1152</v>
      </c>
      <c r="C958" s="17">
        <v>0</v>
      </c>
      <c r="D958" s="17">
        <f t="shared" si="527"/>
        <v>0</v>
      </c>
      <c r="E958" s="17">
        <f t="shared" si="528"/>
        <v>0</v>
      </c>
      <c r="F958" s="17">
        <f t="shared" si="529"/>
        <v>0</v>
      </c>
      <c r="G958" s="17">
        <f t="shared" si="530"/>
        <v>0</v>
      </c>
      <c r="H958" s="17">
        <f t="shared" si="531"/>
        <v>0</v>
      </c>
      <c r="I958" s="17">
        <f t="shared" si="532"/>
        <v>0</v>
      </c>
      <c r="J958" s="17">
        <f t="shared" si="533"/>
        <v>0</v>
      </c>
      <c r="K958" s="17">
        <f t="shared" si="534"/>
        <v>0</v>
      </c>
      <c r="L958" s="17">
        <f t="shared" si="535"/>
        <v>0</v>
      </c>
      <c r="M958" s="17">
        <f t="shared" si="536"/>
        <v>0</v>
      </c>
      <c r="N958" s="17">
        <f t="shared" si="537"/>
        <v>0</v>
      </c>
      <c r="O958" s="17">
        <f t="shared" si="538"/>
        <v>0</v>
      </c>
      <c r="P958" s="17">
        <v>0</v>
      </c>
      <c r="Q958" s="17">
        <f t="shared" si="539"/>
        <v>0</v>
      </c>
      <c r="R958" s="17">
        <f t="shared" si="540"/>
        <v>0</v>
      </c>
      <c r="S958" s="17">
        <f t="shared" si="541"/>
        <v>0</v>
      </c>
      <c r="T958" s="17">
        <f t="shared" si="542"/>
        <v>0</v>
      </c>
      <c r="U958" s="17">
        <f t="shared" si="543"/>
        <v>0</v>
      </c>
      <c r="V958" s="17">
        <f t="shared" si="544"/>
        <v>0</v>
      </c>
      <c r="W958" s="17">
        <f t="shared" si="545"/>
        <v>0</v>
      </c>
      <c r="X958" s="17">
        <f t="shared" si="546"/>
        <v>0</v>
      </c>
      <c r="Y958" s="17">
        <f t="shared" si="547"/>
        <v>0</v>
      </c>
      <c r="Z958" s="17">
        <f t="shared" si="548"/>
        <v>0</v>
      </c>
      <c r="AA958" s="17">
        <f t="shared" si="549"/>
        <v>0</v>
      </c>
      <c r="AB958" s="17">
        <f t="shared" si="550"/>
        <v>0</v>
      </c>
      <c r="AC958" s="17">
        <v>0</v>
      </c>
      <c r="AD958" s="17">
        <f t="shared" si="551"/>
        <v>0</v>
      </c>
      <c r="AE958" s="17">
        <f t="shared" si="552"/>
        <v>0</v>
      </c>
      <c r="AF958" s="17">
        <f t="shared" si="553"/>
        <v>0</v>
      </c>
      <c r="AG958" s="17">
        <f t="shared" si="554"/>
        <v>0</v>
      </c>
      <c r="AH958" s="17">
        <f t="shared" si="555"/>
        <v>0</v>
      </c>
      <c r="AI958" s="17">
        <f t="shared" si="556"/>
        <v>0</v>
      </c>
      <c r="AJ958" s="17">
        <f t="shared" si="557"/>
        <v>0</v>
      </c>
      <c r="AK958" s="17">
        <f t="shared" si="558"/>
        <v>0</v>
      </c>
      <c r="AL958" s="17">
        <f t="shared" si="559"/>
        <v>0</v>
      </c>
      <c r="AM958" s="17">
        <f t="shared" si="560"/>
        <v>0</v>
      </c>
      <c r="AN958" s="17">
        <f t="shared" si="561"/>
        <v>0</v>
      </c>
      <c r="AO958" s="17">
        <f t="shared" si="562"/>
        <v>0</v>
      </c>
      <c r="AP958" s="17">
        <f t="shared" si="563"/>
        <v>0</v>
      </c>
      <c r="AQ958" s="18">
        <v>0</v>
      </c>
      <c r="AR958" s="18">
        <v>0</v>
      </c>
      <c r="AS958" s="18">
        <v>0</v>
      </c>
      <c r="AT958" s="18">
        <v>0</v>
      </c>
      <c r="AU958" s="18">
        <v>0</v>
      </c>
      <c r="AV958" s="18">
        <v>0</v>
      </c>
      <c r="AW958" s="18">
        <v>0</v>
      </c>
      <c r="AX958" s="18">
        <v>0</v>
      </c>
      <c r="AY958" s="18">
        <v>0</v>
      </c>
      <c r="AZ958" s="18">
        <v>0</v>
      </c>
      <c r="BA958" s="18">
        <v>0</v>
      </c>
      <c r="BB958" s="18">
        <v>0</v>
      </c>
      <c r="BC958" s="23">
        <v>8.9181565948742242E-2</v>
      </c>
      <c r="BD958" s="23">
        <v>0.10665277883445198</v>
      </c>
      <c r="BE958" s="23">
        <v>9.438849084854764E-2</v>
      </c>
      <c r="BF958" s="23">
        <v>7.149564986855049E-2</v>
      </c>
      <c r="BG958" s="23">
        <v>0.10368571810536763</v>
      </c>
      <c r="BH958" s="23">
        <v>8.4970330952544637E-2</v>
      </c>
      <c r="BI958" s="23">
        <v>8.4593878877262704E-2</v>
      </c>
      <c r="BJ958" s="23">
        <v>5.7447105462779965E-2</v>
      </c>
      <c r="BK958" s="23">
        <v>8.5153852345557474E-2</v>
      </c>
      <c r="BL958" s="23">
        <v>7.4158058913035174E-2</v>
      </c>
      <c r="BM958" s="23">
        <v>7.5718189192107169E-2</v>
      </c>
      <c r="BN958" s="23">
        <v>7.3955559365675619E-2</v>
      </c>
    </row>
    <row r="959" spans="1:66" x14ac:dyDescent="0.25">
      <c r="A959" s="16">
        <v>17343</v>
      </c>
      <c r="B959" s="16" t="s">
        <v>1153</v>
      </c>
      <c r="C959" s="17">
        <v>0</v>
      </c>
      <c r="D959" s="17">
        <f t="shared" si="527"/>
        <v>0</v>
      </c>
      <c r="E959" s="17">
        <f t="shared" si="528"/>
        <v>0</v>
      </c>
      <c r="F959" s="17">
        <f t="shared" si="529"/>
        <v>0</v>
      </c>
      <c r="G959" s="17">
        <f t="shared" si="530"/>
        <v>0</v>
      </c>
      <c r="H959" s="17">
        <f t="shared" si="531"/>
        <v>0</v>
      </c>
      <c r="I959" s="17">
        <f t="shared" si="532"/>
        <v>0</v>
      </c>
      <c r="J959" s="17">
        <f t="shared" si="533"/>
        <v>0</v>
      </c>
      <c r="K959" s="17">
        <f t="shared" si="534"/>
        <v>0</v>
      </c>
      <c r="L959" s="17">
        <f t="shared" si="535"/>
        <v>0</v>
      </c>
      <c r="M959" s="17">
        <f t="shared" si="536"/>
        <v>0</v>
      </c>
      <c r="N959" s="17">
        <f t="shared" si="537"/>
        <v>0</v>
      </c>
      <c r="O959" s="17">
        <f t="shared" si="538"/>
        <v>0</v>
      </c>
      <c r="P959" s="17">
        <v>0</v>
      </c>
      <c r="Q959" s="17">
        <f t="shared" si="539"/>
        <v>0</v>
      </c>
      <c r="R959" s="17">
        <f t="shared" si="540"/>
        <v>0</v>
      </c>
      <c r="S959" s="17">
        <f t="shared" si="541"/>
        <v>0</v>
      </c>
      <c r="T959" s="17">
        <f t="shared" si="542"/>
        <v>0</v>
      </c>
      <c r="U959" s="17">
        <f t="shared" si="543"/>
        <v>0</v>
      </c>
      <c r="V959" s="17">
        <f t="shared" si="544"/>
        <v>0</v>
      </c>
      <c r="W959" s="17">
        <f t="shared" si="545"/>
        <v>0</v>
      </c>
      <c r="X959" s="17">
        <f t="shared" si="546"/>
        <v>0</v>
      </c>
      <c r="Y959" s="17">
        <f t="shared" si="547"/>
        <v>0</v>
      </c>
      <c r="Z959" s="17">
        <f t="shared" si="548"/>
        <v>0</v>
      </c>
      <c r="AA959" s="17">
        <f t="shared" si="549"/>
        <v>0</v>
      </c>
      <c r="AB959" s="17">
        <f t="shared" si="550"/>
        <v>0</v>
      </c>
      <c r="AC959" s="17">
        <v>0</v>
      </c>
      <c r="AD959" s="17">
        <f t="shared" si="551"/>
        <v>0</v>
      </c>
      <c r="AE959" s="17">
        <f t="shared" si="552"/>
        <v>0</v>
      </c>
      <c r="AF959" s="17">
        <f t="shared" si="553"/>
        <v>0</v>
      </c>
      <c r="AG959" s="17">
        <f t="shared" si="554"/>
        <v>0</v>
      </c>
      <c r="AH959" s="17">
        <f t="shared" si="555"/>
        <v>0</v>
      </c>
      <c r="AI959" s="17">
        <f t="shared" si="556"/>
        <v>0</v>
      </c>
      <c r="AJ959" s="17">
        <f t="shared" si="557"/>
        <v>0</v>
      </c>
      <c r="AK959" s="17">
        <f t="shared" si="558"/>
        <v>0</v>
      </c>
      <c r="AL959" s="17">
        <f t="shared" si="559"/>
        <v>0</v>
      </c>
      <c r="AM959" s="17">
        <f t="shared" si="560"/>
        <v>0</v>
      </c>
      <c r="AN959" s="17">
        <f t="shared" si="561"/>
        <v>0</v>
      </c>
      <c r="AO959" s="17">
        <f t="shared" si="562"/>
        <v>0</v>
      </c>
      <c r="AP959" s="17">
        <f t="shared" si="563"/>
        <v>0</v>
      </c>
      <c r="AQ959" s="18">
        <v>0</v>
      </c>
      <c r="AR959" s="18">
        <v>0</v>
      </c>
      <c r="AS959" s="18">
        <v>0</v>
      </c>
      <c r="AT959" s="18">
        <v>0</v>
      </c>
      <c r="AU959" s="18">
        <v>0</v>
      </c>
      <c r="AV959" s="18">
        <v>0</v>
      </c>
      <c r="AW959" s="18">
        <v>0</v>
      </c>
      <c r="AX959" s="18">
        <v>0</v>
      </c>
      <c r="AY959" s="18">
        <v>0</v>
      </c>
      <c r="AZ959" s="18">
        <v>0</v>
      </c>
      <c r="BA959" s="18">
        <v>0</v>
      </c>
      <c r="BB959" s="18">
        <v>0</v>
      </c>
      <c r="BC959" s="23">
        <v>8.9181565948742242E-2</v>
      </c>
      <c r="BD959" s="23">
        <v>0.10665277883445198</v>
      </c>
      <c r="BE959" s="23">
        <v>9.438849084854764E-2</v>
      </c>
      <c r="BF959" s="23">
        <v>7.149564986855049E-2</v>
      </c>
      <c r="BG959" s="23">
        <v>0.10368571810536763</v>
      </c>
      <c r="BH959" s="23">
        <v>8.4970330952544637E-2</v>
      </c>
      <c r="BI959" s="23">
        <v>8.4593878877262704E-2</v>
      </c>
      <c r="BJ959" s="23">
        <v>5.7447105462779965E-2</v>
      </c>
      <c r="BK959" s="23">
        <v>8.5153852345557474E-2</v>
      </c>
      <c r="BL959" s="23">
        <v>7.4158058913035174E-2</v>
      </c>
      <c r="BM959" s="23">
        <v>7.5718189192107169E-2</v>
      </c>
      <c r="BN959" s="23">
        <v>7.3955559365675619E-2</v>
      </c>
    </row>
    <row r="960" spans="1:66" x14ac:dyDescent="0.25">
      <c r="A960" s="16">
        <v>17347</v>
      </c>
      <c r="B960" s="16" t="s">
        <v>1154</v>
      </c>
      <c r="C960" s="17">
        <v>0</v>
      </c>
      <c r="D960" s="17">
        <f t="shared" si="527"/>
        <v>0</v>
      </c>
      <c r="E960" s="17">
        <f t="shared" si="528"/>
        <v>0</v>
      </c>
      <c r="F960" s="17">
        <f t="shared" si="529"/>
        <v>0</v>
      </c>
      <c r="G960" s="17">
        <f t="shared" si="530"/>
        <v>0</v>
      </c>
      <c r="H960" s="17">
        <f t="shared" si="531"/>
        <v>0</v>
      </c>
      <c r="I960" s="17">
        <f t="shared" si="532"/>
        <v>0</v>
      </c>
      <c r="J960" s="17">
        <f t="shared" si="533"/>
        <v>0</v>
      </c>
      <c r="K960" s="17">
        <f t="shared" si="534"/>
        <v>0</v>
      </c>
      <c r="L960" s="17">
        <f t="shared" si="535"/>
        <v>0</v>
      </c>
      <c r="M960" s="17">
        <f t="shared" si="536"/>
        <v>0</v>
      </c>
      <c r="N960" s="17">
        <f t="shared" si="537"/>
        <v>0</v>
      </c>
      <c r="O960" s="17">
        <f t="shared" si="538"/>
        <v>0</v>
      </c>
      <c r="P960" s="17">
        <v>0</v>
      </c>
      <c r="Q960" s="17">
        <f t="shared" si="539"/>
        <v>0</v>
      </c>
      <c r="R960" s="17">
        <f t="shared" si="540"/>
        <v>0</v>
      </c>
      <c r="S960" s="17">
        <f t="shared" si="541"/>
        <v>0</v>
      </c>
      <c r="T960" s="17">
        <f t="shared" si="542"/>
        <v>0</v>
      </c>
      <c r="U960" s="17">
        <f t="shared" si="543"/>
        <v>0</v>
      </c>
      <c r="V960" s="17">
        <f t="shared" si="544"/>
        <v>0</v>
      </c>
      <c r="W960" s="17">
        <f t="shared" si="545"/>
        <v>0</v>
      </c>
      <c r="X960" s="17">
        <f t="shared" si="546"/>
        <v>0</v>
      </c>
      <c r="Y960" s="17">
        <f t="shared" si="547"/>
        <v>0</v>
      </c>
      <c r="Z960" s="17">
        <f t="shared" si="548"/>
        <v>0</v>
      </c>
      <c r="AA960" s="17">
        <f t="shared" si="549"/>
        <v>0</v>
      </c>
      <c r="AB960" s="17">
        <f t="shared" si="550"/>
        <v>0</v>
      </c>
      <c r="AC960" s="17">
        <v>0</v>
      </c>
      <c r="AD960" s="17">
        <f t="shared" si="551"/>
        <v>0</v>
      </c>
      <c r="AE960" s="17">
        <f t="shared" si="552"/>
        <v>0</v>
      </c>
      <c r="AF960" s="17">
        <f t="shared" si="553"/>
        <v>0</v>
      </c>
      <c r="AG960" s="17">
        <f t="shared" si="554"/>
        <v>0</v>
      </c>
      <c r="AH960" s="17">
        <f t="shared" si="555"/>
        <v>0</v>
      </c>
      <c r="AI960" s="17">
        <f t="shared" si="556"/>
        <v>0</v>
      </c>
      <c r="AJ960" s="17">
        <f t="shared" si="557"/>
        <v>0</v>
      </c>
      <c r="AK960" s="17">
        <f t="shared" si="558"/>
        <v>0</v>
      </c>
      <c r="AL960" s="17">
        <f t="shared" si="559"/>
        <v>0</v>
      </c>
      <c r="AM960" s="17">
        <f t="shared" si="560"/>
        <v>0</v>
      </c>
      <c r="AN960" s="17">
        <f t="shared" si="561"/>
        <v>0</v>
      </c>
      <c r="AO960" s="17">
        <f t="shared" si="562"/>
        <v>0</v>
      </c>
      <c r="AP960" s="17">
        <f t="shared" si="563"/>
        <v>0</v>
      </c>
      <c r="AQ960" s="18">
        <v>0</v>
      </c>
      <c r="AR960" s="18">
        <v>0</v>
      </c>
      <c r="AS960" s="18">
        <v>0</v>
      </c>
      <c r="AT960" s="18">
        <v>0</v>
      </c>
      <c r="AU960" s="18">
        <v>0</v>
      </c>
      <c r="AV960" s="18">
        <v>0</v>
      </c>
      <c r="AW960" s="18">
        <v>0</v>
      </c>
      <c r="AX960" s="18">
        <v>0</v>
      </c>
      <c r="AY960" s="18">
        <v>0</v>
      </c>
      <c r="AZ960" s="18">
        <v>0</v>
      </c>
      <c r="BA960" s="18">
        <v>0</v>
      </c>
      <c r="BB960" s="18">
        <v>0</v>
      </c>
      <c r="BC960" s="23">
        <v>8.9181565948742242E-2</v>
      </c>
      <c r="BD960" s="23">
        <v>0.10665277883445198</v>
      </c>
      <c r="BE960" s="23">
        <v>9.438849084854764E-2</v>
      </c>
      <c r="BF960" s="23">
        <v>7.149564986855049E-2</v>
      </c>
      <c r="BG960" s="23">
        <v>0.10368571810536763</v>
      </c>
      <c r="BH960" s="23">
        <v>8.4970330952544637E-2</v>
      </c>
      <c r="BI960" s="23">
        <v>8.4593878877262704E-2</v>
      </c>
      <c r="BJ960" s="23">
        <v>5.7447105462779965E-2</v>
      </c>
      <c r="BK960" s="23">
        <v>8.5153852345557474E-2</v>
      </c>
      <c r="BL960" s="23">
        <v>7.4158058913035174E-2</v>
      </c>
      <c r="BM960" s="23">
        <v>7.5718189192107169E-2</v>
      </c>
      <c r="BN960" s="23">
        <v>7.3955559365675619E-2</v>
      </c>
    </row>
    <row r="961" spans="1:66" x14ac:dyDescent="0.25">
      <c r="A961" s="16">
        <v>17352</v>
      </c>
      <c r="B961" s="16" t="s">
        <v>1155</v>
      </c>
      <c r="C961" s="17">
        <v>0</v>
      </c>
      <c r="D961" s="17">
        <f t="shared" si="527"/>
        <v>0</v>
      </c>
      <c r="E961" s="17">
        <f t="shared" si="528"/>
        <v>0</v>
      </c>
      <c r="F961" s="17">
        <f t="shared" si="529"/>
        <v>0</v>
      </c>
      <c r="G961" s="17">
        <f t="shared" si="530"/>
        <v>0</v>
      </c>
      <c r="H961" s="17">
        <f t="shared" si="531"/>
        <v>0</v>
      </c>
      <c r="I961" s="17">
        <f t="shared" si="532"/>
        <v>0</v>
      </c>
      <c r="J961" s="17">
        <f t="shared" si="533"/>
        <v>0</v>
      </c>
      <c r="K961" s="17">
        <f t="shared" si="534"/>
        <v>0</v>
      </c>
      <c r="L961" s="17">
        <f t="shared" si="535"/>
        <v>0</v>
      </c>
      <c r="M961" s="17">
        <f t="shared" si="536"/>
        <v>0</v>
      </c>
      <c r="N961" s="17">
        <f t="shared" si="537"/>
        <v>0</v>
      </c>
      <c r="O961" s="17">
        <f t="shared" si="538"/>
        <v>0</v>
      </c>
      <c r="P961" s="17">
        <v>0</v>
      </c>
      <c r="Q961" s="17">
        <f t="shared" si="539"/>
        <v>0</v>
      </c>
      <c r="R961" s="17">
        <f t="shared" si="540"/>
        <v>0</v>
      </c>
      <c r="S961" s="17">
        <f t="shared" si="541"/>
        <v>0</v>
      </c>
      <c r="T961" s="17">
        <f t="shared" si="542"/>
        <v>0</v>
      </c>
      <c r="U961" s="17">
        <f t="shared" si="543"/>
        <v>0</v>
      </c>
      <c r="V961" s="17">
        <f t="shared" si="544"/>
        <v>0</v>
      </c>
      <c r="W961" s="17">
        <f t="shared" si="545"/>
        <v>0</v>
      </c>
      <c r="X961" s="17">
        <f t="shared" si="546"/>
        <v>0</v>
      </c>
      <c r="Y961" s="17">
        <f t="shared" si="547"/>
        <v>0</v>
      </c>
      <c r="Z961" s="17">
        <f t="shared" si="548"/>
        <v>0</v>
      </c>
      <c r="AA961" s="17">
        <f t="shared" si="549"/>
        <v>0</v>
      </c>
      <c r="AB961" s="17">
        <f t="shared" si="550"/>
        <v>0</v>
      </c>
      <c r="AC961" s="17">
        <v>0</v>
      </c>
      <c r="AD961" s="17">
        <f t="shared" si="551"/>
        <v>0</v>
      </c>
      <c r="AE961" s="17">
        <f t="shared" si="552"/>
        <v>0</v>
      </c>
      <c r="AF961" s="17">
        <f t="shared" si="553"/>
        <v>0</v>
      </c>
      <c r="AG961" s="17">
        <f t="shared" si="554"/>
        <v>0</v>
      </c>
      <c r="AH961" s="17">
        <f t="shared" si="555"/>
        <v>0</v>
      </c>
      <c r="AI961" s="17">
        <f t="shared" si="556"/>
        <v>0</v>
      </c>
      <c r="AJ961" s="17">
        <f t="shared" si="557"/>
        <v>0</v>
      </c>
      <c r="AK961" s="17">
        <f t="shared" si="558"/>
        <v>0</v>
      </c>
      <c r="AL961" s="17">
        <f t="shared" si="559"/>
        <v>0</v>
      </c>
      <c r="AM961" s="17">
        <f t="shared" si="560"/>
        <v>0</v>
      </c>
      <c r="AN961" s="17">
        <f t="shared" si="561"/>
        <v>0</v>
      </c>
      <c r="AO961" s="17">
        <f t="shared" si="562"/>
        <v>0</v>
      </c>
      <c r="AP961" s="17">
        <f t="shared" si="563"/>
        <v>0</v>
      </c>
      <c r="AQ961" s="18">
        <v>6.8669805780531528</v>
      </c>
      <c r="AR961" s="18">
        <v>8.2122639702528026</v>
      </c>
      <c r="AS961" s="18">
        <v>7.2679137953381687</v>
      </c>
      <c r="AT961" s="18">
        <v>5.5051650398783876</v>
      </c>
      <c r="AU961" s="18">
        <v>7.9838002941133075</v>
      </c>
      <c r="AV961" s="18">
        <v>6.5427154833459369</v>
      </c>
      <c r="AW961" s="18">
        <v>6.5137286735492284</v>
      </c>
      <c r="AX961" s="18">
        <v>4.4234271206340576</v>
      </c>
      <c r="AY961" s="18">
        <v>6.5568466306079252</v>
      </c>
      <c r="AZ961" s="18">
        <v>5.7101705363037087</v>
      </c>
      <c r="BA961" s="18">
        <v>5.8303005677922517</v>
      </c>
      <c r="BB961" s="18">
        <v>5.6945780711570224</v>
      </c>
      <c r="BC961" s="23">
        <v>8.9181565948742242E-2</v>
      </c>
      <c r="BD961" s="23">
        <v>0.10665277883445198</v>
      </c>
      <c r="BE961" s="23">
        <v>9.438849084854764E-2</v>
      </c>
      <c r="BF961" s="23">
        <v>7.149564986855049E-2</v>
      </c>
      <c r="BG961" s="23">
        <v>0.10368571810536763</v>
      </c>
      <c r="BH961" s="23">
        <v>8.4970330952544637E-2</v>
      </c>
      <c r="BI961" s="23">
        <v>8.4593878877262704E-2</v>
      </c>
      <c r="BJ961" s="23">
        <v>5.7447105462779965E-2</v>
      </c>
      <c r="BK961" s="23">
        <v>8.5153852345557474E-2</v>
      </c>
      <c r="BL961" s="23">
        <v>7.4158058913035174E-2</v>
      </c>
      <c r="BM961" s="23">
        <v>7.5718189192107169E-2</v>
      </c>
      <c r="BN961" s="23">
        <v>7.3955559365675619E-2</v>
      </c>
    </row>
    <row r="962" spans="1:66" x14ac:dyDescent="0.25">
      <c r="A962" s="16">
        <v>20001</v>
      </c>
      <c r="B962" s="16" t="s">
        <v>1156</v>
      </c>
      <c r="C962" s="17">
        <v>0</v>
      </c>
      <c r="D962" s="17">
        <f t="shared" si="527"/>
        <v>0</v>
      </c>
      <c r="E962" s="17">
        <f t="shared" si="528"/>
        <v>0</v>
      </c>
      <c r="F962" s="17">
        <f t="shared" si="529"/>
        <v>0</v>
      </c>
      <c r="G962" s="17">
        <f t="shared" si="530"/>
        <v>0</v>
      </c>
      <c r="H962" s="17">
        <f t="shared" si="531"/>
        <v>0</v>
      </c>
      <c r="I962" s="17">
        <f t="shared" si="532"/>
        <v>0</v>
      </c>
      <c r="J962" s="17">
        <f t="shared" si="533"/>
        <v>0</v>
      </c>
      <c r="K962" s="17">
        <f t="shared" si="534"/>
        <v>0</v>
      </c>
      <c r="L962" s="17">
        <f t="shared" si="535"/>
        <v>0</v>
      </c>
      <c r="M962" s="17">
        <f t="shared" si="536"/>
        <v>0</v>
      </c>
      <c r="N962" s="17">
        <f t="shared" si="537"/>
        <v>0</v>
      </c>
      <c r="O962" s="17">
        <f t="shared" si="538"/>
        <v>0</v>
      </c>
      <c r="P962" s="17">
        <v>500</v>
      </c>
      <c r="Q962" s="17">
        <f t="shared" si="539"/>
        <v>44.590782974371123</v>
      </c>
      <c r="R962" s="17">
        <f t="shared" si="540"/>
        <v>53.32638941722599</v>
      </c>
      <c r="S962" s="17">
        <f t="shared" si="541"/>
        <v>47.194245424273824</v>
      </c>
      <c r="T962" s="17">
        <f t="shared" si="542"/>
        <v>35.747824934275243</v>
      </c>
      <c r="U962" s="17">
        <f t="shared" si="543"/>
        <v>51.842859052683814</v>
      </c>
      <c r="V962" s="17">
        <f t="shared" si="544"/>
        <v>42.485165476272321</v>
      </c>
      <c r="W962" s="17">
        <f t="shared" si="545"/>
        <v>42.296939438631355</v>
      </c>
      <c r="X962" s="17">
        <f t="shared" si="546"/>
        <v>28.723552731389983</v>
      </c>
      <c r="Y962" s="17">
        <f t="shared" si="547"/>
        <v>42.576926172778734</v>
      </c>
      <c r="Z962" s="17">
        <f t="shared" si="548"/>
        <v>37.079029456517588</v>
      </c>
      <c r="AA962" s="17">
        <f t="shared" si="549"/>
        <v>37.859094596053588</v>
      </c>
      <c r="AB962" s="17">
        <f t="shared" si="550"/>
        <v>36.977779682837813</v>
      </c>
      <c r="AC962" s="17">
        <v>0</v>
      </c>
      <c r="AD962" s="17">
        <f t="shared" si="551"/>
        <v>0</v>
      </c>
      <c r="AE962" s="17">
        <f t="shared" si="552"/>
        <v>0</v>
      </c>
      <c r="AF962" s="17">
        <f t="shared" si="553"/>
        <v>0</v>
      </c>
      <c r="AG962" s="17">
        <f t="shared" si="554"/>
        <v>0</v>
      </c>
      <c r="AH962" s="17">
        <f t="shared" si="555"/>
        <v>0</v>
      </c>
      <c r="AI962" s="17">
        <f t="shared" si="556"/>
        <v>0</v>
      </c>
      <c r="AJ962" s="17">
        <f t="shared" si="557"/>
        <v>0</v>
      </c>
      <c r="AK962" s="17">
        <f t="shared" si="558"/>
        <v>0</v>
      </c>
      <c r="AL962" s="17">
        <f t="shared" si="559"/>
        <v>0</v>
      </c>
      <c r="AM962" s="17">
        <f t="shared" si="560"/>
        <v>0</v>
      </c>
      <c r="AN962" s="17">
        <f t="shared" si="561"/>
        <v>0</v>
      </c>
      <c r="AO962" s="17">
        <f t="shared" si="562"/>
        <v>0</v>
      </c>
      <c r="AP962" s="17">
        <f t="shared" si="563"/>
        <v>500</v>
      </c>
      <c r="AQ962" s="18">
        <v>32.47100816193705</v>
      </c>
      <c r="AR962" s="18">
        <v>38.832276773623967</v>
      </c>
      <c r="AS962" s="18">
        <v>34.366849517956197</v>
      </c>
      <c r="AT962" s="18">
        <v>26.031566117139235</v>
      </c>
      <c r="AU962" s="18">
        <v>37.751969962164353</v>
      </c>
      <c r="AV962" s="18">
        <v>30.937697499821503</v>
      </c>
      <c r="AW962" s="18">
        <v>30.800631299211354</v>
      </c>
      <c r="AX962" s="18">
        <v>20.916491098998186</v>
      </c>
      <c r="AY962" s="18">
        <v>31.004517639017479</v>
      </c>
      <c r="AZ962" s="18">
        <v>27.000949250236108</v>
      </c>
      <c r="BA962" s="18">
        <v>27.568992684846222</v>
      </c>
      <c r="BB962" s="18">
        <v>26.927219165042494</v>
      </c>
      <c r="BC962" s="23">
        <v>8.9181565948742242E-2</v>
      </c>
      <c r="BD962" s="23">
        <v>0.10665277883445198</v>
      </c>
      <c r="BE962" s="23">
        <v>9.438849084854764E-2</v>
      </c>
      <c r="BF962" s="23">
        <v>7.149564986855049E-2</v>
      </c>
      <c r="BG962" s="23">
        <v>0.10368571810536763</v>
      </c>
      <c r="BH962" s="23">
        <v>8.4970330952544637E-2</v>
      </c>
      <c r="BI962" s="23">
        <v>8.4593878877262704E-2</v>
      </c>
      <c r="BJ962" s="23">
        <v>5.7447105462779965E-2</v>
      </c>
      <c r="BK962" s="23">
        <v>8.5153852345557474E-2</v>
      </c>
      <c r="BL962" s="23">
        <v>7.4158058913035174E-2</v>
      </c>
      <c r="BM962" s="23">
        <v>7.5718189192107169E-2</v>
      </c>
      <c r="BN962" s="23">
        <v>7.3955559365675619E-2</v>
      </c>
    </row>
    <row r="963" spans="1:66" x14ac:dyDescent="0.25">
      <c r="A963" s="16">
        <v>20106</v>
      </c>
      <c r="B963" s="16" t="s">
        <v>1157</v>
      </c>
      <c r="C963" s="17">
        <v>0</v>
      </c>
      <c r="D963" s="17">
        <f t="shared" si="527"/>
        <v>0</v>
      </c>
      <c r="E963" s="17">
        <f t="shared" si="528"/>
        <v>0</v>
      </c>
      <c r="F963" s="17">
        <f t="shared" si="529"/>
        <v>0</v>
      </c>
      <c r="G963" s="17">
        <f t="shared" si="530"/>
        <v>0</v>
      </c>
      <c r="H963" s="17">
        <f t="shared" si="531"/>
        <v>0</v>
      </c>
      <c r="I963" s="17">
        <f t="shared" si="532"/>
        <v>0</v>
      </c>
      <c r="J963" s="17">
        <f t="shared" si="533"/>
        <v>0</v>
      </c>
      <c r="K963" s="17">
        <f t="shared" si="534"/>
        <v>0</v>
      </c>
      <c r="L963" s="17">
        <f t="shared" si="535"/>
        <v>0</v>
      </c>
      <c r="M963" s="17">
        <f t="shared" si="536"/>
        <v>0</v>
      </c>
      <c r="N963" s="17">
        <f t="shared" si="537"/>
        <v>0</v>
      </c>
      <c r="O963" s="17">
        <f t="shared" si="538"/>
        <v>0</v>
      </c>
      <c r="P963" s="17">
        <v>500</v>
      </c>
      <c r="Q963" s="17">
        <f t="shared" si="539"/>
        <v>44.590782974371123</v>
      </c>
      <c r="R963" s="17">
        <f t="shared" si="540"/>
        <v>53.32638941722599</v>
      </c>
      <c r="S963" s="17">
        <f t="shared" si="541"/>
        <v>47.194245424273824</v>
      </c>
      <c r="T963" s="17">
        <f t="shared" si="542"/>
        <v>35.747824934275243</v>
      </c>
      <c r="U963" s="17">
        <f t="shared" si="543"/>
        <v>51.842859052683814</v>
      </c>
      <c r="V963" s="17">
        <f t="shared" si="544"/>
        <v>42.485165476272321</v>
      </c>
      <c r="W963" s="17">
        <f t="shared" si="545"/>
        <v>42.296939438631355</v>
      </c>
      <c r="X963" s="17">
        <f t="shared" si="546"/>
        <v>28.723552731389983</v>
      </c>
      <c r="Y963" s="17">
        <f t="shared" si="547"/>
        <v>42.576926172778734</v>
      </c>
      <c r="Z963" s="17">
        <f t="shared" si="548"/>
        <v>37.079029456517588</v>
      </c>
      <c r="AA963" s="17">
        <f t="shared" si="549"/>
        <v>37.859094596053588</v>
      </c>
      <c r="AB963" s="17">
        <f t="shared" si="550"/>
        <v>36.977779682837813</v>
      </c>
      <c r="AC963" s="17">
        <v>0</v>
      </c>
      <c r="AD963" s="17">
        <f t="shared" si="551"/>
        <v>0</v>
      </c>
      <c r="AE963" s="17">
        <f t="shared" si="552"/>
        <v>0</v>
      </c>
      <c r="AF963" s="17">
        <f t="shared" si="553"/>
        <v>0</v>
      </c>
      <c r="AG963" s="17">
        <f t="shared" si="554"/>
        <v>0</v>
      </c>
      <c r="AH963" s="17">
        <f t="shared" si="555"/>
        <v>0</v>
      </c>
      <c r="AI963" s="17">
        <f t="shared" si="556"/>
        <v>0</v>
      </c>
      <c r="AJ963" s="17">
        <f t="shared" si="557"/>
        <v>0</v>
      </c>
      <c r="AK963" s="17">
        <f t="shared" si="558"/>
        <v>0</v>
      </c>
      <c r="AL963" s="17">
        <f t="shared" si="559"/>
        <v>0</v>
      </c>
      <c r="AM963" s="17">
        <f t="shared" si="560"/>
        <v>0</v>
      </c>
      <c r="AN963" s="17">
        <f t="shared" si="561"/>
        <v>0</v>
      </c>
      <c r="AO963" s="17">
        <f t="shared" si="562"/>
        <v>0</v>
      </c>
      <c r="AP963" s="17">
        <f t="shared" si="563"/>
        <v>500</v>
      </c>
      <c r="AQ963" s="18">
        <v>37.434854122644055</v>
      </c>
      <c r="AR963" s="18">
        <v>44.768570443549578</v>
      </c>
      <c r="AS963" s="18">
        <v>39.620512918586364</v>
      </c>
      <c r="AT963" s="18">
        <v>30.011013988822761</v>
      </c>
      <c r="AU963" s="18">
        <v>43.523117031909123</v>
      </c>
      <c r="AV963" s="18">
        <v>35.667146120640147</v>
      </c>
      <c r="AW963" s="18">
        <v>35.509126597519803</v>
      </c>
      <c r="AX963" s="18">
        <v>24.113996989056524</v>
      </c>
      <c r="AY963" s="18">
        <v>35.744181060571215</v>
      </c>
      <c r="AZ963" s="18">
        <v>31.128586809335651</v>
      </c>
      <c r="BA963" s="18">
        <v>31.783467095278912</v>
      </c>
      <c r="BB963" s="18">
        <v>31.043585599336005</v>
      </c>
      <c r="BC963" s="23">
        <v>8.9181565948742242E-2</v>
      </c>
      <c r="BD963" s="23">
        <v>0.10665277883445198</v>
      </c>
      <c r="BE963" s="23">
        <v>9.438849084854764E-2</v>
      </c>
      <c r="BF963" s="23">
        <v>7.149564986855049E-2</v>
      </c>
      <c r="BG963" s="23">
        <v>0.10368571810536763</v>
      </c>
      <c r="BH963" s="23">
        <v>8.4970330952544637E-2</v>
      </c>
      <c r="BI963" s="23">
        <v>8.4593878877262704E-2</v>
      </c>
      <c r="BJ963" s="23">
        <v>5.7447105462779965E-2</v>
      </c>
      <c r="BK963" s="23">
        <v>8.5153852345557474E-2</v>
      </c>
      <c r="BL963" s="23">
        <v>7.4158058913035174E-2</v>
      </c>
      <c r="BM963" s="23">
        <v>7.5718189192107169E-2</v>
      </c>
      <c r="BN963" s="23">
        <v>7.3955559365675619E-2</v>
      </c>
    </row>
    <row r="964" spans="1:66" x14ac:dyDescent="0.25">
      <c r="A964" s="16">
        <v>20117</v>
      </c>
      <c r="B964" s="16" t="s">
        <v>1158</v>
      </c>
      <c r="C964" s="17">
        <v>0</v>
      </c>
      <c r="D964" s="17">
        <f t="shared" ref="D964:D996" si="564">+$C964*BC964</f>
        <v>0</v>
      </c>
      <c r="E964" s="17">
        <f t="shared" ref="E964:E996" si="565">+$C964*BD964</f>
        <v>0</v>
      </c>
      <c r="F964" s="17">
        <f t="shared" ref="F964:F996" si="566">+$C964*BE964</f>
        <v>0</v>
      </c>
      <c r="G964" s="17">
        <f t="shared" ref="G964:G996" si="567">+$C964*BF964</f>
        <v>0</v>
      </c>
      <c r="H964" s="17">
        <f t="shared" ref="H964:H996" si="568">+$C964*BG964</f>
        <v>0</v>
      </c>
      <c r="I964" s="17">
        <f t="shared" ref="I964:I996" si="569">+$C964*BH964</f>
        <v>0</v>
      </c>
      <c r="J964" s="17">
        <f t="shared" ref="J964:J996" si="570">+$C964*BI964</f>
        <v>0</v>
      </c>
      <c r="K964" s="17">
        <f t="shared" ref="K964:K996" si="571">+$C964*BJ964</f>
        <v>0</v>
      </c>
      <c r="L964" s="17">
        <f t="shared" ref="L964:L996" si="572">+$C964*BK964</f>
        <v>0</v>
      </c>
      <c r="M964" s="17">
        <f t="shared" ref="M964:M996" si="573">+$C964*BL964</f>
        <v>0</v>
      </c>
      <c r="N964" s="17">
        <f t="shared" ref="N964:N996" si="574">+$C964*BM964</f>
        <v>0</v>
      </c>
      <c r="O964" s="17">
        <f t="shared" ref="O964:O996" si="575">+$C964*BN964</f>
        <v>0</v>
      </c>
      <c r="P964" s="17">
        <v>0</v>
      </c>
      <c r="Q964" s="17">
        <f t="shared" ref="Q964:Q996" si="576">+$P964*BC964</f>
        <v>0</v>
      </c>
      <c r="R964" s="17">
        <f t="shared" ref="R964:R996" si="577">+$P964*BD964</f>
        <v>0</v>
      </c>
      <c r="S964" s="17">
        <f t="shared" ref="S964:S996" si="578">+$P964*BE964</f>
        <v>0</v>
      </c>
      <c r="T964" s="17">
        <f t="shared" ref="T964:T996" si="579">+$P964*BF964</f>
        <v>0</v>
      </c>
      <c r="U964" s="17">
        <f t="shared" ref="U964:U996" si="580">+$P964*BG964</f>
        <v>0</v>
      </c>
      <c r="V964" s="17">
        <f t="shared" ref="V964:V996" si="581">+$P964*BH964</f>
        <v>0</v>
      </c>
      <c r="W964" s="17">
        <f t="shared" ref="W964:W996" si="582">+$P964*BI964</f>
        <v>0</v>
      </c>
      <c r="X964" s="17">
        <f t="shared" ref="X964:X996" si="583">+$P964*BJ964</f>
        <v>0</v>
      </c>
      <c r="Y964" s="17">
        <f t="shared" ref="Y964:Y996" si="584">+$P964*BK964</f>
        <v>0</v>
      </c>
      <c r="Z964" s="17">
        <f t="shared" ref="Z964:Z996" si="585">+$P964*BL964</f>
        <v>0</v>
      </c>
      <c r="AA964" s="17">
        <f t="shared" ref="AA964:AA996" si="586">+$P964*BM964</f>
        <v>0</v>
      </c>
      <c r="AB964" s="17">
        <f t="shared" ref="AB964:AB996" si="587">+$P964*BN964</f>
        <v>0</v>
      </c>
      <c r="AC964" s="17">
        <v>0</v>
      </c>
      <c r="AD964" s="17">
        <f t="shared" ref="AD964:AD996" si="588">+$AC964*BC964</f>
        <v>0</v>
      </c>
      <c r="AE964" s="17">
        <f t="shared" ref="AE964:AE996" si="589">+$AC964*BD964</f>
        <v>0</v>
      </c>
      <c r="AF964" s="17">
        <f t="shared" ref="AF964:AF996" si="590">+$AC964*BE964</f>
        <v>0</v>
      </c>
      <c r="AG964" s="17">
        <f t="shared" ref="AG964:AG996" si="591">+$AC964*BF964</f>
        <v>0</v>
      </c>
      <c r="AH964" s="17">
        <f t="shared" ref="AH964:AH996" si="592">+$AC964*BG964</f>
        <v>0</v>
      </c>
      <c r="AI964" s="17">
        <f t="shared" ref="AI964:AI996" si="593">+$AC964*BH964</f>
        <v>0</v>
      </c>
      <c r="AJ964" s="17">
        <f t="shared" ref="AJ964:AJ996" si="594">+$AC964*BI964</f>
        <v>0</v>
      </c>
      <c r="AK964" s="17">
        <f t="shared" ref="AK964:AK996" si="595">+$AC964*BJ964</f>
        <v>0</v>
      </c>
      <c r="AL964" s="17">
        <f t="shared" ref="AL964:AL996" si="596">+$AC964*BK964</f>
        <v>0</v>
      </c>
      <c r="AM964" s="17">
        <f t="shared" ref="AM964:AM996" si="597">+$AC964*BL964</f>
        <v>0</v>
      </c>
      <c r="AN964" s="17">
        <f t="shared" ref="AN964:AN996" si="598">+$AC964*BM964</f>
        <v>0</v>
      </c>
      <c r="AO964" s="17">
        <f t="shared" ref="AO964:AO996" si="599">+$AC964*BN964</f>
        <v>0</v>
      </c>
      <c r="AP964" s="17">
        <f t="shared" ref="AP964:AP996" si="600">+AC964+P964+C964</f>
        <v>0</v>
      </c>
      <c r="AQ964" s="18">
        <v>60.074308091259859</v>
      </c>
      <c r="AR964" s="18">
        <v>71.843231572905879</v>
      </c>
      <c r="AS964" s="18">
        <v>63.581786428416969</v>
      </c>
      <c r="AT964" s="18">
        <v>48.160756673153244</v>
      </c>
      <c r="AU964" s="18">
        <v>69.844566058701531</v>
      </c>
      <c r="AV964" s="18">
        <v>57.237544395591215</v>
      </c>
      <c r="AW964" s="18">
        <v>56.98395950154395</v>
      </c>
      <c r="AX964" s="18">
        <v>38.697404287626917</v>
      </c>
      <c r="AY964" s="18">
        <v>57.36116770930974</v>
      </c>
      <c r="AZ964" s="18">
        <v>49.954203328880929</v>
      </c>
      <c r="BA964" s="18">
        <v>51.005135167208849</v>
      </c>
      <c r="BB964" s="18">
        <v>49.81779598878768</v>
      </c>
      <c r="BC964" s="23">
        <v>8.9181565948742242E-2</v>
      </c>
      <c r="BD964" s="23">
        <v>0.10665277883445198</v>
      </c>
      <c r="BE964" s="23">
        <v>9.438849084854764E-2</v>
      </c>
      <c r="BF964" s="23">
        <v>7.149564986855049E-2</v>
      </c>
      <c r="BG964" s="23">
        <v>0.10368571810536763</v>
      </c>
      <c r="BH964" s="23">
        <v>8.4970330952544637E-2</v>
      </c>
      <c r="BI964" s="23">
        <v>8.4593878877262704E-2</v>
      </c>
      <c r="BJ964" s="23">
        <v>5.7447105462779965E-2</v>
      </c>
      <c r="BK964" s="23">
        <v>8.5153852345557474E-2</v>
      </c>
      <c r="BL964" s="23">
        <v>7.4158058913035174E-2</v>
      </c>
      <c r="BM964" s="23">
        <v>7.5718189192107169E-2</v>
      </c>
      <c r="BN964" s="23">
        <v>7.3955559365675619E-2</v>
      </c>
    </row>
    <row r="965" spans="1:66" x14ac:dyDescent="0.25">
      <c r="A965" s="16">
        <v>20119</v>
      </c>
      <c r="B965" s="16" t="s">
        <v>1159</v>
      </c>
      <c r="C965" s="17">
        <v>0</v>
      </c>
      <c r="D965" s="17">
        <f t="shared" si="564"/>
        <v>0</v>
      </c>
      <c r="E965" s="17">
        <f t="shared" si="565"/>
        <v>0</v>
      </c>
      <c r="F965" s="17">
        <f t="shared" si="566"/>
        <v>0</v>
      </c>
      <c r="G965" s="17">
        <f t="shared" si="567"/>
        <v>0</v>
      </c>
      <c r="H965" s="17">
        <f t="shared" si="568"/>
        <v>0</v>
      </c>
      <c r="I965" s="17">
        <f t="shared" si="569"/>
        <v>0</v>
      </c>
      <c r="J965" s="17">
        <f t="shared" si="570"/>
        <v>0</v>
      </c>
      <c r="K965" s="17">
        <f t="shared" si="571"/>
        <v>0</v>
      </c>
      <c r="L965" s="17">
        <f t="shared" si="572"/>
        <v>0</v>
      </c>
      <c r="M965" s="17">
        <f t="shared" si="573"/>
        <v>0</v>
      </c>
      <c r="N965" s="17">
        <f t="shared" si="574"/>
        <v>0</v>
      </c>
      <c r="O965" s="17">
        <f t="shared" si="575"/>
        <v>0</v>
      </c>
      <c r="P965" s="17">
        <v>0</v>
      </c>
      <c r="Q965" s="17">
        <f t="shared" si="576"/>
        <v>0</v>
      </c>
      <c r="R965" s="17">
        <f t="shared" si="577"/>
        <v>0</v>
      </c>
      <c r="S965" s="17">
        <f t="shared" si="578"/>
        <v>0</v>
      </c>
      <c r="T965" s="17">
        <f t="shared" si="579"/>
        <v>0</v>
      </c>
      <c r="U965" s="17">
        <f t="shared" si="580"/>
        <v>0</v>
      </c>
      <c r="V965" s="17">
        <f t="shared" si="581"/>
        <v>0</v>
      </c>
      <c r="W965" s="17">
        <f t="shared" si="582"/>
        <v>0</v>
      </c>
      <c r="X965" s="17">
        <f t="shared" si="583"/>
        <v>0</v>
      </c>
      <c r="Y965" s="17">
        <f t="shared" si="584"/>
        <v>0</v>
      </c>
      <c r="Z965" s="17">
        <f t="shared" si="585"/>
        <v>0</v>
      </c>
      <c r="AA965" s="17">
        <f t="shared" si="586"/>
        <v>0</v>
      </c>
      <c r="AB965" s="17">
        <f t="shared" si="587"/>
        <v>0</v>
      </c>
      <c r="AC965" s="17">
        <v>0</v>
      </c>
      <c r="AD965" s="17">
        <f t="shared" si="588"/>
        <v>0</v>
      </c>
      <c r="AE965" s="17">
        <f t="shared" si="589"/>
        <v>0</v>
      </c>
      <c r="AF965" s="17">
        <f t="shared" si="590"/>
        <v>0</v>
      </c>
      <c r="AG965" s="17">
        <f t="shared" si="591"/>
        <v>0</v>
      </c>
      <c r="AH965" s="17">
        <f t="shared" si="592"/>
        <v>0</v>
      </c>
      <c r="AI965" s="17">
        <f t="shared" si="593"/>
        <v>0</v>
      </c>
      <c r="AJ965" s="17">
        <f t="shared" si="594"/>
        <v>0</v>
      </c>
      <c r="AK965" s="17">
        <f t="shared" si="595"/>
        <v>0</v>
      </c>
      <c r="AL965" s="17">
        <f t="shared" si="596"/>
        <v>0</v>
      </c>
      <c r="AM965" s="17">
        <f t="shared" si="597"/>
        <v>0</v>
      </c>
      <c r="AN965" s="17">
        <f t="shared" si="598"/>
        <v>0</v>
      </c>
      <c r="AO965" s="17">
        <f t="shared" si="599"/>
        <v>0</v>
      </c>
      <c r="AP965" s="17">
        <f t="shared" si="600"/>
        <v>0</v>
      </c>
      <c r="AQ965" s="18">
        <v>0</v>
      </c>
      <c r="AR965" s="18">
        <v>0</v>
      </c>
      <c r="AS965" s="18">
        <v>0</v>
      </c>
      <c r="AT965" s="18">
        <v>0</v>
      </c>
      <c r="AU965" s="18">
        <v>0</v>
      </c>
      <c r="AV965" s="18">
        <v>0</v>
      </c>
      <c r="AW965" s="18">
        <v>0</v>
      </c>
      <c r="AX965" s="18">
        <v>0</v>
      </c>
      <c r="AY965" s="18">
        <v>0</v>
      </c>
      <c r="AZ965" s="18">
        <v>0</v>
      </c>
      <c r="BA965" s="18">
        <v>0</v>
      </c>
      <c r="BB965" s="18">
        <v>0</v>
      </c>
      <c r="BC965" s="23">
        <v>8.9181565948742242E-2</v>
      </c>
      <c r="BD965" s="23">
        <v>0.10665277883445198</v>
      </c>
      <c r="BE965" s="23">
        <v>9.438849084854764E-2</v>
      </c>
      <c r="BF965" s="23">
        <v>7.149564986855049E-2</v>
      </c>
      <c r="BG965" s="23">
        <v>0.10368571810536763</v>
      </c>
      <c r="BH965" s="23">
        <v>8.4970330952544637E-2</v>
      </c>
      <c r="BI965" s="23">
        <v>8.4593878877262704E-2</v>
      </c>
      <c r="BJ965" s="23">
        <v>5.7447105462779965E-2</v>
      </c>
      <c r="BK965" s="23">
        <v>8.5153852345557474E-2</v>
      </c>
      <c r="BL965" s="23">
        <v>7.4158058913035174E-2</v>
      </c>
      <c r="BM965" s="23">
        <v>7.5718189192107169E-2</v>
      </c>
      <c r="BN965" s="23">
        <v>7.3955559365675619E-2</v>
      </c>
    </row>
    <row r="966" spans="1:66" x14ac:dyDescent="0.25">
      <c r="A966" s="16">
        <v>20207</v>
      </c>
      <c r="B966" s="16" t="s">
        <v>1160</v>
      </c>
      <c r="C966" s="17">
        <v>0</v>
      </c>
      <c r="D966" s="17">
        <f t="shared" si="564"/>
        <v>0</v>
      </c>
      <c r="E966" s="17">
        <f t="shared" si="565"/>
        <v>0</v>
      </c>
      <c r="F966" s="17">
        <f t="shared" si="566"/>
        <v>0</v>
      </c>
      <c r="G966" s="17">
        <f t="shared" si="567"/>
        <v>0</v>
      </c>
      <c r="H966" s="17">
        <f t="shared" si="568"/>
        <v>0</v>
      </c>
      <c r="I966" s="17">
        <f t="shared" si="569"/>
        <v>0</v>
      </c>
      <c r="J966" s="17">
        <f t="shared" si="570"/>
        <v>0</v>
      </c>
      <c r="K966" s="17">
        <f t="shared" si="571"/>
        <v>0</v>
      </c>
      <c r="L966" s="17">
        <f t="shared" si="572"/>
        <v>0</v>
      </c>
      <c r="M966" s="17">
        <f t="shared" si="573"/>
        <v>0</v>
      </c>
      <c r="N966" s="17">
        <f t="shared" si="574"/>
        <v>0</v>
      </c>
      <c r="O966" s="17">
        <f t="shared" si="575"/>
        <v>0</v>
      </c>
      <c r="P966" s="17">
        <v>0</v>
      </c>
      <c r="Q966" s="17">
        <f t="shared" si="576"/>
        <v>0</v>
      </c>
      <c r="R966" s="17">
        <f t="shared" si="577"/>
        <v>0</v>
      </c>
      <c r="S966" s="17">
        <f t="shared" si="578"/>
        <v>0</v>
      </c>
      <c r="T966" s="17">
        <f t="shared" si="579"/>
        <v>0</v>
      </c>
      <c r="U966" s="17">
        <f t="shared" si="580"/>
        <v>0</v>
      </c>
      <c r="V966" s="17">
        <f t="shared" si="581"/>
        <v>0</v>
      </c>
      <c r="W966" s="17">
        <f t="shared" si="582"/>
        <v>0</v>
      </c>
      <c r="X966" s="17">
        <f t="shared" si="583"/>
        <v>0</v>
      </c>
      <c r="Y966" s="17">
        <f t="shared" si="584"/>
        <v>0</v>
      </c>
      <c r="Z966" s="17">
        <f t="shared" si="585"/>
        <v>0</v>
      </c>
      <c r="AA966" s="17">
        <f t="shared" si="586"/>
        <v>0</v>
      </c>
      <c r="AB966" s="17">
        <f t="shared" si="587"/>
        <v>0</v>
      </c>
      <c r="AC966" s="17">
        <v>0</v>
      </c>
      <c r="AD966" s="17">
        <f t="shared" si="588"/>
        <v>0</v>
      </c>
      <c r="AE966" s="17">
        <f t="shared" si="589"/>
        <v>0</v>
      </c>
      <c r="AF966" s="17">
        <f t="shared" si="590"/>
        <v>0</v>
      </c>
      <c r="AG966" s="17">
        <f t="shared" si="591"/>
        <v>0</v>
      </c>
      <c r="AH966" s="17">
        <f t="shared" si="592"/>
        <v>0</v>
      </c>
      <c r="AI966" s="17">
        <f t="shared" si="593"/>
        <v>0</v>
      </c>
      <c r="AJ966" s="17">
        <f t="shared" si="594"/>
        <v>0</v>
      </c>
      <c r="AK966" s="17">
        <f t="shared" si="595"/>
        <v>0</v>
      </c>
      <c r="AL966" s="17">
        <f t="shared" si="596"/>
        <v>0</v>
      </c>
      <c r="AM966" s="17">
        <f t="shared" si="597"/>
        <v>0</v>
      </c>
      <c r="AN966" s="17">
        <f t="shared" si="598"/>
        <v>0</v>
      </c>
      <c r="AO966" s="17">
        <f t="shared" si="599"/>
        <v>0</v>
      </c>
      <c r="AP966" s="17">
        <f t="shared" si="600"/>
        <v>0</v>
      </c>
      <c r="AQ966" s="18">
        <v>0</v>
      </c>
      <c r="AR966" s="18">
        <v>0</v>
      </c>
      <c r="AS966" s="18">
        <v>0</v>
      </c>
      <c r="AT966" s="18">
        <v>0</v>
      </c>
      <c r="AU966" s="18">
        <v>0</v>
      </c>
      <c r="AV966" s="18">
        <v>0</v>
      </c>
      <c r="AW966" s="18">
        <v>0</v>
      </c>
      <c r="AX966" s="18">
        <v>0</v>
      </c>
      <c r="AY966" s="18">
        <v>0</v>
      </c>
      <c r="AZ966" s="18">
        <v>0</v>
      </c>
      <c r="BA966" s="18">
        <v>0</v>
      </c>
      <c r="BB966" s="18">
        <v>0</v>
      </c>
      <c r="BC966" s="23">
        <v>8.9181565948742242E-2</v>
      </c>
      <c r="BD966" s="23">
        <v>0.10665277883445198</v>
      </c>
      <c r="BE966" s="23">
        <v>9.438849084854764E-2</v>
      </c>
      <c r="BF966" s="23">
        <v>7.149564986855049E-2</v>
      </c>
      <c r="BG966" s="23">
        <v>0.10368571810536763</v>
      </c>
      <c r="BH966" s="23">
        <v>8.4970330952544637E-2</v>
      </c>
      <c r="BI966" s="23">
        <v>8.4593878877262704E-2</v>
      </c>
      <c r="BJ966" s="23">
        <v>5.7447105462779965E-2</v>
      </c>
      <c r="BK966" s="23">
        <v>8.5153852345557474E-2</v>
      </c>
      <c r="BL966" s="23">
        <v>7.4158058913035174E-2</v>
      </c>
      <c r="BM966" s="23">
        <v>7.5718189192107169E-2</v>
      </c>
      <c r="BN966" s="23">
        <v>7.3955559365675619E-2</v>
      </c>
    </row>
    <row r="967" spans="1:66" x14ac:dyDescent="0.25">
      <c r="A967" s="16">
        <v>20315</v>
      </c>
      <c r="B967" s="16" t="s">
        <v>1161</v>
      </c>
      <c r="C967" s="17">
        <v>0</v>
      </c>
      <c r="D967" s="17">
        <f t="shared" si="564"/>
        <v>0</v>
      </c>
      <c r="E967" s="17">
        <f t="shared" si="565"/>
        <v>0</v>
      </c>
      <c r="F967" s="17">
        <f t="shared" si="566"/>
        <v>0</v>
      </c>
      <c r="G967" s="17">
        <f t="shared" si="567"/>
        <v>0</v>
      </c>
      <c r="H967" s="17">
        <f t="shared" si="568"/>
        <v>0</v>
      </c>
      <c r="I967" s="17">
        <f t="shared" si="569"/>
        <v>0</v>
      </c>
      <c r="J967" s="17">
        <f t="shared" si="570"/>
        <v>0</v>
      </c>
      <c r="K967" s="17">
        <f t="shared" si="571"/>
        <v>0</v>
      </c>
      <c r="L967" s="17">
        <f t="shared" si="572"/>
        <v>0</v>
      </c>
      <c r="M967" s="17">
        <f t="shared" si="573"/>
        <v>0</v>
      </c>
      <c r="N967" s="17">
        <f t="shared" si="574"/>
        <v>0</v>
      </c>
      <c r="O967" s="17">
        <f t="shared" si="575"/>
        <v>0</v>
      </c>
      <c r="P967" s="17">
        <v>0</v>
      </c>
      <c r="Q967" s="17">
        <f t="shared" si="576"/>
        <v>0</v>
      </c>
      <c r="R967" s="17">
        <f t="shared" si="577"/>
        <v>0</v>
      </c>
      <c r="S967" s="17">
        <f t="shared" si="578"/>
        <v>0</v>
      </c>
      <c r="T967" s="17">
        <f t="shared" si="579"/>
        <v>0</v>
      </c>
      <c r="U967" s="17">
        <f t="shared" si="580"/>
        <v>0</v>
      </c>
      <c r="V967" s="17">
        <f t="shared" si="581"/>
        <v>0</v>
      </c>
      <c r="W967" s="17">
        <f t="shared" si="582"/>
        <v>0</v>
      </c>
      <c r="X967" s="17">
        <f t="shared" si="583"/>
        <v>0</v>
      </c>
      <c r="Y967" s="17">
        <f t="shared" si="584"/>
        <v>0</v>
      </c>
      <c r="Z967" s="17">
        <f t="shared" si="585"/>
        <v>0</v>
      </c>
      <c r="AA967" s="17">
        <f t="shared" si="586"/>
        <v>0</v>
      </c>
      <c r="AB967" s="17">
        <f t="shared" si="587"/>
        <v>0</v>
      </c>
      <c r="AC967" s="17">
        <v>0</v>
      </c>
      <c r="AD967" s="17">
        <f t="shared" si="588"/>
        <v>0</v>
      </c>
      <c r="AE967" s="17">
        <f t="shared" si="589"/>
        <v>0</v>
      </c>
      <c r="AF967" s="17">
        <f t="shared" si="590"/>
        <v>0</v>
      </c>
      <c r="AG967" s="17">
        <f t="shared" si="591"/>
        <v>0</v>
      </c>
      <c r="AH967" s="17">
        <f t="shared" si="592"/>
        <v>0</v>
      </c>
      <c r="AI967" s="17">
        <f t="shared" si="593"/>
        <v>0</v>
      </c>
      <c r="AJ967" s="17">
        <f t="shared" si="594"/>
        <v>0</v>
      </c>
      <c r="AK967" s="17">
        <f t="shared" si="595"/>
        <v>0</v>
      </c>
      <c r="AL967" s="17">
        <f t="shared" si="596"/>
        <v>0</v>
      </c>
      <c r="AM967" s="17">
        <f t="shared" si="597"/>
        <v>0</v>
      </c>
      <c r="AN967" s="17">
        <f t="shared" si="598"/>
        <v>0</v>
      </c>
      <c r="AO967" s="17">
        <f t="shared" si="599"/>
        <v>0</v>
      </c>
      <c r="AP967" s="17">
        <f t="shared" si="600"/>
        <v>0</v>
      </c>
      <c r="AQ967" s="18">
        <v>0</v>
      </c>
      <c r="AR967" s="18">
        <v>0</v>
      </c>
      <c r="AS967" s="18">
        <v>0</v>
      </c>
      <c r="AT967" s="18">
        <v>0</v>
      </c>
      <c r="AU967" s="18">
        <v>0</v>
      </c>
      <c r="AV967" s="18">
        <v>0</v>
      </c>
      <c r="AW967" s="18">
        <v>0</v>
      </c>
      <c r="AX967" s="18">
        <v>0</v>
      </c>
      <c r="AY967" s="18">
        <v>0</v>
      </c>
      <c r="AZ967" s="18">
        <v>0</v>
      </c>
      <c r="BA967" s="18">
        <v>0</v>
      </c>
      <c r="BB967" s="18">
        <v>0</v>
      </c>
      <c r="BC967" s="23">
        <v>8.9181565948742242E-2</v>
      </c>
      <c r="BD967" s="23">
        <v>0.10665277883445198</v>
      </c>
      <c r="BE967" s="23">
        <v>9.438849084854764E-2</v>
      </c>
      <c r="BF967" s="23">
        <v>7.149564986855049E-2</v>
      </c>
      <c r="BG967" s="23">
        <v>0.10368571810536763</v>
      </c>
      <c r="BH967" s="23">
        <v>8.4970330952544637E-2</v>
      </c>
      <c r="BI967" s="23">
        <v>8.4593878877262704E-2</v>
      </c>
      <c r="BJ967" s="23">
        <v>5.7447105462779965E-2</v>
      </c>
      <c r="BK967" s="23">
        <v>8.5153852345557474E-2</v>
      </c>
      <c r="BL967" s="23">
        <v>7.4158058913035174E-2</v>
      </c>
      <c r="BM967" s="23">
        <v>7.5718189192107169E-2</v>
      </c>
      <c r="BN967" s="23">
        <v>7.3955559365675619E-2</v>
      </c>
    </row>
    <row r="968" spans="1:66" x14ac:dyDescent="0.25">
      <c r="A968" s="16">
        <v>20512</v>
      </c>
      <c r="B968" s="16" t="s">
        <v>1162</v>
      </c>
      <c r="C968" s="17">
        <v>0</v>
      </c>
      <c r="D968" s="17">
        <f t="shared" si="564"/>
        <v>0</v>
      </c>
      <c r="E968" s="17">
        <f t="shared" si="565"/>
        <v>0</v>
      </c>
      <c r="F968" s="17">
        <f t="shared" si="566"/>
        <v>0</v>
      </c>
      <c r="G968" s="17">
        <f t="shared" si="567"/>
        <v>0</v>
      </c>
      <c r="H968" s="17">
        <f t="shared" si="568"/>
        <v>0</v>
      </c>
      <c r="I968" s="17">
        <f t="shared" si="569"/>
        <v>0</v>
      </c>
      <c r="J968" s="17">
        <f t="shared" si="570"/>
        <v>0</v>
      </c>
      <c r="K968" s="17">
        <f t="shared" si="571"/>
        <v>0</v>
      </c>
      <c r="L968" s="17">
        <f t="shared" si="572"/>
        <v>0</v>
      </c>
      <c r="M968" s="17">
        <f t="shared" si="573"/>
        <v>0</v>
      </c>
      <c r="N968" s="17">
        <f t="shared" si="574"/>
        <v>0</v>
      </c>
      <c r="O968" s="17">
        <f t="shared" si="575"/>
        <v>0</v>
      </c>
      <c r="P968" s="17">
        <v>0</v>
      </c>
      <c r="Q968" s="17">
        <f t="shared" si="576"/>
        <v>0</v>
      </c>
      <c r="R968" s="17">
        <f t="shared" si="577"/>
        <v>0</v>
      </c>
      <c r="S968" s="17">
        <f t="shared" si="578"/>
        <v>0</v>
      </c>
      <c r="T968" s="17">
        <f t="shared" si="579"/>
        <v>0</v>
      </c>
      <c r="U968" s="17">
        <f t="shared" si="580"/>
        <v>0</v>
      </c>
      <c r="V968" s="17">
        <f t="shared" si="581"/>
        <v>0</v>
      </c>
      <c r="W968" s="17">
        <f t="shared" si="582"/>
        <v>0</v>
      </c>
      <c r="X968" s="17">
        <f t="shared" si="583"/>
        <v>0</v>
      </c>
      <c r="Y968" s="17">
        <f t="shared" si="584"/>
        <v>0</v>
      </c>
      <c r="Z968" s="17">
        <f t="shared" si="585"/>
        <v>0</v>
      </c>
      <c r="AA968" s="17">
        <f t="shared" si="586"/>
        <v>0</v>
      </c>
      <c r="AB968" s="17">
        <f t="shared" si="587"/>
        <v>0</v>
      </c>
      <c r="AC968" s="17">
        <v>0</v>
      </c>
      <c r="AD968" s="17">
        <f t="shared" si="588"/>
        <v>0</v>
      </c>
      <c r="AE968" s="17">
        <f t="shared" si="589"/>
        <v>0</v>
      </c>
      <c r="AF968" s="17">
        <f t="shared" si="590"/>
        <v>0</v>
      </c>
      <c r="AG968" s="17">
        <f t="shared" si="591"/>
        <v>0</v>
      </c>
      <c r="AH968" s="17">
        <f t="shared" si="592"/>
        <v>0</v>
      </c>
      <c r="AI968" s="17">
        <f t="shared" si="593"/>
        <v>0</v>
      </c>
      <c r="AJ968" s="17">
        <f t="shared" si="594"/>
        <v>0</v>
      </c>
      <c r="AK968" s="17">
        <f t="shared" si="595"/>
        <v>0</v>
      </c>
      <c r="AL968" s="17">
        <f t="shared" si="596"/>
        <v>0</v>
      </c>
      <c r="AM968" s="17">
        <f t="shared" si="597"/>
        <v>0</v>
      </c>
      <c r="AN968" s="17">
        <f t="shared" si="598"/>
        <v>0</v>
      </c>
      <c r="AO968" s="17">
        <f t="shared" si="599"/>
        <v>0</v>
      </c>
      <c r="AP968" s="17">
        <f t="shared" si="600"/>
        <v>0</v>
      </c>
      <c r="AQ968" s="18">
        <v>0</v>
      </c>
      <c r="AR968" s="18">
        <v>0</v>
      </c>
      <c r="AS968" s="18">
        <v>0</v>
      </c>
      <c r="AT968" s="18">
        <v>0</v>
      </c>
      <c r="AU968" s="18">
        <v>0</v>
      </c>
      <c r="AV968" s="18">
        <v>0</v>
      </c>
      <c r="AW968" s="18">
        <v>0</v>
      </c>
      <c r="AX968" s="18">
        <v>0</v>
      </c>
      <c r="AY968" s="18">
        <v>0</v>
      </c>
      <c r="AZ968" s="18">
        <v>0</v>
      </c>
      <c r="BA968" s="18">
        <v>0</v>
      </c>
      <c r="BB968" s="18">
        <v>0</v>
      </c>
      <c r="BC968" s="23">
        <v>8.9181565948742242E-2</v>
      </c>
      <c r="BD968" s="23">
        <v>0.10665277883445198</v>
      </c>
      <c r="BE968" s="23">
        <v>9.438849084854764E-2</v>
      </c>
      <c r="BF968" s="23">
        <v>7.149564986855049E-2</v>
      </c>
      <c r="BG968" s="23">
        <v>0.10368571810536763</v>
      </c>
      <c r="BH968" s="23">
        <v>8.4970330952544637E-2</v>
      </c>
      <c r="BI968" s="23">
        <v>8.4593878877262704E-2</v>
      </c>
      <c r="BJ968" s="23">
        <v>5.7447105462779965E-2</v>
      </c>
      <c r="BK968" s="23">
        <v>8.5153852345557474E-2</v>
      </c>
      <c r="BL968" s="23">
        <v>7.4158058913035174E-2</v>
      </c>
      <c r="BM968" s="23">
        <v>7.5718189192107169E-2</v>
      </c>
      <c r="BN968" s="23">
        <v>7.3955559365675619E-2</v>
      </c>
    </row>
    <row r="969" spans="1:66" x14ac:dyDescent="0.25">
      <c r="A969" s="16">
        <v>20940</v>
      </c>
      <c r="B969" s="16" t="s">
        <v>1163</v>
      </c>
      <c r="C969" s="17">
        <v>0</v>
      </c>
      <c r="D969" s="17">
        <f t="shared" si="564"/>
        <v>0</v>
      </c>
      <c r="E969" s="17">
        <f t="shared" si="565"/>
        <v>0</v>
      </c>
      <c r="F969" s="17">
        <f t="shared" si="566"/>
        <v>0</v>
      </c>
      <c r="G969" s="17">
        <f t="shared" si="567"/>
        <v>0</v>
      </c>
      <c r="H969" s="17">
        <f t="shared" si="568"/>
        <v>0</v>
      </c>
      <c r="I969" s="17">
        <f t="shared" si="569"/>
        <v>0</v>
      </c>
      <c r="J969" s="17">
        <f t="shared" si="570"/>
        <v>0</v>
      </c>
      <c r="K969" s="17">
        <f t="shared" si="571"/>
        <v>0</v>
      </c>
      <c r="L969" s="17">
        <f t="shared" si="572"/>
        <v>0</v>
      </c>
      <c r="M969" s="17">
        <f t="shared" si="573"/>
        <v>0</v>
      </c>
      <c r="N969" s="17">
        <f t="shared" si="574"/>
        <v>0</v>
      </c>
      <c r="O969" s="17">
        <f t="shared" si="575"/>
        <v>0</v>
      </c>
      <c r="P969" s="17">
        <v>0</v>
      </c>
      <c r="Q969" s="17">
        <f t="shared" si="576"/>
        <v>0</v>
      </c>
      <c r="R969" s="17">
        <f t="shared" si="577"/>
        <v>0</v>
      </c>
      <c r="S969" s="17">
        <f t="shared" si="578"/>
        <v>0</v>
      </c>
      <c r="T969" s="17">
        <f t="shared" si="579"/>
        <v>0</v>
      </c>
      <c r="U969" s="17">
        <f t="shared" si="580"/>
        <v>0</v>
      </c>
      <c r="V969" s="17">
        <f t="shared" si="581"/>
        <v>0</v>
      </c>
      <c r="W969" s="17">
        <f t="shared" si="582"/>
        <v>0</v>
      </c>
      <c r="X969" s="17">
        <f t="shared" si="583"/>
        <v>0</v>
      </c>
      <c r="Y969" s="17">
        <f t="shared" si="584"/>
        <v>0</v>
      </c>
      <c r="Z969" s="17">
        <f t="shared" si="585"/>
        <v>0</v>
      </c>
      <c r="AA969" s="17">
        <f t="shared" si="586"/>
        <v>0</v>
      </c>
      <c r="AB969" s="17">
        <f t="shared" si="587"/>
        <v>0</v>
      </c>
      <c r="AC969" s="17">
        <v>0</v>
      </c>
      <c r="AD969" s="17">
        <f t="shared" si="588"/>
        <v>0</v>
      </c>
      <c r="AE969" s="17">
        <f t="shared" si="589"/>
        <v>0</v>
      </c>
      <c r="AF969" s="17">
        <f t="shared" si="590"/>
        <v>0</v>
      </c>
      <c r="AG969" s="17">
        <f t="shared" si="591"/>
        <v>0</v>
      </c>
      <c r="AH969" s="17">
        <f t="shared" si="592"/>
        <v>0</v>
      </c>
      <c r="AI969" s="17">
        <f t="shared" si="593"/>
        <v>0</v>
      </c>
      <c r="AJ969" s="17">
        <f t="shared" si="594"/>
        <v>0</v>
      </c>
      <c r="AK969" s="17">
        <f t="shared" si="595"/>
        <v>0</v>
      </c>
      <c r="AL969" s="17">
        <f t="shared" si="596"/>
        <v>0</v>
      </c>
      <c r="AM969" s="17">
        <f t="shared" si="597"/>
        <v>0</v>
      </c>
      <c r="AN969" s="17">
        <f t="shared" si="598"/>
        <v>0</v>
      </c>
      <c r="AO969" s="17">
        <f t="shared" si="599"/>
        <v>0</v>
      </c>
      <c r="AP969" s="17">
        <f t="shared" si="600"/>
        <v>0</v>
      </c>
      <c r="AQ969" s="18">
        <v>11.605197176909828</v>
      </c>
      <c r="AR969" s="18">
        <v>13.878726109727236</v>
      </c>
      <c r="AS969" s="18">
        <v>12.282774314121504</v>
      </c>
      <c r="AT969" s="18">
        <v>9.3037289173944746</v>
      </c>
      <c r="AU969" s="18">
        <v>13.492622497051489</v>
      </c>
      <c r="AV969" s="18">
        <v>11.057189166854632</v>
      </c>
      <c r="AW969" s="18">
        <v>11.008201458298196</v>
      </c>
      <c r="AX969" s="18">
        <v>7.4755918338715563</v>
      </c>
      <c r="AY969" s="18">
        <v>11.081070805727393</v>
      </c>
      <c r="AZ969" s="18">
        <v>9.6501882063532669</v>
      </c>
      <c r="BA969" s="18">
        <v>9.8532079595689055</v>
      </c>
      <c r="BB969" s="18">
        <v>9.6238369402553676</v>
      </c>
      <c r="BC969" s="23">
        <v>8.9181565948742242E-2</v>
      </c>
      <c r="BD969" s="23">
        <v>0.10665277883445198</v>
      </c>
      <c r="BE969" s="23">
        <v>9.438849084854764E-2</v>
      </c>
      <c r="BF969" s="23">
        <v>7.149564986855049E-2</v>
      </c>
      <c r="BG969" s="23">
        <v>0.10368571810536763</v>
      </c>
      <c r="BH969" s="23">
        <v>8.4970330952544637E-2</v>
      </c>
      <c r="BI969" s="23">
        <v>8.4593878877262704E-2</v>
      </c>
      <c r="BJ969" s="23">
        <v>5.7447105462779965E-2</v>
      </c>
      <c r="BK969" s="23">
        <v>8.5153852345557474E-2</v>
      </c>
      <c r="BL969" s="23">
        <v>7.4158058913035174E-2</v>
      </c>
      <c r="BM969" s="23">
        <v>7.5718189192107169E-2</v>
      </c>
      <c r="BN969" s="23">
        <v>7.3955559365675619E-2</v>
      </c>
    </row>
    <row r="970" spans="1:66" x14ac:dyDescent="0.25">
      <c r="A970" s="16">
        <v>22400</v>
      </c>
      <c r="B970" s="16" t="s">
        <v>1164</v>
      </c>
      <c r="C970" s="17">
        <v>0</v>
      </c>
      <c r="D970" s="17">
        <f t="shared" si="564"/>
        <v>0</v>
      </c>
      <c r="E970" s="17">
        <f t="shared" si="565"/>
        <v>0</v>
      </c>
      <c r="F970" s="17">
        <f t="shared" si="566"/>
        <v>0</v>
      </c>
      <c r="G970" s="17">
        <f t="shared" si="567"/>
        <v>0</v>
      </c>
      <c r="H970" s="17">
        <f t="shared" si="568"/>
        <v>0</v>
      </c>
      <c r="I970" s="17">
        <f t="shared" si="569"/>
        <v>0</v>
      </c>
      <c r="J970" s="17">
        <f t="shared" si="570"/>
        <v>0</v>
      </c>
      <c r="K970" s="17">
        <f t="shared" si="571"/>
        <v>0</v>
      </c>
      <c r="L970" s="17">
        <f t="shared" si="572"/>
        <v>0</v>
      </c>
      <c r="M970" s="17">
        <f t="shared" si="573"/>
        <v>0</v>
      </c>
      <c r="N970" s="17">
        <f t="shared" si="574"/>
        <v>0</v>
      </c>
      <c r="O970" s="17">
        <f t="shared" si="575"/>
        <v>0</v>
      </c>
      <c r="P970" s="17">
        <v>0</v>
      </c>
      <c r="Q970" s="17">
        <f t="shared" si="576"/>
        <v>0</v>
      </c>
      <c r="R970" s="17">
        <f t="shared" si="577"/>
        <v>0</v>
      </c>
      <c r="S970" s="17">
        <f t="shared" si="578"/>
        <v>0</v>
      </c>
      <c r="T970" s="17">
        <f t="shared" si="579"/>
        <v>0</v>
      </c>
      <c r="U970" s="17">
        <f t="shared" si="580"/>
        <v>0</v>
      </c>
      <c r="V970" s="17">
        <f t="shared" si="581"/>
        <v>0</v>
      </c>
      <c r="W970" s="17">
        <f t="shared" si="582"/>
        <v>0</v>
      </c>
      <c r="X970" s="17">
        <f t="shared" si="583"/>
        <v>0</v>
      </c>
      <c r="Y970" s="17">
        <f t="shared" si="584"/>
        <v>0</v>
      </c>
      <c r="Z970" s="17">
        <f t="shared" si="585"/>
        <v>0</v>
      </c>
      <c r="AA970" s="17">
        <f t="shared" si="586"/>
        <v>0</v>
      </c>
      <c r="AB970" s="17">
        <f t="shared" si="587"/>
        <v>0</v>
      </c>
      <c r="AC970" s="17">
        <v>0</v>
      </c>
      <c r="AD970" s="17">
        <f t="shared" si="588"/>
        <v>0</v>
      </c>
      <c r="AE970" s="17">
        <f t="shared" si="589"/>
        <v>0</v>
      </c>
      <c r="AF970" s="17">
        <f t="shared" si="590"/>
        <v>0</v>
      </c>
      <c r="AG970" s="17">
        <f t="shared" si="591"/>
        <v>0</v>
      </c>
      <c r="AH970" s="17">
        <f t="shared" si="592"/>
        <v>0</v>
      </c>
      <c r="AI970" s="17">
        <f t="shared" si="593"/>
        <v>0</v>
      </c>
      <c r="AJ970" s="17">
        <f t="shared" si="594"/>
        <v>0</v>
      </c>
      <c r="AK970" s="17">
        <f t="shared" si="595"/>
        <v>0</v>
      </c>
      <c r="AL970" s="17">
        <f t="shared" si="596"/>
        <v>0</v>
      </c>
      <c r="AM970" s="17">
        <f t="shared" si="597"/>
        <v>0</v>
      </c>
      <c r="AN970" s="17">
        <f t="shared" si="598"/>
        <v>0</v>
      </c>
      <c r="AO970" s="17">
        <f t="shared" si="599"/>
        <v>0</v>
      </c>
      <c r="AP970" s="17">
        <f t="shared" si="600"/>
        <v>0</v>
      </c>
      <c r="AQ970" s="18">
        <v>12.772583875178867</v>
      </c>
      <c r="AR970" s="18">
        <v>15.274810984670216</v>
      </c>
      <c r="AS970" s="18">
        <v>13.518319659328995</v>
      </c>
      <c r="AT970" s="18">
        <v>10.239606974173803</v>
      </c>
      <c r="AU970" s="18">
        <v>14.849868547050754</v>
      </c>
      <c r="AV970" s="18">
        <v>12.169450799023446</v>
      </c>
      <c r="AW970" s="18">
        <v>12.115535332801567</v>
      </c>
      <c r="AX970" s="18">
        <v>8.2275744443793482</v>
      </c>
      <c r="AY970" s="18">
        <v>12.195734732930744</v>
      </c>
      <c r="AZ970" s="18">
        <v>10.6209171975249</v>
      </c>
      <c r="BA970" s="18">
        <v>10.844359056093591</v>
      </c>
      <c r="BB970" s="18">
        <v>10.591915212352065</v>
      </c>
      <c r="BC970" s="23">
        <v>8.9181565948742242E-2</v>
      </c>
      <c r="BD970" s="23">
        <v>0.10665277883445198</v>
      </c>
      <c r="BE970" s="23">
        <v>9.438849084854764E-2</v>
      </c>
      <c r="BF970" s="23">
        <v>7.149564986855049E-2</v>
      </c>
      <c r="BG970" s="23">
        <v>0.10368571810536763</v>
      </c>
      <c r="BH970" s="23">
        <v>8.4970330952544637E-2</v>
      </c>
      <c r="BI970" s="23">
        <v>8.4593878877262704E-2</v>
      </c>
      <c r="BJ970" s="23">
        <v>5.7447105462779965E-2</v>
      </c>
      <c r="BK970" s="23">
        <v>8.5153852345557474E-2</v>
      </c>
      <c r="BL970" s="23">
        <v>7.4158058913035174E-2</v>
      </c>
      <c r="BM970" s="23">
        <v>7.5718189192107169E-2</v>
      </c>
      <c r="BN970" s="23">
        <v>7.3955559365675619E-2</v>
      </c>
    </row>
    <row r="971" spans="1:66" x14ac:dyDescent="0.25">
      <c r="A971" s="16">
        <v>22418</v>
      </c>
      <c r="B971" s="16" t="s">
        <v>1165</v>
      </c>
      <c r="C971" s="17">
        <v>0</v>
      </c>
      <c r="D971" s="17">
        <f t="shared" si="564"/>
        <v>0</v>
      </c>
      <c r="E971" s="17">
        <f t="shared" si="565"/>
        <v>0</v>
      </c>
      <c r="F971" s="17">
        <f t="shared" si="566"/>
        <v>0</v>
      </c>
      <c r="G971" s="17">
        <f t="shared" si="567"/>
        <v>0</v>
      </c>
      <c r="H971" s="17">
        <f t="shared" si="568"/>
        <v>0</v>
      </c>
      <c r="I971" s="17">
        <f t="shared" si="569"/>
        <v>0</v>
      </c>
      <c r="J971" s="17">
        <f t="shared" si="570"/>
        <v>0</v>
      </c>
      <c r="K971" s="17">
        <f t="shared" si="571"/>
        <v>0</v>
      </c>
      <c r="L971" s="17">
        <f t="shared" si="572"/>
        <v>0</v>
      </c>
      <c r="M971" s="17">
        <f t="shared" si="573"/>
        <v>0</v>
      </c>
      <c r="N971" s="17">
        <f t="shared" si="574"/>
        <v>0</v>
      </c>
      <c r="O971" s="17">
        <f t="shared" si="575"/>
        <v>0</v>
      </c>
      <c r="P971" s="17">
        <v>0</v>
      </c>
      <c r="Q971" s="17">
        <f t="shared" si="576"/>
        <v>0</v>
      </c>
      <c r="R971" s="17">
        <f t="shared" si="577"/>
        <v>0</v>
      </c>
      <c r="S971" s="17">
        <f t="shared" si="578"/>
        <v>0</v>
      </c>
      <c r="T971" s="17">
        <f t="shared" si="579"/>
        <v>0</v>
      </c>
      <c r="U971" s="17">
        <f t="shared" si="580"/>
        <v>0</v>
      </c>
      <c r="V971" s="17">
        <f t="shared" si="581"/>
        <v>0</v>
      </c>
      <c r="W971" s="17">
        <f t="shared" si="582"/>
        <v>0</v>
      </c>
      <c r="X971" s="17">
        <f t="shared" si="583"/>
        <v>0</v>
      </c>
      <c r="Y971" s="17">
        <f t="shared" si="584"/>
        <v>0</v>
      </c>
      <c r="Z971" s="17">
        <f t="shared" si="585"/>
        <v>0</v>
      </c>
      <c r="AA971" s="17">
        <f t="shared" si="586"/>
        <v>0</v>
      </c>
      <c r="AB971" s="17">
        <f t="shared" si="587"/>
        <v>0</v>
      </c>
      <c r="AC971" s="17">
        <v>0</v>
      </c>
      <c r="AD971" s="17">
        <f t="shared" si="588"/>
        <v>0</v>
      </c>
      <c r="AE971" s="17">
        <f t="shared" si="589"/>
        <v>0</v>
      </c>
      <c r="AF971" s="17">
        <f t="shared" si="590"/>
        <v>0</v>
      </c>
      <c r="AG971" s="17">
        <f t="shared" si="591"/>
        <v>0</v>
      </c>
      <c r="AH971" s="17">
        <f t="shared" si="592"/>
        <v>0</v>
      </c>
      <c r="AI971" s="17">
        <f t="shared" si="593"/>
        <v>0</v>
      </c>
      <c r="AJ971" s="17">
        <f t="shared" si="594"/>
        <v>0</v>
      </c>
      <c r="AK971" s="17">
        <f t="shared" si="595"/>
        <v>0</v>
      </c>
      <c r="AL971" s="17">
        <f t="shared" si="596"/>
        <v>0</v>
      </c>
      <c r="AM971" s="17">
        <f t="shared" si="597"/>
        <v>0</v>
      </c>
      <c r="AN971" s="17">
        <f t="shared" si="598"/>
        <v>0</v>
      </c>
      <c r="AO971" s="17">
        <f t="shared" si="599"/>
        <v>0</v>
      </c>
      <c r="AP971" s="17">
        <f t="shared" si="600"/>
        <v>0</v>
      </c>
      <c r="AQ971" s="18">
        <v>0</v>
      </c>
      <c r="AR971" s="18">
        <v>0</v>
      </c>
      <c r="AS971" s="18">
        <v>0</v>
      </c>
      <c r="AT971" s="18">
        <v>0</v>
      </c>
      <c r="AU971" s="18">
        <v>0</v>
      </c>
      <c r="AV971" s="18">
        <v>0</v>
      </c>
      <c r="AW971" s="18">
        <v>0</v>
      </c>
      <c r="AX971" s="18">
        <v>0</v>
      </c>
      <c r="AY971" s="18">
        <v>0</v>
      </c>
      <c r="AZ971" s="18">
        <v>0</v>
      </c>
      <c r="BA971" s="18">
        <v>0</v>
      </c>
      <c r="BB971" s="18">
        <v>0</v>
      </c>
      <c r="BC971" s="23">
        <v>8.9181565948742242E-2</v>
      </c>
      <c r="BD971" s="23">
        <v>0.10665277883445198</v>
      </c>
      <c r="BE971" s="23">
        <v>9.438849084854764E-2</v>
      </c>
      <c r="BF971" s="23">
        <v>7.149564986855049E-2</v>
      </c>
      <c r="BG971" s="23">
        <v>0.10368571810536763</v>
      </c>
      <c r="BH971" s="23">
        <v>8.4970330952544637E-2</v>
      </c>
      <c r="BI971" s="23">
        <v>8.4593878877262704E-2</v>
      </c>
      <c r="BJ971" s="23">
        <v>5.7447105462779965E-2</v>
      </c>
      <c r="BK971" s="23">
        <v>8.5153852345557474E-2</v>
      </c>
      <c r="BL971" s="23">
        <v>7.4158058913035174E-2</v>
      </c>
      <c r="BM971" s="23">
        <v>7.5718189192107169E-2</v>
      </c>
      <c r="BN971" s="23">
        <v>7.3955559365675619E-2</v>
      </c>
    </row>
    <row r="972" spans="1:66" x14ac:dyDescent="0.25">
      <c r="A972" s="16">
        <v>23120</v>
      </c>
      <c r="B972" s="16" t="s">
        <v>1166</v>
      </c>
      <c r="C972" s="17">
        <v>0</v>
      </c>
      <c r="D972" s="17">
        <f t="shared" si="564"/>
        <v>0</v>
      </c>
      <c r="E972" s="17">
        <f t="shared" si="565"/>
        <v>0</v>
      </c>
      <c r="F972" s="17">
        <f t="shared" si="566"/>
        <v>0</v>
      </c>
      <c r="G972" s="17">
        <f t="shared" si="567"/>
        <v>0</v>
      </c>
      <c r="H972" s="17">
        <f t="shared" si="568"/>
        <v>0</v>
      </c>
      <c r="I972" s="17">
        <f t="shared" si="569"/>
        <v>0</v>
      </c>
      <c r="J972" s="17">
        <f t="shared" si="570"/>
        <v>0</v>
      </c>
      <c r="K972" s="17">
        <f t="shared" si="571"/>
        <v>0</v>
      </c>
      <c r="L972" s="17">
        <f t="shared" si="572"/>
        <v>0</v>
      </c>
      <c r="M972" s="17">
        <f t="shared" si="573"/>
        <v>0</v>
      </c>
      <c r="N972" s="17">
        <f t="shared" si="574"/>
        <v>0</v>
      </c>
      <c r="O972" s="17">
        <f t="shared" si="575"/>
        <v>0</v>
      </c>
      <c r="P972" s="17">
        <v>0</v>
      </c>
      <c r="Q972" s="17">
        <f t="shared" si="576"/>
        <v>0</v>
      </c>
      <c r="R972" s="17">
        <f t="shared" si="577"/>
        <v>0</v>
      </c>
      <c r="S972" s="17">
        <f t="shared" si="578"/>
        <v>0</v>
      </c>
      <c r="T972" s="17">
        <f t="shared" si="579"/>
        <v>0</v>
      </c>
      <c r="U972" s="17">
        <f t="shared" si="580"/>
        <v>0</v>
      </c>
      <c r="V972" s="17">
        <f t="shared" si="581"/>
        <v>0</v>
      </c>
      <c r="W972" s="17">
        <f t="shared" si="582"/>
        <v>0</v>
      </c>
      <c r="X972" s="17">
        <f t="shared" si="583"/>
        <v>0</v>
      </c>
      <c r="Y972" s="17">
        <f t="shared" si="584"/>
        <v>0</v>
      </c>
      <c r="Z972" s="17">
        <f t="shared" si="585"/>
        <v>0</v>
      </c>
      <c r="AA972" s="17">
        <f t="shared" si="586"/>
        <v>0</v>
      </c>
      <c r="AB972" s="17">
        <f t="shared" si="587"/>
        <v>0</v>
      </c>
      <c r="AC972" s="17">
        <v>0</v>
      </c>
      <c r="AD972" s="17">
        <f t="shared" si="588"/>
        <v>0</v>
      </c>
      <c r="AE972" s="17">
        <f t="shared" si="589"/>
        <v>0</v>
      </c>
      <c r="AF972" s="17">
        <f t="shared" si="590"/>
        <v>0</v>
      </c>
      <c r="AG972" s="17">
        <f t="shared" si="591"/>
        <v>0</v>
      </c>
      <c r="AH972" s="17">
        <f t="shared" si="592"/>
        <v>0</v>
      </c>
      <c r="AI972" s="17">
        <f t="shared" si="593"/>
        <v>0</v>
      </c>
      <c r="AJ972" s="17">
        <f t="shared" si="594"/>
        <v>0</v>
      </c>
      <c r="AK972" s="17">
        <f t="shared" si="595"/>
        <v>0</v>
      </c>
      <c r="AL972" s="17">
        <f t="shared" si="596"/>
        <v>0</v>
      </c>
      <c r="AM972" s="17">
        <f t="shared" si="597"/>
        <v>0</v>
      </c>
      <c r="AN972" s="17">
        <f t="shared" si="598"/>
        <v>0</v>
      </c>
      <c r="AO972" s="17">
        <f t="shared" si="599"/>
        <v>0</v>
      </c>
      <c r="AP972" s="17">
        <f t="shared" si="600"/>
        <v>0</v>
      </c>
      <c r="AQ972" s="18">
        <v>0</v>
      </c>
      <c r="AR972" s="18">
        <v>0</v>
      </c>
      <c r="AS972" s="18">
        <v>0</v>
      </c>
      <c r="AT972" s="18">
        <v>0</v>
      </c>
      <c r="AU972" s="18">
        <v>0</v>
      </c>
      <c r="AV972" s="18">
        <v>0</v>
      </c>
      <c r="AW972" s="18">
        <v>0</v>
      </c>
      <c r="AX972" s="18">
        <v>0</v>
      </c>
      <c r="AY972" s="18">
        <v>0</v>
      </c>
      <c r="AZ972" s="18">
        <v>0</v>
      </c>
      <c r="BA972" s="18">
        <v>0</v>
      </c>
      <c r="BB972" s="18">
        <v>0</v>
      </c>
      <c r="BC972" s="23">
        <v>8.9181565948742242E-2</v>
      </c>
      <c r="BD972" s="23">
        <v>0.10665277883445198</v>
      </c>
      <c r="BE972" s="23">
        <v>9.438849084854764E-2</v>
      </c>
      <c r="BF972" s="23">
        <v>7.149564986855049E-2</v>
      </c>
      <c r="BG972" s="23">
        <v>0.10368571810536763</v>
      </c>
      <c r="BH972" s="23">
        <v>8.4970330952544637E-2</v>
      </c>
      <c r="BI972" s="23">
        <v>8.4593878877262704E-2</v>
      </c>
      <c r="BJ972" s="23">
        <v>5.7447105462779965E-2</v>
      </c>
      <c r="BK972" s="23">
        <v>8.5153852345557474E-2</v>
      </c>
      <c r="BL972" s="23">
        <v>7.4158058913035174E-2</v>
      </c>
      <c r="BM972" s="23">
        <v>7.5718189192107169E-2</v>
      </c>
      <c r="BN972" s="23">
        <v>7.3955559365675619E-2</v>
      </c>
    </row>
    <row r="973" spans="1:66" x14ac:dyDescent="0.25">
      <c r="A973" s="16">
        <v>23201</v>
      </c>
      <c r="B973" s="16" t="s">
        <v>1167</v>
      </c>
      <c r="C973" s="17">
        <v>0</v>
      </c>
      <c r="D973" s="17">
        <f t="shared" si="564"/>
        <v>0</v>
      </c>
      <c r="E973" s="17">
        <f t="shared" si="565"/>
        <v>0</v>
      </c>
      <c r="F973" s="17">
        <f t="shared" si="566"/>
        <v>0</v>
      </c>
      <c r="G973" s="17">
        <f t="shared" si="567"/>
        <v>0</v>
      </c>
      <c r="H973" s="17">
        <f t="shared" si="568"/>
        <v>0</v>
      </c>
      <c r="I973" s="17">
        <f t="shared" si="569"/>
        <v>0</v>
      </c>
      <c r="J973" s="17">
        <f t="shared" si="570"/>
        <v>0</v>
      </c>
      <c r="K973" s="17">
        <f t="shared" si="571"/>
        <v>0</v>
      </c>
      <c r="L973" s="17">
        <f t="shared" si="572"/>
        <v>0</v>
      </c>
      <c r="M973" s="17">
        <f t="shared" si="573"/>
        <v>0</v>
      </c>
      <c r="N973" s="17">
        <f t="shared" si="574"/>
        <v>0</v>
      </c>
      <c r="O973" s="17">
        <f t="shared" si="575"/>
        <v>0</v>
      </c>
      <c r="P973" s="17">
        <v>500</v>
      </c>
      <c r="Q973" s="17">
        <f t="shared" si="576"/>
        <v>44.590782974371123</v>
      </c>
      <c r="R973" s="17">
        <f t="shared" si="577"/>
        <v>53.32638941722599</v>
      </c>
      <c r="S973" s="17">
        <f t="shared" si="578"/>
        <v>47.194245424273824</v>
      </c>
      <c r="T973" s="17">
        <f t="shared" si="579"/>
        <v>35.747824934275243</v>
      </c>
      <c r="U973" s="17">
        <f t="shared" si="580"/>
        <v>51.842859052683814</v>
      </c>
      <c r="V973" s="17">
        <f t="shared" si="581"/>
        <v>42.485165476272321</v>
      </c>
      <c r="W973" s="17">
        <f t="shared" si="582"/>
        <v>42.296939438631355</v>
      </c>
      <c r="X973" s="17">
        <f t="shared" si="583"/>
        <v>28.723552731389983</v>
      </c>
      <c r="Y973" s="17">
        <f t="shared" si="584"/>
        <v>42.576926172778734</v>
      </c>
      <c r="Z973" s="17">
        <f t="shared" si="585"/>
        <v>37.079029456517588</v>
      </c>
      <c r="AA973" s="17">
        <f t="shared" si="586"/>
        <v>37.859094596053588</v>
      </c>
      <c r="AB973" s="17">
        <f t="shared" si="587"/>
        <v>36.977779682837813</v>
      </c>
      <c r="AC973" s="17">
        <v>0</v>
      </c>
      <c r="AD973" s="17">
        <f t="shared" si="588"/>
        <v>0</v>
      </c>
      <c r="AE973" s="17">
        <f t="shared" si="589"/>
        <v>0</v>
      </c>
      <c r="AF973" s="17">
        <f t="shared" si="590"/>
        <v>0</v>
      </c>
      <c r="AG973" s="17">
        <f t="shared" si="591"/>
        <v>0</v>
      </c>
      <c r="AH973" s="17">
        <f t="shared" si="592"/>
        <v>0</v>
      </c>
      <c r="AI973" s="17">
        <f t="shared" si="593"/>
        <v>0</v>
      </c>
      <c r="AJ973" s="17">
        <f t="shared" si="594"/>
        <v>0</v>
      </c>
      <c r="AK973" s="17">
        <f t="shared" si="595"/>
        <v>0</v>
      </c>
      <c r="AL973" s="17">
        <f t="shared" si="596"/>
        <v>0</v>
      </c>
      <c r="AM973" s="17">
        <f t="shared" si="597"/>
        <v>0</v>
      </c>
      <c r="AN973" s="17">
        <f t="shared" si="598"/>
        <v>0</v>
      </c>
      <c r="AO973" s="17">
        <f t="shared" si="599"/>
        <v>0</v>
      </c>
      <c r="AP973" s="17">
        <f t="shared" si="600"/>
        <v>500</v>
      </c>
      <c r="AQ973" s="18">
        <v>0</v>
      </c>
      <c r="AR973" s="18">
        <v>0</v>
      </c>
      <c r="AS973" s="18">
        <v>0</v>
      </c>
      <c r="AT973" s="18">
        <v>0</v>
      </c>
      <c r="AU973" s="18">
        <v>0</v>
      </c>
      <c r="AV973" s="18">
        <v>0</v>
      </c>
      <c r="AW973" s="18">
        <v>0</v>
      </c>
      <c r="AX973" s="18">
        <v>0</v>
      </c>
      <c r="AY973" s="18">
        <v>0</v>
      </c>
      <c r="AZ973" s="18">
        <v>0</v>
      </c>
      <c r="BA973" s="18">
        <v>0</v>
      </c>
      <c r="BB973" s="18">
        <v>0</v>
      </c>
      <c r="BC973" s="23">
        <v>8.9181565948742242E-2</v>
      </c>
      <c r="BD973" s="23">
        <v>0.10665277883445198</v>
      </c>
      <c r="BE973" s="23">
        <v>9.438849084854764E-2</v>
      </c>
      <c r="BF973" s="23">
        <v>7.149564986855049E-2</v>
      </c>
      <c r="BG973" s="23">
        <v>0.10368571810536763</v>
      </c>
      <c r="BH973" s="23">
        <v>8.4970330952544637E-2</v>
      </c>
      <c r="BI973" s="23">
        <v>8.4593878877262704E-2</v>
      </c>
      <c r="BJ973" s="23">
        <v>5.7447105462779965E-2</v>
      </c>
      <c r="BK973" s="23">
        <v>8.5153852345557474E-2</v>
      </c>
      <c r="BL973" s="23">
        <v>7.4158058913035174E-2</v>
      </c>
      <c r="BM973" s="23">
        <v>7.5718189192107169E-2</v>
      </c>
      <c r="BN973" s="23">
        <v>7.3955559365675619E-2</v>
      </c>
    </row>
    <row r="974" spans="1:66" x14ac:dyDescent="0.25">
      <c r="A974" s="16">
        <v>24150</v>
      </c>
      <c r="B974" s="16" t="s">
        <v>1168</v>
      </c>
      <c r="C974" s="17">
        <v>0</v>
      </c>
      <c r="D974" s="17">
        <f t="shared" si="564"/>
        <v>0</v>
      </c>
      <c r="E974" s="17">
        <f t="shared" si="565"/>
        <v>0</v>
      </c>
      <c r="F974" s="17">
        <f t="shared" si="566"/>
        <v>0</v>
      </c>
      <c r="G974" s="17">
        <f t="shared" si="567"/>
        <v>0</v>
      </c>
      <c r="H974" s="17">
        <f t="shared" si="568"/>
        <v>0</v>
      </c>
      <c r="I974" s="17">
        <f t="shared" si="569"/>
        <v>0</v>
      </c>
      <c r="J974" s="17">
        <f t="shared" si="570"/>
        <v>0</v>
      </c>
      <c r="K974" s="17">
        <f t="shared" si="571"/>
        <v>0</v>
      </c>
      <c r="L974" s="17">
        <f t="shared" si="572"/>
        <v>0</v>
      </c>
      <c r="M974" s="17">
        <f t="shared" si="573"/>
        <v>0</v>
      </c>
      <c r="N974" s="17">
        <f t="shared" si="574"/>
        <v>0</v>
      </c>
      <c r="O974" s="17">
        <f t="shared" si="575"/>
        <v>0</v>
      </c>
      <c r="P974" s="17">
        <v>0</v>
      </c>
      <c r="Q974" s="17">
        <f t="shared" si="576"/>
        <v>0</v>
      </c>
      <c r="R974" s="17">
        <f t="shared" si="577"/>
        <v>0</v>
      </c>
      <c r="S974" s="17">
        <f t="shared" si="578"/>
        <v>0</v>
      </c>
      <c r="T974" s="17">
        <f t="shared" si="579"/>
        <v>0</v>
      </c>
      <c r="U974" s="17">
        <f t="shared" si="580"/>
        <v>0</v>
      </c>
      <c r="V974" s="17">
        <f t="shared" si="581"/>
        <v>0</v>
      </c>
      <c r="W974" s="17">
        <f t="shared" si="582"/>
        <v>0</v>
      </c>
      <c r="X974" s="17">
        <f t="shared" si="583"/>
        <v>0</v>
      </c>
      <c r="Y974" s="17">
        <f t="shared" si="584"/>
        <v>0</v>
      </c>
      <c r="Z974" s="17">
        <f t="shared" si="585"/>
        <v>0</v>
      </c>
      <c r="AA974" s="17">
        <f t="shared" si="586"/>
        <v>0</v>
      </c>
      <c r="AB974" s="17">
        <f t="shared" si="587"/>
        <v>0</v>
      </c>
      <c r="AC974" s="17">
        <v>0</v>
      </c>
      <c r="AD974" s="17">
        <f t="shared" si="588"/>
        <v>0</v>
      </c>
      <c r="AE974" s="17">
        <f t="shared" si="589"/>
        <v>0</v>
      </c>
      <c r="AF974" s="17">
        <f t="shared" si="590"/>
        <v>0</v>
      </c>
      <c r="AG974" s="17">
        <f t="shared" si="591"/>
        <v>0</v>
      </c>
      <c r="AH974" s="17">
        <f t="shared" si="592"/>
        <v>0</v>
      </c>
      <c r="AI974" s="17">
        <f t="shared" si="593"/>
        <v>0</v>
      </c>
      <c r="AJ974" s="17">
        <f t="shared" si="594"/>
        <v>0</v>
      </c>
      <c r="AK974" s="17">
        <f t="shared" si="595"/>
        <v>0</v>
      </c>
      <c r="AL974" s="17">
        <f t="shared" si="596"/>
        <v>0</v>
      </c>
      <c r="AM974" s="17">
        <f t="shared" si="597"/>
        <v>0</v>
      </c>
      <c r="AN974" s="17">
        <f t="shared" si="598"/>
        <v>0</v>
      </c>
      <c r="AO974" s="17">
        <f t="shared" si="599"/>
        <v>0</v>
      </c>
      <c r="AP974" s="17">
        <f t="shared" si="600"/>
        <v>0</v>
      </c>
      <c r="AQ974" s="18">
        <v>32.419996306214379</v>
      </c>
      <c r="AR974" s="18">
        <v>38.771271384130671</v>
      </c>
      <c r="AS974" s="18">
        <v>34.312859301190834</v>
      </c>
      <c r="AT974" s="18">
        <v>25.990670605414429</v>
      </c>
      <c r="AU974" s="18">
        <v>37.692661731408094</v>
      </c>
      <c r="AV974" s="18">
        <v>30.889094470516653</v>
      </c>
      <c r="AW974" s="18">
        <v>30.752243600493564</v>
      </c>
      <c r="AX974" s="18">
        <v>20.883631354673479</v>
      </c>
      <c r="AY974" s="18">
        <v>30.955809635475823</v>
      </c>
      <c r="AZ974" s="18">
        <v>26.958530840537858</v>
      </c>
      <c r="BA974" s="18">
        <v>27.525681880628341</v>
      </c>
      <c r="BB974" s="18">
        <v>26.884916585085332</v>
      </c>
      <c r="BC974" s="23">
        <v>8.9181565948742242E-2</v>
      </c>
      <c r="BD974" s="23">
        <v>0.10665277883445198</v>
      </c>
      <c r="BE974" s="23">
        <v>9.438849084854764E-2</v>
      </c>
      <c r="BF974" s="23">
        <v>7.149564986855049E-2</v>
      </c>
      <c r="BG974" s="23">
        <v>0.10368571810536763</v>
      </c>
      <c r="BH974" s="23">
        <v>8.4970330952544637E-2</v>
      </c>
      <c r="BI974" s="23">
        <v>8.4593878877262704E-2</v>
      </c>
      <c r="BJ974" s="23">
        <v>5.7447105462779965E-2</v>
      </c>
      <c r="BK974" s="23">
        <v>8.5153852345557474E-2</v>
      </c>
      <c r="BL974" s="23">
        <v>7.4158058913035174E-2</v>
      </c>
      <c r="BM974" s="23">
        <v>7.5718189192107169E-2</v>
      </c>
      <c r="BN974" s="23">
        <v>7.3955559365675619E-2</v>
      </c>
    </row>
    <row r="975" spans="1:66" x14ac:dyDescent="0.25">
      <c r="A975" s="16">
        <v>27000</v>
      </c>
      <c r="B975" s="16" t="s">
        <v>1169</v>
      </c>
      <c r="C975" s="17">
        <v>0</v>
      </c>
      <c r="D975" s="17">
        <f t="shared" si="564"/>
        <v>0</v>
      </c>
      <c r="E975" s="17">
        <f t="shared" si="565"/>
        <v>0</v>
      </c>
      <c r="F975" s="17">
        <f t="shared" si="566"/>
        <v>0</v>
      </c>
      <c r="G975" s="17">
        <f t="shared" si="567"/>
        <v>0</v>
      </c>
      <c r="H975" s="17">
        <f t="shared" si="568"/>
        <v>0</v>
      </c>
      <c r="I975" s="17">
        <f t="shared" si="569"/>
        <v>0</v>
      </c>
      <c r="J975" s="17">
        <f t="shared" si="570"/>
        <v>0</v>
      </c>
      <c r="K975" s="17">
        <f t="shared" si="571"/>
        <v>0</v>
      </c>
      <c r="L975" s="17">
        <f t="shared" si="572"/>
        <v>0</v>
      </c>
      <c r="M975" s="17">
        <f t="shared" si="573"/>
        <v>0</v>
      </c>
      <c r="N975" s="17">
        <f t="shared" si="574"/>
        <v>0</v>
      </c>
      <c r="O975" s="17">
        <f t="shared" si="575"/>
        <v>0</v>
      </c>
      <c r="P975" s="17">
        <v>0</v>
      </c>
      <c r="Q975" s="17">
        <f t="shared" si="576"/>
        <v>0</v>
      </c>
      <c r="R975" s="17">
        <f t="shared" si="577"/>
        <v>0</v>
      </c>
      <c r="S975" s="17">
        <f t="shared" si="578"/>
        <v>0</v>
      </c>
      <c r="T975" s="17">
        <f t="shared" si="579"/>
        <v>0</v>
      </c>
      <c r="U975" s="17">
        <f t="shared" si="580"/>
        <v>0</v>
      </c>
      <c r="V975" s="17">
        <f t="shared" si="581"/>
        <v>0</v>
      </c>
      <c r="W975" s="17">
        <f t="shared" si="582"/>
        <v>0</v>
      </c>
      <c r="X975" s="17">
        <f t="shared" si="583"/>
        <v>0</v>
      </c>
      <c r="Y975" s="17">
        <f t="shared" si="584"/>
        <v>0</v>
      </c>
      <c r="Z975" s="17">
        <f t="shared" si="585"/>
        <v>0</v>
      </c>
      <c r="AA975" s="17">
        <f t="shared" si="586"/>
        <v>0</v>
      </c>
      <c r="AB975" s="17">
        <f t="shared" si="587"/>
        <v>0</v>
      </c>
      <c r="AC975" s="17">
        <v>0</v>
      </c>
      <c r="AD975" s="17">
        <f t="shared" si="588"/>
        <v>0</v>
      </c>
      <c r="AE975" s="17">
        <f t="shared" si="589"/>
        <v>0</v>
      </c>
      <c r="AF975" s="17">
        <f t="shared" si="590"/>
        <v>0</v>
      </c>
      <c r="AG975" s="17">
        <f t="shared" si="591"/>
        <v>0</v>
      </c>
      <c r="AH975" s="17">
        <f t="shared" si="592"/>
        <v>0</v>
      </c>
      <c r="AI975" s="17">
        <f t="shared" si="593"/>
        <v>0</v>
      </c>
      <c r="AJ975" s="17">
        <f t="shared" si="594"/>
        <v>0</v>
      </c>
      <c r="AK975" s="17">
        <f t="shared" si="595"/>
        <v>0</v>
      </c>
      <c r="AL975" s="17">
        <f t="shared" si="596"/>
        <v>0</v>
      </c>
      <c r="AM975" s="17">
        <f t="shared" si="597"/>
        <v>0</v>
      </c>
      <c r="AN975" s="17">
        <f t="shared" si="598"/>
        <v>0</v>
      </c>
      <c r="AO975" s="17">
        <f t="shared" si="599"/>
        <v>0</v>
      </c>
      <c r="AP975" s="17">
        <f t="shared" si="600"/>
        <v>0</v>
      </c>
      <c r="AQ975" s="18">
        <v>8.1815168601376147</v>
      </c>
      <c r="AR975" s="18">
        <v>9.784325930272626</v>
      </c>
      <c r="AS975" s="18">
        <v>8.659200150445761</v>
      </c>
      <c r="AT975" s="18">
        <v>6.5590109189408228</v>
      </c>
      <c r="AU975" s="18">
        <v>9.5121277789864269</v>
      </c>
      <c r="AV975" s="18">
        <v>7.7951781615864455</v>
      </c>
      <c r="AW975" s="18">
        <v>7.7606424482000813</v>
      </c>
      <c r="AX975" s="18">
        <v>5.2701974551554347</v>
      </c>
      <c r="AY975" s="18">
        <v>7.8120144141814434</v>
      </c>
      <c r="AZ975" s="18">
        <v>6.8032603246818475</v>
      </c>
      <c r="BA975" s="18">
        <v>6.9463866764839119</v>
      </c>
      <c r="BB975" s="18">
        <v>6.7846830162070821</v>
      </c>
      <c r="BC975" s="23">
        <v>8.9181565948742242E-2</v>
      </c>
      <c r="BD975" s="23">
        <v>0.10665277883445198</v>
      </c>
      <c r="BE975" s="23">
        <v>9.438849084854764E-2</v>
      </c>
      <c r="BF975" s="23">
        <v>7.149564986855049E-2</v>
      </c>
      <c r="BG975" s="23">
        <v>0.10368571810536763</v>
      </c>
      <c r="BH975" s="23">
        <v>8.4970330952544637E-2</v>
      </c>
      <c r="BI975" s="23">
        <v>8.4593878877262704E-2</v>
      </c>
      <c r="BJ975" s="23">
        <v>5.7447105462779965E-2</v>
      </c>
      <c r="BK975" s="23">
        <v>8.5153852345557474E-2</v>
      </c>
      <c r="BL975" s="23">
        <v>7.4158058913035174E-2</v>
      </c>
      <c r="BM975" s="23">
        <v>7.5718189192107169E-2</v>
      </c>
      <c r="BN975" s="23">
        <v>7.3955559365675619E-2</v>
      </c>
    </row>
    <row r="976" spans="1:66" x14ac:dyDescent="0.25">
      <c r="A976" s="16">
        <v>27016</v>
      </c>
      <c r="B976" s="16" t="s">
        <v>1170</v>
      </c>
      <c r="C976" s="17">
        <v>0</v>
      </c>
      <c r="D976" s="17">
        <f t="shared" si="564"/>
        <v>0</v>
      </c>
      <c r="E976" s="17">
        <f t="shared" si="565"/>
        <v>0</v>
      </c>
      <c r="F976" s="17">
        <f t="shared" si="566"/>
        <v>0</v>
      </c>
      <c r="G976" s="17">
        <f t="shared" si="567"/>
        <v>0</v>
      </c>
      <c r="H976" s="17">
        <f t="shared" si="568"/>
        <v>0</v>
      </c>
      <c r="I976" s="17">
        <f t="shared" si="569"/>
        <v>0</v>
      </c>
      <c r="J976" s="17">
        <f t="shared" si="570"/>
        <v>0</v>
      </c>
      <c r="K976" s="17">
        <f t="shared" si="571"/>
        <v>0</v>
      </c>
      <c r="L976" s="17">
        <f t="shared" si="572"/>
        <v>0</v>
      </c>
      <c r="M976" s="17">
        <f t="shared" si="573"/>
        <v>0</v>
      </c>
      <c r="N976" s="17">
        <f t="shared" si="574"/>
        <v>0</v>
      </c>
      <c r="O976" s="17">
        <f t="shared" si="575"/>
        <v>0</v>
      </c>
      <c r="P976" s="17">
        <v>0</v>
      </c>
      <c r="Q976" s="17">
        <f t="shared" si="576"/>
        <v>0</v>
      </c>
      <c r="R976" s="17">
        <f t="shared" si="577"/>
        <v>0</v>
      </c>
      <c r="S976" s="17">
        <f t="shared" si="578"/>
        <v>0</v>
      </c>
      <c r="T976" s="17">
        <f t="shared" si="579"/>
        <v>0</v>
      </c>
      <c r="U976" s="17">
        <f t="shared" si="580"/>
        <v>0</v>
      </c>
      <c r="V976" s="17">
        <f t="shared" si="581"/>
        <v>0</v>
      </c>
      <c r="W976" s="17">
        <f t="shared" si="582"/>
        <v>0</v>
      </c>
      <c r="X976" s="17">
        <f t="shared" si="583"/>
        <v>0</v>
      </c>
      <c r="Y976" s="17">
        <f t="shared" si="584"/>
        <v>0</v>
      </c>
      <c r="Z976" s="17">
        <f t="shared" si="585"/>
        <v>0</v>
      </c>
      <c r="AA976" s="17">
        <f t="shared" si="586"/>
        <v>0</v>
      </c>
      <c r="AB976" s="17">
        <f t="shared" si="587"/>
        <v>0</v>
      </c>
      <c r="AC976" s="17">
        <v>0</v>
      </c>
      <c r="AD976" s="17">
        <f t="shared" si="588"/>
        <v>0</v>
      </c>
      <c r="AE976" s="17">
        <f t="shared" si="589"/>
        <v>0</v>
      </c>
      <c r="AF976" s="17">
        <f t="shared" si="590"/>
        <v>0</v>
      </c>
      <c r="AG976" s="17">
        <f t="shared" si="591"/>
        <v>0</v>
      </c>
      <c r="AH976" s="17">
        <f t="shared" si="592"/>
        <v>0</v>
      </c>
      <c r="AI976" s="17">
        <f t="shared" si="593"/>
        <v>0</v>
      </c>
      <c r="AJ976" s="17">
        <f t="shared" si="594"/>
        <v>0</v>
      </c>
      <c r="AK976" s="17">
        <f t="shared" si="595"/>
        <v>0</v>
      </c>
      <c r="AL976" s="17">
        <f t="shared" si="596"/>
        <v>0</v>
      </c>
      <c r="AM976" s="17">
        <f t="shared" si="597"/>
        <v>0</v>
      </c>
      <c r="AN976" s="17">
        <f t="shared" si="598"/>
        <v>0</v>
      </c>
      <c r="AO976" s="17">
        <f t="shared" si="599"/>
        <v>0</v>
      </c>
      <c r="AP976" s="17">
        <f t="shared" si="600"/>
        <v>0</v>
      </c>
      <c r="AQ976" s="18">
        <v>34.276043056739596</v>
      </c>
      <c r="AR976" s="18">
        <v>40.990929017233277</v>
      </c>
      <c r="AS976" s="18">
        <v>36.277272572730801</v>
      </c>
      <c r="AT976" s="18">
        <v>27.478638070478699</v>
      </c>
      <c r="AU976" s="18">
        <v>39.850568896616998</v>
      </c>
      <c r="AV976" s="18">
        <v>32.657496998301006</v>
      </c>
      <c r="AW976" s="18">
        <v>32.512811407687153</v>
      </c>
      <c r="AX976" s="18">
        <v>22.079220513564852</v>
      </c>
      <c r="AY976" s="18">
        <v>32.728031610491563</v>
      </c>
      <c r="AZ976" s="18">
        <v>28.501908362635941</v>
      </c>
      <c r="BA976" s="18">
        <v>29.10152883409447</v>
      </c>
      <c r="BB976" s="18">
        <v>28.424079686603768</v>
      </c>
      <c r="BC976" s="23">
        <v>8.9181565948742242E-2</v>
      </c>
      <c r="BD976" s="23">
        <v>0.10665277883445198</v>
      </c>
      <c r="BE976" s="23">
        <v>9.438849084854764E-2</v>
      </c>
      <c r="BF976" s="23">
        <v>7.149564986855049E-2</v>
      </c>
      <c r="BG976" s="23">
        <v>0.10368571810536763</v>
      </c>
      <c r="BH976" s="23">
        <v>8.4970330952544637E-2</v>
      </c>
      <c r="BI976" s="23">
        <v>8.4593878877262704E-2</v>
      </c>
      <c r="BJ976" s="23">
        <v>5.7447105462779965E-2</v>
      </c>
      <c r="BK976" s="23">
        <v>8.5153852345557474E-2</v>
      </c>
      <c r="BL976" s="23">
        <v>7.4158058913035174E-2</v>
      </c>
      <c r="BM976" s="23">
        <v>7.5718189192107169E-2</v>
      </c>
      <c r="BN976" s="23">
        <v>7.3955559365675619E-2</v>
      </c>
    </row>
    <row r="977" spans="1:66" x14ac:dyDescent="0.25">
      <c r="A977" s="16">
        <v>27028</v>
      </c>
      <c r="B977" s="16" t="s">
        <v>1171</v>
      </c>
      <c r="C977" s="17">
        <v>0</v>
      </c>
      <c r="D977" s="17">
        <f t="shared" si="564"/>
        <v>0</v>
      </c>
      <c r="E977" s="17">
        <f t="shared" si="565"/>
        <v>0</v>
      </c>
      <c r="F977" s="17">
        <f t="shared" si="566"/>
        <v>0</v>
      </c>
      <c r="G977" s="17">
        <f t="shared" si="567"/>
        <v>0</v>
      </c>
      <c r="H977" s="17">
        <f t="shared" si="568"/>
        <v>0</v>
      </c>
      <c r="I977" s="17">
        <f t="shared" si="569"/>
        <v>0</v>
      </c>
      <c r="J977" s="17">
        <f t="shared" si="570"/>
        <v>0</v>
      </c>
      <c r="K977" s="17">
        <f t="shared" si="571"/>
        <v>0</v>
      </c>
      <c r="L977" s="17">
        <f t="shared" si="572"/>
        <v>0</v>
      </c>
      <c r="M977" s="17">
        <f t="shared" si="573"/>
        <v>0</v>
      </c>
      <c r="N977" s="17">
        <f t="shared" si="574"/>
        <v>0</v>
      </c>
      <c r="O977" s="17">
        <f t="shared" si="575"/>
        <v>0</v>
      </c>
      <c r="P977" s="17">
        <v>0</v>
      </c>
      <c r="Q977" s="17">
        <f t="shared" si="576"/>
        <v>0</v>
      </c>
      <c r="R977" s="17">
        <f t="shared" si="577"/>
        <v>0</v>
      </c>
      <c r="S977" s="17">
        <f t="shared" si="578"/>
        <v>0</v>
      </c>
      <c r="T977" s="17">
        <f t="shared" si="579"/>
        <v>0</v>
      </c>
      <c r="U977" s="17">
        <f t="shared" si="580"/>
        <v>0</v>
      </c>
      <c r="V977" s="17">
        <f t="shared" si="581"/>
        <v>0</v>
      </c>
      <c r="W977" s="17">
        <f t="shared" si="582"/>
        <v>0</v>
      </c>
      <c r="X977" s="17">
        <f t="shared" si="583"/>
        <v>0</v>
      </c>
      <c r="Y977" s="17">
        <f t="shared" si="584"/>
        <v>0</v>
      </c>
      <c r="Z977" s="17">
        <f t="shared" si="585"/>
        <v>0</v>
      </c>
      <c r="AA977" s="17">
        <f t="shared" si="586"/>
        <v>0</v>
      </c>
      <c r="AB977" s="17">
        <f t="shared" si="587"/>
        <v>0</v>
      </c>
      <c r="AC977" s="17">
        <v>0</v>
      </c>
      <c r="AD977" s="17">
        <f t="shared" si="588"/>
        <v>0</v>
      </c>
      <c r="AE977" s="17">
        <f t="shared" si="589"/>
        <v>0</v>
      </c>
      <c r="AF977" s="17">
        <f t="shared" si="590"/>
        <v>0</v>
      </c>
      <c r="AG977" s="17">
        <f t="shared" si="591"/>
        <v>0</v>
      </c>
      <c r="AH977" s="17">
        <f t="shared" si="592"/>
        <v>0</v>
      </c>
      <c r="AI977" s="17">
        <f t="shared" si="593"/>
        <v>0</v>
      </c>
      <c r="AJ977" s="17">
        <f t="shared" si="594"/>
        <v>0</v>
      </c>
      <c r="AK977" s="17">
        <f t="shared" si="595"/>
        <v>0</v>
      </c>
      <c r="AL977" s="17">
        <f t="shared" si="596"/>
        <v>0</v>
      </c>
      <c r="AM977" s="17">
        <f t="shared" si="597"/>
        <v>0</v>
      </c>
      <c r="AN977" s="17">
        <f t="shared" si="598"/>
        <v>0</v>
      </c>
      <c r="AO977" s="17">
        <f t="shared" si="599"/>
        <v>0</v>
      </c>
      <c r="AP977" s="17">
        <f t="shared" si="600"/>
        <v>0</v>
      </c>
      <c r="AQ977" s="18">
        <v>0</v>
      </c>
      <c r="AR977" s="18">
        <v>0</v>
      </c>
      <c r="AS977" s="18">
        <v>0</v>
      </c>
      <c r="AT977" s="18">
        <v>0</v>
      </c>
      <c r="AU977" s="18">
        <v>0</v>
      </c>
      <c r="AV977" s="18">
        <v>0</v>
      </c>
      <c r="AW977" s="18">
        <v>0</v>
      </c>
      <c r="AX977" s="18">
        <v>0</v>
      </c>
      <c r="AY977" s="18">
        <v>0</v>
      </c>
      <c r="AZ977" s="18">
        <v>0</v>
      </c>
      <c r="BA977" s="18">
        <v>0</v>
      </c>
      <c r="BB977" s="18">
        <v>0</v>
      </c>
      <c r="BC977" s="23">
        <v>8.9181565948742242E-2</v>
      </c>
      <c r="BD977" s="23">
        <v>0.10665277883445198</v>
      </c>
      <c r="BE977" s="23">
        <v>9.438849084854764E-2</v>
      </c>
      <c r="BF977" s="23">
        <v>7.149564986855049E-2</v>
      </c>
      <c r="BG977" s="23">
        <v>0.10368571810536763</v>
      </c>
      <c r="BH977" s="23">
        <v>8.4970330952544637E-2</v>
      </c>
      <c r="BI977" s="23">
        <v>8.4593878877262704E-2</v>
      </c>
      <c r="BJ977" s="23">
        <v>5.7447105462779965E-2</v>
      </c>
      <c r="BK977" s="23">
        <v>8.5153852345557474E-2</v>
      </c>
      <c r="BL977" s="23">
        <v>7.4158058913035174E-2</v>
      </c>
      <c r="BM977" s="23">
        <v>7.5718189192107169E-2</v>
      </c>
      <c r="BN977" s="23">
        <v>7.3955559365675619E-2</v>
      </c>
    </row>
    <row r="978" spans="1:66" x14ac:dyDescent="0.25">
      <c r="A978" s="16">
        <v>27121</v>
      </c>
      <c r="B978" s="16" t="s">
        <v>1172</v>
      </c>
      <c r="C978" s="17">
        <v>0</v>
      </c>
      <c r="D978" s="17">
        <f t="shared" si="564"/>
        <v>0</v>
      </c>
      <c r="E978" s="17">
        <f t="shared" si="565"/>
        <v>0</v>
      </c>
      <c r="F978" s="17">
        <f t="shared" si="566"/>
        <v>0</v>
      </c>
      <c r="G978" s="17">
        <f t="shared" si="567"/>
        <v>0</v>
      </c>
      <c r="H978" s="17">
        <f t="shared" si="568"/>
        <v>0</v>
      </c>
      <c r="I978" s="17">
        <f t="shared" si="569"/>
        <v>0</v>
      </c>
      <c r="J978" s="17">
        <f t="shared" si="570"/>
        <v>0</v>
      </c>
      <c r="K978" s="17">
        <f t="shared" si="571"/>
        <v>0</v>
      </c>
      <c r="L978" s="17">
        <f t="shared" si="572"/>
        <v>0</v>
      </c>
      <c r="M978" s="17">
        <f t="shared" si="573"/>
        <v>0</v>
      </c>
      <c r="N978" s="17">
        <f t="shared" si="574"/>
        <v>0</v>
      </c>
      <c r="O978" s="17">
        <f t="shared" si="575"/>
        <v>0</v>
      </c>
      <c r="P978" s="17">
        <v>0</v>
      </c>
      <c r="Q978" s="17">
        <f t="shared" si="576"/>
        <v>0</v>
      </c>
      <c r="R978" s="17">
        <f t="shared" si="577"/>
        <v>0</v>
      </c>
      <c r="S978" s="17">
        <f t="shared" si="578"/>
        <v>0</v>
      </c>
      <c r="T978" s="17">
        <f t="shared" si="579"/>
        <v>0</v>
      </c>
      <c r="U978" s="17">
        <f t="shared" si="580"/>
        <v>0</v>
      </c>
      <c r="V978" s="17">
        <f t="shared" si="581"/>
        <v>0</v>
      </c>
      <c r="W978" s="17">
        <f t="shared" si="582"/>
        <v>0</v>
      </c>
      <c r="X978" s="17">
        <f t="shared" si="583"/>
        <v>0</v>
      </c>
      <c r="Y978" s="17">
        <f t="shared" si="584"/>
        <v>0</v>
      </c>
      <c r="Z978" s="17">
        <f t="shared" si="585"/>
        <v>0</v>
      </c>
      <c r="AA978" s="17">
        <f t="shared" si="586"/>
        <v>0</v>
      </c>
      <c r="AB978" s="17">
        <f t="shared" si="587"/>
        <v>0</v>
      </c>
      <c r="AC978" s="17">
        <v>0</v>
      </c>
      <c r="AD978" s="17">
        <f t="shared" si="588"/>
        <v>0</v>
      </c>
      <c r="AE978" s="17">
        <f t="shared" si="589"/>
        <v>0</v>
      </c>
      <c r="AF978" s="17">
        <f t="shared" si="590"/>
        <v>0</v>
      </c>
      <c r="AG978" s="17">
        <f t="shared" si="591"/>
        <v>0</v>
      </c>
      <c r="AH978" s="17">
        <f t="shared" si="592"/>
        <v>0</v>
      </c>
      <c r="AI978" s="17">
        <f t="shared" si="593"/>
        <v>0</v>
      </c>
      <c r="AJ978" s="17">
        <f t="shared" si="594"/>
        <v>0</v>
      </c>
      <c r="AK978" s="17">
        <f t="shared" si="595"/>
        <v>0</v>
      </c>
      <c r="AL978" s="17">
        <f t="shared" si="596"/>
        <v>0</v>
      </c>
      <c r="AM978" s="17">
        <f t="shared" si="597"/>
        <v>0</v>
      </c>
      <c r="AN978" s="17">
        <f t="shared" si="598"/>
        <v>0</v>
      </c>
      <c r="AO978" s="17">
        <f t="shared" si="599"/>
        <v>0</v>
      </c>
      <c r="AP978" s="17">
        <f t="shared" si="600"/>
        <v>0</v>
      </c>
      <c r="AQ978" s="18">
        <v>0</v>
      </c>
      <c r="AR978" s="18">
        <v>0</v>
      </c>
      <c r="AS978" s="18">
        <v>0</v>
      </c>
      <c r="AT978" s="18">
        <v>0</v>
      </c>
      <c r="AU978" s="18">
        <v>0</v>
      </c>
      <c r="AV978" s="18">
        <v>0</v>
      </c>
      <c r="AW978" s="18">
        <v>0</v>
      </c>
      <c r="AX978" s="18">
        <v>0</v>
      </c>
      <c r="AY978" s="18">
        <v>0</v>
      </c>
      <c r="AZ978" s="18">
        <v>0</v>
      </c>
      <c r="BA978" s="18">
        <v>0</v>
      </c>
      <c r="BB978" s="18">
        <v>0</v>
      </c>
      <c r="BC978" s="23">
        <v>8.9181565948742242E-2</v>
      </c>
      <c r="BD978" s="23">
        <v>0.10665277883445198</v>
      </c>
      <c r="BE978" s="23">
        <v>9.438849084854764E-2</v>
      </c>
      <c r="BF978" s="23">
        <v>7.149564986855049E-2</v>
      </c>
      <c r="BG978" s="23">
        <v>0.10368571810536763</v>
      </c>
      <c r="BH978" s="23">
        <v>8.4970330952544637E-2</v>
      </c>
      <c r="BI978" s="23">
        <v>8.4593878877262704E-2</v>
      </c>
      <c r="BJ978" s="23">
        <v>5.7447105462779965E-2</v>
      </c>
      <c r="BK978" s="23">
        <v>8.5153852345557474E-2</v>
      </c>
      <c r="BL978" s="23">
        <v>7.4158058913035174E-2</v>
      </c>
      <c r="BM978" s="23">
        <v>7.5718189192107169E-2</v>
      </c>
      <c r="BN978" s="23">
        <v>7.3955559365675619E-2</v>
      </c>
    </row>
    <row r="979" spans="1:66" x14ac:dyDescent="0.25">
      <c r="A979" s="16">
        <v>27126</v>
      </c>
      <c r="B979" s="16" t="s">
        <v>1173</v>
      </c>
      <c r="C979" s="17">
        <v>0</v>
      </c>
      <c r="D979" s="17">
        <f t="shared" si="564"/>
        <v>0</v>
      </c>
      <c r="E979" s="17">
        <f t="shared" si="565"/>
        <v>0</v>
      </c>
      <c r="F979" s="17">
        <f t="shared" si="566"/>
        <v>0</v>
      </c>
      <c r="G979" s="17">
        <f t="shared" si="567"/>
        <v>0</v>
      </c>
      <c r="H979" s="17">
        <f t="shared" si="568"/>
        <v>0</v>
      </c>
      <c r="I979" s="17">
        <f t="shared" si="569"/>
        <v>0</v>
      </c>
      <c r="J979" s="17">
        <f t="shared" si="570"/>
        <v>0</v>
      </c>
      <c r="K979" s="17">
        <f t="shared" si="571"/>
        <v>0</v>
      </c>
      <c r="L979" s="17">
        <f t="shared" si="572"/>
        <v>0</v>
      </c>
      <c r="M979" s="17">
        <f t="shared" si="573"/>
        <v>0</v>
      </c>
      <c r="N979" s="17">
        <f t="shared" si="574"/>
        <v>0</v>
      </c>
      <c r="O979" s="17">
        <f t="shared" si="575"/>
        <v>0</v>
      </c>
      <c r="P979" s="17">
        <v>0</v>
      </c>
      <c r="Q979" s="17">
        <f t="shared" si="576"/>
        <v>0</v>
      </c>
      <c r="R979" s="17">
        <f t="shared" si="577"/>
        <v>0</v>
      </c>
      <c r="S979" s="17">
        <f t="shared" si="578"/>
        <v>0</v>
      </c>
      <c r="T979" s="17">
        <f t="shared" si="579"/>
        <v>0</v>
      </c>
      <c r="U979" s="17">
        <f t="shared" si="580"/>
        <v>0</v>
      </c>
      <c r="V979" s="17">
        <f t="shared" si="581"/>
        <v>0</v>
      </c>
      <c r="W979" s="17">
        <f t="shared" si="582"/>
        <v>0</v>
      </c>
      <c r="X979" s="17">
        <f t="shared" si="583"/>
        <v>0</v>
      </c>
      <c r="Y979" s="17">
        <f t="shared" si="584"/>
        <v>0</v>
      </c>
      <c r="Z979" s="17">
        <f t="shared" si="585"/>
        <v>0</v>
      </c>
      <c r="AA979" s="17">
        <f t="shared" si="586"/>
        <v>0</v>
      </c>
      <c r="AB979" s="17">
        <f t="shared" si="587"/>
        <v>0</v>
      </c>
      <c r="AC979" s="17">
        <v>0</v>
      </c>
      <c r="AD979" s="17">
        <f t="shared" si="588"/>
        <v>0</v>
      </c>
      <c r="AE979" s="17">
        <f t="shared" si="589"/>
        <v>0</v>
      </c>
      <c r="AF979" s="17">
        <f t="shared" si="590"/>
        <v>0</v>
      </c>
      <c r="AG979" s="17">
        <f t="shared" si="591"/>
        <v>0</v>
      </c>
      <c r="AH979" s="17">
        <f t="shared" si="592"/>
        <v>0</v>
      </c>
      <c r="AI979" s="17">
        <f t="shared" si="593"/>
        <v>0</v>
      </c>
      <c r="AJ979" s="17">
        <f t="shared" si="594"/>
        <v>0</v>
      </c>
      <c r="AK979" s="17">
        <f t="shared" si="595"/>
        <v>0</v>
      </c>
      <c r="AL979" s="17">
        <f t="shared" si="596"/>
        <v>0</v>
      </c>
      <c r="AM979" s="17">
        <f t="shared" si="597"/>
        <v>0</v>
      </c>
      <c r="AN979" s="17">
        <f t="shared" si="598"/>
        <v>0</v>
      </c>
      <c r="AO979" s="17">
        <f t="shared" si="599"/>
        <v>0</v>
      </c>
      <c r="AP979" s="17">
        <f t="shared" si="600"/>
        <v>0</v>
      </c>
      <c r="AQ979" s="18">
        <v>0</v>
      </c>
      <c r="AR979" s="18">
        <v>0</v>
      </c>
      <c r="AS979" s="18">
        <v>0</v>
      </c>
      <c r="AT979" s="18">
        <v>0</v>
      </c>
      <c r="AU979" s="18">
        <v>0</v>
      </c>
      <c r="AV979" s="18">
        <v>0</v>
      </c>
      <c r="AW979" s="18">
        <v>0</v>
      </c>
      <c r="AX979" s="18">
        <v>0</v>
      </c>
      <c r="AY979" s="18">
        <v>0</v>
      </c>
      <c r="AZ979" s="18">
        <v>0</v>
      </c>
      <c r="BA979" s="18">
        <v>0</v>
      </c>
      <c r="BB979" s="18">
        <v>0</v>
      </c>
      <c r="BC979" s="23">
        <v>8.9181565948742242E-2</v>
      </c>
      <c r="BD979" s="23">
        <v>0.10665277883445198</v>
      </c>
      <c r="BE979" s="23">
        <v>9.438849084854764E-2</v>
      </c>
      <c r="BF979" s="23">
        <v>7.149564986855049E-2</v>
      </c>
      <c r="BG979" s="23">
        <v>0.10368571810536763</v>
      </c>
      <c r="BH979" s="23">
        <v>8.4970330952544637E-2</v>
      </c>
      <c r="BI979" s="23">
        <v>8.4593878877262704E-2</v>
      </c>
      <c r="BJ979" s="23">
        <v>5.7447105462779965E-2</v>
      </c>
      <c r="BK979" s="23">
        <v>8.5153852345557474E-2</v>
      </c>
      <c r="BL979" s="23">
        <v>7.4158058913035174E-2</v>
      </c>
      <c r="BM979" s="23">
        <v>7.5718189192107169E-2</v>
      </c>
      <c r="BN979" s="23">
        <v>7.3955559365675619E-2</v>
      </c>
    </row>
    <row r="980" spans="1:66" x14ac:dyDescent="0.25">
      <c r="A980" s="16">
        <v>27129</v>
      </c>
      <c r="B980" s="16" t="s">
        <v>1174</v>
      </c>
      <c r="C980" s="17">
        <v>0</v>
      </c>
      <c r="D980" s="17">
        <f t="shared" si="564"/>
        <v>0</v>
      </c>
      <c r="E980" s="17">
        <f t="shared" si="565"/>
        <v>0</v>
      </c>
      <c r="F980" s="17">
        <f t="shared" si="566"/>
        <v>0</v>
      </c>
      <c r="G980" s="17">
        <f t="shared" si="567"/>
        <v>0</v>
      </c>
      <c r="H980" s="17">
        <f t="shared" si="568"/>
        <v>0</v>
      </c>
      <c r="I980" s="17">
        <f t="shared" si="569"/>
        <v>0</v>
      </c>
      <c r="J980" s="17">
        <f t="shared" si="570"/>
        <v>0</v>
      </c>
      <c r="K980" s="17">
        <f t="shared" si="571"/>
        <v>0</v>
      </c>
      <c r="L980" s="17">
        <f t="shared" si="572"/>
        <v>0</v>
      </c>
      <c r="M980" s="17">
        <f t="shared" si="573"/>
        <v>0</v>
      </c>
      <c r="N980" s="17">
        <f t="shared" si="574"/>
        <v>0</v>
      </c>
      <c r="O980" s="17">
        <f t="shared" si="575"/>
        <v>0</v>
      </c>
      <c r="P980" s="17">
        <v>2000</v>
      </c>
      <c r="Q980" s="17">
        <f t="shared" si="576"/>
        <v>178.36313189748449</v>
      </c>
      <c r="R980" s="17">
        <f t="shared" si="577"/>
        <v>213.30555766890396</v>
      </c>
      <c r="S980" s="17">
        <f t="shared" si="578"/>
        <v>188.77698169709529</v>
      </c>
      <c r="T980" s="17">
        <f t="shared" si="579"/>
        <v>142.99129973710097</v>
      </c>
      <c r="U980" s="17">
        <f t="shared" si="580"/>
        <v>207.37143621073525</v>
      </c>
      <c r="V980" s="17">
        <f t="shared" si="581"/>
        <v>169.94066190508929</v>
      </c>
      <c r="W980" s="17">
        <f t="shared" si="582"/>
        <v>169.18775775452542</v>
      </c>
      <c r="X980" s="17">
        <f t="shared" si="583"/>
        <v>114.89421092555993</v>
      </c>
      <c r="Y980" s="17">
        <f t="shared" si="584"/>
        <v>170.30770469111494</v>
      </c>
      <c r="Z980" s="17">
        <f t="shared" si="585"/>
        <v>148.31611782607035</v>
      </c>
      <c r="AA980" s="17">
        <f t="shared" si="586"/>
        <v>151.43637838421435</v>
      </c>
      <c r="AB980" s="17">
        <f t="shared" si="587"/>
        <v>147.91111873135125</v>
      </c>
      <c r="AC980" s="17">
        <v>0</v>
      </c>
      <c r="AD980" s="17">
        <f t="shared" si="588"/>
        <v>0</v>
      </c>
      <c r="AE980" s="17">
        <f t="shared" si="589"/>
        <v>0</v>
      </c>
      <c r="AF980" s="17">
        <f t="shared" si="590"/>
        <v>0</v>
      </c>
      <c r="AG980" s="17">
        <f t="shared" si="591"/>
        <v>0</v>
      </c>
      <c r="AH980" s="17">
        <f t="shared" si="592"/>
        <v>0</v>
      </c>
      <c r="AI980" s="17">
        <f t="shared" si="593"/>
        <v>0</v>
      </c>
      <c r="AJ980" s="17">
        <f t="shared" si="594"/>
        <v>0</v>
      </c>
      <c r="AK980" s="17">
        <f t="shared" si="595"/>
        <v>0</v>
      </c>
      <c r="AL980" s="17">
        <f t="shared" si="596"/>
        <v>0</v>
      </c>
      <c r="AM980" s="17">
        <f t="shared" si="597"/>
        <v>0</v>
      </c>
      <c r="AN980" s="17">
        <f t="shared" si="598"/>
        <v>0</v>
      </c>
      <c r="AO980" s="17">
        <f t="shared" si="599"/>
        <v>0</v>
      </c>
      <c r="AP980" s="17">
        <f t="shared" si="600"/>
        <v>2000</v>
      </c>
      <c r="AQ980" s="18">
        <v>0</v>
      </c>
      <c r="AR980" s="18">
        <v>0</v>
      </c>
      <c r="AS980" s="18">
        <v>0</v>
      </c>
      <c r="AT980" s="18">
        <v>0</v>
      </c>
      <c r="AU980" s="18">
        <v>0</v>
      </c>
      <c r="AV980" s="18">
        <v>0</v>
      </c>
      <c r="AW980" s="18">
        <v>0</v>
      </c>
      <c r="AX980" s="18">
        <v>0</v>
      </c>
      <c r="AY980" s="18">
        <v>0</v>
      </c>
      <c r="AZ980" s="18">
        <v>0</v>
      </c>
      <c r="BA980" s="18">
        <v>0</v>
      </c>
      <c r="BB980" s="18">
        <v>0</v>
      </c>
      <c r="BC980" s="23">
        <v>8.9181565948742242E-2</v>
      </c>
      <c r="BD980" s="23">
        <v>0.10665277883445198</v>
      </c>
      <c r="BE980" s="23">
        <v>9.438849084854764E-2</v>
      </c>
      <c r="BF980" s="23">
        <v>7.149564986855049E-2</v>
      </c>
      <c r="BG980" s="23">
        <v>0.10368571810536763</v>
      </c>
      <c r="BH980" s="23">
        <v>8.4970330952544637E-2</v>
      </c>
      <c r="BI980" s="23">
        <v>8.4593878877262704E-2</v>
      </c>
      <c r="BJ980" s="23">
        <v>5.7447105462779965E-2</v>
      </c>
      <c r="BK980" s="23">
        <v>8.5153852345557474E-2</v>
      </c>
      <c r="BL980" s="23">
        <v>7.4158058913035174E-2</v>
      </c>
      <c r="BM980" s="23">
        <v>7.5718189192107169E-2</v>
      </c>
      <c r="BN980" s="23">
        <v>7.3955559365675619E-2</v>
      </c>
    </row>
    <row r="981" spans="1:66" x14ac:dyDescent="0.25">
      <c r="A981" s="16">
        <v>27131</v>
      </c>
      <c r="B981" s="16" t="s">
        <v>1175</v>
      </c>
      <c r="C981" s="17">
        <v>0</v>
      </c>
      <c r="D981" s="17">
        <f t="shared" si="564"/>
        <v>0</v>
      </c>
      <c r="E981" s="17">
        <f t="shared" si="565"/>
        <v>0</v>
      </c>
      <c r="F981" s="17">
        <f t="shared" si="566"/>
        <v>0</v>
      </c>
      <c r="G981" s="17">
        <f t="shared" si="567"/>
        <v>0</v>
      </c>
      <c r="H981" s="17">
        <f t="shared" si="568"/>
        <v>0</v>
      </c>
      <c r="I981" s="17">
        <f t="shared" si="569"/>
        <v>0</v>
      </c>
      <c r="J981" s="17">
        <f t="shared" si="570"/>
        <v>0</v>
      </c>
      <c r="K981" s="17">
        <f t="shared" si="571"/>
        <v>0</v>
      </c>
      <c r="L981" s="17">
        <f t="shared" si="572"/>
        <v>0</v>
      </c>
      <c r="M981" s="17">
        <f t="shared" si="573"/>
        <v>0</v>
      </c>
      <c r="N981" s="17">
        <f t="shared" si="574"/>
        <v>0</v>
      </c>
      <c r="O981" s="17">
        <f t="shared" si="575"/>
        <v>0</v>
      </c>
      <c r="P981" s="17">
        <v>1000</v>
      </c>
      <c r="Q981" s="17">
        <f t="shared" si="576"/>
        <v>89.181565948742247</v>
      </c>
      <c r="R981" s="17">
        <f t="shared" si="577"/>
        <v>106.65277883445198</v>
      </c>
      <c r="S981" s="17">
        <f t="shared" si="578"/>
        <v>94.388490848547647</v>
      </c>
      <c r="T981" s="17">
        <f t="shared" si="579"/>
        <v>71.495649868550487</v>
      </c>
      <c r="U981" s="17">
        <f t="shared" si="580"/>
        <v>103.68571810536763</v>
      </c>
      <c r="V981" s="17">
        <f t="shared" si="581"/>
        <v>84.970330952544643</v>
      </c>
      <c r="W981" s="17">
        <f t="shared" si="582"/>
        <v>84.593878877262711</v>
      </c>
      <c r="X981" s="17">
        <f t="shared" si="583"/>
        <v>57.447105462779966</v>
      </c>
      <c r="Y981" s="17">
        <f t="shared" si="584"/>
        <v>85.153852345557468</v>
      </c>
      <c r="Z981" s="17">
        <f t="shared" si="585"/>
        <v>74.158058913035177</v>
      </c>
      <c r="AA981" s="17">
        <f t="shared" si="586"/>
        <v>75.718189192107175</v>
      </c>
      <c r="AB981" s="17">
        <f t="shared" si="587"/>
        <v>73.955559365675626</v>
      </c>
      <c r="AC981" s="17">
        <v>0</v>
      </c>
      <c r="AD981" s="17">
        <f t="shared" si="588"/>
        <v>0</v>
      </c>
      <c r="AE981" s="17">
        <f t="shared" si="589"/>
        <v>0</v>
      </c>
      <c r="AF981" s="17">
        <f t="shared" si="590"/>
        <v>0</v>
      </c>
      <c r="AG981" s="17">
        <f t="shared" si="591"/>
        <v>0</v>
      </c>
      <c r="AH981" s="17">
        <f t="shared" si="592"/>
        <v>0</v>
      </c>
      <c r="AI981" s="17">
        <f t="shared" si="593"/>
        <v>0</v>
      </c>
      <c r="AJ981" s="17">
        <f t="shared" si="594"/>
        <v>0</v>
      </c>
      <c r="AK981" s="17">
        <f t="shared" si="595"/>
        <v>0</v>
      </c>
      <c r="AL981" s="17">
        <f t="shared" si="596"/>
        <v>0</v>
      </c>
      <c r="AM981" s="17">
        <f t="shared" si="597"/>
        <v>0</v>
      </c>
      <c r="AN981" s="17">
        <f t="shared" si="598"/>
        <v>0</v>
      </c>
      <c r="AO981" s="17">
        <f t="shared" si="599"/>
        <v>0</v>
      </c>
      <c r="AP981" s="17">
        <f t="shared" si="600"/>
        <v>1000</v>
      </c>
      <c r="AQ981" s="18">
        <v>77.577260587491907</v>
      </c>
      <c r="AR981" s="18">
        <v>92.775119252513093</v>
      </c>
      <c r="AS981" s="18">
        <v>82.106660419334617</v>
      </c>
      <c r="AT981" s="18">
        <v>62.192635907654697</v>
      </c>
      <c r="AU981" s="18">
        <v>90.194132465497191</v>
      </c>
      <c r="AV981" s="18">
        <v>73.913991488999528</v>
      </c>
      <c r="AW981" s="18">
        <v>73.586523357753279</v>
      </c>
      <c r="AX981" s="18">
        <v>49.972088099963038</v>
      </c>
      <c r="AY981" s="18">
        <v>74.073633078353538</v>
      </c>
      <c r="AZ981" s="18">
        <v>64.508612287271035</v>
      </c>
      <c r="BA981" s="18">
        <v>65.865738414430183</v>
      </c>
      <c r="BB981" s="18">
        <v>64.332461981013907</v>
      </c>
      <c r="BC981" s="23">
        <v>8.9181565948742242E-2</v>
      </c>
      <c r="BD981" s="23">
        <v>0.10665277883445198</v>
      </c>
      <c r="BE981" s="23">
        <v>9.438849084854764E-2</v>
      </c>
      <c r="BF981" s="23">
        <v>7.149564986855049E-2</v>
      </c>
      <c r="BG981" s="23">
        <v>0.10368571810536763</v>
      </c>
      <c r="BH981" s="23">
        <v>8.4970330952544637E-2</v>
      </c>
      <c r="BI981" s="23">
        <v>8.4593878877262704E-2</v>
      </c>
      <c r="BJ981" s="23">
        <v>5.7447105462779965E-2</v>
      </c>
      <c r="BK981" s="23">
        <v>8.5153852345557474E-2</v>
      </c>
      <c r="BL981" s="23">
        <v>7.4158058913035174E-2</v>
      </c>
      <c r="BM981" s="23">
        <v>7.5718189192107169E-2</v>
      </c>
      <c r="BN981" s="23">
        <v>7.3955559365675619E-2</v>
      </c>
    </row>
    <row r="982" spans="1:66" x14ac:dyDescent="0.25">
      <c r="A982" s="16">
        <v>27301</v>
      </c>
      <c r="B982" s="16" t="s">
        <v>1176</v>
      </c>
      <c r="C982" s="17">
        <v>0</v>
      </c>
      <c r="D982" s="17">
        <f t="shared" si="564"/>
        <v>0</v>
      </c>
      <c r="E982" s="17">
        <f t="shared" si="565"/>
        <v>0</v>
      </c>
      <c r="F982" s="17">
        <f t="shared" si="566"/>
        <v>0</v>
      </c>
      <c r="G982" s="17">
        <f t="shared" si="567"/>
        <v>0</v>
      </c>
      <c r="H982" s="17">
        <f t="shared" si="568"/>
        <v>0</v>
      </c>
      <c r="I982" s="17">
        <f t="shared" si="569"/>
        <v>0</v>
      </c>
      <c r="J982" s="17">
        <f t="shared" si="570"/>
        <v>0</v>
      </c>
      <c r="K982" s="17">
        <f t="shared" si="571"/>
        <v>0</v>
      </c>
      <c r="L982" s="17">
        <f t="shared" si="572"/>
        <v>0</v>
      </c>
      <c r="M982" s="17">
        <f t="shared" si="573"/>
        <v>0</v>
      </c>
      <c r="N982" s="17">
        <f t="shared" si="574"/>
        <v>0</v>
      </c>
      <c r="O982" s="17">
        <f t="shared" si="575"/>
        <v>0</v>
      </c>
      <c r="P982" s="17">
        <v>2000</v>
      </c>
      <c r="Q982" s="17">
        <f t="shared" si="576"/>
        <v>178.36313189748449</v>
      </c>
      <c r="R982" s="17">
        <f t="shared" si="577"/>
        <v>213.30555766890396</v>
      </c>
      <c r="S982" s="17">
        <f t="shared" si="578"/>
        <v>188.77698169709529</v>
      </c>
      <c r="T982" s="17">
        <f t="shared" si="579"/>
        <v>142.99129973710097</v>
      </c>
      <c r="U982" s="17">
        <f t="shared" si="580"/>
        <v>207.37143621073525</v>
      </c>
      <c r="V982" s="17">
        <f t="shared" si="581"/>
        <v>169.94066190508929</v>
      </c>
      <c r="W982" s="17">
        <f t="shared" si="582"/>
        <v>169.18775775452542</v>
      </c>
      <c r="X982" s="17">
        <f t="shared" si="583"/>
        <v>114.89421092555993</v>
      </c>
      <c r="Y982" s="17">
        <f t="shared" si="584"/>
        <v>170.30770469111494</v>
      </c>
      <c r="Z982" s="17">
        <f t="shared" si="585"/>
        <v>148.31611782607035</v>
      </c>
      <c r="AA982" s="17">
        <f t="shared" si="586"/>
        <v>151.43637838421435</v>
      </c>
      <c r="AB982" s="17">
        <f t="shared" si="587"/>
        <v>147.91111873135125</v>
      </c>
      <c r="AC982" s="17">
        <v>0</v>
      </c>
      <c r="AD982" s="17">
        <f t="shared" si="588"/>
        <v>0</v>
      </c>
      <c r="AE982" s="17">
        <f t="shared" si="589"/>
        <v>0</v>
      </c>
      <c r="AF982" s="17">
        <f t="shared" si="590"/>
        <v>0</v>
      </c>
      <c r="AG982" s="17">
        <f t="shared" si="591"/>
        <v>0</v>
      </c>
      <c r="AH982" s="17">
        <f t="shared" si="592"/>
        <v>0</v>
      </c>
      <c r="AI982" s="17">
        <f t="shared" si="593"/>
        <v>0</v>
      </c>
      <c r="AJ982" s="17">
        <f t="shared" si="594"/>
        <v>0</v>
      </c>
      <c r="AK982" s="17">
        <f t="shared" si="595"/>
        <v>0</v>
      </c>
      <c r="AL982" s="17">
        <f t="shared" si="596"/>
        <v>0</v>
      </c>
      <c r="AM982" s="17">
        <f t="shared" si="597"/>
        <v>0</v>
      </c>
      <c r="AN982" s="17">
        <f t="shared" si="598"/>
        <v>0</v>
      </c>
      <c r="AO982" s="17">
        <f t="shared" si="599"/>
        <v>0</v>
      </c>
      <c r="AP982" s="17">
        <f t="shared" si="600"/>
        <v>2000</v>
      </c>
      <c r="AQ982" s="18">
        <v>132.04222654370778</v>
      </c>
      <c r="AR982" s="18">
        <v>157.91010434228963</v>
      </c>
      <c r="AS982" s="18">
        <v>139.75159955035966</v>
      </c>
      <c r="AT982" s="18">
        <v>105.85645919537586</v>
      </c>
      <c r="AU982" s="18">
        <v>153.51707422680732</v>
      </c>
      <c r="AV982" s="18">
        <v>125.8070720083376</v>
      </c>
      <c r="AW982" s="18">
        <v>125.24969706567518</v>
      </c>
      <c r="AX982" s="18">
        <v>85.056184348192019</v>
      </c>
      <c r="AY982" s="18">
        <v>126.07879378283241</v>
      </c>
      <c r="AZ982" s="18">
        <v>109.79842202663988</v>
      </c>
      <c r="BA982" s="18">
        <v>112.10835091783389</v>
      </c>
      <c r="BB982" s="18">
        <v>109.49860119681934</v>
      </c>
      <c r="BC982" s="23">
        <v>8.9181565948742242E-2</v>
      </c>
      <c r="BD982" s="23">
        <v>0.10665277883445198</v>
      </c>
      <c r="BE982" s="23">
        <v>9.438849084854764E-2</v>
      </c>
      <c r="BF982" s="23">
        <v>7.149564986855049E-2</v>
      </c>
      <c r="BG982" s="23">
        <v>0.10368571810536763</v>
      </c>
      <c r="BH982" s="23">
        <v>8.4970330952544637E-2</v>
      </c>
      <c r="BI982" s="23">
        <v>8.4593878877262704E-2</v>
      </c>
      <c r="BJ982" s="23">
        <v>5.7447105462779965E-2</v>
      </c>
      <c r="BK982" s="23">
        <v>8.5153852345557474E-2</v>
      </c>
      <c r="BL982" s="23">
        <v>7.4158058913035174E-2</v>
      </c>
      <c r="BM982" s="23">
        <v>7.5718189192107169E-2</v>
      </c>
      <c r="BN982" s="23">
        <v>7.3955559365675619E-2</v>
      </c>
    </row>
    <row r="983" spans="1:66" x14ac:dyDescent="0.25">
      <c r="A983" s="16">
        <v>27307</v>
      </c>
      <c r="B983" s="16" t="s">
        <v>1177</v>
      </c>
      <c r="C983" s="17">
        <v>0</v>
      </c>
      <c r="D983" s="17">
        <f t="shared" si="564"/>
        <v>0</v>
      </c>
      <c r="E983" s="17">
        <f t="shared" si="565"/>
        <v>0</v>
      </c>
      <c r="F983" s="17">
        <f t="shared" si="566"/>
        <v>0</v>
      </c>
      <c r="G983" s="17">
        <f t="shared" si="567"/>
        <v>0</v>
      </c>
      <c r="H983" s="17">
        <f t="shared" si="568"/>
        <v>0</v>
      </c>
      <c r="I983" s="17">
        <f t="shared" si="569"/>
        <v>0</v>
      </c>
      <c r="J983" s="17">
        <f t="shared" si="570"/>
        <v>0</v>
      </c>
      <c r="K983" s="17">
        <f t="shared" si="571"/>
        <v>0</v>
      </c>
      <c r="L983" s="17">
        <f t="shared" si="572"/>
        <v>0</v>
      </c>
      <c r="M983" s="17">
        <f t="shared" si="573"/>
        <v>0</v>
      </c>
      <c r="N983" s="17">
        <f t="shared" si="574"/>
        <v>0</v>
      </c>
      <c r="O983" s="17">
        <f t="shared" si="575"/>
        <v>0</v>
      </c>
      <c r="P983" s="17">
        <v>1000</v>
      </c>
      <c r="Q983" s="17">
        <f t="shared" si="576"/>
        <v>89.181565948742247</v>
      </c>
      <c r="R983" s="17">
        <f t="shared" si="577"/>
        <v>106.65277883445198</v>
      </c>
      <c r="S983" s="17">
        <f t="shared" si="578"/>
        <v>94.388490848547647</v>
      </c>
      <c r="T983" s="17">
        <f t="shared" si="579"/>
        <v>71.495649868550487</v>
      </c>
      <c r="U983" s="17">
        <f t="shared" si="580"/>
        <v>103.68571810536763</v>
      </c>
      <c r="V983" s="17">
        <f t="shared" si="581"/>
        <v>84.970330952544643</v>
      </c>
      <c r="W983" s="17">
        <f t="shared" si="582"/>
        <v>84.593878877262711</v>
      </c>
      <c r="X983" s="17">
        <f t="shared" si="583"/>
        <v>57.447105462779966</v>
      </c>
      <c r="Y983" s="17">
        <f t="shared" si="584"/>
        <v>85.153852345557468</v>
      </c>
      <c r="Z983" s="17">
        <f t="shared" si="585"/>
        <v>74.158058913035177</v>
      </c>
      <c r="AA983" s="17">
        <f t="shared" si="586"/>
        <v>75.718189192107175</v>
      </c>
      <c r="AB983" s="17">
        <f t="shared" si="587"/>
        <v>73.955559365675626</v>
      </c>
      <c r="AC983" s="17">
        <v>0</v>
      </c>
      <c r="AD983" s="17">
        <f t="shared" si="588"/>
        <v>0</v>
      </c>
      <c r="AE983" s="17">
        <f t="shared" si="589"/>
        <v>0</v>
      </c>
      <c r="AF983" s="17">
        <f t="shared" si="590"/>
        <v>0</v>
      </c>
      <c r="AG983" s="17">
        <f t="shared" si="591"/>
        <v>0</v>
      </c>
      <c r="AH983" s="17">
        <f t="shared" si="592"/>
        <v>0</v>
      </c>
      <c r="AI983" s="17">
        <f t="shared" si="593"/>
        <v>0</v>
      </c>
      <c r="AJ983" s="17">
        <f t="shared" si="594"/>
        <v>0</v>
      </c>
      <c r="AK983" s="17">
        <f t="shared" si="595"/>
        <v>0</v>
      </c>
      <c r="AL983" s="17">
        <f t="shared" si="596"/>
        <v>0</v>
      </c>
      <c r="AM983" s="17">
        <f t="shared" si="597"/>
        <v>0</v>
      </c>
      <c r="AN983" s="17">
        <f t="shared" si="598"/>
        <v>0</v>
      </c>
      <c r="AO983" s="17">
        <f t="shared" si="599"/>
        <v>0</v>
      </c>
      <c r="AP983" s="17">
        <f t="shared" si="600"/>
        <v>1000</v>
      </c>
      <c r="AQ983" s="18">
        <v>102.53383000258792</v>
      </c>
      <c r="AR983" s="18">
        <v>122.62083288154611</v>
      </c>
      <c r="AS983" s="18">
        <v>108.52033569839217</v>
      </c>
      <c r="AT983" s="18">
        <v>82.199978566869859</v>
      </c>
      <c r="AU983" s="18">
        <v>119.20954382010325</v>
      </c>
      <c r="AV983" s="18">
        <v>97.692088902759608</v>
      </c>
      <c r="AW983" s="18">
        <v>97.259274422766453</v>
      </c>
      <c r="AX983" s="18">
        <v>66.048086092667376</v>
      </c>
      <c r="AY983" s="18">
        <v>97.903087118734319</v>
      </c>
      <c r="AZ983" s="18">
        <v>85.261003493494783</v>
      </c>
      <c r="BA983" s="18">
        <v>87.054716477949441</v>
      </c>
      <c r="BB983" s="18">
        <v>85.028185713904563</v>
      </c>
      <c r="BC983" s="23">
        <v>8.9181565948742242E-2</v>
      </c>
      <c r="BD983" s="23">
        <v>0.10665277883445198</v>
      </c>
      <c r="BE983" s="23">
        <v>9.438849084854764E-2</v>
      </c>
      <c r="BF983" s="23">
        <v>7.149564986855049E-2</v>
      </c>
      <c r="BG983" s="23">
        <v>0.10368571810536763</v>
      </c>
      <c r="BH983" s="23">
        <v>8.4970330952544637E-2</v>
      </c>
      <c r="BI983" s="23">
        <v>8.4593878877262704E-2</v>
      </c>
      <c r="BJ983" s="23">
        <v>5.7447105462779965E-2</v>
      </c>
      <c r="BK983" s="23">
        <v>8.5153852345557474E-2</v>
      </c>
      <c r="BL983" s="23">
        <v>7.4158058913035174E-2</v>
      </c>
      <c r="BM983" s="23">
        <v>7.5718189192107169E-2</v>
      </c>
      <c r="BN983" s="23">
        <v>7.3955559365675619E-2</v>
      </c>
    </row>
    <row r="984" spans="1:66" x14ac:dyDescent="0.25">
      <c r="A984" s="16">
        <v>28011</v>
      </c>
      <c r="B984" s="16" t="s">
        <v>1178</v>
      </c>
      <c r="C984" s="17">
        <v>0</v>
      </c>
      <c r="D984" s="17">
        <f t="shared" si="564"/>
        <v>0</v>
      </c>
      <c r="E984" s="17">
        <f t="shared" si="565"/>
        <v>0</v>
      </c>
      <c r="F984" s="17">
        <f t="shared" si="566"/>
        <v>0</v>
      </c>
      <c r="G984" s="17">
        <f t="shared" si="567"/>
        <v>0</v>
      </c>
      <c r="H984" s="17">
        <f t="shared" si="568"/>
        <v>0</v>
      </c>
      <c r="I984" s="17">
        <f t="shared" si="569"/>
        <v>0</v>
      </c>
      <c r="J984" s="17">
        <f t="shared" si="570"/>
        <v>0</v>
      </c>
      <c r="K984" s="17">
        <f t="shared" si="571"/>
        <v>0</v>
      </c>
      <c r="L984" s="17">
        <f t="shared" si="572"/>
        <v>0</v>
      </c>
      <c r="M984" s="17">
        <f t="shared" si="573"/>
        <v>0</v>
      </c>
      <c r="N984" s="17">
        <f t="shared" si="574"/>
        <v>0</v>
      </c>
      <c r="O984" s="17">
        <f t="shared" si="575"/>
        <v>0</v>
      </c>
      <c r="P984" s="17">
        <v>0</v>
      </c>
      <c r="Q984" s="17">
        <f t="shared" si="576"/>
        <v>0</v>
      </c>
      <c r="R984" s="17">
        <f t="shared" si="577"/>
        <v>0</v>
      </c>
      <c r="S984" s="17">
        <f t="shared" si="578"/>
        <v>0</v>
      </c>
      <c r="T984" s="17">
        <f t="shared" si="579"/>
        <v>0</v>
      </c>
      <c r="U984" s="17">
        <f t="shared" si="580"/>
        <v>0</v>
      </c>
      <c r="V984" s="17">
        <f t="shared" si="581"/>
        <v>0</v>
      </c>
      <c r="W984" s="17">
        <f t="shared" si="582"/>
        <v>0</v>
      </c>
      <c r="X984" s="17">
        <f t="shared" si="583"/>
        <v>0</v>
      </c>
      <c r="Y984" s="17">
        <f t="shared" si="584"/>
        <v>0</v>
      </c>
      <c r="Z984" s="17">
        <f t="shared" si="585"/>
        <v>0</v>
      </c>
      <c r="AA984" s="17">
        <f t="shared" si="586"/>
        <v>0</v>
      </c>
      <c r="AB984" s="17">
        <f t="shared" si="587"/>
        <v>0</v>
      </c>
      <c r="AC984" s="17">
        <v>0</v>
      </c>
      <c r="AD984" s="17">
        <f t="shared" si="588"/>
        <v>0</v>
      </c>
      <c r="AE984" s="17">
        <f t="shared" si="589"/>
        <v>0</v>
      </c>
      <c r="AF984" s="17">
        <f t="shared" si="590"/>
        <v>0</v>
      </c>
      <c r="AG984" s="17">
        <f t="shared" si="591"/>
        <v>0</v>
      </c>
      <c r="AH984" s="17">
        <f t="shared" si="592"/>
        <v>0</v>
      </c>
      <c r="AI984" s="17">
        <f t="shared" si="593"/>
        <v>0</v>
      </c>
      <c r="AJ984" s="17">
        <f t="shared" si="594"/>
        <v>0</v>
      </c>
      <c r="AK984" s="17">
        <f t="shared" si="595"/>
        <v>0</v>
      </c>
      <c r="AL984" s="17">
        <f t="shared" si="596"/>
        <v>0</v>
      </c>
      <c r="AM984" s="17">
        <f t="shared" si="597"/>
        <v>0</v>
      </c>
      <c r="AN984" s="17">
        <f t="shared" si="598"/>
        <v>0</v>
      </c>
      <c r="AO984" s="17">
        <f t="shared" si="599"/>
        <v>0</v>
      </c>
      <c r="AP984" s="17">
        <f t="shared" si="600"/>
        <v>0</v>
      </c>
      <c r="AQ984" s="18">
        <v>28.939418150366858</v>
      </c>
      <c r="AR984" s="18">
        <v>34.608826731779672</v>
      </c>
      <c r="AS984" s="18">
        <v>30.629065280353711</v>
      </c>
      <c r="AT984" s="18">
        <v>23.200338382344633</v>
      </c>
      <c r="AU984" s="18">
        <v>33.646015525191793</v>
      </c>
      <c r="AV984" s="18">
        <v>27.572872394100735</v>
      </c>
      <c r="AW984" s="18">
        <v>27.450713695671748</v>
      </c>
      <c r="AX984" s="18">
        <v>18.641585722672097</v>
      </c>
      <c r="AY984" s="18">
        <v>27.632425086133399</v>
      </c>
      <c r="AZ984" s="18">
        <v>24.064290117279914</v>
      </c>
      <c r="BA984" s="18">
        <v>24.570552392838778</v>
      </c>
      <c r="BB984" s="18">
        <v>23.998579014161738</v>
      </c>
      <c r="BC984" s="23">
        <v>8.9181565948742242E-2</v>
      </c>
      <c r="BD984" s="23">
        <v>0.10665277883445198</v>
      </c>
      <c r="BE984" s="23">
        <v>9.438849084854764E-2</v>
      </c>
      <c r="BF984" s="23">
        <v>7.149564986855049E-2</v>
      </c>
      <c r="BG984" s="23">
        <v>0.10368571810536763</v>
      </c>
      <c r="BH984" s="23">
        <v>8.4970330952544637E-2</v>
      </c>
      <c r="BI984" s="23">
        <v>8.4593878877262704E-2</v>
      </c>
      <c r="BJ984" s="23">
        <v>5.7447105462779965E-2</v>
      </c>
      <c r="BK984" s="23">
        <v>8.5153852345557474E-2</v>
      </c>
      <c r="BL984" s="23">
        <v>7.4158058913035174E-2</v>
      </c>
      <c r="BM984" s="23">
        <v>7.5718189192107169E-2</v>
      </c>
      <c r="BN984" s="23">
        <v>7.3955559365675619E-2</v>
      </c>
    </row>
    <row r="985" spans="1:66" x14ac:dyDescent="0.25">
      <c r="A985" s="16">
        <v>29005</v>
      </c>
      <c r="B985" s="16" t="s">
        <v>1179</v>
      </c>
      <c r="C985" s="17">
        <v>0</v>
      </c>
      <c r="D985" s="17">
        <f t="shared" si="564"/>
        <v>0</v>
      </c>
      <c r="E985" s="17">
        <f t="shared" si="565"/>
        <v>0</v>
      </c>
      <c r="F985" s="17">
        <f t="shared" si="566"/>
        <v>0</v>
      </c>
      <c r="G985" s="17">
        <f t="shared" si="567"/>
        <v>0</v>
      </c>
      <c r="H985" s="17">
        <f t="shared" si="568"/>
        <v>0</v>
      </c>
      <c r="I985" s="17">
        <f t="shared" si="569"/>
        <v>0</v>
      </c>
      <c r="J985" s="17">
        <f t="shared" si="570"/>
        <v>0</v>
      </c>
      <c r="K985" s="17">
        <f t="shared" si="571"/>
        <v>0</v>
      </c>
      <c r="L985" s="17">
        <f t="shared" si="572"/>
        <v>0</v>
      </c>
      <c r="M985" s="17">
        <f t="shared" si="573"/>
        <v>0</v>
      </c>
      <c r="N985" s="17">
        <f t="shared" si="574"/>
        <v>0</v>
      </c>
      <c r="O985" s="17">
        <f t="shared" si="575"/>
        <v>0</v>
      </c>
      <c r="P985" s="17">
        <v>0</v>
      </c>
      <c r="Q985" s="17">
        <f t="shared" si="576"/>
        <v>0</v>
      </c>
      <c r="R985" s="17">
        <f t="shared" si="577"/>
        <v>0</v>
      </c>
      <c r="S985" s="17">
        <f t="shared" si="578"/>
        <v>0</v>
      </c>
      <c r="T985" s="17">
        <f t="shared" si="579"/>
        <v>0</v>
      </c>
      <c r="U985" s="17">
        <f t="shared" si="580"/>
        <v>0</v>
      </c>
      <c r="V985" s="17">
        <f t="shared" si="581"/>
        <v>0</v>
      </c>
      <c r="W985" s="17">
        <f t="shared" si="582"/>
        <v>0</v>
      </c>
      <c r="X985" s="17">
        <f t="shared" si="583"/>
        <v>0</v>
      </c>
      <c r="Y985" s="17">
        <f t="shared" si="584"/>
        <v>0</v>
      </c>
      <c r="Z985" s="17">
        <f t="shared" si="585"/>
        <v>0</v>
      </c>
      <c r="AA985" s="17">
        <f t="shared" si="586"/>
        <v>0</v>
      </c>
      <c r="AB985" s="17">
        <f t="shared" si="587"/>
        <v>0</v>
      </c>
      <c r="AC985" s="17">
        <v>0</v>
      </c>
      <c r="AD985" s="17">
        <f t="shared" si="588"/>
        <v>0</v>
      </c>
      <c r="AE985" s="17">
        <f t="shared" si="589"/>
        <v>0</v>
      </c>
      <c r="AF985" s="17">
        <f t="shared" si="590"/>
        <v>0</v>
      </c>
      <c r="AG985" s="17">
        <f t="shared" si="591"/>
        <v>0</v>
      </c>
      <c r="AH985" s="17">
        <f t="shared" si="592"/>
        <v>0</v>
      </c>
      <c r="AI985" s="17">
        <f t="shared" si="593"/>
        <v>0</v>
      </c>
      <c r="AJ985" s="17">
        <f t="shared" si="594"/>
        <v>0</v>
      </c>
      <c r="AK985" s="17">
        <f t="shared" si="595"/>
        <v>0</v>
      </c>
      <c r="AL985" s="17">
        <f t="shared" si="596"/>
        <v>0</v>
      </c>
      <c r="AM985" s="17">
        <f t="shared" si="597"/>
        <v>0</v>
      </c>
      <c r="AN985" s="17">
        <f t="shared" si="598"/>
        <v>0</v>
      </c>
      <c r="AO985" s="17">
        <f t="shared" si="599"/>
        <v>0</v>
      </c>
      <c r="AP985" s="17">
        <f t="shared" si="600"/>
        <v>0</v>
      </c>
      <c r="AQ985" s="18">
        <v>0</v>
      </c>
      <c r="AR985" s="18">
        <v>0</v>
      </c>
      <c r="AS985" s="18">
        <v>0</v>
      </c>
      <c r="AT985" s="18">
        <v>0</v>
      </c>
      <c r="AU985" s="18">
        <v>0</v>
      </c>
      <c r="AV985" s="18">
        <v>0</v>
      </c>
      <c r="AW985" s="18">
        <v>0</v>
      </c>
      <c r="AX985" s="18">
        <v>0</v>
      </c>
      <c r="AY985" s="18">
        <v>0</v>
      </c>
      <c r="AZ985" s="18">
        <v>0</v>
      </c>
      <c r="BA985" s="18">
        <v>0</v>
      </c>
      <c r="BB985" s="18">
        <v>0</v>
      </c>
      <c r="BC985" s="23">
        <v>8.9181565948742242E-2</v>
      </c>
      <c r="BD985" s="23">
        <v>0.10665277883445198</v>
      </c>
      <c r="BE985" s="23">
        <v>9.438849084854764E-2</v>
      </c>
      <c r="BF985" s="23">
        <v>7.149564986855049E-2</v>
      </c>
      <c r="BG985" s="23">
        <v>0.10368571810536763</v>
      </c>
      <c r="BH985" s="23">
        <v>8.4970330952544637E-2</v>
      </c>
      <c r="BI985" s="23">
        <v>8.4593878877262704E-2</v>
      </c>
      <c r="BJ985" s="23">
        <v>5.7447105462779965E-2</v>
      </c>
      <c r="BK985" s="23">
        <v>8.5153852345557474E-2</v>
      </c>
      <c r="BL985" s="23">
        <v>7.4158058913035174E-2</v>
      </c>
      <c r="BM985" s="23">
        <v>7.5718189192107169E-2</v>
      </c>
      <c r="BN985" s="23">
        <v>7.3955559365675619E-2</v>
      </c>
    </row>
    <row r="986" spans="1:66" x14ac:dyDescent="0.25">
      <c r="A986" s="16">
        <v>29310</v>
      </c>
      <c r="B986" s="16" t="s">
        <v>1180</v>
      </c>
      <c r="C986" s="17">
        <v>0</v>
      </c>
      <c r="D986" s="17">
        <f t="shared" si="564"/>
        <v>0</v>
      </c>
      <c r="E986" s="17">
        <f t="shared" si="565"/>
        <v>0</v>
      </c>
      <c r="F986" s="17">
        <f t="shared" si="566"/>
        <v>0</v>
      </c>
      <c r="G986" s="17">
        <f t="shared" si="567"/>
        <v>0</v>
      </c>
      <c r="H986" s="17">
        <f t="shared" si="568"/>
        <v>0</v>
      </c>
      <c r="I986" s="17">
        <f t="shared" si="569"/>
        <v>0</v>
      </c>
      <c r="J986" s="17">
        <f t="shared" si="570"/>
        <v>0</v>
      </c>
      <c r="K986" s="17">
        <f t="shared" si="571"/>
        <v>0</v>
      </c>
      <c r="L986" s="17">
        <f t="shared" si="572"/>
        <v>0</v>
      </c>
      <c r="M986" s="17">
        <f t="shared" si="573"/>
        <v>0</v>
      </c>
      <c r="N986" s="17">
        <f t="shared" si="574"/>
        <v>0</v>
      </c>
      <c r="O986" s="17">
        <f t="shared" si="575"/>
        <v>0</v>
      </c>
      <c r="P986" s="17">
        <v>0</v>
      </c>
      <c r="Q986" s="17">
        <f t="shared" si="576"/>
        <v>0</v>
      </c>
      <c r="R986" s="17">
        <f t="shared" si="577"/>
        <v>0</v>
      </c>
      <c r="S986" s="17">
        <f t="shared" si="578"/>
        <v>0</v>
      </c>
      <c r="T986" s="17">
        <f t="shared" si="579"/>
        <v>0</v>
      </c>
      <c r="U986" s="17">
        <f t="shared" si="580"/>
        <v>0</v>
      </c>
      <c r="V986" s="17">
        <f t="shared" si="581"/>
        <v>0</v>
      </c>
      <c r="W986" s="17">
        <f t="shared" si="582"/>
        <v>0</v>
      </c>
      <c r="X986" s="17">
        <f t="shared" si="583"/>
        <v>0</v>
      </c>
      <c r="Y986" s="17">
        <f t="shared" si="584"/>
        <v>0</v>
      </c>
      <c r="Z986" s="17">
        <f t="shared" si="585"/>
        <v>0</v>
      </c>
      <c r="AA986" s="17">
        <f t="shared" si="586"/>
        <v>0</v>
      </c>
      <c r="AB986" s="17">
        <f t="shared" si="587"/>
        <v>0</v>
      </c>
      <c r="AC986" s="17">
        <v>0</v>
      </c>
      <c r="AD986" s="17">
        <f t="shared" si="588"/>
        <v>0</v>
      </c>
      <c r="AE986" s="17">
        <f t="shared" si="589"/>
        <v>0</v>
      </c>
      <c r="AF986" s="17">
        <f t="shared" si="590"/>
        <v>0</v>
      </c>
      <c r="AG986" s="17">
        <f t="shared" si="591"/>
        <v>0</v>
      </c>
      <c r="AH986" s="17">
        <f t="shared" si="592"/>
        <v>0</v>
      </c>
      <c r="AI986" s="17">
        <f t="shared" si="593"/>
        <v>0</v>
      </c>
      <c r="AJ986" s="17">
        <f t="shared" si="594"/>
        <v>0</v>
      </c>
      <c r="AK986" s="17">
        <f t="shared" si="595"/>
        <v>0</v>
      </c>
      <c r="AL986" s="17">
        <f t="shared" si="596"/>
        <v>0</v>
      </c>
      <c r="AM986" s="17">
        <f t="shared" si="597"/>
        <v>0</v>
      </c>
      <c r="AN986" s="17">
        <f t="shared" si="598"/>
        <v>0</v>
      </c>
      <c r="AO986" s="17">
        <f t="shared" si="599"/>
        <v>0</v>
      </c>
      <c r="AP986" s="17">
        <f t="shared" si="600"/>
        <v>0</v>
      </c>
      <c r="AQ986" s="18">
        <v>0</v>
      </c>
      <c r="AR986" s="18">
        <v>0</v>
      </c>
      <c r="AS986" s="18">
        <v>0</v>
      </c>
      <c r="AT986" s="18">
        <v>0</v>
      </c>
      <c r="AU986" s="18">
        <v>0</v>
      </c>
      <c r="AV986" s="18">
        <v>0</v>
      </c>
      <c r="AW986" s="18">
        <v>0</v>
      </c>
      <c r="AX986" s="18">
        <v>0</v>
      </c>
      <c r="AY986" s="18">
        <v>0</v>
      </c>
      <c r="AZ986" s="18">
        <v>0</v>
      </c>
      <c r="BA986" s="18">
        <v>0</v>
      </c>
      <c r="BB986" s="18">
        <v>0</v>
      </c>
      <c r="BC986" s="23">
        <v>8.9181565948742242E-2</v>
      </c>
      <c r="BD986" s="23">
        <v>0.10665277883445198</v>
      </c>
      <c r="BE986" s="23">
        <v>9.438849084854764E-2</v>
      </c>
      <c r="BF986" s="23">
        <v>7.149564986855049E-2</v>
      </c>
      <c r="BG986" s="23">
        <v>0.10368571810536763</v>
      </c>
      <c r="BH986" s="23">
        <v>8.4970330952544637E-2</v>
      </c>
      <c r="BI986" s="23">
        <v>8.4593878877262704E-2</v>
      </c>
      <c r="BJ986" s="23">
        <v>5.7447105462779965E-2</v>
      </c>
      <c r="BK986" s="23">
        <v>8.5153852345557474E-2</v>
      </c>
      <c r="BL986" s="23">
        <v>7.4158058913035174E-2</v>
      </c>
      <c r="BM986" s="23">
        <v>7.5718189192107169E-2</v>
      </c>
      <c r="BN986" s="23">
        <v>7.3955559365675619E-2</v>
      </c>
    </row>
    <row r="987" spans="1:66" x14ac:dyDescent="0.25">
      <c r="A987" s="16">
        <v>29539</v>
      </c>
      <c r="B987" s="16" t="s">
        <v>1181</v>
      </c>
      <c r="C987" s="17">
        <v>0</v>
      </c>
      <c r="D987" s="17">
        <f t="shared" si="564"/>
        <v>0</v>
      </c>
      <c r="E987" s="17">
        <f t="shared" si="565"/>
        <v>0</v>
      </c>
      <c r="F987" s="17">
        <f t="shared" si="566"/>
        <v>0</v>
      </c>
      <c r="G987" s="17">
        <f t="shared" si="567"/>
        <v>0</v>
      </c>
      <c r="H987" s="17">
        <f t="shared" si="568"/>
        <v>0</v>
      </c>
      <c r="I987" s="17">
        <f t="shared" si="569"/>
        <v>0</v>
      </c>
      <c r="J987" s="17">
        <f t="shared" si="570"/>
        <v>0</v>
      </c>
      <c r="K987" s="17">
        <f t="shared" si="571"/>
        <v>0</v>
      </c>
      <c r="L987" s="17">
        <f t="shared" si="572"/>
        <v>0</v>
      </c>
      <c r="M987" s="17">
        <f t="shared" si="573"/>
        <v>0</v>
      </c>
      <c r="N987" s="17">
        <f t="shared" si="574"/>
        <v>0</v>
      </c>
      <c r="O987" s="17">
        <f t="shared" si="575"/>
        <v>0</v>
      </c>
      <c r="P987" s="17">
        <v>0</v>
      </c>
      <c r="Q987" s="17">
        <f t="shared" si="576"/>
        <v>0</v>
      </c>
      <c r="R987" s="17">
        <f t="shared" si="577"/>
        <v>0</v>
      </c>
      <c r="S987" s="17">
        <f t="shared" si="578"/>
        <v>0</v>
      </c>
      <c r="T987" s="17">
        <f t="shared" si="579"/>
        <v>0</v>
      </c>
      <c r="U987" s="17">
        <f t="shared" si="580"/>
        <v>0</v>
      </c>
      <c r="V987" s="17">
        <f t="shared" si="581"/>
        <v>0</v>
      </c>
      <c r="W987" s="17">
        <f t="shared" si="582"/>
        <v>0</v>
      </c>
      <c r="X987" s="17">
        <f t="shared" si="583"/>
        <v>0</v>
      </c>
      <c r="Y987" s="17">
        <f t="shared" si="584"/>
        <v>0</v>
      </c>
      <c r="Z987" s="17">
        <f t="shared" si="585"/>
        <v>0</v>
      </c>
      <c r="AA987" s="17">
        <f t="shared" si="586"/>
        <v>0</v>
      </c>
      <c r="AB987" s="17">
        <f t="shared" si="587"/>
        <v>0</v>
      </c>
      <c r="AC987" s="17">
        <v>0</v>
      </c>
      <c r="AD987" s="17">
        <f t="shared" si="588"/>
        <v>0</v>
      </c>
      <c r="AE987" s="17">
        <f t="shared" si="589"/>
        <v>0</v>
      </c>
      <c r="AF987" s="17">
        <f t="shared" si="590"/>
        <v>0</v>
      </c>
      <c r="AG987" s="17">
        <f t="shared" si="591"/>
        <v>0</v>
      </c>
      <c r="AH987" s="17">
        <f t="shared" si="592"/>
        <v>0</v>
      </c>
      <c r="AI987" s="17">
        <f t="shared" si="593"/>
        <v>0</v>
      </c>
      <c r="AJ987" s="17">
        <f t="shared" si="594"/>
        <v>0</v>
      </c>
      <c r="AK987" s="17">
        <f t="shared" si="595"/>
        <v>0</v>
      </c>
      <c r="AL987" s="17">
        <f t="shared" si="596"/>
        <v>0</v>
      </c>
      <c r="AM987" s="17">
        <f t="shared" si="597"/>
        <v>0</v>
      </c>
      <c r="AN987" s="17">
        <f t="shared" si="598"/>
        <v>0</v>
      </c>
      <c r="AO987" s="17">
        <f t="shared" si="599"/>
        <v>0</v>
      </c>
      <c r="AP987" s="17">
        <f t="shared" si="600"/>
        <v>0</v>
      </c>
      <c r="AQ987" s="18">
        <v>18.638947283287131</v>
      </c>
      <c r="AR987" s="18">
        <v>22.290430776400466</v>
      </c>
      <c r="AS987" s="18">
        <v>19.72719458734646</v>
      </c>
      <c r="AT987" s="18">
        <v>14.942590822527054</v>
      </c>
      <c r="AU987" s="18">
        <v>21.670315084021837</v>
      </c>
      <c r="AV987" s="18">
        <v>17.758799169081833</v>
      </c>
      <c r="AW987" s="18">
        <v>17.680120685347909</v>
      </c>
      <c r="AX987" s="18">
        <v>12.006445041721014</v>
      </c>
      <c r="AY987" s="18">
        <v>17.797155140221513</v>
      </c>
      <c r="AZ987" s="18">
        <v>15.499034312824353</v>
      </c>
      <c r="BA987" s="18">
        <v>15.825101541150401</v>
      </c>
      <c r="BB987" s="18">
        <v>15.456711907426206</v>
      </c>
      <c r="BC987" s="23">
        <v>8.9181565948742242E-2</v>
      </c>
      <c r="BD987" s="23">
        <v>0.10665277883445198</v>
      </c>
      <c r="BE987" s="23">
        <v>9.438849084854764E-2</v>
      </c>
      <c r="BF987" s="23">
        <v>7.149564986855049E-2</v>
      </c>
      <c r="BG987" s="23">
        <v>0.10368571810536763</v>
      </c>
      <c r="BH987" s="23">
        <v>8.4970330952544637E-2</v>
      </c>
      <c r="BI987" s="23">
        <v>8.4593878877262704E-2</v>
      </c>
      <c r="BJ987" s="23">
        <v>5.7447105462779965E-2</v>
      </c>
      <c r="BK987" s="23">
        <v>8.5153852345557474E-2</v>
      </c>
      <c r="BL987" s="23">
        <v>7.4158058913035174E-2</v>
      </c>
      <c r="BM987" s="23">
        <v>7.5718189192107169E-2</v>
      </c>
      <c r="BN987" s="23">
        <v>7.3955559365675619E-2</v>
      </c>
    </row>
    <row r="988" spans="1:66" x14ac:dyDescent="0.25">
      <c r="A988" s="16">
        <v>31006</v>
      </c>
      <c r="B988" s="16" t="s">
        <v>1182</v>
      </c>
      <c r="C988" s="17">
        <v>0</v>
      </c>
      <c r="D988" s="17">
        <f t="shared" si="564"/>
        <v>0</v>
      </c>
      <c r="E988" s="17">
        <f t="shared" si="565"/>
        <v>0</v>
      </c>
      <c r="F988" s="17">
        <f t="shared" si="566"/>
        <v>0</v>
      </c>
      <c r="G988" s="17">
        <f t="shared" si="567"/>
        <v>0</v>
      </c>
      <c r="H988" s="17">
        <f t="shared" si="568"/>
        <v>0</v>
      </c>
      <c r="I988" s="17">
        <f t="shared" si="569"/>
        <v>0</v>
      </c>
      <c r="J988" s="17">
        <f t="shared" si="570"/>
        <v>0</v>
      </c>
      <c r="K988" s="17">
        <f t="shared" si="571"/>
        <v>0</v>
      </c>
      <c r="L988" s="17">
        <f t="shared" si="572"/>
        <v>0</v>
      </c>
      <c r="M988" s="17">
        <f t="shared" si="573"/>
        <v>0</v>
      </c>
      <c r="N988" s="17">
        <f t="shared" si="574"/>
        <v>0</v>
      </c>
      <c r="O988" s="17">
        <f t="shared" si="575"/>
        <v>0</v>
      </c>
      <c r="P988" s="17">
        <v>0</v>
      </c>
      <c r="Q988" s="17">
        <f t="shared" si="576"/>
        <v>0</v>
      </c>
      <c r="R988" s="17">
        <f t="shared" si="577"/>
        <v>0</v>
      </c>
      <c r="S988" s="17">
        <f t="shared" si="578"/>
        <v>0</v>
      </c>
      <c r="T988" s="17">
        <f t="shared" si="579"/>
        <v>0</v>
      </c>
      <c r="U988" s="17">
        <f t="shared" si="580"/>
        <v>0</v>
      </c>
      <c r="V988" s="17">
        <f t="shared" si="581"/>
        <v>0</v>
      </c>
      <c r="W988" s="17">
        <f t="shared" si="582"/>
        <v>0</v>
      </c>
      <c r="X988" s="17">
        <f t="shared" si="583"/>
        <v>0</v>
      </c>
      <c r="Y988" s="17">
        <f t="shared" si="584"/>
        <v>0</v>
      </c>
      <c r="Z988" s="17">
        <f t="shared" si="585"/>
        <v>0</v>
      </c>
      <c r="AA988" s="17">
        <f t="shared" si="586"/>
        <v>0</v>
      </c>
      <c r="AB988" s="17">
        <f t="shared" si="587"/>
        <v>0</v>
      </c>
      <c r="AC988" s="17">
        <v>0</v>
      </c>
      <c r="AD988" s="17">
        <f t="shared" si="588"/>
        <v>0</v>
      </c>
      <c r="AE988" s="17">
        <f t="shared" si="589"/>
        <v>0</v>
      </c>
      <c r="AF988" s="17">
        <f t="shared" si="590"/>
        <v>0</v>
      </c>
      <c r="AG988" s="17">
        <f t="shared" si="591"/>
        <v>0</v>
      </c>
      <c r="AH988" s="17">
        <f t="shared" si="592"/>
        <v>0</v>
      </c>
      <c r="AI988" s="17">
        <f t="shared" si="593"/>
        <v>0</v>
      </c>
      <c r="AJ988" s="17">
        <f t="shared" si="594"/>
        <v>0</v>
      </c>
      <c r="AK988" s="17">
        <f t="shared" si="595"/>
        <v>0</v>
      </c>
      <c r="AL988" s="17">
        <f t="shared" si="596"/>
        <v>0</v>
      </c>
      <c r="AM988" s="17">
        <f t="shared" si="597"/>
        <v>0</v>
      </c>
      <c r="AN988" s="17">
        <f t="shared" si="598"/>
        <v>0</v>
      </c>
      <c r="AO988" s="17">
        <f t="shared" si="599"/>
        <v>0</v>
      </c>
      <c r="AP988" s="17">
        <f t="shared" si="600"/>
        <v>0</v>
      </c>
      <c r="AQ988" s="18">
        <v>0</v>
      </c>
      <c r="AR988" s="18">
        <v>0</v>
      </c>
      <c r="AS988" s="18">
        <v>0</v>
      </c>
      <c r="AT988" s="18">
        <v>0</v>
      </c>
      <c r="AU988" s="18">
        <v>0</v>
      </c>
      <c r="AV988" s="18">
        <v>0</v>
      </c>
      <c r="AW988" s="18">
        <v>0</v>
      </c>
      <c r="AX988" s="18">
        <v>0</v>
      </c>
      <c r="AY988" s="18">
        <v>0</v>
      </c>
      <c r="AZ988" s="18">
        <v>0</v>
      </c>
      <c r="BA988" s="18">
        <v>0</v>
      </c>
      <c r="BB988" s="18">
        <v>0</v>
      </c>
      <c r="BC988" s="23">
        <v>8.9181565948742242E-2</v>
      </c>
      <c r="BD988" s="23">
        <v>0.10665277883445198</v>
      </c>
      <c r="BE988" s="23">
        <v>9.438849084854764E-2</v>
      </c>
      <c r="BF988" s="23">
        <v>7.149564986855049E-2</v>
      </c>
      <c r="BG988" s="23">
        <v>0.10368571810536763</v>
      </c>
      <c r="BH988" s="23">
        <v>8.4970330952544637E-2</v>
      </c>
      <c r="BI988" s="23">
        <v>8.4593878877262704E-2</v>
      </c>
      <c r="BJ988" s="23">
        <v>5.7447105462779965E-2</v>
      </c>
      <c r="BK988" s="23">
        <v>8.5153852345557474E-2</v>
      </c>
      <c r="BL988" s="23">
        <v>7.4158058913035174E-2</v>
      </c>
      <c r="BM988" s="23">
        <v>7.5718189192107169E-2</v>
      </c>
      <c r="BN988" s="23">
        <v>7.3955559365675619E-2</v>
      </c>
    </row>
    <row r="989" spans="1:66" x14ac:dyDescent="0.25">
      <c r="A989" s="16">
        <v>31406</v>
      </c>
      <c r="B989" s="16" t="s">
        <v>1183</v>
      </c>
      <c r="C989" s="17">
        <v>0</v>
      </c>
      <c r="D989" s="17">
        <f t="shared" si="564"/>
        <v>0</v>
      </c>
      <c r="E989" s="17">
        <f t="shared" si="565"/>
        <v>0</v>
      </c>
      <c r="F989" s="17">
        <f t="shared" si="566"/>
        <v>0</v>
      </c>
      <c r="G989" s="17">
        <f t="shared" si="567"/>
        <v>0</v>
      </c>
      <c r="H989" s="17">
        <f t="shared" si="568"/>
        <v>0</v>
      </c>
      <c r="I989" s="17">
        <f t="shared" si="569"/>
        <v>0</v>
      </c>
      <c r="J989" s="17">
        <f t="shared" si="570"/>
        <v>0</v>
      </c>
      <c r="K989" s="17">
        <f t="shared" si="571"/>
        <v>0</v>
      </c>
      <c r="L989" s="17">
        <f t="shared" si="572"/>
        <v>0</v>
      </c>
      <c r="M989" s="17">
        <f t="shared" si="573"/>
        <v>0</v>
      </c>
      <c r="N989" s="17">
        <f t="shared" si="574"/>
        <v>0</v>
      </c>
      <c r="O989" s="17">
        <f t="shared" si="575"/>
        <v>0</v>
      </c>
      <c r="P989" s="17">
        <v>0</v>
      </c>
      <c r="Q989" s="17">
        <f t="shared" si="576"/>
        <v>0</v>
      </c>
      <c r="R989" s="17">
        <f t="shared" si="577"/>
        <v>0</v>
      </c>
      <c r="S989" s="17">
        <f t="shared" si="578"/>
        <v>0</v>
      </c>
      <c r="T989" s="17">
        <f t="shared" si="579"/>
        <v>0</v>
      </c>
      <c r="U989" s="17">
        <f t="shared" si="580"/>
        <v>0</v>
      </c>
      <c r="V989" s="17">
        <f t="shared" si="581"/>
        <v>0</v>
      </c>
      <c r="W989" s="17">
        <f t="shared" si="582"/>
        <v>0</v>
      </c>
      <c r="X989" s="17">
        <f t="shared" si="583"/>
        <v>0</v>
      </c>
      <c r="Y989" s="17">
        <f t="shared" si="584"/>
        <v>0</v>
      </c>
      <c r="Z989" s="17">
        <f t="shared" si="585"/>
        <v>0</v>
      </c>
      <c r="AA989" s="17">
        <f t="shared" si="586"/>
        <v>0</v>
      </c>
      <c r="AB989" s="17">
        <f t="shared" si="587"/>
        <v>0</v>
      </c>
      <c r="AC989" s="17">
        <v>0</v>
      </c>
      <c r="AD989" s="17">
        <f t="shared" si="588"/>
        <v>0</v>
      </c>
      <c r="AE989" s="17">
        <f t="shared" si="589"/>
        <v>0</v>
      </c>
      <c r="AF989" s="17">
        <f t="shared" si="590"/>
        <v>0</v>
      </c>
      <c r="AG989" s="17">
        <f t="shared" si="591"/>
        <v>0</v>
      </c>
      <c r="AH989" s="17">
        <f t="shared" si="592"/>
        <v>0</v>
      </c>
      <c r="AI989" s="17">
        <f t="shared" si="593"/>
        <v>0</v>
      </c>
      <c r="AJ989" s="17">
        <f t="shared" si="594"/>
        <v>0</v>
      </c>
      <c r="AK989" s="17">
        <f t="shared" si="595"/>
        <v>0</v>
      </c>
      <c r="AL989" s="17">
        <f t="shared" si="596"/>
        <v>0</v>
      </c>
      <c r="AM989" s="17">
        <f t="shared" si="597"/>
        <v>0</v>
      </c>
      <c r="AN989" s="17">
        <f t="shared" si="598"/>
        <v>0</v>
      </c>
      <c r="AO989" s="17">
        <f t="shared" si="599"/>
        <v>0</v>
      </c>
      <c r="AP989" s="17">
        <f t="shared" si="600"/>
        <v>0</v>
      </c>
      <c r="AQ989" s="18">
        <v>0</v>
      </c>
      <c r="AR989" s="18">
        <v>0</v>
      </c>
      <c r="AS989" s="18">
        <v>0</v>
      </c>
      <c r="AT989" s="18">
        <v>0</v>
      </c>
      <c r="AU989" s="18">
        <v>0</v>
      </c>
      <c r="AV989" s="18">
        <v>0</v>
      </c>
      <c r="AW989" s="18">
        <v>0</v>
      </c>
      <c r="AX989" s="18">
        <v>0</v>
      </c>
      <c r="AY989" s="18">
        <v>0</v>
      </c>
      <c r="AZ989" s="18">
        <v>0</v>
      </c>
      <c r="BA989" s="18">
        <v>0</v>
      </c>
      <c r="BB989" s="18">
        <v>0</v>
      </c>
      <c r="BC989" s="23">
        <v>8.9181565948742242E-2</v>
      </c>
      <c r="BD989" s="23">
        <v>0.10665277883445198</v>
      </c>
      <c r="BE989" s="23">
        <v>9.438849084854764E-2</v>
      </c>
      <c r="BF989" s="23">
        <v>7.149564986855049E-2</v>
      </c>
      <c r="BG989" s="23">
        <v>0.10368571810536763</v>
      </c>
      <c r="BH989" s="23">
        <v>8.4970330952544637E-2</v>
      </c>
      <c r="BI989" s="23">
        <v>8.4593878877262704E-2</v>
      </c>
      <c r="BJ989" s="23">
        <v>5.7447105462779965E-2</v>
      </c>
      <c r="BK989" s="23">
        <v>8.5153852345557474E-2</v>
      </c>
      <c r="BL989" s="23">
        <v>7.4158058913035174E-2</v>
      </c>
      <c r="BM989" s="23">
        <v>7.5718189192107169E-2</v>
      </c>
      <c r="BN989" s="23">
        <v>7.3955559365675619E-2</v>
      </c>
    </row>
    <row r="990" spans="1:66" x14ac:dyDescent="0.25">
      <c r="A990" s="16">
        <v>32803</v>
      </c>
      <c r="B990" s="16" t="s">
        <v>1184</v>
      </c>
      <c r="C990" s="17">
        <v>0</v>
      </c>
      <c r="D990" s="17">
        <f t="shared" si="564"/>
        <v>0</v>
      </c>
      <c r="E990" s="17">
        <f t="shared" si="565"/>
        <v>0</v>
      </c>
      <c r="F990" s="17">
        <f t="shared" si="566"/>
        <v>0</v>
      </c>
      <c r="G990" s="17">
        <f t="shared" si="567"/>
        <v>0</v>
      </c>
      <c r="H990" s="17">
        <f t="shared" si="568"/>
        <v>0</v>
      </c>
      <c r="I990" s="17">
        <f t="shared" si="569"/>
        <v>0</v>
      </c>
      <c r="J990" s="17">
        <f t="shared" si="570"/>
        <v>0</v>
      </c>
      <c r="K990" s="17">
        <f t="shared" si="571"/>
        <v>0</v>
      </c>
      <c r="L990" s="17">
        <f t="shared" si="572"/>
        <v>0</v>
      </c>
      <c r="M990" s="17">
        <f t="shared" si="573"/>
        <v>0</v>
      </c>
      <c r="N990" s="17">
        <f t="shared" si="574"/>
        <v>0</v>
      </c>
      <c r="O990" s="17">
        <f t="shared" si="575"/>
        <v>0</v>
      </c>
      <c r="P990" s="17">
        <v>0</v>
      </c>
      <c r="Q990" s="17">
        <f t="shared" si="576"/>
        <v>0</v>
      </c>
      <c r="R990" s="17">
        <f t="shared" si="577"/>
        <v>0</v>
      </c>
      <c r="S990" s="17">
        <f t="shared" si="578"/>
        <v>0</v>
      </c>
      <c r="T990" s="17">
        <f t="shared" si="579"/>
        <v>0</v>
      </c>
      <c r="U990" s="17">
        <f t="shared" si="580"/>
        <v>0</v>
      </c>
      <c r="V990" s="17">
        <f t="shared" si="581"/>
        <v>0</v>
      </c>
      <c r="W990" s="17">
        <f t="shared" si="582"/>
        <v>0</v>
      </c>
      <c r="X990" s="17">
        <f t="shared" si="583"/>
        <v>0</v>
      </c>
      <c r="Y990" s="17">
        <f t="shared" si="584"/>
        <v>0</v>
      </c>
      <c r="Z990" s="17">
        <f t="shared" si="585"/>
        <v>0</v>
      </c>
      <c r="AA990" s="17">
        <f t="shared" si="586"/>
        <v>0</v>
      </c>
      <c r="AB990" s="17">
        <f t="shared" si="587"/>
        <v>0</v>
      </c>
      <c r="AC990" s="17">
        <v>0</v>
      </c>
      <c r="AD990" s="17">
        <f t="shared" si="588"/>
        <v>0</v>
      </c>
      <c r="AE990" s="17">
        <f t="shared" si="589"/>
        <v>0</v>
      </c>
      <c r="AF990" s="17">
        <f t="shared" si="590"/>
        <v>0</v>
      </c>
      <c r="AG990" s="17">
        <f t="shared" si="591"/>
        <v>0</v>
      </c>
      <c r="AH990" s="17">
        <f t="shared" si="592"/>
        <v>0</v>
      </c>
      <c r="AI990" s="17">
        <f t="shared" si="593"/>
        <v>0</v>
      </c>
      <c r="AJ990" s="17">
        <f t="shared" si="594"/>
        <v>0</v>
      </c>
      <c r="AK990" s="17">
        <f t="shared" si="595"/>
        <v>0</v>
      </c>
      <c r="AL990" s="17">
        <f t="shared" si="596"/>
        <v>0</v>
      </c>
      <c r="AM990" s="17">
        <f t="shared" si="597"/>
        <v>0</v>
      </c>
      <c r="AN990" s="17">
        <f t="shared" si="598"/>
        <v>0</v>
      </c>
      <c r="AO990" s="17">
        <f t="shared" si="599"/>
        <v>0</v>
      </c>
      <c r="AP990" s="17">
        <f t="shared" si="600"/>
        <v>0</v>
      </c>
      <c r="AQ990" s="18">
        <v>0</v>
      </c>
      <c r="AR990" s="18">
        <v>0</v>
      </c>
      <c r="AS990" s="18">
        <v>0</v>
      </c>
      <c r="AT990" s="18">
        <v>0</v>
      </c>
      <c r="AU990" s="18">
        <v>0</v>
      </c>
      <c r="AV990" s="18">
        <v>0</v>
      </c>
      <c r="AW990" s="18">
        <v>0</v>
      </c>
      <c r="AX990" s="18">
        <v>0</v>
      </c>
      <c r="AY990" s="18">
        <v>0</v>
      </c>
      <c r="AZ990" s="18">
        <v>0</v>
      </c>
      <c r="BA990" s="18">
        <v>0</v>
      </c>
      <c r="BB990" s="18">
        <v>0</v>
      </c>
      <c r="BC990" s="23">
        <v>8.9181565948742242E-2</v>
      </c>
      <c r="BD990" s="23">
        <v>0.10665277883445198</v>
      </c>
      <c r="BE990" s="23">
        <v>9.438849084854764E-2</v>
      </c>
      <c r="BF990" s="23">
        <v>7.149564986855049E-2</v>
      </c>
      <c r="BG990" s="23">
        <v>0.10368571810536763</v>
      </c>
      <c r="BH990" s="23">
        <v>8.4970330952544637E-2</v>
      </c>
      <c r="BI990" s="23">
        <v>8.4593878877262704E-2</v>
      </c>
      <c r="BJ990" s="23">
        <v>5.7447105462779965E-2</v>
      </c>
      <c r="BK990" s="23">
        <v>8.5153852345557474E-2</v>
      </c>
      <c r="BL990" s="23">
        <v>7.4158058913035174E-2</v>
      </c>
      <c r="BM990" s="23">
        <v>7.5718189192107169E-2</v>
      </c>
      <c r="BN990" s="23">
        <v>7.3955559365675619E-2</v>
      </c>
    </row>
    <row r="991" spans="1:66" x14ac:dyDescent="0.25">
      <c r="A991" s="16">
        <v>33306</v>
      </c>
      <c r="B991" s="16" t="s">
        <v>1185</v>
      </c>
      <c r="C991" s="17">
        <v>0</v>
      </c>
      <c r="D991" s="17">
        <f t="shared" si="564"/>
        <v>0</v>
      </c>
      <c r="E991" s="17">
        <f t="shared" si="565"/>
        <v>0</v>
      </c>
      <c r="F991" s="17">
        <f t="shared" si="566"/>
        <v>0</v>
      </c>
      <c r="G991" s="17">
        <f t="shared" si="567"/>
        <v>0</v>
      </c>
      <c r="H991" s="17">
        <f t="shared" si="568"/>
        <v>0</v>
      </c>
      <c r="I991" s="17">
        <f t="shared" si="569"/>
        <v>0</v>
      </c>
      <c r="J991" s="17">
        <f t="shared" si="570"/>
        <v>0</v>
      </c>
      <c r="K991" s="17">
        <f t="shared" si="571"/>
        <v>0</v>
      </c>
      <c r="L991" s="17">
        <f t="shared" si="572"/>
        <v>0</v>
      </c>
      <c r="M991" s="17">
        <f t="shared" si="573"/>
        <v>0</v>
      </c>
      <c r="N991" s="17">
        <f t="shared" si="574"/>
        <v>0</v>
      </c>
      <c r="O991" s="17">
        <f t="shared" si="575"/>
        <v>0</v>
      </c>
      <c r="P991" s="17">
        <v>0</v>
      </c>
      <c r="Q991" s="17">
        <f t="shared" si="576"/>
        <v>0</v>
      </c>
      <c r="R991" s="17">
        <f t="shared" si="577"/>
        <v>0</v>
      </c>
      <c r="S991" s="17">
        <f t="shared" si="578"/>
        <v>0</v>
      </c>
      <c r="T991" s="17">
        <f t="shared" si="579"/>
        <v>0</v>
      </c>
      <c r="U991" s="17">
        <f t="shared" si="580"/>
        <v>0</v>
      </c>
      <c r="V991" s="17">
        <f t="shared" si="581"/>
        <v>0</v>
      </c>
      <c r="W991" s="17">
        <f t="shared" si="582"/>
        <v>0</v>
      </c>
      <c r="X991" s="17">
        <f t="shared" si="583"/>
        <v>0</v>
      </c>
      <c r="Y991" s="17">
        <f t="shared" si="584"/>
        <v>0</v>
      </c>
      <c r="Z991" s="17">
        <f t="shared" si="585"/>
        <v>0</v>
      </c>
      <c r="AA991" s="17">
        <f t="shared" si="586"/>
        <v>0</v>
      </c>
      <c r="AB991" s="17">
        <f t="shared" si="587"/>
        <v>0</v>
      </c>
      <c r="AC991" s="17">
        <v>500</v>
      </c>
      <c r="AD991" s="17">
        <f t="shared" si="588"/>
        <v>44.590782974371123</v>
      </c>
      <c r="AE991" s="17">
        <f t="shared" si="589"/>
        <v>53.32638941722599</v>
      </c>
      <c r="AF991" s="17">
        <f t="shared" si="590"/>
        <v>47.194245424273824</v>
      </c>
      <c r="AG991" s="17">
        <f t="shared" si="591"/>
        <v>35.747824934275243</v>
      </c>
      <c r="AH991" s="17">
        <f t="shared" si="592"/>
        <v>51.842859052683814</v>
      </c>
      <c r="AI991" s="17">
        <f t="shared" si="593"/>
        <v>42.485165476272321</v>
      </c>
      <c r="AJ991" s="17">
        <f t="shared" si="594"/>
        <v>42.296939438631355</v>
      </c>
      <c r="AK991" s="17">
        <f t="shared" si="595"/>
        <v>28.723552731389983</v>
      </c>
      <c r="AL991" s="17">
        <f t="shared" si="596"/>
        <v>42.576926172778734</v>
      </c>
      <c r="AM991" s="17">
        <f t="shared" si="597"/>
        <v>37.079029456517588</v>
      </c>
      <c r="AN991" s="17">
        <f t="shared" si="598"/>
        <v>37.859094596053588</v>
      </c>
      <c r="AO991" s="17">
        <f t="shared" si="599"/>
        <v>36.977779682837813</v>
      </c>
      <c r="AP991" s="17">
        <f t="shared" si="600"/>
        <v>500</v>
      </c>
      <c r="AQ991" s="18">
        <v>1.8737047005830747</v>
      </c>
      <c r="AR991" s="18">
        <v>2.2407748833118362</v>
      </c>
      <c r="AS991" s="18">
        <v>1.9831021927279862</v>
      </c>
      <c r="AT991" s="18">
        <v>1.5021236037382459</v>
      </c>
      <c r="AU991" s="18">
        <v>2.1784369373937742</v>
      </c>
      <c r="AV991" s="18">
        <v>1.785226653312963</v>
      </c>
      <c r="AW991" s="18">
        <v>1.7773173952112895</v>
      </c>
      <c r="AX991" s="18">
        <v>1.2069636857730071</v>
      </c>
      <c r="AY991" s="18">
        <v>1.7890824377801626</v>
      </c>
      <c r="AZ991" s="18">
        <v>1.5580608177628692</v>
      </c>
      <c r="BA991" s="18">
        <v>1.5908391549261718</v>
      </c>
      <c r="BB991" s="18">
        <v>1.5538063022728448</v>
      </c>
      <c r="BC991" s="23">
        <v>8.9181565948742242E-2</v>
      </c>
      <c r="BD991" s="23">
        <v>0.10665277883445198</v>
      </c>
      <c r="BE991" s="23">
        <v>9.438849084854764E-2</v>
      </c>
      <c r="BF991" s="23">
        <v>7.149564986855049E-2</v>
      </c>
      <c r="BG991" s="23">
        <v>0.10368571810536763</v>
      </c>
      <c r="BH991" s="23">
        <v>8.4970330952544637E-2</v>
      </c>
      <c r="BI991" s="23">
        <v>8.4593878877262704E-2</v>
      </c>
      <c r="BJ991" s="23">
        <v>5.7447105462779965E-2</v>
      </c>
      <c r="BK991" s="23">
        <v>8.5153852345557474E-2</v>
      </c>
      <c r="BL991" s="23">
        <v>7.4158058913035174E-2</v>
      </c>
      <c r="BM991" s="23">
        <v>7.5718189192107169E-2</v>
      </c>
      <c r="BN991" s="23">
        <v>7.3955559365675619E-2</v>
      </c>
    </row>
    <row r="992" spans="1:66" x14ac:dyDescent="0.25">
      <c r="A992" s="16">
        <v>34049</v>
      </c>
      <c r="B992" s="16" t="s">
        <v>1186</v>
      </c>
      <c r="C992" s="17">
        <v>0</v>
      </c>
      <c r="D992" s="17">
        <f t="shared" si="564"/>
        <v>0</v>
      </c>
      <c r="E992" s="17">
        <f t="shared" si="565"/>
        <v>0</v>
      </c>
      <c r="F992" s="17">
        <f t="shared" si="566"/>
        <v>0</v>
      </c>
      <c r="G992" s="17">
        <f t="shared" si="567"/>
        <v>0</v>
      </c>
      <c r="H992" s="17">
        <f t="shared" si="568"/>
        <v>0</v>
      </c>
      <c r="I992" s="17">
        <f t="shared" si="569"/>
        <v>0</v>
      </c>
      <c r="J992" s="17">
        <f t="shared" si="570"/>
        <v>0</v>
      </c>
      <c r="K992" s="17">
        <f t="shared" si="571"/>
        <v>0</v>
      </c>
      <c r="L992" s="17">
        <f t="shared" si="572"/>
        <v>0</v>
      </c>
      <c r="M992" s="17">
        <f t="shared" si="573"/>
        <v>0</v>
      </c>
      <c r="N992" s="17">
        <f t="shared" si="574"/>
        <v>0</v>
      </c>
      <c r="O992" s="17">
        <f t="shared" si="575"/>
        <v>0</v>
      </c>
      <c r="P992" s="17">
        <v>0</v>
      </c>
      <c r="Q992" s="17">
        <f t="shared" si="576"/>
        <v>0</v>
      </c>
      <c r="R992" s="17">
        <f t="shared" si="577"/>
        <v>0</v>
      </c>
      <c r="S992" s="17">
        <f t="shared" si="578"/>
        <v>0</v>
      </c>
      <c r="T992" s="17">
        <f t="shared" si="579"/>
        <v>0</v>
      </c>
      <c r="U992" s="17">
        <f t="shared" si="580"/>
        <v>0</v>
      </c>
      <c r="V992" s="17">
        <f t="shared" si="581"/>
        <v>0</v>
      </c>
      <c r="W992" s="17">
        <f t="shared" si="582"/>
        <v>0</v>
      </c>
      <c r="X992" s="17">
        <f t="shared" si="583"/>
        <v>0</v>
      </c>
      <c r="Y992" s="17">
        <f t="shared" si="584"/>
        <v>0</v>
      </c>
      <c r="Z992" s="17">
        <f t="shared" si="585"/>
        <v>0</v>
      </c>
      <c r="AA992" s="17">
        <f t="shared" si="586"/>
        <v>0</v>
      </c>
      <c r="AB992" s="17">
        <f t="shared" si="587"/>
        <v>0</v>
      </c>
      <c r="AC992" s="17">
        <v>0</v>
      </c>
      <c r="AD992" s="17">
        <f t="shared" si="588"/>
        <v>0</v>
      </c>
      <c r="AE992" s="17">
        <f t="shared" si="589"/>
        <v>0</v>
      </c>
      <c r="AF992" s="17">
        <f t="shared" si="590"/>
        <v>0</v>
      </c>
      <c r="AG992" s="17">
        <f t="shared" si="591"/>
        <v>0</v>
      </c>
      <c r="AH992" s="17">
        <f t="shared" si="592"/>
        <v>0</v>
      </c>
      <c r="AI992" s="17">
        <f t="shared" si="593"/>
        <v>0</v>
      </c>
      <c r="AJ992" s="17">
        <f t="shared" si="594"/>
        <v>0</v>
      </c>
      <c r="AK992" s="17">
        <f t="shared" si="595"/>
        <v>0</v>
      </c>
      <c r="AL992" s="17">
        <f t="shared" si="596"/>
        <v>0</v>
      </c>
      <c r="AM992" s="17">
        <f t="shared" si="597"/>
        <v>0</v>
      </c>
      <c r="AN992" s="17">
        <f t="shared" si="598"/>
        <v>0</v>
      </c>
      <c r="AO992" s="17">
        <f t="shared" si="599"/>
        <v>0</v>
      </c>
      <c r="AP992" s="17">
        <f t="shared" si="600"/>
        <v>0</v>
      </c>
      <c r="AQ992" s="18">
        <v>0</v>
      </c>
      <c r="AR992" s="18">
        <v>0</v>
      </c>
      <c r="AS992" s="18">
        <v>0</v>
      </c>
      <c r="AT992" s="18">
        <v>0</v>
      </c>
      <c r="AU992" s="18">
        <v>0</v>
      </c>
      <c r="AV992" s="18">
        <v>0</v>
      </c>
      <c r="AW992" s="18">
        <v>0</v>
      </c>
      <c r="AX992" s="18">
        <v>0</v>
      </c>
      <c r="AY992" s="18">
        <v>0</v>
      </c>
      <c r="AZ992" s="18">
        <v>0</v>
      </c>
      <c r="BA992" s="18">
        <v>0</v>
      </c>
      <c r="BB992" s="18">
        <v>0</v>
      </c>
      <c r="BC992" s="23">
        <v>8.9181565948742242E-2</v>
      </c>
      <c r="BD992" s="23">
        <v>0.10665277883445198</v>
      </c>
      <c r="BE992" s="23">
        <v>9.438849084854764E-2</v>
      </c>
      <c r="BF992" s="23">
        <v>7.149564986855049E-2</v>
      </c>
      <c r="BG992" s="23">
        <v>0.10368571810536763</v>
      </c>
      <c r="BH992" s="23">
        <v>8.4970330952544637E-2</v>
      </c>
      <c r="BI992" s="23">
        <v>8.4593878877262704E-2</v>
      </c>
      <c r="BJ992" s="23">
        <v>5.7447105462779965E-2</v>
      </c>
      <c r="BK992" s="23">
        <v>8.5153852345557474E-2</v>
      </c>
      <c r="BL992" s="23">
        <v>7.4158058913035174E-2</v>
      </c>
      <c r="BM992" s="23">
        <v>7.5718189192107169E-2</v>
      </c>
      <c r="BN992" s="23">
        <v>7.3955559365675619E-2</v>
      </c>
    </row>
    <row r="993" spans="1:66" x14ac:dyDescent="0.25">
      <c r="A993" s="16">
        <v>34302</v>
      </c>
      <c r="B993" s="16" t="s">
        <v>1187</v>
      </c>
      <c r="C993" s="17">
        <v>0</v>
      </c>
      <c r="D993" s="17">
        <f t="shared" si="564"/>
        <v>0</v>
      </c>
      <c r="E993" s="17">
        <f t="shared" si="565"/>
        <v>0</v>
      </c>
      <c r="F993" s="17">
        <f t="shared" si="566"/>
        <v>0</v>
      </c>
      <c r="G993" s="17">
        <f t="shared" si="567"/>
        <v>0</v>
      </c>
      <c r="H993" s="17">
        <f t="shared" si="568"/>
        <v>0</v>
      </c>
      <c r="I993" s="17">
        <f t="shared" si="569"/>
        <v>0</v>
      </c>
      <c r="J993" s="17">
        <f t="shared" si="570"/>
        <v>0</v>
      </c>
      <c r="K993" s="17">
        <f t="shared" si="571"/>
        <v>0</v>
      </c>
      <c r="L993" s="17">
        <f t="shared" si="572"/>
        <v>0</v>
      </c>
      <c r="M993" s="17">
        <f t="shared" si="573"/>
        <v>0</v>
      </c>
      <c r="N993" s="17">
        <f t="shared" si="574"/>
        <v>0</v>
      </c>
      <c r="O993" s="17">
        <f t="shared" si="575"/>
        <v>0</v>
      </c>
      <c r="P993" s="17">
        <v>1000</v>
      </c>
      <c r="Q993" s="17">
        <f t="shared" si="576"/>
        <v>89.181565948742247</v>
      </c>
      <c r="R993" s="17">
        <f t="shared" si="577"/>
        <v>106.65277883445198</v>
      </c>
      <c r="S993" s="17">
        <f t="shared" si="578"/>
        <v>94.388490848547647</v>
      </c>
      <c r="T993" s="17">
        <f t="shared" si="579"/>
        <v>71.495649868550487</v>
      </c>
      <c r="U993" s="17">
        <f t="shared" si="580"/>
        <v>103.68571810536763</v>
      </c>
      <c r="V993" s="17">
        <f t="shared" si="581"/>
        <v>84.970330952544643</v>
      </c>
      <c r="W993" s="17">
        <f t="shared" si="582"/>
        <v>84.593878877262711</v>
      </c>
      <c r="X993" s="17">
        <f t="shared" si="583"/>
        <v>57.447105462779966</v>
      </c>
      <c r="Y993" s="17">
        <f t="shared" si="584"/>
        <v>85.153852345557468</v>
      </c>
      <c r="Z993" s="17">
        <f t="shared" si="585"/>
        <v>74.158058913035177</v>
      </c>
      <c r="AA993" s="17">
        <f t="shared" si="586"/>
        <v>75.718189192107175</v>
      </c>
      <c r="AB993" s="17">
        <f t="shared" si="587"/>
        <v>73.955559365675626</v>
      </c>
      <c r="AC993" s="17">
        <v>0</v>
      </c>
      <c r="AD993" s="17">
        <f t="shared" si="588"/>
        <v>0</v>
      </c>
      <c r="AE993" s="17">
        <f t="shared" si="589"/>
        <v>0</v>
      </c>
      <c r="AF993" s="17">
        <f t="shared" si="590"/>
        <v>0</v>
      </c>
      <c r="AG993" s="17">
        <f t="shared" si="591"/>
        <v>0</v>
      </c>
      <c r="AH993" s="17">
        <f t="shared" si="592"/>
        <v>0</v>
      </c>
      <c r="AI993" s="17">
        <f t="shared" si="593"/>
        <v>0</v>
      </c>
      <c r="AJ993" s="17">
        <f t="shared" si="594"/>
        <v>0</v>
      </c>
      <c r="AK993" s="17">
        <f t="shared" si="595"/>
        <v>0</v>
      </c>
      <c r="AL993" s="17">
        <f t="shared" si="596"/>
        <v>0</v>
      </c>
      <c r="AM993" s="17">
        <f t="shared" si="597"/>
        <v>0</v>
      </c>
      <c r="AN993" s="17">
        <f t="shared" si="598"/>
        <v>0</v>
      </c>
      <c r="AO993" s="17">
        <f t="shared" si="599"/>
        <v>0</v>
      </c>
      <c r="AP993" s="17">
        <f t="shared" si="600"/>
        <v>1000</v>
      </c>
      <c r="AQ993" s="18">
        <v>3.8111742208195003</v>
      </c>
      <c r="AR993" s="18">
        <v>4.5578065034903066</v>
      </c>
      <c r="AS993" s="18">
        <v>4.033692156412684</v>
      </c>
      <c r="AT993" s="18">
        <v>3.0553665971325055</v>
      </c>
      <c r="AU993" s="18">
        <v>4.4310091632328863</v>
      </c>
      <c r="AV993" s="18">
        <v>3.6312070932569958</v>
      </c>
      <c r="AW993" s="18">
        <v>3.6151194138198224</v>
      </c>
      <c r="AX993" s="18">
        <v>2.4550020519519022</v>
      </c>
      <c r="AY993" s="18">
        <v>3.6390498799873994</v>
      </c>
      <c r="AZ993" s="18">
        <v>3.1691446476485585</v>
      </c>
      <c r="BA993" s="18">
        <v>3.2358168151247004</v>
      </c>
      <c r="BB993" s="18">
        <v>3.1604908294921481</v>
      </c>
      <c r="BC993" s="23">
        <v>8.9181565948742242E-2</v>
      </c>
      <c r="BD993" s="23">
        <v>0.10665277883445198</v>
      </c>
      <c r="BE993" s="23">
        <v>9.438849084854764E-2</v>
      </c>
      <c r="BF993" s="23">
        <v>7.149564986855049E-2</v>
      </c>
      <c r="BG993" s="23">
        <v>0.10368571810536763</v>
      </c>
      <c r="BH993" s="23">
        <v>8.4970330952544637E-2</v>
      </c>
      <c r="BI993" s="23">
        <v>8.4593878877262704E-2</v>
      </c>
      <c r="BJ993" s="23">
        <v>5.7447105462779965E-2</v>
      </c>
      <c r="BK993" s="23">
        <v>8.5153852345557474E-2</v>
      </c>
      <c r="BL993" s="23">
        <v>7.4158058913035174E-2</v>
      </c>
      <c r="BM993" s="23">
        <v>7.5718189192107169E-2</v>
      </c>
      <c r="BN993" s="23">
        <v>7.3955559365675619E-2</v>
      </c>
    </row>
    <row r="994" spans="1:66" x14ac:dyDescent="0.25">
      <c r="A994" s="16">
        <v>34804</v>
      </c>
      <c r="B994" s="16" t="s">
        <v>1188</v>
      </c>
      <c r="C994" s="17">
        <v>0</v>
      </c>
      <c r="D994" s="17">
        <f t="shared" si="564"/>
        <v>0</v>
      </c>
      <c r="E994" s="17">
        <f t="shared" si="565"/>
        <v>0</v>
      </c>
      <c r="F994" s="17">
        <f t="shared" si="566"/>
        <v>0</v>
      </c>
      <c r="G994" s="17">
        <f t="shared" si="567"/>
        <v>0</v>
      </c>
      <c r="H994" s="17">
        <f t="shared" si="568"/>
        <v>0</v>
      </c>
      <c r="I994" s="17">
        <f t="shared" si="569"/>
        <v>0</v>
      </c>
      <c r="J994" s="17">
        <f t="shared" si="570"/>
        <v>0</v>
      </c>
      <c r="K994" s="17">
        <f t="shared" si="571"/>
        <v>0</v>
      </c>
      <c r="L994" s="17">
        <f t="shared" si="572"/>
        <v>0</v>
      </c>
      <c r="M994" s="17">
        <f t="shared" si="573"/>
        <v>0</v>
      </c>
      <c r="N994" s="17">
        <f t="shared" si="574"/>
        <v>0</v>
      </c>
      <c r="O994" s="17">
        <f t="shared" si="575"/>
        <v>0</v>
      </c>
      <c r="P994" s="17">
        <v>0</v>
      </c>
      <c r="Q994" s="17">
        <f t="shared" si="576"/>
        <v>0</v>
      </c>
      <c r="R994" s="17">
        <f t="shared" si="577"/>
        <v>0</v>
      </c>
      <c r="S994" s="17">
        <f t="shared" si="578"/>
        <v>0</v>
      </c>
      <c r="T994" s="17">
        <f t="shared" si="579"/>
        <v>0</v>
      </c>
      <c r="U994" s="17">
        <f t="shared" si="580"/>
        <v>0</v>
      </c>
      <c r="V994" s="17">
        <f t="shared" si="581"/>
        <v>0</v>
      </c>
      <c r="W994" s="17">
        <f t="shared" si="582"/>
        <v>0</v>
      </c>
      <c r="X994" s="17">
        <f t="shared" si="583"/>
        <v>0</v>
      </c>
      <c r="Y994" s="17">
        <f t="shared" si="584"/>
        <v>0</v>
      </c>
      <c r="Z994" s="17">
        <f t="shared" si="585"/>
        <v>0</v>
      </c>
      <c r="AA994" s="17">
        <f t="shared" si="586"/>
        <v>0</v>
      </c>
      <c r="AB994" s="17">
        <f t="shared" si="587"/>
        <v>0</v>
      </c>
      <c r="AC994" s="17">
        <v>0</v>
      </c>
      <c r="AD994" s="17">
        <f t="shared" si="588"/>
        <v>0</v>
      </c>
      <c r="AE994" s="17">
        <f t="shared" si="589"/>
        <v>0</v>
      </c>
      <c r="AF994" s="17">
        <f t="shared" si="590"/>
        <v>0</v>
      </c>
      <c r="AG994" s="17">
        <f t="shared" si="591"/>
        <v>0</v>
      </c>
      <c r="AH994" s="17">
        <f t="shared" si="592"/>
        <v>0</v>
      </c>
      <c r="AI994" s="17">
        <f t="shared" si="593"/>
        <v>0</v>
      </c>
      <c r="AJ994" s="17">
        <f t="shared" si="594"/>
        <v>0</v>
      </c>
      <c r="AK994" s="17">
        <f t="shared" si="595"/>
        <v>0</v>
      </c>
      <c r="AL994" s="17">
        <f t="shared" si="596"/>
        <v>0</v>
      </c>
      <c r="AM994" s="17">
        <f t="shared" si="597"/>
        <v>0</v>
      </c>
      <c r="AN994" s="17">
        <f t="shared" si="598"/>
        <v>0</v>
      </c>
      <c r="AO994" s="17">
        <f t="shared" si="599"/>
        <v>0</v>
      </c>
      <c r="AP994" s="17">
        <f t="shared" si="600"/>
        <v>0</v>
      </c>
      <c r="AQ994" s="18">
        <v>0</v>
      </c>
      <c r="AR994" s="18">
        <v>0</v>
      </c>
      <c r="AS994" s="18">
        <v>0</v>
      </c>
      <c r="AT994" s="18">
        <v>0</v>
      </c>
      <c r="AU994" s="18">
        <v>0</v>
      </c>
      <c r="AV994" s="18">
        <v>0</v>
      </c>
      <c r="AW994" s="18">
        <v>0</v>
      </c>
      <c r="AX994" s="18">
        <v>0</v>
      </c>
      <c r="AY994" s="18">
        <v>0</v>
      </c>
      <c r="AZ994" s="18">
        <v>0</v>
      </c>
      <c r="BA994" s="18">
        <v>0</v>
      </c>
      <c r="BB994" s="18">
        <v>0</v>
      </c>
      <c r="BC994" s="23">
        <v>8.9181565948742242E-2</v>
      </c>
      <c r="BD994" s="23">
        <v>0.10665277883445198</v>
      </c>
      <c r="BE994" s="23">
        <v>9.438849084854764E-2</v>
      </c>
      <c r="BF994" s="23">
        <v>7.149564986855049E-2</v>
      </c>
      <c r="BG994" s="23">
        <v>0.10368571810536763</v>
      </c>
      <c r="BH994" s="23">
        <v>8.4970330952544637E-2</v>
      </c>
      <c r="BI994" s="23">
        <v>8.4593878877262704E-2</v>
      </c>
      <c r="BJ994" s="23">
        <v>5.7447105462779965E-2</v>
      </c>
      <c r="BK994" s="23">
        <v>8.5153852345557474E-2</v>
      </c>
      <c r="BL994" s="23">
        <v>7.4158058913035174E-2</v>
      </c>
      <c r="BM994" s="23">
        <v>7.5718189192107169E-2</v>
      </c>
      <c r="BN994" s="23">
        <v>7.3955559365675619E-2</v>
      </c>
    </row>
    <row r="995" spans="1:66" x14ac:dyDescent="0.25">
      <c r="A995" s="16">
        <v>43012</v>
      </c>
      <c r="B995" s="16" t="s">
        <v>1189</v>
      </c>
      <c r="C995" s="17">
        <v>0</v>
      </c>
      <c r="D995" s="17">
        <f t="shared" si="564"/>
        <v>0</v>
      </c>
      <c r="E995" s="17">
        <f t="shared" si="565"/>
        <v>0</v>
      </c>
      <c r="F995" s="17">
        <f t="shared" si="566"/>
        <v>0</v>
      </c>
      <c r="G995" s="17">
        <f t="shared" si="567"/>
        <v>0</v>
      </c>
      <c r="H995" s="17">
        <f t="shared" si="568"/>
        <v>0</v>
      </c>
      <c r="I995" s="17">
        <f t="shared" si="569"/>
        <v>0</v>
      </c>
      <c r="J995" s="17">
        <f t="shared" si="570"/>
        <v>0</v>
      </c>
      <c r="K995" s="17">
        <f t="shared" si="571"/>
        <v>0</v>
      </c>
      <c r="L995" s="17">
        <f t="shared" si="572"/>
        <v>0</v>
      </c>
      <c r="M995" s="17">
        <f t="shared" si="573"/>
        <v>0</v>
      </c>
      <c r="N995" s="17">
        <f t="shared" si="574"/>
        <v>0</v>
      </c>
      <c r="O995" s="17">
        <f t="shared" si="575"/>
        <v>0</v>
      </c>
      <c r="P995" s="17">
        <v>0</v>
      </c>
      <c r="Q995" s="17">
        <f t="shared" si="576"/>
        <v>0</v>
      </c>
      <c r="R995" s="17">
        <f t="shared" si="577"/>
        <v>0</v>
      </c>
      <c r="S995" s="17">
        <f t="shared" si="578"/>
        <v>0</v>
      </c>
      <c r="T995" s="17">
        <f t="shared" si="579"/>
        <v>0</v>
      </c>
      <c r="U995" s="17">
        <f t="shared" si="580"/>
        <v>0</v>
      </c>
      <c r="V995" s="17">
        <f t="shared" si="581"/>
        <v>0</v>
      </c>
      <c r="W995" s="17">
        <f t="shared" si="582"/>
        <v>0</v>
      </c>
      <c r="X995" s="17">
        <f t="shared" si="583"/>
        <v>0</v>
      </c>
      <c r="Y995" s="17">
        <f t="shared" si="584"/>
        <v>0</v>
      </c>
      <c r="Z995" s="17">
        <f t="shared" si="585"/>
        <v>0</v>
      </c>
      <c r="AA995" s="17">
        <f t="shared" si="586"/>
        <v>0</v>
      </c>
      <c r="AB995" s="17">
        <f t="shared" si="587"/>
        <v>0</v>
      </c>
      <c r="AC995" s="17">
        <v>0</v>
      </c>
      <c r="AD995" s="17">
        <f t="shared" si="588"/>
        <v>0</v>
      </c>
      <c r="AE995" s="17">
        <f t="shared" si="589"/>
        <v>0</v>
      </c>
      <c r="AF995" s="17">
        <f t="shared" si="590"/>
        <v>0</v>
      </c>
      <c r="AG995" s="17">
        <f t="shared" si="591"/>
        <v>0</v>
      </c>
      <c r="AH995" s="17">
        <f t="shared" si="592"/>
        <v>0</v>
      </c>
      <c r="AI995" s="17">
        <f t="shared" si="593"/>
        <v>0</v>
      </c>
      <c r="AJ995" s="17">
        <f t="shared" si="594"/>
        <v>0</v>
      </c>
      <c r="AK995" s="17">
        <f t="shared" si="595"/>
        <v>0</v>
      </c>
      <c r="AL995" s="17">
        <f t="shared" si="596"/>
        <v>0</v>
      </c>
      <c r="AM995" s="17">
        <f t="shared" si="597"/>
        <v>0</v>
      </c>
      <c r="AN995" s="17">
        <f t="shared" si="598"/>
        <v>0</v>
      </c>
      <c r="AO995" s="17">
        <f t="shared" si="599"/>
        <v>0</v>
      </c>
      <c r="AP995" s="17">
        <f t="shared" si="600"/>
        <v>0</v>
      </c>
      <c r="AQ995" s="18">
        <v>14.371609352639814</v>
      </c>
      <c r="AR995" s="18">
        <v>17.187095309171937</v>
      </c>
      <c r="AS995" s="18">
        <v>15.210705300243452</v>
      </c>
      <c r="AT995" s="18">
        <v>11.521523976316912</v>
      </c>
      <c r="AU995" s="18">
        <v>16.708953472679994</v>
      </c>
      <c r="AV995" s="18">
        <v>13.692968833002569</v>
      </c>
      <c r="AW995" s="18">
        <v>13.632303581070886</v>
      </c>
      <c r="AX995" s="18">
        <v>9.2576010453269912</v>
      </c>
      <c r="AY995" s="18">
        <v>13.722543305486587</v>
      </c>
      <c r="AZ995" s="18">
        <v>11.95057119383562</v>
      </c>
      <c r="BA995" s="18">
        <v>12.201986188308071</v>
      </c>
      <c r="BB995" s="18">
        <v>11.917938391778627</v>
      </c>
      <c r="BC995" s="23">
        <v>8.9181565948742242E-2</v>
      </c>
      <c r="BD995" s="23">
        <v>0.10665277883445198</v>
      </c>
      <c r="BE995" s="23">
        <v>9.438849084854764E-2</v>
      </c>
      <c r="BF995" s="23">
        <v>7.149564986855049E-2</v>
      </c>
      <c r="BG995" s="23">
        <v>0.10368571810536763</v>
      </c>
      <c r="BH995" s="23">
        <v>8.4970330952544637E-2</v>
      </c>
      <c r="BI995" s="23">
        <v>8.4593878877262704E-2</v>
      </c>
      <c r="BJ995" s="23">
        <v>5.7447105462779965E-2</v>
      </c>
      <c r="BK995" s="23">
        <v>8.5153852345557474E-2</v>
      </c>
      <c r="BL995" s="23">
        <v>7.4158058913035174E-2</v>
      </c>
      <c r="BM995" s="23">
        <v>7.5718189192107169E-2</v>
      </c>
      <c r="BN995" s="23">
        <v>7.3955559365675619E-2</v>
      </c>
    </row>
    <row r="996" spans="1:66" x14ac:dyDescent="0.25">
      <c r="A996" s="16">
        <v>48014</v>
      </c>
      <c r="B996" s="16" t="s">
        <v>1190</v>
      </c>
      <c r="C996" s="17">
        <v>0</v>
      </c>
      <c r="D996" s="17">
        <f t="shared" si="564"/>
        <v>0</v>
      </c>
      <c r="E996" s="17">
        <f t="shared" si="565"/>
        <v>0</v>
      </c>
      <c r="F996" s="17">
        <f t="shared" si="566"/>
        <v>0</v>
      </c>
      <c r="G996" s="17">
        <f t="shared" si="567"/>
        <v>0</v>
      </c>
      <c r="H996" s="17">
        <f t="shared" si="568"/>
        <v>0</v>
      </c>
      <c r="I996" s="17">
        <f t="shared" si="569"/>
        <v>0</v>
      </c>
      <c r="J996" s="17">
        <f t="shared" si="570"/>
        <v>0</v>
      </c>
      <c r="K996" s="17">
        <f t="shared" si="571"/>
        <v>0</v>
      </c>
      <c r="L996" s="17">
        <f t="shared" si="572"/>
        <v>0</v>
      </c>
      <c r="M996" s="17">
        <f t="shared" si="573"/>
        <v>0</v>
      </c>
      <c r="N996" s="17">
        <f t="shared" si="574"/>
        <v>0</v>
      </c>
      <c r="O996" s="17">
        <f t="shared" si="575"/>
        <v>0</v>
      </c>
      <c r="P996" s="17">
        <v>0</v>
      </c>
      <c r="Q996" s="17">
        <f t="shared" si="576"/>
        <v>0</v>
      </c>
      <c r="R996" s="17">
        <f t="shared" si="577"/>
        <v>0</v>
      </c>
      <c r="S996" s="17">
        <f t="shared" si="578"/>
        <v>0</v>
      </c>
      <c r="T996" s="17">
        <f t="shared" si="579"/>
        <v>0</v>
      </c>
      <c r="U996" s="17">
        <f t="shared" si="580"/>
        <v>0</v>
      </c>
      <c r="V996" s="17">
        <f t="shared" si="581"/>
        <v>0</v>
      </c>
      <c r="W996" s="17">
        <f t="shared" si="582"/>
        <v>0</v>
      </c>
      <c r="X996" s="17">
        <f t="shared" si="583"/>
        <v>0</v>
      </c>
      <c r="Y996" s="17">
        <f t="shared" si="584"/>
        <v>0</v>
      </c>
      <c r="Z996" s="17">
        <f t="shared" si="585"/>
        <v>0</v>
      </c>
      <c r="AA996" s="17">
        <f t="shared" si="586"/>
        <v>0</v>
      </c>
      <c r="AB996" s="17">
        <f t="shared" si="587"/>
        <v>0</v>
      </c>
      <c r="AC996" s="17">
        <v>0</v>
      </c>
      <c r="AD996" s="17">
        <f t="shared" si="588"/>
        <v>0</v>
      </c>
      <c r="AE996" s="17">
        <f t="shared" si="589"/>
        <v>0</v>
      </c>
      <c r="AF996" s="17">
        <f t="shared" si="590"/>
        <v>0</v>
      </c>
      <c r="AG996" s="17">
        <f t="shared" si="591"/>
        <v>0</v>
      </c>
      <c r="AH996" s="17">
        <f t="shared" si="592"/>
        <v>0</v>
      </c>
      <c r="AI996" s="17">
        <f t="shared" si="593"/>
        <v>0</v>
      </c>
      <c r="AJ996" s="17">
        <f t="shared" si="594"/>
        <v>0</v>
      </c>
      <c r="AK996" s="17">
        <f t="shared" si="595"/>
        <v>0</v>
      </c>
      <c r="AL996" s="17">
        <f t="shared" si="596"/>
        <v>0</v>
      </c>
      <c r="AM996" s="17">
        <f t="shared" si="597"/>
        <v>0</v>
      </c>
      <c r="AN996" s="17">
        <f t="shared" si="598"/>
        <v>0</v>
      </c>
      <c r="AO996" s="17">
        <f t="shared" si="599"/>
        <v>0</v>
      </c>
      <c r="AP996" s="17">
        <f t="shared" si="600"/>
        <v>0</v>
      </c>
      <c r="AQ996" s="18">
        <v>65.364826128037095</v>
      </c>
      <c r="AR996" s="18">
        <v>78.170194371702081</v>
      </c>
      <c r="AS996" s="18">
        <v>69.181194871025355</v>
      </c>
      <c r="AT996" s="18">
        <v>52.402093110305266</v>
      </c>
      <c r="AU996" s="18">
        <v>75.995513913866262</v>
      </c>
      <c r="AV996" s="18">
        <v>62.278239338689019</v>
      </c>
      <c r="AW996" s="18">
        <v>62.002322178179803</v>
      </c>
      <c r="AX996" s="18">
        <v>42.105338924995415</v>
      </c>
      <c r="AY996" s="18">
        <v>62.412749692005242</v>
      </c>
      <c r="AZ996" s="18">
        <v>54.353481857778917</v>
      </c>
      <c r="BA996" s="18">
        <v>55.496965304652221</v>
      </c>
      <c r="BB996" s="18">
        <v>54.205061637037659</v>
      </c>
      <c r="BC996" s="23">
        <v>8.9181565948742242E-2</v>
      </c>
      <c r="BD996" s="23">
        <v>0.10665277883445198</v>
      </c>
      <c r="BE996" s="23">
        <v>9.438849084854764E-2</v>
      </c>
      <c r="BF996" s="23">
        <v>7.149564986855049E-2</v>
      </c>
      <c r="BG996" s="23">
        <v>0.10368571810536763</v>
      </c>
      <c r="BH996" s="23">
        <v>8.4970330952544637E-2</v>
      </c>
      <c r="BI996" s="23">
        <v>8.4593878877262704E-2</v>
      </c>
      <c r="BJ996" s="23">
        <v>5.7447105462779965E-2</v>
      </c>
      <c r="BK996" s="23">
        <v>8.5153852345557474E-2</v>
      </c>
      <c r="BL996" s="23">
        <v>7.4158058913035174E-2</v>
      </c>
      <c r="BM996" s="23">
        <v>7.5718189192107169E-2</v>
      </c>
      <c r="BN996" s="23">
        <v>7.3955559365675619E-2</v>
      </c>
    </row>
    <row r="997" spans="1:66" x14ac:dyDescent="0.25">
      <c r="C997" s="21">
        <f>SUM(C3:C996)</f>
        <v>6433048.5240000002</v>
      </c>
      <c r="D997" s="21">
        <f t="shared" ref="D997:O997" si="601">SUM(D3:D996)</f>
        <v>573709.34119456518</v>
      </c>
      <c r="E997" s="21">
        <f t="shared" si="601"/>
        <v>686102.50146146934</v>
      </c>
      <c r="F997" s="21">
        <f t="shared" si="601"/>
        <v>607205.74173583614</v>
      </c>
      <c r="G997" s="21">
        <f t="shared" si="601"/>
        <v>459934.98485929932</v>
      </c>
      <c r="H997" s="21">
        <f t="shared" si="601"/>
        <v>667015.25581761589</v>
      </c>
      <c r="I997" s="21">
        <f t="shared" si="601"/>
        <v>546618.26211805909</v>
      </c>
      <c r="J997" s="21">
        <f t="shared" si="601"/>
        <v>544196.52765081124</v>
      </c>
      <c r="K997" s="21">
        <f t="shared" si="601"/>
        <v>369560.01700540836</v>
      </c>
      <c r="L997" s="21">
        <f t="shared" si="601"/>
        <v>547798.86414450244</v>
      </c>
      <c r="M997" s="21">
        <f t="shared" si="601"/>
        <v>477062.39143320662</v>
      </c>
      <c r="N997" s="21">
        <f t="shared" si="601"/>
        <v>487098.78522223793</v>
      </c>
      <c r="O997" s="21">
        <f t="shared" si="601"/>
        <v>475759.70201895479</v>
      </c>
      <c r="P997" s="21">
        <f>SUM(P2:P996)</f>
        <v>4529600</v>
      </c>
      <c r="Q997" s="21">
        <f t="shared" ref="Q997:AB997" si="602">SUM(Q2:Q996)</f>
        <v>403956.82112142263</v>
      </c>
      <c r="R997" s="21">
        <f t="shared" si="602"/>
        <v>483094.42700853484</v>
      </c>
      <c r="S997" s="21">
        <f t="shared" si="602"/>
        <v>427542.10814758093</v>
      </c>
      <c r="T997" s="21">
        <f t="shared" si="602"/>
        <v>323846.6956445867</v>
      </c>
      <c r="U997" s="21">
        <f t="shared" si="602"/>
        <v>469654.82873007399</v>
      </c>
      <c r="V997" s="21">
        <f t="shared" si="602"/>
        <v>384881.61108264816</v>
      </c>
      <c r="W997" s="21">
        <f t="shared" si="602"/>
        <v>383176.4337624507</v>
      </c>
      <c r="X997" s="21">
        <f t="shared" si="602"/>
        <v>260212.40890420755</v>
      </c>
      <c r="Y997" s="21">
        <f t="shared" si="602"/>
        <v>385712.88958443637</v>
      </c>
      <c r="Z997" s="21">
        <f t="shared" si="602"/>
        <v>335906.34365248471</v>
      </c>
      <c r="AA997" s="21">
        <f t="shared" si="602"/>
        <v>342973.10976457014</v>
      </c>
      <c r="AB997" s="21">
        <f t="shared" si="602"/>
        <v>334989.10170276521</v>
      </c>
      <c r="AC997" s="21">
        <f>SUM(AC2:AC996)</f>
        <v>2387800</v>
      </c>
      <c r="AD997" s="21">
        <f t="shared" ref="AD997:AO997" si="603">SUM(AD2:AD996)</f>
        <v>212947.74317240668</v>
      </c>
      <c r="AE997" s="21">
        <f t="shared" si="603"/>
        <v>254665.50530090468</v>
      </c>
      <c r="AF997" s="21">
        <f t="shared" si="603"/>
        <v>225380.8384481621</v>
      </c>
      <c r="AG997" s="21">
        <f t="shared" si="603"/>
        <v>170717.31275612485</v>
      </c>
      <c r="AH997" s="21">
        <f t="shared" si="603"/>
        <v>247580.75769199693</v>
      </c>
      <c r="AI997" s="21">
        <f t="shared" si="603"/>
        <v>202892.15624848637</v>
      </c>
      <c r="AJ997" s="21">
        <f t="shared" si="603"/>
        <v>201993.26398312816</v>
      </c>
      <c r="AK997" s="21">
        <f t="shared" si="603"/>
        <v>137172.19842402593</v>
      </c>
      <c r="AL997" s="21">
        <f t="shared" si="603"/>
        <v>203330.36863072222</v>
      </c>
      <c r="AM997" s="21">
        <f t="shared" si="603"/>
        <v>177074.6130725455</v>
      </c>
      <c r="AN997" s="21">
        <f t="shared" si="603"/>
        <v>180799.89215291358</v>
      </c>
      <c r="AO997" s="21">
        <f t="shared" si="603"/>
        <v>176591.08465336022</v>
      </c>
      <c r="AP997" s="17">
        <f>+AC997+P997+C997</f>
        <v>13350448.524</v>
      </c>
      <c r="AQ997" s="17">
        <f>+AD997+Q997+D997</f>
        <v>1190613.9054883944</v>
      </c>
      <c r="AR997" s="17">
        <f t="shared" ref="AR997:BB997" si="604">+AE997+R997+E997</f>
        <v>1423862.433770909</v>
      </c>
      <c r="AS997" s="17">
        <f t="shared" si="604"/>
        <v>1260128.6883315793</v>
      </c>
      <c r="AT997" s="17">
        <f t="shared" si="604"/>
        <v>954498.99326001084</v>
      </c>
      <c r="AU997" s="17">
        <f t="shared" si="604"/>
        <v>1384250.8422396868</v>
      </c>
      <c r="AV997" s="17">
        <f t="shared" si="604"/>
        <v>1134392.0294491937</v>
      </c>
      <c r="AW997" s="17">
        <f t="shared" si="604"/>
        <v>1129366.2253963901</v>
      </c>
      <c r="AX997" s="17">
        <f t="shared" si="604"/>
        <v>766944.62433364184</v>
      </c>
      <c r="AY997" s="17">
        <f t="shared" si="604"/>
        <v>1136842.1223596609</v>
      </c>
      <c r="AZ997" s="17">
        <f t="shared" si="604"/>
        <v>990043.34815823683</v>
      </c>
      <c r="BA997" s="17">
        <f t="shared" si="604"/>
        <v>1010871.7871397217</v>
      </c>
      <c r="BB997" s="17">
        <f t="shared" si="604"/>
        <v>987339.88837508019</v>
      </c>
      <c r="BC997" s="23"/>
      <c r="BD997" s="23"/>
      <c r="BE997" s="23"/>
      <c r="BF997" s="23"/>
      <c r="BG997" s="23"/>
      <c r="BH997" s="23"/>
      <c r="BI997" s="23"/>
      <c r="BJ997" s="23"/>
      <c r="BK997" s="23"/>
      <c r="BL997" s="23"/>
      <c r="BM997" s="23"/>
      <c r="BN997" s="23"/>
    </row>
    <row r="998" spans="1:66" x14ac:dyDescent="0.25">
      <c r="C998" s="21">
        <f>+C997*0.54</f>
        <v>3473846.2029600004</v>
      </c>
      <c r="D998" s="21">
        <f t="shared" ref="D998:O998" si="605">+D997*0.54</f>
        <v>309803.04424506519</v>
      </c>
      <c r="E998" s="21">
        <f t="shared" si="605"/>
        <v>370495.35078919347</v>
      </c>
      <c r="F998" s="21">
        <f t="shared" si="605"/>
        <v>327891.10053735157</v>
      </c>
      <c r="G998" s="21">
        <f t="shared" si="605"/>
        <v>248364.89182402164</v>
      </c>
      <c r="H998" s="21">
        <f t="shared" si="605"/>
        <v>360188.23814151261</v>
      </c>
      <c r="I998" s="21">
        <f t="shared" si="605"/>
        <v>295173.8615437519</v>
      </c>
      <c r="J998" s="21">
        <f t="shared" si="605"/>
        <v>293866.12493143807</v>
      </c>
      <c r="K998" s="21">
        <f t="shared" si="605"/>
        <v>199562.40918292053</v>
      </c>
      <c r="L998" s="21">
        <f t="shared" si="605"/>
        <v>295811.38663803134</v>
      </c>
      <c r="M998" s="21">
        <f t="shared" si="605"/>
        <v>257613.69137393159</v>
      </c>
      <c r="N998" s="21">
        <f t="shared" si="605"/>
        <v>263033.34402000852</v>
      </c>
      <c r="O998" s="21">
        <f t="shared" si="605"/>
        <v>256910.23909023561</v>
      </c>
      <c r="P998" s="22">
        <f>+P997*0.44</f>
        <v>1993024</v>
      </c>
      <c r="Q998" s="22">
        <f t="shared" ref="Q998:AB998" si="606">+Q997*0.44</f>
        <v>177741.00129342597</v>
      </c>
      <c r="R998" s="22">
        <f t="shared" si="606"/>
        <v>212561.54788375532</v>
      </c>
      <c r="S998" s="22">
        <f t="shared" si="606"/>
        <v>188118.52758493563</v>
      </c>
      <c r="T998" s="22">
        <f t="shared" si="606"/>
        <v>142492.54608361816</v>
      </c>
      <c r="U998" s="22">
        <f t="shared" si="606"/>
        <v>206648.12464123257</v>
      </c>
      <c r="V998" s="22">
        <f t="shared" si="606"/>
        <v>169347.9088763652</v>
      </c>
      <c r="W998" s="22">
        <f t="shared" si="606"/>
        <v>168597.63085547832</v>
      </c>
      <c r="X998" s="22">
        <f t="shared" si="606"/>
        <v>114493.45991785132</v>
      </c>
      <c r="Y998" s="22">
        <f t="shared" si="606"/>
        <v>169713.67141715201</v>
      </c>
      <c r="Z998" s="22">
        <f t="shared" si="606"/>
        <v>147798.79120709328</v>
      </c>
      <c r="AA998" s="22">
        <f t="shared" si="606"/>
        <v>150908.16829641085</v>
      </c>
      <c r="AB998" s="22">
        <f t="shared" si="606"/>
        <v>147395.2047492167</v>
      </c>
      <c r="AC998" s="22">
        <f>+AC997*0.36</f>
        <v>859608</v>
      </c>
      <c r="AD998" s="22">
        <f t="shared" ref="AD998:AO998" si="607">+AD997*0.36</f>
        <v>76661.1875420664</v>
      </c>
      <c r="AE998" s="22">
        <f t="shared" si="607"/>
        <v>91679.581908325679</v>
      </c>
      <c r="AF998" s="22">
        <f t="shared" si="607"/>
        <v>81137.101841338357</v>
      </c>
      <c r="AG998" s="22">
        <f t="shared" si="607"/>
        <v>61458.232592204942</v>
      </c>
      <c r="AH998" s="22">
        <f t="shared" si="607"/>
        <v>89129.072769118895</v>
      </c>
      <c r="AI998" s="22">
        <f t="shared" si="607"/>
        <v>73041.176249455093</v>
      </c>
      <c r="AJ998" s="22">
        <f t="shared" si="607"/>
        <v>72717.575033926129</v>
      </c>
      <c r="AK998" s="22">
        <f t="shared" si="607"/>
        <v>49381.991432649331</v>
      </c>
      <c r="AL998" s="22">
        <f t="shared" si="607"/>
        <v>73198.932707059997</v>
      </c>
      <c r="AM998" s="22">
        <f t="shared" si="607"/>
        <v>63746.860706116378</v>
      </c>
      <c r="AN998" s="22">
        <f t="shared" si="607"/>
        <v>65087.961175048891</v>
      </c>
      <c r="AO998" s="22">
        <f t="shared" si="607"/>
        <v>63572.790475209673</v>
      </c>
      <c r="AP998" s="17">
        <f>+AC998+P998+C998</f>
        <v>6326478.2029600004</v>
      </c>
      <c r="AQ998" s="17">
        <f>+AD998+Q998+D998</f>
        <v>564205.23308055755</v>
      </c>
      <c r="AR998" s="17">
        <f t="shared" ref="AR998:AR999" si="608">+AE998+R998+E998</f>
        <v>674736.48058127449</v>
      </c>
      <c r="AS998" s="17">
        <f t="shared" ref="AS998:AS999" si="609">+AF998+S998+F998</f>
        <v>597146.72996362555</v>
      </c>
      <c r="AT998" s="17">
        <f t="shared" ref="AT998:AT999" si="610">+AG998+T998+G998</f>
        <v>452315.67049984471</v>
      </c>
      <c r="AU998" s="17">
        <f t="shared" ref="AU998:AU999" si="611">+AH998+U998+H998</f>
        <v>655965.4355518641</v>
      </c>
      <c r="AV998" s="17">
        <f t="shared" ref="AV998:AV999" si="612">+AI998+V998+I998</f>
        <v>537562.94666957227</v>
      </c>
      <c r="AW998" s="17">
        <f t="shared" ref="AW998:AW999" si="613">+AJ998+W998+J998</f>
        <v>535181.33082084253</v>
      </c>
      <c r="AX998" s="17">
        <f t="shared" ref="AX998:AX999" si="614">+AK998+X998+K998</f>
        <v>363437.86053342116</v>
      </c>
      <c r="AY998" s="17">
        <f t="shared" ref="AY998:AY999" si="615">+AL998+Y998+L998</f>
        <v>538723.99076224328</v>
      </c>
      <c r="AZ998" s="17">
        <f t="shared" ref="AZ998:AZ999" si="616">+AM998+Z998+M998</f>
        <v>469159.34328714124</v>
      </c>
      <c r="BA998" s="17">
        <f t="shared" ref="BA998:BA999" si="617">+AN998+AA998+N998</f>
        <v>479029.47349146823</v>
      </c>
      <c r="BB998" s="17">
        <f t="shared" ref="BB998:BB999" si="618">+AO998+AB998+O998</f>
        <v>467878.234314662</v>
      </c>
      <c r="BC998" s="23"/>
      <c r="BD998" s="23"/>
      <c r="BE998" s="23"/>
      <c r="BF998" s="23"/>
      <c r="BG998" s="23"/>
      <c r="BH998" s="23"/>
      <c r="BI998" s="23"/>
      <c r="BJ998" s="23"/>
      <c r="BK998" s="23"/>
      <c r="BL998" s="23"/>
      <c r="BM998" s="23"/>
      <c r="BN998" s="23"/>
    </row>
    <row r="999" spans="1:66" x14ac:dyDescent="0.25">
      <c r="C999" s="21">
        <f>+C997-C998</f>
        <v>2959202.3210399998</v>
      </c>
      <c r="D999" s="21">
        <f t="shared" ref="D999:O999" si="619">+D997-D998</f>
        <v>263906.29694949999</v>
      </c>
      <c r="E999" s="21">
        <f t="shared" si="619"/>
        <v>315607.15067227586</v>
      </c>
      <c r="F999" s="21">
        <f t="shared" si="619"/>
        <v>279314.64119848458</v>
      </c>
      <c r="G999" s="21">
        <f t="shared" si="619"/>
        <v>211570.09303527768</v>
      </c>
      <c r="H999" s="21">
        <f t="shared" si="619"/>
        <v>306827.01767610328</v>
      </c>
      <c r="I999" s="21">
        <f t="shared" si="619"/>
        <v>251444.40057430719</v>
      </c>
      <c r="J999" s="21">
        <f t="shared" si="619"/>
        <v>250330.40271937317</v>
      </c>
      <c r="K999" s="21">
        <f t="shared" si="619"/>
        <v>169997.60782248783</v>
      </c>
      <c r="L999" s="21">
        <f t="shared" si="619"/>
        <v>251987.4775064711</v>
      </c>
      <c r="M999" s="21">
        <f t="shared" si="619"/>
        <v>219448.70005927503</v>
      </c>
      <c r="N999" s="21">
        <f t="shared" si="619"/>
        <v>224065.44120222941</v>
      </c>
      <c r="O999" s="21">
        <f t="shared" si="619"/>
        <v>218849.46292871918</v>
      </c>
      <c r="P999" s="22">
        <f>+P997-P998</f>
        <v>2536576</v>
      </c>
      <c r="Q999" s="22">
        <f t="shared" ref="Q999:AB999" si="620">+Q997-Q998</f>
        <v>226215.81982799666</v>
      </c>
      <c r="R999" s="22">
        <f t="shared" si="620"/>
        <v>270532.87912477949</v>
      </c>
      <c r="S999" s="22">
        <f t="shared" si="620"/>
        <v>239423.58056264531</v>
      </c>
      <c r="T999" s="22">
        <f t="shared" si="620"/>
        <v>181354.14956096854</v>
      </c>
      <c r="U999" s="22">
        <f t="shared" si="620"/>
        <v>263006.70408884145</v>
      </c>
      <c r="V999" s="22">
        <f t="shared" si="620"/>
        <v>215533.70220628296</v>
      </c>
      <c r="W999" s="22">
        <f t="shared" si="620"/>
        <v>214578.80290697239</v>
      </c>
      <c r="X999" s="22">
        <f t="shared" si="620"/>
        <v>145718.94898635623</v>
      </c>
      <c r="Y999" s="22">
        <f t="shared" si="620"/>
        <v>215999.21816728436</v>
      </c>
      <c r="Z999" s="22">
        <f t="shared" si="620"/>
        <v>188107.55244539143</v>
      </c>
      <c r="AA999" s="22">
        <f t="shared" si="620"/>
        <v>192064.94146815929</v>
      </c>
      <c r="AB999" s="22">
        <f t="shared" si="620"/>
        <v>187593.89695354851</v>
      </c>
      <c r="AC999" s="21">
        <f>+AC997-AC998</f>
        <v>1528192</v>
      </c>
      <c r="AD999" s="21">
        <f t="shared" ref="AD999:AO999" si="621">+AD997-AD998</f>
        <v>136286.5556303403</v>
      </c>
      <c r="AE999" s="21">
        <f t="shared" si="621"/>
        <v>162985.92339257902</v>
      </c>
      <c r="AF999" s="21">
        <f t="shared" si="621"/>
        <v>144243.73660682375</v>
      </c>
      <c r="AG999" s="21">
        <f t="shared" si="621"/>
        <v>109259.08016391992</v>
      </c>
      <c r="AH999" s="21">
        <f t="shared" si="621"/>
        <v>158451.68492287805</v>
      </c>
      <c r="AI999" s="21">
        <f t="shared" si="621"/>
        <v>129850.97999903127</v>
      </c>
      <c r="AJ999" s="21">
        <f t="shared" si="621"/>
        <v>129275.68894920203</v>
      </c>
      <c r="AK999" s="21">
        <f t="shared" si="621"/>
        <v>87790.206991376603</v>
      </c>
      <c r="AL999" s="21">
        <f t="shared" si="621"/>
        <v>130131.43592366223</v>
      </c>
      <c r="AM999" s="21">
        <f t="shared" si="621"/>
        <v>113327.75236642912</v>
      </c>
      <c r="AN999" s="21">
        <f t="shared" si="621"/>
        <v>115711.93097786469</v>
      </c>
      <c r="AO999" s="21">
        <f t="shared" si="621"/>
        <v>113018.29417815054</v>
      </c>
      <c r="AP999" s="17">
        <f>+AC999+P999+C999</f>
        <v>7023970.3210399998</v>
      </c>
      <c r="AQ999" s="17">
        <f t="shared" ref="AQ999" si="622">+AD999+Q999+D999</f>
        <v>626408.67240783689</v>
      </c>
      <c r="AR999" s="17">
        <f t="shared" si="608"/>
        <v>749125.95318963437</v>
      </c>
      <c r="AS999" s="17">
        <f t="shared" si="609"/>
        <v>662981.95836795366</v>
      </c>
      <c r="AT999" s="17">
        <f t="shared" si="610"/>
        <v>502183.32276016613</v>
      </c>
      <c r="AU999" s="17">
        <f t="shared" si="611"/>
        <v>728285.40668782277</v>
      </c>
      <c r="AV999" s="17">
        <f t="shared" si="612"/>
        <v>596829.08277962147</v>
      </c>
      <c r="AW999" s="17">
        <f t="shared" si="613"/>
        <v>594184.89457554766</v>
      </c>
      <c r="AX999" s="17">
        <f t="shared" si="614"/>
        <v>403506.76380022068</v>
      </c>
      <c r="AY999" s="17">
        <f t="shared" si="615"/>
        <v>598118.13159741764</v>
      </c>
      <c r="AZ999" s="17">
        <f t="shared" si="616"/>
        <v>520884.00487109559</v>
      </c>
      <c r="BA999" s="17">
        <f t="shared" si="617"/>
        <v>531842.31364825345</v>
      </c>
      <c r="BB999" s="17">
        <f t="shared" si="618"/>
        <v>519461.65406041819</v>
      </c>
      <c r="BC999" s="23"/>
      <c r="BD999" s="23"/>
      <c r="BE999" s="23"/>
      <c r="BF999" s="23"/>
      <c r="BG999" s="23"/>
      <c r="BH999" s="23"/>
      <c r="BI999" s="23"/>
      <c r="BJ999" s="23"/>
      <c r="BK999" s="23"/>
      <c r="BL999" s="23"/>
      <c r="BM999" s="23"/>
      <c r="BN999" s="23"/>
    </row>
    <row r="1000" spans="1:66" x14ac:dyDescent="0.25">
      <c r="C1000" s="46">
        <f>+C999/C997</f>
        <v>0.45999999999999996</v>
      </c>
      <c r="P1000" s="23">
        <f>+P999/P997</f>
        <v>0.56000000000000005</v>
      </c>
      <c r="AC1000" s="46">
        <f>+AC998/AC997</f>
        <v>0.36</v>
      </c>
      <c r="AP1000" s="55">
        <f>+AP999/AP997</f>
        <v>0.5261224226596628</v>
      </c>
      <c r="AQ1000" s="55">
        <f>+AQ999/AQ997</f>
        <v>0.5261224226596628</v>
      </c>
      <c r="AR1000" s="55">
        <f t="shared" ref="AR1000:BB1000" si="623">+AR999/AR997</f>
        <v>0.5261224226596628</v>
      </c>
      <c r="AS1000" s="55">
        <f t="shared" si="623"/>
        <v>0.5261224226596628</v>
      </c>
      <c r="AT1000" s="55">
        <f t="shared" si="623"/>
        <v>0.52612242265966291</v>
      </c>
      <c r="AU1000" s="55">
        <f t="shared" si="623"/>
        <v>0.52612242265966291</v>
      </c>
      <c r="AV1000" s="55">
        <f t="shared" si="623"/>
        <v>0.52612242265966291</v>
      </c>
      <c r="AW1000" s="55">
        <f t="shared" si="623"/>
        <v>0.52612242265966291</v>
      </c>
      <c r="AX1000" s="55">
        <f t="shared" si="623"/>
        <v>0.52612242265966291</v>
      </c>
      <c r="AY1000" s="55">
        <f t="shared" si="623"/>
        <v>0.5261224226596628</v>
      </c>
      <c r="AZ1000" s="55">
        <f t="shared" si="623"/>
        <v>0.5261224226596628</v>
      </c>
      <c r="BA1000" s="55">
        <f t="shared" si="623"/>
        <v>0.52612242265966291</v>
      </c>
      <c r="BB1000" s="55">
        <f t="shared" si="623"/>
        <v>0.5261224226596628</v>
      </c>
      <c r="BC1000" s="23"/>
      <c r="BD1000" s="23"/>
      <c r="BE1000" s="23"/>
      <c r="BF1000" s="23"/>
      <c r="BG1000" s="23"/>
      <c r="BH1000" s="23"/>
      <c r="BI1000" s="23"/>
      <c r="BJ1000" s="23"/>
      <c r="BK1000" s="23"/>
      <c r="BL1000" s="23"/>
      <c r="BM1000" s="23"/>
      <c r="BN1000" s="23"/>
    </row>
  </sheetData>
  <phoneticPr fontId="1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187"/>
  <sheetViews>
    <sheetView tabSelected="1" zoomScale="110" zoomScaleNormal="11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4" sqref="E4"/>
    </sheetView>
  </sheetViews>
  <sheetFormatPr baseColWidth="10" defaultColWidth="12.7109375" defaultRowHeight="15.75" outlineLevelRow="2" outlineLevelCol="1" x14ac:dyDescent="0.25"/>
  <cols>
    <col min="1" max="1" width="73.140625" style="1" customWidth="1"/>
    <col min="2" max="2" width="20.42578125" style="2" customWidth="1"/>
    <col min="3" max="3" width="24.42578125" style="2" customWidth="1"/>
    <col min="4" max="4" width="20.42578125" style="2" customWidth="1"/>
    <col min="5" max="5" width="24.42578125" style="2" customWidth="1"/>
    <col min="6" max="6" width="20.42578125" style="2" customWidth="1"/>
    <col min="7" max="7" width="24.42578125" style="2" hidden="1" customWidth="1" outlineLevel="1"/>
    <col min="8" max="8" width="14.140625" style="1" hidden="1" customWidth="1" outlineLevel="1"/>
    <col min="9" max="9" width="19" style="1" hidden="1" customWidth="1" outlineLevel="1"/>
    <col min="10" max="10" width="14.5703125" style="1" hidden="1" customWidth="1" outlineLevel="1"/>
    <col min="11" max="11" width="15.7109375" style="1" hidden="1" customWidth="1" outlineLevel="1"/>
    <col min="12" max="12" width="14.85546875" style="1" hidden="1" customWidth="1" outlineLevel="1"/>
    <col min="13" max="13" width="15.7109375" style="1" hidden="1" customWidth="1" outlineLevel="1"/>
    <col min="14" max="19" width="12.7109375" style="1" hidden="1" customWidth="1" outlineLevel="1"/>
    <col min="20" max="20" width="18.140625" style="1" hidden="1" customWidth="1" outlineLevel="1"/>
    <col min="21" max="21" width="19.7109375" style="1" customWidth="1" collapsed="1"/>
    <col min="22" max="22" width="23.7109375" style="1" customWidth="1"/>
    <col min="23" max="23" width="14.140625" style="1" customWidth="1"/>
    <col min="24" max="24" width="19" style="1" customWidth="1"/>
    <col min="25" max="25" width="14.5703125" style="1" customWidth="1"/>
    <col min="26" max="26" width="15.7109375" style="1" customWidth="1"/>
    <col min="27" max="27" width="14.85546875" style="1" customWidth="1"/>
    <col min="28" max="28" width="15.7109375" style="1" customWidth="1"/>
    <col min="29" max="29" width="14.5703125" style="1" customWidth="1"/>
    <col min="30" max="30" width="15.5703125" style="1" customWidth="1"/>
    <col min="31" max="31" width="16.28515625" style="1" customWidth="1"/>
    <col min="32" max="34" width="12.7109375" style="1"/>
    <col min="35" max="35" width="18.140625" style="1" customWidth="1"/>
    <col min="36" max="16384" width="12.7109375" style="1"/>
  </cols>
  <sheetData>
    <row r="1" spans="1:35" s="3" customFormat="1" x14ac:dyDescent="0.25">
      <c r="A1" s="3" t="s">
        <v>0</v>
      </c>
      <c r="B1" s="4" t="s">
        <v>1</v>
      </c>
      <c r="C1" s="3" t="s">
        <v>2</v>
      </c>
      <c r="D1" s="4" t="s">
        <v>3</v>
      </c>
      <c r="E1" s="3" t="s">
        <v>4</v>
      </c>
      <c r="F1" s="4" t="s">
        <v>1192</v>
      </c>
      <c r="G1" s="3" t="s">
        <v>1193</v>
      </c>
      <c r="H1" s="20" t="s">
        <v>187</v>
      </c>
      <c r="I1" s="16" t="s">
        <v>188</v>
      </c>
      <c r="J1" s="16" t="s">
        <v>189</v>
      </c>
      <c r="K1" s="16" t="s">
        <v>190</v>
      </c>
      <c r="L1" s="16" t="s">
        <v>191</v>
      </c>
      <c r="M1" s="16" t="s">
        <v>192</v>
      </c>
      <c r="N1" s="16" t="s">
        <v>193</v>
      </c>
      <c r="O1" s="16" t="s">
        <v>194</v>
      </c>
      <c r="P1" s="16" t="s">
        <v>195</v>
      </c>
      <c r="Q1" s="16" t="s">
        <v>196</v>
      </c>
      <c r="R1" s="16" t="s">
        <v>197</v>
      </c>
      <c r="S1" s="16" t="s">
        <v>198</v>
      </c>
      <c r="T1" s="3" t="s">
        <v>186</v>
      </c>
      <c r="U1" s="4" t="s">
        <v>1265</v>
      </c>
      <c r="V1" s="3" t="s">
        <v>1266</v>
      </c>
      <c r="W1" s="20" t="s">
        <v>187</v>
      </c>
      <c r="X1" s="16" t="s">
        <v>188</v>
      </c>
      <c r="Y1" s="16" t="s">
        <v>189</v>
      </c>
      <c r="Z1" s="16" t="s">
        <v>190</v>
      </c>
      <c r="AA1" s="16" t="s">
        <v>191</v>
      </c>
      <c r="AB1" s="16" t="s">
        <v>192</v>
      </c>
      <c r="AC1" s="16" t="s">
        <v>193</v>
      </c>
      <c r="AD1" s="16" t="s">
        <v>194</v>
      </c>
      <c r="AE1" s="16" t="s">
        <v>195</v>
      </c>
      <c r="AF1" s="16" t="s">
        <v>196</v>
      </c>
      <c r="AG1" s="16" t="s">
        <v>197</v>
      </c>
      <c r="AH1" s="16" t="s">
        <v>198</v>
      </c>
      <c r="AI1" s="3" t="s">
        <v>186</v>
      </c>
    </row>
    <row r="2" spans="1:35" s="5" customFormat="1" x14ac:dyDescent="0.25">
      <c r="A2" s="5" t="s">
        <v>5</v>
      </c>
      <c r="B2" s="6">
        <v>11033403.09</v>
      </c>
      <c r="C2" s="7">
        <f t="shared" ref="C2:C37" si="0">+B2/$B$2</f>
        <v>1</v>
      </c>
      <c r="D2" s="6">
        <f>SUM(D3)</f>
        <v>8410734.8800000008</v>
      </c>
      <c r="E2" s="7">
        <f>+D2/$D$2</f>
        <v>1</v>
      </c>
      <c r="F2" s="6">
        <f>SUM(F3:F8)</f>
        <v>11800000</v>
      </c>
      <c r="G2" s="7">
        <f>+F2/$F$2</f>
        <v>1</v>
      </c>
      <c r="H2" s="6">
        <f>SUM(H3:H8)</f>
        <v>1190613.9054883944</v>
      </c>
      <c r="I2" s="6">
        <f t="shared" ref="I2:S2" si="1">SUM(I3:I8)</f>
        <v>1423862.433770909</v>
      </c>
      <c r="J2" s="6">
        <f t="shared" si="1"/>
        <v>1260128.6883315793</v>
      </c>
      <c r="K2" s="6">
        <f t="shared" si="1"/>
        <v>954498.99326001084</v>
      </c>
      <c r="L2" s="6">
        <f t="shared" si="1"/>
        <v>1384250.8422396868</v>
      </c>
      <c r="M2" s="6">
        <f t="shared" si="1"/>
        <v>1134392.0294491937</v>
      </c>
      <c r="N2" s="6">
        <f t="shared" si="1"/>
        <v>1129366.2253963901</v>
      </c>
      <c r="O2" s="6">
        <f t="shared" si="1"/>
        <v>766944.62433364184</v>
      </c>
      <c r="P2" s="6">
        <f t="shared" si="1"/>
        <v>1136842.1223596609</v>
      </c>
      <c r="Q2" s="6">
        <f t="shared" si="1"/>
        <v>990043.34815823683</v>
      </c>
      <c r="R2" s="6">
        <f t="shared" si="1"/>
        <v>1010871.7871397217</v>
      </c>
      <c r="S2" s="6">
        <f t="shared" si="1"/>
        <v>987339.88837508019</v>
      </c>
      <c r="T2" s="6">
        <f>SUM(H2:S2)</f>
        <v>13369154.888302505</v>
      </c>
      <c r="U2" s="6">
        <f>SUM(W2:AH2)</f>
        <v>13369154.888302505</v>
      </c>
      <c r="W2" s="6">
        <f>SUM(W3:W8)</f>
        <v>1190613.9054883944</v>
      </c>
      <c r="X2" s="6">
        <f t="shared" ref="X2:AH2" si="2">SUM(X3:X8)</f>
        <v>1423862.433770909</v>
      </c>
      <c r="Y2" s="6">
        <f t="shared" si="2"/>
        <v>1260128.6883315793</v>
      </c>
      <c r="Z2" s="6">
        <f t="shared" si="2"/>
        <v>954498.99326001084</v>
      </c>
      <c r="AA2" s="6">
        <f t="shared" si="2"/>
        <v>1384250.8422396868</v>
      </c>
      <c r="AB2" s="6">
        <f t="shared" si="2"/>
        <v>1134392.0294491937</v>
      </c>
      <c r="AC2" s="6">
        <f t="shared" si="2"/>
        <v>1129366.2253963901</v>
      </c>
      <c r="AD2" s="6">
        <f t="shared" si="2"/>
        <v>766944.62433364184</v>
      </c>
      <c r="AE2" s="6">
        <f t="shared" si="2"/>
        <v>1136842.1223596609</v>
      </c>
      <c r="AF2" s="6">
        <f t="shared" si="2"/>
        <v>990043.34815823683</v>
      </c>
      <c r="AG2" s="6">
        <f t="shared" si="2"/>
        <v>1010871.7871397217</v>
      </c>
      <c r="AH2" s="6">
        <f t="shared" si="2"/>
        <v>987339.88837508019</v>
      </c>
      <c r="AI2" s="6">
        <f>SUM(W2:AH2)</f>
        <v>13369154.888302505</v>
      </c>
    </row>
    <row r="3" spans="1:35" outlineLevel="1" x14ac:dyDescent="0.25">
      <c r="A3" s="1" t="s">
        <v>6</v>
      </c>
      <c r="B3" s="2">
        <v>10636261.33</v>
      </c>
      <c r="C3" s="8">
        <f t="shared" si="0"/>
        <v>0.96400550611987113</v>
      </c>
      <c r="D3" s="2">
        <v>8410734.8800000008</v>
      </c>
      <c r="E3" s="8">
        <f>+D3/$D$2</f>
        <v>1</v>
      </c>
      <c r="F3" s="2">
        <v>11800000</v>
      </c>
      <c r="G3" s="7">
        <f t="shared" ref="G3:G13" si="3">+F3/$F$2</f>
        <v>1</v>
      </c>
      <c r="H3" s="2">
        <f>+'presupuesto ventas cenval indus'!AQ997</f>
        <v>1190613.9054883944</v>
      </c>
      <c r="I3" s="2">
        <f>+'presupuesto ventas cenval indus'!AR997</f>
        <v>1423862.433770909</v>
      </c>
      <c r="J3" s="2">
        <f>+'presupuesto ventas cenval indus'!AS997</f>
        <v>1260128.6883315793</v>
      </c>
      <c r="K3" s="2">
        <f>+'presupuesto ventas cenval indus'!AT997</f>
        <v>954498.99326001084</v>
      </c>
      <c r="L3" s="2">
        <f>+'presupuesto ventas cenval indus'!AU997</f>
        <v>1384250.8422396868</v>
      </c>
      <c r="M3" s="2">
        <f>+'presupuesto ventas cenval indus'!AV997</f>
        <v>1134392.0294491937</v>
      </c>
      <c r="N3" s="2">
        <f>+'presupuesto ventas cenval indus'!AW997</f>
        <v>1129366.2253963901</v>
      </c>
      <c r="O3" s="2">
        <f>+'presupuesto ventas cenval indus'!AX997</f>
        <v>766944.62433364184</v>
      </c>
      <c r="P3" s="2">
        <f>+'presupuesto ventas cenval indus'!AY997</f>
        <v>1136842.1223596609</v>
      </c>
      <c r="Q3" s="2">
        <f>+'presupuesto ventas cenval indus'!AZ997</f>
        <v>990043.34815823683</v>
      </c>
      <c r="R3" s="2">
        <f>+'presupuesto ventas cenval indus'!BA997</f>
        <v>1010871.7871397217</v>
      </c>
      <c r="S3" s="2">
        <f>+'presupuesto ventas cenval indus'!BB997</f>
        <v>987339.88837508019</v>
      </c>
      <c r="T3" s="6">
        <f t="shared" ref="T3:T66" si="4">SUM(H3:S3)</f>
        <v>13369154.888302505</v>
      </c>
      <c r="U3" s="6">
        <f t="shared" ref="U3:U37" si="5">SUM(W3:AH3)</f>
        <v>13369154.888302505</v>
      </c>
      <c r="W3" s="2">
        <f>+'presupuesto ventas cenval indus'!AQ997</f>
        <v>1190613.9054883944</v>
      </c>
      <c r="X3" s="2">
        <f>+'presupuesto ventas cenval indus'!AR997</f>
        <v>1423862.433770909</v>
      </c>
      <c r="Y3" s="2">
        <f>+'presupuesto ventas cenval indus'!AS997</f>
        <v>1260128.6883315793</v>
      </c>
      <c r="Z3" s="2">
        <f>+'presupuesto ventas cenval indus'!AT997</f>
        <v>954498.99326001084</v>
      </c>
      <c r="AA3" s="2">
        <f>+'presupuesto ventas cenval indus'!AU997</f>
        <v>1384250.8422396868</v>
      </c>
      <c r="AB3" s="2">
        <f>+'presupuesto ventas cenval indus'!AV997</f>
        <v>1134392.0294491937</v>
      </c>
      <c r="AC3" s="2">
        <f>+'presupuesto ventas cenval indus'!AW997</f>
        <v>1129366.2253963901</v>
      </c>
      <c r="AD3" s="2">
        <f>+'presupuesto ventas cenval indus'!AX997</f>
        <v>766944.62433364184</v>
      </c>
      <c r="AE3" s="2">
        <f>+'presupuesto ventas cenval indus'!AY997</f>
        <v>1136842.1223596609</v>
      </c>
      <c r="AF3" s="2">
        <f>+'presupuesto ventas cenval indus'!AZ997</f>
        <v>990043.34815823683</v>
      </c>
      <c r="AG3" s="2">
        <f>+'presupuesto ventas cenval indus'!BA997</f>
        <v>1010871.7871397217</v>
      </c>
      <c r="AH3" s="2">
        <f>+'presupuesto ventas cenval indus'!BB997</f>
        <v>987339.88837508019</v>
      </c>
      <c r="AI3" s="6">
        <f t="shared" ref="AI3:AI31" si="6">SUM(W3:AH3)</f>
        <v>13369154.888302505</v>
      </c>
    </row>
    <row r="4" spans="1:35" s="5" customFormat="1" outlineLevel="1" x14ac:dyDescent="0.25">
      <c r="A4" s="1" t="s">
        <v>7</v>
      </c>
      <c r="B4" s="2">
        <v>356139.25</v>
      </c>
      <c r="C4" s="8">
        <f t="shared" si="0"/>
        <v>3.2278277798332485E-2</v>
      </c>
      <c r="D4" s="2"/>
      <c r="E4" s="8">
        <f>+D4/$D$2</f>
        <v>0</v>
      </c>
      <c r="F4" s="2"/>
      <c r="G4" s="7">
        <f t="shared" si="3"/>
        <v>0</v>
      </c>
      <c r="H4" s="2">
        <f>+$F$4/12</f>
        <v>0</v>
      </c>
      <c r="I4" s="2">
        <f t="shared" ref="I4:S4" si="7">+$F$4/12</f>
        <v>0</v>
      </c>
      <c r="J4" s="2">
        <f t="shared" si="7"/>
        <v>0</v>
      </c>
      <c r="K4" s="2">
        <f t="shared" si="7"/>
        <v>0</v>
      </c>
      <c r="L4" s="2">
        <f t="shared" si="7"/>
        <v>0</v>
      </c>
      <c r="M4" s="2">
        <f t="shared" si="7"/>
        <v>0</v>
      </c>
      <c r="N4" s="2">
        <f t="shared" si="7"/>
        <v>0</v>
      </c>
      <c r="O4" s="2">
        <f t="shared" si="7"/>
        <v>0</v>
      </c>
      <c r="P4" s="2">
        <f t="shared" si="7"/>
        <v>0</v>
      </c>
      <c r="Q4" s="2">
        <f t="shared" si="7"/>
        <v>0</v>
      </c>
      <c r="R4" s="2">
        <f t="shared" si="7"/>
        <v>0</v>
      </c>
      <c r="S4" s="2">
        <f t="shared" si="7"/>
        <v>0</v>
      </c>
      <c r="T4" s="6">
        <f t="shared" si="4"/>
        <v>0</v>
      </c>
      <c r="U4" s="6">
        <f t="shared" si="5"/>
        <v>0</v>
      </c>
      <c r="W4" s="2">
        <f>+$F$4/12</f>
        <v>0</v>
      </c>
      <c r="X4" s="2">
        <f t="shared" ref="X4:AH4" si="8">+$F$4/12</f>
        <v>0</v>
      </c>
      <c r="Y4" s="2">
        <f t="shared" si="8"/>
        <v>0</v>
      </c>
      <c r="Z4" s="2">
        <f t="shared" si="8"/>
        <v>0</v>
      </c>
      <c r="AA4" s="2">
        <f t="shared" si="8"/>
        <v>0</v>
      </c>
      <c r="AB4" s="2">
        <f t="shared" si="8"/>
        <v>0</v>
      </c>
      <c r="AC4" s="2">
        <f t="shared" si="8"/>
        <v>0</v>
      </c>
      <c r="AD4" s="2">
        <f t="shared" si="8"/>
        <v>0</v>
      </c>
      <c r="AE4" s="2">
        <f t="shared" si="8"/>
        <v>0</v>
      </c>
      <c r="AF4" s="2">
        <f t="shared" si="8"/>
        <v>0</v>
      </c>
      <c r="AG4" s="2">
        <f t="shared" si="8"/>
        <v>0</v>
      </c>
      <c r="AH4" s="2">
        <f t="shared" si="8"/>
        <v>0</v>
      </c>
      <c r="AI4" s="6">
        <f t="shared" si="6"/>
        <v>0</v>
      </c>
    </row>
    <row r="5" spans="1:35" outlineLevel="1" x14ac:dyDescent="0.25">
      <c r="A5" s="1" t="s">
        <v>8</v>
      </c>
      <c r="B5" s="2">
        <v>41002.51</v>
      </c>
      <c r="C5" s="8">
        <f t="shared" si="0"/>
        <v>3.7162160817963918E-3</v>
      </c>
      <c r="E5" s="8">
        <f>+D5/$D$2</f>
        <v>0</v>
      </c>
      <c r="G5" s="7">
        <f t="shared" si="3"/>
        <v>0</v>
      </c>
      <c r="H5" s="2">
        <f>+$F$5/12</f>
        <v>0</v>
      </c>
      <c r="I5" s="2">
        <f t="shared" ref="I5:S5" si="9">+$F$5/12</f>
        <v>0</v>
      </c>
      <c r="J5" s="2">
        <f t="shared" si="9"/>
        <v>0</v>
      </c>
      <c r="K5" s="2">
        <f t="shared" si="9"/>
        <v>0</v>
      </c>
      <c r="L5" s="2">
        <f t="shared" si="9"/>
        <v>0</v>
      </c>
      <c r="M5" s="2">
        <f t="shared" si="9"/>
        <v>0</v>
      </c>
      <c r="N5" s="2">
        <f t="shared" si="9"/>
        <v>0</v>
      </c>
      <c r="O5" s="2">
        <f t="shared" si="9"/>
        <v>0</v>
      </c>
      <c r="P5" s="2">
        <f t="shared" si="9"/>
        <v>0</v>
      </c>
      <c r="Q5" s="2">
        <f t="shared" si="9"/>
        <v>0</v>
      </c>
      <c r="R5" s="2">
        <f t="shared" si="9"/>
        <v>0</v>
      </c>
      <c r="S5" s="2">
        <f t="shared" si="9"/>
        <v>0</v>
      </c>
      <c r="T5" s="6">
        <f t="shared" si="4"/>
        <v>0</v>
      </c>
      <c r="U5" s="6">
        <f t="shared" si="5"/>
        <v>0</v>
      </c>
      <c r="W5" s="2">
        <f>+$F$5/12</f>
        <v>0</v>
      </c>
      <c r="X5" s="2">
        <f t="shared" ref="X5:AH5" si="10">+$F$5/12</f>
        <v>0</v>
      </c>
      <c r="Y5" s="2">
        <f t="shared" si="10"/>
        <v>0</v>
      </c>
      <c r="Z5" s="2">
        <f t="shared" si="10"/>
        <v>0</v>
      </c>
      <c r="AA5" s="2">
        <f t="shared" si="10"/>
        <v>0</v>
      </c>
      <c r="AB5" s="2">
        <f t="shared" si="10"/>
        <v>0</v>
      </c>
      <c r="AC5" s="2">
        <f t="shared" si="10"/>
        <v>0</v>
      </c>
      <c r="AD5" s="2">
        <f t="shared" si="10"/>
        <v>0</v>
      </c>
      <c r="AE5" s="2">
        <f t="shared" si="10"/>
        <v>0</v>
      </c>
      <c r="AF5" s="2">
        <f t="shared" si="10"/>
        <v>0</v>
      </c>
      <c r="AG5" s="2">
        <f t="shared" si="10"/>
        <v>0</v>
      </c>
      <c r="AH5" s="2">
        <f t="shared" si="10"/>
        <v>0</v>
      </c>
      <c r="AI5" s="6">
        <f t="shared" si="6"/>
        <v>0</v>
      </c>
    </row>
    <row r="6" spans="1:35" outlineLevel="1" x14ac:dyDescent="0.25">
      <c r="A6" s="1" t="s">
        <v>9</v>
      </c>
      <c r="C6" s="8">
        <f t="shared" si="0"/>
        <v>0</v>
      </c>
      <c r="E6" s="2">
        <v>3</v>
      </c>
      <c r="G6" s="7">
        <f t="shared" si="3"/>
        <v>0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6">
        <f t="shared" si="4"/>
        <v>0</v>
      </c>
      <c r="U6" s="6">
        <f t="shared" si="5"/>
        <v>0</v>
      </c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6">
        <f t="shared" si="6"/>
        <v>0</v>
      </c>
    </row>
    <row r="7" spans="1:35" outlineLevel="1" x14ac:dyDescent="0.25">
      <c r="A7" s="9" t="s">
        <v>10</v>
      </c>
      <c r="C7" s="8">
        <f t="shared" si="0"/>
        <v>0</v>
      </c>
      <c r="E7" s="2">
        <v>4</v>
      </c>
      <c r="G7" s="7">
        <f t="shared" si="3"/>
        <v>0</v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6">
        <f t="shared" si="4"/>
        <v>0</v>
      </c>
      <c r="U7" s="6">
        <f t="shared" si="5"/>
        <v>0</v>
      </c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6">
        <f t="shared" si="6"/>
        <v>0</v>
      </c>
    </row>
    <row r="8" spans="1:35" outlineLevel="1" x14ac:dyDescent="0.25">
      <c r="A8" s="9" t="s">
        <v>11</v>
      </c>
      <c r="C8" s="8">
        <f t="shared" si="0"/>
        <v>0</v>
      </c>
      <c r="E8" s="2">
        <v>5</v>
      </c>
      <c r="G8" s="7">
        <f t="shared" si="3"/>
        <v>0</v>
      </c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6">
        <f t="shared" si="4"/>
        <v>0</v>
      </c>
      <c r="U8" s="6">
        <f t="shared" si="5"/>
        <v>0</v>
      </c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6">
        <f t="shared" si="6"/>
        <v>0</v>
      </c>
    </row>
    <row r="9" spans="1:35" s="5" customFormat="1" outlineLevel="1" x14ac:dyDescent="0.25">
      <c r="A9" s="5" t="s">
        <v>12</v>
      </c>
      <c r="B9" s="6">
        <v>-338099.66</v>
      </c>
      <c r="C9" s="7">
        <f t="shared" si="0"/>
        <v>-3.0643279978271869E-2</v>
      </c>
      <c r="D9" s="6">
        <v>0</v>
      </c>
      <c r="E9" s="7">
        <f t="shared" ref="E9:E37" si="11">+D9/$D$2</f>
        <v>0</v>
      </c>
      <c r="F9" s="6">
        <f>+F10+F11</f>
        <v>0</v>
      </c>
      <c r="G9" s="7">
        <f t="shared" si="3"/>
        <v>0</v>
      </c>
      <c r="H9" s="6">
        <f>+H10+H11</f>
        <v>0</v>
      </c>
      <c r="I9" s="6">
        <f t="shared" ref="I9:S9" si="12">+I10+I11</f>
        <v>0</v>
      </c>
      <c r="J9" s="6">
        <f t="shared" si="12"/>
        <v>0</v>
      </c>
      <c r="K9" s="6">
        <f t="shared" si="12"/>
        <v>0</v>
      </c>
      <c r="L9" s="6">
        <f t="shared" si="12"/>
        <v>0</v>
      </c>
      <c r="M9" s="6">
        <f t="shared" si="12"/>
        <v>0</v>
      </c>
      <c r="N9" s="6">
        <f t="shared" si="12"/>
        <v>0</v>
      </c>
      <c r="O9" s="6">
        <f t="shared" si="12"/>
        <v>0</v>
      </c>
      <c r="P9" s="6">
        <f t="shared" si="12"/>
        <v>0</v>
      </c>
      <c r="Q9" s="6">
        <f t="shared" si="12"/>
        <v>0</v>
      </c>
      <c r="R9" s="6">
        <f t="shared" si="12"/>
        <v>0</v>
      </c>
      <c r="S9" s="6">
        <f t="shared" si="12"/>
        <v>0</v>
      </c>
      <c r="T9" s="6">
        <f t="shared" si="4"/>
        <v>0</v>
      </c>
      <c r="U9" s="6">
        <f t="shared" si="5"/>
        <v>0</v>
      </c>
      <c r="W9" s="6">
        <f>+W10+W11</f>
        <v>0</v>
      </c>
      <c r="X9" s="6">
        <f t="shared" ref="X9:AH9" si="13">+X10+X11</f>
        <v>0</v>
      </c>
      <c r="Y9" s="6">
        <f t="shared" si="13"/>
        <v>0</v>
      </c>
      <c r="Z9" s="6">
        <f t="shared" si="13"/>
        <v>0</v>
      </c>
      <c r="AA9" s="6">
        <f t="shared" si="13"/>
        <v>0</v>
      </c>
      <c r="AB9" s="6">
        <f t="shared" si="13"/>
        <v>0</v>
      </c>
      <c r="AC9" s="6">
        <f t="shared" si="13"/>
        <v>0</v>
      </c>
      <c r="AD9" s="6">
        <f t="shared" si="13"/>
        <v>0</v>
      </c>
      <c r="AE9" s="6">
        <f t="shared" si="13"/>
        <v>0</v>
      </c>
      <c r="AF9" s="6">
        <f t="shared" si="13"/>
        <v>0</v>
      </c>
      <c r="AG9" s="6">
        <f t="shared" si="13"/>
        <v>0</v>
      </c>
      <c r="AH9" s="6">
        <f t="shared" si="13"/>
        <v>0</v>
      </c>
      <c r="AI9" s="6">
        <f t="shared" si="6"/>
        <v>0</v>
      </c>
    </row>
    <row r="10" spans="1:35" outlineLevel="1" x14ac:dyDescent="0.25">
      <c r="A10" s="1" t="s">
        <v>13</v>
      </c>
      <c r="B10" s="2">
        <v>-1399440.38</v>
      </c>
      <c r="C10" s="8">
        <f t="shared" si="0"/>
        <v>-0.12683669476993611</v>
      </c>
      <c r="D10" s="2">
        <v>0</v>
      </c>
      <c r="E10" s="8">
        <f t="shared" si="11"/>
        <v>0</v>
      </c>
      <c r="F10" s="2">
        <v>0</v>
      </c>
      <c r="G10" s="7">
        <f t="shared" si="3"/>
        <v>0</v>
      </c>
      <c r="H10" s="2">
        <v>0</v>
      </c>
      <c r="I10" s="2">
        <v>0</v>
      </c>
      <c r="J10" s="2">
        <v>0</v>
      </c>
      <c r="K10" s="2">
        <v>0</v>
      </c>
      <c r="L10" s="2">
        <v>0</v>
      </c>
      <c r="M10" s="2">
        <v>0</v>
      </c>
      <c r="N10" s="2">
        <v>0</v>
      </c>
      <c r="O10" s="2">
        <v>0</v>
      </c>
      <c r="P10" s="2">
        <v>0</v>
      </c>
      <c r="Q10" s="2">
        <v>0</v>
      </c>
      <c r="R10" s="2">
        <v>0</v>
      </c>
      <c r="S10" s="2">
        <v>0</v>
      </c>
      <c r="T10" s="6">
        <f t="shared" si="4"/>
        <v>0</v>
      </c>
      <c r="U10" s="6">
        <f t="shared" si="5"/>
        <v>0</v>
      </c>
      <c r="W10" s="2">
        <v>0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  <c r="AC10" s="2">
        <v>0</v>
      </c>
      <c r="AD10" s="2">
        <v>0</v>
      </c>
      <c r="AE10" s="2">
        <v>0</v>
      </c>
      <c r="AF10" s="2">
        <v>0</v>
      </c>
      <c r="AG10" s="2">
        <v>0</v>
      </c>
      <c r="AH10" s="2">
        <v>0</v>
      </c>
      <c r="AI10" s="6">
        <f t="shared" si="6"/>
        <v>0</v>
      </c>
    </row>
    <row r="11" spans="1:35" outlineLevel="1" x14ac:dyDescent="0.25">
      <c r="A11" s="1" t="s">
        <v>14</v>
      </c>
      <c r="B11" s="2">
        <v>1061340.72</v>
      </c>
      <c r="C11" s="8">
        <f t="shared" si="0"/>
        <v>9.6193414791664239E-2</v>
      </c>
      <c r="D11" s="2">
        <v>0</v>
      </c>
      <c r="E11" s="8">
        <f t="shared" si="11"/>
        <v>0</v>
      </c>
      <c r="F11" s="2">
        <v>0</v>
      </c>
      <c r="G11" s="7">
        <f t="shared" si="3"/>
        <v>0</v>
      </c>
      <c r="H11" s="2">
        <v>0</v>
      </c>
      <c r="I11" s="2">
        <v>0</v>
      </c>
      <c r="J11" s="2">
        <v>0</v>
      </c>
      <c r="K11" s="2">
        <v>0</v>
      </c>
      <c r="L11" s="2">
        <v>0</v>
      </c>
      <c r="M11" s="2">
        <v>0</v>
      </c>
      <c r="N11" s="2">
        <v>0</v>
      </c>
      <c r="O11" s="2">
        <v>0</v>
      </c>
      <c r="P11" s="2">
        <v>0</v>
      </c>
      <c r="Q11" s="2">
        <v>0</v>
      </c>
      <c r="R11" s="2">
        <v>0</v>
      </c>
      <c r="S11" s="2">
        <v>0</v>
      </c>
      <c r="T11" s="6">
        <f t="shared" si="4"/>
        <v>0</v>
      </c>
      <c r="U11" s="6">
        <f t="shared" si="5"/>
        <v>0</v>
      </c>
      <c r="W11" s="2">
        <v>0</v>
      </c>
      <c r="X11" s="2">
        <v>0</v>
      </c>
      <c r="Y11" s="2">
        <v>0</v>
      </c>
      <c r="Z11" s="2">
        <v>0</v>
      </c>
      <c r="AA11" s="2">
        <v>0</v>
      </c>
      <c r="AB11" s="2">
        <v>0</v>
      </c>
      <c r="AC11" s="2">
        <v>0</v>
      </c>
      <c r="AD11" s="2">
        <v>0</v>
      </c>
      <c r="AE11" s="2">
        <v>0</v>
      </c>
      <c r="AF11" s="2">
        <v>0</v>
      </c>
      <c r="AG11" s="2">
        <v>0</v>
      </c>
      <c r="AH11" s="2">
        <v>0</v>
      </c>
      <c r="AI11" s="6">
        <f t="shared" si="6"/>
        <v>0</v>
      </c>
    </row>
    <row r="12" spans="1:35" x14ac:dyDescent="0.25">
      <c r="A12" s="5" t="s">
        <v>15</v>
      </c>
      <c r="B12" s="6">
        <v>0</v>
      </c>
      <c r="C12" s="7">
        <f t="shared" si="0"/>
        <v>0</v>
      </c>
      <c r="D12" s="6">
        <v>0</v>
      </c>
      <c r="E12" s="7">
        <f t="shared" si="11"/>
        <v>0</v>
      </c>
      <c r="F12" s="6">
        <v>0</v>
      </c>
      <c r="G12" s="7">
        <f t="shared" si="3"/>
        <v>0</v>
      </c>
      <c r="H12" s="6">
        <v>0</v>
      </c>
      <c r="I12" s="6">
        <v>0</v>
      </c>
      <c r="J12" s="6">
        <v>0</v>
      </c>
      <c r="K12" s="6">
        <v>0</v>
      </c>
      <c r="L12" s="6">
        <v>0</v>
      </c>
      <c r="M12" s="6">
        <v>0</v>
      </c>
      <c r="N12" s="6">
        <v>0</v>
      </c>
      <c r="O12" s="6">
        <v>0</v>
      </c>
      <c r="P12" s="6">
        <v>0</v>
      </c>
      <c r="Q12" s="6">
        <v>0</v>
      </c>
      <c r="R12" s="6">
        <v>0</v>
      </c>
      <c r="S12" s="6">
        <v>0</v>
      </c>
      <c r="T12" s="6">
        <f t="shared" si="4"/>
        <v>0</v>
      </c>
      <c r="U12" s="6">
        <f t="shared" si="5"/>
        <v>0</v>
      </c>
      <c r="W12" s="6">
        <v>0</v>
      </c>
      <c r="X12" s="6">
        <v>0</v>
      </c>
      <c r="Y12" s="6">
        <v>0</v>
      </c>
      <c r="Z12" s="6">
        <v>0</v>
      </c>
      <c r="AA12" s="6">
        <v>0</v>
      </c>
      <c r="AB12" s="6">
        <v>0</v>
      </c>
      <c r="AC12" s="6">
        <v>0</v>
      </c>
      <c r="AD12" s="6">
        <v>0</v>
      </c>
      <c r="AE12" s="6">
        <v>0</v>
      </c>
      <c r="AF12" s="6">
        <v>0</v>
      </c>
      <c r="AG12" s="6">
        <v>0</v>
      </c>
      <c r="AH12" s="6">
        <v>0</v>
      </c>
      <c r="AI12" s="6">
        <f t="shared" si="6"/>
        <v>0</v>
      </c>
    </row>
    <row r="13" spans="1:35" x14ac:dyDescent="0.25">
      <c r="A13" s="5" t="s">
        <v>16</v>
      </c>
      <c r="B13" s="6">
        <v>-5045177.9000000004</v>
      </c>
      <c r="C13" s="7">
        <f t="shared" si="0"/>
        <v>-0.45726398816813285</v>
      </c>
      <c r="D13" s="6">
        <v>-4498539.4400000004</v>
      </c>
      <c r="E13" s="7">
        <f t="shared" si="11"/>
        <v>-0.53485688280308752</v>
      </c>
      <c r="F13" s="6">
        <f>SUM(F15:F21)</f>
        <v>-7104782.0290399995</v>
      </c>
      <c r="G13" s="7">
        <f t="shared" si="3"/>
        <v>-0.60210017195254228</v>
      </c>
      <c r="H13" s="6">
        <f>SUM(H15:H21)</f>
        <v>-570939.54208055767</v>
      </c>
      <c r="I13" s="6">
        <f t="shared" ref="I13:S13" si="14">SUM(I15:I21)</f>
        <v>-681470.78958127461</v>
      </c>
      <c r="J13" s="6">
        <f t="shared" si="14"/>
        <v>-603881.03896362567</v>
      </c>
      <c r="K13" s="6">
        <f t="shared" si="14"/>
        <v>-459049.97949984466</v>
      </c>
      <c r="L13" s="6">
        <f t="shared" si="14"/>
        <v>-662699.74455186422</v>
      </c>
      <c r="M13" s="6">
        <f t="shared" si="14"/>
        <v>-544297.25566957227</v>
      </c>
      <c r="N13" s="6">
        <f t="shared" si="14"/>
        <v>-541915.63982084265</v>
      </c>
      <c r="O13" s="6">
        <f t="shared" si="14"/>
        <v>-370172.16953342111</v>
      </c>
      <c r="P13" s="6">
        <f t="shared" si="14"/>
        <v>-545458.29976224352</v>
      </c>
      <c r="Q13" s="6">
        <f t="shared" si="14"/>
        <v>-475893.65228714119</v>
      </c>
      <c r="R13" s="6">
        <f t="shared" si="14"/>
        <v>-485763.78249146824</v>
      </c>
      <c r="S13" s="6">
        <f t="shared" si="14"/>
        <v>-474612.54331466195</v>
      </c>
      <c r="T13" s="6">
        <f t="shared" si="4"/>
        <v>-6416154.4375565173</v>
      </c>
      <c r="U13" s="6">
        <f t="shared" si="5"/>
        <v>-6371515.6615565168</v>
      </c>
      <c r="V13" s="23">
        <f>+U13/$U$2</f>
        <v>-0.47658327805980821</v>
      </c>
      <c r="W13" s="6">
        <f>SUM(W15:W21)</f>
        <v>-567219.64408055763</v>
      </c>
      <c r="X13" s="6">
        <f t="shared" ref="X13:AH13" si="15">SUM(X15:X21)</f>
        <v>-677750.89158127457</v>
      </c>
      <c r="Y13" s="6">
        <f t="shared" si="15"/>
        <v>-600161.14096362563</v>
      </c>
      <c r="Z13" s="6">
        <f t="shared" si="15"/>
        <v>-455330.08149984467</v>
      </c>
      <c r="AA13" s="6">
        <f t="shared" si="15"/>
        <v>-658979.84655186418</v>
      </c>
      <c r="AB13" s="6">
        <f t="shared" si="15"/>
        <v>-540577.35766957223</v>
      </c>
      <c r="AC13" s="6">
        <f t="shared" si="15"/>
        <v>-538195.74182084261</v>
      </c>
      <c r="AD13" s="6">
        <f t="shared" si="15"/>
        <v>-366452.27153342112</v>
      </c>
      <c r="AE13" s="6">
        <f t="shared" si="15"/>
        <v>-541738.40176224348</v>
      </c>
      <c r="AF13" s="6">
        <f t="shared" si="15"/>
        <v>-472173.7542871412</v>
      </c>
      <c r="AG13" s="6">
        <f t="shared" si="15"/>
        <v>-482043.88449146826</v>
      </c>
      <c r="AH13" s="6">
        <f t="shared" si="15"/>
        <v>-470892.64531466196</v>
      </c>
      <c r="AI13" s="6">
        <f t="shared" si="6"/>
        <v>-6371515.6615565168</v>
      </c>
    </row>
    <row r="14" spans="1:35" outlineLevel="1" x14ac:dyDescent="0.25">
      <c r="A14" s="9" t="s">
        <v>17</v>
      </c>
      <c r="B14" s="6"/>
      <c r="C14" s="8">
        <f t="shared" si="0"/>
        <v>0</v>
      </c>
      <c r="D14" s="6"/>
      <c r="E14" s="8">
        <f t="shared" si="11"/>
        <v>0</v>
      </c>
      <c r="F14" s="6"/>
      <c r="G14" s="8">
        <f t="shared" ref="G14:G37" si="16">+F14/$D$2</f>
        <v>0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>
        <f t="shared" si="4"/>
        <v>0</v>
      </c>
      <c r="U14" s="6">
        <f t="shared" si="5"/>
        <v>0</v>
      </c>
      <c r="V14" s="23">
        <f t="shared" ref="V14:V77" si="17">+U14/$U$2</f>
        <v>0</v>
      </c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>
        <f t="shared" si="6"/>
        <v>0</v>
      </c>
    </row>
    <row r="15" spans="1:35" outlineLevel="1" x14ac:dyDescent="0.25">
      <c r="A15" s="1" t="s">
        <v>18</v>
      </c>
      <c r="B15" s="2">
        <v>-1925072.66</v>
      </c>
      <c r="C15" s="8">
        <f t="shared" si="0"/>
        <v>-0.17447678148773227</v>
      </c>
      <c r="D15" s="2">
        <v>-1426913.3</v>
      </c>
      <c r="E15" s="8">
        <f t="shared" si="11"/>
        <v>-0.16965381983363623</v>
      </c>
      <c r="F15" s="2">
        <f>-'presupuesto ventas cenval indus'!P999</f>
        <v>-2536576</v>
      </c>
      <c r="G15" s="8">
        <f t="shared" si="16"/>
        <v>-0.30158791546643066</v>
      </c>
      <c r="H15" s="2">
        <f>-'presupuesto ventas cenval indus'!Q998</f>
        <v>-177741.00129342597</v>
      </c>
      <c r="I15" s="2">
        <f>-'presupuesto ventas cenval indus'!R998</f>
        <v>-212561.54788375532</v>
      </c>
      <c r="J15" s="2">
        <f>-'presupuesto ventas cenval indus'!S998</f>
        <v>-188118.52758493563</v>
      </c>
      <c r="K15" s="2">
        <f>-'presupuesto ventas cenval indus'!T998</f>
        <v>-142492.54608361816</v>
      </c>
      <c r="L15" s="2">
        <f>-'presupuesto ventas cenval indus'!U998</f>
        <v>-206648.12464123257</v>
      </c>
      <c r="M15" s="2">
        <f>-'presupuesto ventas cenval indus'!V998</f>
        <v>-169347.9088763652</v>
      </c>
      <c r="N15" s="2">
        <f>-'presupuesto ventas cenval indus'!W998</f>
        <v>-168597.63085547832</v>
      </c>
      <c r="O15" s="2">
        <f>-'presupuesto ventas cenval indus'!X998</f>
        <v>-114493.45991785132</v>
      </c>
      <c r="P15" s="2">
        <f>-'presupuesto ventas cenval indus'!Y998</f>
        <v>-169713.67141715201</v>
      </c>
      <c r="Q15" s="2">
        <f>-'presupuesto ventas cenval indus'!Z998</f>
        <v>-147798.79120709328</v>
      </c>
      <c r="R15" s="2">
        <f>-'presupuesto ventas cenval indus'!AA998</f>
        <v>-150908.16829641085</v>
      </c>
      <c r="S15" s="2">
        <f>-'presupuesto ventas cenval indus'!AB998</f>
        <v>-147395.2047492167</v>
      </c>
      <c r="T15" s="6">
        <f t="shared" si="4"/>
        <v>-1995816.5828065355</v>
      </c>
      <c r="U15" s="6">
        <f t="shared" si="5"/>
        <v>-1995816.5828065355</v>
      </c>
      <c r="V15" s="23">
        <f t="shared" si="17"/>
        <v>-0.14928517168671582</v>
      </c>
      <c r="W15" s="2">
        <f>-'presupuesto ventas cenval indus'!Q998</f>
        <v>-177741.00129342597</v>
      </c>
      <c r="X15" s="2">
        <f>-'presupuesto ventas cenval indus'!R998</f>
        <v>-212561.54788375532</v>
      </c>
      <c r="Y15" s="2">
        <f>-'presupuesto ventas cenval indus'!S998</f>
        <v>-188118.52758493563</v>
      </c>
      <c r="Z15" s="2">
        <f>-'presupuesto ventas cenval indus'!T998</f>
        <v>-142492.54608361816</v>
      </c>
      <c r="AA15" s="2">
        <f>-'presupuesto ventas cenval indus'!U998</f>
        <v>-206648.12464123257</v>
      </c>
      <c r="AB15" s="2">
        <f>-'presupuesto ventas cenval indus'!V998</f>
        <v>-169347.9088763652</v>
      </c>
      <c r="AC15" s="2">
        <f>-'presupuesto ventas cenval indus'!W998</f>
        <v>-168597.63085547832</v>
      </c>
      <c r="AD15" s="2">
        <f>-'presupuesto ventas cenval indus'!X998</f>
        <v>-114493.45991785132</v>
      </c>
      <c r="AE15" s="2">
        <f>-'presupuesto ventas cenval indus'!Y998</f>
        <v>-169713.67141715201</v>
      </c>
      <c r="AF15" s="2">
        <f>-'presupuesto ventas cenval indus'!Z998</f>
        <v>-147798.79120709328</v>
      </c>
      <c r="AG15" s="2">
        <f>-'presupuesto ventas cenval indus'!AA998</f>
        <v>-150908.16829641085</v>
      </c>
      <c r="AH15" s="2">
        <f>-'presupuesto ventas cenval indus'!AB998</f>
        <v>-147395.2047492167</v>
      </c>
      <c r="AI15" s="6">
        <f t="shared" si="6"/>
        <v>-1995816.5828065355</v>
      </c>
    </row>
    <row r="16" spans="1:35" outlineLevel="1" x14ac:dyDescent="0.25">
      <c r="A16" s="1" t="s">
        <v>19</v>
      </c>
      <c r="B16" s="2">
        <v>-2367572.19</v>
      </c>
      <c r="C16" s="8">
        <f t="shared" si="0"/>
        <v>-0.21458222550989933</v>
      </c>
      <c r="D16" s="2">
        <v>-2250423.88</v>
      </c>
      <c r="E16" s="8">
        <f t="shared" si="11"/>
        <v>-0.26756566603369142</v>
      </c>
      <c r="F16" s="2">
        <f>-'presupuesto ventas cenval indus'!C999</f>
        <v>-2959202.3210399998</v>
      </c>
      <c r="G16" s="8">
        <f t="shared" si="16"/>
        <v>-0.3518363571388663</v>
      </c>
      <c r="H16" s="2">
        <f>-'presupuesto ventas cenval indus'!D998</f>
        <v>-309803.04424506519</v>
      </c>
      <c r="I16" s="2">
        <f>-'presupuesto ventas cenval indus'!E998</f>
        <v>-370495.35078919347</v>
      </c>
      <c r="J16" s="2">
        <f>-'presupuesto ventas cenval indus'!F998</f>
        <v>-327891.10053735157</v>
      </c>
      <c r="K16" s="2">
        <f>-'presupuesto ventas cenval indus'!G998</f>
        <v>-248364.89182402164</v>
      </c>
      <c r="L16" s="2">
        <f>-'presupuesto ventas cenval indus'!H998</f>
        <v>-360188.23814151261</v>
      </c>
      <c r="M16" s="2">
        <f>-'presupuesto ventas cenval indus'!I998</f>
        <v>-295173.8615437519</v>
      </c>
      <c r="N16" s="2">
        <f>-'presupuesto ventas cenval indus'!J998</f>
        <v>-293866.12493143807</v>
      </c>
      <c r="O16" s="2">
        <f>-'presupuesto ventas cenval indus'!K998</f>
        <v>-199562.40918292053</v>
      </c>
      <c r="P16" s="2">
        <f>-'presupuesto ventas cenval indus'!L998</f>
        <v>-295811.38663803134</v>
      </c>
      <c r="Q16" s="2">
        <f>-'presupuesto ventas cenval indus'!M998</f>
        <v>-257613.69137393159</v>
      </c>
      <c r="R16" s="2">
        <f>-'presupuesto ventas cenval indus'!N998</f>
        <v>-263033.34402000852</v>
      </c>
      <c r="S16" s="2">
        <f>-'presupuesto ventas cenval indus'!O998</f>
        <v>-256910.23909023561</v>
      </c>
      <c r="T16" s="6">
        <f t="shared" si="4"/>
        <v>-3478713.6823174618</v>
      </c>
      <c r="U16" s="6">
        <f t="shared" si="5"/>
        <v>-3478713.6823174618</v>
      </c>
      <c r="V16" s="23">
        <f t="shared" si="17"/>
        <v>-0.26020445655553009</v>
      </c>
      <c r="W16" s="2">
        <f>-'presupuesto ventas cenval indus'!D998</f>
        <v>-309803.04424506519</v>
      </c>
      <c r="X16" s="2">
        <f>-'presupuesto ventas cenval indus'!E998</f>
        <v>-370495.35078919347</v>
      </c>
      <c r="Y16" s="2">
        <f>-'presupuesto ventas cenval indus'!F998</f>
        <v>-327891.10053735157</v>
      </c>
      <c r="Z16" s="2">
        <f>-'presupuesto ventas cenval indus'!G998</f>
        <v>-248364.89182402164</v>
      </c>
      <c r="AA16" s="2">
        <f>-'presupuesto ventas cenval indus'!H998</f>
        <v>-360188.23814151261</v>
      </c>
      <c r="AB16" s="2">
        <f>-'presupuesto ventas cenval indus'!I998</f>
        <v>-295173.8615437519</v>
      </c>
      <c r="AC16" s="2">
        <f>-'presupuesto ventas cenval indus'!J998</f>
        <v>-293866.12493143807</v>
      </c>
      <c r="AD16" s="2">
        <f>-'presupuesto ventas cenval indus'!K998</f>
        <v>-199562.40918292053</v>
      </c>
      <c r="AE16" s="2">
        <f>-'presupuesto ventas cenval indus'!L998</f>
        <v>-295811.38663803134</v>
      </c>
      <c r="AF16" s="2">
        <f>-'presupuesto ventas cenval indus'!M998</f>
        <v>-257613.69137393159</v>
      </c>
      <c r="AG16" s="2">
        <f>-'presupuesto ventas cenval indus'!N998</f>
        <v>-263033.34402000852</v>
      </c>
      <c r="AH16" s="2">
        <f>-'presupuesto ventas cenval indus'!O998</f>
        <v>-256910.23909023561</v>
      </c>
      <c r="AI16" s="6">
        <f t="shared" si="6"/>
        <v>-3478713.6823174618</v>
      </c>
    </row>
    <row r="17" spans="1:35" s="5" customFormat="1" outlineLevel="1" x14ac:dyDescent="0.25">
      <c r="A17" s="1" t="s">
        <v>20</v>
      </c>
      <c r="B17" s="2">
        <v>-611413.31999999995</v>
      </c>
      <c r="C17" s="8">
        <f t="shared" si="0"/>
        <v>-5.5414754179891015E-2</v>
      </c>
      <c r="D17" s="2">
        <v>-753859.17</v>
      </c>
      <c r="E17" s="8">
        <f t="shared" si="11"/>
        <v>-8.9630594800058652E-2</v>
      </c>
      <c r="F17" s="2">
        <f>-'presupuesto ventas cenval indus'!AC999</f>
        <v>-1528192</v>
      </c>
      <c r="G17" s="8">
        <f t="shared" si="16"/>
        <v>-0.18169541922358154</v>
      </c>
      <c r="H17" s="2">
        <f>-'presupuesto ventas cenval indus'!AD998</f>
        <v>-76661.1875420664</v>
      </c>
      <c r="I17" s="2">
        <f>-'presupuesto ventas cenval indus'!AE998</f>
        <v>-91679.581908325679</v>
      </c>
      <c r="J17" s="2">
        <f>-'presupuesto ventas cenval indus'!AF998</f>
        <v>-81137.101841338357</v>
      </c>
      <c r="K17" s="2">
        <f>-'presupuesto ventas cenval indus'!AG998</f>
        <v>-61458.232592204942</v>
      </c>
      <c r="L17" s="2">
        <f>-'presupuesto ventas cenval indus'!AH998</f>
        <v>-89129.072769118895</v>
      </c>
      <c r="M17" s="2">
        <f>-'presupuesto ventas cenval indus'!AI998</f>
        <v>-73041.176249455093</v>
      </c>
      <c r="N17" s="2">
        <f>-'presupuesto ventas cenval indus'!AJ998</f>
        <v>-72717.575033926129</v>
      </c>
      <c r="O17" s="2">
        <f>-'presupuesto ventas cenval indus'!AK998</f>
        <v>-49381.991432649331</v>
      </c>
      <c r="P17" s="2">
        <f>-'presupuesto ventas cenval indus'!AL998</f>
        <v>-73198.932707059997</v>
      </c>
      <c r="Q17" s="2">
        <f>-'presupuesto ventas cenval indus'!AM998</f>
        <v>-63746.860706116378</v>
      </c>
      <c r="R17" s="2">
        <f>-'presupuesto ventas cenval indus'!AN998</f>
        <v>-65087.961175048891</v>
      </c>
      <c r="S17" s="2">
        <f>-'presupuesto ventas cenval indus'!AO998</f>
        <v>-63572.790475209673</v>
      </c>
      <c r="T17" s="6">
        <f t="shared" si="4"/>
        <v>-860812.46443251974</v>
      </c>
      <c r="U17" s="6">
        <f t="shared" si="5"/>
        <v>-860812.46443251974</v>
      </c>
      <c r="V17" s="23">
        <f t="shared" si="17"/>
        <v>-6.4387949098091271E-2</v>
      </c>
      <c r="W17" s="2">
        <f>-'presupuesto ventas cenval indus'!AD998</f>
        <v>-76661.1875420664</v>
      </c>
      <c r="X17" s="2">
        <f>-'presupuesto ventas cenval indus'!AE998</f>
        <v>-91679.581908325679</v>
      </c>
      <c r="Y17" s="2">
        <f>-'presupuesto ventas cenval indus'!AF998</f>
        <v>-81137.101841338357</v>
      </c>
      <c r="Z17" s="2">
        <f>-'presupuesto ventas cenval indus'!AG998</f>
        <v>-61458.232592204942</v>
      </c>
      <c r="AA17" s="2">
        <f>-'presupuesto ventas cenval indus'!AH998</f>
        <v>-89129.072769118895</v>
      </c>
      <c r="AB17" s="2">
        <f>-'presupuesto ventas cenval indus'!AI998</f>
        <v>-73041.176249455093</v>
      </c>
      <c r="AC17" s="2">
        <f>-'presupuesto ventas cenval indus'!AJ998</f>
        <v>-72717.575033926129</v>
      </c>
      <c r="AD17" s="2">
        <f>-'presupuesto ventas cenval indus'!AK998</f>
        <v>-49381.991432649331</v>
      </c>
      <c r="AE17" s="2">
        <f>-'presupuesto ventas cenval indus'!AL998</f>
        <v>-73198.932707059997</v>
      </c>
      <c r="AF17" s="2">
        <f>-'presupuesto ventas cenval indus'!AM998</f>
        <v>-63746.860706116378</v>
      </c>
      <c r="AG17" s="2">
        <f>-'presupuesto ventas cenval indus'!AN998</f>
        <v>-65087.961175048891</v>
      </c>
      <c r="AH17" s="2">
        <f>-'presupuesto ventas cenval indus'!AO998</f>
        <v>-63572.790475209673</v>
      </c>
      <c r="AI17" s="6">
        <f t="shared" si="6"/>
        <v>-860812.46443251974</v>
      </c>
    </row>
    <row r="18" spans="1:35" outlineLevel="1" x14ac:dyDescent="0.25">
      <c r="A18" s="1" t="s">
        <v>21</v>
      </c>
      <c r="B18" s="2">
        <v>-41366.75</v>
      </c>
      <c r="C18" s="8">
        <f t="shared" si="0"/>
        <v>-3.7492285619014757E-3</v>
      </c>
      <c r="D18" s="2">
        <v>-24326.799999999999</v>
      </c>
      <c r="E18" s="8">
        <f t="shared" si="11"/>
        <v>-2.8923513042655789E-3</v>
      </c>
      <c r="F18" s="2">
        <f>+D18*1.2</f>
        <v>-29192.16</v>
      </c>
      <c r="G18" s="8">
        <f t="shared" si="16"/>
        <v>-3.4708215651186947E-3</v>
      </c>
      <c r="H18" s="2">
        <f>+$F18/12</f>
        <v>-2432.6799999999998</v>
      </c>
      <c r="I18" s="2">
        <f t="shared" ref="I18:S18" si="18">+$F18/12</f>
        <v>-2432.6799999999998</v>
      </c>
      <c r="J18" s="2">
        <f t="shared" si="18"/>
        <v>-2432.6799999999998</v>
      </c>
      <c r="K18" s="2">
        <f t="shared" si="18"/>
        <v>-2432.6799999999998</v>
      </c>
      <c r="L18" s="2">
        <f t="shared" si="18"/>
        <v>-2432.6799999999998</v>
      </c>
      <c r="M18" s="2">
        <f t="shared" si="18"/>
        <v>-2432.6799999999998</v>
      </c>
      <c r="N18" s="2">
        <f t="shared" si="18"/>
        <v>-2432.6799999999998</v>
      </c>
      <c r="O18" s="2">
        <f t="shared" si="18"/>
        <v>-2432.6799999999998</v>
      </c>
      <c r="P18" s="2">
        <f t="shared" si="18"/>
        <v>-2432.6799999999998</v>
      </c>
      <c r="Q18" s="2">
        <f t="shared" si="18"/>
        <v>-2432.6799999999998</v>
      </c>
      <c r="R18" s="2">
        <f t="shared" si="18"/>
        <v>-2432.6799999999998</v>
      </c>
      <c r="S18" s="2">
        <f t="shared" si="18"/>
        <v>-2432.6799999999998</v>
      </c>
      <c r="T18" s="6">
        <f t="shared" si="4"/>
        <v>-29192.16</v>
      </c>
      <c r="U18" s="6">
        <f t="shared" si="5"/>
        <v>-29192.16</v>
      </c>
      <c r="V18" s="23">
        <f t="shared" si="17"/>
        <v>-2.1835456499604187E-3</v>
      </c>
      <c r="W18" s="2">
        <f>+$F18/12</f>
        <v>-2432.6799999999998</v>
      </c>
      <c r="X18" s="2">
        <f t="shared" ref="X18:AH18" si="19">+$F18/12</f>
        <v>-2432.6799999999998</v>
      </c>
      <c r="Y18" s="2">
        <f t="shared" si="19"/>
        <v>-2432.6799999999998</v>
      </c>
      <c r="Z18" s="2">
        <f t="shared" si="19"/>
        <v>-2432.6799999999998</v>
      </c>
      <c r="AA18" s="2">
        <f t="shared" si="19"/>
        <v>-2432.6799999999998</v>
      </c>
      <c r="AB18" s="2">
        <f t="shared" si="19"/>
        <v>-2432.6799999999998</v>
      </c>
      <c r="AC18" s="2">
        <f t="shared" si="19"/>
        <v>-2432.6799999999998</v>
      </c>
      <c r="AD18" s="2">
        <f t="shared" si="19"/>
        <v>-2432.6799999999998</v>
      </c>
      <c r="AE18" s="2">
        <f t="shared" si="19"/>
        <v>-2432.6799999999998</v>
      </c>
      <c r="AF18" s="2">
        <f t="shared" si="19"/>
        <v>-2432.6799999999998</v>
      </c>
      <c r="AG18" s="2">
        <f t="shared" si="19"/>
        <v>-2432.6799999999998</v>
      </c>
      <c r="AH18" s="2">
        <f t="shared" si="19"/>
        <v>-2432.6799999999998</v>
      </c>
      <c r="AI18" s="6">
        <f t="shared" si="6"/>
        <v>-29192.16</v>
      </c>
    </row>
    <row r="19" spans="1:35" outlineLevel="1" x14ac:dyDescent="0.25">
      <c r="A19" s="1" t="s">
        <v>22</v>
      </c>
      <c r="B19" s="2">
        <v>-9552.14</v>
      </c>
      <c r="C19" s="8">
        <f t="shared" si="0"/>
        <v>-8.6574739652695856E-4</v>
      </c>
      <c r="D19" s="2">
        <v>-6583</v>
      </c>
      <c r="E19" s="8">
        <f t="shared" si="11"/>
        <v>-7.8269022789599564E-4</v>
      </c>
      <c r="F19" s="2">
        <f>+D19*1.2</f>
        <v>-7899.5999999999995</v>
      </c>
      <c r="G19" s="8">
        <f t="shared" si="16"/>
        <v>-9.3922827347519471E-4</v>
      </c>
      <c r="H19" s="2">
        <f t="shared" ref="H19:S34" si="20">+$F19/12</f>
        <v>-658.3</v>
      </c>
      <c r="I19" s="2">
        <f t="shared" si="20"/>
        <v>-658.3</v>
      </c>
      <c r="J19" s="2">
        <f t="shared" si="20"/>
        <v>-658.3</v>
      </c>
      <c r="K19" s="2">
        <f t="shared" si="20"/>
        <v>-658.3</v>
      </c>
      <c r="L19" s="2">
        <f t="shared" si="20"/>
        <v>-658.3</v>
      </c>
      <c r="M19" s="2">
        <f t="shared" si="20"/>
        <v>-658.3</v>
      </c>
      <c r="N19" s="2">
        <f t="shared" si="20"/>
        <v>-658.3</v>
      </c>
      <c r="O19" s="2">
        <f t="shared" si="20"/>
        <v>-658.3</v>
      </c>
      <c r="P19" s="2">
        <f t="shared" si="20"/>
        <v>-658.3</v>
      </c>
      <c r="Q19" s="2">
        <f t="shared" si="20"/>
        <v>-658.3</v>
      </c>
      <c r="R19" s="2">
        <f t="shared" si="20"/>
        <v>-658.3</v>
      </c>
      <c r="S19" s="2">
        <f t="shared" si="20"/>
        <v>-658.3</v>
      </c>
      <c r="T19" s="6">
        <f t="shared" si="4"/>
        <v>-7899.6000000000013</v>
      </c>
      <c r="U19" s="6">
        <f t="shared" si="5"/>
        <v>-7899.6000000000013</v>
      </c>
      <c r="V19" s="23">
        <f t="shared" si="17"/>
        <v>-5.9088252518578021E-4</v>
      </c>
      <c r="W19" s="2">
        <f t="shared" ref="W19:AH26" si="21">+$F19/12</f>
        <v>-658.3</v>
      </c>
      <c r="X19" s="2">
        <f t="shared" si="21"/>
        <v>-658.3</v>
      </c>
      <c r="Y19" s="2">
        <f t="shared" si="21"/>
        <v>-658.3</v>
      </c>
      <c r="Z19" s="2">
        <f t="shared" si="21"/>
        <v>-658.3</v>
      </c>
      <c r="AA19" s="2">
        <f t="shared" si="21"/>
        <v>-658.3</v>
      </c>
      <c r="AB19" s="2">
        <f t="shared" si="21"/>
        <v>-658.3</v>
      </c>
      <c r="AC19" s="2">
        <f t="shared" si="21"/>
        <v>-658.3</v>
      </c>
      <c r="AD19" s="2">
        <f t="shared" si="21"/>
        <v>-658.3</v>
      </c>
      <c r="AE19" s="2">
        <f t="shared" si="21"/>
        <v>-658.3</v>
      </c>
      <c r="AF19" s="2">
        <f t="shared" si="21"/>
        <v>-658.3</v>
      </c>
      <c r="AG19" s="2">
        <f t="shared" si="21"/>
        <v>-658.3</v>
      </c>
      <c r="AH19" s="2">
        <f t="shared" si="21"/>
        <v>-658.3</v>
      </c>
      <c r="AI19" s="6">
        <f t="shared" si="6"/>
        <v>-7899.6000000000013</v>
      </c>
    </row>
    <row r="20" spans="1:35" outlineLevel="1" x14ac:dyDescent="0.25">
      <c r="A20" s="1" t="s">
        <v>23</v>
      </c>
      <c r="B20" s="2">
        <v>5745.4</v>
      </c>
      <c r="C20" s="8">
        <f t="shared" si="0"/>
        <v>5.2072782559782287E-4</v>
      </c>
      <c r="D20" s="2">
        <v>765.69</v>
      </c>
      <c r="E20" s="8">
        <f t="shared" si="11"/>
        <v>9.103722931758848E-5</v>
      </c>
      <c r="F20" s="2">
        <f>+D20*1.2</f>
        <v>918.82800000000009</v>
      </c>
      <c r="G20" s="8">
        <f t="shared" si="16"/>
        <v>1.0924467518110617E-4</v>
      </c>
      <c r="H20" s="2">
        <f t="shared" si="20"/>
        <v>76.569000000000003</v>
      </c>
      <c r="I20" s="2">
        <f t="shared" si="20"/>
        <v>76.569000000000003</v>
      </c>
      <c r="J20" s="2">
        <f t="shared" si="20"/>
        <v>76.569000000000003</v>
      </c>
      <c r="K20" s="2">
        <f t="shared" si="20"/>
        <v>76.569000000000003</v>
      </c>
      <c r="L20" s="2">
        <f t="shared" si="20"/>
        <v>76.569000000000003</v>
      </c>
      <c r="M20" s="2">
        <f t="shared" si="20"/>
        <v>76.569000000000003</v>
      </c>
      <c r="N20" s="2">
        <f t="shared" si="20"/>
        <v>76.569000000000003</v>
      </c>
      <c r="O20" s="2">
        <f t="shared" si="20"/>
        <v>76.569000000000003</v>
      </c>
      <c r="P20" s="2">
        <f t="shared" si="20"/>
        <v>76.569000000000003</v>
      </c>
      <c r="Q20" s="2">
        <f t="shared" si="20"/>
        <v>76.569000000000003</v>
      </c>
      <c r="R20" s="2">
        <f t="shared" si="20"/>
        <v>76.569000000000003</v>
      </c>
      <c r="S20" s="2">
        <f t="shared" si="20"/>
        <v>76.569000000000003</v>
      </c>
      <c r="T20" s="6">
        <f t="shared" si="4"/>
        <v>918.82799999999986</v>
      </c>
      <c r="U20" s="6">
        <f t="shared" si="5"/>
        <v>918.82799999999986</v>
      </c>
      <c r="V20" s="23">
        <f t="shared" si="17"/>
        <v>6.8727455675148094E-5</v>
      </c>
      <c r="W20" s="2">
        <f t="shared" si="21"/>
        <v>76.569000000000003</v>
      </c>
      <c r="X20" s="2">
        <f t="shared" si="21"/>
        <v>76.569000000000003</v>
      </c>
      <c r="Y20" s="2">
        <f t="shared" si="21"/>
        <v>76.569000000000003</v>
      </c>
      <c r="Z20" s="2">
        <f t="shared" si="21"/>
        <v>76.569000000000003</v>
      </c>
      <c r="AA20" s="2">
        <f t="shared" si="21"/>
        <v>76.569000000000003</v>
      </c>
      <c r="AB20" s="2">
        <f t="shared" si="21"/>
        <v>76.569000000000003</v>
      </c>
      <c r="AC20" s="2">
        <f t="shared" si="21"/>
        <v>76.569000000000003</v>
      </c>
      <c r="AD20" s="2">
        <f t="shared" si="21"/>
        <v>76.569000000000003</v>
      </c>
      <c r="AE20" s="2">
        <f t="shared" si="21"/>
        <v>76.569000000000003</v>
      </c>
      <c r="AF20" s="2">
        <f t="shared" si="21"/>
        <v>76.569000000000003</v>
      </c>
      <c r="AG20" s="2">
        <f t="shared" si="21"/>
        <v>76.569000000000003</v>
      </c>
      <c r="AH20" s="2">
        <f t="shared" si="21"/>
        <v>76.569000000000003</v>
      </c>
      <c r="AI20" s="6">
        <f t="shared" si="6"/>
        <v>918.82799999999986</v>
      </c>
    </row>
    <row r="21" spans="1:35" outlineLevel="1" x14ac:dyDescent="0.25">
      <c r="A21" s="1" t="s">
        <v>24</v>
      </c>
      <c r="B21" s="2">
        <v>-95946.240000000005</v>
      </c>
      <c r="C21" s="8">
        <f t="shared" si="0"/>
        <v>-8.6959788577795905E-3</v>
      </c>
      <c r="D21" s="2">
        <v>-37198.980000000003</v>
      </c>
      <c r="E21" s="8">
        <f t="shared" si="11"/>
        <v>-4.4227978328571452E-3</v>
      </c>
      <c r="F21" s="2">
        <f>+D21*1.2</f>
        <v>-44638.776000000005</v>
      </c>
      <c r="G21" s="8">
        <f t="shared" si="16"/>
        <v>-5.3073573994285739E-3</v>
      </c>
      <c r="H21" s="2">
        <f t="shared" si="20"/>
        <v>-3719.8980000000006</v>
      </c>
      <c r="I21" s="2">
        <f t="shared" si="20"/>
        <v>-3719.8980000000006</v>
      </c>
      <c r="J21" s="2">
        <f t="shared" si="20"/>
        <v>-3719.8980000000006</v>
      </c>
      <c r="K21" s="2">
        <f t="shared" si="20"/>
        <v>-3719.8980000000006</v>
      </c>
      <c r="L21" s="2">
        <f t="shared" si="20"/>
        <v>-3719.8980000000006</v>
      </c>
      <c r="M21" s="2">
        <f t="shared" si="20"/>
        <v>-3719.8980000000006</v>
      </c>
      <c r="N21" s="2">
        <f t="shared" si="20"/>
        <v>-3719.8980000000006</v>
      </c>
      <c r="O21" s="2">
        <f t="shared" si="20"/>
        <v>-3719.8980000000006</v>
      </c>
      <c r="P21" s="2">
        <f t="shared" si="20"/>
        <v>-3719.8980000000006</v>
      </c>
      <c r="Q21" s="2">
        <f t="shared" si="20"/>
        <v>-3719.8980000000006</v>
      </c>
      <c r="R21" s="2">
        <f t="shared" si="20"/>
        <v>-3719.8980000000006</v>
      </c>
      <c r="S21" s="2">
        <f t="shared" si="20"/>
        <v>-3719.8980000000006</v>
      </c>
      <c r="T21" s="6">
        <f t="shared" si="4"/>
        <v>-44638.776000000005</v>
      </c>
      <c r="U21" s="6">
        <f t="shared" si="5"/>
        <v>0</v>
      </c>
      <c r="V21" s="23">
        <f t="shared" si="17"/>
        <v>0</v>
      </c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6">
        <f t="shared" si="6"/>
        <v>0</v>
      </c>
    </row>
    <row r="22" spans="1:35" s="5" customFormat="1" x14ac:dyDescent="0.25">
      <c r="A22" s="5" t="s">
        <v>25</v>
      </c>
      <c r="B22" s="6">
        <v>16481.650000000001</v>
      </c>
      <c r="C22" s="7">
        <f t="shared" si="0"/>
        <v>1.4937956916427678E-3</v>
      </c>
      <c r="D22" s="6">
        <v>12839.48</v>
      </c>
      <c r="E22" s="7">
        <f t="shared" si="11"/>
        <v>1.5265586400221901E-3</v>
      </c>
      <c r="F22" s="6">
        <f>SUM(F23:F26)</f>
        <v>12969.644</v>
      </c>
      <c r="G22" s="7">
        <f t="shared" si="16"/>
        <v>1.5420345766504529E-3</v>
      </c>
      <c r="H22" s="6">
        <f>SUM(H23:H26)</f>
        <v>1080.8036666666667</v>
      </c>
      <c r="I22" s="6">
        <f t="shared" ref="I22:S22" si="22">SUM(I23:I26)</f>
        <v>1080.8036666666667</v>
      </c>
      <c r="J22" s="6">
        <f t="shared" si="22"/>
        <v>1080.8036666666667</v>
      </c>
      <c r="K22" s="6">
        <f t="shared" si="22"/>
        <v>1080.8036666666667</v>
      </c>
      <c r="L22" s="6">
        <f t="shared" si="22"/>
        <v>1080.8036666666667</v>
      </c>
      <c r="M22" s="6">
        <f t="shared" si="22"/>
        <v>1080.8036666666667</v>
      </c>
      <c r="N22" s="6">
        <f t="shared" si="22"/>
        <v>1080.8036666666667</v>
      </c>
      <c r="O22" s="6">
        <f t="shared" si="22"/>
        <v>1080.8036666666667</v>
      </c>
      <c r="P22" s="6">
        <f t="shared" si="22"/>
        <v>1080.8036666666667</v>
      </c>
      <c r="Q22" s="6">
        <f t="shared" si="22"/>
        <v>1080.8036666666667</v>
      </c>
      <c r="R22" s="6">
        <f t="shared" si="22"/>
        <v>1080.8036666666667</v>
      </c>
      <c r="S22" s="6">
        <f t="shared" si="22"/>
        <v>1080.8036666666667</v>
      </c>
      <c r="T22" s="6">
        <f t="shared" si="4"/>
        <v>12969.644</v>
      </c>
      <c r="U22" s="6">
        <f t="shared" si="5"/>
        <v>12969.644</v>
      </c>
      <c r="V22" s="23">
        <f t="shared" si="17"/>
        <v>9.7011696762881684E-4</v>
      </c>
      <c r="W22" s="6">
        <f>SUM(W23:W26)</f>
        <v>1080.8036666666667</v>
      </c>
      <c r="X22" s="6">
        <f t="shared" ref="X22:AH22" si="23">SUM(X23:X26)</f>
        <v>1080.8036666666667</v>
      </c>
      <c r="Y22" s="6">
        <f t="shared" si="23"/>
        <v>1080.8036666666667</v>
      </c>
      <c r="Z22" s="6">
        <f t="shared" si="23"/>
        <v>1080.8036666666667</v>
      </c>
      <c r="AA22" s="6">
        <f t="shared" si="23"/>
        <v>1080.8036666666667</v>
      </c>
      <c r="AB22" s="6">
        <f t="shared" si="23"/>
        <v>1080.8036666666667</v>
      </c>
      <c r="AC22" s="6">
        <f t="shared" si="23"/>
        <v>1080.8036666666667</v>
      </c>
      <c r="AD22" s="6">
        <f t="shared" si="23"/>
        <v>1080.8036666666667</v>
      </c>
      <c r="AE22" s="6">
        <f t="shared" si="23"/>
        <v>1080.8036666666667</v>
      </c>
      <c r="AF22" s="6">
        <f t="shared" si="23"/>
        <v>1080.8036666666667</v>
      </c>
      <c r="AG22" s="6">
        <f t="shared" si="23"/>
        <v>1080.8036666666667</v>
      </c>
      <c r="AH22" s="6">
        <f t="shared" si="23"/>
        <v>1080.8036666666667</v>
      </c>
      <c r="AI22" s="6">
        <f t="shared" si="6"/>
        <v>12969.644</v>
      </c>
    </row>
    <row r="23" spans="1:35" outlineLevel="1" x14ac:dyDescent="0.25">
      <c r="A23" s="1" t="s">
        <v>26</v>
      </c>
      <c r="B23" s="2">
        <v>400</v>
      </c>
      <c r="C23" s="8">
        <f t="shared" si="0"/>
        <v>3.6253547227195524E-5</v>
      </c>
      <c r="D23" s="2">
        <v>1300</v>
      </c>
      <c r="E23" s="8">
        <f t="shared" si="11"/>
        <v>1.5456437737578526E-4</v>
      </c>
      <c r="F23" s="2">
        <v>1300</v>
      </c>
      <c r="G23" s="8">
        <f t="shared" si="16"/>
        <v>1.5456437737578526E-4</v>
      </c>
      <c r="H23" s="2">
        <f t="shared" si="20"/>
        <v>108.33333333333333</v>
      </c>
      <c r="I23" s="2">
        <f t="shared" si="20"/>
        <v>108.33333333333333</v>
      </c>
      <c r="J23" s="2">
        <f t="shared" si="20"/>
        <v>108.33333333333333</v>
      </c>
      <c r="K23" s="2">
        <f t="shared" si="20"/>
        <v>108.33333333333333</v>
      </c>
      <c r="L23" s="2">
        <f t="shared" si="20"/>
        <v>108.33333333333333</v>
      </c>
      <c r="M23" s="2">
        <f t="shared" si="20"/>
        <v>108.33333333333333</v>
      </c>
      <c r="N23" s="2">
        <f t="shared" si="20"/>
        <v>108.33333333333333</v>
      </c>
      <c r="O23" s="2">
        <f t="shared" si="20"/>
        <v>108.33333333333333</v>
      </c>
      <c r="P23" s="2">
        <f t="shared" si="20"/>
        <v>108.33333333333333</v>
      </c>
      <c r="Q23" s="2">
        <f t="shared" si="20"/>
        <v>108.33333333333333</v>
      </c>
      <c r="R23" s="2">
        <f t="shared" si="20"/>
        <v>108.33333333333333</v>
      </c>
      <c r="S23" s="2">
        <f t="shared" si="20"/>
        <v>108.33333333333333</v>
      </c>
      <c r="T23" s="6">
        <f t="shared" si="4"/>
        <v>1300</v>
      </c>
      <c r="U23" s="6">
        <f t="shared" si="5"/>
        <v>1300</v>
      </c>
      <c r="V23" s="23">
        <f t="shared" si="17"/>
        <v>9.7238756739773417E-5</v>
      </c>
      <c r="W23" s="2">
        <f t="shared" si="21"/>
        <v>108.33333333333333</v>
      </c>
      <c r="X23" s="2">
        <f t="shared" si="21"/>
        <v>108.33333333333333</v>
      </c>
      <c r="Y23" s="2">
        <f t="shared" si="21"/>
        <v>108.33333333333333</v>
      </c>
      <c r="Z23" s="2">
        <f t="shared" si="21"/>
        <v>108.33333333333333</v>
      </c>
      <c r="AA23" s="2">
        <f t="shared" si="21"/>
        <v>108.33333333333333</v>
      </c>
      <c r="AB23" s="2">
        <f t="shared" si="21"/>
        <v>108.33333333333333</v>
      </c>
      <c r="AC23" s="2">
        <f t="shared" si="21"/>
        <v>108.33333333333333</v>
      </c>
      <c r="AD23" s="2">
        <f t="shared" si="21"/>
        <v>108.33333333333333</v>
      </c>
      <c r="AE23" s="2">
        <f t="shared" si="21"/>
        <v>108.33333333333333</v>
      </c>
      <c r="AF23" s="2">
        <f t="shared" si="21"/>
        <v>108.33333333333333</v>
      </c>
      <c r="AG23" s="2">
        <f t="shared" si="21"/>
        <v>108.33333333333333</v>
      </c>
      <c r="AH23" s="2">
        <f t="shared" si="21"/>
        <v>108.33333333333333</v>
      </c>
      <c r="AI23" s="6">
        <f t="shared" si="6"/>
        <v>1300</v>
      </c>
    </row>
    <row r="24" spans="1:35" outlineLevel="1" x14ac:dyDescent="0.25">
      <c r="A24" s="1" t="s">
        <v>27</v>
      </c>
      <c r="B24" s="2">
        <v>7154.61</v>
      </c>
      <c r="C24" s="8">
        <f t="shared" si="0"/>
        <v>6.4844997881791338E-4</v>
      </c>
      <c r="D24" s="2">
        <v>7357.98</v>
      </c>
      <c r="E24" s="8">
        <f t="shared" si="11"/>
        <v>8.7483199803344643E-4</v>
      </c>
      <c r="F24" s="2">
        <f>+D24</f>
        <v>7357.98</v>
      </c>
      <c r="G24" s="8">
        <f t="shared" si="16"/>
        <v>8.7483199803344643E-4</v>
      </c>
      <c r="H24" s="2">
        <f t="shared" si="20"/>
        <v>613.16499999999996</v>
      </c>
      <c r="I24" s="2">
        <f t="shared" si="20"/>
        <v>613.16499999999996</v>
      </c>
      <c r="J24" s="2">
        <f t="shared" si="20"/>
        <v>613.16499999999996</v>
      </c>
      <c r="K24" s="2">
        <f t="shared" si="20"/>
        <v>613.16499999999996</v>
      </c>
      <c r="L24" s="2">
        <f t="shared" si="20"/>
        <v>613.16499999999996</v>
      </c>
      <c r="M24" s="2">
        <f t="shared" si="20"/>
        <v>613.16499999999996</v>
      </c>
      <c r="N24" s="2">
        <f t="shared" si="20"/>
        <v>613.16499999999996</v>
      </c>
      <c r="O24" s="2">
        <f t="shared" si="20"/>
        <v>613.16499999999996</v>
      </c>
      <c r="P24" s="2">
        <f t="shared" si="20"/>
        <v>613.16499999999996</v>
      </c>
      <c r="Q24" s="2">
        <f t="shared" si="20"/>
        <v>613.16499999999996</v>
      </c>
      <c r="R24" s="2">
        <f t="shared" si="20"/>
        <v>613.16499999999996</v>
      </c>
      <c r="S24" s="2">
        <f t="shared" si="20"/>
        <v>613.16499999999996</v>
      </c>
      <c r="T24" s="6">
        <f t="shared" si="4"/>
        <v>7357.98</v>
      </c>
      <c r="U24" s="6">
        <f t="shared" si="5"/>
        <v>7357.98</v>
      </c>
      <c r="V24" s="23">
        <f t="shared" si="17"/>
        <v>5.5036986716624462E-4</v>
      </c>
      <c r="W24" s="2">
        <f t="shared" si="21"/>
        <v>613.16499999999996</v>
      </c>
      <c r="X24" s="2">
        <f t="shared" si="21"/>
        <v>613.16499999999996</v>
      </c>
      <c r="Y24" s="2">
        <f t="shared" si="21"/>
        <v>613.16499999999996</v>
      </c>
      <c r="Z24" s="2">
        <f t="shared" si="21"/>
        <v>613.16499999999996</v>
      </c>
      <c r="AA24" s="2">
        <f t="shared" si="21"/>
        <v>613.16499999999996</v>
      </c>
      <c r="AB24" s="2">
        <f t="shared" si="21"/>
        <v>613.16499999999996</v>
      </c>
      <c r="AC24" s="2">
        <f t="shared" si="21"/>
        <v>613.16499999999996</v>
      </c>
      <c r="AD24" s="2">
        <f t="shared" si="21"/>
        <v>613.16499999999996</v>
      </c>
      <c r="AE24" s="2">
        <f t="shared" si="21"/>
        <v>613.16499999999996</v>
      </c>
      <c r="AF24" s="2">
        <f t="shared" si="21"/>
        <v>613.16499999999996</v>
      </c>
      <c r="AG24" s="2">
        <f t="shared" si="21"/>
        <v>613.16499999999996</v>
      </c>
      <c r="AH24" s="2">
        <f t="shared" si="21"/>
        <v>613.16499999999996</v>
      </c>
      <c r="AI24" s="6">
        <f t="shared" si="6"/>
        <v>7357.98</v>
      </c>
    </row>
    <row r="25" spans="1:35" outlineLevel="1" x14ac:dyDescent="0.25">
      <c r="A25" s="1" t="s">
        <v>28</v>
      </c>
      <c r="B25" s="2">
        <v>6117</v>
      </c>
      <c r="C25" s="8">
        <f t="shared" si="0"/>
        <v>5.5440737097188757E-4</v>
      </c>
      <c r="D25" s="2">
        <v>1301.6400000000001</v>
      </c>
      <c r="E25" s="8">
        <f t="shared" si="11"/>
        <v>1.5475936628262855E-4</v>
      </c>
      <c r="F25" s="2">
        <f>+D25*1.1</f>
        <v>1431.8040000000003</v>
      </c>
      <c r="G25" s="8">
        <f t="shared" si="16"/>
        <v>1.7023530291089144E-4</v>
      </c>
      <c r="H25" s="2">
        <f t="shared" si="20"/>
        <v>119.31700000000002</v>
      </c>
      <c r="I25" s="2">
        <f t="shared" si="20"/>
        <v>119.31700000000002</v>
      </c>
      <c r="J25" s="2">
        <f t="shared" si="20"/>
        <v>119.31700000000002</v>
      </c>
      <c r="K25" s="2">
        <f t="shared" si="20"/>
        <v>119.31700000000002</v>
      </c>
      <c r="L25" s="2">
        <f t="shared" si="20"/>
        <v>119.31700000000002</v>
      </c>
      <c r="M25" s="2">
        <f t="shared" si="20"/>
        <v>119.31700000000002</v>
      </c>
      <c r="N25" s="2">
        <f t="shared" si="20"/>
        <v>119.31700000000002</v>
      </c>
      <c r="O25" s="2">
        <f t="shared" si="20"/>
        <v>119.31700000000002</v>
      </c>
      <c r="P25" s="2">
        <f t="shared" si="20"/>
        <v>119.31700000000002</v>
      </c>
      <c r="Q25" s="2">
        <f t="shared" si="20"/>
        <v>119.31700000000002</v>
      </c>
      <c r="R25" s="2">
        <f t="shared" si="20"/>
        <v>119.31700000000002</v>
      </c>
      <c r="S25" s="2">
        <f t="shared" si="20"/>
        <v>119.31700000000002</v>
      </c>
      <c r="T25" s="6">
        <f t="shared" si="4"/>
        <v>1431.8040000000003</v>
      </c>
      <c r="U25" s="6">
        <f t="shared" si="5"/>
        <v>1431.8040000000003</v>
      </c>
      <c r="V25" s="23">
        <f t="shared" si="17"/>
        <v>1.0709756988848813E-4</v>
      </c>
      <c r="W25" s="2">
        <f t="shared" si="21"/>
        <v>119.31700000000002</v>
      </c>
      <c r="X25" s="2">
        <f t="shared" si="21"/>
        <v>119.31700000000002</v>
      </c>
      <c r="Y25" s="2">
        <f t="shared" si="21"/>
        <v>119.31700000000002</v>
      </c>
      <c r="Z25" s="2">
        <f t="shared" si="21"/>
        <v>119.31700000000002</v>
      </c>
      <c r="AA25" s="2">
        <f t="shared" si="21"/>
        <v>119.31700000000002</v>
      </c>
      <c r="AB25" s="2">
        <f t="shared" si="21"/>
        <v>119.31700000000002</v>
      </c>
      <c r="AC25" s="2">
        <f t="shared" si="21"/>
        <v>119.31700000000002</v>
      </c>
      <c r="AD25" s="2">
        <f t="shared" si="21"/>
        <v>119.31700000000002</v>
      </c>
      <c r="AE25" s="2">
        <f t="shared" si="21"/>
        <v>119.31700000000002</v>
      </c>
      <c r="AF25" s="2">
        <f t="shared" si="21"/>
        <v>119.31700000000002</v>
      </c>
      <c r="AG25" s="2">
        <f t="shared" si="21"/>
        <v>119.31700000000002</v>
      </c>
      <c r="AH25" s="2">
        <f t="shared" si="21"/>
        <v>119.31700000000002</v>
      </c>
      <c r="AI25" s="6">
        <f t="shared" si="6"/>
        <v>1431.8040000000003</v>
      </c>
    </row>
    <row r="26" spans="1:35" outlineLevel="1" x14ac:dyDescent="0.25">
      <c r="A26" s="1" t="s">
        <v>29</v>
      </c>
      <c r="B26" s="2">
        <v>2810.04</v>
      </c>
      <c r="C26" s="8">
        <f t="shared" si="0"/>
        <v>2.5468479462577125E-4</v>
      </c>
      <c r="D26" s="2">
        <v>2879.86</v>
      </c>
      <c r="E26" s="8">
        <f t="shared" si="11"/>
        <v>3.4240289833032994E-4</v>
      </c>
      <c r="F26" s="2">
        <f>+D26</f>
        <v>2879.86</v>
      </c>
      <c r="G26" s="8">
        <f t="shared" si="16"/>
        <v>3.4240289833032994E-4</v>
      </c>
      <c r="H26" s="2">
        <f t="shared" si="20"/>
        <v>239.98833333333334</v>
      </c>
      <c r="I26" s="2">
        <f t="shared" si="20"/>
        <v>239.98833333333334</v>
      </c>
      <c r="J26" s="2">
        <f t="shared" si="20"/>
        <v>239.98833333333334</v>
      </c>
      <c r="K26" s="2">
        <f t="shared" si="20"/>
        <v>239.98833333333334</v>
      </c>
      <c r="L26" s="2">
        <f t="shared" si="20"/>
        <v>239.98833333333334</v>
      </c>
      <c r="M26" s="2">
        <f t="shared" si="20"/>
        <v>239.98833333333334</v>
      </c>
      <c r="N26" s="2">
        <f t="shared" si="20"/>
        <v>239.98833333333334</v>
      </c>
      <c r="O26" s="2">
        <f t="shared" si="20"/>
        <v>239.98833333333334</v>
      </c>
      <c r="P26" s="2">
        <f t="shared" si="20"/>
        <v>239.98833333333334</v>
      </c>
      <c r="Q26" s="2">
        <f t="shared" si="20"/>
        <v>239.98833333333334</v>
      </c>
      <c r="R26" s="2">
        <f t="shared" si="20"/>
        <v>239.98833333333334</v>
      </c>
      <c r="S26" s="2">
        <f t="shared" si="20"/>
        <v>239.98833333333334</v>
      </c>
      <c r="T26" s="6">
        <f t="shared" si="4"/>
        <v>2879.8599999999992</v>
      </c>
      <c r="U26" s="6">
        <f t="shared" si="5"/>
        <v>2879.8599999999992</v>
      </c>
      <c r="V26" s="23">
        <f t="shared" si="17"/>
        <v>2.1541077383431062E-4</v>
      </c>
      <c r="W26" s="2">
        <f t="shared" si="21"/>
        <v>239.98833333333334</v>
      </c>
      <c r="X26" s="2">
        <f t="shared" si="21"/>
        <v>239.98833333333334</v>
      </c>
      <c r="Y26" s="2">
        <f t="shared" si="21"/>
        <v>239.98833333333334</v>
      </c>
      <c r="Z26" s="2">
        <f t="shared" si="21"/>
        <v>239.98833333333334</v>
      </c>
      <c r="AA26" s="2">
        <f t="shared" si="21"/>
        <v>239.98833333333334</v>
      </c>
      <c r="AB26" s="2">
        <f t="shared" si="21"/>
        <v>239.98833333333334</v>
      </c>
      <c r="AC26" s="2">
        <f t="shared" si="21"/>
        <v>239.98833333333334</v>
      </c>
      <c r="AD26" s="2">
        <f t="shared" si="21"/>
        <v>239.98833333333334</v>
      </c>
      <c r="AE26" s="2">
        <f t="shared" si="21"/>
        <v>239.98833333333334</v>
      </c>
      <c r="AF26" s="2">
        <f t="shared" si="21"/>
        <v>239.98833333333334</v>
      </c>
      <c r="AG26" s="2">
        <f t="shared" si="21"/>
        <v>239.98833333333334</v>
      </c>
      <c r="AH26" s="2">
        <f t="shared" si="21"/>
        <v>239.98833333333334</v>
      </c>
      <c r="AI26" s="6">
        <f t="shared" si="6"/>
        <v>2879.8599999999992</v>
      </c>
    </row>
    <row r="27" spans="1:35" x14ac:dyDescent="0.25">
      <c r="A27" s="5" t="s">
        <v>30</v>
      </c>
      <c r="B27" s="6">
        <v>-2409624.44</v>
      </c>
      <c r="C27" s="7">
        <f t="shared" si="0"/>
        <v>-0.21839358358836139</v>
      </c>
      <c r="D27" s="6">
        <f>SUM(D28:D36)</f>
        <v>-2503434.5399999996</v>
      </c>
      <c r="E27" s="7">
        <f t="shared" si="11"/>
        <v>-0.29764753921241177</v>
      </c>
      <c r="F27" s="6">
        <f>SUM(F28:F36)</f>
        <v>-3170190.1609999994</v>
      </c>
      <c r="G27" s="7">
        <f t="shared" si="16"/>
        <v>-0.37692189876754256</v>
      </c>
      <c r="H27" s="6">
        <f>SUM(H28:H36)</f>
        <v>-289182.51341666665</v>
      </c>
      <c r="I27" s="6">
        <f t="shared" ref="I27:S27" si="24">SUM(I28:I36)</f>
        <v>-289182.51341666665</v>
      </c>
      <c r="J27" s="6">
        <f t="shared" si="24"/>
        <v>-239182.51341666662</v>
      </c>
      <c r="K27" s="6">
        <f t="shared" si="24"/>
        <v>-389182.51341666671</v>
      </c>
      <c r="L27" s="6">
        <f t="shared" si="24"/>
        <v>-239182.51341666662</v>
      </c>
      <c r="M27" s="6">
        <f t="shared" si="24"/>
        <v>-239182.51341666662</v>
      </c>
      <c r="N27" s="6">
        <f t="shared" si="24"/>
        <v>-239182.51341666662</v>
      </c>
      <c r="O27" s="6">
        <f t="shared" si="24"/>
        <v>-239182.51341666662</v>
      </c>
      <c r="P27" s="6">
        <f t="shared" si="24"/>
        <v>-289182.51341666665</v>
      </c>
      <c r="Q27" s="6">
        <f t="shared" si="24"/>
        <v>-239182.51341666662</v>
      </c>
      <c r="R27" s="6">
        <f t="shared" si="24"/>
        <v>-239182.51341666662</v>
      </c>
      <c r="S27" s="6">
        <f t="shared" si="24"/>
        <v>-239182.51341666662</v>
      </c>
      <c r="T27" s="6">
        <f t="shared" si="4"/>
        <v>-3170190.1609999989</v>
      </c>
      <c r="U27" s="6">
        <f t="shared" si="5"/>
        <v>0</v>
      </c>
      <c r="V27" s="23">
        <f t="shared" si="17"/>
        <v>0</v>
      </c>
      <c r="W27" s="6">
        <f>SUM(W28:W36)</f>
        <v>0</v>
      </c>
      <c r="X27" s="6">
        <f t="shared" ref="X27:AH27" si="25">SUM(X28:X36)</f>
        <v>0</v>
      </c>
      <c r="Y27" s="6">
        <f t="shared" si="25"/>
        <v>0</v>
      </c>
      <c r="Z27" s="6">
        <f t="shared" si="25"/>
        <v>0</v>
      </c>
      <c r="AA27" s="6">
        <f t="shared" si="25"/>
        <v>0</v>
      </c>
      <c r="AB27" s="6">
        <f t="shared" si="25"/>
        <v>0</v>
      </c>
      <c r="AC27" s="6">
        <f t="shared" si="25"/>
        <v>0</v>
      </c>
      <c r="AD27" s="6">
        <f t="shared" si="25"/>
        <v>0</v>
      </c>
      <c r="AE27" s="6">
        <f t="shared" si="25"/>
        <v>0</v>
      </c>
      <c r="AF27" s="6">
        <f t="shared" si="25"/>
        <v>0</v>
      </c>
      <c r="AG27" s="6">
        <f t="shared" si="25"/>
        <v>0</v>
      </c>
      <c r="AH27" s="6">
        <f t="shared" si="25"/>
        <v>0</v>
      </c>
      <c r="AI27" s="6">
        <f t="shared" si="6"/>
        <v>0</v>
      </c>
    </row>
    <row r="28" spans="1:35" outlineLevel="1" x14ac:dyDescent="0.25">
      <c r="A28" s="1" t="s">
        <v>31</v>
      </c>
      <c r="B28" s="2">
        <v>-1803670.97</v>
      </c>
      <c r="C28" s="8">
        <f t="shared" si="0"/>
        <v>-0.16347367673304139</v>
      </c>
      <c r="D28" s="2">
        <v>-1858835.58</v>
      </c>
      <c r="E28" s="8">
        <f t="shared" si="11"/>
        <v>-0.22100751082050513</v>
      </c>
      <c r="F28" s="2">
        <f>+D28*1.15</f>
        <v>-2137660.9169999999</v>
      </c>
      <c r="G28" s="8">
        <f t="shared" si="16"/>
        <v>-0.25415863744358086</v>
      </c>
      <c r="H28" s="2">
        <f t="shared" si="20"/>
        <v>-178138.40974999999</v>
      </c>
      <c r="I28" s="2">
        <f t="shared" si="20"/>
        <v>-178138.40974999999</v>
      </c>
      <c r="J28" s="2">
        <f t="shared" si="20"/>
        <v>-178138.40974999999</v>
      </c>
      <c r="K28" s="2">
        <f t="shared" si="20"/>
        <v>-178138.40974999999</v>
      </c>
      <c r="L28" s="2">
        <f t="shared" si="20"/>
        <v>-178138.40974999999</v>
      </c>
      <c r="M28" s="2">
        <f t="shared" si="20"/>
        <v>-178138.40974999999</v>
      </c>
      <c r="N28" s="2">
        <f t="shared" si="20"/>
        <v>-178138.40974999999</v>
      </c>
      <c r="O28" s="2">
        <f t="shared" si="20"/>
        <v>-178138.40974999999</v>
      </c>
      <c r="P28" s="2">
        <f t="shared" si="20"/>
        <v>-178138.40974999999</v>
      </c>
      <c r="Q28" s="2">
        <f t="shared" si="20"/>
        <v>-178138.40974999999</v>
      </c>
      <c r="R28" s="2">
        <f t="shared" si="20"/>
        <v>-178138.40974999999</v>
      </c>
      <c r="S28" s="2">
        <f t="shared" ref="I28:S34" si="26">+$F28/12</f>
        <v>-178138.40974999999</v>
      </c>
      <c r="T28" s="6">
        <f t="shared" si="4"/>
        <v>-2137660.9170000004</v>
      </c>
      <c r="U28" s="24">
        <v>0</v>
      </c>
      <c r="V28" s="23">
        <f t="shared" si="17"/>
        <v>0</v>
      </c>
      <c r="W28" s="2">
        <f>+$U28/12</f>
        <v>0</v>
      </c>
      <c r="X28" s="2">
        <f t="shared" ref="X28:AH28" si="27">+$U28/12</f>
        <v>0</v>
      </c>
      <c r="Y28" s="2">
        <f t="shared" si="27"/>
        <v>0</v>
      </c>
      <c r="Z28" s="2">
        <f t="shared" si="27"/>
        <v>0</v>
      </c>
      <c r="AA28" s="2">
        <f t="shared" si="27"/>
        <v>0</v>
      </c>
      <c r="AB28" s="2">
        <f t="shared" si="27"/>
        <v>0</v>
      </c>
      <c r="AC28" s="2">
        <f t="shared" si="27"/>
        <v>0</v>
      </c>
      <c r="AD28" s="2">
        <f t="shared" si="27"/>
        <v>0</v>
      </c>
      <c r="AE28" s="2">
        <f t="shared" si="27"/>
        <v>0</v>
      </c>
      <c r="AF28" s="2">
        <f t="shared" si="27"/>
        <v>0</v>
      </c>
      <c r="AG28" s="2">
        <f t="shared" si="27"/>
        <v>0</v>
      </c>
      <c r="AH28" s="2">
        <f t="shared" si="27"/>
        <v>0</v>
      </c>
      <c r="AI28" s="6">
        <f t="shared" si="6"/>
        <v>0</v>
      </c>
    </row>
    <row r="29" spans="1:35" outlineLevel="1" x14ac:dyDescent="0.25">
      <c r="A29" s="1" t="s">
        <v>32</v>
      </c>
      <c r="B29" s="2">
        <v>-23400</v>
      </c>
      <c r="C29" s="8">
        <f t="shared" si="0"/>
        <v>-2.1208325127909382E-3</v>
      </c>
      <c r="D29" s="2">
        <v>-17550</v>
      </c>
      <c r="E29" s="8">
        <f t="shared" si="11"/>
        <v>-2.0866190945731007E-3</v>
      </c>
      <c r="F29" s="2">
        <f t="shared" ref="F29:F36" si="28">+D29*1.2</f>
        <v>-21060</v>
      </c>
      <c r="G29" s="8">
        <f t="shared" si="16"/>
        <v>-2.5039429134877211E-3</v>
      </c>
      <c r="H29" s="2">
        <f t="shared" si="20"/>
        <v>-1755</v>
      </c>
      <c r="I29" s="2">
        <f t="shared" si="26"/>
        <v>-1755</v>
      </c>
      <c r="J29" s="2">
        <f t="shared" si="26"/>
        <v>-1755</v>
      </c>
      <c r="K29" s="2">
        <f t="shared" si="26"/>
        <v>-1755</v>
      </c>
      <c r="L29" s="2">
        <f t="shared" si="26"/>
        <v>-1755</v>
      </c>
      <c r="M29" s="2">
        <f t="shared" si="26"/>
        <v>-1755</v>
      </c>
      <c r="N29" s="2">
        <f t="shared" si="26"/>
        <v>-1755</v>
      </c>
      <c r="O29" s="2">
        <f t="shared" si="26"/>
        <v>-1755</v>
      </c>
      <c r="P29" s="2">
        <f t="shared" si="26"/>
        <v>-1755</v>
      </c>
      <c r="Q29" s="2">
        <f t="shared" si="26"/>
        <v>-1755</v>
      </c>
      <c r="R29" s="2">
        <f t="shared" si="26"/>
        <v>-1755</v>
      </c>
      <c r="S29" s="2">
        <f t="shared" si="26"/>
        <v>-1755</v>
      </c>
      <c r="T29" s="6">
        <f t="shared" si="4"/>
        <v>-21060</v>
      </c>
      <c r="U29" s="24">
        <v>0</v>
      </c>
      <c r="V29" s="23">
        <f t="shared" si="17"/>
        <v>0</v>
      </c>
      <c r="W29" s="2">
        <f t="shared" ref="W29:AH44" si="29">+$U29/12</f>
        <v>0</v>
      </c>
      <c r="X29" s="2">
        <f t="shared" si="29"/>
        <v>0</v>
      </c>
      <c r="Y29" s="2">
        <f t="shared" si="29"/>
        <v>0</v>
      </c>
      <c r="Z29" s="2">
        <f t="shared" si="29"/>
        <v>0</v>
      </c>
      <c r="AA29" s="2">
        <f t="shared" si="29"/>
        <v>0</v>
      </c>
      <c r="AB29" s="2">
        <f t="shared" si="29"/>
        <v>0</v>
      </c>
      <c r="AC29" s="2">
        <f t="shared" si="29"/>
        <v>0</v>
      </c>
      <c r="AD29" s="2">
        <f t="shared" si="29"/>
        <v>0</v>
      </c>
      <c r="AE29" s="2">
        <f t="shared" si="29"/>
        <v>0</v>
      </c>
      <c r="AF29" s="2">
        <f t="shared" si="29"/>
        <v>0</v>
      </c>
      <c r="AG29" s="2">
        <f t="shared" si="29"/>
        <v>0</v>
      </c>
      <c r="AH29" s="2">
        <f t="shared" si="29"/>
        <v>0</v>
      </c>
      <c r="AI29" s="6">
        <f t="shared" si="6"/>
        <v>0</v>
      </c>
    </row>
    <row r="30" spans="1:35" outlineLevel="1" x14ac:dyDescent="0.25">
      <c r="A30" s="1" t="s">
        <v>33</v>
      </c>
      <c r="B30" s="2">
        <v>0</v>
      </c>
      <c r="C30" s="8">
        <f t="shared" si="0"/>
        <v>0</v>
      </c>
      <c r="D30" s="2">
        <v>-30979.360000000001</v>
      </c>
      <c r="E30" s="8">
        <f t="shared" si="11"/>
        <v>-3.6833119153079283E-3</v>
      </c>
      <c r="F30" s="2">
        <f t="shared" si="28"/>
        <v>-37175.231999999996</v>
      </c>
      <c r="G30" s="8">
        <f t="shared" si="16"/>
        <v>-4.4199742983695132E-3</v>
      </c>
      <c r="H30" s="2">
        <f t="shared" si="20"/>
        <v>-3097.9359999999997</v>
      </c>
      <c r="I30" s="2">
        <f t="shared" si="26"/>
        <v>-3097.9359999999997</v>
      </c>
      <c r="J30" s="2">
        <f t="shared" si="26"/>
        <v>-3097.9359999999997</v>
      </c>
      <c r="K30" s="2">
        <f t="shared" si="26"/>
        <v>-3097.9359999999997</v>
      </c>
      <c r="L30" s="2">
        <f t="shared" si="26"/>
        <v>-3097.9359999999997</v>
      </c>
      <c r="M30" s="2">
        <f t="shared" si="26"/>
        <v>-3097.9359999999997</v>
      </c>
      <c r="N30" s="2">
        <f t="shared" si="26"/>
        <v>-3097.9359999999997</v>
      </c>
      <c r="O30" s="2">
        <f t="shared" si="26"/>
        <v>-3097.9359999999997</v>
      </c>
      <c r="P30" s="2">
        <f t="shared" si="26"/>
        <v>-3097.9359999999997</v>
      </c>
      <c r="Q30" s="2">
        <f t="shared" si="26"/>
        <v>-3097.9359999999997</v>
      </c>
      <c r="R30" s="2">
        <f t="shared" si="26"/>
        <v>-3097.9359999999997</v>
      </c>
      <c r="S30" s="2">
        <f t="shared" si="26"/>
        <v>-3097.9359999999997</v>
      </c>
      <c r="T30" s="6">
        <f t="shared" si="4"/>
        <v>-37175.232000000004</v>
      </c>
      <c r="U30" s="24">
        <v>0</v>
      </c>
      <c r="V30" s="23">
        <f t="shared" si="17"/>
        <v>0</v>
      </c>
      <c r="W30" s="2">
        <f t="shared" si="29"/>
        <v>0</v>
      </c>
      <c r="X30" s="2">
        <f t="shared" si="29"/>
        <v>0</v>
      </c>
      <c r="Y30" s="2">
        <f t="shared" si="29"/>
        <v>0</v>
      </c>
      <c r="Z30" s="2">
        <f t="shared" si="29"/>
        <v>0</v>
      </c>
      <c r="AA30" s="2">
        <f t="shared" si="29"/>
        <v>0</v>
      </c>
      <c r="AB30" s="2">
        <f t="shared" si="29"/>
        <v>0</v>
      </c>
      <c r="AC30" s="2">
        <f t="shared" si="29"/>
        <v>0</v>
      </c>
      <c r="AD30" s="2">
        <f t="shared" si="29"/>
        <v>0</v>
      </c>
      <c r="AE30" s="2">
        <f t="shared" si="29"/>
        <v>0</v>
      </c>
      <c r="AF30" s="2">
        <f t="shared" si="29"/>
        <v>0</v>
      </c>
      <c r="AG30" s="2">
        <f t="shared" si="29"/>
        <v>0</v>
      </c>
      <c r="AH30" s="2">
        <f t="shared" si="29"/>
        <v>0</v>
      </c>
      <c r="AI30" s="6">
        <f t="shared" si="6"/>
        <v>0</v>
      </c>
    </row>
    <row r="31" spans="1:35" outlineLevel="1" x14ac:dyDescent="0.25">
      <c r="A31" s="1" t="s">
        <v>34</v>
      </c>
      <c r="B31" s="2">
        <v>-59758.13</v>
      </c>
      <c r="C31" s="8">
        <f t="shared" si="0"/>
        <v>-5.4161104704097233E-3</v>
      </c>
      <c r="D31" s="2">
        <v>-48378.17</v>
      </c>
      <c r="E31" s="8">
        <f t="shared" si="11"/>
        <v>-5.7519551727922245E-3</v>
      </c>
      <c r="F31" s="2">
        <f t="shared" si="28"/>
        <v>-58053.803999999996</v>
      </c>
      <c r="G31" s="8">
        <f t="shared" si="16"/>
        <v>-6.9023462073506698E-3</v>
      </c>
      <c r="H31" s="2">
        <f t="shared" si="20"/>
        <v>-4837.817</v>
      </c>
      <c r="I31" s="2">
        <f t="shared" si="26"/>
        <v>-4837.817</v>
      </c>
      <c r="J31" s="2">
        <f t="shared" si="26"/>
        <v>-4837.817</v>
      </c>
      <c r="K31" s="2">
        <f t="shared" si="26"/>
        <v>-4837.817</v>
      </c>
      <c r="L31" s="2">
        <f t="shared" si="26"/>
        <v>-4837.817</v>
      </c>
      <c r="M31" s="2">
        <f t="shared" si="26"/>
        <v>-4837.817</v>
      </c>
      <c r="N31" s="2">
        <f t="shared" si="26"/>
        <v>-4837.817</v>
      </c>
      <c r="O31" s="2">
        <f t="shared" si="26"/>
        <v>-4837.817</v>
      </c>
      <c r="P31" s="2">
        <f t="shared" si="26"/>
        <v>-4837.817</v>
      </c>
      <c r="Q31" s="2">
        <f t="shared" si="26"/>
        <v>-4837.817</v>
      </c>
      <c r="R31" s="2">
        <f t="shared" si="26"/>
        <v>-4837.817</v>
      </c>
      <c r="S31" s="2">
        <f t="shared" si="26"/>
        <v>-4837.817</v>
      </c>
      <c r="T31" s="6">
        <f t="shared" si="4"/>
        <v>-58053.804000000011</v>
      </c>
      <c r="U31" s="24">
        <v>0</v>
      </c>
      <c r="V31" s="23">
        <f t="shared" si="17"/>
        <v>0</v>
      </c>
      <c r="W31" s="2">
        <f t="shared" si="29"/>
        <v>0</v>
      </c>
      <c r="X31" s="2">
        <f t="shared" si="29"/>
        <v>0</v>
      </c>
      <c r="Y31" s="2">
        <f t="shared" si="29"/>
        <v>0</v>
      </c>
      <c r="Z31" s="2">
        <f t="shared" si="29"/>
        <v>0</v>
      </c>
      <c r="AA31" s="2">
        <f t="shared" si="29"/>
        <v>0</v>
      </c>
      <c r="AB31" s="2">
        <f t="shared" si="29"/>
        <v>0</v>
      </c>
      <c r="AC31" s="2">
        <f t="shared" si="29"/>
        <v>0</v>
      </c>
      <c r="AD31" s="2">
        <f t="shared" si="29"/>
        <v>0</v>
      </c>
      <c r="AE31" s="2">
        <f t="shared" si="29"/>
        <v>0</v>
      </c>
      <c r="AF31" s="2">
        <f t="shared" si="29"/>
        <v>0</v>
      </c>
      <c r="AG31" s="2">
        <f t="shared" si="29"/>
        <v>0</v>
      </c>
      <c r="AH31" s="2">
        <f t="shared" si="29"/>
        <v>0</v>
      </c>
      <c r="AI31" s="6">
        <f t="shared" si="6"/>
        <v>0</v>
      </c>
    </row>
    <row r="32" spans="1:35" s="5" customFormat="1" outlineLevel="1" x14ac:dyDescent="0.25">
      <c r="A32" s="1" t="s">
        <v>35</v>
      </c>
      <c r="B32" s="2">
        <v>0</v>
      </c>
      <c r="C32" s="8">
        <f t="shared" si="0"/>
        <v>0</v>
      </c>
      <c r="D32" s="2">
        <v>-35116.82</v>
      </c>
      <c r="E32" s="8">
        <f t="shared" si="11"/>
        <v>-4.1752380143980942E-3</v>
      </c>
      <c r="F32" s="2">
        <v>-300000</v>
      </c>
      <c r="G32" s="8">
        <f t="shared" si="16"/>
        <v>-3.5668702471335058E-2</v>
      </c>
      <c r="H32" s="2">
        <v>-50000</v>
      </c>
      <c r="I32" s="2">
        <v>-50000</v>
      </c>
      <c r="J32" s="2"/>
      <c r="K32" s="2">
        <v>-150000</v>
      </c>
      <c r="L32" s="2"/>
      <c r="M32" s="2"/>
      <c r="N32" s="2"/>
      <c r="O32" s="2"/>
      <c r="P32" s="2">
        <v>-50000</v>
      </c>
      <c r="Q32" s="2"/>
      <c r="R32" s="2"/>
      <c r="S32" s="2"/>
      <c r="T32" s="6"/>
      <c r="U32" s="24">
        <v>0</v>
      </c>
      <c r="V32" s="23">
        <f t="shared" si="17"/>
        <v>0</v>
      </c>
      <c r="W32" s="2">
        <f t="shared" si="29"/>
        <v>0</v>
      </c>
      <c r="X32" s="2">
        <f t="shared" si="29"/>
        <v>0</v>
      </c>
      <c r="Y32" s="2">
        <f t="shared" si="29"/>
        <v>0</v>
      </c>
      <c r="Z32" s="2">
        <f t="shared" si="29"/>
        <v>0</v>
      </c>
      <c r="AA32" s="2">
        <f t="shared" si="29"/>
        <v>0</v>
      </c>
      <c r="AB32" s="2">
        <f t="shared" si="29"/>
        <v>0</v>
      </c>
      <c r="AC32" s="2">
        <f t="shared" si="29"/>
        <v>0</v>
      </c>
      <c r="AD32" s="2">
        <f t="shared" si="29"/>
        <v>0</v>
      </c>
      <c r="AE32" s="2">
        <f t="shared" si="29"/>
        <v>0</v>
      </c>
      <c r="AF32" s="2">
        <f t="shared" si="29"/>
        <v>0</v>
      </c>
      <c r="AG32" s="2">
        <f t="shared" si="29"/>
        <v>0</v>
      </c>
      <c r="AH32" s="2">
        <f t="shared" si="29"/>
        <v>0</v>
      </c>
      <c r="AI32" s="6"/>
    </row>
    <row r="33" spans="1:35" outlineLevel="1" x14ac:dyDescent="0.25">
      <c r="A33" s="1" t="s">
        <v>36</v>
      </c>
      <c r="B33" s="2">
        <v>-474954.57</v>
      </c>
      <c r="C33" s="8">
        <f t="shared" si="0"/>
        <v>-4.3046969835668351E-2</v>
      </c>
      <c r="D33" s="2">
        <v>-440599.49</v>
      </c>
      <c r="E33" s="8">
        <f t="shared" si="11"/>
        <v>-5.2385373726106556E-2</v>
      </c>
      <c r="F33" s="2">
        <f t="shared" si="28"/>
        <v>-528719.38799999992</v>
      </c>
      <c r="G33" s="8">
        <f t="shared" si="16"/>
        <v>-6.2862448471327853E-2</v>
      </c>
      <c r="H33" s="2">
        <f t="shared" si="20"/>
        <v>-44059.948999999993</v>
      </c>
      <c r="I33" s="2">
        <f t="shared" si="26"/>
        <v>-44059.948999999993</v>
      </c>
      <c r="J33" s="2">
        <f t="shared" si="26"/>
        <v>-44059.948999999993</v>
      </c>
      <c r="K33" s="2">
        <f t="shared" si="26"/>
        <v>-44059.948999999993</v>
      </c>
      <c r="L33" s="2">
        <f t="shared" si="26"/>
        <v>-44059.948999999993</v>
      </c>
      <c r="M33" s="2">
        <f t="shared" si="26"/>
        <v>-44059.948999999993</v>
      </c>
      <c r="N33" s="2">
        <f t="shared" si="26"/>
        <v>-44059.948999999993</v>
      </c>
      <c r="O33" s="2">
        <f t="shared" si="26"/>
        <v>-44059.948999999993</v>
      </c>
      <c r="P33" s="2">
        <f t="shared" si="26"/>
        <v>-44059.948999999993</v>
      </c>
      <c r="Q33" s="2">
        <f t="shared" si="26"/>
        <v>-44059.948999999993</v>
      </c>
      <c r="R33" s="2">
        <f t="shared" si="26"/>
        <v>-44059.948999999993</v>
      </c>
      <c r="S33" s="2">
        <f t="shared" si="26"/>
        <v>-44059.948999999993</v>
      </c>
      <c r="T33" s="6">
        <f t="shared" si="4"/>
        <v>-528719.38800000004</v>
      </c>
      <c r="U33" s="24">
        <v>0</v>
      </c>
      <c r="V33" s="23">
        <f t="shared" si="17"/>
        <v>0</v>
      </c>
      <c r="W33" s="2">
        <f t="shared" si="29"/>
        <v>0</v>
      </c>
      <c r="X33" s="2">
        <f t="shared" si="29"/>
        <v>0</v>
      </c>
      <c r="Y33" s="2">
        <f t="shared" si="29"/>
        <v>0</v>
      </c>
      <c r="Z33" s="2">
        <f t="shared" si="29"/>
        <v>0</v>
      </c>
      <c r="AA33" s="2">
        <f t="shared" si="29"/>
        <v>0</v>
      </c>
      <c r="AB33" s="2">
        <f t="shared" si="29"/>
        <v>0</v>
      </c>
      <c r="AC33" s="2">
        <f t="shared" si="29"/>
        <v>0</v>
      </c>
      <c r="AD33" s="2">
        <f t="shared" si="29"/>
        <v>0</v>
      </c>
      <c r="AE33" s="2">
        <f t="shared" si="29"/>
        <v>0</v>
      </c>
      <c r="AF33" s="2">
        <f t="shared" si="29"/>
        <v>0</v>
      </c>
      <c r="AG33" s="2">
        <f t="shared" si="29"/>
        <v>0</v>
      </c>
      <c r="AH33" s="2">
        <f t="shared" si="29"/>
        <v>0</v>
      </c>
      <c r="AI33" s="6">
        <f t="shared" ref="AI33:AI66" si="30">SUM(W33:AH33)</f>
        <v>0</v>
      </c>
    </row>
    <row r="34" spans="1:35" outlineLevel="1" x14ac:dyDescent="0.25">
      <c r="A34" s="1" t="s">
        <v>37</v>
      </c>
      <c r="B34" s="2">
        <v>-1421</v>
      </c>
      <c r="C34" s="8">
        <f t="shared" si="0"/>
        <v>-1.2879072652461208E-4</v>
      </c>
      <c r="D34" s="2">
        <v>-7966.65</v>
      </c>
      <c r="E34" s="8">
        <f t="shared" si="11"/>
        <v>-9.4720022847753803E-4</v>
      </c>
      <c r="F34" s="2">
        <f>+D34*2</f>
        <v>-15933.3</v>
      </c>
      <c r="G34" s="8">
        <f t="shared" si="16"/>
        <v>-1.8944004569550761E-3</v>
      </c>
      <c r="H34" s="2">
        <f t="shared" si="20"/>
        <v>-1327.7749999999999</v>
      </c>
      <c r="I34" s="2">
        <f t="shared" si="26"/>
        <v>-1327.7749999999999</v>
      </c>
      <c r="J34" s="2">
        <f t="shared" si="26"/>
        <v>-1327.7749999999999</v>
      </c>
      <c r="K34" s="2">
        <f t="shared" si="26"/>
        <v>-1327.7749999999999</v>
      </c>
      <c r="L34" s="2">
        <f t="shared" si="26"/>
        <v>-1327.7749999999999</v>
      </c>
      <c r="M34" s="2">
        <f t="shared" si="26"/>
        <v>-1327.7749999999999</v>
      </c>
      <c r="N34" s="2">
        <f t="shared" si="26"/>
        <v>-1327.7749999999999</v>
      </c>
      <c r="O34" s="2">
        <f t="shared" si="26"/>
        <v>-1327.7749999999999</v>
      </c>
      <c r="P34" s="2">
        <f t="shared" si="26"/>
        <v>-1327.7749999999999</v>
      </c>
      <c r="Q34" s="2">
        <f t="shared" si="26"/>
        <v>-1327.7749999999999</v>
      </c>
      <c r="R34" s="2">
        <f t="shared" si="26"/>
        <v>-1327.7749999999999</v>
      </c>
      <c r="S34" s="2">
        <f t="shared" si="26"/>
        <v>-1327.7749999999999</v>
      </c>
      <c r="T34" s="6">
        <f t="shared" si="4"/>
        <v>-15933.299999999997</v>
      </c>
      <c r="U34" s="24">
        <v>0</v>
      </c>
      <c r="V34" s="23">
        <f t="shared" si="17"/>
        <v>0</v>
      </c>
      <c r="W34" s="2">
        <f t="shared" si="29"/>
        <v>0</v>
      </c>
      <c r="X34" s="2">
        <f t="shared" si="29"/>
        <v>0</v>
      </c>
      <c r="Y34" s="2">
        <f t="shared" si="29"/>
        <v>0</v>
      </c>
      <c r="Z34" s="2">
        <f t="shared" si="29"/>
        <v>0</v>
      </c>
      <c r="AA34" s="2">
        <f t="shared" si="29"/>
        <v>0</v>
      </c>
      <c r="AB34" s="2">
        <f t="shared" si="29"/>
        <v>0</v>
      </c>
      <c r="AC34" s="2">
        <f t="shared" si="29"/>
        <v>0</v>
      </c>
      <c r="AD34" s="2">
        <f t="shared" si="29"/>
        <v>0</v>
      </c>
      <c r="AE34" s="2">
        <f t="shared" si="29"/>
        <v>0</v>
      </c>
      <c r="AF34" s="2">
        <f t="shared" si="29"/>
        <v>0</v>
      </c>
      <c r="AG34" s="2">
        <f t="shared" si="29"/>
        <v>0</v>
      </c>
      <c r="AH34" s="2">
        <f t="shared" si="29"/>
        <v>0</v>
      </c>
      <c r="AI34" s="6">
        <f t="shared" si="30"/>
        <v>0</v>
      </c>
    </row>
    <row r="35" spans="1:35" outlineLevel="1" x14ac:dyDescent="0.25">
      <c r="A35" s="1" t="s">
        <v>38</v>
      </c>
      <c r="B35" s="2">
        <v>-2396.38</v>
      </c>
      <c r="C35" s="8">
        <f t="shared" si="0"/>
        <v>-2.1719318876076702E-4</v>
      </c>
      <c r="D35" s="2">
        <v>-13056.61</v>
      </c>
      <c r="E35" s="8">
        <f t="shared" si="11"/>
        <v>-1.5523744579141936E-3</v>
      </c>
      <c r="F35" s="2">
        <f>+D35*0.8</f>
        <v>-10445.288</v>
      </c>
      <c r="G35" s="8">
        <f t="shared" si="16"/>
        <v>-1.2418995663313547E-3</v>
      </c>
      <c r="H35" s="2">
        <f t="shared" ref="H35:S36" si="31">+$F35/12</f>
        <v>-870.44066666666674</v>
      </c>
      <c r="I35" s="2">
        <f t="shared" si="31"/>
        <v>-870.44066666666674</v>
      </c>
      <c r="J35" s="2">
        <f t="shared" si="31"/>
        <v>-870.44066666666674</v>
      </c>
      <c r="K35" s="2">
        <f t="shared" si="31"/>
        <v>-870.44066666666674</v>
      </c>
      <c r="L35" s="2">
        <f t="shared" si="31"/>
        <v>-870.44066666666674</v>
      </c>
      <c r="M35" s="2">
        <f t="shared" si="31"/>
        <v>-870.44066666666674</v>
      </c>
      <c r="N35" s="2">
        <f t="shared" si="31"/>
        <v>-870.44066666666674</v>
      </c>
      <c r="O35" s="2">
        <f t="shared" si="31"/>
        <v>-870.44066666666674</v>
      </c>
      <c r="P35" s="2">
        <f t="shared" si="31"/>
        <v>-870.44066666666674</v>
      </c>
      <c r="Q35" s="2">
        <f t="shared" si="31"/>
        <v>-870.44066666666674</v>
      </c>
      <c r="R35" s="2">
        <f t="shared" si="31"/>
        <v>-870.44066666666674</v>
      </c>
      <c r="S35" s="2">
        <f t="shared" si="31"/>
        <v>-870.44066666666674</v>
      </c>
      <c r="T35" s="6">
        <f t="shared" si="4"/>
        <v>-10445.288</v>
      </c>
      <c r="U35" s="24">
        <v>0</v>
      </c>
      <c r="V35" s="23">
        <f t="shared" si="17"/>
        <v>0</v>
      </c>
      <c r="W35" s="2">
        <f t="shared" si="29"/>
        <v>0</v>
      </c>
      <c r="X35" s="2">
        <f t="shared" si="29"/>
        <v>0</v>
      </c>
      <c r="Y35" s="2">
        <f t="shared" si="29"/>
        <v>0</v>
      </c>
      <c r="Z35" s="2">
        <f t="shared" si="29"/>
        <v>0</v>
      </c>
      <c r="AA35" s="2">
        <f t="shared" si="29"/>
        <v>0</v>
      </c>
      <c r="AB35" s="2">
        <f t="shared" si="29"/>
        <v>0</v>
      </c>
      <c r="AC35" s="2">
        <f t="shared" si="29"/>
        <v>0</v>
      </c>
      <c r="AD35" s="2">
        <f t="shared" si="29"/>
        <v>0</v>
      </c>
      <c r="AE35" s="2">
        <f t="shared" si="29"/>
        <v>0</v>
      </c>
      <c r="AF35" s="2">
        <f t="shared" si="29"/>
        <v>0</v>
      </c>
      <c r="AG35" s="2">
        <f t="shared" si="29"/>
        <v>0</v>
      </c>
      <c r="AH35" s="2">
        <f t="shared" si="29"/>
        <v>0</v>
      </c>
      <c r="AI35" s="6">
        <f t="shared" si="30"/>
        <v>0</v>
      </c>
    </row>
    <row r="36" spans="1:35" outlineLevel="1" x14ac:dyDescent="0.25">
      <c r="A36" s="1" t="s">
        <v>39</v>
      </c>
      <c r="B36" s="2">
        <v>-44023.39</v>
      </c>
      <c r="C36" s="8">
        <f t="shared" si="0"/>
        <v>-3.9900101211656179E-3</v>
      </c>
      <c r="D36" s="2">
        <v>-50951.86</v>
      </c>
      <c r="E36" s="8">
        <f t="shared" si="11"/>
        <v>-6.05795578233706E-3</v>
      </c>
      <c r="F36" s="2">
        <f t="shared" si="28"/>
        <v>-61142.231999999996</v>
      </c>
      <c r="G36" s="8">
        <f t="shared" si="16"/>
        <v>-7.2695469388044708E-3</v>
      </c>
      <c r="H36" s="2">
        <f t="shared" si="31"/>
        <v>-5095.1859999999997</v>
      </c>
      <c r="I36" s="2">
        <f t="shared" si="31"/>
        <v>-5095.1859999999997</v>
      </c>
      <c r="J36" s="2">
        <f t="shared" si="31"/>
        <v>-5095.1859999999997</v>
      </c>
      <c r="K36" s="2">
        <f t="shared" si="31"/>
        <v>-5095.1859999999997</v>
      </c>
      <c r="L36" s="2">
        <f t="shared" si="31"/>
        <v>-5095.1859999999997</v>
      </c>
      <c r="M36" s="2">
        <f t="shared" si="31"/>
        <v>-5095.1859999999997</v>
      </c>
      <c r="N36" s="2">
        <f t="shared" si="31"/>
        <v>-5095.1859999999997</v>
      </c>
      <c r="O36" s="2">
        <f t="shared" si="31"/>
        <v>-5095.1859999999997</v>
      </c>
      <c r="P36" s="2">
        <f t="shared" si="31"/>
        <v>-5095.1859999999997</v>
      </c>
      <c r="Q36" s="2">
        <f t="shared" si="31"/>
        <v>-5095.1859999999997</v>
      </c>
      <c r="R36" s="2">
        <f t="shared" si="31"/>
        <v>-5095.1859999999997</v>
      </c>
      <c r="S36" s="2">
        <f t="shared" si="31"/>
        <v>-5095.1859999999997</v>
      </c>
      <c r="T36" s="6">
        <f t="shared" si="4"/>
        <v>-61142.232000000011</v>
      </c>
      <c r="U36" s="24">
        <v>0</v>
      </c>
      <c r="V36" s="23">
        <f t="shared" si="17"/>
        <v>0</v>
      </c>
      <c r="W36" s="2">
        <f t="shared" si="29"/>
        <v>0</v>
      </c>
      <c r="X36" s="2">
        <f t="shared" si="29"/>
        <v>0</v>
      </c>
      <c r="Y36" s="2">
        <f t="shared" si="29"/>
        <v>0</v>
      </c>
      <c r="Z36" s="2">
        <f t="shared" si="29"/>
        <v>0</v>
      </c>
      <c r="AA36" s="2">
        <f t="shared" si="29"/>
        <v>0</v>
      </c>
      <c r="AB36" s="2">
        <f t="shared" si="29"/>
        <v>0</v>
      </c>
      <c r="AC36" s="2">
        <f t="shared" si="29"/>
        <v>0</v>
      </c>
      <c r="AD36" s="2">
        <f t="shared" si="29"/>
        <v>0</v>
      </c>
      <c r="AE36" s="2">
        <f t="shared" si="29"/>
        <v>0</v>
      </c>
      <c r="AF36" s="2">
        <f t="shared" si="29"/>
        <v>0</v>
      </c>
      <c r="AG36" s="2">
        <f t="shared" si="29"/>
        <v>0</v>
      </c>
      <c r="AH36" s="2">
        <f t="shared" si="29"/>
        <v>0</v>
      </c>
      <c r="AI36" s="6">
        <f t="shared" si="30"/>
        <v>0</v>
      </c>
    </row>
    <row r="37" spans="1:35" x14ac:dyDescent="0.25">
      <c r="A37" s="5" t="s">
        <v>40</v>
      </c>
      <c r="B37" s="6">
        <v>-1010603.09</v>
      </c>
      <c r="C37" s="7">
        <f t="shared" si="0"/>
        <v>-9.1594867128161811E-2</v>
      </c>
      <c r="D37" s="6">
        <v>-705469.42</v>
      </c>
      <c r="E37" s="7">
        <f t="shared" si="11"/>
        <v>-8.3877262815351045E-2</v>
      </c>
      <c r="F37" s="6">
        <f>SUM(F38:F121)</f>
        <v>-836075.96640000003</v>
      </c>
      <c r="G37" s="7">
        <f t="shared" si="16"/>
        <v>-9.9405816296518429E-2</v>
      </c>
      <c r="H37" s="6">
        <f>SUM(H38:H121)</f>
        <v>-69672.997199999998</v>
      </c>
      <c r="I37" s="6">
        <f t="shared" ref="I37:S37" si="32">SUM(I38:I121)</f>
        <v>-69672.997199999998</v>
      </c>
      <c r="J37" s="6">
        <f t="shared" si="32"/>
        <v>-69672.997199999998</v>
      </c>
      <c r="K37" s="6">
        <f t="shared" si="32"/>
        <v>-69672.997199999998</v>
      </c>
      <c r="L37" s="6">
        <f t="shared" si="32"/>
        <v>-69672.997199999998</v>
      </c>
      <c r="M37" s="6">
        <f t="shared" si="32"/>
        <v>-69672.997199999998</v>
      </c>
      <c r="N37" s="6">
        <f t="shared" si="32"/>
        <v>-69672.997199999998</v>
      </c>
      <c r="O37" s="6">
        <f t="shared" si="32"/>
        <v>-69672.997199999998</v>
      </c>
      <c r="P37" s="6">
        <f t="shared" si="32"/>
        <v>-69672.997199999998</v>
      </c>
      <c r="Q37" s="6">
        <f t="shared" si="32"/>
        <v>-69672.997199999998</v>
      </c>
      <c r="R37" s="6">
        <f t="shared" si="32"/>
        <v>-69672.997199999998</v>
      </c>
      <c r="S37" s="6">
        <f t="shared" si="32"/>
        <v>-69672.997199999998</v>
      </c>
      <c r="T37" s="6">
        <f t="shared" si="4"/>
        <v>-836075.96639999992</v>
      </c>
      <c r="U37" s="6">
        <f t="shared" si="5"/>
        <v>0</v>
      </c>
      <c r="V37" s="23">
        <f t="shared" si="17"/>
        <v>0</v>
      </c>
      <c r="W37" s="6">
        <f>SUM(W38:W121)</f>
        <v>0</v>
      </c>
      <c r="X37" s="6">
        <f t="shared" ref="X37:AH37" si="33">SUM(X38:X121)</f>
        <v>0</v>
      </c>
      <c r="Y37" s="6">
        <f t="shared" si="33"/>
        <v>0</v>
      </c>
      <c r="Z37" s="6">
        <f t="shared" si="33"/>
        <v>0</v>
      </c>
      <c r="AA37" s="6">
        <f t="shared" si="33"/>
        <v>0</v>
      </c>
      <c r="AB37" s="6">
        <f t="shared" si="33"/>
        <v>0</v>
      </c>
      <c r="AC37" s="6">
        <f t="shared" si="33"/>
        <v>0</v>
      </c>
      <c r="AD37" s="6">
        <f t="shared" si="33"/>
        <v>0</v>
      </c>
      <c r="AE37" s="6">
        <f t="shared" si="33"/>
        <v>0</v>
      </c>
      <c r="AF37" s="6">
        <f t="shared" si="33"/>
        <v>0</v>
      </c>
      <c r="AG37" s="6">
        <f t="shared" si="33"/>
        <v>0</v>
      </c>
      <c r="AH37" s="6">
        <f t="shared" si="33"/>
        <v>0</v>
      </c>
      <c r="AI37" s="6">
        <f t="shared" si="30"/>
        <v>0</v>
      </c>
    </row>
    <row r="38" spans="1:35" outlineLevel="1" x14ac:dyDescent="0.25">
      <c r="A38" s="10" t="s">
        <v>41</v>
      </c>
      <c r="B38" s="6"/>
      <c r="C38" s="7"/>
      <c r="D38" s="6"/>
      <c r="E38" s="7"/>
      <c r="F38" s="24">
        <f>+D38*1.1</f>
        <v>0</v>
      </c>
      <c r="G38" s="7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24"/>
      <c r="T38" s="6">
        <f t="shared" si="4"/>
        <v>0</v>
      </c>
      <c r="U38" s="24">
        <v>0</v>
      </c>
      <c r="V38" s="23">
        <f t="shared" si="17"/>
        <v>0</v>
      </c>
      <c r="W38" s="2">
        <f t="shared" si="29"/>
        <v>0</v>
      </c>
      <c r="X38" s="2">
        <f t="shared" si="29"/>
        <v>0</v>
      </c>
      <c r="Y38" s="2">
        <f t="shared" si="29"/>
        <v>0</v>
      </c>
      <c r="Z38" s="2">
        <f t="shared" si="29"/>
        <v>0</v>
      </c>
      <c r="AA38" s="2">
        <f t="shared" si="29"/>
        <v>0</v>
      </c>
      <c r="AB38" s="2">
        <f t="shared" si="29"/>
        <v>0</v>
      </c>
      <c r="AC38" s="2">
        <f t="shared" si="29"/>
        <v>0</v>
      </c>
      <c r="AD38" s="2">
        <f t="shared" si="29"/>
        <v>0</v>
      </c>
      <c r="AE38" s="2">
        <f t="shared" si="29"/>
        <v>0</v>
      </c>
      <c r="AF38" s="2">
        <f t="shared" si="29"/>
        <v>0</v>
      </c>
      <c r="AG38" s="2">
        <f t="shared" si="29"/>
        <v>0</v>
      </c>
      <c r="AH38" s="2">
        <f t="shared" si="29"/>
        <v>0</v>
      </c>
      <c r="AI38" s="6">
        <f t="shared" si="30"/>
        <v>0</v>
      </c>
    </row>
    <row r="39" spans="1:35" outlineLevel="1" x14ac:dyDescent="0.25">
      <c r="A39" s="1" t="s">
        <v>42</v>
      </c>
      <c r="B39" s="2">
        <v>0</v>
      </c>
      <c r="C39" s="8">
        <f>+B39/$B$2</f>
        <v>0</v>
      </c>
      <c r="D39" s="2">
        <v>-5319.29</v>
      </c>
      <c r="E39" s="8">
        <f>+D39/$D$2</f>
        <v>-6.3244057456249281E-4</v>
      </c>
      <c r="F39" s="24">
        <v>-6708</v>
      </c>
      <c r="G39" s="8">
        <f>+F39/$D$2</f>
        <v>-7.9755218725905189E-4</v>
      </c>
      <c r="H39" s="2">
        <f t="shared" ref="H39:S43" si="34">+$F39/12</f>
        <v>-559</v>
      </c>
      <c r="I39" s="2">
        <f t="shared" si="34"/>
        <v>-559</v>
      </c>
      <c r="J39" s="2">
        <f t="shared" si="34"/>
        <v>-559</v>
      </c>
      <c r="K39" s="2">
        <f t="shared" si="34"/>
        <v>-559</v>
      </c>
      <c r="L39" s="2">
        <f t="shared" si="34"/>
        <v>-559</v>
      </c>
      <c r="M39" s="2">
        <f t="shared" si="34"/>
        <v>-559</v>
      </c>
      <c r="N39" s="2">
        <f t="shared" si="34"/>
        <v>-559</v>
      </c>
      <c r="O39" s="2">
        <f t="shared" si="34"/>
        <v>-559</v>
      </c>
      <c r="P39" s="2">
        <f t="shared" si="34"/>
        <v>-559</v>
      </c>
      <c r="Q39" s="2">
        <f t="shared" si="34"/>
        <v>-559</v>
      </c>
      <c r="R39" s="2">
        <f t="shared" si="34"/>
        <v>-559</v>
      </c>
      <c r="S39" s="2">
        <f t="shared" si="34"/>
        <v>-559</v>
      </c>
      <c r="T39" s="6">
        <f t="shared" si="4"/>
        <v>-6708</v>
      </c>
      <c r="U39" s="24">
        <v>0</v>
      </c>
      <c r="V39" s="23">
        <f t="shared" si="17"/>
        <v>0</v>
      </c>
      <c r="W39" s="2">
        <f t="shared" si="29"/>
        <v>0</v>
      </c>
      <c r="X39" s="2">
        <f t="shared" si="29"/>
        <v>0</v>
      </c>
      <c r="Y39" s="2">
        <f t="shared" si="29"/>
        <v>0</v>
      </c>
      <c r="Z39" s="2">
        <f t="shared" si="29"/>
        <v>0</v>
      </c>
      <c r="AA39" s="2">
        <f t="shared" si="29"/>
        <v>0</v>
      </c>
      <c r="AB39" s="2">
        <f t="shared" si="29"/>
        <v>0</v>
      </c>
      <c r="AC39" s="2">
        <f t="shared" si="29"/>
        <v>0</v>
      </c>
      <c r="AD39" s="2">
        <f t="shared" si="29"/>
        <v>0</v>
      </c>
      <c r="AE39" s="2">
        <f t="shared" si="29"/>
        <v>0</v>
      </c>
      <c r="AF39" s="2">
        <f t="shared" si="29"/>
        <v>0</v>
      </c>
      <c r="AG39" s="2">
        <f t="shared" si="29"/>
        <v>0</v>
      </c>
      <c r="AH39" s="2">
        <f t="shared" si="29"/>
        <v>0</v>
      </c>
      <c r="AI39" s="6">
        <f t="shared" si="30"/>
        <v>0</v>
      </c>
    </row>
    <row r="40" spans="1:35" outlineLevel="1" x14ac:dyDescent="0.25">
      <c r="A40" s="1" t="s">
        <v>43</v>
      </c>
      <c r="B40" s="2">
        <v>-23966.68</v>
      </c>
      <c r="C40" s="8">
        <f>+B40/$B$2</f>
        <v>-2.1721929131477058E-3</v>
      </c>
      <c r="D40" s="2">
        <v>-29325.13</v>
      </c>
      <c r="E40" s="8">
        <f>+D40/$D$2</f>
        <v>-3.4866311230107396E-3</v>
      </c>
      <c r="F40" s="24">
        <f>+D40*1.1</f>
        <v>-32257.643000000004</v>
      </c>
      <c r="G40" s="8">
        <f>+F40/$D$2</f>
        <v>-3.8352942353118138E-3</v>
      </c>
      <c r="H40" s="2">
        <f t="shared" si="34"/>
        <v>-2688.1369166666668</v>
      </c>
      <c r="I40" s="2">
        <f t="shared" si="34"/>
        <v>-2688.1369166666668</v>
      </c>
      <c r="J40" s="2">
        <f t="shared" si="34"/>
        <v>-2688.1369166666668</v>
      </c>
      <c r="K40" s="2">
        <f t="shared" si="34"/>
        <v>-2688.1369166666668</v>
      </c>
      <c r="L40" s="2">
        <f t="shared" si="34"/>
        <v>-2688.1369166666668</v>
      </c>
      <c r="M40" s="2">
        <f t="shared" si="34"/>
        <v>-2688.1369166666668</v>
      </c>
      <c r="N40" s="2">
        <f t="shared" si="34"/>
        <v>-2688.1369166666668</v>
      </c>
      <c r="O40" s="2">
        <f t="shared" si="34"/>
        <v>-2688.1369166666668</v>
      </c>
      <c r="P40" s="2">
        <f t="shared" si="34"/>
        <v>-2688.1369166666668</v>
      </c>
      <c r="Q40" s="2">
        <f t="shared" si="34"/>
        <v>-2688.1369166666668</v>
      </c>
      <c r="R40" s="2">
        <f t="shared" si="34"/>
        <v>-2688.1369166666668</v>
      </c>
      <c r="S40" s="2">
        <f t="shared" si="34"/>
        <v>-2688.1369166666668</v>
      </c>
      <c r="T40" s="6">
        <f t="shared" si="4"/>
        <v>-32257.643</v>
      </c>
      <c r="U40" s="24">
        <v>0</v>
      </c>
      <c r="V40" s="23">
        <f t="shared" si="17"/>
        <v>0</v>
      </c>
      <c r="W40" s="2">
        <f t="shared" si="29"/>
        <v>0</v>
      </c>
      <c r="X40" s="2">
        <f t="shared" si="29"/>
        <v>0</v>
      </c>
      <c r="Y40" s="2">
        <f t="shared" si="29"/>
        <v>0</v>
      </c>
      <c r="Z40" s="2">
        <f t="shared" si="29"/>
        <v>0</v>
      </c>
      <c r="AA40" s="2">
        <f t="shared" si="29"/>
        <v>0</v>
      </c>
      <c r="AB40" s="2">
        <f t="shared" si="29"/>
        <v>0</v>
      </c>
      <c r="AC40" s="2">
        <f t="shared" si="29"/>
        <v>0</v>
      </c>
      <c r="AD40" s="2">
        <f t="shared" si="29"/>
        <v>0</v>
      </c>
      <c r="AE40" s="2">
        <f t="shared" si="29"/>
        <v>0</v>
      </c>
      <c r="AF40" s="2">
        <f t="shared" si="29"/>
        <v>0</v>
      </c>
      <c r="AG40" s="2">
        <f t="shared" si="29"/>
        <v>0</v>
      </c>
      <c r="AH40" s="2">
        <f t="shared" si="29"/>
        <v>0</v>
      </c>
      <c r="AI40" s="6">
        <f t="shared" si="30"/>
        <v>0</v>
      </c>
    </row>
    <row r="41" spans="1:35" outlineLevel="1" x14ac:dyDescent="0.25">
      <c r="A41" s="1" t="s">
        <v>44</v>
      </c>
      <c r="B41" s="2">
        <v>-5094.5</v>
      </c>
      <c r="C41" s="8">
        <f>+B41/$B$2</f>
        <v>-4.6173424087236897E-4</v>
      </c>
      <c r="D41" s="2">
        <v>-4326.67</v>
      </c>
      <c r="E41" s="8">
        <f>+D41/$D$2</f>
        <v>-5.1442234973883756E-4</v>
      </c>
      <c r="F41" s="24">
        <f>+D41*1.1</f>
        <v>-4759.3370000000004</v>
      </c>
      <c r="G41" s="8">
        <f>+F41/$D$2</f>
        <v>-5.6586458471272129E-4</v>
      </c>
      <c r="H41" s="2">
        <f t="shared" si="34"/>
        <v>-396.61141666666668</v>
      </c>
      <c r="I41" s="2">
        <f t="shared" si="34"/>
        <v>-396.61141666666668</v>
      </c>
      <c r="J41" s="2">
        <f t="shared" si="34"/>
        <v>-396.61141666666668</v>
      </c>
      <c r="K41" s="2">
        <f t="shared" si="34"/>
        <v>-396.61141666666668</v>
      </c>
      <c r="L41" s="2">
        <f t="shared" si="34"/>
        <v>-396.61141666666668</v>
      </c>
      <c r="M41" s="2">
        <f t="shared" si="34"/>
        <v>-396.61141666666668</v>
      </c>
      <c r="N41" s="2">
        <f t="shared" si="34"/>
        <v>-396.61141666666668</v>
      </c>
      <c r="O41" s="2">
        <f t="shared" si="34"/>
        <v>-396.61141666666668</v>
      </c>
      <c r="P41" s="2">
        <f t="shared" si="34"/>
        <v>-396.61141666666668</v>
      </c>
      <c r="Q41" s="2">
        <f t="shared" si="34"/>
        <v>-396.61141666666668</v>
      </c>
      <c r="R41" s="2">
        <f t="shared" si="34"/>
        <v>-396.61141666666668</v>
      </c>
      <c r="S41" s="2">
        <f t="shared" si="34"/>
        <v>-396.61141666666668</v>
      </c>
      <c r="T41" s="6">
        <f t="shared" si="4"/>
        <v>-4759.3370000000004</v>
      </c>
      <c r="U41" s="24">
        <v>0</v>
      </c>
      <c r="V41" s="23">
        <f t="shared" si="17"/>
        <v>0</v>
      </c>
      <c r="W41" s="2">
        <f t="shared" si="29"/>
        <v>0</v>
      </c>
      <c r="X41" s="2">
        <f t="shared" si="29"/>
        <v>0</v>
      </c>
      <c r="Y41" s="2">
        <f t="shared" si="29"/>
        <v>0</v>
      </c>
      <c r="Z41" s="2">
        <f t="shared" si="29"/>
        <v>0</v>
      </c>
      <c r="AA41" s="2">
        <f t="shared" si="29"/>
        <v>0</v>
      </c>
      <c r="AB41" s="2">
        <f t="shared" si="29"/>
        <v>0</v>
      </c>
      <c r="AC41" s="2">
        <f t="shared" si="29"/>
        <v>0</v>
      </c>
      <c r="AD41" s="2">
        <f t="shared" si="29"/>
        <v>0</v>
      </c>
      <c r="AE41" s="2">
        <f t="shared" si="29"/>
        <v>0</v>
      </c>
      <c r="AF41" s="2">
        <f t="shared" si="29"/>
        <v>0</v>
      </c>
      <c r="AG41" s="2">
        <f t="shared" si="29"/>
        <v>0</v>
      </c>
      <c r="AH41" s="2">
        <f t="shared" si="29"/>
        <v>0</v>
      </c>
      <c r="AI41" s="6">
        <f t="shared" si="30"/>
        <v>0</v>
      </c>
    </row>
    <row r="42" spans="1:35" outlineLevel="1" x14ac:dyDescent="0.25">
      <c r="A42" s="1" t="s">
        <v>45</v>
      </c>
      <c r="B42" s="2">
        <v>-2145.44</v>
      </c>
      <c r="C42" s="8">
        <f>+B42/$B$2</f>
        <v>-1.944495259077859E-4</v>
      </c>
      <c r="D42" s="2">
        <v>-2745.82</v>
      </c>
      <c r="E42" s="8">
        <f>+D42/$D$2</f>
        <v>-3.2646612206613745E-4</v>
      </c>
      <c r="F42" s="24">
        <f>+D42*1.03</f>
        <v>-2828.1946000000003</v>
      </c>
      <c r="G42" s="8">
        <f>+F42/$D$2</f>
        <v>-3.3626010572812158E-4</v>
      </c>
      <c r="H42" s="2">
        <f t="shared" si="34"/>
        <v>-235.68288333333336</v>
      </c>
      <c r="I42" s="2">
        <f t="shared" si="34"/>
        <v>-235.68288333333336</v>
      </c>
      <c r="J42" s="2">
        <f t="shared" si="34"/>
        <v>-235.68288333333336</v>
      </c>
      <c r="K42" s="2">
        <f t="shared" si="34"/>
        <v>-235.68288333333336</v>
      </c>
      <c r="L42" s="2">
        <f t="shared" si="34"/>
        <v>-235.68288333333336</v>
      </c>
      <c r="M42" s="2">
        <f t="shared" si="34"/>
        <v>-235.68288333333336</v>
      </c>
      <c r="N42" s="2">
        <f t="shared" si="34"/>
        <v>-235.68288333333336</v>
      </c>
      <c r="O42" s="2">
        <f t="shared" si="34"/>
        <v>-235.68288333333336</v>
      </c>
      <c r="P42" s="2">
        <f t="shared" si="34"/>
        <v>-235.68288333333336</v>
      </c>
      <c r="Q42" s="2">
        <f t="shared" si="34"/>
        <v>-235.68288333333336</v>
      </c>
      <c r="R42" s="2">
        <f t="shared" si="34"/>
        <v>-235.68288333333336</v>
      </c>
      <c r="S42" s="2">
        <f t="shared" si="34"/>
        <v>-235.68288333333336</v>
      </c>
      <c r="T42" s="6">
        <f t="shared" si="4"/>
        <v>-2828.1946000000003</v>
      </c>
      <c r="U42" s="24">
        <v>0</v>
      </c>
      <c r="V42" s="23">
        <f t="shared" si="17"/>
        <v>0</v>
      </c>
      <c r="W42" s="2">
        <f t="shared" si="29"/>
        <v>0</v>
      </c>
      <c r="X42" s="2">
        <f t="shared" si="29"/>
        <v>0</v>
      </c>
      <c r="Y42" s="2">
        <f t="shared" si="29"/>
        <v>0</v>
      </c>
      <c r="Z42" s="2">
        <f t="shared" si="29"/>
        <v>0</v>
      </c>
      <c r="AA42" s="2">
        <f t="shared" si="29"/>
        <v>0</v>
      </c>
      <c r="AB42" s="2">
        <f t="shared" si="29"/>
        <v>0</v>
      </c>
      <c r="AC42" s="2">
        <f t="shared" si="29"/>
        <v>0</v>
      </c>
      <c r="AD42" s="2">
        <f t="shared" si="29"/>
        <v>0</v>
      </c>
      <c r="AE42" s="2">
        <f t="shared" si="29"/>
        <v>0</v>
      </c>
      <c r="AF42" s="2">
        <f t="shared" si="29"/>
        <v>0</v>
      </c>
      <c r="AG42" s="2">
        <f t="shared" si="29"/>
        <v>0</v>
      </c>
      <c r="AH42" s="2">
        <f t="shared" si="29"/>
        <v>0</v>
      </c>
      <c r="AI42" s="6">
        <f t="shared" si="30"/>
        <v>0</v>
      </c>
    </row>
    <row r="43" spans="1:35" outlineLevel="1" x14ac:dyDescent="0.25">
      <c r="A43" s="1" t="s">
        <v>46</v>
      </c>
      <c r="B43" s="2">
        <v>-18000</v>
      </c>
      <c r="C43" s="8">
        <f>+B43/$B$2</f>
        <v>-1.6314096252237984E-3</v>
      </c>
      <c r="D43" s="2">
        <v>-18000</v>
      </c>
      <c r="E43" s="8">
        <f>+D43/$D$2</f>
        <v>-2.1401221482801034E-3</v>
      </c>
      <c r="F43" s="24">
        <f>+D43</f>
        <v>-18000</v>
      </c>
      <c r="G43" s="8">
        <f>+F43/$D$2</f>
        <v>-2.1401221482801034E-3</v>
      </c>
      <c r="H43" s="2">
        <f t="shared" si="34"/>
        <v>-1500</v>
      </c>
      <c r="I43" s="2">
        <f t="shared" si="34"/>
        <v>-1500</v>
      </c>
      <c r="J43" s="2">
        <f t="shared" si="34"/>
        <v>-1500</v>
      </c>
      <c r="K43" s="2">
        <f t="shared" si="34"/>
        <v>-1500</v>
      </c>
      <c r="L43" s="2">
        <f t="shared" si="34"/>
        <v>-1500</v>
      </c>
      <c r="M43" s="2">
        <f t="shared" si="34"/>
        <v>-1500</v>
      </c>
      <c r="N43" s="2">
        <f t="shared" si="34"/>
        <v>-1500</v>
      </c>
      <c r="O43" s="2">
        <f t="shared" si="34"/>
        <v>-1500</v>
      </c>
      <c r="P43" s="2">
        <f t="shared" si="34"/>
        <v>-1500</v>
      </c>
      <c r="Q43" s="2">
        <f t="shared" si="34"/>
        <v>-1500</v>
      </c>
      <c r="R43" s="2">
        <f t="shared" si="34"/>
        <v>-1500</v>
      </c>
      <c r="S43" s="2">
        <f t="shared" si="34"/>
        <v>-1500</v>
      </c>
      <c r="T43" s="6">
        <f t="shared" si="4"/>
        <v>-18000</v>
      </c>
      <c r="U43" s="24">
        <v>0</v>
      </c>
      <c r="V43" s="23">
        <f t="shared" si="17"/>
        <v>0</v>
      </c>
      <c r="W43" s="2">
        <f t="shared" si="29"/>
        <v>0</v>
      </c>
      <c r="X43" s="2">
        <f t="shared" si="29"/>
        <v>0</v>
      </c>
      <c r="Y43" s="2">
        <f t="shared" si="29"/>
        <v>0</v>
      </c>
      <c r="Z43" s="2">
        <f t="shared" si="29"/>
        <v>0</v>
      </c>
      <c r="AA43" s="2">
        <f t="shared" si="29"/>
        <v>0</v>
      </c>
      <c r="AB43" s="2">
        <f t="shared" si="29"/>
        <v>0</v>
      </c>
      <c r="AC43" s="2">
        <f t="shared" si="29"/>
        <v>0</v>
      </c>
      <c r="AD43" s="2">
        <f t="shared" si="29"/>
        <v>0</v>
      </c>
      <c r="AE43" s="2">
        <f t="shared" si="29"/>
        <v>0</v>
      </c>
      <c r="AF43" s="2">
        <f t="shared" si="29"/>
        <v>0</v>
      </c>
      <c r="AG43" s="2">
        <f t="shared" si="29"/>
        <v>0</v>
      </c>
      <c r="AH43" s="2">
        <f t="shared" si="29"/>
        <v>0</v>
      </c>
      <c r="AI43" s="6">
        <f t="shared" si="30"/>
        <v>0</v>
      </c>
    </row>
    <row r="44" spans="1:35" outlineLevel="1" x14ac:dyDescent="0.25">
      <c r="A44" s="9" t="s">
        <v>47</v>
      </c>
      <c r="C44" s="8"/>
      <c r="E44" s="8"/>
      <c r="F44" s="24">
        <f t="shared" ref="F44:F49" si="35">+D44*1.1</f>
        <v>0</v>
      </c>
      <c r="G44" s="8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6">
        <f t="shared" si="4"/>
        <v>0</v>
      </c>
      <c r="U44" s="24">
        <v>0</v>
      </c>
      <c r="V44" s="23">
        <f t="shared" si="17"/>
        <v>0</v>
      </c>
      <c r="W44" s="2">
        <f t="shared" si="29"/>
        <v>0</v>
      </c>
      <c r="X44" s="2">
        <f t="shared" si="29"/>
        <v>0</v>
      </c>
      <c r="Y44" s="2">
        <f t="shared" si="29"/>
        <v>0</v>
      </c>
      <c r="Z44" s="2">
        <f t="shared" si="29"/>
        <v>0</v>
      </c>
      <c r="AA44" s="2">
        <f t="shared" si="29"/>
        <v>0</v>
      </c>
      <c r="AB44" s="2">
        <f t="shared" si="29"/>
        <v>0</v>
      </c>
      <c r="AC44" s="2">
        <f t="shared" si="29"/>
        <v>0</v>
      </c>
      <c r="AD44" s="2">
        <f t="shared" si="29"/>
        <v>0</v>
      </c>
      <c r="AE44" s="2">
        <f t="shared" si="29"/>
        <v>0</v>
      </c>
      <c r="AF44" s="2">
        <f t="shared" si="29"/>
        <v>0</v>
      </c>
      <c r="AG44" s="2">
        <f t="shared" si="29"/>
        <v>0</v>
      </c>
      <c r="AH44" s="2">
        <f t="shared" si="29"/>
        <v>0</v>
      </c>
      <c r="AI44" s="6">
        <f t="shared" si="30"/>
        <v>0</v>
      </c>
    </row>
    <row r="45" spans="1:35" outlineLevel="1" x14ac:dyDescent="0.25">
      <c r="A45" s="9" t="s">
        <v>48</v>
      </c>
      <c r="C45" s="8"/>
      <c r="E45" s="8"/>
      <c r="F45" s="24">
        <f t="shared" si="35"/>
        <v>0</v>
      </c>
      <c r="G45" s="8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6">
        <f t="shared" si="4"/>
        <v>0</v>
      </c>
      <c r="U45" s="24">
        <v>0</v>
      </c>
      <c r="V45" s="23">
        <f t="shared" si="17"/>
        <v>0</v>
      </c>
      <c r="W45" s="2">
        <f t="shared" ref="W45:AH66" si="36">+$U45/12</f>
        <v>0</v>
      </c>
      <c r="X45" s="2">
        <f t="shared" si="36"/>
        <v>0</v>
      </c>
      <c r="Y45" s="2">
        <f t="shared" si="36"/>
        <v>0</v>
      </c>
      <c r="Z45" s="2">
        <f t="shared" si="36"/>
        <v>0</v>
      </c>
      <c r="AA45" s="2">
        <f t="shared" si="36"/>
        <v>0</v>
      </c>
      <c r="AB45" s="2">
        <f t="shared" si="36"/>
        <v>0</v>
      </c>
      <c r="AC45" s="2">
        <f t="shared" si="36"/>
        <v>0</v>
      </c>
      <c r="AD45" s="2">
        <f t="shared" si="36"/>
        <v>0</v>
      </c>
      <c r="AE45" s="2">
        <f t="shared" si="36"/>
        <v>0</v>
      </c>
      <c r="AF45" s="2">
        <f t="shared" si="36"/>
        <v>0</v>
      </c>
      <c r="AG45" s="2">
        <f t="shared" si="36"/>
        <v>0</v>
      </c>
      <c r="AH45" s="2">
        <f t="shared" si="36"/>
        <v>0</v>
      </c>
      <c r="AI45" s="6">
        <f t="shared" si="30"/>
        <v>0</v>
      </c>
    </row>
    <row r="46" spans="1:35" outlineLevel="1" x14ac:dyDescent="0.25">
      <c r="A46" s="9" t="s">
        <v>49</v>
      </c>
      <c r="C46" s="8"/>
      <c r="E46" s="8"/>
      <c r="F46" s="24">
        <f t="shared" si="35"/>
        <v>0</v>
      </c>
      <c r="G46" s="8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6">
        <f t="shared" si="4"/>
        <v>0</v>
      </c>
      <c r="U46" s="24">
        <v>0</v>
      </c>
      <c r="V46" s="23">
        <f t="shared" si="17"/>
        <v>0</v>
      </c>
      <c r="W46" s="2">
        <f t="shared" si="36"/>
        <v>0</v>
      </c>
      <c r="X46" s="2">
        <f t="shared" si="36"/>
        <v>0</v>
      </c>
      <c r="Y46" s="2">
        <f t="shared" si="36"/>
        <v>0</v>
      </c>
      <c r="Z46" s="2">
        <f t="shared" si="36"/>
        <v>0</v>
      </c>
      <c r="AA46" s="2">
        <f t="shared" si="36"/>
        <v>0</v>
      </c>
      <c r="AB46" s="2">
        <f t="shared" si="36"/>
        <v>0</v>
      </c>
      <c r="AC46" s="2">
        <f t="shared" si="36"/>
        <v>0</v>
      </c>
      <c r="AD46" s="2">
        <f t="shared" si="36"/>
        <v>0</v>
      </c>
      <c r="AE46" s="2">
        <f t="shared" si="36"/>
        <v>0</v>
      </c>
      <c r="AF46" s="2">
        <f t="shared" si="36"/>
        <v>0</v>
      </c>
      <c r="AG46" s="2">
        <f t="shared" si="36"/>
        <v>0</v>
      </c>
      <c r="AH46" s="2">
        <f t="shared" si="36"/>
        <v>0</v>
      </c>
      <c r="AI46" s="6">
        <f t="shared" si="30"/>
        <v>0</v>
      </c>
    </row>
    <row r="47" spans="1:35" outlineLevel="1" x14ac:dyDescent="0.25">
      <c r="A47" s="9" t="s">
        <v>50</v>
      </c>
      <c r="C47" s="8"/>
      <c r="E47" s="8"/>
      <c r="F47" s="24">
        <f t="shared" si="35"/>
        <v>0</v>
      </c>
      <c r="G47" s="8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6">
        <f t="shared" si="4"/>
        <v>0</v>
      </c>
      <c r="U47" s="24">
        <v>0</v>
      </c>
      <c r="V47" s="23">
        <f t="shared" si="17"/>
        <v>0</v>
      </c>
      <c r="W47" s="2">
        <f t="shared" si="36"/>
        <v>0</v>
      </c>
      <c r="X47" s="2">
        <f t="shared" si="36"/>
        <v>0</v>
      </c>
      <c r="Y47" s="2">
        <f t="shared" si="36"/>
        <v>0</v>
      </c>
      <c r="Z47" s="2">
        <f t="shared" si="36"/>
        <v>0</v>
      </c>
      <c r="AA47" s="2">
        <f t="shared" si="36"/>
        <v>0</v>
      </c>
      <c r="AB47" s="2">
        <f t="shared" si="36"/>
        <v>0</v>
      </c>
      <c r="AC47" s="2">
        <f t="shared" si="36"/>
        <v>0</v>
      </c>
      <c r="AD47" s="2">
        <f t="shared" si="36"/>
        <v>0</v>
      </c>
      <c r="AE47" s="2">
        <f t="shared" si="36"/>
        <v>0</v>
      </c>
      <c r="AF47" s="2">
        <f t="shared" si="36"/>
        <v>0</v>
      </c>
      <c r="AG47" s="2">
        <f t="shared" si="36"/>
        <v>0</v>
      </c>
      <c r="AH47" s="2">
        <f t="shared" si="36"/>
        <v>0</v>
      </c>
      <c r="AI47" s="6">
        <f t="shared" si="30"/>
        <v>0</v>
      </c>
    </row>
    <row r="48" spans="1:35" outlineLevel="1" x14ac:dyDescent="0.25">
      <c r="A48" s="9" t="s">
        <v>51</v>
      </c>
      <c r="C48" s="8"/>
      <c r="E48" s="8"/>
      <c r="F48" s="24">
        <f t="shared" si="35"/>
        <v>0</v>
      </c>
      <c r="G48" s="8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6">
        <f t="shared" si="4"/>
        <v>0</v>
      </c>
      <c r="U48" s="24">
        <v>0</v>
      </c>
      <c r="V48" s="23">
        <f t="shared" si="17"/>
        <v>0</v>
      </c>
      <c r="W48" s="2">
        <f t="shared" si="36"/>
        <v>0</v>
      </c>
      <c r="X48" s="2">
        <f t="shared" si="36"/>
        <v>0</v>
      </c>
      <c r="Y48" s="2">
        <f t="shared" si="36"/>
        <v>0</v>
      </c>
      <c r="Z48" s="2">
        <f t="shared" si="36"/>
        <v>0</v>
      </c>
      <c r="AA48" s="2">
        <f t="shared" si="36"/>
        <v>0</v>
      </c>
      <c r="AB48" s="2">
        <f t="shared" si="36"/>
        <v>0</v>
      </c>
      <c r="AC48" s="2">
        <f t="shared" si="36"/>
        <v>0</v>
      </c>
      <c r="AD48" s="2">
        <f t="shared" si="36"/>
        <v>0</v>
      </c>
      <c r="AE48" s="2">
        <f t="shared" si="36"/>
        <v>0</v>
      </c>
      <c r="AF48" s="2">
        <f t="shared" si="36"/>
        <v>0</v>
      </c>
      <c r="AG48" s="2">
        <f t="shared" si="36"/>
        <v>0</v>
      </c>
      <c r="AH48" s="2">
        <f t="shared" si="36"/>
        <v>0</v>
      </c>
      <c r="AI48" s="6">
        <f t="shared" si="30"/>
        <v>0</v>
      </c>
    </row>
    <row r="49" spans="1:35" outlineLevel="1" x14ac:dyDescent="0.25">
      <c r="A49" s="10" t="s">
        <v>52</v>
      </c>
      <c r="C49" s="8"/>
      <c r="E49" s="8"/>
      <c r="F49" s="24">
        <f t="shared" si="35"/>
        <v>0</v>
      </c>
      <c r="G49" s="8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6">
        <f t="shared" si="4"/>
        <v>0</v>
      </c>
      <c r="U49" s="24">
        <v>0</v>
      </c>
      <c r="V49" s="23">
        <f t="shared" si="17"/>
        <v>0</v>
      </c>
      <c r="W49" s="2">
        <f t="shared" si="36"/>
        <v>0</v>
      </c>
      <c r="X49" s="2">
        <f t="shared" si="36"/>
        <v>0</v>
      </c>
      <c r="Y49" s="2">
        <f t="shared" si="36"/>
        <v>0</v>
      </c>
      <c r="Z49" s="2">
        <f t="shared" si="36"/>
        <v>0</v>
      </c>
      <c r="AA49" s="2">
        <f t="shared" si="36"/>
        <v>0</v>
      </c>
      <c r="AB49" s="2">
        <f t="shared" si="36"/>
        <v>0</v>
      </c>
      <c r="AC49" s="2">
        <f t="shared" si="36"/>
        <v>0</v>
      </c>
      <c r="AD49" s="2">
        <f t="shared" si="36"/>
        <v>0</v>
      </c>
      <c r="AE49" s="2">
        <f t="shared" si="36"/>
        <v>0</v>
      </c>
      <c r="AF49" s="2">
        <f t="shared" si="36"/>
        <v>0</v>
      </c>
      <c r="AG49" s="2">
        <f t="shared" si="36"/>
        <v>0</v>
      </c>
      <c r="AH49" s="2">
        <f t="shared" si="36"/>
        <v>0</v>
      </c>
      <c r="AI49" s="6">
        <f t="shared" si="30"/>
        <v>0</v>
      </c>
    </row>
    <row r="50" spans="1:35" outlineLevel="1" x14ac:dyDescent="0.25">
      <c r="A50" s="1" t="s">
        <v>53</v>
      </c>
      <c r="B50" s="2">
        <v>-11524.89</v>
      </c>
      <c r="C50" s="8">
        <f t="shared" ref="C50:C60" si="37">+B50/$B$2</f>
        <v>-1.0445453597580834E-3</v>
      </c>
      <c r="D50" s="2">
        <v>-11623.2</v>
      </c>
      <c r="E50" s="8">
        <f t="shared" ref="E50:E60" si="38">+D50/$D$2</f>
        <v>-1.3819482085494056E-3</v>
      </c>
      <c r="F50" s="24">
        <v>-12000</v>
      </c>
      <c r="G50" s="8">
        <f t="shared" ref="G50:G60" si="39">+F50/$D$2</f>
        <v>-1.4267480988534023E-3</v>
      </c>
      <c r="H50" s="2">
        <f t="shared" ref="H50:S61" si="40">+$F50/12</f>
        <v>-1000</v>
      </c>
      <c r="I50" s="2">
        <f t="shared" si="40"/>
        <v>-1000</v>
      </c>
      <c r="J50" s="2">
        <f t="shared" si="40"/>
        <v>-1000</v>
      </c>
      <c r="K50" s="2">
        <f t="shared" si="40"/>
        <v>-1000</v>
      </c>
      <c r="L50" s="2">
        <f t="shared" si="40"/>
        <v>-1000</v>
      </c>
      <c r="M50" s="2">
        <f t="shared" si="40"/>
        <v>-1000</v>
      </c>
      <c r="N50" s="2">
        <f t="shared" si="40"/>
        <v>-1000</v>
      </c>
      <c r="O50" s="2">
        <f t="shared" si="40"/>
        <v>-1000</v>
      </c>
      <c r="P50" s="2">
        <f t="shared" si="40"/>
        <v>-1000</v>
      </c>
      <c r="Q50" s="2">
        <f t="shared" si="40"/>
        <v>-1000</v>
      </c>
      <c r="R50" s="2">
        <f t="shared" si="40"/>
        <v>-1000</v>
      </c>
      <c r="S50" s="2">
        <f t="shared" si="40"/>
        <v>-1000</v>
      </c>
      <c r="T50" s="6">
        <f t="shared" si="4"/>
        <v>-12000</v>
      </c>
      <c r="U50" s="24">
        <v>0</v>
      </c>
      <c r="V50" s="23">
        <f t="shared" si="17"/>
        <v>0</v>
      </c>
      <c r="W50" s="2">
        <f t="shared" si="36"/>
        <v>0</v>
      </c>
      <c r="X50" s="2">
        <f t="shared" si="36"/>
        <v>0</v>
      </c>
      <c r="Y50" s="2">
        <f t="shared" si="36"/>
        <v>0</v>
      </c>
      <c r="Z50" s="2">
        <f t="shared" si="36"/>
        <v>0</v>
      </c>
      <c r="AA50" s="2">
        <f t="shared" si="36"/>
        <v>0</v>
      </c>
      <c r="AB50" s="2">
        <f t="shared" si="36"/>
        <v>0</v>
      </c>
      <c r="AC50" s="2">
        <f t="shared" si="36"/>
        <v>0</v>
      </c>
      <c r="AD50" s="2">
        <f t="shared" si="36"/>
        <v>0</v>
      </c>
      <c r="AE50" s="2">
        <f t="shared" si="36"/>
        <v>0</v>
      </c>
      <c r="AF50" s="2">
        <f t="shared" si="36"/>
        <v>0</v>
      </c>
      <c r="AG50" s="2">
        <f t="shared" si="36"/>
        <v>0</v>
      </c>
      <c r="AH50" s="2">
        <f t="shared" si="36"/>
        <v>0</v>
      </c>
      <c r="AI50" s="6">
        <f t="shared" si="30"/>
        <v>0</v>
      </c>
    </row>
    <row r="51" spans="1:35" outlineLevel="1" x14ac:dyDescent="0.25">
      <c r="A51" s="1" t="s">
        <v>54</v>
      </c>
      <c r="B51" s="2">
        <v>-2635.86</v>
      </c>
      <c r="C51" s="8">
        <f t="shared" si="37"/>
        <v>-2.3889818748568898E-4</v>
      </c>
      <c r="D51" s="2">
        <v>-5134.1000000000004</v>
      </c>
      <c r="E51" s="8">
        <f t="shared" si="38"/>
        <v>-6.1042228452693782E-4</v>
      </c>
      <c r="F51" s="24">
        <v>-20000</v>
      </c>
      <c r="G51" s="8">
        <f t="shared" si="39"/>
        <v>-2.3779134980890038E-3</v>
      </c>
      <c r="H51" s="2">
        <f t="shared" si="40"/>
        <v>-1666.6666666666667</v>
      </c>
      <c r="I51" s="2">
        <f t="shared" si="40"/>
        <v>-1666.6666666666667</v>
      </c>
      <c r="J51" s="2">
        <f t="shared" si="40"/>
        <v>-1666.6666666666667</v>
      </c>
      <c r="K51" s="2">
        <f t="shared" si="40"/>
        <v>-1666.6666666666667</v>
      </c>
      <c r="L51" s="2">
        <f t="shared" si="40"/>
        <v>-1666.6666666666667</v>
      </c>
      <c r="M51" s="2">
        <f t="shared" si="40"/>
        <v>-1666.6666666666667</v>
      </c>
      <c r="N51" s="2">
        <f t="shared" si="40"/>
        <v>-1666.6666666666667</v>
      </c>
      <c r="O51" s="2">
        <f t="shared" si="40"/>
        <v>-1666.6666666666667</v>
      </c>
      <c r="P51" s="2">
        <f t="shared" si="40"/>
        <v>-1666.6666666666667</v>
      </c>
      <c r="Q51" s="2">
        <f t="shared" si="40"/>
        <v>-1666.6666666666667</v>
      </c>
      <c r="R51" s="2">
        <f t="shared" si="40"/>
        <v>-1666.6666666666667</v>
      </c>
      <c r="S51" s="2">
        <f t="shared" si="40"/>
        <v>-1666.6666666666667</v>
      </c>
      <c r="T51" s="6">
        <f t="shared" si="4"/>
        <v>-20000</v>
      </c>
      <c r="U51" s="24">
        <v>0</v>
      </c>
      <c r="V51" s="23">
        <f t="shared" si="17"/>
        <v>0</v>
      </c>
      <c r="W51" s="2">
        <f t="shared" si="36"/>
        <v>0</v>
      </c>
      <c r="X51" s="2">
        <f t="shared" si="36"/>
        <v>0</v>
      </c>
      <c r="Y51" s="2">
        <f t="shared" si="36"/>
        <v>0</v>
      </c>
      <c r="Z51" s="2">
        <f t="shared" si="36"/>
        <v>0</v>
      </c>
      <c r="AA51" s="2">
        <f t="shared" si="36"/>
        <v>0</v>
      </c>
      <c r="AB51" s="2">
        <f t="shared" si="36"/>
        <v>0</v>
      </c>
      <c r="AC51" s="2">
        <f t="shared" si="36"/>
        <v>0</v>
      </c>
      <c r="AD51" s="2">
        <f t="shared" si="36"/>
        <v>0</v>
      </c>
      <c r="AE51" s="2">
        <f t="shared" si="36"/>
        <v>0</v>
      </c>
      <c r="AF51" s="2">
        <f t="shared" si="36"/>
        <v>0</v>
      </c>
      <c r="AG51" s="2">
        <f t="shared" si="36"/>
        <v>0</v>
      </c>
      <c r="AH51" s="2">
        <f t="shared" si="36"/>
        <v>0</v>
      </c>
      <c r="AI51" s="6">
        <f t="shared" si="30"/>
        <v>0</v>
      </c>
    </row>
    <row r="52" spans="1:35" outlineLevel="1" x14ac:dyDescent="0.25">
      <c r="A52" s="1" t="s">
        <v>55</v>
      </c>
      <c r="B52" s="2">
        <v>-1064</v>
      </c>
      <c r="C52" s="8">
        <f t="shared" si="37"/>
        <v>-9.6434435624340086E-5</v>
      </c>
      <c r="D52" s="2">
        <v>-287.43</v>
      </c>
      <c r="E52" s="8">
        <f t="shared" si="38"/>
        <v>-3.4174183837786121E-5</v>
      </c>
      <c r="F52" s="24">
        <v>-15000</v>
      </c>
      <c r="G52" s="8">
        <f t="shared" si="39"/>
        <v>-1.7834351235667528E-3</v>
      </c>
      <c r="H52" s="2">
        <f t="shared" si="40"/>
        <v>-1250</v>
      </c>
      <c r="I52" s="2">
        <f t="shared" si="40"/>
        <v>-1250</v>
      </c>
      <c r="J52" s="2">
        <f t="shared" si="40"/>
        <v>-1250</v>
      </c>
      <c r="K52" s="2">
        <f t="shared" si="40"/>
        <v>-1250</v>
      </c>
      <c r="L52" s="2">
        <f t="shared" si="40"/>
        <v>-1250</v>
      </c>
      <c r="M52" s="2">
        <f t="shared" si="40"/>
        <v>-1250</v>
      </c>
      <c r="N52" s="2">
        <f t="shared" si="40"/>
        <v>-1250</v>
      </c>
      <c r="O52" s="2">
        <f t="shared" si="40"/>
        <v>-1250</v>
      </c>
      <c r="P52" s="2">
        <f t="shared" si="40"/>
        <v>-1250</v>
      </c>
      <c r="Q52" s="2">
        <f t="shared" si="40"/>
        <v>-1250</v>
      </c>
      <c r="R52" s="2">
        <f t="shared" si="40"/>
        <v>-1250</v>
      </c>
      <c r="S52" s="2">
        <f t="shared" si="40"/>
        <v>-1250</v>
      </c>
      <c r="T52" s="6">
        <f t="shared" si="4"/>
        <v>-15000</v>
      </c>
      <c r="U52" s="24">
        <v>0</v>
      </c>
      <c r="V52" s="23">
        <f t="shared" si="17"/>
        <v>0</v>
      </c>
      <c r="W52" s="2">
        <f t="shared" si="36"/>
        <v>0</v>
      </c>
      <c r="X52" s="2">
        <f t="shared" si="36"/>
        <v>0</v>
      </c>
      <c r="Y52" s="2">
        <f t="shared" si="36"/>
        <v>0</v>
      </c>
      <c r="Z52" s="2">
        <f t="shared" si="36"/>
        <v>0</v>
      </c>
      <c r="AA52" s="2">
        <f t="shared" si="36"/>
        <v>0</v>
      </c>
      <c r="AB52" s="2">
        <f t="shared" si="36"/>
        <v>0</v>
      </c>
      <c r="AC52" s="2">
        <f t="shared" si="36"/>
        <v>0</v>
      </c>
      <c r="AD52" s="2">
        <f t="shared" si="36"/>
        <v>0</v>
      </c>
      <c r="AE52" s="2">
        <f t="shared" si="36"/>
        <v>0</v>
      </c>
      <c r="AF52" s="2">
        <f t="shared" si="36"/>
        <v>0</v>
      </c>
      <c r="AG52" s="2">
        <f t="shared" si="36"/>
        <v>0</v>
      </c>
      <c r="AH52" s="2">
        <f t="shared" si="36"/>
        <v>0</v>
      </c>
      <c r="AI52" s="6">
        <f t="shared" si="30"/>
        <v>0</v>
      </c>
    </row>
    <row r="53" spans="1:35" outlineLevel="1" x14ac:dyDescent="0.25">
      <c r="A53" s="1" t="s">
        <v>56</v>
      </c>
      <c r="B53" s="2">
        <v>0</v>
      </c>
      <c r="C53" s="8">
        <f t="shared" si="37"/>
        <v>0</v>
      </c>
      <c r="D53" s="2">
        <v>-27.06</v>
      </c>
      <c r="E53" s="8">
        <f t="shared" si="38"/>
        <v>-3.217316962914422E-6</v>
      </c>
      <c r="F53" s="24">
        <f>+D53*1.1</f>
        <v>-29.766000000000002</v>
      </c>
      <c r="G53" s="8">
        <f t="shared" si="39"/>
        <v>-3.5390486592058645E-6</v>
      </c>
      <c r="H53" s="2">
        <f t="shared" si="40"/>
        <v>-2.4805000000000001</v>
      </c>
      <c r="I53" s="2">
        <f t="shared" si="40"/>
        <v>-2.4805000000000001</v>
      </c>
      <c r="J53" s="2">
        <f t="shared" si="40"/>
        <v>-2.4805000000000001</v>
      </c>
      <c r="K53" s="2">
        <f t="shared" si="40"/>
        <v>-2.4805000000000001</v>
      </c>
      <c r="L53" s="2">
        <f t="shared" si="40"/>
        <v>-2.4805000000000001</v>
      </c>
      <c r="M53" s="2">
        <f t="shared" si="40"/>
        <v>-2.4805000000000001</v>
      </c>
      <c r="N53" s="2">
        <f t="shared" si="40"/>
        <v>-2.4805000000000001</v>
      </c>
      <c r="O53" s="2">
        <f t="shared" si="40"/>
        <v>-2.4805000000000001</v>
      </c>
      <c r="P53" s="2">
        <f t="shared" si="40"/>
        <v>-2.4805000000000001</v>
      </c>
      <c r="Q53" s="2">
        <f t="shared" si="40"/>
        <v>-2.4805000000000001</v>
      </c>
      <c r="R53" s="2">
        <f t="shared" si="40"/>
        <v>-2.4805000000000001</v>
      </c>
      <c r="S53" s="2">
        <f t="shared" si="40"/>
        <v>-2.4805000000000001</v>
      </c>
      <c r="T53" s="6">
        <f t="shared" si="4"/>
        <v>-29.765999999999995</v>
      </c>
      <c r="U53" s="24">
        <v>0</v>
      </c>
      <c r="V53" s="23">
        <f t="shared" si="17"/>
        <v>0</v>
      </c>
      <c r="W53" s="2">
        <f t="shared" si="36"/>
        <v>0</v>
      </c>
      <c r="X53" s="2">
        <f t="shared" si="36"/>
        <v>0</v>
      </c>
      <c r="Y53" s="2">
        <f t="shared" si="36"/>
        <v>0</v>
      </c>
      <c r="Z53" s="2">
        <f t="shared" si="36"/>
        <v>0</v>
      </c>
      <c r="AA53" s="2">
        <f t="shared" si="36"/>
        <v>0</v>
      </c>
      <c r="AB53" s="2">
        <f t="shared" si="36"/>
        <v>0</v>
      </c>
      <c r="AC53" s="2">
        <f t="shared" si="36"/>
        <v>0</v>
      </c>
      <c r="AD53" s="2">
        <f t="shared" si="36"/>
        <v>0</v>
      </c>
      <c r="AE53" s="2">
        <f t="shared" si="36"/>
        <v>0</v>
      </c>
      <c r="AF53" s="2">
        <f t="shared" si="36"/>
        <v>0</v>
      </c>
      <c r="AG53" s="2">
        <f t="shared" si="36"/>
        <v>0</v>
      </c>
      <c r="AH53" s="2">
        <f t="shared" si="36"/>
        <v>0</v>
      </c>
      <c r="AI53" s="6">
        <f t="shared" si="30"/>
        <v>0</v>
      </c>
    </row>
    <row r="54" spans="1:35" outlineLevel="1" x14ac:dyDescent="0.25">
      <c r="A54" s="1" t="s">
        <v>57</v>
      </c>
      <c r="B54" s="2">
        <v>-66.849999999999994</v>
      </c>
      <c r="C54" s="8">
        <f t="shared" si="37"/>
        <v>-6.0588740803450513E-6</v>
      </c>
      <c r="D54" s="2">
        <v>-2202.0500000000002</v>
      </c>
      <c r="E54" s="8">
        <f t="shared" si="38"/>
        <v>-2.6181422092334458E-4</v>
      </c>
      <c r="F54" s="24">
        <f>+D54*1.1</f>
        <v>-2422.2550000000006</v>
      </c>
      <c r="G54" s="8">
        <f t="shared" si="39"/>
        <v>-2.8799564301567904E-4</v>
      </c>
      <c r="H54" s="2">
        <f t="shared" si="40"/>
        <v>-201.85458333333338</v>
      </c>
      <c r="I54" s="2">
        <f t="shared" si="40"/>
        <v>-201.85458333333338</v>
      </c>
      <c r="J54" s="2">
        <f t="shared" si="40"/>
        <v>-201.85458333333338</v>
      </c>
      <c r="K54" s="2">
        <f t="shared" si="40"/>
        <v>-201.85458333333338</v>
      </c>
      <c r="L54" s="2">
        <f t="shared" si="40"/>
        <v>-201.85458333333338</v>
      </c>
      <c r="M54" s="2">
        <f t="shared" si="40"/>
        <v>-201.85458333333338</v>
      </c>
      <c r="N54" s="2">
        <f t="shared" si="40"/>
        <v>-201.85458333333338</v>
      </c>
      <c r="O54" s="2">
        <f t="shared" si="40"/>
        <v>-201.85458333333338</v>
      </c>
      <c r="P54" s="2">
        <f t="shared" si="40"/>
        <v>-201.85458333333338</v>
      </c>
      <c r="Q54" s="2">
        <f t="shared" si="40"/>
        <v>-201.85458333333338</v>
      </c>
      <c r="R54" s="2">
        <f t="shared" si="40"/>
        <v>-201.85458333333338</v>
      </c>
      <c r="S54" s="2">
        <f t="shared" si="40"/>
        <v>-201.85458333333338</v>
      </c>
      <c r="T54" s="6">
        <f t="shared" si="4"/>
        <v>-2422.2550000000001</v>
      </c>
      <c r="U54" s="24">
        <v>0</v>
      </c>
      <c r="V54" s="23">
        <f t="shared" si="17"/>
        <v>0</v>
      </c>
      <c r="W54" s="2">
        <f t="shared" si="36"/>
        <v>0</v>
      </c>
      <c r="X54" s="2">
        <f t="shared" si="36"/>
        <v>0</v>
      </c>
      <c r="Y54" s="2">
        <f t="shared" si="36"/>
        <v>0</v>
      </c>
      <c r="Z54" s="2">
        <f t="shared" si="36"/>
        <v>0</v>
      </c>
      <c r="AA54" s="2">
        <f t="shared" si="36"/>
        <v>0</v>
      </c>
      <c r="AB54" s="2">
        <f t="shared" si="36"/>
        <v>0</v>
      </c>
      <c r="AC54" s="2">
        <f t="shared" si="36"/>
        <v>0</v>
      </c>
      <c r="AD54" s="2">
        <f t="shared" si="36"/>
        <v>0</v>
      </c>
      <c r="AE54" s="2">
        <f t="shared" si="36"/>
        <v>0</v>
      </c>
      <c r="AF54" s="2">
        <f t="shared" si="36"/>
        <v>0</v>
      </c>
      <c r="AG54" s="2">
        <f t="shared" si="36"/>
        <v>0</v>
      </c>
      <c r="AH54" s="2">
        <f t="shared" si="36"/>
        <v>0</v>
      </c>
      <c r="AI54" s="6">
        <f t="shared" si="30"/>
        <v>0</v>
      </c>
    </row>
    <row r="55" spans="1:35" outlineLevel="1" x14ac:dyDescent="0.25">
      <c r="A55" s="1" t="s">
        <v>58</v>
      </c>
      <c r="B55" s="2">
        <v>-16824.740000000002</v>
      </c>
      <c r="C55" s="8">
        <f t="shared" si="37"/>
        <v>-1.5248912654382142E-3</v>
      </c>
      <c r="D55" s="2">
        <v>-13901.01</v>
      </c>
      <c r="E55" s="8">
        <f t="shared" si="38"/>
        <v>-1.6527699658035113E-3</v>
      </c>
      <c r="F55" s="24">
        <v>-14000</v>
      </c>
      <c r="G55" s="8">
        <f t="shared" si="39"/>
        <v>-1.6645394486623027E-3</v>
      </c>
      <c r="H55" s="2">
        <f t="shared" si="40"/>
        <v>-1166.6666666666667</v>
      </c>
      <c r="I55" s="2">
        <f t="shared" si="40"/>
        <v>-1166.6666666666667</v>
      </c>
      <c r="J55" s="2">
        <f t="shared" si="40"/>
        <v>-1166.6666666666667</v>
      </c>
      <c r="K55" s="2">
        <f t="shared" si="40"/>
        <v>-1166.6666666666667</v>
      </c>
      <c r="L55" s="2">
        <f t="shared" si="40"/>
        <v>-1166.6666666666667</v>
      </c>
      <c r="M55" s="2">
        <f t="shared" si="40"/>
        <v>-1166.6666666666667</v>
      </c>
      <c r="N55" s="2">
        <f t="shared" si="40"/>
        <v>-1166.6666666666667</v>
      </c>
      <c r="O55" s="2">
        <f t="shared" si="40"/>
        <v>-1166.6666666666667</v>
      </c>
      <c r="P55" s="2">
        <f t="shared" si="40"/>
        <v>-1166.6666666666667</v>
      </c>
      <c r="Q55" s="2">
        <f t="shared" si="40"/>
        <v>-1166.6666666666667</v>
      </c>
      <c r="R55" s="2">
        <f t="shared" si="40"/>
        <v>-1166.6666666666667</v>
      </c>
      <c r="S55" s="2">
        <f t="shared" si="40"/>
        <v>-1166.6666666666667</v>
      </c>
      <c r="T55" s="6">
        <f t="shared" si="4"/>
        <v>-13999.999999999998</v>
      </c>
      <c r="U55" s="24">
        <v>0</v>
      </c>
      <c r="V55" s="23">
        <f t="shared" si="17"/>
        <v>0</v>
      </c>
      <c r="W55" s="2">
        <f t="shared" si="36"/>
        <v>0</v>
      </c>
      <c r="X55" s="2">
        <f t="shared" si="36"/>
        <v>0</v>
      </c>
      <c r="Y55" s="2">
        <f t="shared" si="36"/>
        <v>0</v>
      </c>
      <c r="Z55" s="2">
        <f t="shared" si="36"/>
        <v>0</v>
      </c>
      <c r="AA55" s="2">
        <f t="shared" si="36"/>
        <v>0</v>
      </c>
      <c r="AB55" s="2">
        <f t="shared" si="36"/>
        <v>0</v>
      </c>
      <c r="AC55" s="2">
        <f t="shared" si="36"/>
        <v>0</v>
      </c>
      <c r="AD55" s="2">
        <f t="shared" si="36"/>
        <v>0</v>
      </c>
      <c r="AE55" s="2">
        <f t="shared" si="36"/>
        <v>0</v>
      </c>
      <c r="AF55" s="2">
        <f t="shared" si="36"/>
        <v>0</v>
      </c>
      <c r="AG55" s="2">
        <f t="shared" si="36"/>
        <v>0</v>
      </c>
      <c r="AH55" s="2">
        <f t="shared" si="36"/>
        <v>0</v>
      </c>
      <c r="AI55" s="6">
        <f t="shared" si="30"/>
        <v>0</v>
      </c>
    </row>
    <row r="56" spans="1:35" outlineLevel="1" x14ac:dyDescent="0.25">
      <c r="A56" s="47" t="s">
        <v>59</v>
      </c>
      <c r="B56" s="2">
        <v>-4731.74</v>
      </c>
      <c r="C56" s="8">
        <f t="shared" si="37"/>
        <v>-4.2885589889202533E-4</v>
      </c>
      <c r="D56" s="2">
        <v>-15000</v>
      </c>
      <c r="E56" s="8">
        <f t="shared" si="38"/>
        <v>-1.7834351235667528E-3</v>
      </c>
      <c r="F56" s="24">
        <v>0</v>
      </c>
      <c r="G56" s="8">
        <f t="shared" si="39"/>
        <v>0</v>
      </c>
      <c r="H56" s="2">
        <f t="shared" si="40"/>
        <v>0</v>
      </c>
      <c r="I56" s="2">
        <f t="shared" si="40"/>
        <v>0</v>
      </c>
      <c r="J56" s="2">
        <f t="shared" si="40"/>
        <v>0</v>
      </c>
      <c r="K56" s="2">
        <f t="shared" si="40"/>
        <v>0</v>
      </c>
      <c r="L56" s="2">
        <f t="shared" si="40"/>
        <v>0</v>
      </c>
      <c r="M56" s="2">
        <f t="shared" si="40"/>
        <v>0</v>
      </c>
      <c r="N56" s="2">
        <f t="shared" si="40"/>
        <v>0</v>
      </c>
      <c r="O56" s="2">
        <f t="shared" si="40"/>
        <v>0</v>
      </c>
      <c r="P56" s="2">
        <f t="shared" si="40"/>
        <v>0</v>
      </c>
      <c r="Q56" s="2">
        <f t="shared" si="40"/>
        <v>0</v>
      </c>
      <c r="R56" s="2">
        <f t="shared" si="40"/>
        <v>0</v>
      </c>
      <c r="S56" s="2">
        <f t="shared" si="40"/>
        <v>0</v>
      </c>
      <c r="T56" s="6">
        <f t="shared" si="4"/>
        <v>0</v>
      </c>
      <c r="U56" s="24">
        <v>0</v>
      </c>
      <c r="V56" s="23">
        <f t="shared" si="17"/>
        <v>0</v>
      </c>
      <c r="W56" s="2">
        <f t="shared" si="36"/>
        <v>0</v>
      </c>
      <c r="X56" s="2">
        <f t="shared" si="36"/>
        <v>0</v>
      </c>
      <c r="Y56" s="2">
        <f t="shared" si="36"/>
        <v>0</v>
      </c>
      <c r="Z56" s="2">
        <f t="shared" si="36"/>
        <v>0</v>
      </c>
      <c r="AA56" s="2">
        <f t="shared" si="36"/>
        <v>0</v>
      </c>
      <c r="AB56" s="2">
        <f t="shared" si="36"/>
        <v>0</v>
      </c>
      <c r="AC56" s="2">
        <f t="shared" si="36"/>
        <v>0</v>
      </c>
      <c r="AD56" s="2">
        <f t="shared" si="36"/>
        <v>0</v>
      </c>
      <c r="AE56" s="2">
        <f t="shared" si="36"/>
        <v>0</v>
      </c>
      <c r="AF56" s="2">
        <f t="shared" si="36"/>
        <v>0</v>
      </c>
      <c r="AG56" s="2">
        <f t="shared" si="36"/>
        <v>0</v>
      </c>
      <c r="AH56" s="2">
        <f t="shared" si="36"/>
        <v>0</v>
      </c>
      <c r="AI56" s="6">
        <f t="shared" si="30"/>
        <v>0</v>
      </c>
    </row>
    <row r="57" spans="1:35" outlineLevel="1" x14ac:dyDescent="0.25">
      <c r="A57" s="1" t="s">
        <v>60</v>
      </c>
      <c r="B57" s="2">
        <v>0</v>
      </c>
      <c r="C57" s="8">
        <f t="shared" si="37"/>
        <v>0</v>
      </c>
      <c r="D57" s="2">
        <v>-3660.7</v>
      </c>
      <c r="E57" s="8">
        <f t="shared" si="38"/>
        <v>-4.3524139712272078E-4</v>
      </c>
      <c r="F57" s="24">
        <v>-4000</v>
      </c>
      <c r="G57" s="8">
        <f t="shared" si="39"/>
        <v>-4.7558269961780076E-4</v>
      </c>
      <c r="H57" s="2">
        <f t="shared" si="40"/>
        <v>-333.33333333333331</v>
      </c>
      <c r="I57" s="2">
        <f t="shared" si="40"/>
        <v>-333.33333333333331</v>
      </c>
      <c r="J57" s="2">
        <f t="shared" si="40"/>
        <v>-333.33333333333331</v>
      </c>
      <c r="K57" s="2">
        <f t="shared" si="40"/>
        <v>-333.33333333333331</v>
      </c>
      <c r="L57" s="2">
        <f t="shared" si="40"/>
        <v>-333.33333333333331</v>
      </c>
      <c r="M57" s="2">
        <f t="shared" si="40"/>
        <v>-333.33333333333331</v>
      </c>
      <c r="N57" s="2">
        <f t="shared" si="40"/>
        <v>-333.33333333333331</v>
      </c>
      <c r="O57" s="2">
        <f t="shared" si="40"/>
        <v>-333.33333333333331</v>
      </c>
      <c r="P57" s="2">
        <f t="shared" si="40"/>
        <v>-333.33333333333331</v>
      </c>
      <c r="Q57" s="2">
        <f t="shared" si="40"/>
        <v>-333.33333333333331</v>
      </c>
      <c r="R57" s="2">
        <f t="shared" si="40"/>
        <v>-333.33333333333331</v>
      </c>
      <c r="S57" s="2">
        <f t="shared" si="40"/>
        <v>-333.33333333333331</v>
      </c>
      <c r="T57" s="6">
        <f t="shared" si="4"/>
        <v>-4000.0000000000005</v>
      </c>
      <c r="U57" s="24">
        <v>0</v>
      </c>
      <c r="V57" s="23">
        <f t="shared" si="17"/>
        <v>0</v>
      </c>
      <c r="W57" s="2">
        <f t="shared" si="36"/>
        <v>0</v>
      </c>
      <c r="X57" s="2">
        <f t="shared" si="36"/>
        <v>0</v>
      </c>
      <c r="Y57" s="2">
        <f t="shared" si="36"/>
        <v>0</v>
      </c>
      <c r="Z57" s="2">
        <f t="shared" si="36"/>
        <v>0</v>
      </c>
      <c r="AA57" s="2">
        <f t="shared" si="36"/>
        <v>0</v>
      </c>
      <c r="AB57" s="2">
        <f t="shared" si="36"/>
        <v>0</v>
      </c>
      <c r="AC57" s="2">
        <f t="shared" si="36"/>
        <v>0</v>
      </c>
      <c r="AD57" s="2">
        <f t="shared" si="36"/>
        <v>0</v>
      </c>
      <c r="AE57" s="2">
        <f t="shared" si="36"/>
        <v>0</v>
      </c>
      <c r="AF57" s="2">
        <f t="shared" si="36"/>
        <v>0</v>
      </c>
      <c r="AG57" s="2">
        <f t="shared" si="36"/>
        <v>0</v>
      </c>
      <c r="AH57" s="2">
        <f t="shared" si="36"/>
        <v>0</v>
      </c>
      <c r="AI57" s="6">
        <f t="shared" si="30"/>
        <v>0</v>
      </c>
    </row>
    <row r="58" spans="1:35" outlineLevel="1" x14ac:dyDescent="0.25">
      <c r="A58" s="1" t="s">
        <v>61</v>
      </c>
      <c r="B58" s="2">
        <v>0</v>
      </c>
      <c r="C58" s="8">
        <f t="shared" si="37"/>
        <v>0</v>
      </c>
      <c r="D58" s="2">
        <v>-485</v>
      </c>
      <c r="E58" s="8">
        <f t="shared" si="38"/>
        <v>-5.7664402328658347E-5</v>
      </c>
      <c r="F58" s="24">
        <f>+D58*1.1</f>
        <v>-533.5</v>
      </c>
      <c r="G58" s="8">
        <f t="shared" si="39"/>
        <v>-6.3430842561524179E-5</v>
      </c>
      <c r="H58" s="2">
        <f t="shared" si="40"/>
        <v>-44.458333333333336</v>
      </c>
      <c r="I58" s="2">
        <f t="shared" si="40"/>
        <v>-44.458333333333336</v>
      </c>
      <c r="J58" s="2">
        <f t="shared" si="40"/>
        <v>-44.458333333333336</v>
      </c>
      <c r="K58" s="2">
        <f t="shared" si="40"/>
        <v>-44.458333333333336</v>
      </c>
      <c r="L58" s="2">
        <f t="shared" si="40"/>
        <v>-44.458333333333336</v>
      </c>
      <c r="M58" s="2">
        <f t="shared" si="40"/>
        <v>-44.458333333333336</v>
      </c>
      <c r="N58" s="2">
        <f t="shared" si="40"/>
        <v>-44.458333333333336</v>
      </c>
      <c r="O58" s="2">
        <f t="shared" si="40"/>
        <v>-44.458333333333336</v>
      </c>
      <c r="P58" s="2">
        <f t="shared" si="40"/>
        <v>-44.458333333333336</v>
      </c>
      <c r="Q58" s="2">
        <f t="shared" si="40"/>
        <v>-44.458333333333336</v>
      </c>
      <c r="R58" s="2">
        <f t="shared" si="40"/>
        <v>-44.458333333333336</v>
      </c>
      <c r="S58" s="2">
        <f t="shared" si="40"/>
        <v>-44.458333333333336</v>
      </c>
      <c r="T58" s="6">
        <f t="shared" si="4"/>
        <v>-533.49999999999989</v>
      </c>
      <c r="U58" s="24">
        <v>0</v>
      </c>
      <c r="V58" s="23">
        <f t="shared" si="17"/>
        <v>0</v>
      </c>
      <c r="W58" s="2">
        <f t="shared" si="36"/>
        <v>0</v>
      </c>
      <c r="X58" s="2">
        <f t="shared" si="36"/>
        <v>0</v>
      </c>
      <c r="Y58" s="2">
        <f t="shared" si="36"/>
        <v>0</v>
      </c>
      <c r="Z58" s="2">
        <f t="shared" si="36"/>
        <v>0</v>
      </c>
      <c r="AA58" s="2">
        <f t="shared" si="36"/>
        <v>0</v>
      </c>
      <c r="AB58" s="2">
        <f t="shared" si="36"/>
        <v>0</v>
      </c>
      <c r="AC58" s="2">
        <f t="shared" si="36"/>
        <v>0</v>
      </c>
      <c r="AD58" s="2">
        <f t="shared" si="36"/>
        <v>0</v>
      </c>
      <c r="AE58" s="2">
        <f t="shared" si="36"/>
        <v>0</v>
      </c>
      <c r="AF58" s="2">
        <f t="shared" si="36"/>
        <v>0</v>
      </c>
      <c r="AG58" s="2">
        <f t="shared" si="36"/>
        <v>0</v>
      </c>
      <c r="AH58" s="2">
        <f t="shared" si="36"/>
        <v>0</v>
      </c>
      <c r="AI58" s="6">
        <f t="shared" si="30"/>
        <v>0</v>
      </c>
    </row>
    <row r="59" spans="1:35" outlineLevel="1" x14ac:dyDescent="0.25">
      <c r="A59" s="1" t="s">
        <v>62</v>
      </c>
      <c r="B59" s="2">
        <v>-862.41</v>
      </c>
      <c r="C59" s="8">
        <f t="shared" si="37"/>
        <v>-7.816355416051422E-5</v>
      </c>
      <c r="D59" s="2">
        <v>0</v>
      </c>
      <c r="E59" s="8">
        <f t="shared" si="38"/>
        <v>0</v>
      </c>
      <c r="F59" s="24">
        <f>+D59*1.1</f>
        <v>0</v>
      </c>
      <c r="G59" s="8">
        <f t="shared" si="39"/>
        <v>0</v>
      </c>
      <c r="H59" s="2">
        <f t="shared" si="40"/>
        <v>0</v>
      </c>
      <c r="I59" s="2">
        <f t="shared" si="40"/>
        <v>0</v>
      </c>
      <c r="J59" s="2">
        <f t="shared" si="40"/>
        <v>0</v>
      </c>
      <c r="K59" s="2">
        <f t="shared" si="40"/>
        <v>0</v>
      </c>
      <c r="L59" s="2">
        <f t="shared" si="40"/>
        <v>0</v>
      </c>
      <c r="M59" s="2">
        <f t="shared" si="40"/>
        <v>0</v>
      </c>
      <c r="N59" s="2">
        <f t="shared" si="40"/>
        <v>0</v>
      </c>
      <c r="O59" s="2">
        <f t="shared" si="40"/>
        <v>0</v>
      </c>
      <c r="P59" s="2">
        <f t="shared" si="40"/>
        <v>0</v>
      </c>
      <c r="Q59" s="2">
        <f t="shared" si="40"/>
        <v>0</v>
      </c>
      <c r="R59" s="2">
        <f t="shared" si="40"/>
        <v>0</v>
      </c>
      <c r="S59" s="2">
        <f t="shared" si="40"/>
        <v>0</v>
      </c>
      <c r="T59" s="6">
        <f t="shared" si="4"/>
        <v>0</v>
      </c>
      <c r="U59" s="24">
        <v>0</v>
      </c>
      <c r="V59" s="23">
        <f t="shared" si="17"/>
        <v>0</v>
      </c>
      <c r="W59" s="2">
        <f t="shared" si="36"/>
        <v>0</v>
      </c>
      <c r="X59" s="2">
        <f t="shared" si="36"/>
        <v>0</v>
      </c>
      <c r="Y59" s="2">
        <f t="shared" si="36"/>
        <v>0</v>
      </c>
      <c r="Z59" s="2">
        <f t="shared" si="36"/>
        <v>0</v>
      </c>
      <c r="AA59" s="2">
        <f t="shared" si="36"/>
        <v>0</v>
      </c>
      <c r="AB59" s="2">
        <f t="shared" si="36"/>
        <v>0</v>
      </c>
      <c r="AC59" s="2">
        <f t="shared" si="36"/>
        <v>0</v>
      </c>
      <c r="AD59" s="2">
        <f t="shared" si="36"/>
        <v>0</v>
      </c>
      <c r="AE59" s="2">
        <f t="shared" si="36"/>
        <v>0</v>
      </c>
      <c r="AF59" s="2">
        <f t="shared" si="36"/>
        <v>0</v>
      </c>
      <c r="AG59" s="2">
        <f t="shared" si="36"/>
        <v>0</v>
      </c>
      <c r="AH59" s="2">
        <f t="shared" si="36"/>
        <v>0</v>
      </c>
      <c r="AI59" s="6">
        <f t="shared" si="30"/>
        <v>0</v>
      </c>
    </row>
    <row r="60" spans="1:35" outlineLevel="1" x14ac:dyDescent="0.25">
      <c r="A60" s="1" t="s">
        <v>63</v>
      </c>
      <c r="B60" s="2">
        <v>-7673.6</v>
      </c>
      <c r="C60" s="8">
        <f t="shared" si="37"/>
        <v>-6.9548805000651897E-4</v>
      </c>
      <c r="D60" s="2">
        <v>-8226.7199999999993</v>
      </c>
      <c r="E60" s="8">
        <f t="shared" si="38"/>
        <v>-9.7812142664993845E-4</v>
      </c>
      <c r="F60" s="24">
        <v>-3000</v>
      </c>
      <c r="G60" s="8">
        <f t="shared" si="39"/>
        <v>-3.5668702471335057E-4</v>
      </c>
      <c r="H60" s="2">
        <f t="shared" si="40"/>
        <v>-250</v>
      </c>
      <c r="I60" s="2">
        <f t="shared" si="40"/>
        <v>-250</v>
      </c>
      <c r="J60" s="2">
        <f t="shared" si="40"/>
        <v>-250</v>
      </c>
      <c r="K60" s="2">
        <f t="shared" si="40"/>
        <v>-250</v>
      </c>
      <c r="L60" s="2">
        <f t="shared" si="40"/>
        <v>-250</v>
      </c>
      <c r="M60" s="2">
        <f t="shared" si="40"/>
        <v>-250</v>
      </c>
      <c r="N60" s="2">
        <f t="shared" si="40"/>
        <v>-250</v>
      </c>
      <c r="O60" s="2">
        <f t="shared" si="40"/>
        <v>-250</v>
      </c>
      <c r="P60" s="2">
        <f t="shared" si="40"/>
        <v>-250</v>
      </c>
      <c r="Q60" s="2">
        <f t="shared" si="40"/>
        <v>-250</v>
      </c>
      <c r="R60" s="2">
        <f t="shared" si="40"/>
        <v>-250</v>
      </c>
      <c r="S60" s="2">
        <f t="shared" si="40"/>
        <v>-250</v>
      </c>
      <c r="T60" s="6">
        <f t="shared" si="4"/>
        <v>-3000</v>
      </c>
      <c r="U60" s="24">
        <v>0</v>
      </c>
      <c r="V60" s="23">
        <f t="shared" si="17"/>
        <v>0</v>
      </c>
      <c r="W60" s="2">
        <f t="shared" si="36"/>
        <v>0</v>
      </c>
      <c r="X60" s="2">
        <f t="shared" si="36"/>
        <v>0</v>
      </c>
      <c r="Y60" s="2">
        <f t="shared" si="36"/>
        <v>0</v>
      </c>
      <c r="Z60" s="2">
        <f t="shared" si="36"/>
        <v>0</v>
      </c>
      <c r="AA60" s="2">
        <f t="shared" si="36"/>
        <v>0</v>
      </c>
      <c r="AB60" s="2">
        <f t="shared" si="36"/>
        <v>0</v>
      </c>
      <c r="AC60" s="2">
        <f t="shared" si="36"/>
        <v>0</v>
      </c>
      <c r="AD60" s="2">
        <f t="shared" si="36"/>
        <v>0</v>
      </c>
      <c r="AE60" s="2">
        <f t="shared" si="36"/>
        <v>0</v>
      </c>
      <c r="AF60" s="2">
        <f t="shared" si="36"/>
        <v>0</v>
      </c>
      <c r="AG60" s="2">
        <f t="shared" si="36"/>
        <v>0</v>
      </c>
      <c r="AH60" s="2">
        <f t="shared" si="36"/>
        <v>0</v>
      </c>
      <c r="AI60" s="6">
        <f t="shared" si="30"/>
        <v>0</v>
      </c>
    </row>
    <row r="61" spans="1:35" outlineLevel="1" x14ac:dyDescent="0.25">
      <c r="A61" s="10" t="s">
        <v>64</v>
      </c>
      <c r="C61" s="8"/>
      <c r="E61" s="8"/>
      <c r="F61" s="24">
        <f>+D61*1.1</f>
        <v>0</v>
      </c>
      <c r="G61" s="8"/>
      <c r="H61" s="2">
        <f t="shared" si="40"/>
        <v>0</v>
      </c>
      <c r="I61" s="2">
        <f t="shared" si="40"/>
        <v>0</v>
      </c>
      <c r="J61" s="2">
        <f t="shared" si="40"/>
        <v>0</v>
      </c>
      <c r="K61" s="2">
        <f t="shared" si="40"/>
        <v>0</v>
      </c>
      <c r="L61" s="2">
        <f t="shared" si="40"/>
        <v>0</v>
      </c>
      <c r="M61" s="2">
        <f t="shared" si="40"/>
        <v>0</v>
      </c>
      <c r="N61" s="2">
        <f t="shared" si="40"/>
        <v>0</v>
      </c>
      <c r="O61" s="2">
        <f t="shared" si="40"/>
        <v>0</v>
      </c>
      <c r="P61" s="2">
        <f t="shared" si="40"/>
        <v>0</v>
      </c>
      <c r="Q61" s="2">
        <f t="shared" si="40"/>
        <v>0</v>
      </c>
      <c r="R61" s="2">
        <f t="shared" si="40"/>
        <v>0</v>
      </c>
      <c r="S61" s="2">
        <f t="shared" si="40"/>
        <v>0</v>
      </c>
      <c r="T61" s="6">
        <f t="shared" si="4"/>
        <v>0</v>
      </c>
      <c r="U61" s="24">
        <v>0</v>
      </c>
      <c r="V61" s="23">
        <f t="shared" si="17"/>
        <v>0</v>
      </c>
      <c r="W61" s="2">
        <f t="shared" si="36"/>
        <v>0</v>
      </c>
      <c r="X61" s="2">
        <f t="shared" si="36"/>
        <v>0</v>
      </c>
      <c r="Y61" s="2">
        <f t="shared" si="36"/>
        <v>0</v>
      </c>
      <c r="Z61" s="2">
        <f t="shared" si="36"/>
        <v>0</v>
      </c>
      <c r="AA61" s="2">
        <f t="shared" si="36"/>
        <v>0</v>
      </c>
      <c r="AB61" s="2">
        <f t="shared" si="36"/>
        <v>0</v>
      </c>
      <c r="AC61" s="2">
        <f t="shared" si="36"/>
        <v>0</v>
      </c>
      <c r="AD61" s="2">
        <f t="shared" si="36"/>
        <v>0</v>
      </c>
      <c r="AE61" s="2">
        <f t="shared" si="36"/>
        <v>0</v>
      </c>
      <c r="AF61" s="2">
        <f t="shared" si="36"/>
        <v>0</v>
      </c>
      <c r="AG61" s="2">
        <f t="shared" si="36"/>
        <v>0</v>
      </c>
      <c r="AH61" s="2">
        <f t="shared" si="36"/>
        <v>0</v>
      </c>
      <c r="AI61" s="6">
        <f t="shared" si="30"/>
        <v>0</v>
      </c>
    </row>
    <row r="62" spans="1:35" outlineLevel="1" x14ac:dyDescent="0.25">
      <c r="A62" s="1" t="s">
        <v>65</v>
      </c>
      <c r="B62" s="2">
        <v>-4955.21</v>
      </c>
      <c r="C62" s="8">
        <f t="shared" ref="C62:C77" si="41">+B62/$B$2</f>
        <v>-4.4910984938917884E-4</v>
      </c>
      <c r="D62" s="2">
        <v>-1104.03</v>
      </c>
      <c r="E62" s="8">
        <f t="shared" ref="E62:E77" si="42">+D62/$D$2</f>
        <v>-1.3126439196476015E-4</v>
      </c>
      <c r="F62" s="24">
        <v>-3000</v>
      </c>
      <c r="G62" s="8">
        <f t="shared" ref="G62:G77" si="43">+F62/$D$2</f>
        <v>-3.5668702471335057E-4</v>
      </c>
      <c r="H62" s="2">
        <f>+$F62/12</f>
        <v>-250</v>
      </c>
      <c r="I62" s="2">
        <f>+$F62/12</f>
        <v>-250</v>
      </c>
      <c r="J62" s="2">
        <f>+$F62/12</f>
        <v>-250</v>
      </c>
      <c r="K62" s="2">
        <f>+$F62/12</f>
        <v>-250</v>
      </c>
      <c r="L62" s="2">
        <f>+$F62/12</f>
        <v>-250</v>
      </c>
      <c r="M62" s="2">
        <f t="shared" ref="I62:S77" si="44">+$F62/12</f>
        <v>-250</v>
      </c>
      <c r="N62" s="2">
        <f t="shared" si="44"/>
        <v>-250</v>
      </c>
      <c r="O62" s="2">
        <f t="shared" si="44"/>
        <v>-250</v>
      </c>
      <c r="P62" s="2">
        <f t="shared" si="44"/>
        <v>-250</v>
      </c>
      <c r="Q62" s="2">
        <f t="shared" si="44"/>
        <v>-250</v>
      </c>
      <c r="R62" s="2">
        <f t="shared" si="44"/>
        <v>-250</v>
      </c>
      <c r="S62" s="2">
        <f t="shared" si="44"/>
        <v>-250</v>
      </c>
      <c r="T62" s="6">
        <f t="shared" si="4"/>
        <v>-3000</v>
      </c>
      <c r="U62" s="24">
        <v>0</v>
      </c>
      <c r="V62" s="23">
        <f t="shared" si="17"/>
        <v>0</v>
      </c>
      <c r="W62" s="2">
        <f t="shared" si="36"/>
        <v>0</v>
      </c>
      <c r="X62" s="2">
        <f t="shared" si="36"/>
        <v>0</v>
      </c>
      <c r="Y62" s="2">
        <f t="shared" si="36"/>
        <v>0</v>
      </c>
      <c r="Z62" s="2">
        <f t="shared" si="36"/>
        <v>0</v>
      </c>
      <c r="AA62" s="2">
        <f t="shared" si="36"/>
        <v>0</v>
      </c>
      <c r="AB62" s="2">
        <f t="shared" si="36"/>
        <v>0</v>
      </c>
      <c r="AC62" s="2">
        <f t="shared" si="36"/>
        <v>0</v>
      </c>
      <c r="AD62" s="2">
        <f t="shared" si="36"/>
        <v>0</v>
      </c>
      <c r="AE62" s="2">
        <f t="shared" si="36"/>
        <v>0</v>
      </c>
      <c r="AF62" s="2">
        <f t="shared" si="36"/>
        <v>0</v>
      </c>
      <c r="AG62" s="2">
        <f t="shared" si="36"/>
        <v>0</v>
      </c>
      <c r="AH62" s="2">
        <f t="shared" si="36"/>
        <v>0</v>
      </c>
      <c r="AI62" s="6">
        <f t="shared" si="30"/>
        <v>0</v>
      </c>
    </row>
    <row r="63" spans="1:35" outlineLevel="1" x14ac:dyDescent="0.25">
      <c r="A63" s="1" t="s">
        <v>66</v>
      </c>
      <c r="B63" s="2">
        <v>-4625.43</v>
      </c>
      <c r="C63" s="8">
        <f t="shared" si="41"/>
        <v>-4.1922061237771748E-4</v>
      </c>
      <c r="D63" s="2">
        <v>-1364.57</v>
      </c>
      <c r="E63" s="8">
        <f t="shared" si="42"/>
        <v>-1.6224147110436559E-4</v>
      </c>
      <c r="F63" s="24">
        <f>+D63*1.1</f>
        <v>-1501.027</v>
      </c>
      <c r="G63" s="8">
        <f t="shared" si="43"/>
        <v>-1.7846561821480215E-4</v>
      </c>
      <c r="H63" s="2">
        <f t="shared" ref="H63:H102" si="45">+$F63/12</f>
        <v>-125.08558333333333</v>
      </c>
      <c r="I63" s="2">
        <f t="shared" si="44"/>
        <v>-125.08558333333333</v>
      </c>
      <c r="J63" s="2">
        <f t="shared" si="44"/>
        <v>-125.08558333333333</v>
      </c>
      <c r="K63" s="2">
        <f t="shared" si="44"/>
        <v>-125.08558333333333</v>
      </c>
      <c r="L63" s="2">
        <f t="shared" si="44"/>
        <v>-125.08558333333333</v>
      </c>
      <c r="M63" s="2">
        <f t="shared" si="44"/>
        <v>-125.08558333333333</v>
      </c>
      <c r="N63" s="2">
        <f t="shared" si="44"/>
        <v>-125.08558333333333</v>
      </c>
      <c r="O63" s="2">
        <f t="shared" si="44"/>
        <v>-125.08558333333333</v>
      </c>
      <c r="P63" s="2">
        <f t="shared" si="44"/>
        <v>-125.08558333333333</v>
      </c>
      <c r="Q63" s="2">
        <f t="shared" si="44"/>
        <v>-125.08558333333333</v>
      </c>
      <c r="R63" s="2">
        <f t="shared" si="44"/>
        <v>-125.08558333333333</v>
      </c>
      <c r="S63" s="2">
        <f t="shared" si="44"/>
        <v>-125.08558333333333</v>
      </c>
      <c r="T63" s="6">
        <f t="shared" si="4"/>
        <v>-1501.0269999999998</v>
      </c>
      <c r="U63" s="24">
        <v>0</v>
      </c>
      <c r="V63" s="23">
        <f t="shared" si="17"/>
        <v>0</v>
      </c>
      <c r="W63" s="2">
        <f t="shared" si="36"/>
        <v>0</v>
      </c>
      <c r="X63" s="2">
        <f t="shared" si="36"/>
        <v>0</v>
      </c>
      <c r="Y63" s="2">
        <f t="shared" si="36"/>
        <v>0</v>
      </c>
      <c r="Z63" s="2">
        <f t="shared" si="36"/>
        <v>0</v>
      </c>
      <c r="AA63" s="2">
        <f t="shared" si="36"/>
        <v>0</v>
      </c>
      <c r="AB63" s="2">
        <f t="shared" si="36"/>
        <v>0</v>
      </c>
      <c r="AC63" s="2">
        <f t="shared" si="36"/>
        <v>0</v>
      </c>
      <c r="AD63" s="2">
        <f t="shared" si="36"/>
        <v>0</v>
      </c>
      <c r="AE63" s="2">
        <f t="shared" si="36"/>
        <v>0</v>
      </c>
      <c r="AF63" s="2">
        <f t="shared" si="36"/>
        <v>0</v>
      </c>
      <c r="AG63" s="2">
        <f t="shared" si="36"/>
        <v>0</v>
      </c>
      <c r="AH63" s="2">
        <f t="shared" si="36"/>
        <v>0</v>
      </c>
      <c r="AI63" s="6">
        <f t="shared" si="30"/>
        <v>0</v>
      </c>
    </row>
    <row r="64" spans="1:35" outlineLevel="1" x14ac:dyDescent="0.25">
      <c r="A64" s="1" t="s">
        <v>67</v>
      </c>
      <c r="B64" s="2">
        <v>-18078.41</v>
      </c>
      <c r="C64" s="8">
        <f t="shared" si="41"/>
        <v>-1.6385162268190096E-3</v>
      </c>
      <c r="D64" s="2">
        <v>-18581.41</v>
      </c>
      <c r="E64" s="8">
        <f t="shared" si="42"/>
        <v>-2.2092492826262999E-3</v>
      </c>
      <c r="F64" s="24">
        <f>+D64*1.03</f>
        <v>-19138.852299999999</v>
      </c>
      <c r="G64" s="8">
        <f t="shared" si="43"/>
        <v>-2.2755267611050886E-3</v>
      </c>
      <c r="H64" s="2">
        <f t="shared" si="45"/>
        <v>-1594.9043583333332</v>
      </c>
      <c r="I64" s="2">
        <f t="shared" si="44"/>
        <v>-1594.9043583333332</v>
      </c>
      <c r="J64" s="2">
        <f t="shared" si="44"/>
        <v>-1594.9043583333332</v>
      </c>
      <c r="K64" s="2">
        <f t="shared" si="44"/>
        <v>-1594.9043583333332</v>
      </c>
      <c r="L64" s="2">
        <f t="shared" si="44"/>
        <v>-1594.9043583333332</v>
      </c>
      <c r="M64" s="2">
        <f t="shared" si="44"/>
        <v>-1594.9043583333332</v>
      </c>
      <c r="N64" s="2">
        <f t="shared" si="44"/>
        <v>-1594.9043583333332</v>
      </c>
      <c r="O64" s="2">
        <f t="shared" si="44"/>
        <v>-1594.9043583333332</v>
      </c>
      <c r="P64" s="2">
        <f t="shared" si="44"/>
        <v>-1594.9043583333332</v>
      </c>
      <c r="Q64" s="2">
        <f t="shared" si="44"/>
        <v>-1594.9043583333332</v>
      </c>
      <c r="R64" s="2">
        <f t="shared" si="44"/>
        <v>-1594.9043583333332</v>
      </c>
      <c r="S64" s="2">
        <f t="shared" si="44"/>
        <v>-1594.9043583333332</v>
      </c>
      <c r="T64" s="6">
        <f t="shared" si="4"/>
        <v>-19138.852299999999</v>
      </c>
      <c r="U64" s="24">
        <v>0</v>
      </c>
      <c r="V64" s="23">
        <f t="shared" si="17"/>
        <v>0</v>
      </c>
      <c r="W64" s="2">
        <f t="shared" si="36"/>
        <v>0</v>
      </c>
      <c r="X64" s="2">
        <f t="shared" si="36"/>
        <v>0</v>
      </c>
      <c r="Y64" s="2">
        <f t="shared" si="36"/>
        <v>0</v>
      </c>
      <c r="Z64" s="2">
        <f t="shared" si="36"/>
        <v>0</v>
      </c>
      <c r="AA64" s="2">
        <f t="shared" si="36"/>
        <v>0</v>
      </c>
      <c r="AB64" s="2">
        <f t="shared" si="36"/>
        <v>0</v>
      </c>
      <c r="AC64" s="2">
        <f t="shared" si="36"/>
        <v>0</v>
      </c>
      <c r="AD64" s="2">
        <f t="shared" si="36"/>
        <v>0</v>
      </c>
      <c r="AE64" s="2">
        <f t="shared" si="36"/>
        <v>0</v>
      </c>
      <c r="AF64" s="2">
        <f t="shared" si="36"/>
        <v>0</v>
      </c>
      <c r="AG64" s="2">
        <f t="shared" si="36"/>
        <v>0</v>
      </c>
      <c r="AH64" s="2">
        <f t="shared" si="36"/>
        <v>0</v>
      </c>
      <c r="AI64" s="6">
        <f t="shared" si="30"/>
        <v>0</v>
      </c>
    </row>
    <row r="65" spans="1:35" outlineLevel="1" x14ac:dyDescent="0.25">
      <c r="A65" s="1" t="s">
        <v>68</v>
      </c>
      <c r="B65" s="2">
        <v>-117805.66</v>
      </c>
      <c r="C65" s="8">
        <f t="shared" si="41"/>
        <v>-1.0677182646102346E-2</v>
      </c>
      <c r="D65" s="2">
        <v>-95890.07</v>
      </c>
      <c r="E65" s="8">
        <f t="shared" si="42"/>
        <v>-1.1400914589284973E-2</v>
      </c>
      <c r="F65" s="24">
        <f>+D65*1.1</f>
        <v>-105479.07700000002</v>
      </c>
      <c r="G65" s="8">
        <f t="shared" si="43"/>
        <v>-1.2541006048213472E-2</v>
      </c>
      <c r="H65" s="2">
        <f t="shared" si="45"/>
        <v>-8789.9230833333349</v>
      </c>
      <c r="I65" s="2">
        <f t="shared" si="44"/>
        <v>-8789.9230833333349</v>
      </c>
      <c r="J65" s="2">
        <f t="shared" si="44"/>
        <v>-8789.9230833333349</v>
      </c>
      <c r="K65" s="2">
        <f t="shared" si="44"/>
        <v>-8789.9230833333349</v>
      </c>
      <c r="L65" s="2">
        <f t="shared" si="44"/>
        <v>-8789.9230833333349</v>
      </c>
      <c r="M65" s="2">
        <f t="shared" si="44"/>
        <v>-8789.9230833333349</v>
      </c>
      <c r="N65" s="2">
        <f t="shared" si="44"/>
        <v>-8789.9230833333349</v>
      </c>
      <c r="O65" s="2">
        <f t="shared" si="44"/>
        <v>-8789.9230833333349</v>
      </c>
      <c r="P65" s="2">
        <f t="shared" si="44"/>
        <v>-8789.9230833333349</v>
      </c>
      <c r="Q65" s="2">
        <f t="shared" si="44"/>
        <v>-8789.9230833333349</v>
      </c>
      <c r="R65" s="2">
        <f t="shared" si="44"/>
        <v>-8789.9230833333349</v>
      </c>
      <c r="S65" s="2">
        <f t="shared" si="44"/>
        <v>-8789.9230833333349</v>
      </c>
      <c r="T65" s="6">
        <f t="shared" si="4"/>
        <v>-105479.07699999999</v>
      </c>
      <c r="U65" s="24">
        <v>0</v>
      </c>
      <c r="V65" s="23">
        <f t="shared" si="17"/>
        <v>0</v>
      </c>
      <c r="W65" s="2">
        <f t="shared" si="36"/>
        <v>0</v>
      </c>
      <c r="X65" s="2">
        <f t="shared" si="36"/>
        <v>0</v>
      </c>
      <c r="Y65" s="2">
        <f t="shared" si="36"/>
        <v>0</v>
      </c>
      <c r="Z65" s="2">
        <f t="shared" si="36"/>
        <v>0</v>
      </c>
      <c r="AA65" s="2">
        <f t="shared" si="36"/>
        <v>0</v>
      </c>
      <c r="AB65" s="2">
        <f t="shared" si="36"/>
        <v>0</v>
      </c>
      <c r="AC65" s="2">
        <f t="shared" si="36"/>
        <v>0</v>
      </c>
      <c r="AD65" s="2">
        <f t="shared" si="36"/>
        <v>0</v>
      </c>
      <c r="AE65" s="2">
        <f t="shared" si="36"/>
        <v>0</v>
      </c>
      <c r="AF65" s="2">
        <f t="shared" si="36"/>
        <v>0</v>
      </c>
      <c r="AG65" s="2">
        <f t="shared" si="36"/>
        <v>0</v>
      </c>
      <c r="AH65" s="2">
        <f t="shared" si="36"/>
        <v>0</v>
      </c>
      <c r="AI65" s="6">
        <f t="shared" si="30"/>
        <v>0</v>
      </c>
    </row>
    <row r="66" spans="1:35" outlineLevel="1" x14ac:dyDescent="0.25">
      <c r="A66" s="1" t="s">
        <v>69</v>
      </c>
      <c r="B66" s="2">
        <v>-101.51</v>
      </c>
      <c r="C66" s="8">
        <f t="shared" si="41"/>
        <v>-9.2002439475815447E-6</v>
      </c>
      <c r="D66" s="2">
        <v>-118.94</v>
      </c>
      <c r="E66" s="8">
        <f t="shared" si="42"/>
        <v>-1.4141451573135305E-5</v>
      </c>
      <c r="F66" s="24">
        <f>+D66*1.1</f>
        <v>-130.834</v>
      </c>
      <c r="G66" s="8">
        <f t="shared" si="43"/>
        <v>-1.5555596730448836E-5</v>
      </c>
      <c r="H66" s="2">
        <f t="shared" si="45"/>
        <v>-10.902833333333334</v>
      </c>
      <c r="I66" s="2">
        <f t="shared" si="44"/>
        <v>-10.902833333333334</v>
      </c>
      <c r="J66" s="2">
        <f t="shared" si="44"/>
        <v>-10.902833333333334</v>
      </c>
      <c r="K66" s="2">
        <f t="shared" si="44"/>
        <v>-10.902833333333334</v>
      </c>
      <c r="L66" s="2">
        <f t="shared" si="44"/>
        <v>-10.902833333333334</v>
      </c>
      <c r="M66" s="2">
        <f t="shared" si="44"/>
        <v>-10.902833333333334</v>
      </c>
      <c r="N66" s="2">
        <f t="shared" si="44"/>
        <v>-10.902833333333334</v>
      </c>
      <c r="O66" s="2">
        <f t="shared" si="44"/>
        <v>-10.902833333333334</v>
      </c>
      <c r="P66" s="2">
        <f t="shared" si="44"/>
        <v>-10.902833333333334</v>
      </c>
      <c r="Q66" s="2">
        <f t="shared" si="44"/>
        <v>-10.902833333333334</v>
      </c>
      <c r="R66" s="2">
        <f t="shared" si="44"/>
        <v>-10.902833333333334</v>
      </c>
      <c r="S66" s="2">
        <f t="shared" si="44"/>
        <v>-10.902833333333334</v>
      </c>
      <c r="T66" s="6">
        <f t="shared" si="4"/>
        <v>-130.834</v>
      </c>
      <c r="U66" s="24">
        <v>0</v>
      </c>
      <c r="V66" s="23">
        <f t="shared" si="17"/>
        <v>0</v>
      </c>
      <c r="W66" s="2">
        <f t="shared" si="36"/>
        <v>0</v>
      </c>
      <c r="X66" s="2">
        <f t="shared" si="36"/>
        <v>0</v>
      </c>
      <c r="Y66" s="2">
        <f t="shared" si="36"/>
        <v>0</v>
      </c>
      <c r="Z66" s="2">
        <f t="shared" ref="W66:AH87" si="46">+$U66/12</f>
        <v>0</v>
      </c>
      <c r="AA66" s="2">
        <f t="shared" si="46"/>
        <v>0</v>
      </c>
      <c r="AB66" s="2">
        <f t="shared" si="46"/>
        <v>0</v>
      </c>
      <c r="AC66" s="2">
        <f t="shared" si="46"/>
        <v>0</v>
      </c>
      <c r="AD66" s="2">
        <f t="shared" si="46"/>
        <v>0</v>
      </c>
      <c r="AE66" s="2">
        <f t="shared" si="46"/>
        <v>0</v>
      </c>
      <c r="AF66" s="2">
        <f t="shared" si="46"/>
        <v>0</v>
      </c>
      <c r="AG66" s="2">
        <f t="shared" si="46"/>
        <v>0</v>
      </c>
      <c r="AH66" s="2">
        <f t="shared" si="46"/>
        <v>0</v>
      </c>
      <c r="AI66" s="6">
        <f t="shared" si="30"/>
        <v>0</v>
      </c>
    </row>
    <row r="67" spans="1:35" outlineLevel="1" x14ac:dyDescent="0.25">
      <c r="A67" s="1" t="s">
        <v>70</v>
      </c>
      <c r="B67" s="2">
        <v>-338200</v>
      </c>
      <c r="C67" s="8">
        <f t="shared" si="41"/>
        <v>-3.0652374180593814E-2</v>
      </c>
      <c r="D67" s="2">
        <v>-1979.95</v>
      </c>
      <c r="E67" s="8">
        <f t="shared" si="42"/>
        <v>-2.3540749152706618E-4</v>
      </c>
      <c r="F67" s="24">
        <v>-50000</v>
      </c>
      <c r="G67" s="8">
        <f t="shared" si="43"/>
        <v>-5.9447837452225099E-3</v>
      </c>
      <c r="H67" s="2">
        <f t="shared" si="45"/>
        <v>-4166.666666666667</v>
      </c>
      <c r="I67" s="2">
        <f t="shared" si="44"/>
        <v>-4166.666666666667</v>
      </c>
      <c r="J67" s="2">
        <f t="shared" si="44"/>
        <v>-4166.666666666667</v>
      </c>
      <c r="K67" s="2">
        <f t="shared" si="44"/>
        <v>-4166.666666666667</v>
      </c>
      <c r="L67" s="2">
        <f t="shared" si="44"/>
        <v>-4166.666666666667</v>
      </c>
      <c r="M67" s="2">
        <f t="shared" si="44"/>
        <v>-4166.666666666667</v>
      </c>
      <c r="N67" s="2">
        <f t="shared" si="44"/>
        <v>-4166.666666666667</v>
      </c>
      <c r="O67" s="2">
        <f t="shared" si="44"/>
        <v>-4166.666666666667</v>
      </c>
      <c r="P67" s="2">
        <f t="shared" si="44"/>
        <v>-4166.666666666667</v>
      </c>
      <c r="Q67" s="2">
        <f t="shared" si="44"/>
        <v>-4166.666666666667</v>
      </c>
      <c r="R67" s="2">
        <f t="shared" si="44"/>
        <v>-4166.666666666667</v>
      </c>
      <c r="S67" s="2">
        <f t="shared" si="44"/>
        <v>-4166.666666666667</v>
      </c>
      <c r="T67" s="6">
        <f t="shared" ref="T67:T130" si="47">SUM(H67:S67)</f>
        <v>-49999.999999999993</v>
      </c>
      <c r="U67" s="24">
        <v>0</v>
      </c>
      <c r="V67" s="23">
        <f t="shared" si="17"/>
        <v>0</v>
      </c>
      <c r="W67" s="2">
        <f t="shared" si="46"/>
        <v>0</v>
      </c>
      <c r="X67" s="2">
        <f t="shared" si="46"/>
        <v>0</v>
      </c>
      <c r="Y67" s="2">
        <f t="shared" si="46"/>
        <v>0</v>
      </c>
      <c r="Z67" s="2">
        <f t="shared" si="46"/>
        <v>0</v>
      </c>
      <c r="AA67" s="2">
        <f t="shared" si="46"/>
        <v>0</v>
      </c>
      <c r="AB67" s="2">
        <f t="shared" si="46"/>
        <v>0</v>
      </c>
      <c r="AC67" s="2">
        <f t="shared" si="46"/>
        <v>0</v>
      </c>
      <c r="AD67" s="2">
        <f t="shared" si="46"/>
        <v>0</v>
      </c>
      <c r="AE67" s="2">
        <f t="shared" si="46"/>
        <v>0</v>
      </c>
      <c r="AF67" s="2">
        <f t="shared" si="46"/>
        <v>0</v>
      </c>
      <c r="AG67" s="2">
        <f t="shared" si="46"/>
        <v>0</v>
      </c>
      <c r="AH67" s="2">
        <f t="shared" si="46"/>
        <v>0</v>
      </c>
      <c r="AI67" s="6">
        <f t="shared" ref="AI67:AI130" si="48">SUM(W67:AH67)</f>
        <v>0</v>
      </c>
    </row>
    <row r="68" spans="1:35" outlineLevel="1" x14ac:dyDescent="0.25">
      <c r="A68" s="1" t="s">
        <v>71</v>
      </c>
      <c r="B68" s="2">
        <v>-29917.09</v>
      </c>
      <c r="C68" s="8">
        <f t="shared" si="41"/>
        <v>-2.7115015880381471E-3</v>
      </c>
      <c r="D68" s="2">
        <v>-35735.85</v>
      </c>
      <c r="E68" s="8">
        <f t="shared" si="42"/>
        <v>-4.2488380040341962E-3</v>
      </c>
      <c r="F68" s="24">
        <v>-40000</v>
      </c>
      <c r="G68" s="8">
        <f t="shared" si="43"/>
        <v>-4.7558269961780076E-3</v>
      </c>
      <c r="H68" s="2">
        <f t="shared" si="45"/>
        <v>-3333.3333333333335</v>
      </c>
      <c r="I68" s="2">
        <f t="shared" si="44"/>
        <v>-3333.3333333333335</v>
      </c>
      <c r="J68" s="2">
        <f t="shared" si="44"/>
        <v>-3333.3333333333335</v>
      </c>
      <c r="K68" s="2">
        <f t="shared" si="44"/>
        <v>-3333.3333333333335</v>
      </c>
      <c r="L68" s="2">
        <f t="shared" si="44"/>
        <v>-3333.3333333333335</v>
      </c>
      <c r="M68" s="2">
        <f t="shared" si="44"/>
        <v>-3333.3333333333335</v>
      </c>
      <c r="N68" s="2">
        <f t="shared" si="44"/>
        <v>-3333.3333333333335</v>
      </c>
      <c r="O68" s="2">
        <f t="shared" si="44"/>
        <v>-3333.3333333333335</v>
      </c>
      <c r="P68" s="2">
        <f t="shared" si="44"/>
        <v>-3333.3333333333335</v>
      </c>
      <c r="Q68" s="2">
        <f t="shared" si="44"/>
        <v>-3333.3333333333335</v>
      </c>
      <c r="R68" s="2">
        <f t="shared" si="44"/>
        <v>-3333.3333333333335</v>
      </c>
      <c r="S68" s="2">
        <f t="shared" si="44"/>
        <v>-3333.3333333333335</v>
      </c>
      <c r="T68" s="6">
        <f t="shared" si="47"/>
        <v>-40000</v>
      </c>
      <c r="U68" s="24">
        <v>0</v>
      </c>
      <c r="V68" s="23">
        <f t="shared" si="17"/>
        <v>0</v>
      </c>
      <c r="W68" s="2">
        <f t="shared" si="46"/>
        <v>0</v>
      </c>
      <c r="X68" s="2">
        <f t="shared" si="46"/>
        <v>0</v>
      </c>
      <c r="Y68" s="2">
        <f t="shared" si="46"/>
        <v>0</v>
      </c>
      <c r="Z68" s="2">
        <f t="shared" si="46"/>
        <v>0</v>
      </c>
      <c r="AA68" s="2">
        <f t="shared" si="46"/>
        <v>0</v>
      </c>
      <c r="AB68" s="2">
        <f t="shared" si="46"/>
        <v>0</v>
      </c>
      <c r="AC68" s="2">
        <f t="shared" si="46"/>
        <v>0</v>
      </c>
      <c r="AD68" s="2">
        <f t="shared" si="46"/>
        <v>0</v>
      </c>
      <c r="AE68" s="2">
        <f t="shared" si="46"/>
        <v>0</v>
      </c>
      <c r="AF68" s="2">
        <f t="shared" si="46"/>
        <v>0</v>
      </c>
      <c r="AG68" s="2">
        <f t="shared" si="46"/>
        <v>0</v>
      </c>
      <c r="AH68" s="2">
        <f t="shared" si="46"/>
        <v>0</v>
      </c>
      <c r="AI68" s="6">
        <f t="shared" si="48"/>
        <v>0</v>
      </c>
    </row>
    <row r="69" spans="1:35" outlineLevel="1" x14ac:dyDescent="0.25">
      <c r="A69" s="1" t="s">
        <v>72</v>
      </c>
      <c r="B69" s="2">
        <v>-20574.53</v>
      </c>
      <c r="C69" s="8">
        <f t="shared" si="41"/>
        <v>-1.8647492375808777E-3</v>
      </c>
      <c r="D69" s="2">
        <v>0</v>
      </c>
      <c r="E69" s="8">
        <f t="shared" si="42"/>
        <v>0</v>
      </c>
      <c r="F69" s="24">
        <f>+D69*1.1</f>
        <v>0</v>
      </c>
      <c r="G69" s="8">
        <f t="shared" si="43"/>
        <v>0</v>
      </c>
      <c r="H69" s="2">
        <f t="shared" si="45"/>
        <v>0</v>
      </c>
      <c r="I69" s="2">
        <f t="shared" si="44"/>
        <v>0</v>
      </c>
      <c r="J69" s="2">
        <f t="shared" si="44"/>
        <v>0</v>
      </c>
      <c r="K69" s="2">
        <f t="shared" si="44"/>
        <v>0</v>
      </c>
      <c r="L69" s="2">
        <f t="shared" si="44"/>
        <v>0</v>
      </c>
      <c r="M69" s="2">
        <f t="shared" si="44"/>
        <v>0</v>
      </c>
      <c r="N69" s="2">
        <f t="shared" si="44"/>
        <v>0</v>
      </c>
      <c r="O69" s="2">
        <f t="shared" si="44"/>
        <v>0</v>
      </c>
      <c r="P69" s="2">
        <f t="shared" si="44"/>
        <v>0</v>
      </c>
      <c r="Q69" s="2">
        <f t="shared" si="44"/>
        <v>0</v>
      </c>
      <c r="R69" s="2">
        <f t="shared" si="44"/>
        <v>0</v>
      </c>
      <c r="S69" s="2">
        <f t="shared" si="44"/>
        <v>0</v>
      </c>
      <c r="T69" s="6">
        <f t="shared" si="47"/>
        <v>0</v>
      </c>
      <c r="U69" s="24">
        <v>0</v>
      </c>
      <c r="V69" s="23">
        <f t="shared" si="17"/>
        <v>0</v>
      </c>
      <c r="W69" s="2">
        <f t="shared" si="46"/>
        <v>0</v>
      </c>
      <c r="X69" s="2">
        <f t="shared" si="46"/>
        <v>0</v>
      </c>
      <c r="Y69" s="2">
        <f t="shared" si="46"/>
        <v>0</v>
      </c>
      <c r="Z69" s="2">
        <f t="shared" si="46"/>
        <v>0</v>
      </c>
      <c r="AA69" s="2">
        <f t="shared" si="46"/>
        <v>0</v>
      </c>
      <c r="AB69" s="2">
        <f t="shared" si="46"/>
        <v>0</v>
      </c>
      <c r="AC69" s="2">
        <f t="shared" si="46"/>
        <v>0</v>
      </c>
      <c r="AD69" s="2">
        <f t="shared" si="46"/>
        <v>0</v>
      </c>
      <c r="AE69" s="2">
        <f t="shared" si="46"/>
        <v>0</v>
      </c>
      <c r="AF69" s="2">
        <f t="shared" si="46"/>
        <v>0</v>
      </c>
      <c r="AG69" s="2">
        <f t="shared" si="46"/>
        <v>0</v>
      </c>
      <c r="AH69" s="2">
        <f t="shared" si="46"/>
        <v>0</v>
      </c>
      <c r="AI69" s="6">
        <f t="shared" si="48"/>
        <v>0</v>
      </c>
    </row>
    <row r="70" spans="1:35" outlineLevel="1" x14ac:dyDescent="0.25">
      <c r="A70" s="1" t="s">
        <v>73</v>
      </c>
      <c r="B70" s="2">
        <v>-88656.21</v>
      </c>
      <c r="C70" s="8">
        <f t="shared" si="41"/>
        <v>-8.0352552405479095E-3</v>
      </c>
      <c r="D70" s="2">
        <v>0</v>
      </c>
      <c r="E70" s="8">
        <f t="shared" si="42"/>
        <v>0</v>
      </c>
      <c r="F70" s="24">
        <f>+D70*1.1</f>
        <v>0</v>
      </c>
      <c r="G70" s="8">
        <f t="shared" si="43"/>
        <v>0</v>
      </c>
      <c r="H70" s="2">
        <f t="shared" si="45"/>
        <v>0</v>
      </c>
      <c r="I70" s="2">
        <f t="shared" si="44"/>
        <v>0</v>
      </c>
      <c r="J70" s="2">
        <f t="shared" si="44"/>
        <v>0</v>
      </c>
      <c r="K70" s="2">
        <f t="shared" si="44"/>
        <v>0</v>
      </c>
      <c r="L70" s="2">
        <f t="shared" si="44"/>
        <v>0</v>
      </c>
      <c r="M70" s="2">
        <f t="shared" si="44"/>
        <v>0</v>
      </c>
      <c r="N70" s="2">
        <f t="shared" si="44"/>
        <v>0</v>
      </c>
      <c r="O70" s="2">
        <f t="shared" si="44"/>
        <v>0</v>
      </c>
      <c r="P70" s="2">
        <f t="shared" si="44"/>
        <v>0</v>
      </c>
      <c r="Q70" s="2">
        <f t="shared" si="44"/>
        <v>0</v>
      </c>
      <c r="R70" s="2">
        <f t="shared" si="44"/>
        <v>0</v>
      </c>
      <c r="S70" s="2">
        <f t="shared" si="44"/>
        <v>0</v>
      </c>
      <c r="T70" s="6">
        <f t="shared" si="47"/>
        <v>0</v>
      </c>
      <c r="U70" s="24">
        <v>0</v>
      </c>
      <c r="V70" s="23">
        <f t="shared" si="17"/>
        <v>0</v>
      </c>
      <c r="W70" s="2">
        <f t="shared" si="46"/>
        <v>0</v>
      </c>
      <c r="X70" s="2">
        <f t="shared" si="46"/>
        <v>0</v>
      </c>
      <c r="Y70" s="2">
        <f t="shared" si="46"/>
        <v>0</v>
      </c>
      <c r="Z70" s="2">
        <f t="shared" si="46"/>
        <v>0</v>
      </c>
      <c r="AA70" s="2">
        <f t="shared" si="46"/>
        <v>0</v>
      </c>
      <c r="AB70" s="2">
        <f t="shared" si="46"/>
        <v>0</v>
      </c>
      <c r="AC70" s="2">
        <f t="shared" si="46"/>
        <v>0</v>
      </c>
      <c r="AD70" s="2">
        <f t="shared" si="46"/>
        <v>0</v>
      </c>
      <c r="AE70" s="2">
        <f t="shared" si="46"/>
        <v>0</v>
      </c>
      <c r="AF70" s="2">
        <f t="shared" si="46"/>
        <v>0</v>
      </c>
      <c r="AG70" s="2">
        <f t="shared" si="46"/>
        <v>0</v>
      </c>
      <c r="AH70" s="2">
        <f t="shared" si="46"/>
        <v>0</v>
      </c>
      <c r="AI70" s="6">
        <f t="shared" si="48"/>
        <v>0</v>
      </c>
    </row>
    <row r="71" spans="1:35" outlineLevel="1" x14ac:dyDescent="0.25">
      <c r="A71" s="1" t="s">
        <v>74</v>
      </c>
      <c r="B71" s="2">
        <v>-10760.93</v>
      </c>
      <c r="C71" s="8">
        <f t="shared" si="41"/>
        <v>-9.7530470990886279E-4</v>
      </c>
      <c r="D71" s="2">
        <v>-34951.86</v>
      </c>
      <c r="E71" s="8">
        <f t="shared" si="42"/>
        <v>-4.155624983865857E-3</v>
      </c>
      <c r="F71" s="24">
        <f>+D71*1.07</f>
        <v>-37398.4902</v>
      </c>
      <c r="G71" s="8">
        <f t="shared" si="43"/>
        <v>-4.4465187327364661E-3</v>
      </c>
      <c r="H71" s="2">
        <f t="shared" si="45"/>
        <v>-3116.5408499999999</v>
      </c>
      <c r="I71" s="2">
        <f t="shared" si="44"/>
        <v>-3116.5408499999999</v>
      </c>
      <c r="J71" s="2">
        <f t="shared" si="44"/>
        <v>-3116.5408499999999</v>
      </c>
      <c r="K71" s="2">
        <f t="shared" si="44"/>
        <v>-3116.5408499999999</v>
      </c>
      <c r="L71" s="2">
        <f t="shared" si="44"/>
        <v>-3116.5408499999999</v>
      </c>
      <c r="M71" s="2">
        <f t="shared" si="44"/>
        <v>-3116.5408499999999</v>
      </c>
      <c r="N71" s="2">
        <f t="shared" si="44"/>
        <v>-3116.5408499999999</v>
      </c>
      <c r="O71" s="2">
        <f t="shared" si="44"/>
        <v>-3116.5408499999999</v>
      </c>
      <c r="P71" s="2">
        <f t="shared" si="44"/>
        <v>-3116.5408499999999</v>
      </c>
      <c r="Q71" s="2">
        <f t="shared" si="44"/>
        <v>-3116.5408499999999</v>
      </c>
      <c r="R71" s="2">
        <f t="shared" si="44"/>
        <v>-3116.5408499999999</v>
      </c>
      <c r="S71" s="2">
        <f t="shared" si="44"/>
        <v>-3116.5408499999999</v>
      </c>
      <c r="T71" s="6">
        <f t="shared" si="47"/>
        <v>-37398.4902</v>
      </c>
      <c r="U71" s="24">
        <v>0</v>
      </c>
      <c r="V71" s="23">
        <f t="shared" si="17"/>
        <v>0</v>
      </c>
      <c r="W71" s="2">
        <f t="shared" si="46"/>
        <v>0</v>
      </c>
      <c r="X71" s="2">
        <f t="shared" si="46"/>
        <v>0</v>
      </c>
      <c r="Y71" s="2">
        <f t="shared" si="46"/>
        <v>0</v>
      </c>
      <c r="Z71" s="2">
        <f t="shared" si="46"/>
        <v>0</v>
      </c>
      <c r="AA71" s="2">
        <f t="shared" si="46"/>
        <v>0</v>
      </c>
      <c r="AB71" s="2">
        <f t="shared" si="46"/>
        <v>0</v>
      </c>
      <c r="AC71" s="2">
        <f t="shared" si="46"/>
        <v>0</v>
      </c>
      <c r="AD71" s="2">
        <f t="shared" si="46"/>
        <v>0</v>
      </c>
      <c r="AE71" s="2">
        <f t="shared" si="46"/>
        <v>0</v>
      </c>
      <c r="AF71" s="2">
        <f t="shared" si="46"/>
        <v>0</v>
      </c>
      <c r="AG71" s="2">
        <f t="shared" si="46"/>
        <v>0</v>
      </c>
      <c r="AH71" s="2">
        <f t="shared" si="46"/>
        <v>0</v>
      </c>
      <c r="AI71" s="6">
        <f t="shared" si="48"/>
        <v>0</v>
      </c>
    </row>
    <row r="72" spans="1:35" outlineLevel="1" x14ac:dyDescent="0.25">
      <c r="A72" s="1" t="s">
        <v>75</v>
      </c>
      <c r="B72" s="2">
        <v>-7574.5</v>
      </c>
      <c r="C72" s="8">
        <f t="shared" si="41"/>
        <v>-6.8650623368098117E-4</v>
      </c>
      <c r="D72" s="2">
        <v>-29838.76</v>
      </c>
      <c r="E72" s="8">
        <f t="shared" si="42"/>
        <v>-3.5476995085119119E-3</v>
      </c>
      <c r="F72" s="24">
        <f>+D72</f>
        <v>-29838.76</v>
      </c>
      <c r="G72" s="8">
        <f t="shared" si="43"/>
        <v>-3.5476995085119119E-3</v>
      </c>
      <c r="H72" s="2">
        <f t="shared" si="45"/>
        <v>-2486.563333333333</v>
      </c>
      <c r="I72" s="2">
        <f t="shared" si="44"/>
        <v>-2486.563333333333</v>
      </c>
      <c r="J72" s="2">
        <f t="shared" si="44"/>
        <v>-2486.563333333333</v>
      </c>
      <c r="K72" s="2">
        <f t="shared" si="44"/>
        <v>-2486.563333333333</v>
      </c>
      <c r="L72" s="2">
        <f t="shared" si="44"/>
        <v>-2486.563333333333</v>
      </c>
      <c r="M72" s="2">
        <f t="shared" si="44"/>
        <v>-2486.563333333333</v>
      </c>
      <c r="N72" s="2">
        <f t="shared" si="44"/>
        <v>-2486.563333333333</v>
      </c>
      <c r="O72" s="2">
        <f t="shared" si="44"/>
        <v>-2486.563333333333</v>
      </c>
      <c r="P72" s="2">
        <f t="shared" si="44"/>
        <v>-2486.563333333333</v>
      </c>
      <c r="Q72" s="2">
        <f t="shared" si="44"/>
        <v>-2486.563333333333</v>
      </c>
      <c r="R72" s="2">
        <f t="shared" si="44"/>
        <v>-2486.563333333333</v>
      </c>
      <c r="S72" s="2">
        <f t="shared" si="44"/>
        <v>-2486.563333333333</v>
      </c>
      <c r="T72" s="6">
        <f t="shared" si="47"/>
        <v>-29838.759999999991</v>
      </c>
      <c r="U72" s="24">
        <v>0</v>
      </c>
      <c r="V72" s="23">
        <f t="shared" si="17"/>
        <v>0</v>
      </c>
      <c r="W72" s="2">
        <f t="shared" si="46"/>
        <v>0</v>
      </c>
      <c r="X72" s="2">
        <f t="shared" si="46"/>
        <v>0</v>
      </c>
      <c r="Y72" s="2">
        <f t="shared" si="46"/>
        <v>0</v>
      </c>
      <c r="Z72" s="2">
        <f t="shared" si="46"/>
        <v>0</v>
      </c>
      <c r="AA72" s="2">
        <f t="shared" si="46"/>
        <v>0</v>
      </c>
      <c r="AB72" s="2">
        <f t="shared" si="46"/>
        <v>0</v>
      </c>
      <c r="AC72" s="2">
        <f t="shared" si="46"/>
        <v>0</v>
      </c>
      <c r="AD72" s="2">
        <f t="shared" si="46"/>
        <v>0</v>
      </c>
      <c r="AE72" s="2">
        <f t="shared" si="46"/>
        <v>0</v>
      </c>
      <c r="AF72" s="2">
        <f t="shared" si="46"/>
        <v>0</v>
      </c>
      <c r="AG72" s="2">
        <f t="shared" si="46"/>
        <v>0</v>
      </c>
      <c r="AH72" s="2">
        <f t="shared" si="46"/>
        <v>0</v>
      </c>
      <c r="AI72" s="6">
        <f t="shared" si="48"/>
        <v>0</v>
      </c>
    </row>
    <row r="73" spans="1:35" outlineLevel="1" x14ac:dyDescent="0.25">
      <c r="A73" s="1" t="s">
        <v>76</v>
      </c>
      <c r="B73" s="2">
        <v>-3955.79</v>
      </c>
      <c r="C73" s="8">
        <f t="shared" si="41"/>
        <v>-3.5852854896466945E-4</v>
      </c>
      <c r="D73" s="2">
        <v>-11935.78</v>
      </c>
      <c r="E73" s="8">
        <f t="shared" si="42"/>
        <v>-1.4191126186110386E-3</v>
      </c>
      <c r="F73" s="24">
        <f>+D73*1.03</f>
        <v>-12293.853400000002</v>
      </c>
      <c r="G73" s="8">
        <f t="shared" si="43"/>
        <v>-1.46168599716937E-3</v>
      </c>
      <c r="H73" s="2">
        <f t="shared" si="45"/>
        <v>-1024.4877833333335</v>
      </c>
      <c r="I73" s="2">
        <f t="shared" si="44"/>
        <v>-1024.4877833333335</v>
      </c>
      <c r="J73" s="2">
        <f t="shared" si="44"/>
        <v>-1024.4877833333335</v>
      </c>
      <c r="K73" s="2">
        <f t="shared" si="44"/>
        <v>-1024.4877833333335</v>
      </c>
      <c r="L73" s="2">
        <f t="shared" si="44"/>
        <v>-1024.4877833333335</v>
      </c>
      <c r="M73" s="2">
        <f t="shared" si="44"/>
        <v>-1024.4877833333335</v>
      </c>
      <c r="N73" s="2">
        <f t="shared" si="44"/>
        <v>-1024.4877833333335</v>
      </c>
      <c r="O73" s="2">
        <f t="shared" si="44"/>
        <v>-1024.4877833333335</v>
      </c>
      <c r="P73" s="2">
        <f t="shared" si="44"/>
        <v>-1024.4877833333335</v>
      </c>
      <c r="Q73" s="2">
        <f t="shared" si="44"/>
        <v>-1024.4877833333335</v>
      </c>
      <c r="R73" s="2">
        <f t="shared" si="44"/>
        <v>-1024.4877833333335</v>
      </c>
      <c r="S73" s="2">
        <f t="shared" si="44"/>
        <v>-1024.4877833333335</v>
      </c>
      <c r="T73" s="6">
        <f t="shared" si="47"/>
        <v>-12293.853400000005</v>
      </c>
      <c r="U73" s="24">
        <v>0</v>
      </c>
      <c r="V73" s="23">
        <f t="shared" si="17"/>
        <v>0</v>
      </c>
      <c r="W73" s="2">
        <f t="shared" si="46"/>
        <v>0</v>
      </c>
      <c r="X73" s="2">
        <f t="shared" si="46"/>
        <v>0</v>
      </c>
      <c r="Y73" s="2">
        <f t="shared" si="46"/>
        <v>0</v>
      </c>
      <c r="Z73" s="2">
        <f t="shared" si="46"/>
        <v>0</v>
      </c>
      <c r="AA73" s="2">
        <f t="shared" si="46"/>
        <v>0</v>
      </c>
      <c r="AB73" s="2">
        <f t="shared" si="46"/>
        <v>0</v>
      </c>
      <c r="AC73" s="2">
        <f t="shared" si="46"/>
        <v>0</v>
      </c>
      <c r="AD73" s="2">
        <f t="shared" si="46"/>
        <v>0</v>
      </c>
      <c r="AE73" s="2">
        <f t="shared" si="46"/>
        <v>0</v>
      </c>
      <c r="AF73" s="2">
        <f t="shared" si="46"/>
        <v>0</v>
      </c>
      <c r="AG73" s="2">
        <f t="shared" si="46"/>
        <v>0</v>
      </c>
      <c r="AH73" s="2">
        <f t="shared" si="46"/>
        <v>0</v>
      </c>
      <c r="AI73" s="6">
        <f t="shared" si="48"/>
        <v>0</v>
      </c>
    </row>
    <row r="74" spans="1:35" outlineLevel="1" x14ac:dyDescent="0.25">
      <c r="A74" s="1" t="s">
        <v>77</v>
      </c>
      <c r="B74" s="2">
        <v>-1881.62</v>
      </c>
      <c r="C74" s="8">
        <f t="shared" si="41"/>
        <v>-1.7053849883408908E-4</v>
      </c>
      <c r="D74" s="2">
        <v>-1963.57</v>
      </c>
      <c r="E74" s="8">
        <f t="shared" si="42"/>
        <v>-2.3345998037213126E-4</v>
      </c>
      <c r="F74" s="24">
        <f>+D74*1.03</f>
        <v>-2022.4771000000001</v>
      </c>
      <c r="G74" s="8">
        <f t="shared" si="43"/>
        <v>-2.404637797832952E-4</v>
      </c>
      <c r="H74" s="2">
        <f t="shared" si="45"/>
        <v>-168.53975833333334</v>
      </c>
      <c r="I74" s="2">
        <f t="shared" si="44"/>
        <v>-168.53975833333334</v>
      </c>
      <c r="J74" s="2">
        <f t="shared" si="44"/>
        <v>-168.53975833333334</v>
      </c>
      <c r="K74" s="2">
        <f t="shared" si="44"/>
        <v>-168.53975833333334</v>
      </c>
      <c r="L74" s="2">
        <f t="shared" si="44"/>
        <v>-168.53975833333334</v>
      </c>
      <c r="M74" s="2">
        <f t="shared" si="44"/>
        <v>-168.53975833333334</v>
      </c>
      <c r="N74" s="2">
        <f t="shared" si="44"/>
        <v>-168.53975833333334</v>
      </c>
      <c r="O74" s="2">
        <f t="shared" si="44"/>
        <v>-168.53975833333334</v>
      </c>
      <c r="P74" s="2">
        <f t="shared" si="44"/>
        <v>-168.53975833333334</v>
      </c>
      <c r="Q74" s="2">
        <f t="shared" si="44"/>
        <v>-168.53975833333334</v>
      </c>
      <c r="R74" s="2">
        <f t="shared" si="44"/>
        <v>-168.53975833333334</v>
      </c>
      <c r="S74" s="2">
        <f t="shared" si="44"/>
        <v>-168.53975833333334</v>
      </c>
      <c r="T74" s="6">
        <f t="shared" si="47"/>
        <v>-2022.4771000000001</v>
      </c>
      <c r="U74" s="24">
        <v>0</v>
      </c>
      <c r="V74" s="23">
        <f t="shared" si="17"/>
        <v>0</v>
      </c>
      <c r="W74" s="2">
        <f t="shared" si="46"/>
        <v>0</v>
      </c>
      <c r="X74" s="2">
        <f t="shared" si="46"/>
        <v>0</v>
      </c>
      <c r="Y74" s="2">
        <f t="shared" si="46"/>
        <v>0</v>
      </c>
      <c r="Z74" s="2">
        <f t="shared" si="46"/>
        <v>0</v>
      </c>
      <c r="AA74" s="2">
        <f t="shared" si="46"/>
        <v>0</v>
      </c>
      <c r="AB74" s="2">
        <f t="shared" si="46"/>
        <v>0</v>
      </c>
      <c r="AC74" s="2">
        <f t="shared" si="46"/>
        <v>0</v>
      </c>
      <c r="AD74" s="2">
        <f t="shared" si="46"/>
        <v>0</v>
      </c>
      <c r="AE74" s="2">
        <f t="shared" si="46"/>
        <v>0</v>
      </c>
      <c r="AF74" s="2">
        <f t="shared" si="46"/>
        <v>0</v>
      </c>
      <c r="AG74" s="2">
        <f t="shared" si="46"/>
        <v>0</v>
      </c>
      <c r="AH74" s="2">
        <f t="shared" si="46"/>
        <v>0</v>
      </c>
      <c r="AI74" s="6">
        <f t="shared" si="48"/>
        <v>0</v>
      </c>
    </row>
    <row r="75" spans="1:35" outlineLevel="1" x14ac:dyDescent="0.25">
      <c r="A75" s="1" t="s">
        <v>78</v>
      </c>
      <c r="B75" s="2">
        <v>-829.9</v>
      </c>
      <c r="C75" s="8">
        <f t="shared" si="41"/>
        <v>-7.5217047109623909E-5</v>
      </c>
      <c r="D75" s="2">
        <v>-558.91999999999996</v>
      </c>
      <c r="E75" s="8">
        <f t="shared" si="42"/>
        <v>-6.6453170617595297E-5</v>
      </c>
      <c r="F75" s="24">
        <f>+D75*1.03</f>
        <v>-575.68759999999997</v>
      </c>
      <c r="G75" s="8">
        <f t="shared" si="43"/>
        <v>-6.8446765736123152E-5</v>
      </c>
      <c r="H75" s="2">
        <f t="shared" si="45"/>
        <v>-47.973966666666662</v>
      </c>
      <c r="I75" s="2">
        <f t="shared" si="44"/>
        <v>-47.973966666666662</v>
      </c>
      <c r="J75" s="2">
        <f t="shared" si="44"/>
        <v>-47.973966666666662</v>
      </c>
      <c r="K75" s="2">
        <f t="shared" si="44"/>
        <v>-47.973966666666662</v>
      </c>
      <c r="L75" s="2">
        <f t="shared" si="44"/>
        <v>-47.973966666666662</v>
      </c>
      <c r="M75" s="2">
        <f t="shared" si="44"/>
        <v>-47.973966666666662</v>
      </c>
      <c r="N75" s="2">
        <f t="shared" si="44"/>
        <v>-47.973966666666662</v>
      </c>
      <c r="O75" s="2">
        <f t="shared" si="44"/>
        <v>-47.973966666666662</v>
      </c>
      <c r="P75" s="2">
        <f t="shared" si="44"/>
        <v>-47.973966666666662</v>
      </c>
      <c r="Q75" s="2">
        <f t="shared" si="44"/>
        <v>-47.973966666666662</v>
      </c>
      <c r="R75" s="2">
        <f t="shared" si="44"/>
        <v>-47.973966666666662</v>
      </c>
      <c r="S75" s="2">
        <f t="shared" si="44"/>
        <v>-47.973966666666662</v>
      </c>
      <c r="T75" s="6">
        <f t="shared" si="47"/>
        <v>-575.68760000000009</v>
      </c>
      <c r="U75" s="24">
        <v>0</v>
      </c>
      <c r="V75" s="23">
        <f t="shared" si="17"/>
        <v>0</v>
      </c>
      <c r="W75" s="2">
        <f t="shared" si="46"/>
        <v>0</v>
      </c>
      <c r="X75" s="2">
        <f t="shared" si="46"/>
        <v>0</v>
      </c>
      <c r="Y75" s="2">
        <f t="shared" si="46"/>
        <v>0</v>
      </c>
      <c r="Z75" s="2">
        <f t="shared" si="46"/>
        <v>0</v>
      </c>
      <c r="AA75" s="2">
        <f t="shared" si="46"/>
        <v>0</v>
      </c>
      <c r="AB75" s="2">
        <f t="shared" si="46"/>
        <v>0</v>
      </c>
      <c r="AC75" s="2">
        <f t="shared" si="46"/>
        <v>0</v>
      </c>
      <c r="AD75" s="2">
        <f t="shared" si="46"/>
        <v>0</v>
      </c>
      <c r="AE75" s="2">
        <f t="shared" si="46"/>
        <v>0</v>
      </c>
      <c r="AF75" s="2">
        <f t="shared" si="46"/>
        <v>0</v>
      </c>
      <c r="AG75" s="2">
        <f t="shared" si="46"/>
        <v>0</v>
      </c>
      <c r="AH75" s="2">
        <f t="shared" si="46"/>
        <v>0</v>
      </c>
      <c r="AI75" s="6">
        <f t="shared" si="48"/>
        <v>0</v>
      </c>
    </row>
    <row r="76" spans="1:35" outlineLevel="1" x14ac:dyDescent="0.25">
      <c r="A76" s="1" t="s">
        <v>79</v>
      </c>
      <c r="B76" s="2">
        <v>-3978.91</v>
      </c>
      <c r="C76" s="8">
        <f t="shared" si="41"/>
        <v>-3.6062400399440131E-4</v>
      </c>
      <c r="D76" s="2">
        <v>-3520.94</v>
      </c>
      <c r="E76" s="8">
        <f t="shared" si="42"/>
        <v>-4.1862453759807487E-4</v>
      </c>
      <c r="F76" s="24">
        <f>+D76*1.03</f>
        <v>-3626.5682000000002</v>
      </c>
      <c r="G76" s="8">
        <f t="shared" si="43"/>
        <v>-4.3118327372601714E-4</v>
      </c>
      <c r="H76" s="2">
        <f t="shared" si="45"/>
        <v>-302.21401666666668</v>
      </c>
      <c r="I76" s="2">
        <f t="shared" si="44"/>
        <v>-302.21401666666668</v>
      </c>
      <c r="J76" s="2">
        <f t="shared" si="44"/>
        <v>-302.21401666666668</v>
      </c>
      <c r="K76" s="2">
        <f t="shared" si="44"/>
        <v>-302.21401666666668</v>
      </c>
      <c r="L76" s="2">
        <f t="shared" si="44"/>
        <v>-302.21401666666668</v>
      </c>
      <c r="M76" s="2">
        <f t="shared" si="44"/>
        <v>-302.21401666666668</v>
      </c>
      <c r="N76" s="2">
        <f t="shared" si="44"/>
        <v>-302.21401666666668</v>
      </c>
      <c r="O76" s="2">
        <f t="shared" si="44"/>
        <v>-302.21401666666668</v>
      </c>
      <c r="P76" s="2">
        <f t="shared" si="44"/>
        <v>-302.21401666666668</v>
      </c>
      <c r="Q76" s="2">
        <f t="shared" si="44"/>
        <v>-302.21401666666668</v>
      </c>
      <c r="R76" s="2">
        <f t="shared" si="44"/>
        <v>-302.21401666666668</v>
      </c>
      <c r="S76" s="2">
        <f t="shared" si="44"/>
        <v>-302.21401666666668</v>
      </c>
      <c r="T76" s="6">
        <f t="shared" si="47"/>
        <v>-3626.5682000000011</v>
      </c>
      <c r="U76" s="24">
        <v>0</v>
      </c>
      <c r="V76" s="23">
        <f t="shared" si="17"/>
        <v>0</v>
      </c>
      <c r="W76" s="2">
        <f t="shared" si="46"/>
        <v>0</v>
      </c>
      <c r="X76" s="2">
        <f t="shared" si="46"/>
        <v>0</v>
      </c>
      <c r="Y76" s="2">
        <f t="shared" si="46"/>
        <v>0</v>
      </c>
      <c r="Z76" s="2">
        <f t="shared" si="46"/>
        <v>0</v>
      </c>
      <c r="AA76" s="2">
        <f t="shared" si="46"/>
        <v>0</v>
      </c>
      <c r="AB76" s="2">
        <f t="shared" si="46"/>
        <v>0</v>
      </c>
      <c r="AC76" s="2">
        <f t="shared" si="46"/>
        <v>0</v>
      </c>
      <c r="AD76" s="2">
        <f t="shared" si="46"/>
        <v>0</v>
      </c>
      <c r="AE76" s="2">
        <f t="shared" si="46"/>
        <v>0</v>
      </c>
      <c r="AF76" s="2">
        <f t="shared" si="46"/>
        <v>0</v>
      </c>
      <c r="AG76" s="2">
        <f t="shared" si="46"/>
        <v>0</v>
      </c>
      <c r="AH76" s="2">
        <f t="shared" si="46"/>
        <v>0</v>
      </c>
      <c r="AI76" s="6">
        <f t="shared" si="48"/>
        <v>0</v>
      </c>
    </row>
    <row r="77" spans="1:35" outlineLevel="1" x14ac:dyDescent="0.25">
      <c r="A77" s="1" t="s">
        <v>80</v>
      </c>
      <c r="B77" s="2">
        <v>-54354.83</v>
      </c>
      <c r="C77" s="8">
        <f t="shared" si="41"/>
        <v>-4.9263884910779598E-3</v>
      </c>
      <c r="D77" s="2">
        <v>-20761.580000000002</v>
      </c>
      <c r="E77" s="8">
        <f t="shared" si="42"/>
        <v>-2.4684620661827353E-3</v>
      </c>
      <c r="F77" s="24">
        <f>+D77*1.03</f>
        <v>-21384.427400000004</v>
      </c>
      <c r="G77" s="8">
        <f t="shared" si="43"/>
        <v>-2.5425159281682176E-3</v>
      </c>
      <c r="H77" s="2">
        <f t="shared" si="45"/>
        <v>-1782.035616666667</v>
      </c>
      <c r="I77" s="2">
        <f t="shared" si="44"/>
        <v>-1782.035616666667</v>
      </c>
      <c r="J77" s="2">
        <f t="shared" si="44"/>
        <v>-1782.035616666667</v>
      </c>
      <c r="K77" s="2">
        <f t="shared" si="44"/>
        <v>-1782.035616666667</v>
      </c>
      <c r="L77" s="2">
        <f t="shared" si="44"/>
        <v>-1782.035616666667</v>
      </c>
      <c r="M77" s="2">
        <f t="shared" si="44"/>
        <v>-1782.035616666667</v>
      </c>
      <c r="N77" s="2">
        <f t="shared" si="44"/>
        <v>-1782.035616666667</v>
      </c>
      <c r="O77" s="2">
        <f t="shared" si="44"/>
        <v>-1782.035616666667</v>
      </c>
      <c r="P77" s="2">
        <f t="shared" si="44"/>
        <v>-1782.035616666667</v>
      </c>
      <c r="Q77" s="2">
        <f t="shared" si="44"/>
        <v>-1782.035616666667</v>
      </c>
      <c r="R77" s="2">
        <f t="shared" si="44"/>
        <v>-1782.035616666667</v>
      </c>
      <c r="S77" s="2">
        <f t="shared" si="44"/>
        <v>-1782.035616666667</v>
      </c>
      <c r="T77" s="6">
        <f t="shared" si="47"/>
        <v>-21384.427400000011</v>
      </c>
      <c r="U77" s="24">
        <v>0</v>
      </c>
      <c r="V77" s="23">
        <f t="shared" si="17"/>
        <v>0</v>
      </c>
      <c r="W77" s="2">
        <f t="shared" si="46"/>
        <v>0</v>
      </c>
      <c r="X77" s="2">
        <f t="shared" si="46"/>
        <v>0</v>
      </c>
      <c r="Y77" s="2">
        <f t="shared" si="46"/>
        <v>0</v>
      </c>
      <c r="Z77" s="2">
        <f t="shared" si="46"/>
        <v>0</v>
      </c>
      <c r="AA77" s="2">
        <f t="shared" si="46"/>
        <v>0</v>
      </c>
      <c r="AB77" s="2">
        <f t="shared" si="46"/>
        <v>0</v>
      </c>
      <c r="AC77" s="2">
        <f t="shared" si="46"/>
        <v>0</v>
      </c>
      <c r="AD77" s="2">
        <f t="shared" si="46"/>
        <v>0</v>
      </c>
      <c r="AE77" s="2">
        <f t="shared" si="46"/>
        <v>0</v>
      </c>
      <c r="AF77" s="2">
        <f t="shared" si="46"/>
        <v>0</v>
      </c>
      <c r="AG77" s="2">
        <f t="shared" si="46"/>
        <v>0</v>
      </c>
      <c r="AH77" s="2">
        <f t="shared" si="46"/>
        <v>0</v>
      </c>
      <c r="AI77" s="6">
        <f t="shared" si="48"/>
        <v>0</v>
      </c>
    </row>
    <row r="78" spans="1:35" outlineLevel="1" x14ac:dyDescent="0.25">
      <c r="A78" s="10" t="s">
        <v>81</v>
      </c>
      <c r="C78" s="8"/>
      <c r="E78" s="8"/>
      <c r="F78" s="24">
        <f>+D78*1.1</f>
        <v>0</v>
      </c>
      <c r="G78" s="8"/>
      <c r="H78" s="2">
        <f t="shared" si="45"/>
        <v>0</v>
      </c>
      <c r="I78" s="2">
        <f t="shared" ref="I78:S93" si="49">+$F78/12</f>
        <v>0</v>
      </c>
      <c r="J78" s="2">
        <f t="shared" si="49"/>
        <v>0</v>
      </c>
      <c r="K78" s="2">
        <f t="shared" si="49"/>
        <v>0</v>
      </c>
      <c r="L78" s="2">
        <f t="shared" si="49"/>
        <v>0</v>
      </c>
      <c r="M78" s="2">
        <f t="shared" si="49"/>
        <v>0</v>
      </c>
      <c r="N78" s="2">
        <f t="shared" si="49"/>
        <v>0</v>
      </c>
      <c r="O78" s="2">
        <f t="shared" si="49"/>
        <v>0</v>
      </c>
      <c r="P78" s="2">
        <f t="shared" si="49"/>
        <v>0</v>
      </c>
      <c r="Q78" s="2">
        <f t="shared" si="49"/>
        <v>0</v>
      </c>
      <c r="R78" s="2">
        <f t="shared" si="49"/>
        <v>0</v>
      </c>
      <c r="S78" s="2">
        <f t="shared" si="49"/>
        <v>0</v>
      </c>
      <c r="T78" s="6">
        <f t="shared" si="47"/>
        <v>0</v>
      </c>
      <c r="U78" s="24">
        <v>0</v>
      </c>
      <c r="V78" s="23">
        <f t="shared" ref="V78:V141" si="50">+U78/$U$2</f>
        <v>0</v>
      </c>
      <c r="W78" s="2">
        <f t="shared" si="46"/>
        <v>0</v>
      </c>
      <c r="X78" s="2">
        <f t="shared" si="46"/>
        <v>0</v>
      </c>
      <c r="Y78" s="2">
        <f t="shared" si="46"/>
        <v>0</v>
      </c>
      <c r="Z78" s="2">
        <f t="shared" si="46"/>
        <v>0</v>
      </c>
      <c r="AA78" s="2">
        <f t="shared" si="46"/>
        <v>0</v>
      </c>
      <c r="AB78" s="2">
        <f t="shared" si="46"/>
        <v>0</v>
      </c>
      <c r="AC78" s="2">
        <f t="shared" si="46"/>
        <v>0</v>
      </c>
      <c r="AD78" s="2">
        <f t="shared" si="46"/>
        <v>0</v>
      </c>
      <c r="AE78" s="2">
        <f t="shared" si="46"/>
        <v>0</v>
      </c>
      <c r="AF78" s="2">
        <f t="shared" si="46"/>
        <v>0</v>
      </c>
      <c r="AG78" s="2">
        <f t="shared" si="46"/>
        <v>0</v>
      </c>
      <c r="AH78" s="2">
        <f t="shared" si="46"/>
        <v>0</v>
      </c>
      <c r="AI78" s="6">
        <f t="shared" si="48"/>
        <v>0</v>
      </c>
    </row>
    <row r="79" spans="1:35" outlineLevel="1" x14ac:dyDescent="0.25">
      <c r="A79" s="1" t="s">
        <v>82</v>
      </c>
      <c r="B79" s="2">
        <v>-1187.83</v>
      </c>
      <c r="C79" s="8">
        <f t="shared" ref="C79:C88" si="51">+B79/$B$2</f>
        <v>-1.0765762750719913E-4</v>
      </c>
      <c r="D79" s="2">
        <v>-305.55</v>
      </c>
      <c r="E79" s="8">
        <f t="shared" ref="E79:E88" si="52">+D79/$D$2</f>
        <v>-3.6328573467054756E-5</v>
      </c>
      <c r="F79" s="24">
        <f>+D79*1.1</f>
        <v>-336.10500000000002</v>
      </c>
      <c r="G79" s="8">
        <f t="shared" ref="G79:G88" si="53">+F79/$D$2</f>
        <v>-3.9961430813760235E-5</v>
      </c>
      <c r="H79" s="2">
        <f t="shared" si="45"/>
        <v>-28.008750000000003</v>
      </c>
      <c r="I79" s="2">
        <f t="shared" si="49"/>
        <v>-28.008750000000003</v>
      </c>
      <c r="J79" s="2">
        <f t="shared" si="49"/>
        <v>-28.008750000000003</v>
      </c>
      <c r="K79" s="2">
        <f t="shared" si="49"/>
        <v>-28.008750000000003</v>
      </c>
      <c r="L79" s="2">
        <f t="shared" si="49"/>
        <v>-28.008750000000003</v>
      </c>
      <c r="M79" s="2">
        <f t="shared" si="49"/>
        <v>-28.008750000000003</v>
      </c>
      <c r="N79" s="2">
        <f t="shared" si="49"/>
        <v>-28.008750000000003</v>
      </c>
      <c r="O79" s="2">
        <f t="shared" si="49"/>
        <v>-28.008750000000003</v>
      </c>
      <c r="P79" s="2">
        <f t="shared" si="49"/>
        <v>-28.008750000000003</v>
      </c>
      <c r="Q79" s="2">
        <f t="shared" si="49"/>
        <v>-28.008750000000003</v>
      </c>
      <c r="R79" s="2">
        <f t="shared" si="49"/>
        <v>-28.008750000000003</v>
      </c>
      <c r="S79" s="2">
        <f t="shared" si="49"/>
        <v>-28.008750000000003</v>
      </c>
      <c r="T79" s="6">
        <f t="shared" si="47"/>
        <v>-336.10500000000002</v>
      </c>
      <c r="U79" s="24">
        <v>0</v>
      </c>
      <c r="V79" s="23">
        <f t="shared" si="50"/>
        <v>0</v>
      </c>
      <c r="W79" s="2">
        <f t="shared" si="46"/>
        <v>0</v>
      </c>
      <c r="X79" s="2">
        <f t="shared" si="46"/>
        <v>0</v>
      </c>
      <c r="Y79" s="2">
        <f t="shared" si="46"/>
        <v>0</v>
      </c>
      <c r="Z79" s="2">
        <f t="shared" si="46"/>
        <v>0</v>
      </c>
      <c r="AA79" s="2">
        <f t="shared" si="46"/>
        <v>0</v>
      </c>
      <c r="AB79" s="2">
        <f t="shared" si="46"/>
        <v>0</v>
      </c>
      <c r="AC79" s="2">
        <f t="shared" si="46"/>
        <v>0</v>
      </c>
      <c r="AD79" s="2">
        <f t="shared" si="46"/>
        <v>0</v>
      </c>
      <c r="AE79" s="2">
        <f t="shared" si="46"/>
        <v>0</v>
      </c>
      <c r="AF79" s="2">
        <f t="shared" si="46"/>
        <v>0</v>
      </c>
      <c r="AG79" s="2">
        <f t="shared" si="46"/>
        <v>0</v>
      </c>
      <c r="AH79" s="2">
        <f t="shared" si="46"/>
        <v>0</v>
      </c>
      <c r="AI79" s="6">
        <f t="shared" si="48"/>
        <v>0</v>
      </c>
    </row>
    <row r="80" spans="1:35" outlineLevel="1" x14ac:dyDescent="0.25">
      <c r="A80" s="1" t="s">
        <v>83</v>
      </c>
      <c r="B80" s="2">
        <v>-258.04000000000002</v>
      </c>
      <c r="C80" s="8">
        <f t="shared" si="51"/>
        <v>-2.3387163316263834E-5</v>
      </c>
      <c r="D80" s="2">
        <v>-1708.12</v>
      </c>
      <c r="E80" s="8">
        <f t="shared" si="52"/>
        <v>-2.0308808021778945E-4</v>
      </c>
      <c r="F80" s="24">
        <f>+D80*1.1</f>
        <v>-1878.932</v>
      </c>
      <c r="G80" s="8">
        <f t="shared" si="53"/>
        <v>-2.233968882395684E-4</v>
      </c>
      <c r="H80" s="2">
        <f t="shared" si="45"/>
        <v>-156.57766666666666</v>
      </c>
      <c r="I80" s="2">
        <f t="shared" si="49"/>
        <v>-156.57766666666666</v>
      </c>
      <c r="J80" s="2">
        <f t="shared" si="49"/>
        <v>-156.57766666666666</v>
      </c>
      <c r="K80" s="2">
        <f t="shared" si="49"/>
        <v>-156.57766666666666</v>
      </c>
      <c r="L80" s="2">
        <f t="shared" si="49"/>
        <v>-156.57766666666666</v>
      </c>
      <c r="M80" s="2">
        <f t="shared" si="49"/>
        <v>-156.57766666666666</v>
      </c>
      <c r="N80" s="2">
        <f t="shared" si="49"/>
        <v>-156.57766666666666</v>
      </c>
      <c r="O80" s="2">
        <f t="shared" si="49"/>
        <v>-156.57766666666666</v>
      </c>
      <c r="P80" s="2">
        <f t="shared" si="49"/>
        <v>-156.57766666666666</v>
      </c>
      <c r="Q80" s="2">
        <f t="shared" si="49"/>
        <v>-156.57766666666666</v>
      </c>
      <c r="R80" s="2">
        <f t="shared" si="49"/>
        <v>-156.57766666666666</v>
      </c>
      <c r="S80" s="2">
        <f t="shared" si="49"/>
        <v>-156.57766666666666</v>
      </c>
      <c r="T80" s="6">
        <f t="shared" si="47"/>
        <v>-1878.9319999999996</v>
      </c>
      <c r="U80" s="24">
        <v>0</v>
      </c>
      <c r="V80" s="23">
        <f t="shared" si="50"/>
        <v>0</v>
      </c>
      <c r="W80" s="2">
        <f t="shared" si="46"/>
        <v>0</v>
      </c>
      <c r="X80" s="2">
        <f t="shared" si="46"/>
        <v>0</v>
      </c>
      <c r="Y80" s="2">
        <f t="shared" si="46"/>
        <v>0</v>
      </c>
      <c r="Z80" s="2">
        <f t="shared" si="46"/>
        <v>0</v>
      </c>
      <c r="AA80" s="2">
        <f t="shared" si="46"/>
        <v>0</v>
      </c>
      <c r="AB80" s="2">
        <f t="shared" si="46"/>
        <v>0</v>
      </c>
      <c r="AC80" s="2">
        <f t="shared" si="46"/>
        <v>0</v>
      </c>
      <c r="AD80" s="2">
        <f t="shared" si="46"/>
        <v>0</v>
      </c>
      <c r="AE80" s="2">
        <f t="shared" si="46"/>
        <v>0</v>
      </c>
      <c r="AF80" s="2">
        <f t="shared" si="46"/>
        <v>0</v>
      </c>
      <c r="AG80" s="2">
        <f t="shared" si="46"/>
        <v>0</v>
      </c>
      <c r="AH80" s="2">
        <f t="shared" si="46"/>
        <v>0</v>
      </c>
      <c r="AI80" s="6">
        <f t="shared" si="48"/>
        <v>0</v>
      </c>
    </row>
    <row r="81" spans="1:35" outlineLevel="1" x14ac:dyDescent="0.25">
      <c r="A81" s="1" t="s">
        <v>84</v>
      </c>
      <c r="B81" s="2">
        <v>0</v>
      </c>
      <c r="C81" s="8">
        <f t="shared" si="51"/>
        <v>0</v>
      </c>
      <c r="D81" s="2">
        <v>-363.99</v>
      </c>
      <c r="E81" s="8">
        <f t="shared" si="52"/>
        <v>-4.3276836708470829E-5</v>
      </c>
      <c r="F81" s="24">
        <f>+D81*1.1</f>
        <v>-400.38900000000007</v>
      </c>
      <c r="G81" s="8">
        <f t="shared" si="53"/>
        <v>-4.7604520379317918E-5</v>
      </c>
      <c r="H81" s="2">
        <f t="shared" si="45"/>
        <v>-33.365750000000006</v>
      </c>
      <c r="I81" s="2">
        <f t="shared" si="49"/>
        <v>-33.365750000000006</v>
      </c>
      <c r="J81" s="2">
        <f t="shared" si="49"/>
        <v>-33.365750000000006</v>
      </c>
      <c r="K81" s="2">
        <f t="shared" si="49"/>
        <v>-33.365750000000006</v>
      </c>
      <c r="L81" s="2">
        <f t="shared" si="49"/>
        <v>-33.365750000000006</v>
      </c>
      <c r="M81" s="2">
        <f t="shared" si="49"/>
        <v>-33.365750000000006</v>
      </c>
      <c r="N81" s="2">
        <f t="shared" si="49"/>
        <v>-33.365750000000006</v>
      </c>
      <c r="O81" s="2">
        <f t="shared" si="49"/>
        <v>-33.365750000000006</v>
      </c>
      <c r="P81" s="2">
        <f t="shared" si="49"/>
        <v>-33.365750000000006</v>
      </c>
      <c r="Q81" s="2">
        <f t="shared" si="49"/>
        <v>-33.365750000000006</v>
      </c>
      <c r="R81" s="2">
        <f t="shared" si="49"/>
        <v>-33.365750000000006</v>
      </c>
      <c r="S81" s="2">
        <f t="shared" si="49"/>
        <v>-33.365750000000006</v>
      </c>
      <c r="T81" s="6">
        <f t="shared" si="47"/>
        <v>-400.38899999999995</v>
      </c>
      <c r="U81" s="24">
        <v>0</v>
      </c>
      <c r="V81" s="23">
        <f t="shared" si="50"/>
        <v>0</v>
      </c>
      <c r="W81" s="2">
        <f t="shared" si="46"/>
        <v>0</v>
      </c>
      <c r="X81" s="2">
        <f t="shared" si="46"/>
        <v>0</v>
      </c>
      <c r="Y81" s="2">
        <f t="shared" si="46"/>
        <v>0</v>
      </c>
      <c r="Z81" s="2">
        <f t="shared" si="46"/>
        <v>0</v>
      </c>
      <c r="AA81" s="2">
        <f t="shared" si="46"/>
        <v>0</v>
      </c>
      <c r="AB81" s="2">
        <f t="shared" si="46"/>
        <v>0</v>
      </c>
      <c r="AC81" s="2">
        <f t="shared" si="46"/>
        <v>0</v>
      </c>
      <c r="AD81" s="2">
        <f t="shared" si="46"/>
        <v>0</v>
      </c>
      <c r="AE81" s="2">
        <f t="shared" si="46"/>
        <v>0</v>
      </c>
      <c r="AF81" s="2">
        <f t="shared" si="46"/>
        <v>0</v>
      </c>
      <c r="AG81" s="2">
        <f t="shared" si="46"/>
        <v>0</v>
      </c>
      <c r="AH81" s="2">
        <f t="shared" si="46"/>
        <v>0</v>
      </c>
      <c r="AI81" s="6">
        <f t="shared" si="48"/>
        <v>0</v>
      </c>
    </row>
    <row r="82" spans="1:35" outlineLevel="1" x14ac:dyDescent="0.25">
      <c r="A82" s="1" t="s">
        <v>85</v>
      </c>
      <c r="B82" s="2">
        <v>0</v>
      </c>
      <c r="C82" s="8">
        <f t="shared" si="51"/>
        <v>0</v>
      </c>
      <c r="D82" s="2">
        <v>-24003.81</v>
      </c>
      <c r="E82" s="8">
        <f t="shared" si="52"/>
        <v>-2.8539491902281906E-3</v>
      </c>
      <c r="F82" s="24">
        <f>+D82*1.3</f>
        <v>-31204.953000000001</v>
      </c>
      <c r="G82" s="8">
        <f t="shared" si="53"/>
        <v>-3.7101339472966478E-3</v>
      </c>
      <c r="H82" s="2">
        <f t="shared" si="45"/>
        <v>-2600.41275</v>
      </c>
      <c r="I82" s="2">
        <f t="shared" si="49"/>
        <v>-2600.41275</v>
      </c>
      <c r="J82" s="2">
        <f t="shared" si="49"/>
        <v>-2600.41275</v>
      </c>
      <c r="K82" s="2">
        <f t="shared" si="49"/>
        <v>-2600.41275</v>
      </c>
      <c r="L82" s="2">
        <f t="shared" si="49"/>
        <v>-2600.41275</v>
      </c>
      <c r="M82" s="2">
        <f t="shared" si="49"/>
        <v>-2600.41275</v>
      </c>
      <c r="N82" s="2">
        <f t="shared" si="49"/>
        <v>-2600.41275</v>
      </c>
      <c r="O82" s="2">
        <f t="shared" si="49"/>
        <v>-2600.41275</v>
      </c>
      <c r="P82" s="2">
        <f t="shared" si="49"/>
        <v>-2600.41275</v>
      </c>
      <c r="Q82" s="2">
        <f t="shared" si="49"/>
        <v>-2600.41275</v>
      </c>
      <c r="R82" s="2">
        <f t="shared" si="49"/>
        <v>-2600.41275</v>
      </c>
      <c r="S82" s="2">
        <f t="shared" si="49"/>
        <v>-2600.41275</v>
      </c>
      <c r="T82" s="6">
        <f t="shared" si="47"/>
        <v>-31204.952999999998</v>
      </c>
      <c r="U82" s="24">
        <v>0</v>
      </c>
      <c r="V82" s="23">
        <f t="shared" si="50"/>
        <v>0</v>
      </c>
      <c r="W82" s="2">
        <f t="shared" si="46"/>
        <v>0</v>
      </c>
      <c r="X82" s="2">
        <f t="shared" si="46"/>
        <v>0</v>
      </c>
      <c r="Y82" s="2">
        <f t="shared" si="46"/>
        <v>0</v>
      </c>
      <c r="Z82" s="2">
        <f t="shared" si="46"/>
        <v>0</v>
      </c>
      <c r="AA82" s="2">
        <f t="shared" si="46"/>
        <v>0</v>
      </c>
      <c r="AB82" s="2">
        <f t="shared" si="46"/>
        <v>0</v>
      </c>
      <c r="AC82" s="2">
        <f t="shared" si="46"/>
        <v>0</v>
      </c>
      <c r="AD82" s="2">
        <f t="shared" si="46"/>
        <v>0</v>
      </c>
      <c r="AE82" s="2">
        <f t="shared" si="46"/>
        <v>0</v>
      </c>
      <c r="AF82" s="2">
        <f t="shared" si="46"/>
        <v>0</v>
      </c>
      <c r="AG82" s="2">
        <f t="shared" si="46"/>
        <v>0</v>
      </c>
      <c r="AH82" s="2">
        <f t="shared" si="46"/>
        <v>0</v>
      </c>
      <c r="AI82" s="6">
        <f t="shared" si="48"/>
        <v>0</v>
      </c>
    </row>
    <row r="83" spans="1:35" outlineLevel="1" x14ac:dyDescent="0.25">
      <c r="A83" s="1" t="s">
        <v>86</v>
      </c>
      <c r="B83" s="2">
        <v>0</v>
      </c>
      <c r="C83" s="8">
        <f t="shared" si="51"/>
        <v>0</v>
      </c>
      <c r="D83" s="2">
        <v>-800.39</v>
      </c>
      <c r="E83" s="8">
        <f t="shared" si="52"/>
        <v>-9.516290923677289E-5</v>
      </c>
      <c r="F83" s="24">
        <v>-1500</v>
      </c>
      <c r="G83" s="8">
        <f t="shared" si="53"/>
        <v>-1.7834351235667528E-4</v>
      </c>
      <c r="H83" s="2">
        <f t="shared" si="45"/>
        <v>-125</v>
      </c>
      <c r="I83" s="2">
        <f t="shared" si="49"/>
        <v>-125</v>
      </c>
      <c r="J83" s="2">
        <f t="shared" si="49"/>
        <v>-125</v>
      </c>
      <c r="K83" s="2">
        <f t="shared" si="49"/>
        <v>-125</v>
      </c>
      <c r="L83" s="2">
        <f t="shared" si="49"/>
        <v>-125</v>
      </c>
      <c r="M83" s="2">
        <f t="shared" si="49"/>
        <v>-125</v>
      </c>
      <c r="N83" s="2">
        <f t="shared" si="49"/>
        <v>-125</v>
      </c>
      <c r="O83" s="2">
        <f t="shared" si="49"/>
        <v>-125</v>
      </c>
      <c r="P83" s="2">
        <f t="shared" si="49"/>
        <v>-125</v>
      </c>
      <c r="Q83" s="2">
        <f t="shared" si="49"/>
        <v>-125</v>
      </c>
      <c r="R83" s="2">
        <f t="shared" si="49"/>
        <v>-125</v>
      </c>
      <c r="S83" s="2">
        <f t="shared" si="49"/>
        <v>-125</v>
      </c>
      <c r="T83" s="6">
        <f t="shared" si="47"/>
        <v>-1500</v>
      </c>
      <c r="U83" s="24">
        <v>0</v>
      </c>
      <c r="V83" s="23">
        <f t="shared" si="50"/>
        <v>0</v>
      </c>
      <c r="W83" s="2">
        <f t="shared" si="46"/>
        <v>0</v>
      </c>
      <c r="X83" s="2">
        <f t="shared" si="46"/>
        <v>0</v>
      </c>
      <c r="Y83" s="2">
        <f t="shared" si="46"/>
        <v>0</v>
      </c>
      <c r="Z83" s="2">
        <f t="shared" si="46"/>
        <v>0</v>
      </c>
      <c r="AA83" s="2">
        <f t="shared" si="46"/>
        <v>0</v>
      </c>
      <c r="AB83" s="2">
        <f t="shared" si="46"/>
        <v>0</v>
      </c>
      <c r="AC83" s="2">
        <f t="shared" si="46"/>
        <v>0</v>
      </c>
      <c r="AD83" s="2">
        <f t="shared" si="46"/>
        <v>0</v>
      </c>
      <c r="AE83" s="2">
        <f t="shared" si="46"/>
        <v>0</v>
      </c>
      <c r="AF83" s="2">
        <f t="shared" si="46"/>
        <v>0</v>
      </c>
      <c r="AG83" s="2">
        <f t="shared" si="46"/>
        <v>0</v>
      </c>
      <c r="AH83" s="2">
        <f t="shared" si="46"/>
        <v>0</v>
      </c>
      <c r="AI83" s="6">
        <f t="shared" si="48"/>
        <v>0</v>
      </c>
    </row>
    <row r="84" spans="1:35" outlineLevel="1" x14ac:dyDescent="0.25">
      <c r="A84" s="1" t="s">
        <v>87</v>
      </c>
      <c r="B84" s="2">
        <v>-18786.93</v>
      </c>
      <c r="C84" s="8">
        <f t="shared" si="51"/>
        <v>-1.7027321350225409E-3</v>
      </c>
      <c r="D84" s="2">
        <v>-75559.429999999993</v>
      </c>
      <c r="E84" s="8">
        <f t="shared" si="52"/>
        <v>-8.9836894252455606E-3</v>
      </c>
      <c r="F84" s="24">
        <v>-100000</v>
      </c>
      <c r="G84" s="8">
        <f t="shared" si="53"/>
        <v>-1.188956749044502E-2</v>
      </c>
      <c r="H84" s="2">
        <f t="shared" si="45"/>
        <v>-8333.3333333333339</v>
      </c>
      <c r="I84" s="2">
        <f t="shared" si="49"/>
        <v>-8333.3333333333339</v>
      </c>
      <c r="J84" s="2">
        <f t="shared" si="49"/>
        <v>-8333.3333333333339</v>
      </c>
      <c r="K84" s="2">
        <f t="shared" si="49"/>
        <v>-8333.3333333333339</v>
      </c>
      <c r="L84" s="2">
        <f t="shared" si="49"/>
        <v>-8333.3333333333339</v>
      </c>
      <c r="M84" s="2">
        <f t="shared" si="49"/>
        <v>-8333.3333333333339</v>
      </c>
      <c r="N84" s="2">
        <f t="shared" si="49"/>
        <v>-8333.3333333333339</v>
      </c>
      <c r="O84" s="2">
        <f t="shared" si="49"/>
        <v>-8333.3333333333339</v>
      </c>
      <c r="P84" s="2">
        <f t="shared" si="49"/>
        <v>-8333.3333333333339</v>
      </c>
      <c r="Q84" s="2">
        <f t="shared" si="49"/>
        <v>-8333.3333333333339</v>
      </c>
      <c r="R84" s="2">
        <f t="shared" si="49"/>
        <v>-8333.3333333333339</v>
      </c>
      <c r="S84" s="2">
        <f t="shared" si="49"/>
        <v>-8333.3333333333339</v>
      </c>
      <c r="T84" s="6">
        <f t="shared" si="47"/>
        <v>-99999.999999999985</v>
      </c>
      <c r="U84" s="24">
        <v>0</v>
      </c>
      <c r="V84" s="23">
        <f t="shared" si="50"/>
        <v>0</v>
      </c>
      <c r="W84" s="2">
        <f t="shared" si="46"/>
        <v>0</v>
      </c>
      <c r="X84" s="2">
        <f t="shared" si="46"/>
        <v>0</v>
      </c>
      <c r="Y84" s="2">
        <f t="shared" si="46"/>
        <v>0</v>
      </c>
      <c r="Z84" s="2">
        <f t="shared" si="46"/>
        <v>0</v>
      </c>
      <c r="AA84" s="2">
        <f t="shared" si="46"/>
        <v>0</v>
      </c>
      <c r="AB84" s="2">
        <f t="shared" si="46"/>
        <v>0</v>
      </c>
      <c r="AC84" s="2">
        <f t="shared" si="46"/>
        <v>0</v>
      </c>
      <c r="AD84" s="2">
        <f t="shared" si="46"/>
        <v>0</v>
      </c>
      <c r="AE84" s="2">
        <f t="shared" si="46"/>
        <v>0</v>
      </c>
      <c r="AF84" s="2">
        <f t="shared" si="46"/>
        <v>0</v>
      </c>
      <c r="AG84" s="2">
        <f t="shared" si="46"/>
        <v>0</v>
      </c>
      <c r="AH84" s="2">
        <f t="shared" si="46"/>
        <v>0</v>
      </c>
      <c r="AI84" s="6">
        <f t="shared" si="48"/>
        <v>0</v>
      </c>
    </row>
    <row r="85" spans="1:35" outlineLevel="1" x14ac:dyDescent="0.25">
      <c r="A85" s="1" t="s">
        <v>88</v>
      </c>
      <c r="B85" s="2">
        <v>0</v>
      </c>
      <c r="C85" s="8">
        <f t="shared" si="51"/>
        <v>0</v>
      </c>
      <c r="D85" s="2">
        <v>-10035.98</v>
      </c>
      <c r="E85" s="8">
        <f t="shared" si="52"/>
        <v>-1.193234615427564E-3</v>
      </c>
      <c r="F85" s="24">
        <f>+D85*2</f>
        <v>-20071.96</v>
      </c>
      <c r="G85" s="8">
        <f t="shared" si="53"/>
        <v>-2.386469230855128E-3</v>
      </c>
      <c r="H85" s="2">
        <f t="shared" si="45"/>
        <v>-1672.6633333333332</v>
      </c>
      <c r="I85" s="2">
        <f t="shared" si="49"/>
        <v>-1672.6633333333332</v>
      </c>
      <c r="J85" s="2">
        <f t="shared" si="49"/>
        <v>-1672.6633333333332</v>
      </c>
      <c r="K85" s="2">
        <f t="shared" si="49"/>
        <v>-1672.6633333333332</v>
      </c>
      <c r="L85" s="2">
        <f t="shared" si="49"/>
        <v>-1672.6633333333332</v>
      </c>
      <c r="M85" s="2">
        <f t="shared" si="49"/>
        <v>-1672.6633333333332</v>
      </c>
      <c r="N85" s="2">
        <f t="shared" si="49"/>
        <v>-1672.6633333333332</v>
      </c>
      <c r="O85" s="2">
        <f t="shared" si="49"/>
        <v>-1672.6633333333332</v>
      </c>
      <c r="P85" s="2">
        <f t="shared" si="49"/>
        <v>-1672.6633333333332</v>
      </c>
      <c r="Q85" s="2">
        <f t="shared" si="49"/>
        <v>-1672.6633333333332</v>
      </c>
      <c r="R85" s="2">
        <f t="shared" si="49"/>
        <v>-1672.6633333333332</v>
      </c>
      <c r="S85" s="2">
        <f t="shared" si="49"/>
        <v>-1672.6633333333332</v>
      </c>
      <c r="T85" s="6">
        <f t="shared" si="47"/>
        <v>-20071.960000000003</v>
      </c>
      <c r="U85" s="24">
        <v>0</v>
      </c>
      <c r="V85" s="23">
        <f t="shared" si="50"/>
        <v>0</v>
      </c>
      <c r="W85" s="2">
        <f t="shared" si="46"/>
        <v>0</v>
      </c>
      <c r="X85" s="2">
        <f t="shared" si="46"/>
        <v>0</v>
      </c>
      <c r="Y85" s="2">
        <f t="shared" si="46"/>
        <v>0</v>
      </c>
      <c r="Z85" s="2">
        <f t="shared" si="46"/>
        <v>0</v>
      </c>
      <c r="AA85" s="2">
        <f t="shared" si="46"/>
        <v>0</v>
      </c>
      <c r="AB85" s="2">
        <f t="shared" si="46"/>
        <v>0</v>
      </c>
      <c r="AC85" s="2">
        <f t="shared" si="46"/>
        <v>0</v>
      </c>
      <c r="AD85" s="2">
        <f t="shared" si="46"/>
        <v>0</v>
      </c>
      <c r="AE85" s="2">
        <f t="shared" si="46"/>
        <v>0</v>
      </c>
      <c r="AF85" s="2">
        <f t="shared" si="46"/>
        <v>0</v>
      </c>
      <c r="AG85" s="2">
        <f t="shared" si="46"/>
        <v>0</v>
      </c>
      <c r="AH85" s="2">
        <f t="shared" si="46"/>
        <v>0</v>
      </c>
      <c r="AI85" s="6">
        <f t="shared" si="48"/>
        <v>0</v>
      </c>
    </row>
    <row r="86" spans="1:35" outlineLevel="1" x14ac:dyDescent="0.25">
      <c r="A86" s="1" t="s">
        <v>89</v>
      </c>
      <c r="B86" s="2">
        <v>0</v>
      </c>
      <c r="C86" s="8">
        <f t="shared" si="51"/>
        <v>0</v>
      </c>
      <c r="D86" s="2">
        <v>-4085.85</v>
      </c>
      <c r="E86" s="8">
        <f t="shared" si="52"/>
        <v>-4.8578989330834779E-4</v>
      </c>
      <c r="F86" s="24">
        <f>+D86*3</f>
        <v>-12257.55</v>
      </c>
      <c r="G86" s="8">
        <f t="shared" si="53"/>
        <v>-1.4573696799250434E-3</v>
      </c>
      <c r="H86" s="2">
        <f t="shared" si="45"/>
        <v>-1021.4625</v>
      </c>
      <c r="I86" s="2">
        <f t="shared" si="49"/>
        <v>-1021.4625</v>
      </c>
      <c r="J86" s="2">
        <f t="shared" si="49"/>
        <v>-1021.4625</v>
      </c>
      <c r="K86" s="2">
        <f t="shared" si="49"/>
        <v>-1021.4625</v>
      </c>
      <c r="L86" s="2">
        <f t="shared" si="49"/>
        <v>-1021.4625</v>
      </c>
      <c r="M86" s="2">
        <f t="shared" si="49"/>
        <v>-1021.4625</v>
      </c>
      <c r="N86" s="2">
        <f t="shared" si="49"/>
        <v>-1021.4625</v>
      </c>
      <c r="O86" s="2">
        <f t="shared" si="49"/>
        <v>-1021.4625</v>
      </c>
      <c r="P86" s="2">
        <f t="shared" si="49"/>
        <v>-1021.4625</v>
      </c>
      <c r="Q86" s="2">
        <f t="shared" si="49"/>
        <v>-1021.4625</v>
      </c>
      <c r="R86" s="2">
        <f t="shared" si="49"/>
        <v>-1021.4625</v>
      </c>
      <c r="S86" s="2">
        <f t="shared" si="49"/>
        <v>-1021.4625</v>
      </c>
      <c r="T86" s="6">
        <f t="shared" si="47"/>
        <v>-12257.549999999997</v>
      </c>
      <c r="U86" s="24">
        <v>0</v>
      </c>
      <c r="V86" s="23">
        <f t="shared" si="50"/>
        <v>0</v>
      </c>
      <c r="W86" s="2">
        <f t="shared" si="46"/>
        <v>0</v>
      </c>
      <c r="X86" s="2">
        <f t="shared" si="46"/>
        <v>0</v>
      </c>
      <c r="Y86" s="2">
        <f t="shared" si="46"/>
        <v>0</v>
      </c>
      <c r="Z86" s="2">
        <f t="shared" si="46"/>
        <v>0</v>
      </c>
      <c r="AA86" s="2">
        <f t="shared" si="46"/>
        <v>0</v>
      </c>
      <c r="AB86" s="2">
        <f t="shared" si="46"/>
        <v>0</v>
      </c>
      <c r="AC86" s="2">
        <f t="shared" si="46"/>
        <v>0</v>
      </c>
      <c r="AD86" s="2">
        <f t="shared" si="46"/>
        <v>0</v>
      </c>
      <c r="AE86" s="2">
        <f t="shared" si="46"/>
        <v>0</v>
      </c>
      <c r="AF86" s="2">
        <f t="shared" si="46"/>
        <v>0</v>
      </c>
      <c r="AG86" s="2">
        <f t="shared" si="46"/>
        <v>0</v>
      </c>
      <c r="AH86" s="2">
        <f t="shared" si="46"/>
        <v>0</v>
      </c>
      <c r="AI86" s="6">
        <f t="shared" si="48"/>
        <v>0</v>
      </c>
    </row>
    <row r="87" spans="1:35" outlineLevel="1" x14ac:dyDescent="0.25">
      <c r="A87" s="1" t="s">
        <v>90</v>
      </c>
      <c r="B87" s="2">
        <v>-1662.61</v>
      </c>
      <c r="C87" s="8">
        <f t="shared" si="51"/>
        <v>-1.5068877538851886E-4</v>
      </c>
      <c r="D87" s="2">
        <v>-3612.71</v>
      </c>
      <c r="E87" s="8">
        <f t="shared" si="52"/>
        <v>-4.2953559368405627E-4</v>
      </c>
      <c r="F87" s="24">
        <f>+D87*1.03</f>
        <v>-3721.0913</v>
      </c>
      <c r="G87" s="8">
        <f t="shared" si="53"/>
        <v>-4.4242166149457794E-4</v>
      </c>
      <c r="H87" s="2">
        <f t="shared" si="45"/>
        <v>-310.09094166666665</v>
      </c>
      <c r="I87" s="2">
        <f t="shared" si="49"/>
        <v>-310.09094166666665</v>
      </c>
      <c r="J87" s="2">
        <f t="shared" si="49"/>
        <v>-310.09094166666665</v>
      </c>
      <c r="K87" s="2">
        <f t="shared" si="49"/>
        <v>-310.09094166666665</v>
      </c>
      <c r="L87" s="2">
        <f t="shared" si="49"/>
        <v>-310.09094166666665</v>
      </c>
      <c r="M87" s="2">
        <f t="shared" si="49"/>
        <v>-310.09094166666665</v>
      </c>
      <c r="N87" s="2">
        <f t="shared" si="49"/>
        <v>-310.09094166666665</v>
      </c>
      <c r="O87" s="2">
        <f t="shared" si="49"/>
        <v>-310.09094166666665</v>
      </c>
      <c r="P87" s="2">
        <f t="shared" si="49"/>
        <v>-310.09094166666665</v>
      </c>
      <c r="Q87" s="2">
        <f t="shared" si="49"/>
        <v>-310.09094166666665</v>
      </c>
      <c r="R87" s="2">
        <f t="shared" si="49"/>
        <v>-310.09094166666665</v>
      </c>
      <c r="S87" s="2">
        <f t="shared" si="49"/>
        <v>-310.09094166666665</v>
      </c>
      <c r="T87" s="6">
        <f t="shared" si="47"/>
        <v>-3721.0913000000005</v>
      </c>
      <c r="U87" s="24">
        <v>0</v>
      </c>
      <c r="V87" s="23">
        <f t="shared" si="50"/>
        <v>0</v>
      </c>
      <c r="W87" s="2">
        <f t="shared" si="46"/>
        <v>0</v>
      </c>
      <c r="X87" s="2">
        <f t="shared" si="46"/>
        <v>0</v>
      </c>
      <c r="Y87" s="2">
        <f t="shared" si="46"/>
        <v>0</v>
      </c>
      <c r="Z87" s="2">
        <f t="shared" si="46"/>
        <v>0</v>
      </c>
      <c r="AA87" s="2">
        <f t="shared" si="46"/>
        <v>0</v>
      </c>
      <c r="AB87" s="2">
        <f t="shared" si="46"/>
        <v>0</v>
      </c>
      <c r="AC87" s="2">
        <f t="shared" ref="W87:AH108" si="54">+$U87/12</f>
        <v>0</v>
      </c>
      <c r="AD87" s="2">
        <f t="shared" si="54"/>
        <v>0</v>
      </c>
      <c r="AE87" s="2">
        <f t="shared" si="54"/>
        <v>0</v>
      </c>
      <c r="AF87" s="2">
        <f t="shared" si="54"/>
        <v>0</v>
      </c>
      <c r="AG87" s="2">
        <f t="shared" si="54"/>
        <v>0</v>
      </c>
      <c r="AH87" s="2">
        <f t="shared" si="54"/>
        <v>0</v>
      </c>
      <c r="AI87" s="6">
        <f t="shared" si="48"/>
        <v>0</v>
      </c>
    </row>
    <row r="88" spans="1:35" outlineLevel="1" x14ac:dyDescent="0.25">
      <c r="A88" s="1" t="s">
        <v>91</v>
      </c>
      <c r="B88" s="2">
        <v>-464</v>
      </c>
      <c r="C88" s="8">
        <f t="shared" si="51"/>
        <v>-4.2054114783546804E-5</v>
      </c>
      <c r="D88" s="2">
        <v>0</v>
      </c>
      <c r="E88" s="8">
        <f t="shared" si="52"/>
        <v>0</v>
      </c>
      <c r="F88" s="24">
        <f>+D88*1.1</f>
        <v>0</v>
      </c>
      <c r="G88" s="8">
        <f t="shared" si="53"/>
        <v>0</v>
      </c>
      <c r="H88" s="2">
        <f t="shared" si="45"/>
        <v>0</v>
      </c>
      <c r="I88" s="2">
        <f t="shared" si="49"/>
        <v>0</v>
      </c>
      <c r="J88" s="2">
        <f t="shared" si="49"/>
        <v>0</v>
      </c>
      <c r="K88" s="2">
        <f t="shared" si="49"/>
        <v>0</v>
      </c>
      <c r="L88" s="2">
        <f t="shared" si="49"/>
        <v>0</v>
      </c>
      <c r="M88" s="2">
        <f t="shared" si="49"/>
        <v>0</v>
      </c>
      <c r="N88" s="2">
        <f t="shared" si="49"/>
        <v>0</v>
      </c>
      <c r="O88" s="2">
        <f t="shared" si="49"/>
        <v>0</v>
      </c>
      <c r="P88" s="2">
        <f t="shared" si="49"/>
        <v>0</v>
      </c>
      <c r="Q88" s="2">
        <f t="shared" si="49"/>
        <v>0</v>
      </c>
      <c r="R88" s="2">
        <f t="shared" si="49"/>
        <v>0</v>
      </c>
      <c r="S88" s="2">
        <f t="shared" si="49"/>
        <v>0</v>
      </c>
      <c r="T88" s="6">
        <f t="shared" si="47"/>
        <v>0</v>
      </c>
      <c r="U88" s="24">
        <v>0</v>
      </c>
      <c r="V88" s="23">
        <f t="shared" si="50"/>
        <v>0</v>
      </c>
      <c r="W88" s="2">
        <f t="shared" si="54"/>
        <v>0</v>
      </c>
      <c r="X88" s="2">
        <f t="shared" si="54"/>
        <v>0</v>
      </c>
      <c r="Y88" s="2">
        <f t="shared" si="54"/>
        <v>0</v>
      </c>
      <c r="Z88" s="2">
        <f t="shared" si="54"/>
        <v>0</v>
      </c>
      <c r="AA88" s="2">
        <f t="shared" si="54"/>
        <v>0</v>
      </c>
      <c r="AB88" s="2">
        <f t="shared" si="54"/>
        <v>0</v>
      </c>
      <c r="AC88" s="2">
        <f t="shared" si="54"/>
        <v>0</v>
      </c>
      <c r="AD88" s="2">
        <f t="shared" si="54"/>
        <v>0</v>
      </c>
      <c r="AE88" s="2">
        <f t="shared" si="54"/>
        <v>0</v>
      </c>
      <c r="AF88" s="2">
        <f t="shared" si="54"/>
        <v>0</v>
      </c>
      <c r="AG88" s="2">
        <f t="shared" si="54"/>
        <v>0</v>
      </c>
      <c r="AH88" s="2">
        <f t="shared" si="54"/>
        <v>0</v>
      </c>
      <c r="AI88" s="6">
        <f t="shared" si="48"/>
        <v>0</v>
      </c>
    </row>
    <row r="89" spans="1:35" outlineLevel="1" x14ac:dyDescent="0.25">
      <c r="A89" s="10" t="s">
        <v>92</v>
      </c>
      <c r="C89" s="8"/>
      <c r="E89" s="8"/>
      <c r="F89" s="24">
        <f>+D89*1.1</f>
        <v>0</v>
      </c>
      <c r="G89" s="8"/>
      <c r="H89" s="2">
        <f t="shared" si="45"/>
        <v>0</v>
      </c>
      <c r="I89" s="2">
        <f t="shared" si="49"/>
        <v>0</v>
      </c>
      <c r="J89" s="2">
        <f t="shared" si="49"/>
        <v>0</v>
      </c>
      <c r="K89" s="2">
        <f t="shared" si="49"/>
        <v>0</v>
      </c>
      <c r="L89" s="2">
        <f t="shared" si="49"/>
        <v>0</v>
      </c>
      <c r="M89" s="2">
        <f t="shared" si="49"/>
        <v>0</v>
      </c>
      <c r="N89" s="2">
        <f t="shared" si="49"/>
        <v>0</v>
      </c>
      <c r="O89" s="2">
        <f t="shared" si="49"/>
        <v>0</v>
      </c>
      <c r="P89" s="2">
        <f t="shared" si="49"/>
        <v>0</v>
      </c>
      <c r="Q89" s="2">
        <f t="shared" si="49"/>
        <v>0</v>
      </c>
      <c r="R89" s="2">
        <f t="shared" si="49"/>
        <v>0</v>
      </c>
      <c r="S89" s="2">
        <f t="shared" si="49"/>
        <v>0</v>
      </c>
      <c r="T89" s="6">
        <f t="shared" si="47"/>
        <v>0</v>
      </c>
      <c r="U89" s="24">
        <v>0</v>
      </c>
      <c r="V89" s="23">
        <f t="shared" si="50"/>
        <v>0</v>
      </c>
      <c r="W89" s="2">
        <f t="shared" si="54"/>
        <v>0</v>
      </c>
      <c r="X89" s="2">
        <f t="shared" si="54"/>
        <v>0</v>
      </c>
      <c r="Y89" s="2">
        <f t="shared" si="54"/>
        <v>0</v>
      </c>
      <c r="Z89" s="2">
        <f t="shared" si="54"/>
        <v>0</v>
      </c>
      <c r="AA89" s="2">
        <f t="shared" si="54"/>
        <v>0</v>
      </c>
      <c r="AB89" s="2">
        <f t="shared" si="54"/>
        <v>0</v>
      </c>
      <c r="AC89" s="2">
        <f t="shared" si="54"/>
        <v>0</v>
      </c>
      <c r="AD89" s="2">
        <f t="shared" si="54"/>
        <v>0</v>
      </c>
      <c r="AE89" s="2">
        <f t="shared" si="54"/>
        <v>0</v>
      </c>
      <c r="AF89" s="2">
        <f t="shared" si="54"/>
        <v>0</v>
      </c>
      <c r="AG89" s="2">
        <f t="shared" si="54"/>
        <v>0</v>
      </c>
      <c r="AH89" s="2">
        <f t="shared" si="54"/>
        <v>0</v>
      </c>
      <c r="AI89" s="6">
        <f t="shared" si="48"/>
        <v>0</v>
      </c>
    </row>
    <row r="90" spans="1:35" outlineLevel="1" x14ac:dyDescent="0.25">
      <c r="A90" s="1" t="s">
        <v>93</v>
      </c>
      <c r="B90" s="2">
        <v>-16938.47</v>
      </c>
      <c r="C90" s="8">
        <f>+B90/$B$2</f>
        <v>-1.5351990552535865E-3</v>
      </c>
      <c r="D90" s="2">
        <v>-17543.509999999998</v>
      </c>
      <c r="E90" s="8">
        <f>+D90/$D$2</f>
        <v>-2.0858474616429709E-3</v>
      </c>
      <c r="F90" s="24">
        <f>+D90*1.03</f>
        <v>-18069.815299999998</v>
      </c>
      <c r="G90" s="8">
        <f>+F90/$D$2</f>
        <v>-2.1484228854922599E-3</v>
      </c>
      <c r="H90" s="2">
        <f t="shared" si="45"/>
        <v>-1505.8179416666665</v>
      </c>
      <c r="I90" s="2">
        <f t="shared" si="49"/>
        <v>-1505.8179416666665</v>
      </c>
      <c r="J90" s="2">
        <f t="shared" si="49"/>
        <v>-1505.8179416666665</v>
      </c>
      <c r="K90" s="2">
        <f t="shared" si="49"/>
        <v>-1505.8179416666665</v>
      </c>
      <c r="L90" s="2">
        <f t="shared" si="49"/>
        <v>-1505.8179416666665</v>
      </c>
      <c r="M90" s="2">
        <f t="shared" si="49"/>
        <v>-1505.8179416666665</v>
      </c>
      <c r="N90" s="2">
        <f t="shared" si="49"/>
        <v>-1505.8179416666665</v>
      </c>
      <c r="O90" s="2">
        <f t="shared" si="49"/>
        <v>-1505.8179416666665</v>
      </c>
      <c r="P90" s="2">
        <f t="shared" si="49"/>
        <v>-1505.8179416666665</v>
      </c>
      <c r="Q90" s="2">
        <f t="shared" si="49"/>
        <v>-1505.8179416666665</v>
      </c>
      <c r="R90" s="2">
        <f t="shared" si="49"/>
        <v>-1505.8179416666665</v>
      </c>
      <c r="S90" s="2">
        <f t="shared" si="49"/>
        <v>-1505.8179416666665</v>
      </c>
      <c r="T90" s="6">
        <f t="shared" si="47"/>
        <v>-18069.815299999998</v>
      </c>
      <c r="U90" s="24">
        <v>0</v>
      </c>
      <c r="V90" s="23">
        <f t="shared" si="50"/>
        <v>0</v>
      </c>
      <c r="W90" s="2">
        <f t="shared" si="54"/>
        <v>0</v>
      </c>
      <c r="X90" s="2">
        <f t="shared" si="54"/>
        <v>0</v>
      </c>
      <c r="Y90" s="2">
        <f t="shared" si="54"/>
        <v>0</v>
      </c>
      <c r="Z90" s="2">
        <f t="shared" si="54"/>
        <v>0</v>
      </c>
      <c r="AA90" s="2">
        <f t="shared" si="54"/>
        <v>0</v>
      </c>
      <c r="AB90" s="2">
        <f t="shared" si="54"/>
        <v>0</v>
      </c>
      <c r="AC90" s="2">
        <f t="shared" si="54"/>
        <v>0</v>
      </c>
      <c r="AD90" s="2">
        <f t="shared" si="54"/>
        <v>0</v>
      </c>
      <c r="AE90" s="2">
        <f t="shared" si="54"/>
        <v>0</v>
      </c>
      <c r="AF90" s="2">
        <f t="shared" si="54"/>
        <v>0</v>
      </c>
      <c r="AG90" s="2">
        <f t="shared" si="54"/>
        <v>0</v>
      </c>
      <c r="AH90" s="2">
        <f t="shared" si="54"/>
        <v>0</v>
      </c>
      <c r="AI90" s="6">
        <f t="shared" si="48"/>
        <v>0</v>
      </c>
    </row>
    <row r="91" spans="1:35" outlineLevel="1" x14ac:dyDescent="0.25">
      <c r="A91" s="1" t="s">
        <v>94</v>
      </c>
      <c r="B91" s="2">
        <v>-1277.25</v>
      </c>
      <c r="C91" s="8">
        <f>+B91/$B$2</f>
        <v>-1.157621079898387E-4</v>
      </c>
      <c r="D91" s="2">
        <v>-2018.25</v>
      </c>
      <c r="E91" s="8">
        <f>+D91/$D$2</f>
        <v>-2.399611958759066E-4</v>
      </c>
      <c r="F91" s="24">
        <f>+D91*1.03</f>
        <v>-2078.7975000000001</v>
      </c>
      <c r="G91" s="8">
        <f>+F91/$D$2</f>
        <v>-2.4716003175218379E-4</v>
      </c>
      <c r="H91" s="2">
        <f t="shared" si="45"/>
        <v>-173.233125</v>
      </c>
      <c r="I91" s="2">
        <f t="shared" si="49"/>
        <v>-173.233125</v>
      </c>
      <c r="J91" s="2">
        <f t="shared" si="49"/>
        <v>-173.233125</v>
      </c>
      <c r="K91" s="2">
        <f t="shared" si="49"/>
        <v>-173.233125</v>
      </c>
      <c r="L91" s="2">
        <f t="shared" si="49"/>
        <v>-173.233125</v>
      </c>
      <c r="M91" s="2">
        <f t="shared" si="49"/>
        <v>-173.233125</v>
      </c>
      <c r="N91" s="2">
        <f t="shared" si="49"/>
        <v>-173.233125</v>
      </c>
      <c r="O91" s="2">
        <f t="shared" si="49"/>
        <v>-173.233125</v>
      </c>
      <c r="P91" s="2">
        <f t="shared" si="49"/>
        <v>-173.233125</v>
      </c>
      <c r="Q91" s="2">
        <f t="shared" si="49"/>
        <v>-173.233125</v>
      </c>
      <c r="R91" s="2">
        <f t="shared" si="49"/>
        <v>-173.233125</v>
      </c>
      <c r="S91" s="2">
        <f t="shared" si="49"/>
        <v>-173.233125</v>
      </c>
      <c r="T91" s="6">
        <f t="shared" si="47"/>
        <v>-2078.7975000000001</v>
      </c>
      <c r="U91" s="24">
        <v>0</v>
      </c>
      <c r="V91" s="23">
        <f t="shared" si="50"/>
        <v>0</v>
      </c>
      <c r="W91" s="2">
        <f t="shared" si="54"/>
        <v>0</v>
      </c>
      <c r="X91" s="2">
        <f t="shared" si="54"/>
        <v>0</v>
      </c>
      <c r="Y91" s="2">
        <f t="shared" si="54"/>
        <v>0</v>
      </c>
      <c r="Z91" s="2">
        <f t="shared" si="54"/>
        <v>0</v>
      </c>
      <c r="AA91" s="2">
        <f t="shared" si="54"/>
        <v>0</v>
      </c>
      <c r="AB91" s="2">
        <f t="shared" si="54"/>
        <v>0</v>
      </c>
      <c r="AC91" s="2">
        <f t="shared" si="54"/>
        <v>0</v>
      </c>
      <c r="AD91" s="2">
        <f t="shared" si="54"/>
        <v>0</v>
      </c>
      <c r="AE91" s="2">
        <f t="shared" si="54"/>
        <v>0</v>
      </c>
      <c r="AF91" s="2">
        <f t="shared" si="54"/>
        <v>0</v>
      </c>
      <c r="AG91" s="2">
        <f t="shared" si="54"/>
        <v>0</v>
      </c>
      <c r="AH91" s="2">
        <f t="shared" si="54"/>
        <v>0</v>
      </c>
      <c r="AI91" s="6">
        <f t="shared" si="48"/>
        <v>0</v>
      </c>
    </row>
    <row r="92" spans="1:35" outlineLevel="1" x14ac:dyDescent="0.25">
      <c r="A92" s="10" t="s">
        <v>95</v>
      </c>
      <c r="C92" s="8"/>
      <c r="E92" s="8"/>
      <c r="F92" s="24">
        <f t="shared" ref="F92:F97" si="55">+D92*1.03</f>
        <v>0</v>
      </c>
      <c r="G92" s="8"/>
      <c r="H92" s="2">
        <f t="shared" si="45"/>
        <v>0</v>
      </c>
      <c r="I92" s="2">
        <f t="shared" si="49"/>
        <v>0</v>
      </c>
      <c r="J92" s="2">
        <f t="shared" si="49"/>
        <v>0</v>
      </c>
      <c r="K92" s="2">
        <f t="shared" si="49"/>
        <v>0</v>
      </c>
      <c r="L92" s="2">
        <f t="shared" si="49"/>
        <v>0</v>
      </c>
      <c r="M92" s="2">
        <f t="shared" si="49"/>
        <v>0</v>
      </c>
      <c r="N92" s="2">
        <f t="shared" si="49"/>
        <v>0</v>
      </c>
      <c r="O92" s="2">
        <f t="shared" si="49"/>
        <v>0</v>
      </c>
      <c r="P92" s="2">
        <f t="shared" si="49"/>
        <v>0</v>
      </c>
      <c r="Q92" s="2">
        <f t="shared" si="49"/>
        <v>0</v>
      </c>
      <c r="R92" s="2">
        <f t="shared" si="49"/>
        <v>0</v>
      </c>
      <c r="S92" s="2">
        <f t="shared" si="49"/>
        <v>0</v>
      </c>
      <c r="T92" s="6">
        <f t="shared" si="47"/>
        <v>0</v>
      </c>
      <c r="U92" s="24">
        <v>0</v>
      </c>
      <c r="V92" s="23">
        <f t="shared" si="50"/>
        <v>0</v>
      </c>
      <c r="W92" s="2">
        <f t="shared" si="54"/>
        <v>0</v>
      </c>
      <c r="X92" s="2">
        <f t="shared" si="54"/>
        <v>0</v>
      </c>
      <c r="Y92" s="2">
        <f t="shared" si="54"/>
        <v>0</v>
      </c>
      <c r="Z92" s="2">
        <f t="shared" si="54"/>
        <v>0</v>
      </c>
      <c r="AA92" s="2">
        <f t="shared" si="54"/>
        <v>0</v>
      </c>
      <c r="AB92" s="2">
        <f t="shared" si="54"/>
        <v>0</v>
      </c>
      <c r="AC92" s="2">
        <f t="shared" si="54"/>
        <v>0</v>
      </c>
      <c r="AD92" s="2">
        <f t="shared" si="54"/>
        <v>0</v>
      </c>
      <c r="AE92" s="2">
        <f t="shared" si="54"/>
        <v>0</v>
      </c>
      <c r="AF92" s="2">
        <f t="shared" si="54"/>
        <v>0</v>
      </c>
      <c r="AG92" s="2">
        <f t="shared" si="54"/>
        <v>0</v>
      </c>
      <c r="AH92" s="2">
        <f t="shared" si="54"/>
        <v>0</v>
      </c>
      <c r="AI92" s="6">
        <f t="shared" si="48"/>
        <v>0</v>
      </c>
    </row>
    <row r="93" spans="1:35" outlineLevel="1" x14ac:dyDescent="0.25">
      <c r="A93" s="9" t="s">
        <v>96</v>
      </c>
      <c r="C93" s="8"/>
      <c r="E93" s="8"/>
      <c r="F93" s="24">
        <f t="shared" si="55"/>
        <v>0</v>
      </c>
      <c r="G93" s="8"/>
      <c r="H93" s="2">
        <f t="shared" si="45"/>
        <v>0</v>
      </c>
      <c r="I93" s="2">
        <f t="shared" si="49"/>
        <v>0</v>
      </c>
      <c r="J93" s="2">
        <f t="shared" si="49"/>
        <v>0</v>
      </c>
      <c r="K93" s="2">
        <f t="shared" si="49"/>
        <v>0</v>
      </c>
      <c r="L93" s="2">
        <f t="shared" si="49"/>
        <v>0</v>
      </c>
      <c r="M93" s="2">
        <f t="shared" si="49"/>
        <v>0</v>
      </c>
      <c r="N93" s="2">
        <f t="shared" si="49"/>
        <v>0</v>
      </c>
      <c r="O93" s="2">
        <f t="shared" si="49"/>
        <v>0</v>
      </c>
      <c r="P93" s="2">
        <f t="shared" si="49"/>
        <v>0</v>
      </c>
      <c r="Q93" s="2">
        <f t="shared" si="49"/>
        <v>0</v>
      </c>
      <c r="R93" s="2">
        <f t="shared" si="49"/>
        <v>0</v>
      </c>
      <c r="S93" s="2">
        <f t="shared" si="49"/>
        <v>0</v>
      </c>
      <c r="T93" s="6">
        <f t="shared" si="47"/>
        <v>0</v>
      </c>
      <c r="U93" s="24">
        <v>0</v>
      </c>
      <c r="V93" s="23">
        <f t="shared" si="50"/>
        <v>0</v>
      </c>
      <c r="W93" s="2">
        <f t="shared" si="54"/>
        <v>0</v>
      </c>
      <c r="X93" s="2">
        <f t="shared" si="54"/>
        <v>0</v>
      </c>
      <c r="Y93" s="2">
        <f t="shared" si="54"/>
        <v>0</v>
      </c>
      <c r="Z93" s="2">
        <f t="shared" si="54"/>
        <v>0</v>
      </c>
      <c r="AA93" s="2">
        <f t="shared" si="54"/>
        <v>0</v>
      </c>
      <c r="AB93" s="2">
        <f t="shared" si="54"/>
        <v>0</v>
      </c>
      <c r="AC93" s="2">
        <f t="shared" si="54"/>
        <v>0</v>
      </c>
      <c r="AD93" s="2">
        <f t="shared" si="54"/>
        <v>0</v>
      </c>
      <c r="AE93" s="2">
        <f t="shared" si="54"/>
        <v>0</v>
      </c>
      <c r="AF93" s="2">
        <f t="shared" si="54"/>
        <v>0</v>
      </c>
      <c r="AG93" s="2">
        <f t="shared" si="54"/>
        <v>0</v>
      </c>
      <c r="AH93" s="2">
        <f t="shared" si="54"/>
        <v>0</v>
      </c>
      <c r="AI93" s="6">
        <f t="shared" si="48"/>
        <v>0</v>
      </c>
    </row>
    <row r="94" spans="1:35" outlineLevel="1" x14ac:dyDescent="0.25">
      <c r="A94" s="1" t="s">
        <v>97</v>
      </c>
      <c r="B94" s="2">
        <v>-1979.71</v>
      </c>
      <c r="C94" s="8">
        <f>+B94/$B$2</f>
        <v>-1.7942877495287813E-4</v>
      </c>
      <c r="D94" s="2">
        <v>-153.07</v>
      </c>
      <c r="E94" s="8">
        <f>+D94/$D$2</f>
        <v>-1.8199360957624189E-5</v>
      </c>
      <c r="F94" s="24">
        <f t="shared" si="55"/>
        <v>-157.66210000000001</v>
      </c>
      <c r="G94" s="8">
        <f>+F94/$D$2</f>
        <v>-1.8745341786352917E-5</v>
      </c>
      <c r="H94" s="2">
        <f t="shared" si="45"/>
        <v>-13.138508333333334</v>
      </c>
      <c r="I94" s="2">
        <f t="shared" ref="I94:S102" si="56">+$F94/12</f>
        <v>-13.138508333333334</v>
      </c>
      <c r="J94" s="2">
        <f t="shared" si="56"/>
        <v>-13.138508333333334</v>
      </c>
      <c r="K94" s="2">
        <f t="shared" si="56"/>
        <v>-13.138508333333334</v>
      </c>
      <c r="L94" s="2">
        <f t="shared" si="56"/>
        <v>-13.138508333333334</v>
      </c>
      <c r="M94" s="2">
        <f t="shared" si="56"/>
        <v>-13.138508333333334</v>
      </c>
      <c r="N94" s="2">
        <f t="shared" si="56"/>
        <v>-13.138508333333334</v>
      </c>
      <c r="O94" s="2">
        <f t="shared" si="56"/>
        <v>-13.138508333333334</v>
      </c>
      <c r="P94" s="2">
        <f t="shared" si="56"/>
        <v>-13.138508333333334</v>
      </c>
      <c r="Q94" s="2">
        <f t="shared" si="56"/>
        <v>-13.138508333333334</v>
      </c>
      <c r="R94" s="2">
        <f t="shared" si="56"/>
        <v>-13.138508333333334</v>
      </c>
      <c r="S94" s="2">
        <f t="shared" si="56"/>
        <v>-13.138508333333334</v>
      </c>
      <c r="T94" s="6">
        <f t="shared" si="47"/>
        <v>-157.66210000000001</v>
      </c>
      <c r="U94" s="24">
        <v>0</v>
      </c>
      <c r="V94" s="23">
        <f t="shared" si="50"/>
        <v>0</v>
      </c>
      <c r="W94" s="2">
        <f t="shared" si="54"/>
        <v>0</v>
      </c>
      <c r="X94" s="2">
        <f t="shared" si="54"/>
        <v>0</v>
      </c>
      <c r="Y94" s="2">
        <f t="shared" si="54"/>
        <v>0</v>
      </c>
      <c r="Z94" s="2">
        <f t="shared" si="54"/>
        <v>0</v>
      </c>
      <c r="AA94" s="2">
        <f t="shared" si="54"/>
        <v>0</v>
      </c>
      <c r="AB94" s="2">
        <f t="shared" si="54"/>
        <v>0</v>
      </c>
      <c r="AC94" s="2">
        <f t="shared" si="54"/>
        <v>0</v>
      </c>
      <c r="AD94" s="2">
        <f t="shared" si="54"/>
        <v>0</v>
      </c>
      <c r="AE94" s="2">
        <f t="shared" si="54"/>
        <v>0</v>
      </c>
      <c r="AF94" s="2">
        <f t="shared" si="54"/>
        <v>0</v>
      </c>
      <c r="AG94" s="2">
        <f t="shared" si="54"/>
        <v>0</v>
      </c>
      <c r="AH94" s="2">
        <f t="shared" si="54"/>
        <v>0</v>
      </c>
      <c r="AI94" s="6">
        <f t="shared" si="48"/>
        <v>0</v>
      </c>
    </row>
    <row r="95" spans="1:35" outlineLevel="1" x14ac:dyDescent="0.25">
      <c r="A95" s="1" t="s">
        <v>98</v>
      </c>
      <c r="B95" s="2">
        <v>-11368.76</v>
      </c>
      <c r="C95" s="8">
        <f>+B95/$B$2</f>
        <v>-1.0303946939366284E-3</v>
      </c>
      <c r="D95" s="2">
        <v>-13408.44</v>
      </c>
      <c r="E95" s="8">
        <f>+D95/$D$2</f>
        <v>-1.5942055232158261E-3</v>
      </c>
      <c r="F95" s="24">
        <f t="shared" si="55"/>
        <v>-13810.693200000002</v>
      </c>
      <c r="G95" s="8">
        <f>+F95/$D$2</f>
        <v>-1.6420316889123011E-3</v>
      </c>
      <c r="H95" s="2">
        <f t="shared" si="45"/>
        <v>-1150.8911000000001</v>
      </c>
      <c r="I95" s="2">
        <f t="shared" si="56"/>
        <v>-1150.8911000000001</v>
      </c>
      <c r="J95" s="2">
        <f t="shared" si="56"/>
        <v>-1150.8911000000001</v>
      </c>
      <c r="K95" s="2">
        <f t="shared" si="56"/>
        <v>-1150.8911000000001</v>
      </c>
      <c r="L95" s="2">
        <f t="shared" si="56"/>
        <v>-1150.8911000000001</v>
      </c>
      <c r="M95" s="2">
        <f t="shared" si="56"/>
        <v>-1150.8911000000001</v>
      </c>
      <c r="N95" s="2">
        <f t="shared" si="56"/>
        <v>-1150.8911000000001</v>
      </c>
      <c r="O95" s="2">
        <f t="shared" si="56"/>
        <v>-1150.8911000000001</v>
      </c>
      <c r="P95" s="2">
        <f t="shared" si="56"/>
        <v>-1150.8911000000001</v>
      </c>
      <c r="Q95" s="2">
        <f t="shared" si="56"/>
        <v>-1150.8911000000001</v>
      </c>
      <c r="R95" s="2">
        <f t="shared" si="56"/>
        <v>-1150.8911000000001</v>
      </c>
      <c r="S95" s="2">
        <f t="shared" si="56"/>
        <v>-1150.8911000000001</v>
      </c>
      <c r="T95" s="6">
        <f t="shared" si="47"/>
        <v>-13810.693200000003</v>
      </c>
      <c r="U95" s="24">
        <v>0</v>
      </c>
      <c r="V95" s="23">
        <f t="shared" si="50"/>
        <v>0</v>
      </c>
      <c r="W95" s="2">
        <f t="shared" si="54"/>
        <v>0</v>
      </c>
      <c r="X95" s="2">
        <f t="shared" si="54"/>
        <v>0</v>
      </c>
      <c r="Y95" s="2">
        <f t="shared" si="54"/>
        <v>0</v>
      </c>
      <c r="Z95" s="2">
        <f t="shared" si="54"/>
        <v>0</v>
      </c>
      <c r="AA95" s="2">
        <f t="shared" si="54"/>
        <v>0</v>
      </c>
      <c r="AB95" s="2">
        <f t="shared" si="54"/>
        <v>0</v>
      </c>
      <c r="AC95" s="2">
        <f t="shared" si="54"/>
        <v>0</v>
      </c>
      <c r="AD95" s="2">
        <f t="shared" si="54"/>
        <v>0</v>
      </c>
      <c r="AE95" s="2">
        <f t="shared" si="54"/>
        <v>0</v>
      </c>
      <c r="AF95" s="2">
        <f t="shared" si="54"/>
        <v>0</v>
      </c>
      <c r="AG95" s="2">
        <f t="shared" si="54"/>
        <v>0</v>
      </c>
      <c r="AH95" s="2">
        <f t="shared" si="54"/>
        <v>0</v>
      </c>
      <c r="AI95" s="6">
        <f t="shared" si="48"/>
        <v>0</v>
      </c>
    </row>
    <row r="96" spans="1:35" outlineLevel="1" x14ac:dyDescent="0.25">
      <c r="A96" s="1" t="s">
        <v>99</v>
      </c>
      <c r="B96" s="2">
        <v>-822.86</v>
      </c>
      <c r="C96" s="8">
        <f>+B96/$B$2</f>
        <v>-7.4578984678425267E-5</v>
      </c>
      <c r="D96" s="2">
        <v>-543.61</v>
      </c>
      <c r="E96" s="8">
        <f>+D96/$D$2</f>
        <v>-6.4632877834808168E-5</v>
      </c>
      <c r="F96" s="24">
        <f t="shared" si="55"/>
        <v>-559.91830000000004</v>
      </c>
      <c r="G96" s="8">
        <f>+F96/$D$2</f>
        <v>-6.6571864169852414E-5</v>
      </c>
      <c r="H96" s="2">
        <f t="shared" si="45"/>
        <v>-46.659858333333339</v>
      </c>
      <c r="I96" s="2">
        <f t="shared" si="56"/>
        <v>-46.659858333333339</v>
      </c>
      <c r="J96" s="2">
        <f t="shared" si="56"/>
        <v>-46.659858333333339</v>
      </c>
      <c r="K96" s="2">
        <f t="shared" si="56"/>
        <v>-46.659858333333339</v>
      </c>
      <c r="L96" s="2">
        <f t="shared" si="56"/>
        <v>-46.659858333333339</v>
      </c>
      <c r="M96" s="2">
        <f t="shared" si="56"/>
        <v>-46.659858333333339</v>
      </c>
      <c r="N96" s="2">
        <f t="shared" si="56"/>
        <v>-46.659858333333339</v>
      </c>
      <c r="O96" s="2">
        <f t="shared" si="56"/>
        <v>-46.659858333333339</v>
      </c>
      <c r="P96" s="2">
        <f t="shared" si="56"/>
        <v>-46.659858333333339</v>
      </c>
      <c r="Q96" s="2">
        <f t="shared" si="56"/>
        <v>-46.659858333333339</v>
      </c>
      <c r="R96" s="2">
        <f t="shared" si="56"/>
        <v>-46.659858333333339</v>
      </c>
      <c r="S96" s="2">
        <f t="shared" si="56"/>
        <v>-46.659858333333339</v>
      </c>
      <c r="T96" s="6">
        <f t="shared" si="47"/>
        <v>-559.91829999999993</v>
      </c>
      <c r="U96" s="24">
        <v>0</v>
      </c>
      <c r="V96" s="23">
        <f t="shared" si="50"/>
        <v>0</v>
      </c>
      <c r="W96" s="2">
        <f t="shared" si="54"/>
        <v>0</v>
      </c>
      <c r="X96" s="2">
        <f t="shared" si="54"/>
        <v>0</v>
      </c>
      <c r="Y96" s="2">
        <f t="shared" si="54"/>
        <v>0</v>
      </c>
      <c r="Z96" s="2">
        <f t="shared" si="54"/>
        <v>0</v>
      </c>
      <c r="AA96" s="2">
        <f t="shared" si="54"/>
        <v>0</v>
      </c>
      <c r="AB96" s="2">
        <f t="shared" si="54"/>
        <v>0</v>
      </c>
      <c r="AC96" s="2">
        <f t="shared" si="54"/>
        <v>0</v>
      </c>
      <c r="AD96" s="2">
        <f t="shared" si="54"/>
        <v>0</v>
      </c>
      <c r="AE96" s="2">
        <f t="shared" si="54"/>
        <v>0</v>
      </c>
      <c r="AF96" s="2">
        <f t="shared" si="54"/>
        <v>0</v>
      </c>
      <c r="AG96" s="2">
        <f t="shared" si="54"/>
        <v>0</v>
      </c>
      <c r="AH96" s="2">
        <f t="shared" si="54"/>
        <v>0</v>
      </c>
      <c r="AI96" s="6">
        <f t="shared" si="48"/>
        <v>0</v>
      </c>
    </row>
    <row r="97" spans="1:35" outlineLevel="1" x14ac:dyDescent="0.25">
      <c r="A97" s="10" t="s">
        <v>100</v>
      </c>
      <c r="C97" s="8"/>
      <c r="E97" s="8"/>
      <c r="F97" s="24">
        <f t="shared" si="55"/>
        <v>0</v>
      </c>
      <c r="G97" s="8"/>
      <c r="H97" s="2">
        <f t="shared" si="45"/>
        <v>0</v>
      </c>
      <c r="I97" s="2">
        <f t="shared" si="56"/>
        <v>0</v>
      </c>
      <c r="J97" s="2">
        <f t="shared" si="56"/>
        <v>0</v>
      </c>
      <c r="K97" s="2">
        <f t="shared" si="56"/>
        <v>0</v>
      </c>
      <c r="L97" s="2">
        <f t="shared" si="56"/>
        <v>0</v>
      </c>
      <c r="M97" s="2">
        <f t="shared" si="56"/>
        <v>0</v>
      </c>
      <c r="N97" s="2">
        <f t="shared" si="56"/>
        <v>0</v>
      </c>
      <c r="O97" s="2">
        <f t="shared" si="56"/>
        <v>0</v>
      </c>
      <c r="P97" s="2">
        <f t="shared" si="56"/>
        <v>0</v>
      </c>
      <c r="Q97" s="2">
        <f t="shared" si="56"/>
        <v>0</v>
      </c>
      <c r="R97" s="2">
        <f t="shared" si="56"/>
        <v>0</v>
      </c>
      <c r="S97" s="2">
        <f t="shared" si="56"/>
        <v>0</v>
      </c>
      <c r="T97" s="6">
        <f t="shared" si="47"/>
        <v>0</v>
      </c>
      <c r="U97" s="24">
        <v>0</v>
      </c>
      <c r="V97" s="23">
        <f t="shared" si="50"/>
        <v>0</v>
      </c>
      <c r="W97" s="2">
        <f t="shared" si="54"/>
        <v>0</v>
      </c>
      <c r="X97" s="2">
        <f t="shared" si="54"/>
        <v>0</v>
      </c>
      <c r="Y97" s="2">
        <f t="shared" si="54"/>
        <v>0</v>
      </c>
      <c r="Z97" s="2">
        <f t="shared" si="54"/>
        <v>0</v>
      </c>
      <c r="AA97" s="2">
        <f t="shared" si="54"/>
        <v>0</v>
      </c>
      <c r="AB97" s="2">
        <f t="shared" si="54"/>
        <v>0</v>
      </c>
      <c r="AC97" s="2">
        <f t="shared" si="54"/>
        <v>0</v>
      </c>
      <c r="AD97" s="2">
        <f t="shared" si="54"/>
        <v>0</v>
      </c>
      <c r="AE97" s="2">
        <f t="shared" si="54"/>
        <v>0</v>
      </c>
      <c r="AF97" s="2">
        <f t="shared" si="54"/>
        <v>0</v>
      </c>
      <c r="AG97" s="2">
        <f t="shared" si="54"/>
        <v>0</v>
      </c>
      <c r="AH97" s="2">
        <f t="shared" si="54"/>
        <v>0</v>
      </c>
      <c r="AI97" s="6">
        <f t="shared" si="48"/>
        <v>0</v>
      </c>
    </row>
    <row r="98" spans="1:35" outlineLevel="1" x14ac:dyDescent="0.25">
      <c r="A98" s="1" t="s">
        <v>101</v>
      </c>
      <c r="B98" s="2">
        <v>-1621.38</v>
      </c>
      <c r="C98" s="8">
        <f>+B98/$B$2</f>
        <v>-1.469519410080757E-4</v>
      </c>
      <c r="D98" s="2">
        <v>0</v>
      </c>
      <c r="E98" s="8">
        <f>+D98/$D$2</f>
        <v>0</v>
      </c>
      <c r="F98" s="24">
        <f>+D98*1.03</f>
        <v>0</v>
      </c>
      <c r="G98" s="8">
        <f>+F98/$D$2</f>
        <v>0</v>
      </c>
      <c r="H98" s="2">
        <f t="shared" si="45"/>
        <v>0</v>
      </c>
      <c r="I98" s="2">
        <f t="shared" si="56"/>
        <v>0</v>
      </c>
      <c r="J98" s="2">
        <f t="shared" si="56"/>
        <v>0</v>
      </c>
      <c r="K98" s="2">
        <f t="shared" si="56"/>
        <v>0</v>
      </c>
      <c r="L98" s="2">
        <f t="shared" si="56"/>
        <v>0</v>
      </c>
      <c r="M98" s="2">
        <f t="shared" si="56"/>
        <v>0</v>
      </c>
      <c r="N98" s="2">
        <f t="shared" si="56"/>
        <v>0</v>
      </c>
      <c r="O98" s="2">
        <f t="shared" si="56"/>
        <v>0</v>
      </c>
      <c r="P98" s="2">
        <f t="shared" si="56"/>
        <v>0</v>
      </c>
      <c r="Q98" s="2">
        <f t="shared" si="56"/>
        <v>0</v>
      </c>
      <c r="R98" s="2">
        <f t="shared" si="56"/>
        <v>0</v>
      </c>
      <c r="S98" s="2">
        <f t="shared" si="56"/>
        <v>0</v>
      </c>
      <c r="T98" s="6">
        <f t="shared" si="47"/>
        <v>0</v>
      </c>
      <c r="U98" s="24">
        <v>0</v>
      </c>
      <c r="V98" s="23">
        <f t="shared" si="50"/>
        <v>0</v>
      </c>
      <c r="W98" s="2">
        <f t="shared" si="54"/>
        <v>0</v>
      </c>
      <c r="X98" s="2">
        <f t="shared" si="54"/>
        <v>0</v>
      </c>
      <c r="Y98" s="2">
        <f t="shared" si="54"/>
        <v>0</v>
      </c>
      <c r="Z98" s="2">
        <f t="shared" si="54"/>
        <v>0</v>
      </c>
      <c r="AA98" s="2">
        <f t="shared" si="54"/>
        <v>0</v>
      </c>
      <c r="AB98" s="2">
        <f t="shared" si="54"/>
        <v>0</v>
      </c>
      <c r="AC98" s="2">
        <f t="shared" si="54"/>
        <v>0</v>
      </c>
      <c r="AD98" s="2">
        <f t="shared" si="54"/>
        <v>0</v>
      </c>
      <c r="AE98" s="2">
        <f t="shared" si="54"/>
        <v>0</v>
      </c>
      <c r="AF98" s="2">
        <f t="shared" si="54"/>
        <v>0</v>
      </c>
      <c r="AG98" s="2">
        <f t="shared" si="54"/>
        <v>0</v>
      </c>
      <c r="AH98" s="2">
        <f t="shared" si="54"/>
        <v>0</v>
      </c>
      <c r="AI98" s="6">
        <f t="shared" si="48"/>
        <v>0</v>
      </c>
    </row>
    <row r="99" spans="1:35" outlineLevel="1" x14ac:dyDescent="0.25">
      <c r="A99" s="1" t="s">
        <v>102</v>
      </c>
      <c r="B99" s="2">
        <v>-11599.17</v>
      </c>
      <c r="C99" s="8">
        <f>+B99/$B$2</f>
        <v>-1.0512776434781737E-3</v>
      </c>
      <c r="D99" s="2">
        <v>-8113.6</v>
      </c>
      <c r="E99" s="8">
        <f>+D99/$D$2</f>
        <v>-9.6467194790474716E-4</v>
      </c>
      <c r="F99" s="24">
        <v>-7000</v>
      </c>
      <c r="G99" s="8">
        <f>+F99/$D$2</f>
        <v>-8.3226972433115133E-4</v>
      </c>
      <c r="H99" s="2">
        <f t="shared" si="45"/>
        <v>-583.33333333333337</v>
      </c>
      <c r="I99" s="2">
        <f t="shared" si="56"/>
        <v>-583.33333333333337</v>
      </c>
      <c r="J99" s="2">
        <f t="shared" si="56"/>
        <v>-583.33333333333337</v>
      </c>
      <c r="K99" s="2">
        <f t="shared" si="56"/>
        <v>-583.33333333333337</v>
      </c>
      <c r="L99" s="2">
        <f t="shared" si="56"/>
        <v>-583.33333333333337</v>
      </c>
      <c r="M99" s="2">
        <f t="shared" si="56"/>
        <v>-583.33333333333337</v>
      </c>
      <c r="N99" s="2">
        <f t="shared" si="56"/>
        <v>-583.33333333333337</v>
      </c>
      <c r="O99" s="2">
        <f t="shared" si="56"/>
        <v>-583.33333333333337</v>
      </c>
      <c r="P99" s="2">
        <f t="shared" si="56"/>
        <v>-583.33333333333337</v>
      </c>
      <c r="Q99" s="2">
        <f t="shared" si="56"/>
        <v>-583.33333333333337</v>
      </c>
      <c r="R99" s="2">
        <f t="shared" si="56"/>
        <v>-583.33333333333337</v>
      </c>
      <c r="S99" s="2">
        <f t="shared" si="56"/>
        <v>-583.33333333333337</v>
      </c>
      <c r="T99" s="6">
        <f t="shared" si="47"/>
        <v>-6999.9999999999991</v>
      </c>
      <c r="U99" s="24">
        <v>0</v>
      </c>
      <c r="V99" s="23">
        <f t="shared" si="50"/>
        <v>0</v>
      </c>
      <c r="W99" s="2">
        <f t="shared" si="54"/>
        <v>0</v>
      </c>
      <c r="X99" s="2">
        <f t="shared" si="54"/>
        <v>0</v>
      </c>
      <c r="Y99" s="2">
        <f t="shared" si="54"/>
        <v>0</v>
      </c>
      <c r="Z99" s="2">
        <f t="shared" si="54"/>
        <v>0</v>
      </c>
      <c r="AA99" s="2">
        <f t="shared" si="54"/>
        <v>0</v>
      </c>
      <c r="AB99" s="2">
        <f t="shared" si="54"/>
        <v>0</v>
      </c>
      <c r="AC99" s="2">
        <f t="shared" si="54"/>
        <v>0</v>
      </c>
      <c r="AD99" s="2">
        <f t="shared" si="54"/>
        <v>0</v>
      </c>
      <c r="AE99" s="2">
        <f t="shared" si="54"/>
        <v>0</v>
      </c>
      <c r="AF99" s="2">
        <f t="shared" si="54"/>
        <v>0</v>
      </c>
      <c r="AG99" s="2">
        <f t="shared" si="54"/>
        <v>0</v>
      </c>
      <c r="AH99" s="2">
        <f t="shared" si="54"/>
        <v>0</v>
      </c>
      <c r="AI99" s="6">
        <f t="shared" si="48"/>
        <v>0</v>
      </c>
    </row>
    <row r="100" spans="1:35" outlineLevel="1" x14ac:dyDescent="0.25">
      <c r="A100" s="1" t="s">
        <v>103</v>
      </c>
      <c r="B100" s="2">
        <v>-7271.18</v>
      </c>
      <c r="C100" s="8">
        <f>+B100/$B$2</f>
        <v>-6.5901516881859885E-4</v>
      </c>
      <c r="D100" s="2">
        <v>-8550.52</v>
      </c>
      <c r="E100" s="8">
        <f>+D100/$D$2</f>
        <v>-1.0166198461839995E-3</v>
      </c>
      <c r="F100" s="24">
        <v>-8000</v>
      </c>
      <c r="G100" s="8">
        <f>+F100/$D$2</f>
        <v>-9.5116539923560152E-4</v>
      </c>
      <c r="H100" s="2">
        <f t="shared" si="45"/>
        <v>-666.66666666666663</v>
      </c>
      <c r="I100" s="2">
        <f t="shared" si="56"/>
        <v>-666.66666666666663</v>
      </c>
      <c r="J100" s="2">
        <f t="shared" si="56"/>
        <v>-666.66666666666663</v>
      </c>
      <c r="K100" s="2">
        <f t="shared" si="56"/>
        <v>-666.66666666666663</v>
      </c>
      <c r="L100" s="2">
        <f t="shared" si="56"/>
        <v>-666.66666666666663</v>
      </c>
      <c r="M100" s="2">
        <f t="shared" si="56"/>
        <v>-666.66666666666663</v>
      </c>
      <c r="N100" s="2">
        <f t="shared" si="56"/>
        <v>-666.66666666666663</v>
      </c>
      <c r="O100" s="2">
        <f t="shared" si="56"/>
        <v>-666.66666666666663</v>
      </c>
      <c r="P100" s="2">
        <f t="shared" si="56"/>
        <v>-666.66666666666663</v>
      </c>
      <c r="Q100" s="2">
        <f t="shared" si="56"/>
        <v>-666.66666666666663</v>
      </c>
      <c r="R100" s="2">
        <f t="shared" si="56"/>
        <v>-666.66666666666663</v>
      </c>
      <c r="S100" s="2">
        <f t="shared" si="56"/>
        <v>-666.66666666666663</v>
      </c>
      <c r="T100" s="6">
        <f t="shared" si="47"/>
        <v>-8000.0000000000009</v>
      </c>
      <c r="U100" s="24">
        <v>0</v>
      </c>
      <c r="V100" s="23">
        <f t="shared" si="50"/>
        <v>0</v>
      </c>
      <c r="W100" s="2">
        <f t="shared" si="54"/>
        <v>0</v>
      </c>
      <c r="X100" s="2">
        <f t="shared" si="54"/>
        <v>0</v>
      </c>
      <c r="Y100" s="2">
        <f t="shared" si="54"/>
        <v>0</v>
      </c>
      <c r="Z100" s="2">
        <f t="shared" si="54"/>
        <v>0</v>
      </c>
      <c r="AA100" s="2">
        <f t="shared" si="54"/>
        <v>0</v>
      </c>
      <c r="AB100" s="2">
        <f t="shared" si="54"/>
        <v>0</v>
      </c>
      <c r="AC100" s="2">
        <f t="shared" si="54"/>
        <v>0</v>
      </c>
      <c r="AD100" s="2">
        <f t="shared" si="54"/>
        <v>0</v>
      </c>
      <c r="AE100" s="2">
        <f t="shared" si="54"/>
        <v>0</v>
      </c>
      <c r="AF100" s="2">
        <f t="shared" si="54"/>
        <v>0</v>
      </c>
      <c r="AG100" s="2">
        <f t="shared" si="54"/>
        <v>0</v>
      </c>
      <c r="AH100" s="2">
        <f t="shared" si="54"/>
        <v>0</v>
      </c>
      <c r="AI100" s="6">
        <f t="shared" si="48"/>
        <v>0</v>
      </c>
    </row>
    <row r="101" spans="1:35" outlineLevel="1" x14ac:dyDescent="0.25">
      <c r="A101" s="1" t="s">
        <v>104</v>
      </c>
      <c r="B101" s="2">
        <v>-1798.4</v>
      </c>
      <c r="C101" s="8">
        <f>+B101/$B$2</f>
        <v>-1.6299594833347108E-4</v>
      </c>
      <c r="D101" s="2">
        <v>-1720.44</v>
      </c>
      <c r="E101" s="8">
        <f>+D101/$D$2</f>
        <v>-2.045528749326123E-4</v>
      </c>
      <c r="F101" s="24">
        <v>-2000</v>
      </c>
      <c r="G101" s="8">
        <f>+F101/$D$2</f>
        <v>-2.3779134980890038E-4</v>
      </c>
      <c r="H101" s="2">
        <f t="shared" si="45"/>
        <v>-166.66666666666666</v>
      </c>
      <c r="I101" s="2">
        <f t="shared" si="56"/>
        <v>-166.66666666666666</v>
      </c>
      <c r="J101" s="2">
        <f t="shared" si="56"/>
        <v>-166.66666666666666</v>
      </c>
      <c r="K101" s="2">
        <f t="shared" si="56"/>
        <v>-166.66666666666666</v>
      </c>
      <c r="L101" s="2">
        <f t="shared" si="56"/>
        <v>-166.66666666666666</v>
      </c>
      <c r="M101" s="2">
        <f t="shared" si="56"/>
        <v>-166.66666666666666</v>
      </c>
      <c r="N101" s="2">
        <f t="shared" si="56"/>
        <v>-166.66666666666666</v>
      </c>
      <c r="O101" s="2">
        <f t="shared" si="56"/>
        <v>-166.66666666666666</v>
      </c>
      <c r="P101" s="2">
        <f t="shared" si="56"/>
        <v>-166.66666666666666</v>
      </c>
      <c r="Q101" s="2">
        <f t="shared" si="56"/>
        <v>-166.66666666666666</v>
      </c>
      <c r="R101" s="2">
        <f t="shared" si="56"/>
        <v>-166.66666666666666</v>
      </c>
      <c r="S101" s="2">
        <f t="shared" si="56"/>
        <v>-166.66666666666666</v>
      </c>
      <c r="T101" s="6">
        <f t="shared" si="47"/>
        <v>-2000.0000000000002</v>
      </c>
      <c r="U101" s="24">
        <v>0</v>
      </c>
      <c r="V101" s="23">
        <f t="shared" si="50"/>
        <v>0</v>
      </c>
      <c r="W101" s="2">
        <f t="shared" si="54"/>
        <v>0</v>
      </c>
      <c r="X101" s="2">
        <f t="shared" si="54"/>
        <v>0</v>
      </c>
      <c r="Y101" s="2">
        <f t="shared" si="54"/>
        <v>0</v>
      </c>
      <c r="Z101" s="2">
        <f t="shared" si="54"/>
        <v>0</v>
      </c>
      <c r="AA101" s="2">
        <f t="shared" si="54"/>
        <v>0</v>
      </c>
      <c r="AB101" s="2">
        <f t="shared" si="54"/>
        <v>0</v>
      </c>
      <c r="AC101" s="2">
        <f t="shared" si="54"/>
        <v>0</v>
      </c>
      <c r="AD101" s="2">
        <f t="shared" si="54"/>
        <v>0</v>
      </c>
      <c r="AE101" s="2">
        <f t="shared" si="54"/>
        <v>0</v>
      </c>
      <c r="AF101" s="2">
        <f t="shared" si="54"/>
        <v>0</v>
      </c>
      <c r="AG101" s="2">
        <f t="shared" si="54"/>
        <v>0</v>
      </c>
      <c r="AH101" s="2">
        <f t="shared" si="54"/>
        <v>0</v>
      </c>
      <c r="AI101" s="6">
        <f t="shared" si="48"/>
        <v>0</v>
      </c>
    </row>
    <row r="102" spans="1:35" outlineLevel="1" x14ac:dyDescent="0.25">
      <c r="A102" s="10" t="s">
        <v>105</v>
      </c>
      <c r="C102" s="8"/>
      <c r="E102" s="8"/>
      <c r="F102" s="24">
        <f>+D102*1.1</f>
        <v>0</v>
      </c>
      <c r="G102" s="8"/>
      <c r="H102" s="2">
        <f t="shared" si="45"/>
        <v>0</v>
      </c>
      <c r="I102" s="2">
        <f t="shared" si="56"/>
        <v>0</v>
      </c>
      <c r="J102" s="2">
        <f t="shared" si="56"/>
        <v>0</v>
      </c>
      <c r="K102" s="2">
        <f t="shared" si="56"/>
        <v>0</v>
      </c>
      <c r="L102" s="2">
        <f t="shared" si="56"/>
        <v>0</v>
      </c>
      <c r="M102" s="2">
        <f t="shared" si="56"/>
        <v>0</v>
      </c>
      <c r="N102" s="2">
        <f t="shared" si="56"/>
        <v>0</v>
      </c>
      <c r="O102" s="2">
        <f t="shared" si="56"/>
        <v>0</v>
      </c>
      <c r="P102" s="2">
        <f t="shared" si="56"/>
        <v>0</v>
      </c>
      <c r="Q102" s="2">
        <f t="shared" si="56"/>
        <v>0</v>
      </c>
      <c r="R102" s="2">
        <f t="shared" si="56"/>
        <v>0</v>
      </c>
      <c r="S102" s="2">
        <f t="shared" si="56"/>
        <v>0</v>
      </c>
      <c r="T102" s="6">
        <f t="shared" si="47"/>
        <v>0</v>
      </c>
      <c r="U102" s="24">
        <v>0</v>
      </c>
      <c r="V102" s="23">
        <f t="shared" si="50"/>
        <v>0</v>
      </c>
      <c r="W102" s="2">
        <f t="shared" si="54"/>
        <v>0</v>
      </c>
      <c r="X102" s="2">
        <f t="shared" si="54"/>
        <v>0</v>
      </c>
      <c r="Y102" s="2">
        <f t="shared" si="54"/>
        <v>0</v>
      </c>
      <c r="Z102" s="2">
        <f t="shared" si="54"/>
        <v>0</v>
      </c>
      <c r="AA102" s="2">
        <f t="shared" si="54"/>
        <v>0</v>
      </c>
      <c r="AB102" s="2">
        <f t="shared" si="54"/>
        <v>0</v>
      </c>
      <c r="AC102" s="2">
        <f t="shared" si="54"/>
        <v>0</v>
      </c>
      <c r="AD102" s="2">
        <f t="shared" si="54"/>
        <v>0</v>
      </c>
      <c r="AE102" s="2">
        <f t="shared" si="54"/>
        <v>0</v>
      </c>
      <c r="AF102" s="2">
        <f t="shared" si="54"/>
        <v>0</v>
      </c>
      <c r="AG102" s="2">
        <f t="shared" si="54"/>
        <v>0</v>
      </c>
      <c r="AH102" s="2">
        <f t="shared" si="54"/>
        <v>0</v>
      </c>
      <c r="AI102" s="6">
        <f t="shared" si="48"/>
        <v>0</v>
      </c>
    </row>
    <row r="103" spans="1:35" outlineLevel="1" x14ac:dyDescent="0.25">
      <c r="A103" s="1" t="s">
        <v>106</v>
      </c>
      <c r="B103" s="2">
        <v>-250</v>
      </c>
      <c r="C103" s="8">
        <f t="shared" ref="C103:C119" si="57">+B103/$B$2</f>
        <v>-2.26584670169972E-5</v>
      </c>
      <c r="D103" s="2">
        <v>0</v>
      </c>
      <c r="E103" s="8">
        <f t="shared" ref="E103:E119" si="58">+D103/$D$2</f>
        <v>0</v>
      </c>
      <c r="F103" s="24">
        <f>+D103*1.1</f>
        <v>0</v>
      </c>
      <c r="G103" s="8">
        <f t="shared" ref="G103:G119" si="59">+F103/$D$2</f>
        <v>0</v>
      </c>
      <c r="H103" s="2">
        <f t="shared" ref="H103:S125" si="60">+$F103/12</f>
        <v>0</v>
      </c>
      <c r="I103" s="2">
        <f t="shared" si="60"/>
        <v>0</v>
      </c>
      <c r="J103" s="2">
        <f t="shared" si="60"/>
        <v>0</v>
      </c>
      <c r="K103" s="2">
        <f t="shared" si="60"/>
        <v>0</v>
      </c>
      <c r="L103" s="2">
        <f t="shared" si="60"/>
        <v>0</v>
      </c>
      <c r="M103" s="2">
        <f t="shared" si="60"/>
        <v>0</v>
      </c>
      <c r="N103" s="2">
        <f t="shared" si="60"/>
        <v>0</v>
      </c>
      <c r="O103" s="2">
        <f t="shared" si="60"/>
        <v>0</v>
      </c>
      <c r="P103" s="2">
        <f t="shared" si="60"/>
        <v>0</v>
      </c>
      <c r="Q103" s="2">
        <f t="shared" si="60"/>
        <v>0</v>
      </c>
      <c r="R103" s="2">
        <f t="shared" si="60"/>
        <v>0</v>
      </c>
      <c r="S103" s="2">
        <f t="shared" si="60"/>
        <v>0</v>
      </c>
      <c r="T103" s="6">
        <f t="shared" si="47"/>
        <v>0</v>
      </c>
      <c r="U103" s="24">
        <v>0</v>
      </c>
      <c r="V103" s="23">
        <f t="shared" si="50"/>
        <v>0</v>
      </c>
      <c r="W103" s="2">
        <f t="shared" si="54"/>
        <v>0</v>
      </c>
      <c r="X103" s="2">
        <f t="shared" si="54"/>
        <v>0</v>
      </c>
      <c r="Y103" s="2">
        <f t="shared" si="54"/>
        <v>0</v>
      </c>
      <c r="Z103" s="2">
        <f t="shared" si="54"/>
        <v>0</v>
      </c>
      <c r="AA103" s="2">
        <f t="shared" si="54"/>
        <v>0</v>
      </c>
      <c r="AB103" s="2">
        <f t="shared" si="54"/>
        <v>0</v>
      </c>
      <c r="AC103" s="2">
        <f t="shared" si="54"/>
        <v>0</v>
      </c>
      <c r="AD103" s="2">
        <f t="shared" si="54"/>
        <v>0</v>
      </c>
      <c r="AE103" s="2">
        <f t="shared" si="54"/>
        <v>0</v>
      </c>
      <c r="AF103" s="2">
        <f t="shared" si="54"/>
        <v>0</v>
      </c>
      <c r="AG103" s="2">
        <f t="shared" si="54"/>
        <v>0</v>
      </c>
      <c r="AH103" s="2">
        <f t="shared" si="54"/>
        <v>0</v>
      </c>
      <c r="AI103" s="6">
        <f t="shared" si="48"/>
        <v>0</v>
      </c>
    </row>
    <row r="104" spans="1:35" outlineLevel="1" x14ac:dyDescent="0.25">
      <c r="A104" s="1" t="s">
        <v>107</v>
      </c>
      <c r="B104" s="2">
        <v>-22457.42</v>
      </c>
      <c r="C104" s="8">
        <f t="shared" si="57"/>
        <v>-2.0354028414274129E-3</v>
      </c>
      <c r="D104" s="2">
        <v>0</v>
      </c>
      <c r="E104" s="8">
        <f t="shared" si="58"/>
        <v>0</v>
      </c>
      <c r="F104" s="24">
        <f>+D104*1.1</f>
        <v>0</v>
      </c>
      <c r="G104" s="8">
        <f t="shared" si="59"/>
        <v>0</v>
      </c>
      <c r="H104" s="2">
        <f t="shared" si="60"/>
        <v>0</v>
      </c>
      <c r="I104" s="2">
        <f t="shared" si="60"/>
        <v>0</v>
      </c>
      <c r="J104" s="2">
        <f t="shared" si="60"/>
        <v>0</v>
      </c>
      <c r="K104" s="2">
        <f t="shared" si="60"/>
        <v>0</v>
      </c>
      <c r="L104" s="2">
        <f t="shared" si="60"/>
        <v>0</v>
      </c>
      <c r="M104" s="2">
        <f t="shared" si="60"/>
        <v>0</v>
      </c>
      <c r="N104" s="2">
        <f t="shared" si="60"/>
        <v>0</v>
      </c>
      <c r="O104" s="2">
        <f t="shared" si="60"/>
        <v>0</v>
      </c>
      <c r="P104" s="2">
        <f t="shared" si="60"/>
        <v>0</v>
      </c>
      <c r="Q104" s="2">
        <f t="shared" si="60"/>
        <v>0</v>
      </c>
      <c r="R104" s="2">
        <f t="shared" si="60"/>
        <v>0</v>
      </c>
      <c r="S104" s="2">
        <f t="shared" si="60"/>
        <v>0</v>
      </c>
      <c r="T104" s="6">
        <f t="shared" si="47"/>
        <v>0</v>
      </c>
      <c r="U104" s="24">
        <v>0</v>
      </c>
      <c r="V104" s="23">
        <f t="shared" si="50"/>
        <v>0</v>
      </c>
      <c r="W104" s="2">
        <f t="shared" si="54"/>
        <v>0</v>
      </c>
      <c r="X104" s="2">
        <f t="shared" si="54"/>
        <v>0</v>
      </c>
      <c r="Y104" s="2">
        <f t="shared" si="54"/>
        <v>0</v>
      </c>
      <c r="Z104" s="2">
        <f t="shared" si="54"/>
        <v>0</v>
      </c>
      <c r="AA104" s="2">
        <f t="shared" si="54"/>
        <v>0</v>
      </c>
      <c r="AB104" s="2">
        <f t="shared" si="54"/>
        <v>0</v>
      </c>
      <c r="AC104" s="2">
        <f t="shared" si="54"/>
        <v>0</v>
      </c>
      <c r="AD104" s="2">
        <f t="shared" si="54"/>
        <v>0</v>
      </c>
      <c r="AE104" s="2">
        <f t="shared" si="54"/>
        <v>0</v>
      </c>
      <c r="AF104" s="2">
        <f t="shared" si="54"/>
        <v>0</v>
      </c>
      <c r="AG104" s="2">
        <f t="shared" si="54"/>
        <v>0</v>
      </c>
      <c r="AH104" s="2">
        <f t="shared" si="54"/>
        <v>0</v>
      </c>
      <c r="AI104" s="6">
        <f t="shared" si="48"/>
        <v>0</v>
      </c>
    </row>
    <row r="105" spans="1:35" outlineLevel="1" x14ac:dyDescent="0.25">
      <c r="A105" s="1" t="s">
        <v>108</v>
      </c>
      <c r="B105" s="2">
        <v>-2415.54</v>
      </c>
      <c r="C105" s="8">
        <f t="shared" si="57"/>
        <v>-2.1892973367294968E-4</v>
      </c>
      <c r="D105" s="2">
        <v>-824.46</v>
      </c>
      <c r="E105" s="8">
        <f t="shared" si="58"/>
        <v>-9.8024728131723015E-5</v>
      </c>
      <c r="F105" s="24">
        <v>-1000</v>
      </c>
      <c r="G105" s="8">
        <f t="shared" si="59"/>
        <v>-1.1889567490445019E-4</v>
      </c>
      <c r="H105" s="2">
        <f t="shared" si="60"/>
        <v>-83.333333333333329</v>
      </c>
      <c r="I105" s="2">
        <f t="shared" si="60"/>
        <v>-83.333333333333329</v>
      </c>
      <c r="J105" s="2">
        <f t="shared" si="60"/>
        <v>-83.333333333333329</v>
      </c>
      <c r="K105" s="2">
        <f t="shared" si="60"/>
        <v>-83.333333333333329</v>
      </c>
      <c r="L105" s="2">
        <f t="shared" si="60"/>
        <v>-83.333333333333329</v>
      </c>
      <c r="M105" s="2">
        <f t="shared" si="60"/>
        <v>-83.333333333333329</v>
      </c>
      <c r="N105" s="2">
        <f t="shared" si="60"/>
        <v>-83.333333333333329</v>
      </c>
      <c r="O105" s="2">
        <f t="shared" si="60"/>
        <v>-83.333333333333329</v>
      </c>
      <c r="P105" s="2">
        <f t="shared" si="60"/>
        <v>-83.333333333333329</v>
      </c>
      <c r="Q105" s="2">
        <f t="shared" si="60"/>
        <v>-83.333333333333329</v>
      </c>
      <c r="R105" s="2">
        <f t="shared" si="60"/>
        <v>-83.333333333333329</v>
      </c>
      <c r="S105" s="2">
        <f t="shared" si="60"/>
        <v>-83.333333333333329</v>
      </c>
      <c r="T105" s="6">
        <f t="shared" si="47"/>
        <v>-1000.0000000000001</v>
      </c>
      <c r="U105" s="24">
        <v>0</v>
      </c>
      <c r="V105" s="23">
        <f t="shared" si="50"/>
        <v>0</v>
      </c>
      <c r="W105" s="2">
        <f t="shared" si="54"/>
        <v>0</v>
      </c>
      <c r="X105" s="2">
        <f t="shared" si="54"/>
        <v>0</v>
      </c>
      <c r="Y105" s="2">
        <f t="shared" si="54"/>
        <v>0</v>
      </c>
      <c r="Z105" s="2">
        <f t="shared" si="54"/>
        <v>0</v>
      </c>
      <c r="AA105" s="2">
        <f t="shared" si="54"/>
        <v>0</v>
      </c>
      <c r="AB105" s="2">
        <f t="shared" si="54"/>
        <v>0</v>
      </c>
      <c r="AC105" s="2">
        <f t="shared" si="54"/>
        <v>0</v>
      </c>
      <c r="AD105" s="2">
        <f t="shared" si="54"/>
        <v>0</v>
      </c>
      <c r="AE105" s="2">
        <f t="shared" si="54"/>
        <v>0</v>
      </c>
      <c r="AF105" s="2">
        <f t="shared" si="54"/>
        <v>0</v>
      </c>
      <c r="AG105" s="2">
        <f t="shared" si="54"/>
        <v>0</v>
      </c>
      <c r="AH105" s="2">
        <f t="shared" si="54"/>
        <v>0</v>
      </c>
      <c r="AI105" s="6">
        <f t="shared" si="48"/>
        <v>0</v>
      </c>
    </row>
    <row r="106" spans="1:35" outlineLevel="1" x14ac:dyDescent="0.25">
      <c r="A106" s="1" t="s">
        <v>109</v>
      </c>
      <c r="B106" s="2">
        <v>-9102.02</v>
      </c>
      <c r="C106" s="8">
        <f t="shared" si="57"/>
        <v>-8.2495127983219548E-4</v>
      </c>
      <c r="D106" s="2">
        <v>-9468.61</v>
      </c>
      <c r="E106" s="8">
        <f t="shared" si="58"/>
        <v>-1.1257767763570262E-3</v>
      </c>
      <c r="F106" s="24">
        <v>-3000</v>
      </c>
      <c r="G106" s="8">
        <f t="shared" si="59"/>
        <v>-3.5668702471335057E-4</v>
      </c>
      <c r="H106" s="2">
        <f t="shared" si="60"/>
        <v>-250</v>
      </c>
      <c r="I106" s="2">
        <f t="shared" si="60"/>
        <v>-250</v>
      </c>
      <c r="J106" s="2">
        <f t="shared" si="60"/>
        <v>-250</v>
      </c>
      <c r="K106" s="2">
        <f t="shared" si="60"/>
        <v>-250</v>
      </c>
      <c r="L106" s="2">
        <f t="shared" si="60"/>
        <v>-250</v>
      </c>
      <c r="M106" s="2">
        <f t="shared" si="60"/>
        <v>-250</v>
      </c>
      <c r="N106" s="2">
        <f t="shared" si="60"/>
        <v>-250</v>
      </c>
      <c r="O106" s="2">
        <f t="shared" si="60"/>
        <v>-250</v>
      </c>
      <c r="P106" s="2">
        <f t="shared" si="60"/>
        <v>-250</v>
      </c>
      <c r="Q106" s="2">
        <f t="shared" si="60"/>
        <v>-250</v>
      </c>
      <c r="R106" s="2">
        <f t="shared" si="60"/>
        <v>-250</v>
      </c>
      <c r="S106" s="2">
        <f t="shared" si="60"/>
        <v>-250</v>
      </c>
      <c r="T106" s="6">
        <f t="shared" si="47"/>
        <v>-3000</v>
      </c>
      <c r="U106" s="24">
        <v>0</v>
      </c>
      <c r="V106" s="23">
        <f t="shared" si="50"/>
        <v>0</v>
      </c>
      <c r="W106" s="2">
        <f t="shared" si="54"/>
        <v>0</v>
      </c>
      <c r="X106" s="2">
        <f t="shared" si="54"/>
        <v>0</v>
      </c>
      <c r="Y106" s="2">
        <f t="shared" si="54"/>
        <v>0</v>
      </c>
      <c r="Z106" s="2">
        <f t="shared" si="54"/>
        <v>0</v>
      </c>
      <c r="AA106" s="2">
        <f t="shared" si="54"/>
        <v>0</v>
      </c>
      <c r="AB106" s="2">
        <f t="shared" si="54"/>
        <v>0</v>
      </c>
      <c r="AC106" s="2">
        <f t="shared" si="54"/>
        <v>0</v>
      </c>
      <c r="AD106" s="2">
        <f t="shared" si="54"/>
        <v>0</v>
      </c>
      <c r="AE106" s="2">
        <f t="shared" si="54"/>
        <v>0</v>
      </c>
      <c r="AF106" s="2">
        <f t="shared" si="54"/>
        <v>0</v>
      </c>
      <c r="AG106" s="2">
        <f t="shared" si="54"/>
        <v>0</v>
      </c>
      <c r="AH106" s="2">
        <f t="shared" si="54"/>
        <v>0</v>
      </c>
      <c r="AI106" s="6">
        <f t="shared" si="48"/>
        <v>0</v>
      </c>
    </row>
    <row r="107" spans="1:35" outlineLevel="1" x14ac:dyDescent="0.25">
      <c r="A107" s="1" t="s">
        <v>110</v>
      </c>
      <c r="B107" s="2">
        <v>-2105.33</v>
      </c>
      <c r="C107" s="8">
        <f t="shared" si="57"/>
        <v>-1.9081420145957887E-4</v>
      </c>
      <c r="D107" s="2">
        <v>-255.68</v>
      </c>
      <c r="E107" s="8">
        <f t="shared" si="58"/>
        <v>-3.0399246159569828E-5</v>
      </c>
      <c r="F107" s="24">
        <v>-1000</v>
      </c>
      <c r="G107" s="8">
        <f t="shared" si="59"/>
        <v>-1.1889567490445019E-4</v>
      </c>
      <c r="H107" s="2">
        <f t="shared" si="60"/>
        <v>-83.333333333333329</v>
      </c>
      <c r="I107" s="2">
        <f t="shared" si="60"/>
        <v>-83.333333333333329</v>
      </c>
      <c r="J107" s="2">
        <f t="shared" si="60"/>
        <v>-83.333333333333329</v>
      </c>
      <c r="K107" s="2">
        <f t="shared" si="60"/>
        <v>-83.333333333333329</v>
      </c>
      <c r="L107" s="2">
        <f t="shared" si="60"/>
        <v>-83.333333333333329</v>
      </c>
      <c r="M107" s="2">
        <f t="shared" si="60"/>
        <v>-83.333333333333329</v>
      </c>
      <c r="N107" s="2">
        <f t="shared" si="60"/>
        <v>-83.333333333333329</v>
      </c>
      <c r="O107" s="2">
        <f t="shared" si="60"/>
        <v>-83.333333333333329</v>
      </c>
      <c r="P107" s="2">
        <f t="shared" si="60"/>
        <v>-83.333333333333329</v>
      </c>
      <c r="Q107" s="2">
        <f t="shared" si="60"/>
        <v>-83.333333333333329</v>
      </c>
      <c r="R107" s="2">
        <f t="shared" si="60"/>
        <v>-83.333333333333329</v>
      </c>
      <c r="S107" s="2">
        <f t="shared" si="60"/>
        <v>-83.333333333333329</v>
      </c>
      <c r="T107" s="6">
        <f t="shared" si="47"/>
        <v>-1000.0000000000001</v>
      </c>
      <c r="U107" s="24">
        <v>0</v>
      </c>
      <c r="V107" s="23">
        <f t="shared" si="50"/>
        <v>0</v>
      </c>
      <c r="W107" s="2">
        <f t="shared" si="54"/>
        <v>0</v>
      </c>
      <c r="X107" s="2">
        <f t="shared" si="54"/>
        <v>0</v>
      </c>
      <c r="Y107" s="2">
        <f t="shared" si="54"/>
        <v>0</v>
      </c>
      <c r="Z107" s="2">
        <f t="shared" si="54"/>
        <v>0</v>
      </c>
      <c r="AA107" s="2">
        <f t="shared" si="54"/>
        <v>0</v>
      </c>
      <c r="AB107" s="2">
        <f t="shared" si="54"/>
        <v>0</v>
      </c>
      <c r="AC107" s="2">
        <f t="shared" si="54"/>
        <v>0</v>
      </c>
      <c r="AD107" s="2">
        <f t="shared" si="54"/>
        <v>0</v>
      </c>
      <c r="AE107" s="2">
        <f t="shared" si="54"/>
        <v>0</v>
      </c>
      <c r="AF107" s="2">
        <f t="shared" si="54"/>
        <v>0</v>
      </c>
      <c r="AG107" s="2">
        <f t="shared" si="54"/>
        <v>0</v>
      </c>
      <c r="AH107" s="2">
        <f t="shared" si="54"/>
        <v>0</v>
      </c>
      <c r="AI107" s="6">
        <f t="shared" si="48"/>
        <v>0</v>
      </c>
    </row>
    <row r="108" spans="1:35" outlineLevel="1" x14ac:dyDescent="0.25">
      <c r="A108" s="1" t="s">
        <v>111</v>
      </c>
      <c r="B108" s="2">
        <v>-1504.19</v>
      </c>
      <c r="C108" s="8">
        <f t="shared" si="57"/>
        <v>-1.3633055800918808E-4</v>
      </c>
      <c r="D108" s="2">
        <v>-3249.72</v>
      </c>
      <c r="E108" s="8">
        <f t="shared" si="58"/>
        <v>-3.8637765265048984E-4</v>
      </c>
      <c r="F108" s="24">
        <v>-3500</v>
      </c>
      <c r="G108" s="8">
        <f t="shared" si="59"/>
        <v>-4.1613486216557566E-4</v>
      </c>
      <c r="H108" s="2">
        <f t="shared" si="60"/>
        <v>-291.66666666666669</v>
      </c>
      <c r="I108" s="2">
        <f t="shared" si="60"/>
        <v>-291.66666666666669</v>
      </c>
      <c r="J108" s="2">
        <f t="shared" si="60"/>
        <v>-291.66666666666669</v>
      </c>
      <c r="K108" s="2">
        <f t="shared" si="60"/>
        <v>-291.66666666666669</v>
      </c>
      <c r="L108" s="2">
        <f t="shared" si="60"/>
        <v>-291.66666666666669</v>
      </c>
      <c r="M108" s="2">
        <f t="shared" si="60"/>
        <v>-291.66666666666669</v>
      </c>
      <c r="N108" s="2">
        <f t="shared" si="60"/>
        <v>-291.66666666666669</v>
      </c>
      <c r="O108" s="2">
        <f t="shared" si="60"/>
        <v>-291.66666666666669</v>
      </c>
      <c r="P108" s="2">
        <f t="shared" si="60"/>
        <v>-291.66666666666669</v>
      </c>
      <c r="Q108" s="2">
        <f t="shared" si="60"/>
        <v>-291.66666666666669</v>
      </c>
      <c r="R108" s="2">
        <f t="shared" si="60"/>
        <v>-291.66666666666669</v>
      </c>
      <c r="S108" s="2">
        <f t="shared" si="60"/>
        <v>-291.66666666666669</v>
      </c>
      <c r="T108" s="6">
        <f t="shared" si="47"/>
        <v>-3499.9999999999995</v>
      </c>
      <c r="U108" s="24">
        <v>0</v>
      </c>
      <c r="V108" s="23">
        <f t="shared" si="50"/>
        <v>0</v>
      </c>
      <c r="W108" s="2">
        <f t="shared" si="54"/>
        <v>0</v>
      </c>
      <c r="X108" s="2">
        <f t="shared" si="54"/>
        <v>0</v>
      </c>
      <c r="Y108" s="2">
        <f t="shared" si="54"/>
        <v>0</v>
      </c>
      <c r="Z108" s="2">
        <f t="shared" si="54"/>
        <v>0</v>
      </c>
      <c r="AA108" s="2">
        <f t="shared" si="54"/>
        <v>0</v>
      </c>
      <c r="AB108" s="2">
        <f t="shared" si="54"/>
        <v>0</v>
      </c>
      <c r="AC108" s="2">
        <f t="shared" si="54"/>
        <v>0</v>
      </c>
      <c r="AD108" s="2">
        <f t="shared" si="54"/>
        <v>0</v>
      </c>
      <c r="AE108" s="2">
        <f t="shared" si="54"/>
        <v>0</v>
      </c>
      <c r="AF108" s="2">
        <f t="shared" ref="W108:AH121" si="61">+$U108/12</f>
        <v>0</v>
      </c>
      <c r="AG108" s="2">
        <f t="shared" si="61"/>
        <v>0</v>
      </c>
      <c r="AH108" s="2">
        <f t="shared" si="61"/>
        <v>0</v>
      </c>
      <c r="AI108" s="6">
        <f t="shared" si="48"/>
        <v>0</v>
      </c>
    </row>
    <row r="109" spans="1:35" outlineLevel="1" x14ac:dyDescent="0.25">
      <c r="A109" s="1" t="s">
        <v>112</v>
      </c>
      <c r="B109" s="2">
        <v>-3578.25</v>
      </c>
      <c r="C109" s="8">
        <f t="shared" si="57"/>
        <v>-3.2431063841428093E-4</v>
      </c>
      <c r="D109" s="2">
        <v>-1979.95</v>
      </c>
      <c r="E109" s="8">
        <f t="shared" si="58"/>
        <v>-2.3540749152706618E-4</v>
      </c>
      <c r="F109" s="24">
        <v>-2000</v>
      </c>
      <c r="G109" s="8">
        <f t="shared" si="59"/>
        <v>-2.3779134980890038E-4</v>
      </c>
      <c r="H109" s="2">
        <f t="shared" si="60"/>
        <v>-166.66666666666666</v>
      </c>
      <c r="I109" s="2">
        <f t="shared" si="60"/>
        <v>-166.66666666666666</v>
      </c>
      <c r="J109" s="2">
        <f t="shared" si="60"/>
        <v>-166.66666666666666</v>
      </c>
      <c r="K109" s="2">
        <f t="shared" si="60"/>
        <v>-166.66666666666666</v>
      </c>
      <c r="L109" s="2">
        <f t="shared" si="60"/>
        <v>-166.66666666666666</v>
      </c>
      <c r="M109" s="2">
        <f t="shared" si="60"/>
        <v>-166.66666666666666</v>
      </c>
      <c r="N109" s="2">
        <f t="shared" si="60"/>
        <v>-166.66666666666666</v>
      </c>
      <c r="O109" s="2">
        <f t="shared" si="60"/>
        <v>-166.66666666666666</v>
      </c>
      <c r="P109" s="2">
        <f t="shared" si="60"/>
        <v>-166.66666666666666</v>
      </c>
      <c r="Q109" s="2">
        <f t="shared" si="60"/>
        <v>-166.66666666666666</v>
      </c>
      <c r="R109" s="2">
        <f t="shared" si="60"/>
        <v>-166.66666666666666</v>
      </c>
      <c r="S109" s="2">
        <f t="shared" si="60"/>
        <v>-166.66666666666666</v>
      </c>
      <c r="T109" s="6">
        <f t="shared" si="47"/>
        <v>-2000.0000000000002</v>
      </c>
      <c r="U109" s="24">
        <v>0</v>
      </c>
      <c r="V109" s="23">
        <f t="shared" si="50"/>
        <v>0</v>
      </c>
      <c r="W109" s="2">
        <f t="shared" si="61"/>
        <v>0</v>
      </c>
      <c r="X109" s="2">
        <f t="shared" si="61"/>
        <v>0</v>
      </c>
      <c r="Y109" s="2">
        <f t="shared" si="61"/>
        <v>0</v>
      </c>
      <c r="Z109" s="2">
        <f t="shared" si="61"/>
        <v>0</v>
      </c>
      <c r="AA109" s="2">
        <f t="shared" si="61"/>
        <v>0</v>
      </c>
      <c r="AB109" s="2">
        <f t="shared" si="61"/>
        <v>0</v>
      </c>
      <c r="AC109" s="2">
        <f t="shared" si="61"/>
        <v>0</v>
      </c>
      <c r="AD109" s="2">
        <f t="shared" si="61"/>
        <v>0</v>
      </c>
      <c r="AE109" s="2">
        <f t="shared" si="61"/>
        <v>0</v>
      </c>
      <c r="AF109" s="2">
        <f t="shared" si="61"/>
        <v>0</v>
      </c>
      <c r="AG109" s="2">
        <f t="shared" si="61"/>
        <v>0</v>
      </c>
      <c r="AH109" s="2">
        <f t="shared" si="61"/>
        <v>0</v>
      </c>
      <c r="AI109" s="6">
        <f t="shared" si="48"/>
        <v>0</v>
      </c>
    </row>
    <row r="110" spans="1:35" outlineLevel="1" x14ac:dyDescent="0.25">
      <c r="A110" s="1" t="s">
        <v>113</v>
      </c>
      <c r="B110" s="2">
        <v>-5193.66</v>
      </c>
      <c r="C110" s="8">
        <f t="shared" si="57"/>
        <v>-4.707214952299907E-4</v>
      </c>
      <c r="D110" s="2">
        <v>-4201.68</v>
      </c>
      <c r="E110" s="8">
        <f t="shared" si="58"/>
        <v>-4.9956157933253034E-4</v>
      </c>
      <c r="F110" s="24">
        <v>-4200</v>
      </c>
      <c r="G110" s="8">
        <f t="shared" si="59"/>
        <v>-4.9936183459869086E-4</v>
      </c>
      <c r="H110" s="2">
        <f t="shared" si="60"/>
        <v>-350</v>
      </c>
      <c r="I110" s="2">
        <f t="shared" si="60"/>
        <v>-350</v>
      </c>
      <c r="J110" s="2">
        <f t="shared" si="60"/>
        <v>-350</v>
      </c>
      <c r="K110" s="2">
        <f t="shared" si="60"/>
        <v>-350</v>
      </c>
      <c r="L110" s="2">
        <f t="shared" si="60"/>
        <v>-350</v>
      </c>
      <c r="M110" s="2">
        <f t="shared" si="60"/>
        <v>-350</v>
      </c>
      <c r="N110" s="2">
        <f t="shared" si="60"/>
        <v>-350</v>
      </c>
      <c r="O110" s="2">
        <f t="shared" si="60"/>
        <v>-350</v>
      </c>
      <c r="P110" s="2">
        <f t="shared" si="60"/>
        <v>-350</v>
      </c>
      <c r="Q110" s="2">
        <f t="shared" si="60"/>
        <v>-350</v>
      </c>
      <c r="R110" s="2">
        <f t="shared" si="60"/>
        <v>-350</v>
      </c>
      <c r="S110" s="2">
        <f t="shared" si="60"/>
        <v>-350</v>
      </c>
      <c r="T110" s="6">
        <f t="shared" si="47"/>
        <v>-4200</v>
      </c>
      <c r="U110" s="24">
        <v>0</v>
      </c>
      <c r="V110" s="23">
        <f t="shared" si="50"/>
        <v>0</v>
      </c>
      <c r="W110" s="2">
        <f t="shared" si="61"/>
        <v>0</v>
      </c>
      <c r="X110" s="2">
        <f t="shared" si="61"/>
        <v>0</v>
      </c>
      <c r="Y110" s="2">
        <f t="shared" si="61"/>
        <v>0</v>
      </c>
      <c r="Z110" s="2">
        <f t="shared" si="61"/>
        <v>0</v>
      </c>
      <c r="AA110" s="2">
        <f t="shared" si="61"/>
        <v>0</v>
      </c>
      <c r="AB110" s="2">
        <f t="shared" si="61"/>
        <v>0</v>
      </c>
      <c r="AC110" s="2">
        <f t="shared" si="61"/>
        <v>0</v>
      </c>
      <c r="AD110" s="2">
        <f t="shared" si="61"/>
        <v>0</v>
      </c>
      <c r="AE110" s="2">
        <f t="shared" si="61"/>
        <v>0</v>
      </c>
      <c r="AF110" s="2">
        <f t="shared" si="61"/>
        <v>0</v>
      </c>
      <c r="AG110" s="2">
        <f t="shared" si="61"/>
        <v>0</v>
      </c>
      <c r="AH110" s="2">
        <f t="shared" si="61"/>
        <v>0</v>
      </c>
      <c r="AI110" s="6">
        <f t="shared" si="48"/>
        <v>0</v>
      </c>
    </row>
    <row r="111" spans="1:35" outlineLevel="1" x14ac:dyDescent="0.25">
      <c r="A111" s="1" t="s">
        <v>114</v>
      </c>
      <c r="B111" s="2">
        <v>-1084.69</v>
      </c>
      <c r="C111" s="8">
        <f t="shared" si="57"/>
        <v>-9.8309650354666778E-5</v>
      </c>
      <c r="D111" s="2">
        <v>-762.5</v>
      </c>
      <c r="E111" s="8">
        <f t="shared" si="58"/>
        <v>-9.0657952114643267E-5</v>
      </c>
      <c r="F111" s="24">
        <v>-800</v>
      </c>
      <c r="G111" s="8">
        <f t="shared" si="59"/>
        <v>-9.5116539923560155E-5</v>
      </c>
      <c r="H111" s="2">
        <f t="shared" si="60"/>
        <v>-66.666666666666671</v>
      </c>
      <c r="I111" s="2">
        <f t="shared" si="60"/>
        <v>-66.666666666666671</v>
      </c>
      <c r="J111" s="2">
        <f t="shared" si="60"/>
        <v>-66.666666666666671</v>
      </c>
      <c r="K111" s="2">
        <f t="shared" si="60"/>
        <v>-66.666666666666671</v>
      </c>
      <c r="L111" s="2">
        <f t="shared" si="60"/>
        <v>-66.666666666666671</v>
      </c>
      <c r="M111" s="2">
        <f t="shared" si="60"/>
        <v>-66.666666666666671</v>
      </c>
      <c r="N111" s="2">
        <f t="shared" si="60"/>
        <v>-66.666666666666671</v>
      </c>
      <c r="O111" s="2">
        <f t="shared" si="60"/>
        <v>-66.666666666666671</v>
      </c>
      <c r="P111" s="2">
        <f t="shared" si="60"/>
        <v>-66.666666666666671</v>
      </c>
      <c r="Q111" s="2">
        <f t="shared" si="60"/>
        <v>-66.666666666666671</v>
      </c>
      <c r="R111" s="2">
        <f t="shared" si="60"/>
        <v>-66.666666666666671</v>
      </c>
      <c r="S111" s="2">
        <f t="shared" si="60"/>
        <v>-66.666666666666671</v>
      </c>
      <c r="T111" s="6">
        <f t="shared" si="47"/>
        <v>-799.99999999999989</v>
      </c>
      <c r="U111" s="24">
        <v>0</v>
      </c>
      <c r="V111" s="23">
        <f t="shared" si="50"/>
        <v>0</v>
      </c>
      <c r="W111" s="2">
        <f t="shared" si="61"/>
        <v>0</v>
      </c>
      <c r="X111" s="2">
        <f t="shared" si="61"/>
        <v>0</v>
      </c>
      <c r="Y111" s="2">
        <f t="shared" si="61"/>
        <v>0</v>
      </c>
      <c r="Z111" s="2">
        <f t="shared" si="61"/>
        <v>0</v>
      </c>
      <c r="AA111" s="2">
        <f t="shared" si="61"/>
        <v>0</v>
      </c>
      <c r="AB111" s="2">
        <f t="shared" si="61"/>
        <v>0</v>
      </c>
      <c r="AC111" s="2">
        <f t="shared" si="61"/>
        <v>0</v>
      </c>
      <c r="AD111" s="2">
        <f t="shared" si="61"/>
        <v>0</v>
      </c>
      <c r="AE111" s="2">
        <f t="shared" si="61"/>
        <v>0</v>
      </c>
      <c r="AF111" s="2">
        <f t="shared" si="61"/>
        <v>0</v>
      </c>
      <c r="AG111" s="2">
        <f t="shared" si="61"/>
        <v>0</v>
      </c>
      <c r="AH111" s="2">
        <f t="shared" si="61"/>
        <v>0</v>
      </c>
      <c r="AI111" s="6">
        <f t="shared" si="48"/>
        <v>0</v>
      </c>
    </row>
    <row r="112" spans="1:35" outlineLevel="1" x14ac:dyDescent="0.25">
      <c r="A112" s="1" t="s">
        <v>115</v>
      </c>
      <c r="B112" s="2">
        <v>-25.06</v>
      </c>
      <c r="C112" s="8">
        <f t="shared" si="57"/>
        <v>-2.2712847337837991E-6</v>
      </c>
      <c r="D112" s="2">
        <v>-54.27</v>
      </c>
      <c r="E112" s="8">
        <f t="shared" si="58"/>
        <v>-6.4524682770645122E-6</v>
      </c>
      <c r="F112" s="24">
        <v>-60</v>
      </c>
      <c r="G112" s="8">
        <f t="shared" si="59"/>
        <v>-7.1337404942670116E-6</v>
      </c>
      <c r="H112" s="2">
        <f t="shared" si="60"/>
        <v>-5</v>
      </c>
      <c r="I112" s="2">
        <f t="shared" si="60"/>
        <v>-5</v>
      </c>
      <c r="J112" s="2">
        <f t="shared" si="60"/>
        <v>-5</v>
      </c>
      <c r="K112" s="2">
        <f t="shared" si="60"/>
        <v>-5</v>
      </c>
      <c r="L112" s="2">
        <f t="shared" si="60"/>
        <v>-5</v>
      </c>
      <c r="M112" s="2">
        <f t="shared" si="60"/>
        <v>-5</v>
      </c>
      <c r="N112" s="2">
        <f t="shared" si="60"/>
        <v>-5</v>
      </c>
      <c r="O112" s="2">
        <f t="shared" si="60"/>
        <v>-5</v>
      </c>
      <c r="P112" s="2">
        <f t="shared" si="60"/>
        <v>-5</v>
      </c>
      <c r="Q112" s="2">
        <f t="shared" si="60"/>
        <v>-5</v>
      </c>
      <c r="R112" s="2">
        <f t="shared" si="60"/>
        <v>-5</v>
      </c>
      <c r="S112" s="2">
        <f t="shared" si="60"/>
        <v>-5</v>
      </c>
      <c r="T112" s="6">
        <f t="shared" si="47"/>
        <v>-60</v>
      </c>
      <c r="U112" s="24">
        <v>0</v>
      </c>
      <c r="V112" s="23">
        <f t="shared" si="50"/>
        <v>0</v>
      </c>
      <c r="W112" s="2">
        <f t="shared" si="61"/>
        <v>0</v>
      </c>
      <c r="X112" s="2">
        <f t="shared" si="61"/>
        <v>0</v>
      </c>
      <c r="Y112" s="2">
        <f t="shared" si="61"/>
        <v>0</v>
      </c>
      <c r="Z112" s="2">
        <f t="shared" si="61"/>
        <v>0</v>
      </c>
      <c r="AA112" s="2">
        <f t="shared" si="61"/>
        <v>0</v>
      </c>
      <c r="AB112" s="2">
        <f t="shared" si="61"/>
        <v>0</v>
      </c>
      <c r="AC112" s="2">
        <f t="shared" si="61"/>
        <v>0</v>
      </c>
      <c r="AD112" s="2">
        <f t="shared" si="61"/>
        <v>0</v>
      </c>
      <c r="AE112" s="2">
        <f t="shared" si="61"/>
        <v>0</v>
      </c>
      <c r="AF112" s="2">
        <f t="shared" si="61"/>
        <v>0</v>
      </c>
      <c r="AG112" s="2">
        <f t="shared" si="61"/>
        <v>0</v>
      </c>
      <c r="AH112" s="2">
        <f t="shared" si="61"/>
        <v>0</v>
      </c>
      <c r="AI112" s="6">
        <f t="shared" si="48"/>
        <v>0</v>
      </c>
    </row>
    <row r="113" spans="1:35" outlineLevel="1" x14ac:dyDescent="0.25">
      <c r="A113" s="1" t="s">
        <v>116</v>
      </c>
      <c r="B113" s="2">
        <v>-2305.14</v>
      </c>
      <c r="C113" s="8">
        <f t="shared" si="57"/>
        <v>-2.089237546382437E-4</v>
      </c>
      <c r="D113" s="2">
        <v>-1799.75</v>
      </c>
      <c r="E113" s="8">
        <f t="shared" si="58"/>
        <v>-2.1398249090928424E-4</v>
      </c>
      <c r="F113" s="24">
        <v>-12500</v>
      </c>
      <c r="G113" s="8">
        <f t="shared" si="59"/>
        <v>-1.4861959363056275E-3</v>
      </c>
      <c r="H113" s="2">
        <f t="shared" si="60"/>
        <v>-1041.6666666666667</v>
      </c>
      <c r="I113" s="2">
        <f t="shared" si="60"/>
        <v>-1041.6666666666667</v>
      </c>
      <c r="J113" s="2">
        <f t="shared" si="60"/>
        <v>-1041.6666666666667</v>
      </c>
      <c r="K113" s="2">
        <f t="shared" si="60"/>
        <v>-1041.6666666666667</v>
      </c>
      <c r="L113" s="2">
        <f t="shared" si="60"/>
        <v>-1041.6666666666667</v>
      </c>
      <c r="M113" s="2">
        <f t="shared" si="60"/>
        <v>-1041.6666666666667</v>
      </c>
      <c r="N113" s="2">
        <f t="shared" si="60"/>
        <v>-1041.6666666666667</v>
      </c>
      <c r="O113" s="2">
        <f t="shared" si="60"/>
        <v>-1041.6666666666667</v>
      </c>
      <c r="P113" s="2">
        <f t="shared" si="60"/>
        <v>-1041.6666666666667</v>
      </c>
      <c r="Q113" s="2">
        <f t="shared" si="60"/>
        <v>-1041.6666666666667</v>
      </c>
      <c r="R113" s="2">
        <f t="shared" si="60"/>
        <v>-1041.6666666666667</v>
      </c>
      <c r="S113" s="2">
        <f t="shared" si="60"/>
        <v>-1041.6666666666667</v>
      </c>
      <c r="T113" s="6">
        <f t="shared" si="47"/>
        <v>-12499.999999999998</v>
      </c>
      <c r="U113" s="24">
        <v>0</v>
      </c>
      <c r="V113" s="23">
        <f t="shared" si="50"/>
        <v>0</v>
      </c>
      <c r="W113" s="2">
        <f t="shared" si="61"/>
        <v>0</v>
      </c>
      <c r="X113" s="2">
        <f t="shared" si="61"/>
        <v>0</v>
      </c>
      <c r="Y113" s="2">
        <f t="shared" si="61"/>
        <v>0</v>
      </c>
      <c r="Z113" s="2">
        <f t="shared" si="61"/>
        <v>0</v>
      </c>
      <c r="AA113" s="2">
        <f t="shared" si="61"/>
        <v>0</v>
      </c>
      <c r="AB113" s="2">
        <f t="shared" si="61"/>
        <v>0</v>
      </c>
      <c r="AC113" s="2">
        <f t="shared" si="61"/>
        <v>0</v>
      </c>
      <c r="AD113" s="2">
        <f t="shared" si="61"/>
        <v>0</v>
      </c>
      <c r="AE113" s="2">
        <f t="shared" si="61"/>
        <v>0</v>
      </c>
      <c r="AF113" s="2">
        <f t="shared" si="61"/>
        <v>0</v>
      </c>
      <c r="AG113" s="2">
        <f t="shared" si="61"/>
        <v>0</v>
      </c>
      <c r="AH113" s="2">
        <f t="shared" si="61"/>
        <v>0</v>
      </c>
      <c r="AI113" s="6">
        <f t="shared" si="48"/>
        <v>0</v>
      </c>
    </row>
    <row r="114" spans="1:35" outlineLevel="1" x14ac:dyDescent="0.25">
      <c r="A114" s="1" t="s">
        <v>117</v>
      </c>
      <c r="B114" s="2">
        <v>-13510.56</v>
      </c>
      <c r="C114" s="8">
        <f t="shared" si="57"/>
        <v>-1.2245143125646468E-3</v>
      </c>
      <c r="D114" s="2">
        <v>-10322.64</v>
      </c>
      <c r="E114" s="8">
        <f t="shared" si="58"/>
        <v>-1.2273172495956737E-3</v>
      </c>
      <c r="F114" s="24">
        <v>0</v>
      </c>
      <c r="G114" s="8">
        <f t="shared" si="59"/>
        <v>0</v>
      </c>
      <c r="H114" s="2">
        <f t="shared" si="60"/>
        <v>0</v>
      </c>
      <c r="I114" s="2">
        <f t="shared" si="60"/>
        <v>0</v>
      </c>
      <c r="J114" s="2">
        <f t="shared" si="60"/>
        <v>0</v>
      </c>
      <c r="K114" s="2">
        <f t="shared" si="60"/>
        <v>0</v>
      </c>
      <c r="L114" s="2">
        <f t="shared" si="60"/>
        <v>0</v>
      </c>
      <c r="M114" s="2">
        <f t="shared" si="60"/>
        <v>0</v>
      </c>
      <c r="N114" s="2">
        <f t="shared" si="60"/>
        <v>0</v>
      </c>
      <c r="O114" s="2">
        <f t="shared" si="60"/>
        <v>0</v>
      </c>
      <c r="P114" s="2">
        <f t="shared" si="60"/>
        <v>0</v>
      </c>
      <c r="Q114" s="2">
        <f t="shared" si="60"/>
        <v>0</v>
      </c>
      <c r="R114" s="2">
        <f t="shared" si="60"/>
        <v>0</v>
      </c>
      <c r="S114" s="2">
        <f t="shared" si="60"/>
        <v>0</v>
      </c>
      <c r="T114" s="6">
        <f t="shared" si="47"/>
        <v>0</v>
      </c>
      <c r="U114" s="24">
        <v>0</v>
      </c>
      <c r="V114" s="23">
        <f t="shared" si="50"/>
        <v>0</v>
      </c>
      <c r="W114" s="2">
        <f t="shared" si="61"/>
        <v>0</v>
      </c>
      <c r="X114" s="2">
        <f t="shared" si="61"/>
        <v>0</v>
      </c>
      <c r="Y114" s="2">
        <f t="shared" si="61"/>
        <v>0</v>
      </c>
      <c r="Z114" s="2">
        <f t="shared" si="61"/>
        <v>0</v>
      </c>
      <c r="AA114" s="2">
        <f t="shared" si="61"/>
        <v>0</v>
      </c>
      <c r="AB114" s="2">
        <f t="shared" si="61"/>
        <v>0</v>
      </c>
      <c r="AC114" s="2">
        <f t="shared" si="61"/>
        <v>0</v>
      </c>
      <c r="AD114" s="2">
        <f t="shared" si="61"/>
        <v>0</v>
      </c>
      <c r="AE114" s="2">
        <f t="shared" si="61"/>
        <v>0</v>
      </c>
      <c r="AF114" s="2">
        <f t="shared" si="61"/>
        <v>0</v>
      </c>
      <c r="AG114" s="2">
        <f t="shared" si="61"/>
        <v>0</v>
      </c>
      <c r="AH114" s="2">
        <f t="shared" si="61"/>
        <v>0</v>
      </c>
      <c r="AI114" s="6">
        <f t="shared" si="48"/>
        <v>0</v>
      </c>
    </row>
    <row r="115" spans="1:35" s="5" customFormat="1" outlineLevel="1" x14ac:dyDescent="0.25">
      <c r="A115" s="1" t="s">
        <v>118</v>
      </c>
      <c r="B115" s="2">
        <v>-5177</v>
      </c>
      <c r="C115" s="8">
        <f t="shared" si="57"/>
        <v>-4.6921153498797805E-4</v>
      </c>
      <c r="D115" s="2">
        <v>-333.36</v>
      </c>
      <c r="E115" s="8">
        <f t="shared" si="58"/>
        <v>-3.9635062186147517E-5</v>
      </c>
      <c r="F115" s="24">
        <f>+D115*1.1</f>
        <v>-366.69600000000003</v>
      </c>
      <c r="G115" s="8">
        <f t="shared" si="59"/>
        <v>-4.3598568404762268E-5</v>
      </c>
      <c r="H115" s="2">
        <f t="shared" si="60"/>
        <v>-30.558000000000003</v>
      </c>
      <c r="I115" s="2">
        <f t="shared" si="60"/>
        <v>-30.558000000000003</v>
      </c>
      <c r="J115" s="2">
        <f t="shared" si="60"/>
        <v>-30.558000000000003</v>
      </c>
      <c r="K115" s="2">
        <f t="shared" si="60"/>
        <v>-30.558000000000003</v>
      </c>
      <c r="L115" s="2">
        <f t="shared" si="60"/>
        <v>-30.558000000000003</v>
      </c>
      <c r="M115" s="2">
        <f t="shared" si="60"/>
        <v>-30.558000000000003</v>
      </c>
      <c r="N115" s="2">
        <f t="shared" si="60"/>
        <v>-30.558000000000003</v>
      </c>
      <c r="O115" s="2">
        <f t="shared" si="60"/>
        <v>-30.558000000000003</v>
      </c>
      <c r="P115" s="2">
        <f t="shared" si="60"/>
        <v>-30.558000000000003</v>
      </c>
      <c r="Q115" s="2">
        <f t="shared" si="60"/>
        <v>-30.558000000000003</v>
      </c>
      <c r="R115" s="2">
        <f t="shared" si="60"/>
        <v>-30.558000000000003</v>
      </c>
      <c r="S115" s="2">
        <f t="shared" si="60"/>
        <v>-30.558000000000003</v>
      </c>
      <c r="T115" s="6">
        <f t="shared" si="47"/>
        <v>-366.69599999999997</v>
      </c>
      <c r="U115" s="24">
        <v>0</v>
      </c>
      <c r="V115" s="23">
        <f t="shared" si="50"/>
        <v>0</v>
      </c>
      <c r="W115" s="2">
        <f t="shared" si="61"/>
        <v>0</v>
      </c>
      <c r="X115" s="2">
        <f t="shared" si="61"/>
        <v>0</v>
      </c>
      <c r="Y115" s="2">
        <f t="shared" si="61"/>
        <v>0</v>
      </c>
      <c r="Z115" s="2">
        <f t="shared" si="61"/>
        <v>0</v>
      </c>
      <c r="AA115" s="2">
        <f t="shared" si="61"/>
        <v>0</v>
      </c>
      <c r="AB115" s="2">
        <f t="shared" si="61"/>
        <v>0</v>
      </c>
      <c r="AC115" s="2">
        <f t="shared" si="61"/>
        <v>0</v>
      </c>
      <c r="AD115" s="2">
        <f t="shared" si="61"/>
        <v>0</v>
      </c>
      <c r="AE115" s="2">
        <f t="shared" si="61"/>
        <v>0</v>
      </c>
      <c r="AF115" s="2">
        <f t="shared" si="61"/>
        <v>0</v>
      </c>
      <c r="AG115" s="2">
        <f t="shared" si="61"/>
        <v>0</v>
      </c>
      <c r="AH115" s="2">
        <f t="shared" si="61"/>
        <v>0</v>
      </c>
      <c r="AI115" s="6">
        <f t="shared" si="48"/>
        <v>0</v>
      </c>
    </row>
    <row r="116" spans="1:35" outlineLevel="1" x14ac:dyDescent="0.25">
      <c r="A116" s="1" t="s">
        <v>119</v>
      </c>
      <c r="B116" s="2">
        <v>-76.739999999999995</v>
      </c>
      <c r="C116" s="8">
        <f t="shared" si="57"/>
        <v>-6.9552430355374605E-6</v>
      </c>
      <c r="D116" s="2">
        <v>-1488.56</v>
      </c>
      <c r="E116" s="8">
        <f t="shared" si="58"/>
        <v>-1.7698334583576838E-4</v>
      </c>
      <c r="F116" s="24">
        <f>+D116*1.03</f>
        <v>-1533.2167999999999</v>
      </c>
      <c r="G116" s="8">
        <f t="shared" si="59"/>
        <v>-1.8229284621084141E-4</v>
      </c>
      <c r="H116" s="2">
        <f t="shared" si="60"/>
        <v>-127.76806666666666</v>
      </c>
      <c r="I116" s="2">
        <f t="shared" si="60"/>
        <v>-127.76806666666666</v>
      </c>
      <c r="J116" s="2">
        <f t="shared" si="60"/>
        <v>-127.76806666666666</v>
      </c>
      <c r="K116" s="2">
        <f t="shared" si="60"/>
        <v>-127.76806666666666</v>
      </c>
      <c r="L116" s="2">
        <f t="shared" si="60"/>
        <v>-127.76806666666666</v>
      </c>
      <c r="M116" s="2">
        <f t="shared" si="60"/>
        <v>-127.76806666666666</v>
      </c>
      <c r="N116" s="2">
        <f t="shared" si="60"/>
        <v>-127.76806666666666</v>
      </c>
      <c r="O116" s="2">
        <f t="shared" si="60"/>
        <v>-127.76806666666666</v>
      </c>
      <c r="P116" s="2">
        <f t="shared" si="60"/>
        <v>-127.76806666666666</v>
      </c>
      <c r="Q116" s="2">
        <f t="shared" si="60"/>
        <v>-127.76806666666666</v>
      </c>
      <c r="R116" s="2">
        <f t="shared" si="60"/>
        <v>-127.76806666666666</v>
      </c>
      <c r="S116" s="2">
        <f t="shared" si="60"/>
        <v>-127.76806666666666</v>
      </c>
      <c r="T116" s="6">
        <f t="shared" si="47"/>
        <v>-1533.2168000000001</v>
      </c>
      <c r="U116" s="24">
        <v>0</v>
      </c>
      <c r="V116" s="23">
        <f t="shared" si="50"/>
        <v>0</v>
      </c>
      <c r="W116" s="2">
        <f t="shared" si="61"/>
        <v>0</v>
      </c>
      <c r="X116" s="2">
        <f t="shared" si="61"/>
        <v>0</v>
      </c>
      <c r="Y116" s="2">
        <f t="shared" si="61"/>
        <v>0</v>
      </c>
      <c r="Z116" s="2">
        <f t="shared" si="61"/>
        <v>0</v>
      </c>
      <c r="AA116" s="2">
        <f t="shared" si="61"/>
        <v>0</v>
      </c>
      <c r="AB116" s="2">
        <f t="shared" si="61"/>
        <v>0</v>
      </c>
      <c r="AC116" s="2">
        <f t="shared" si="61"/>
        <v>0</v>
      </c>
      <c r="AD116" s="2">
        <f t="shared" si="61"/>
        <v>0</v>
      </c>
      <c r="AE116" s="2">
        <f t="shared" si="61"/>
        <v>0</v>
      </c>
      <c r="AF116" s="2">
        <f t="shared" si="61"/>
        <v>0</v>
      </c>
      <c r="AG116" s="2">
        <f t="shared" si="61"/>
        <v>0</v>
      </c>
      <c r="AH116" s="2">
        <f t="shared" si="61"/>
        <v>0</v>
      </c>
      <c r="AI116" s="6">
        <f t="shared" si="48"/>
        <v>0</v>
      </c>
    </row>
    <row r="117" spans="1:35" outlineLevel="1" x14ac:dyDescent="0.25">
      <c r="A117" s="1" t="s">
        <v>120</v>
      </c>
      <c r="B117" s="2">
        <v>-63974.09</v>
      </c>
      <c r="C117" s="8">
        <f t="shared" si="57"/>
        <v>-5.7982192328296413E-3</v>
      </c>
      <c r="D117" s="2">
        <v>-63155.77</v>
      </c>
      <c r="E117" s="8">
        <f t="shared" si="58"/>
        <v>-7.5089478982602277E-3</v>
      </c>
      <c r="F117" s="24">
        <f>+D117*1.03</f>
        <v>-65050.443099999997</v>
      </c>
      <c r="G117" s="8">
        <f t="shared" si="59"/>
        <v>-7.7342163352080344E-3</v>
      </c>
      <c r="H117" s="2">
        <f t="shared" si="60"/>
        <v>-5420.8702583333334</v>
      </c>
      <c r="I117" s="2">
        <f t="shared" si="60"/>
        <v>-5420.8702583333334</v>
      </c>
      <c r="J117" s="2">
        <f t="shared" si="60"/>
        <v>-5420.8702583333334</v>
      </c>
      <c r="K117" s="2">
        <f t="shared" si="60"/>
        <v>-5420.8702583333334</v>
      </c>
      <c r="L117" s="2">
        <f t="shared" si="60"/>
        <v>-5420.8702583333334</v>
      </c>
      <c r="M117" s="2">
        <f t="shared" si="60"/>
        <v>-5420.8702583333334</v>
      </c>
      <c r="N117" s="2">
        <f t="shared" si="60"/>
        <v>-5420.8702583333334</v>
      </c>
      <c r="O117" s="2">
        <f t="shared" si="60"/>
        <v>-5420.8702583333334</v>
      </c>
      <c r="P117" s="2">
        <f t="shared" si="60"/>
        <v>-5420.8702583333334</v>
      </c>
      <c r="Q117" s="2">
        <f t="shared" si="60"/>
        <v>-5420.8702583333334</v>
      </c>
      <c r="R117" s="2">
        <f t="shared" si="60"/>
        <v>-5420.8702583333334</v>
      </c>
      <c r="S117" s="2">
        <f t="shared" si="60"/>
        <v>-5420.8702583333334</v>
      </c>
      <c r="T117" s="6">
        <f t="shared" si="47"/>
        <v>-65050.443100000011</v>
      </c>
      <c r="U117" s="24">
        <v>0</v>
      </c>
      <c r="V117" s="23">
        <f t="shared" si="50"/>
        <v>0</v>
      </c>
      <c r="W117" s="2">
        <f t="shared" si="61"/>
        <v>0</v>
      </c>
      <c r="X117" s="2">
        <f t="shared" si="61"/>
        <v>0</v>
      </c>
      <c r="Y117" s="2">
        <f t="shared" si="61"/>
        <v>0</v>
      </c>
      <c r="Z117" s="2">
        <f t="shared" si="61"/>
        <v>0</v>
      </c>
      <c r="AA117" s="2">
        <f t="shared" si="61"/>
        <v>0</v>
      </c>
      <c r="AB117" s="2">
        <f t="shared" si="61"/>
        <v>0</v>
      </c>
      <c r="AC117" s="2">
        <f t="shared" si="61"/>
        <v>0</v>
      </c>
      <c r="AD117" s="2">
        <f t="shared" si="61"/>
        <v>0</v>
      </c>
      <c r="AE117" s="2">
        <f t="shared" si="61"/>
        <v>0</v>
      </c>
      <c r="AF117" s="2">
        <f t="shared" si="61"/>
        <v>0</v>
      </c>
      <c r="AG117" s="2">
        <f t="shared" si="61"/>
        <v>0</v>
      </c>
      <c r="AH117" s="2">
        <f t="shared" si="61"/>
        <v>0</v>
      </c>
      <c r="AI117" s="6">
        <f t="shared" si="48"/>
        <v>0</v>
      </c>
    </row>
    <row r="118" spans="1:35" outlineLevel="1" x14ac:dyDescent="0.25">
      <c r="A118" s="1" t="s">
        <v>121</v>
      </c>
      <c r="B118" s="2">
        <v>0</v>
      </c>
      <c r="C118" s="8">
        <f t="shared" si="57"/>
        <v>0</v>
      </c>
      <c r="D118" s="2">
        <v>-127.88</v>
      </c>
      <c r="E118" s="8">
        <f t="shared" si="58"/>
        <v>-1.5204378906781091E-5</v>
      </c>
      <c r="F118" s="24">
        <f>+D118*1</f>
        <v>-127.88</v>
      </c>
      <c r="G118" s="8">
        <f t="shared" si="59"/>
        <v>-1.5204378906781091E-5</v>
      </c>
      <c r="H118" s="2">
        <f t="shared" si="60"/>
        <v>-10.656666666666666</v>
      </c>
      <c r="I118" s="2">
        <f t="shared" si="60"/>
        <v>-10.656666666666666</v>
      </c>
      <c r="J118" s="2">
        <f t="shared" si="60"/>
        <v>-10.656666666666666</v>
      </c>
      <c r="K118" s="2">
        <f t="shared" si="60"/>
        <v>-10.656666666666666</v>
      </c>
      <c r="L118" s="2">
        <f t="shared" si="60"/>
        <v>-10.656666666666666</v>
      </c>
      <c r="M118" s="2">
        <f t="shared" si="60"/>
        <v>-10.656666666666666</v>
      </c>
      <c r="N118" s="2">
        <f t="shared" si="60"/>
        <v>-10.656666666666666</v>
      </c>
      <c r="O118" s="2">
        <f t="shared" si="60"/>
        <v>-10.656666666666666</v>
      </c>
      <c r="P118" s="2">
        <f t="shared" si="60"/>
        <v>-10.656666666666666</v>
      </c>
      <c r="Q118" s="2">
        <f t="shared" si="60"/>
        <v>-10.656666666666666</v>
      </c>
      <c r="R118" s="2">
        <f t="shared" si="60"/>
        <v>-10.656666666666666</v>
      </c>
      <c r="S118" s="2">
        <f t="shared" si="60"/>
        <v>-10.656666666666666</v>
      </c>
      <c r="T118" s="6">
        <f t="shared" si="47"/>
        <v>-127.88</v>
      </c>
      <c r="U118" s="24">
        <v>0</v>
      </c>
      <c r="V118" s="23">
        <f t="shared" si="50"/>
        <v>0</v>
      </c>
      <c r="W118" s="2">
        <f t="shared" si="61"/>
        <v>0</v>
      </c>
      <c r="X118" s="2">
        <f t="shared" si="61"/>
        <v>0</v>
      </c>
      <c r="Y118" s="2">
        <f t="shared" si="61"/>
        <v>0</v>
      </c>
      <c r="Z118" s="2">
        <f t="shared" si="61"/>
        <v>0</v>
      </c>
      <c r="AA118" s="2">
        <f t="shared" si="61"/>
        <v>0</v>
      </c>
      <c r="AB118" s="2">
        <f t="shared" si="61"/>
        <v>0</v>
      </c>
      <c r="AC118" s="2">
        <f t="shared" si="61"/>
        <v>0</v>
      </c>
      <c r="AD118" s="2">
        <f t="shared" si="61"/>
        <v>0</v>
      </c>
      <c r="AE118" s="2">
        <f t="shared" si="61"/>
        <v>0</v>
      </c>
      <c r="AF118" s="2">
        <f t="shared" si="61"/>
        <v>0</v>
      </c>
      <c r="AG118" s="2">
        <f t="shared" si="61"/>
        <v>0</v>
      </c>
      <c r="AH118" s="2">
        <f t="shared" si="61"/>
        <v>0</v>
      </c>
      <c r="AI118" s="6">
        <f t="shared" si="48"/>
        <v>0</v>
      </c>
    </row>
    <row r="119" spans="1:35" s="5" customFormat="1" outlineLevel="1" x14ac:dyDescent="0.25">
      <c r="A119" s="1" t="s">
        <v>122</v>
      </c>
      <c r="B119" s="2">
        <v>34.43</v>
      </c>
      <c r="C119" s="8">
        <f t="shared" si="57"/>
        <v>3.1205240775808545E-6</v>
      </c>
      <c r="D119" s="2">
        <v>-873.74</v>
      </c>
      <c r="E119" s="8">
        <f t="shared" si="58"/>
        <v>-1.0388390699101431E-4</v>
      </c>
      <c r="F119" s="24">
        <f>+D119*1.1</f>
        <v>-961.11400000000003</v>
      </c>
      <c r="G119" s="8">
        <f t="shared" si="59"/>
        <v>-1.1427229769011574E-4</v>
      </c>
      <c r="H119" s="2">
        <f t="shared" si="60"/>
        <v>-80.092833333333331</v>
      </c>
      <c r="I119" s="2">
        <f t="shared" si="60"/>
        <v>-80.092833333333331</v>
      </c>
      <c r="J119" s="2">
        <f t="shared" si="60"/>
        <v>-80.092833333333331</v>
      </c>
      <c r="K119" s="2">
        <f t="shared" si="60"/>
        <v>-80.092833333333331</v>
      </c>
      <c r="L119" s="2">
        <f t="shared" si="60"/>
        <v>-80.092833333333331</v>
      </c>
      <c r="M119" s="2">
        <f t="shared" si="60"/>
        <v>-80.092833333333331</v>
      </c>
      <c r="N119" s="2">
        <f t="shared" si="60"/>
        <v>-80.092833333333331</v>
      </c>
      <c r="O119" s="2">
        <f t="shared" si="60"/>
        <v>-80.092833333333331</v>
      </c>
      <c r="P119" s="2">
        <f t="shared" si="60"/>
        <v>-80.092833333333331</v>
      </c>
      <c r="Q119" s="2">
        <f t="shared" si="60"/>
        <v>-80.092833333333331</v>
      </c>
      <c r="R119" s="2">
        <f t="shared" si="60"/>
        <v>-80.092833333333331</v>
      </c>
      <c r="S119" s="2">
        <f t="shared" si="60"/>
        <v>-80.092833333333331</v>
      </c>
      <c r="T119" s="6">
        <f t="shared" si="47"/>
        <v>-961.11400000000015</v>
      </c>
      <c r="U119" s="24">
        <v>0</v>
      </c>
      <c r="V119" s="23">
        <f t="shared" si="50"/>
        <v>0</v>
      </c>
      <c r="W119" s="2">
        <f t="shared" si="61"/>
        <v>0</v>
      </c>
      <c r="X119" s="2">
        <f t="shared" si="61"/>
        <v>0</v>
      </c>
      <c r="Y119" s="2">
        <f t="shared" si="61"/>
        <v>0</v>
      </c>
      <c r="Z119" s="2">
        <f t="shared" si="61"/>
        <v>0</v>
      </c>
      <c r="AA119" s="2">
        <f t="shared" si="61"/>
        <v>0</v>
      </c>
      <c r="AB119" s="2">
        <f t="shared" si="61"/>
        <v>0</v>
      </c>
      <c r="AC119" s="2">
        <f t="shared" si="61"/>
        <v>0</v>
      </c>
      <c r="AD119" s="2">
        <f t="shared" si="61"/>
        <v>0</v>
      </c>
      <c r="AE119" s="2">
        <f t="shared" si="61"/>
        <v>0</v>
      </c>
      <c r="AF119" s="2">
        <f t="shared" si="61"/>
        <v>0</v>
      </c>
      <c r="AG119" s="2">
        <f t="shared" si="61"/>
        <v>0</v>
      </c>
      <c r="AH119" s="2">
        <f t="shared" si="61"/>
        <v>0</v>
      </c>
      <c r="AI119" s="6">
        <f t="shared" si="48"/>
        <v>0</v>
      </c>
    </row>
    <row r="120" spans="1:35" s="5" customFormat="1" outlineLevel="1" x14ac:dyDescent="0.25">
      <c r="A120" s="9" t="s">
        <v>123</v>
      </c>
      <c r="B120" s="2"/>
      <c r="C120" s="8"/>
      <c r="D120" s="2"/>
      <c r="E120" s="8"/>
      <c r="F120" s="24">
        <f>+D120*1.1</f>
        <v>0</v>
      </c>
      <c r="G120" s="8"/>
      <c r="H120" s="2">
        <f t="shared" si="60"/>
        <v>0</v>
      </c>
      <c r="I120" s="2">
        <f t="shared" si="60"/>
        <v>0</v>
      </c>
      <c r="J120" s="2">
        <f t="shared" si="60"/>
        <v>0</v>
      </c>
      <c r="K120" s="2">
        <f t="shared" si="60"/>
        <v>0</v>
      </c>
      <c r="L120" s="2">
        <f t="shared" si="60"/>
        <v>0</v>
      </c>
      <c r="M120" s="2">
        <f t="shared" si="60"/>
        <v>0</v>
      </c>
      <c r="N120" s="2">
        <f t="shared" si="60"/>
        <v>0</v>
      </c>
      <c r="O120" s="2">
        <f t="shared" si="60"/>
        <v>0</v>
      </c>
      <c r="P120" s="2">
        <f t="shared" si="60"/>
        <v>0</v>
      </c>
      <c r="Q120" s="2">
        <f t="shared" si="60"/>
        <v>0</v>
      </c>
      <c r="R120" s="2">
        <f t="shared" si="60"/>
        <v>0</v>
      </c>
      <c r="S120" s="2">
        <f t="shared" si="60"/>
        <v>0</v>
      </c>
      <c r="T120" s="6">
        <f t="shared" si="47"/>
        <v>0</v>
      </c>
      <c r="U120" s="24">
        <v>0</v>
      </c>
      <c r="V120" s="23">
        <f t="shared" si="50"/>
        <v>0</v>
      </c>
      <c r="W120" s="2">
        <f t="shared" si="61"/>
        <v>0</v>
      </c>
      <c r="X120" s="2">
        <f t="shared" si="61"/>
        <v>0</v>
      </c>
      <c r="Y120" s="2">
        <f t="shared" si="61"/>
        <v>0</v>
      </c>
      <c r="Z120" s="2">
        <f t="shared" si="61"/>
        <v>0</v>
      </c>
      <c r="AA120" s="2">
        <f t="shared" si="61"/>
        <v>0</v>
      </c>
      <c r="AB120" s="2">
        <f t="shared" si="61"/>
        <v>0</v>
      </c>
      <c r="AC120" s="2">
        <f t="shared" si="61"/>
        <v>0</v>
      </c>
      <c r="AD120" s="2">
        <f t="shared" si="61"/>
        <v>0</v>
      </c>
      <c r="AE120" s="2">
        <f t="shared" si="61"/>
        <v>0</v>
      </c>
      <c r="AF120" s="2">
        <f t="shared" si="61"/>
        <v>0</v>
      </c>
      <c r="AG120" s="2">
        <f t="shared" si="61"/>
        <v>0</v>
      </c>
      <c r="AH120" s="2">
        <f t="shared" si="61"/>
        <v>0</v>
      </c>
      <c r="AI120" s="6">
        <f t="shared" si="48"/>
        <v>0</v>
      </c>
    </row>
    <row r="121" spans="1:35" s="5" customFormat="1" outlineLevel="1" x14ac:dyDescent="0.25">
      <c r="A121" s="1" t="s">
        <v>124</v>
      </c>
      <c r="B121" s="2">
        <v>0</v>
      </c>
      <c r="C121" s="8">
        <f t="shared" ref="C121:C146" si="62">+B121/$B$2</f>
        <v>0</v>
      </c>
      <c r="D121" s="2">
        <v>-55473.17</v>
      </c>
      <c r="E121" s="8">
        <f t="shared" ref="E121:E146" si="63">+D121/$D$2</f>
        <v>-6.5955199862392988E-3</v>
      </c>
      <c r="F121" s="24">
        <v>-55000</v>
      </c>
      <c r="G121" s="8">
        <f t="shared" ref="G121:G146" si="64">+F121/$D$2</f>
        <v>-6.5392621197447607E-3</v>
      </c>
      <c r="H121" s="2">
        <f t="shared" si="60"/>
        <v>-4583.333333333333</v>
      </c>
      <c r="I121" s="2">
        <f t="shared" si="60"/>
        <v>-4583.333333333333</v>
      </c>
      <c r="J121" s="2">
        <f t="shared" si="60"/>
        <v>-4583.333333333333</v>
      </c>
      <c r="K121" s="2">
        <f t="shared" si="60"/>
        <v>-4583.333333333333</v>
      </c>
      <c r="L121" s="2">
        <f t="shared" si="60"/>
        <v>-4583.333333333333</v>
      </c>
      <c r="M121" s="2">
        <f t="shared" si="60"/>
        <v>-4583.333333333333</v>
      </c>
      <c r="N121" s="2">
        <f t="shared" si="60"/>
        <v>-4583.333333333333</v>
      </c>
      <c r="O121" s="2">
        <f t="shared" si="60"/>
        <v>-4583.333333333333</v>
      </c>
      <c r="P121" s="2">
        <f t="shared" si="60"/>
        <v>-4583.333333333333</v>
      </c>
      <c r="Q121" s="2">
        <f t="shared" si="60"/>
        <v>-4583.333333333333</v>
      </c>
      <c r="R121" s="2">
        <f t="shared" si="60"/>
        <v>-4583.333333333333</v>
      </c>
      <c r="S121" s="2">
        <f t="shared" si="60"/>
        <v>-4583.333333333333</v>
      </c>
      <c r="T121" s="6">
        <f t="shared" si="47"/>
        <v>-55000.000000000007</v>
      </c>
      <c r="U121" s="56">
        <v>0</v>
      </c>
      <c r="V121" s="23">
        <f t="shared" si="50"/>
        <v>0</v>
      </c>
      <c r="W121" s="2">
        <f t="shared" si="61"/>
        <v>0</v>
      </c>
      <c r="X121" s="2">
        <f t="shared" si="61"/>
        <v>0</v>
      </c>
      <c r="Y121" s="2">
        <f t="shared" si="61"/>
        <v>0</v>
      </c>
      <c r="Z121" s="2">
        <f t="shared" si="61"/>
        <v>0</v>
      </c>
      <c r="AA121" s="2">
        <f t="shared" si="61"/>
        <v>0</v>
      </c>
      <c r="AB121" s="2">
        <f t="shared" si="61"/>
        <v>0</v>
      </c>
      <c r="AC121" s="2">
        <f t="shared" si="61"/>
        <v>0</v>
      </c>
      <c r="AD121" s="2">
        <f t="shared" si="61"/>
        <v>0</v>
      </c>
      <c r="AE121" s="2">
        <f t="shared" si="61"/>
        <v>0</v>
      </c>
      <c r="AF121" s="2">
        <f t="shared" si="61"/>
        <v>0</v>
      </c>
      <c r="AG121" s="2">
        <f t="shared" si="61"/>
        <v>0</v>
      </c>
      <c r="AH121" s="2">
        <f t="shared" si="61"/>
        <v>0</v>
      </c>
      <c r="AI121" s="6">
        <f t="shared" si="48"/>
        <v>0</v>
      </c>
    </row>
    <row r="122" spans="1:35" x14ac:dyDescent="0.25">
      <c r="A122" s="5" t="s">
        <v>125</v>
      </c>
      <c r="B122" s="6">
        <v>-223421.53</v>
      </c>
      <c r="C122" s="7">
        <f t="shared" si="62"/>
        <v>-2.0249557473568203E-2</v>
      </c>
      <c r="D122" s="6">
        <v>-249984.47</v>
      </c>
      <c r="E122" s="7">
        <f t="shared" si="63"/>
        <v>-2.9722072276281281E-2</v>
      </c>
      <c r="F122" s="6">
        <f>SUM(F123:F125)</f>
        <v>-249984.47</v>
      </c>
      <c r="G122" s="7">
        <f t="shared" si="64"/>
        <v>-2.9722072276281281E-2</v>
      </c>
      <c r="H122" s="6">
        <f>SUM(H123:H125)</f>
        <v>-20832.039166666666</v>
      </c>
      <c r="I122" s="6">
        <f t="shared" ref="I122:S122" si="65">SUM(I123:I125)</f>
        <v>-20832.039166666666</v>
      </c>
      <c r="J122" s="6">
        <f t="shared" si="65"/>
        <v>-20832.039166666666</v>
      </c>
      <c r="K122" s="6">
        <f t="shared" si="65"/>
        <v>-20832.039166666666</v>
      </c>
      <c r="L122" s="6">
        <f t="shared" si="65"/>
        <v>-20832.039166666666</v>
      </c>
      <c r="M122" s="6">
        <f t="shared" si="65"/>
        <v>-20832.039166666666</v>
      </c>
      <c r="N122" s="6">
        <f t="shared" si="65"/>
        <v>-20832.039166666666</v>
      </c>
      <c r="O122" s="6">
        <f t="shared" si="65"/>
        <v>-20832.039166666666</v>
      </c>
      <c r="P122" s="6">
        <f t="shared" si="65"/>
        <v>-20832.039166666666</v>
      </c>
      <c r="Q122" s="6">
        <f t="shared" si="65"/>
        <v>-20832.039166666666</v>
      </c>
      <c r="R122" s="6">
        <f t="shared" si="65"/>
        <v>-20832.039166666666</v>
      </c>
      <c r="S122" s="6">
        <f t="shared" si="65"/>
        <v>-20832.039166666666</v>
      </c>
      <c r="T122" s="6">
        <f t="shared" si="47"/>
        <v>-249984.46999999994</v>
      </c>
      <c r="U122" s="6">
        <f t="shared" ref="U122:U130" si="66">SUM(W122:AH122)</f>
        <v>0</v>
      </c>
      <c r="V122" s="23">
        <f t="shared" si="50"/>
        <v>0</v>
      </c>
      <c r="W122" s="6">
        <f>SUM(W123:W125)</f>
        <v>0</v>
      </c>
      <c r="X122" s="6">
        <f t="shared" ref="X122:AH122" si="67">SUM(X123:X125)</f>
        <v>0</v>
      </c>
      <c r="Y122" s="6">
        <f t="shared" si="67"/>
        <v>0</v>
      </c>
      <c r="Z122" s="6">
        <f t="shared" si="67"/>
        <v>0</v>
      </c>
      <c r="AA122" s="6">
        <f t="shared" si="67"/>
        <v>0</v>
      </c>
      <c r="AB122" s="6">
        <f t="shared" si="67"/>
        <v>0</v>
      </c>
      <c r="AC122" s="6">
        <f t="shared" si="67"/>
        <v>0</v>
      </c>
      <c r="AD122" s="6">
        <f t="shared" si="67"/>
        <v>0</v>
      </c>
      <c r="AE122" s="6">
        <f t="shared" si="67"/>
        <v>0</v>
      </c>
      <c r="AF122" s="6">
        <f t="shared" si="67"/>
        <v>0</v>
      </c>
      <c r="AG122" s="6">
        <f t="shared" si="67"/>
        <v>0</v>
      </c>
      <c r="AH122" s="6">
        <f t="shared" si="67"/>
        <v>0</v>
      </c>
      <c r="AI122" s="6">
        <f t="shared" si="48"/>
        <v>0</v>
      </c>
    </row>
    <row r="123" spans="1:35" outlineLevel="1" x14ac:dyDescent="0.25">
      <c r="A123" s="1" t="s">
        <v>126</v>
      </c>
      <c r="B123" s="2">
        <v>-29004.26</v>
      </c>
      <c r="C123" s="8">
        <f t="shared" si="62"/>
        <v>-2.6287682742496448E-3</v>
      </c>
      <c r="D123" s="2">
        <v>-41023.82</v>
      </c>
      <c r="E123" s="8">
        <f t="shared" si="63"/>
        <v>-4.8775547660586819E-3</v>
      </c>
      <c r="F123" s="2">
        <v>-41023.82</v>
      </c>
      <c r="G123" s="8">
        <f t="shared" si="64"/>
        <v>-4.8775547660586819E-3</v>
      </c>
      <c r="H123" s="2">
        <f t="shared" si="60"/>
        <v>-3418.6516666666666</v>
      </c>
      <c r="I123" s="2">
        <f t="shared" si="60"/>
        <v>-3418.6516666666666</v>
      </c>
      <c r="J123" s="2">
        <f t="shared" si="60"/>
        <v>-3418.6516666666666</v>
      </c>
      <c r="K123" s="2">
        <f t="shared" si="60"/>
        <v>-3418.6516666666666</v>
      </c>
      <c r="L123" s="2">
        <f t="shared" si="60"/>
        <v>-3418.6516666666666</v>
      </c>
      <c r="M123" s="2">
        <f t="shared" si="60"/>
        <v>-3418.6516666666666</v>
      </c>
      <c r="N123" s="2">
        <f t="shared" si="60"/>
        <v>-3418.6516666666666</v>
      </c>
      <c r="O123" s="2">
        <f t="shared" si="60"/>
        <v>-3418.6516666666666</v>
      </c>
      <c r="P123" s="2">
        <f t="shared" si="60"/>
        <v>-3418.6516666666666</v>
      </c>
      <c r="Q123" s="2">
        <f t="shared" si="60"/>
        <v>-3418.6516666666666</v>
      </c>
      <c r="R123" s="2">
        <f t="shared" si="60"/>
        <v>-3418.6516666666666</v>
      </c>
      <c r="S123" s="2">
        <f t="shared" si="60"/>
        <v>-3418.6516666666666</v>
      </c>
      <c r="T123" s="6">
        <f t="shared" si="47"/>
        <v>-41023.819999999985</v>
      </c>
      <c r="U123" s="6">
        <f t="shared" si="66"/>
        <v>0</v>
      </c>
      <c r="V123" s="23">
        <f t="shared" si="50"/>
        <v>0</v>
      </c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6">
        <f t="shared" si="48"/>
        <v>0</v>
      </c>
    </row>
    <row r="124" spans="1:35" s="5" customFormat="1" outlineLevel="1" x14ac:dyDescent="0.25">
      <c r="A124" s="1" t="s">
        <v>127</v>
      </c>
      <c r="B124" s="2">
        <v>-108031.88</v>
      </c>
      <c r="C124" s="8">
        <f t="shared" si="62"/>
        <v>-9.7913471590567996E-3</v>
      </c>
      <c r="D124" s="2">
        <v>-122547.15</v>
      </c>
      <c r="E124" s="8">
        <f t="shared" si="63"/>
        <v>-1.4570326106866894E-2</v>
      </c>
      <c r="F124" s="2">
        <v>-122547.15</v>
      </c>
      <c r="G124" s="8">
        <f t="shared" si="64"/>
        <v>-1.4570326106866894E-2</v>
      </c>
      <c r="H124" s="2">
        <f t="shared" si="60"/>
        <v>-10212.262499999999</v>
      </c>
      <c r="I124" s="2">
        <f t="shared" si="60"/>
        <v>-10212.262499999999</v>
      </c>
      <c r="J124" s="2">
        <f t="shared" si="60"/>
        <v>-10212.262499999999</v>
      </c>
      <c r="K124" s="2">
        <f t="shared" si="60"/>
        <v>-10212.262499999999</v>
      </c>
      <c r="L124" s="2">
        <f t="shared" si="60"/>
        <v>-10212.262499999999</v>
      </c>
      <c r="M124" s="2">
        <f t="shared" si="60"/>
        <v>-10212.262499999999</v>
      </c>
      <c r="N124" s="2">
        <f t="shared" si="60"/>
        <v>-10212.262499999999</v>
      </c>
      <c r="O124" s="2">
        <f t="shared" si="60"/>
        <v>-10212.262499999999</v>
      </c>
      <c r="P124" s="2">
        <f t="shared" si="60"/>
        <v>-10212.262499999999</v>
      </c>
      <c r="Q124" s="2">
        <f t="shared" si="60"/>
        <v>-10212.262499999999</v>
      </c>
      <c r="R124" s="2">
        <f t="shared" si="60"/>
        <v>-10212.262499999999</v>
      </c>
      <c r="S124" s="2">
        <f t="shared" si="60"/>
        <v>-10212.262499999999</v>
      </c>
      <c r="T124" s="6">
        <f t="shared" si="47"/>
        <v>-122547.14999999998</v>
      </c>
      <c r="U124" s="6">
        <f t="shared" si="66"/>
        <v>0</v>
      </c>
      <c r="V124" s="23">
        <f t="shared" si="50"/>
        <v>0</v>
      </c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6">
        <f t="shared" si="48"/>
        <v>0</v>
      </c>
    </row>
    <row r="125" spans="1:35" s="5" customFormat="1" outlineLevel="1" x14ac:dyDescent="0.25">
      <c r="A125" s="1" t="s">
        <v>128</v>
      </c>
      <c r="B125" s="2">
        <v>-86385.39</v>
      </c>
      <c r="C125" s="8">
        <f t="shared" si="62"/>
        <v>-7.8294420402617599E-3</v>
      </c>
      <c r="D125" s="2">
        <v>-86413.5</v>
      </c>
      <c r="E125" s="8">
        <f t="shared" si="63"/>
        <v>-1.0274191403355707E-2</v>
      </c>
      <c r="F125" s="2">
        <v>-86413.5</v>
      </c>
      <c r="G125" s="8">
        <f t="shared" si="64"/>
        <v>-1.0274191403355707E-2</v>
      </c>
      <c r="H125" s="2">
        <f t="shared" si="60"/>
        <v>-7201.125</v>
      </c>
      <c r="I125" s="2">
        <f t="shared" si="60"/>
        <v>-7201.125</v>
      </c>
      <c r="J125" s="2">
        <f t="shared" si="60"/>
        <v>-7201.125</v>
      </c>
      <c r="K125" s="2">
        <f t="shared" ref="K125:S125" si="68">+$F125/12</f>
        <v>-7201.125</v>
      </c>
      <c r="L125" s="2">
        <f t="shared" si="68"/>
        <v>-7201.125</v>
      </c>
      <c r="M125" s="2">
        <f t="shared" si="68"/>
        <v>-7201.125</v>
      </c>
      <c r="N125" s="2">
        <f t="shared" si="68"/>
        <v>-7201.125</v>
      </c>
      <c r="O125" s="2">
        <f t="shared" si="68"/>
        <v>-7201.125</v>
      </c>
      <c r="P125" s="2">
        <f t="shared" si="68"/>
        <v>-7201.125</v>
      </c>
      <c r="Q125" s="2">
        <f t="shared" si="68"/>
        <v>-7201.125</v>
      </c>
      <c r="R125" s="2">
        <f t="shared" si="68"/>
        <v>-7201.125</v>
      </c>
      <c r="S125" s="2">
        <f t="shared" si="68"/>
        <v>-7201.125</v>
      </c>
      <c r="T125" s="6">
        <f t="shared" si="47"/>
        <v>-86413.5</v>
      </c>
      <c r="U125" s="6">
        <f t="shared" si="66"/>
        <v>0</v>
      </c>
      <c r="V125" s="23">
        <f t="shared" si="50"/>
        <v>0</v>
      </c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6">
        <f t="shared" si="48"/>
        <v>0</v>
      </c>
    </row>
    <row r="126" spans="1:35" x14ac:dyDescent="0.25">
      <c r="A126" s="5" t="s">
        <v>129</v>
      </c>
      <c r="B126" s="6">
        <v>0</v>
      </c>
      <c r="C126" s="7">
        <f t="shared" si="62"/>
        <v>0</v>
      </c>
      <c r="D126" s="6">
        <v>0</v>
      </c>
      <c r="E126" s="7">
        <f t="shared" si="63"/>
        <v>0</v>
      </c>
      <c r="F126" s="6">
        <v>0</v>
      </c>
      <c r="G126" s="7">
        <f t="shared" si="64"/>
        <v>0</v>
      </c>
      <c r="H126" s="6">
        <v>0</v>
      </c>
      <c r="I126" s="6">
        <v>0</v>
      </c>
      <c r="J126" s="6">
        <v>0</v>
      </c>
      <c r="K126" s="6">
        <v>0</v>
      </c>
      <c r="L126" s="6">
        <v>0</v>
      </c>
      <c r="M126" s="6">
        <v>0</v>
      </c>
      <c r="N126" s="6">
        <v>0</v>
      </c>
      <c r="O126" s="6">
        <v>0</v>
      </c>
      <c r="P126" s="6">
        <v>0</v>
      </c>
      <c r="Q126" s="6">
        <v>0</v>
      </c>
      <c r="R126" s="6">
        <v>0</v>
      </c>
      <c r="S126" s="6">
        <v>0</v>
      </c>
      <c r="T126" s="6">
        <f t="shared" si="47"/>
        <v>0</v>
      </c>
      <c r="U126" s="6">
        <f t="shared" si="66"/>
        <v>0</v>
      </c>
      <c r="V126" s="23">
        <f t="shared" si="50"/>
        <v>0</v>
      </c>
      <c r="W126" s="6">
        <v>0</v>
      </c>
      <c r="X126" s="6">
        <v>0</v>
      </c>
      <c r="Y126" s="6">
        <v>0</v>
      </c>
      <c r="Z126" s="6">
        <v>0</v>
      </c>
      <c r="AA126" s="6">
        <v>0</v>
      </c>
      <c r="AB126" s="6">
        <v>0</v>
      </c>
      <c r="AC126" s="6">
        <v>0</v>
      </c>
      <c r="AD126" s="6">
        <v>0</v>
      </c>
      <c r="AE126" s="6">
        <v>0</v>
      </c>
      <c r="AF126" s="6">
        <v>0</v>
      </c>
      <c r="AG126" s="6">
        <v>0</v>
      </c>
      <c r="AH126" s="6">
        <v>0</v>
      </c>
      <c r="AI126" s="6">
        <f t="shared" si="48"/>
        <v>0</v>
      </c>
    </row>
    <row r="127" spans="1:35" x14ac:dyDescent="0.25">
      <c r="A127" s="5" t="s">
        <v>130</v>
      </c>
      <c r="B127" s="6">
        <v>0</v>
      </c>
      <c r="C127" s="7">
        <f t="shared" si="62"/>
        <v>0</v>
      </c>
      <c r="D127" s="6">
        <v>0</v>
      </c>
      <c r="E127" s="7">
        <f t="shared" si="63"/>
        <v>0</v>
      </c>
      <c r="F127" s="6">
        <v>0</v>
      </c>
      <c r="G127" s="7">
        <f t="shared" si="64"/>
        <v>0</v>
      </c>
      <c r="H127" s="6">
        <v>0</v>
      </c>
      <c r="I127" s="6">
        <v>0</v>
      </c>
      <c r="J127" s="6">
        <v>0</v>
      </c>
      <c r="K127" s="6">
        <v>0</v>
      </c>
      <c r="L127" s="6">
        <v>0</v>
      </c>
      <c r="M127" s="6">
        <v>0</v>
      </c>
      <c r="N127" s="6">
        <v>0</v>
      </c>
      <c r="O127" s="6">
        <v>0</v>
      </c>
      <c r="P127" s="6">
        <v>0</v>
      </c>
      <c r="Q127" s="6">
        <v>0</v>
      </c>
      <c r="R127" s="6">
        <v>0</v>
      </c>
      <c r="S127" s="6">
        <v>0</v>
      </c>
      <c r="T127" s="6">
        <f t="shared" si="47"/>
        <v>0</v>
      </c>
      <c r="U127" s="6">
        <f t="shared" si="66"/>
        <v>0</v>
      </c>
      <c r="V127" s="23">
        <f t="shared" si="50"/>
        <v>0</v>
      </c>
      <c r="W127" s="6">
        <v>0</v>
      </c>
      <c r="X127" s="6">
        <v>0</v>
      </c>
      <c r="Y127" s="6">
        <v>0</v>
      </c>
      <c r="Z127" s="6">
        <v>0</v>
      </c>
      <c r="AA127" s="6">
        <v>0</v>
      </c>
      <c r="AB127" s="6">
        <v>0</v>
      </c>
      <c r="AC127" s="6">
        <v>0</v>
      </c>
      <c r="AD127" s="6">
        <v>0</v>
      </c>
      <c r="AE127" s="6">
        <v>0</v>
      </c>
      <c r="AF127" s="6">
        <v>0</v>
      </c>
      <c r="AG127" s="6">
        <v>0</v>
      </c>
      <c r="AH127" s="6">
        <v>0</v>
      </c>
      <c r="AI127" s="6">
        <f t="shared" si="48"/>
        <v>0</v>
      </c>
    </row>
    <row r="128" spans="1:35" x14ac:dyDescent="0.25">
      <c r="A128" s="5" t="s">
        <v>131</v>
      </c>
      <c r="B128" s="6">
        <v>6001.14</v>
      </c>
      <c r="C128" s="7">
        <f t="shared" si="62"/>
        <v>5.4390653101753033E-4</v>
      </c>
      <c r="D128" s="6">
        <v>-541.22</v>
      </c>
      <c r="E128" s="7">
        <f t="shared" si="63"/>
        <v>-6.4348717171786531E-5</v>
      </c>
      <c r="F128" s="6">
        <f>SUM(F129:F130)</f>
        <v>-541.22</v>
      </c>
      <c r="G128" s="7">
        <f t="shared" si="64"/>
        <v>-6.4348717171786531E-5</v>
      </c>
      <c r="H128" s="6">
        <f>SUM(H129:H130)</f>
        <v>0</v>
      </c>
      <c r="I128" s="6">
        <f t="shared" ref="I128:S128" si="69">SUM(I129:I130)</f>
        <v>0</v>
      </c>
      <c r="J128" s="6">
        <f t="shared" si="69"/>
        <v>0</v>
      </c>
      <c r="K128" s="6">
        <f t="shared" si="69"/>
        <v>0</v>
      </c>
      <c r="L128" s="6">
        <f t="shared" si="69"/>
        <v>0</v>
      </c>
      <c r="M128" s="6">
        <f t="shared" si="69"/>
        <v>0</v>
      </c>
      <c r="N128" s="6">
        <f t="shared" si="69"/>
        <v>0</v>
      </c>
      <c r="O128" s="6">
        <f t="shared" si="69"/>
        <v>0</v>
      </c>
      <c r="P128" s="6">
        <f t="shared" si="69"/>
        <v>0</v>
      </c>
      <c r="Q128" s="6">
        <f t="shared" si="69"/>
        <v>0</v>
      </c>
      <c r="R128" s="6">
        <f t="shared" si="69"/>
        <v>0</v>
      </c>
      <c r="S128" s="6">
        <f t="shared" si="69"/>
        <v>0</v>
      </c>
      <c r="T128" s="6">
        <f t="shared" si="47"/>
        <v>0</v>
      </c>
      <c r="U128" s="6">
        <f t="shared" si="66"/>
        <v>0</v>
      </c>
      <c r="V128" s="23">
        <f t="shared" si="50"/>
        <v>0</v>
      </c>
      <c r="W128" s="6">
        <f>SUM(W129:W130)</f>
        <v>0</v>
      </c>
      <c r="X128" s="6">
        <f t="shared" ref="X128:AH128" si="70">SUM(X129:X130)</f>
        <v>0</v>
      </c>
      <c r="Y128" s="6">
        <f t="shared" si="70"/>
        <v>0</v>
      </c>
      <c r="Z128" s="6">
        <f t="shared" si="70"/>
        <v>0</v>
      </c>
      <c r="AA128" s="6">
        <f t="shared" si="70"/>
        <v>0</v>
      </c>
      <c r="AB128" s="6">
        <f t="shared" si="70"/>
        <v>0</v>
      </c>
      <c r="AC128" s="6">
        <f t="shared" si="70"/>
        <v>0</v>
      </c>
      <c r="AD128" s="6">
        <f t="shared" si="70"/>
        <v>0</v>
      </c>
      <c r="AE128" s="6">
        <f t="shared" si="70"/>
        <v>0</v>
      </c>
      <c r="AF128" s="6">
        <f t="shared" si="70"/>
        <v>0</v>
      </c>
      <c r="AG128" s="6">
        <f t="shared" si="70"/>
        <v>0</v>
      </c>
      <c r="AH128" s="6">
        <f t="shared" si="70"/>
        <v>0</v>
      </c>
      <c r="AI128" s="6">
        <f t="shared" si="48"/>
        <v>0</v>
      </c>
    </row>
    <row r="129" spans="1:35" s="3" customFormat="1" outlineLevel="1" x14ac:dyDescent="0.25">
      <c r="A129" s="1" t="s">
        <v>132</v>
      </c>
      <c r="B129" s="2">
        <v>0</v>
      </c>
      <c r="C129" s="8">
        <f t="shared" si="62"/>
        <v>0</v>
      </c>
      <c r="D129" s="2">
        <v>-541.22</v>
      </c>
      <c r="E129" s="8">
        <f t="shared" si="63"/>
        <v>-6.4348717171786531E-5</v>
      </c>
      <c r="F129" s="2">
        <v>-541.22</v>
      </c>
      <c r="G129" s="8">
        <f t="shared" si="64"/>
        <v>-6.4348717171786531E-5</v>
      </c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6">
        <f t="shared" si="47"/>
        <v>0</v>
      </c>
      <c r="U129" s="6">
        <f t="shared" si="66"/>
        <v>0</v>
      </c>
      <c r="V129" s="23">
        <f t="shared" si="50"/>
        <v>0</v>
      </c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6">
        <f t="shared" si="48"/>
        <v>0</v>
      </c>
    </row>
    <row r="130" spans="1:35" s="5" customFormat="1" outlineLevel="1" x14ac:dyDescent="0.25">
      <c r="A130" s="1" t="s">
        <v>133</v>
      </c>
      <c r="B130" s="2">
        <v>6001.14</v>
      </c>
      <c r="C130" s="8">
        <f t="shared" si="62"/>
        <v>5.4390653101753033E-4</v>
      </c>
      <c r="D130" s="2">
        <v>0</v>
      </c>
      <c r="E130" s="8">
        <f t="shared" si="63"/>
        <v>0</v>
      </c>
      <c r="F130" s="2">
        <v>0</v>
      </c>
      <c r="G130" s="8">
        <f t="shared" si="64"/>
        <v>0</v>
      </c>
      <c r="H130" s="2">
        <v>0</v>
      </c>
      <c r="I130" s="2">
        <v>0</v>
      </c>
      <c r="J130" s="2">
        <v>0</v>
      </c>
      <c r="K130" s="2">
        <v>0</v>
      </c>
      <c r="L130" s="2">
        <v>0</v>
      </c>
      <c r="M130" s="2">
        <v>0</v>
      </c>
      <c r="N130" s="2">
        <v>0</v>
      </c>
      <c r="O130" s="2">
        <v>0</v>
      </c>
      <c r="P130" s="2">
        <v>0</v>
      </c>
      <c r="Q130" s="2">
        <v>0</v>
      </c>
      <c r="R130" s="2">
        <v>0</v>
      </c>
      <c r="S130" s="2">
        <v>0</v>
      </c>
      <c r="T130" s="6">
        <f t="shared" si="47"/>
        <v>0</v>
      </c>
      <c r="U130" s="6">
        <f t="shared" si="66"/>
        <v>0</v>
      </c>
      <c r="V130" s="23">
        <f t="shared" si="50"/>
        <v>0</v>
      </c>
      <c r="W130" s="2">
        <v>0</v>
      </c>
      <c r="X130" s="2">
        <v>0</v>
      </c>
      <c r="Y130" s="2">
        <v>0</v>
      </c>
      <c r="Z130" s="2">
        <v>0</v>
      </c>
      <c r="AA130" s="2">
        <v>0</v>
      </c>
      <c r="AB130" s="2">
        <v>0</v>
      </c>
      <c r="AC130" s="2">
        <v>0</v>
      </c>
      <c r="AD130" s="2">
        <v>0</v>
      </c>
      <c r="AE130" s="2">
        <v>0</v>
      </c>
      <c r="AF130" s="2">
        <v>0</v>
      </c>
      <c r="AG130" s="2">
        <v>0</v>
      </c>
      <c r="AH130" s="2">
        <v>0</v>
      </c>
      <c r="AI130" s="6">
        <f t="shared" si="48"/>
        <v>0</v>
      </c>
    </row>
    <row r="131" spans="1:35" x14ac:dyDescent="0.25">
      <c r="A131" s="5" t="s">
        <v>134</v>
      </c>
      <c r="B131" s="6">
        <v>0</v>
      </c>
      <c r="C131" s="7">
        <f t="shared" si="62"/>
        <v>0</v>
      </c>
      <c r="D131" s="6">
        <v>0</v>
      </c>
      <c r="E131" s="7">
        <f t="shared" si="63"/>
        <v>0</v>
      </c>
      <c r="F131" s="6">
        <v>0</v>
      </c>
      <c r="G131" s="7">
        <f t="shared" si="64"/>
        <v>0</v>
      </c>
      <c r="H131" s="6">
        <v>0</v>
      </c>
      <c r="I131" s="6">
        <v>0</v>
      </c>
      <c r="J131" s="6">
        <v>0</v>
      </c>
      <c r="K131" s="6">
        <v>0</v>
      </c>
      <c r="L131" s="6">
        <v>0</v>
      </c>
      <c r="M131" s="6">
        <v>0</v>
      </c>
      <c r="N131" s="6">
        <v>0</v>
      </c>
      <c r="O131" s="6">
        <v>0</v>
      </c>
      <c r="P131" s="6">
        <v>0</v>
      </c>
      <c r="Q131" s="6">
        <v>0</v>
      </c>
      <c r="R131" s="6">
        <v>0</v>
      </c>
      <c r="S131" s="6">
        <v>0</v>
      </c>
      <c r="T131" s="6">
        <f t="shared" ref="T131:T139" si="71">SUM(H131:S131)</f>
        <v>0</v>
      </c>
      <c r="U131" s="6">
        <f t="shared" ref="U131:U174" si="72">SUM(W131:AH131)</f>
        <v>0</v>
      </c>
      <c r="V131" s="23">
        <f t="shared" si="50"/>
        <v>0</v>
      </c>
      <c r="W131" s="6">
        <v>0</v>
      </c>
      <c r="X131" s="6">
        <v>0</v>
      </c>
      <c r="Y131" s="6">
        <v>0</v>
      </c>
      <c r="Z131" s="6">
        <v>0</v>
      </c>
      <c r="AA131" s="6">
        <v>0</v>
      </c>
      <c r="AB131" s="6">
        <v>0</v>
      </c>
      <c r="AC131" s="6">
        <v>0</v>
      </c>
      <c r="AD131" s="6">
        <v>0</v>
      </c>
      <c r="AE131" s="6">
        <v>0</v>
      </c>
      <c r="AF131" s="6">
        <v>0</v>
      </c>
      <c r="AG131" s="6">
        <v>0</v>
      </c>
      <c r="AH131" s="6">
        <v>0</v>
      </c>
      <c r="AI131" s="6">
        <f t="shared" ref="AI131:AI139" si="73">SUM(W131:AH131)</f>
        <v>0</v>
      </c>
    </row>
    <row r="132" spans="1:35" x14ac:dyDescent="0.25">
      <c r="A132" s="5" t="s">
        <v>135</v>
      </c>
      <c r="B132" s="6">
        <v>136680.32999999999</v>
      </c>
      <c r="C132" s="7">
        <f t="shared" si="62"/>
        <v>1.2387866996709171E-2</v>
      </c>
      <c r="D132" s="6">
        <v>26392.69</v>
      </c>
      <c r="E132" s="7">
        <f t="shared" si="63"/>
        <v>3.1379766900939336E-3</v>
      </c>
      <c r="F132" s="6">
        <f>SUM(F133:F135)</f>
        <v>26392.690000000002</v>
      </c>
      <c r="G132" s="7">
        <f t="shared" si="64"/>
        <v>3.137976690093934E-3</v>
      </c>
      <c r="H132" s="6">
        <f>SUM(H133:H135)</f>
        <v>2199.3908333333338</v>
      </c>
      <c r="I132" s="6">
        <f t="shared" ref="I132:S132" si="74">SUM(I133:I135)</f>
        <v>2199.3908333333338</v>
      </c>
      <c r="J132" s="6">
        <f t="shared" si="74"/>
        <v>2199.3908333333338</v>
      </c>
      <c r="K132" s="6">
        <f t="shared" si="74"/>
        <v>2199.3908333333338</v>
      </c>
      <c r="L132" s="6">
        <f t="shared" si="74"/>
        <v>2199.3908333333338</v>
      </c>
      <c r="M132" s="6">
        <f t="shared" si="74"/>
        <v>2199.3908333333338</v>
      </c>
      <c r="N132" s="6">
        <f t="shared" si="74"/>
        <v>2199.3908333333338</v>
      </c>
      <c r="O132" s="6">
        <f t="shared" si="74"/>
        <v>2199.3908333333338</v>
      </c>
      <c r="P132" s="6">
        <f t="shared" si="74"/>
        <v>2199.3908333333338</v>
      </c>
      <c r="Q132" s="6">
        <f t="shared" si="74"/>
        <v>2199.3908333333338</v>
      </c>
      <c r="R132" s="6">
        <f t="shared" si="74"/>
        <v>2199.3908333333338</v>
      </c>
      <c r="S132" s="6">
        <f t="shared" si="74"/>
        <v>2199.3908333333338</v>
      </c>
      <c r="T132" s="6">
        <f t="shared" si="71"/>
        <v>26392.690000000013</v>
      </c>
      <c r="U132" s="6">
        <f t="shared" si="72"/>
        <v>0</v>
      </c>
      <c r="V132" s="23">
        <f t="shared" si="50"/>
        <v>0</v>
      </c>
      <c r="W132" s="6">
        <f>SUM(W133:W135)</f>
        <v>0</v>
      </c>
      <c r="X132" s="6">
        <f t="shared" ref="X132:AH132" si="75">SUM(X133:X135)</f>
        <v>0</v>
      </c>
      <c r="Y132" s="6">
        <f t="shared" si="75"/>
        <v>0</v>
      </c>
      <c r="Z132" s="6">
        <f t="shared" si="75"/>
        <v>0</v>
      </c>
      <c r="AA132" s="6">
        <f t="shared" si="75"/>
        <v>0</v>
      </c>
      <c r="AB132" s="6">
        <f t="shared" si="75"/>
        <v>0</v>
      </c>
      <c r="AC132" s="6">
        <f t="shared" si="75"/>
        <v>0</v>
      </c>
      <c r="AD132" s="6">
        <f t="shared" si="75"/>
        <v>0</v>
      </c>
      <c r="AE132" s="6">
        <f t="shared" si="75"/>
        <v>0</v>
      </c>
      <c r="AF132" s="6">
        <f t="shared" si="75"/>
        <v>0</v>
      </c>
      <c r="AG132" s="6">
        <f t="shared" si="75"/>
        <v>0</v>
      </c>
      <c r="AH132" s="6">
        <f t="shared" si="75"/>
        <v>0</v>
      </c>
      <c r="AI132" s="6">
        <f t="shared" si="73"/>
        <v>0</v>
      </c>
    </row>
    <row r="133" spans="1:35" outlineLevel="1" x14ac:dyDescent="0.25">
      <c r="A133" s="1" t="s">
        <v>136</v>
      </c>
      <c r="B133" s="2">
        <v>-11323.89</v>
      </c>
      <c r="C133" s="8">
        <f t="shared" si="62"/>
        <v>-1.0263279522764177E-3</v>
      </c>
      <c r="D133" s="2">
        <v>-12228.15</v>
      </c>
      <c r="E133" s="8">
        <f t="shared" si="63"/>
        <v>-1.4538741470828526E-3</v>
      </c>
      <c r="F133" s="2">
        <v>-12228.15</v>
      </c>
      <c r="G133" s="8">
        <f t="shared" si="64"/>
        <v>-1.4538741470828526E-3</v>
      </c>
      <c r="H133" s="2">
        <f t="shared" ref="H133:S135" si="76">+$F133/12</f>
        <v>-1019.0124999999999</v>
      </c>
      <c r="I133" s="2">
        <f t="shared" si="76"/>
        <v>-1019.0124999999999</v>
      </c>
      <c r="J133" s="2">
        <f t="shared" si="76"/>
        <v>-1019.0124999999999</v>
      </c>
      <c r="K133" s="2">
        <f t="shared" si="76"/>
        <v>-1019.0124999999999</v>
      </c>
      <c r="L133" s="2">
        <f t="shared" si="76"/>
        <v>-1019.0124999999999</v>
      </c>
      <c r="M133" s="2">
        <f t="shared" si="76"/>
        <v>-1019.0124999999999</v>
      </c>
      <c r="N133" s="2">
        <f t="shared" si="76"/>
        <v>-1019.0124999999999</v>
      </c>
      <c r="O133" s="2">
        <f t="shared" si="76"/>
        <v>-1019.0124999999999</v>
      </c>
      <c r="P133" s="2">
        <f t="shared" si="76"/>
        <v>-1019.0124999999999</v>
      </c>
      <c r="Q133" s="2">
        <f t="shared" si="76"/>
        <v>-1019.0124999999999</v>
      </c>
      <c r="R133" s="2">
        <f t="shared" si="76"/>
        <v>-1019.0124999999999</v>
      </c>
      <c r="S133" s="2">
        <f t="shared" si="76"/>
        <v>-1019.0124999999999</v>
      </c>
      <c r="T133" s="6">
        <f t="shared" si="71"/>
        <v>-12228.150000000001</v>
      </c>
      <c r="U133" s="56">
        <f t="shared" si="72"/>
        <v>0</v>
      </c>
      <c r="V133" s="23">
        <f t="shared" si="50"/>
        <v>0</v>
      </c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6">
        <f t="shared" si="73"/>
        <v>0</v>
      </c>
    </row>
    <row r="134" spans="1:35" outlineLevel="1" x14ac:dyDescent="0.25">
      <c r="A134" s="1" t="s">
        <v>137</v>
      </c>
      <c r="B134" s="2">
        <v>-622.33000000000004</v>
      </c>
      <c r="C134" s="8">
        <f t="shared" si="62"/>
        <v>-5.640417511475148E-5</v>
      </c>
      <c r="D134" s="2">
        <v>-1381.73</v>
      </c>
      <c r="E134" s="8">
        <f t="shared" si="63"/>
        <v>-1.6428172088572596E-4</v>
      </c>
      <c r="F134" s="2">
        <v>-1381.73</v>
      </c>
      <c r="G134" s="8">
        <f t="shared" si="64"/>
        <v>-1.6428172088572596E-4</v>
      </c>
      <c r="H134" s="2">
        <f t="shared" si="76"/>
        <v>-115.14416666666666</v>
      </c>
      <c r="I134" s="2">
        <f t="shared" si="76"/>
        <v>-115.14416666666666</v>
      </c>
      <c r="J134" s="2">
        <f t="shared" si="76"/>
        <v>-115.14416666666666</v>
      </c>
      <c r="K134" s="2">
        <f t="shared" si="76"/>
        <v>-115.14416666666666</v>
      </c>
      <c r="L134" s="2">
        <f t="shared" si="76"/>
        <v>-115.14416666666666</v>
      </c>
      <c r="M134" s="2">
        <f t="shared" si="76"/>
        <v>-115.14416666666666</v>
      </c>
      <c r="N134" s="2">
        <f t="shared" si="76"/>
        <v>-115.14416666666666</v>
      </c>
      <c r="O134" s="2">
        <f t="shared" si="76"/>
        <v>-115.14416666666666</v>
      </c>
      <c r="P134" s="2">
        <f t="shared" si="76"/>
        <v>-115.14416666666666</v>
      </c>
      <c r="Q134" s="2">
        <f t="shared" si="76"/>
        <v>-115.14416666666666</v>
      </c>
      <c r="R134" s="2">
        <f t="shared" si="76"/>
        <v>-115.14416666666666</v>
      </c>
      <c r="S134" s="2">
        <f t="shared" si="76"/>
        <v>-115.14416666666666</v>
      </c>
      <c r="T134" s="6">
        <f t="shared" si="71"/>
        <v>-1381.7300000000002</v>
      </c>
      <c r="U134" s="56">
        <f t="shared" si="72"/>
        <v>0</v>
      </c>
      <c r="V134" s="23">
        <f t="shared" si="50"/>
        <v>0</v>
      </c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6">
        <f t="shared" si="73"/>
        <v>0</v>
      </c>
    </row>
    <row r="135" spans="1:35" outlineLevel="1" x14ac:dyDescent="0.25">
      <c r="A135" s="1" t="s">
        <v>138</v>
      </c>
      <c r="B135" s="2">
        <v>148626.54999999999</v>
      </c>
      <c r="C135" s="8">
        <f t="shared" si="62"/>
        <v>1.3470599124100341E-2</v>
      </c>
      <c r="D135" s="2">
        <v>40002.57</v>
      </c>
      <c r="E135" s="8">
        <f t="shared" si="63"/>
        <v>4.7561325580625117E-3</v>
      </c>
      <c r="F135" s="2">
        <v>40002.57</v>
      </c>
      <c r="G135" s="8">
        <f t="shared" si="64"/>
        <v>4.7561325580625117E-3</v>
      </c>
      <c r="H135" s="2">
        <f t="shared" si="76"/>
        <v>3333.5475000000001</v>
      </c>
      <c r="I135" s="2">
        <f t="shared" si="76"/>
        <v>3333.5475000000001</v>
      </c>
      <c r="J135" s="2">
        <f t="shared" si="76"/>
        <v>3333.5475000000001</v>
      </c>
      <c r="K135" s="2">
        <f t="shared" si="76"/>
        <v>3333.5475000000001</v>
      </c>
      <c r="L135" s="2">
        <f t="shared" si="76"/>
        <v>3333.5475000000001</v>
      </c>
      <c r="M135" s="2">
        <f t="shared" si="76"/>
        <v>3333.5475000000001</v>
      </c>
      <c r="N135" s="2">
        <f t="shared" si="76"/>
        <v>3333.5475000000001</v>
      </c>
      <c r="O135" s="2">
        <f t="shared" si="76"/>
        <v>3333.5475000000001</v>
      </c>
      <c r="P135" s="2">
        <f t="shared" si="76"/>
        <v>3333.5475000000001</v>
      </c>
      <c r="Q135" s="2">
        <f t="shared" si="76"/>
        <v>3333.5475000000001</v>
      </c>
      <c r="R135" s="2">
        <f t="shared" si="76"/>
        <v>3333.5475000000001</v>
      </c>
      <c r="S135" s="2">
        <f t="shared" si="76"/>
        <v>3333.5475000000001</v>
      </c>
      <c r="T135" s="6">
        <f t="shared" si="71"/>
        <v>40002.57</v>
      </c>
      <c r="U135" s="56">
        <f t="shared" si="72"/>
        <v>0</v>
      </c>
      <c r="V135" s="23">
        <f t="shared" si="50"/>
        <v>0</v>
      </c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6">
        <f t="shared" si="73"/>
        <v>0</v>
      </c>
    </row>
    <row r="136" spans="1:35" x14ac:dyDescent="0.25">
      <c r="A136" s="3" t="s">
        <v>139</v>
      </c>
      <c r="B136" s="4">
        <v>2165639.59</v>
      </c>
      <c r="C136" s="11">
        <f t="shared" si="62"/>
        <v>0.19628029288287335</v>
      </c>
      <c r="D136" s="4">
        <v>1261827.03</v>
      </c>
      <c r="E136" s="11">
        <f t="shared" si="63"/>
        <v>0.15002577634452793</v>
      </c>
      <c r="F136" s="4">
        <f>+F2+F13+F27+F37+F122+F126+F127+F128+F132</f>
        <v>464818.84356000117</v>
      </c>
      <c r="G136" s="11">
        <f t="shared" si="64"/>
        <v>5.5264950113372388E-2</v>
      </c>
      <c r="H136" s="4">
        <f>+H2+H13+H27+H37+H122+H126+H127+H128+H132</f>
        <v>242186.20445783681</v>
      </c>
      <c r="I136" s="4">
        <f t="shared" ref="I136:S136" si="77">+I2+I13+I27+I37+I122+I126+I127+I128+I132</f>
        <v>364903.48523963435</v>
      </c>
      <c r="J136" s="4">
        <f t="shared" si="77"/>
        <v>328759.49041795364</v>
      </c>
      <c r="K136" s="4">
        <f t="shared" si="77"/>
        <v>17960.854810166144</v>
      </c>
      <c r="L136" s="4">
        <f t="shared" si="77"/>
        <v>394062.93873782252</v>
      </c>
      <c r="M136" s="4">
        <f t="shared" si="77"/>
        <v>262606.61482962151</v>
      </c>
      <c r="N136" s="4">
        <f t="shared" si="77"/>
        <v>259962.42662554746</v>
      </c>
      <c r="O136" s="4">
        <f t="shared" si="77"/>
        <v>69284.295850220777</v>
      </c>
      <c r="P136" s="4">
        <f t="shared" si="77"/>
        <v>213895.66364741744</v>
      </c>
      <c r="Q136" s="4">
        <f t="shared" si="77"/>
        <v>186661.53692109569</v>
      </c>
      <c r="R136" s="4">
        <f t="shared" si="77"/>
        <v>197619.84569825348</v>
      </c>
      <c r="S136" s="4">
        <f t="shared" si="77"/>
        <v>185239.18611041829</v>
      </c>
      <c r="T136" s="6">
        <f t="shared" si="71"/>
        <v>2723142.5433459878</v>
      </c>
      <c r="U136" s="6">
        <f t="shared" si="72"/>
        <v>6997639.2267459864</v>
      </c>
      <c r="V136" s="23">
        <f t="shared" si="50"/>
        <v>0.52341672194019162</v>
      </c>
      <c r="W136" s="4">
        <f>+W2+W13+W27+W37+W122+W126+W127+W128+W132</f>
        <v>623394.26140783681</v>
      </c>
      <c r="X136" s="4">
        <f t="shared" ref="X136:AH136" si="78">+X2+X13+X27+X37+X122+X126+X127+X128+X132</f>
        <v>746111.54218963441</v>
      </c>
      <c r="Y136" s="4">
        <f t="shared" si="78"/>
        <v>659967.5473679537</v>
      </c>
      <c r="Z136" s="4">
        <f t="shared" si="78"/>
        <v>499168.91176016617</v>
      </c>
      <c r="AA136" s="4">
        <f t="shared" si="78"/>
        <v>725270.99568782258</v>
      </c>
      <c r="AB136" s="4">
        <f t="shared" si="78"/>
        <v>593814.67177962151</v>
      </c>
      <c r="AC136" s="4">
        <f t="shared" si="78"/>
        <v>591170.48357554746</v>
      </c>
      <c r="AD136" s="4">
        <f t="shared" si="78"/>
        <v>400492.35280022072</v>
      </c>
      <c r="AE136" s="4">
        <f t="shared" si="78"/>
        <v>595103.72059741744</v>
      </c>
      <c r="AF136" s="4">
        <f t="shared" si="78"/>
        <v>517869.59387109563</v>
      </c>
      <c r="AG136" s="4">
        <f t="shared" si="78"/>
        <v>528827.90264825337</v>
      </c>
      <c r="AH136" s="4">
        <f t="shared" si="78"/>
        <v>516447.24306041823</v>
      </c>
      <c r="AI136" s="6">
        <f t="shared" si="73"/>
        <v>6997639.2267459864</v>
      </c>
    </row>
    <row r="137" spans="1:35" x14ac:dyDescent="0.25">
      <c r="A137" s="5" t="s">
        <v>140</v>
      </c>
      <c r="B137" s="6">
        <v>213887.64</v>
      </c>
      <c r="C137" s="7">
        <f t="shared" si="62"/>
        <v>1.9385464145133487E-2</v>
      </c>
      <c r="D137" s="6">
        <v>202918.5</v>
      </c>
      <c r="E137" s="7">
        <f t="shared" si="63"/>
        <v>2.4126132008098676E-2</v>
      </c>
      <c r="F137" s="6">
        <f>SUM(F138:F139)</f>
        <v>195900</v>
      </c>
      <c r="G137" s="7">
        <f t="shared" si="64"/>
        <v>2.3291662713781792E-2</v>
      </c>
      <c r="H137" s="6">
        <f>SUM(H138:H139)</f>
        <v>16325</v>
      </c>
      <c r="I137" s="6">
        <f t="shared" ref="I137:S137" si="79">SUM(I138:I139)</f>
        <v>16326</v>
      </c>
      <c r="J137" s="6">
        <f t="shared" si="79"/>
        <v>16327</v>
      </c>
      <c r="K137" s="6">
        <f t="shared" si="79"/>
        <v>16328</v>
      </c>
      <c r="L137" s="6">
        <f t="shared" si="79"/>
        <v>16329</v>
      </c>
      <c r="M137" s="6">
        <f t="shared" si="79"/>
        <v>16330</v>
      </c>
      <c r="N137" s="6">
        <f t="shared" si="79"/>
        <v>16331</v>
      </c>
      <c r="O137" s="6">
        <f t="shared" si="79"/>
        <v>16332</v>
      </c>
      <c r="P137" s="6">
        <f t="shared" si="79"/>
        <v>16333</v>
      </c>
      <c r="Q137" s="6">
        <f t="shared" si="79"/>
        <v>16334</v>
      </c>
      <c r="R137" s="6">
        <f t="shared" si="79"/>
        <v>16335</v>
      </c>
      <c r="S137" s="6">
        <f t="shared" si="79"/>
        <v>16336</v>
      </c>
      <c r="T137" s="6">
        <f t="shared" si="71"/>
        <v>195966</v>
      </c>
      <c r="U137" s="6">
        <f t="shared" si="72"/>
        <v>0</v>
      </c>
      <c r="V137" s="23">
        <f t="shared" si="50"/>
        <v>0</v>
      </c>
      <c r="W137" s="6">
        <f>SUM(W138:W139)</f>
        <v>0</v>
      </c>
      <c r="X137" s="6">
        <f t="shared" ref="X137:AH137" si="80">SUM(X138:X139)</f>
        <v>0</v>
      </c>
      <c r="Y137" s="6">
        <f t="shared" si="80"/>
        <v>0</v>
      </c>
      <c r="Z137" s="6">
        <f t="shared" si="80"/>
        <v>0</v>
      </c>
      <c r="AA137" s="6">
        <f t="shared" si="80"/>
        <v>0</v>
      </c>
      <c r="AB137" s="6">
        <f t="shared" si="80"/>
        <v>0</v>
      </c>
      <c r="AC137" s="6">
        <f t="shared" si="80"/>
        <v>0</v>
      </c>
      <c r="AD137" s="6">
        <f t="shared" si="80"/>
        <v>0</v>
      </c>
      <c r="AE137" s="6">
        <f t="shared" si="80"/>
        <v>0</v>
      </c>
      <c r="AF137" s="6">
        <f t="shared" si="80"/>
        <v>0</v>
      </c>
      <c r="AG137" s="6">
        <f t="shared" si="80"/>
        <v>0</v>
      </c>
      <c r="AH137" s="6">
        <f t="shared" si="80"/>
        <v>0</v>
      </c>
      <c r="AI137" s="6">
        <f t="shared" si="73"/>
        <v>0</v>
      </c>
    </row>
    <row r="138" spans="1:35" outlineLevel="1" x14ac:dyDescent="0.25">
      <c r="A138" s="1" t="s">
        <v>141</v>
      </c>
      <c r="B138" s="2">
        <v>0</v>
      </c>
      <c r="C138" s="8">
        <f t="shared" si="62"/>
        <v>0</v>
      </c>
      <c r="D138" s="2">
        <v>0</v>
      </c>
      <c r="E138" s="8">
        <f t="shared" si="63"/>
        <v>0</v>
      </c>
      <c r="F138" s="2">
        <v>0</v>
      </c>
      <c r="G138" s="8">
        <f t="shared" si="64"/>
        <v>0</v>
      </c>
      <c r="H138" s="2">
        <v>0</v>
      </c>
      <c r="I138" s="2">
        <v>1</v>
      </c>
      <c r="J138" s="2">
        <v>2</v>
      </c>
      <c r="K138" s="2">
        <v>3</v>
      </c>
      <c r="L138" s="2">
        <v>4</v>
      </c>
      <c r="M138" s="2">
        <v>5</v>
      </c>
      <c r="N138" s="2">
        <v>6</v>
      </c>
      <c r="O138" s="2">
        <v>7</v>
      </c>
      <c r="P138" s="2">
        <v>8</v>
      </c>
      <c r="Q138" s="2">
        <v>9</v>
      </c>
      <c r="R138" s="2">
        <v>10</v>
      </c>
      <c r="S138" s="2">
        <v>11</v>
      </c>
      <c r="T138" s="6">
        <f t="shared" si="71"/>
        <v>66</v>
      </c>
      <c r="U138" s="6">
        <f t="shared" si="72"/>
        <v>0</v>
      </c>
      <c r="V138" s="23">
        <f t="shared" si="50"/>
        <v>0</v>
      </c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6">
        <f t="shared" si="73"/>
        <v>0</v>
      </c>
    </row>
    <row r="139" spans="1:35" s="5" customFormat="1" outlineLevel="1" x14ac:dyDescent="0.25">
      <c r="A139" s="1" t="s">
        <v>142</v>
      </c>
      <c r="B139" s="2">
        <v>213887.64</v>
      </c>
      <c r="C139" s="8">
        <f t="shared" si="62"/>
        <v>1.9385464145133487E-2</v>
      </c>
      <c r="D139" s="2">
        <v>202918.5</v>
      </c>
      <c r="E139" s="8">
        <f t="shared" si="63"/>
        <v>2.4126132008098676E-2</v>
      </c>
      <c r="F139" s="2">
        <f>SUM(F140:F145)</f>
        <v>195900</v>
      </c>
      <c r="G139" s="8">
        <f t="shared" si="64"/>
        <v>2.3291662713781792E-2</v>
      </c>
      <c r="H139" s="2">
        <f>SUM(H140:H145)</f>
        <v>16325</v>
      </c>
      <c r="I139" s="2">
        <f t="shared" ref="I139:S139" si="81">SUM(I140:I145)</f>
        <v>16325</v>
      </c>
      <c r="J139" s="2">
        <f t="shared" si="81"/>
        <v>16325</v>
      </c>
      <c r="K139" s="2">
        <f t="shared" si="81"/>
        <v>16325</v>
      </c>
      <c r="L139" s="2">
        <f t="shared" si="81"/>
        <v>16325</v>
      </c>
      <c r="M139" s="2">
        <f t="shared" si="81"/>
        <v>16325</v>
      </c>
      <c r="N139" s="2">
        <f t="shared" si="81"/>
        <v>16325</v>
      </c>
      <c r="O139" s="2">
        <f t="shared" si="81"/>
        <v>16325</v>
      </c>
      <c r="P139" s="2">
        <f t="shared" si="81"/>
        <v>16325</v>
      </c>
      <c r="Q139" s="2">
        <f t="shared" si="81"/>
        <v>16325</v>
      </c>
      <c r="R139" s="2">
        <f t="shared" si="81"/>
        <v>16325</v>
      </c>
      <c r="S139" s="2">
        <f t="shared" si="81"/>
        <v>16325</v>
      </c>
      <c r="T139" s="6">
        <f t="shared" si="71"/>
        <v>195900</v>
      </c>
      <c r="U139" s="6">
        <f t="shared" si="72"/>
        <v>0</v>
      </c>
      <c r="V139" s="23">
        <f t="shared" si="50"/>
        <v>0</v>
      </c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6">
        <f t="shared" si="73"/>
        <v>0</v>
      </c>
    </row>
    <row r="140" spans="1:35" outlineLevel="1" x14ac:dyDescent="0.25">
      <c r="A140" s="1" t="s">
        <v>143</v>
      </c>
      <c r="B140" s="2">
        <v>5687.66</v>
      </c>
      <c r="C140" s="8">
        <f t="shared" si="62"/>
        <v>5.1549462605557719E-4</v>
      </c>
      <c r="D140" s="2">
        <v>9569.77</v>
      </c>
      <c r="E140" s="8">
        <f t="shared" si="63"/>
        <v>1.1378042628303604E-3</v>
      </c>
      <c r="F140" s="2">
        <v>10000</v>
      </c>
      <c r="G140" s="8">
        <f t="shared" si="64"/>
        <v>1.1889567490445019E-3</v>
      </c>
      <c r="H140" s="2">
        <f t="shared" ref="H140:S162" si="82">+$F140/12</f>
        <v>833.33333333333337</v>
      </c>
      <c r="I140" s="2">
        <f t="shared" si="82"/>
        <v>833.33333333333337</v>
      </c>
      <c r="J140" s="2">
        <f t="shared" si="82"/>
        <v>833.33333333333337</v>
      </c>
      <c r="K140" s="2">
        <f t="shared" si="82"/>
        <v>833.33333333333337</v>
      </c>
      <c r="L140" s="2">
        <f t="shared" si="82"/>
        <v>833.33333333333337</v>
      </c>
      <c r="M140" s="2">
        <f t="shared" si="82"/>
        <v>833.33333333333337</v>
      </c>
      <c r="N140" s="2">
        <f t="shared" si="82"/>
        <v>833.33333333333337</v>
      </c>
      <c r="O140" s="2">
        <f t="shared" si="82"/>
        <v>833.33333333333337</v>
      </c>
      <c r="P140" s="2">
        <f t="shared" si="82"/>
        <v>833.33333333333337</v>
      </c>
      <c r="Q140" s="2">
        <f t="shared" si="82"/>
        <v>833.33333333333337</v>
      </c>
      <c r="R140" s="2">
        <f t="shared" si="82"/>
        <v>833.33333333333337</v>
      </c>
      <c r="S140" s="2">
        <f t="shared" si="82"/>
        <v>833.33333333333337</v>
      </c>
      <c r="U140" s="6">
        <f t="shared" si="72"/>
        <v>0</v>
      </c>
      <c r="V140" s="23">
        <f t="shared" si="50"/>
        <v>0</v>
      </c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</row>
    <row r="141" spans="1:35" outlineLevel="1" x14ac:dyDescent="0.25">
      <c r="A141" s="1" t="s">
        <v>144</v>
      </c>
      <c r="B141" s="2">
        <v>127810</v>
      </c>
      <c r="C141" s="8">
        <f t="shared" si="62"/>
        <v>1.1583914677769648E-2</v>
      </c>
      <c r="D141" s="2">
        <v>107149.97</v>
      </c>
      <c r="E141" s="8">
        <f t="shared" si="63"/>
        <v>1.273966799914159E-2</v>
      </c>
      <c r="F141" s="2">
        <v>100000</v>
      </c>
      <c r="G141" s="8">
        <f t="shared" si="64"/>
        <v>1.188956749044502E-2</v>
      </c>
      <c r="H141" s="2">
        <f t="shared" si="82"/>
        <v>8333.3333333333339</v>
      </c>
      <c r="I141" s="2">
        <f t="shared" si="82"/>
        <v>8333.3333333333339</v>
      </c>
      <c r="J141" s="2">
        <f t="shared" si="82"/>
        <v>8333.3333333333339</v>
      </c>
      <c r="K141" s="2">
        <f t="shared" si="82"/>
        <v>8333.3333333333339</v>
      </c>
      <c r="L141" s="2">
        <f t="shared" si="82"/>
        <v>8333.3333333333339</v>
      </c>
      <c r="M141" s="2">
        <f t="shared" si="82"/>
        <v>8333.3333333333339</v>
      </c>
      <c r="N141" s="2">
        <f t="shared" si="82"/>
        <v>8333.3333333333339</v>
      </c>
      <c r="O141" s="2">
        <f t="shared" si="82"/>
        <v>8333.3333333333339</v>
      </c>
      <c r="P141" s="2">
        <f t="shared" si="82"/>
        <v>8333.3333333333339</v>
      </c>
      <c r="Q141" s="2">
        <f t="shared" si="82"/>
        <v>8333.3333333333339</v>
      </c>
      <c r="R141" s="2">
        <f t="shared" si="82"/>
        <v>8333.3333333333339</v>
      </c>
      <c r="S141" s="2">
        <f t="shared" si="82"/>
        <v>8333.3333333333339</v>
      </c>
      <c r="U141" s="6">
        <f t="shared" si="72"/>
        <v>0</v>
      </c>
      <c r="V141" s="23">
        <f t="shared" si="50"/>
        <v>0</v>
      </c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</row>
    <row r="142" spans="1:35" outlineLevel="1" x14ac:dyDescent="0.25">
      <c r="A142" s="1" t="s">
        <v>145</v>
      </c>
      <c r="B142" s="2">
        <v>6628.55</v>
      </c>
      <c r="C142" s="8">
        <f t="shared" si="62"/>
        <v>6.0077112618206723E-4</v>
      </c>
      <c r="D142" s="2">
        <v>0</v>
      </c>
      <c r="E142" s="8">
        <f t="shared" si="63"/>
        <v>0</v>
      </c>
      <c r="F142" s="2">
        <v>0</v>
      </c>
      <c r="G142" s="8">
        <f t="shared" si="64"/>
        <v>0</v>
      </c>
      <c r="H142" s="2">
        <f t="shared" si="82"/>
        <v>0</v>
      </c>
      <c r="I142" s="2">
        <f t="shared" si="82"/>
        <v>0</v>
      </c>
      <c r="J142" s="2">
        <f t="shared" si="82"/>
        <v>0</v>
      </c>
      <c r="K142" s="2">
        <f t="shared" si="82"/>
        <v>0</v>
      </c>
      <c r="L142" s="2">
        <f t="shared" si="82"/>
        <v>0</v>
      </c>
      <c r="M142" s="2">
        <f t="shared" si="82"/>
        <v>0</v>
      </c>
      <c r="N142" s="2">
        <f t="shared" si="82"/>
        <v>0</v>
      </c>
      <c r="O142" s="2">
        <f t="shared" si="82"/>
        <v>0</v>
      </c>
      <c r="P142" s="2">
        <f t="shared" si="82"/>
        <v>0</v>
      </c>
      <c r="Q142" s="2">
        <f t="shared" si="82"/>
        <v>0</v>
      </c>
      <c r="R142" s="2">
        <f t="shared" si="82"/>
        <v>0</v>
      </c>
      <c r="S142" s="2">
        <f t="shared" si="82"/>
        <v>0</v>
      </c>
      <c r="U142" s="6">
        <f t="shared" si="72"/>
        <v>0</v>
      </c>
      <c r="V142" s="23">
        <f t="shared" ref="V142:V174" si="83">+U142/$U$2</f>
        <v>0</v>
      </c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</row>
    <row r="143" spans="1:35" outlineLevel="1" x14ac:dyDescent="0.25">
      <c r="A143" s="1" t="s">
        <v>146</v>
      </c>
      <c r="B143" s="2">
        <v>1883.95</v>
      </c>
      <c r="C143" s="8">
        <f t="shared" si="62"/>
        <v>1.7074967574668752E-4</v>
      </c>
      <c r="D143" s="2">
        <v>0</v>
      </c>
      <c r="E143" s="8">
        <f t="shared" si="63"/>
        <v>0</v>
      </c>
      <c r="F143" s="2">
        <v>0</v>
      </c>
      <c r="G143" s="8">
        <f t="shared" si="64"/>
        <v>0</v>
      </c>
      <c r="H143" s="2">
        <f t="shared" si="82"/>
        <v>0</v>
      </c>
      <c r="I143" s="2">
        <f t="shared" si="82"/>
        <v>0</v>
      </c>
      <c r="J143" s="2">
        <f t="shared" si="82"/>
        <v>0</v>
      </c>
      <c r="K143" s="2">
        <f t="shared" si="82"/>
        <v>0</v>
      </c>
      <c r="L143" s="2">
        <f t="shared" si="82"/>
        <v>0</v>
      </c>
      <c r="M143" s="2">
        <f t="shared" si="82"/>
        <v>0</v>
      </c>
      <c r="N143" s="2">
        <f t="shared" si="82"/>
        <v>0</v>
      </c>
      <c r="O143" s="2">
        <f t="shared" si="82"/>
        <v>0</v>
      </c>
      <c r="P143" s="2">
        <f t="shared" si="82"/>
        <v>0</v>
      </c>
      <c r="Q143" s="2">
        <f t="shared" si="82"/>
        <v>0</v>
      </c>
      <c r="R143" s="2">
        <f t="shared" si="82"/>
        <v>0</v>
      </c>
      <c r="S143" s="2">
        <f t="shared" si="82"/>
        <v>0</v>
      </c>
      <c r="U143" s="6">
        <f t="shared" si="72"/>
        <v>0</v>
      </c>
      <c r="V143" s="23">
        <f t="shared" si="83"/>
        <v>0</v>
      </c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</row>
    <row r="144" spans="1:35" s="5" customFormat="1" outlineLevel="1" x14ac:dyDescent="0.25">
      <c r="A144" s="1" t="s">
        <v>147</v>
      </c>
      <c r="B144" s="2">
        <v>0</v>
      </c>
      <c r="C144" s="8">
        <f t="shared" si="62"/>
        <v>0</v>
      </c>
      <c r="D144" s="2">
        <v>6491.28</v>
      </c>
      <c r="E144" s="8">
        <f t="shared" si="63"/>
        <v>7.7178511659375937E-4</v>
      </c>
      <c r="F144" s="2">
        <v>5900</v>
      </c>
      <c r="G144" s="8">
        <f t="shared" si="64"/>
        <v>7.0148448193625614E-4</v>
      </c>
      <c r="H144" s="2">
        <f t="shared" si="82"/>
        <v>491.66666666666669</v>
      </c>
      <c r="I144" s="2">
        <f t="shared" si="82"/>
        <v>491.66666666666669</v>
      </c>
      <c r="J144" s="2">
        <f t="shared" si="82"/>
        <v>491.66666666666669</v>
      </c>
      <c r="K144" s="2">
        <f t="shared" si="82"/>
        <v>491.66666666666669</v>
      </c>
      <c r="L144" s="2">
        <f t="shared" si="82"/>
        <v>491.66666666666669</v>
      </c>
      <c r="M144" s="2">
        <f t="shared" si="82"/>
        <v>491.66666666666669</v>
      </c>
      <c r="N144" s="2">
        <f t="shared" si="82"/>
        <v>491.66666666666669</v>
      </c>
      <c r="O144" s="2">
        <f t="shared" si="82"/>
        <v>491.66666666666669</v>
      </c>
      <c r="P144" s="2">
        <f t="shared" si="82"/>
        <v>491.66666666666669</v>
      </c>
      <c r="Q144" s="2">
        <f t="shared" si="82"/>
        <v>491.66666666666669</v>
      </c>
      <c r="R144" s="2">
        <f t="shared" si="82"/>
        <v>491.66666666666669</v>
      </c>
      <c r="S144" s="2">
        <f t="shared" si="82"/>
        <v>491.66666666666669</v>
      </c>
      <c r="U144" s="6">
        <f t="shared" si="72"/>
        <v>0</v>
      </c>
      <c r="V144" s="23">
        <f t="shared" si="83"/>
        <v>0</v>
      </c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</row>
    <row r="145" spans="1:34" outlineLevel="1" x14ac:dyDescent="0.25">
      <c r="A145" s="1" t="s">
        <v>148</v>
      </c>
      <c r="B145" s="2">
        <v>71877.48</v>
      </c>
      <c r="C145" s="8">
        <f t="shared" si="62"/>
        <v>6.5145340393795038E-3</v>
      </c>
      <c r="D145" s="2">
        <v>79707.48</v>
      </c>
      <c r="E145" s="8">
        <f t="shared" si="63"/>
        <v>9.4768746295329654E-3</v>
      </c>
      <c r="F145" s="2">
        <v>80000</v>
      </c>
      <c r="G145" s="8">
        <f t="shared" si="64"/>
        <v>9.5116539923560152E-3</v>
      </c>
      <c r="H145" s="2">
        <f t="shared" si="82"/>
        <v>6666.666666666667</v>
      </c>
      <c r="I145" s="2">
        <f t="shared" si="82"/>
        <v>6666.666666666667</v>
      </c>
      <c r="J145" s="2">
        <f t="shared" si="82"/>
        <v>6666.666666666667</v>
      </c>
      <c r="K145" s="2">
        <f t="shared" si="82"/>
        <v>6666.666666666667</v>
      </c>
      <c r="L145" s="2">
        <f t="shared" si="82"/>
        <v>6666.666666666667</v>
      </c>
      <c r="M145" s="2">
        <f t="shared" si="82"/>
        <v>6666.666666666667</v>
      </c>
      <c r="N145" s="2">
        <f t="shared" si="82"/>
        <v>6666.666666666667</v>
      </c>
      <c r="O145" s="2">
        <f t="shared" si="82"/>
        <v>6666.666666666667</v>
      </c>
      <c r="P145" s="2">
        <f t="shared" si="82"/>
        <v>6666.666666666667</v>
      </c>
      <c r="Q145" s="2">
        <f t="shared" si="82"/>
        <v>6666.666666666667</v>
      </c>
      <c r="R145" s="2">
        <f t="shared" si="82"/>
        <v>6666.666666666667</v>
      </c>
      <c r="S145" s="2">
        <f t="shared" si="82"/>
        <v>6666.666666666667</v>
      </c>
      <c r="U145" s="6">
        <f t="shared" si="72"/>
        <v>0</v>
      </c>
      <c r="V145" s="23">
        <f t="shared" si="83"/>
        <v>0</v>
      </c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</row>
    <row r="146" spans="1:34" x14ac:dyDescent="0.25">
      <c r="A146" s="5" t="s">
        <v>149</v>
      </c>
      <c r="B146" s="6">
        <v>-38206.300000000003</v>
      </c>
      <c r="C146" s="7">
        <f t="shared" si="62"/>
        <v>-3.4627847535660008E-3</v>
      </c>
      <c r="D146" s="6">
        <v>-233017.96</v>
      </c>
      <c r="E146" s="7">
        <f t="shared" si="63"/>
        <v>-2.7704827619058178E-2</v>
      </c>
      <c r="F146" s="6">
        <f>SUM(F147:F152)</f>
        <v>-225831</v>
      </c>
      <c r="G146" s="7">
        <f t="shared" si="64"/>
        <v>-2.6850329159346892E-2</v>
      </c>
      <c r="H146" s="6">
        <f>SUM(H147:H152)</f>
        <v>-18819.25</v>
      </c>
      <c r="I146" s="6">
        <f t="shared" ref="I146:S146" si="84">SUM(I147:I152)</f>
        <v>-18819.25</v>
      </c>
      <c r="J146" s="6">
        <f t="shared" si="84"/>
        <v>-18819.25</v>
      </c>
      <c r="K146" s="6">
        <f t="shared" si="84"/>
        <v>-18819.25</v>
      </c>
      <c r="L146" s="6">
        <f t="shared" si="84"/>
        <v>-18819.25</v>
      </c>
      <c r="M146" s="6">
        <f t="shared" si="84"/>
        <v>-18819.25</v>
      </c>
      <c r="N146" s="6">
        <f t="shared" si="84"/>
        <v>-18819.25</v>
      </c>
      <c r="O146" s="6">
        <f t="shared" si="84"/>
        <v>-18819.25</v>
      </c>
      <c r="P146" s="6">
        <f t="shared" si="84"/>
        <v>-18819.25</v>
      </c>
      <c r="Q146" s="6">
        <f t="shared" si="84"/>
        <v>-18819.25</v>
      </c>
      <c r="R146" s="6">
        <f t="shared" si="84"/>
        <v>-18819.25</v>
      </c>
      <c r="S146" s="6">
        <f t="shared" si="84"/>
        <v>-18819.25</v>
      </c>
      <c r="U146" s="6">
        <f t="shared" si="72"/>
        <v>-225831</v>
      </c>
      <c r="V146" s="23">
        <f t="shared" si="83"/>
        <v>-1.6891942825615208E-2</v>
      </c>
      <c r="W146" s="6">
        <f>SUM(W147:W152)</f>
        <v>-18819.25</v>
      </c>
      <c r="X146" s="6">
        <f t="shared" ref="X146:AH146" si="85">SUM(X147:X152)</f>
        <v>-18819.25</v>
      </c>
      <c r="Y146" s="6">
        <f t="shared" si="85"/>
        <v>-18819.25</v>
      </c>
      <c r="Z146" s="6">
        <f t="shared" si="85"/>
        <v>-18819.25</v>
      </c>
      <c r="AA146" s="6">
        <f t="shared" si="85"/>
        <v>-18819.25</v>
      </c>
      <c r="AB146" s="6">
        <f t="shared" si="85"/>
        <v>-18819.25</v>
      </c>
      <c r="AC146" s="6">
        <f t="shared" si="85"/>
        <v>-18819.25</v>
      </c>
      <c r="AD146" s="6">
        <f t="shared" si="85"/>
        <v>-18819.25</v>
      </c>
      <c r="AE146" s="6">
        <f t="shared" si="85"/>
        <v>-18819.25</v>
      </c>
      <c r="AF146" s="6">
        <f t="shared" si="85"/>
        <v>-18819.25</v>
      </c>
      <c r="AG146" s="6">
        <f t="shared" si="85"/>
        <v>-18819.25</v>
      </c>
      <c r="AH146" s="6">
        <f t="shared" si="85"/>
        <v>-18819.25</v>
      </c>
    </row>
    <row r="147" spans="1:34" outlineLevel="2" x14ac:dyDescent="0.25">
      <c r="A147" s="10" t="s">
        <v>150</v>
      </c>
      <c r="B147" s="6"/>
      <c r="C147" s="7"/>
      <c r="D147" s="6"/>
      <c r="E147" s="7"/>
      <c r="F147" s="6"/>
      <c r="G147" s="7"/>
      <c r="H147" s="2">
        <f t="shared" si="82"/>
        <v>0</v>
      </c>
      <c r="I147" s="2">
        <f t="shared" si="82"/>
        <v>0</v>
      </c>
      <c r="J147" s="2">
        <f t="shared" si="82"/>
        <v>0</v>
      </c>
      <c r="K147" s="2">
        <f t="shared" si="82"/>
        <v>0</v>
      </c>
      <c r="L147" s="2">
        <f t="shared" si="82"/>
        <v>0</v>
      </c>
      <c r="M147" s="2">
        <f t="shared" si="82"/>
        <v>0</v>
      </c>
      <c r="N147" s="2">
        <f t="shared" si="82"/>
        <v>0</v>
      </c>
      <c r="O147" s="2">
        <f t="shared" si="82"/>
        <v>0</v>
      </c>
      <c r="P147" s="2">
        <f t="shared" si="82"/>
        <v>0</v>
      </c>
      <c r="Q147" s="2">
        <f t="shared" si="82"/>
        <v>0</v>
      </c>
      <c r="R147" s="2">
        <f t="shared" si="82"/>
        <v>0</v>
      </c>
      <c r="S147" s="2">
        <f t="shared" si="82"/>
        <v>0</v>
      </c>
      <c r="U147" s="6">
        <f t="shared" si="72"/>
        <v>0</v>
      </c>
      <c r="V147" s="23">
        <f t="shared" si="83"/>
        <v>0</v>
      </c>
      <c r="W147" s="2">
        <f t="shared" ref="W147:AH162" si="86">+$F147/12</f>
        <v>0</v>
      </c>
      <c r="X147" s="2">
        <f t="shared" si="86"/>
        <v>0</v>
      </c>
      <c r="Y147" s="2">
        <f t="shared" si="86"/>
        <v>0</v>
      </c>
      <c r="Z147" s="2">
        <f t="shared" si="86"/>
        <v>0</v>
      </c>
      <c r="AA147" s="2">
        <f t="shared" si="86"/>
        <v>0</v>
      </c>
      <c r="AB147" s="2">
        <f t="shared" si="86"/>
        <v>0</v>
      </c>
      <c r="AC147" s="2">
        <f t="shared" si="86"/>
        <v>0</v>
      </c>
      <c r="AD147" s="2">
        <f t="shared" si="86"/>
        <v>0</v>
      </c>
      <c r="AE147" s="2">
        <f t="shared" si="86"/>
        <v>0</v>
      </c>
      <c r="AF147" s="2">
        <f t="shared" si="86"/>
        <v>0</v>
      </c>
      <c r="AG147" s="2">
        <f t="shared" si="86"/>
        <v>0</v>
      </c>
      <c r="AH147" s="2">
        <f t="shared" si="86"/>
        <v>0</v>
      </c>
    </row>
    <row r="148" spans="1:34" outlineLevel="2" x14ac:dyDescent="0.25">
      <c r="A148" s="1" t="s">
        <v>151</v>
      </c>
      <c r="B148" s="2">
        <v>0</v>
      </c>
      <c r="C148" s="8">
        <f>+B148/$B$2</f>
        <v>0</v>
      </c>
      <c r="D148" s="2">
        <v>-38331</v>
      </c>
      <c r="E148" s="8">
        <f>+D148/$D$2</f>
        <v>-4.5573901147624805E-3</v>
      </c>
      <c r="F148" s="2">
        <v>-38331</v>
      </c>
      <c r="G148" s="8">
        <f>+F148/$D$2</f>
        <v>-4.5573901147624805E-3</v>
      </c>
      <c r="H148" s="2">
        <f t="shared" si="82"/>
        <v>-3194.25</v>
      </c>
      <c r="I148" s="2">
        <f t="shared" si="82"/>
        <v>-3194.25</v>
      </c>
      <c r="J148" s="2">
        <f t="shared" si="82"/>
        <v>-3194.25</v>
      </c>
      <c r="K148" s="2">
        <f t="shared" si="82"/>
        <v>-3194.25</v>
      </c>
      <c r="L148" s="2">
        <f t="shared" si="82"/>
        <v>-3194.25</v>
      </c>
      <c r="M148" s="2">
        <f t="shared" si="82"/>
        <v>-3194.25</v>
      </c>
      <c r="N148" s="2">
        <f t="shared" si="82"/>
        <v>-3194.25</v>
      </c>
      <c r="O148" s="2">
        <f t="shared" si="82"/>
        <v>-3194.25</v>
      </c>
      <c r="P148" s="2">
        <f t="shared" si="82"/>
        <v>-3194.25</v>
      </c>
      <c r="Q148" s="2">
        <f t="shared" si="82"/>
        <v>-3194.25</v>
      </c>
      <c r="R148" s="2">
        <f t="shared" si="82"/>
        <v>-3194.25</v>
      </c>
      <c r="S148" s="2">
        <f t="shared" si="82"/>
        <v>-3194.25</v>
      </c>
      <c r="U148" s="6">
        <f t="shared" si="72"/>
        <v>-38331</v>
      </c>
      <c r="V148" s="23">
        <f t="shared" si="83"/>
        <v>-2.8671221419940426E-3</v>
      </c>
      <c r="W148" s="2">
        <f t="shared" si="86"/>
        <v>-3194.25</v>
      </c>
      <c r="X148" s="2">
        <f t="shared" si="86"/>
        <v>-3194.25</v>
      </c>
      <c r="Y148" s="2">
        <f t="shared" si="86"/>
        <v>-3194.25</v>
      </c>
      <c r="Z148" s="2">
        <f t="shared" si="86"/>
        <v>-3194.25</v>
      </c>
      <c r="AA148" s="2">
        <f t="shared" si="86"/>
        <v>-3194.25</v>
      </c>
      <c r="AB148" s="2">
        <f t="shared" si="86"/>
        <v>-3194.25</v>
      </c>
      <c r="AC148" s="2">
        <f t="shared" si="86"/>
        <v>-3194.25</v>
      </c>
      <c r="AD148" s="2">
        <f t="shared" si="86"/>
        <v>-3194.25</v>
      </c>
      <c r="AE148" s="2">
        <f t="shared" si="86"/>
        <v>-3194.25</v>
      </c>
      <c r="AF148" s="2">
        <f t="shared" si="86"/>
        <v>-3194.25</v>
      </c>
      <c r="AG148" s="2">
        <f t="shared" si="86"/>
        <v>-3194.25</v>
      </c>
      <c r="AH148" s="2">
        <f t="shared" si="86"/>
        <v>-3194.25</v>
      </c>
    </row>
    <row r="149" spans="1:34" outlineLevel="2" x14ac:dyDescent="0.25">
      <c r="A149" s="1" t="s">
        <v>152</v>
      </c>
      <c r="B149" s="2">
        <v>-2386.23</v>
      </c>
      <c r="C149" s="8">
        <f>+B149/$B$2</f>
        <v>-2.1627325499987693E-4</v>
      </c>
      <c r="D149" s="2">
        <v>-2682.49</v>
      </c>
      <c r="E149" s="8">
        <f>+D149/$D$2</f>
        <v>-3.1893645897443856E-4</v>
      </c>
      <c r="F149" s="2">
        <v>-2500</v>
      </c>
      <c r="G149" s="8">
        <f>+F149/$D$2</f>
        <v>-2.9723918726112547E-4</v>
      </c>
      <c r="H149" s="2">
        <f t="shared" si="82"/>
        <v>-208.33333333333334</v>
      </c>
      <c r="I149" s="2">
        <f t="shared" si="82"/>
        <v>-208.33333333333334</v>
      </c>
      <c r="J149" s="2">
        <f t="shared" si="82"/>
        <v>-208.33333333333334</v>
      </c>
      <c r="K149" s="2">
        <f t="shared" si="82"/>
        <v>-208.33333333333334</v>
      </c>
      <c r="L149" s="2">
        <f t="shared" si="82"/>
        <v>-208.33333333333334</v>
      </c>
      <c r="M149" s="2">
        <f t="shared" si="82"/>
        <v>-208.33333333333334</v>
      </c>
      <c r="N149" s="2">
        <f t="shared" si="82"/>
        <v>-208.33333333333334</v>
      </c>
      <c r="O149" s="2">
        <f t="shared" si="82"/>
        <v>-208.33333333333334</v>
      </c>
      <c r="P149" s="2">
        <f t="shared" si="82"/>
        <v>-208.33333333333334</v>
      </c>
      <c r="Q149" s="2">
        <f t="shared" si="82"/>
        <v>-208.33333333333334</v>
      </c>
      <c r="R149" s="2">
        <f t="shared" si="82"/>
        <v>-208.33333333333334</v>
      </c>
      <c r="S149" s="2">
        <f t="shared" si="82"/>
        <v>-208.33333333333334</v>
      </c>
      <c r="U149" s="6">
        <f t="shared" si="72"/>
        <v>-2500</v>
      </c>
      <c r="V149" s="23">
        <f t="shared" si="83"/>
        <v>-1.8699760911494888E-4</v>
      </c>
      <c r="W149" s="2">
        <f t="shared" si="86"/>
        <v>-208.33333333333334</v>
      </c>
      <c r="X149" s="2">
        <f t="shared" si="86"/>
        <v>-208.33333333333334</v>
      </c>
      <c r="Y149" s="2">
        <f t="shared" si="86"/>
        <v>-208.33333333333334</v>
      </c>
      <c r="Z149" s="2">
        <f t="shared" si="86"/>
        <v>-208.33333333333334</v>
      </c>
      <c r="AA149" s="2">
        <f t="shared" si="86"/>
        <v>-208.33333333333334</v>
      </c>
      <c r="AB149" s="2">
        <f t="shared" si="86"/>
        <v>-208.33333333333334</v>
      </c>
      <c r="AC149" s="2">
        <f t="shared" si="86"/>
        <v>-208.33333333333334</v>
      </c>
      <c r="AD149" s="2">
        <f t="shared" si="86"/>
        <v>-208.33333333333334</v>
      </c>
      <c r="AE149" s="2">
        <f t="shared" si="86"/>
        <v>-208.33333333333334</v>
      </c>
      <c r="AF149" s="2">
        <f t="shared" si="86"/>
        <v>-208.33333333333334</v>
      </c>
      <c r="AG149" s="2">
        <f t="shared" si="86"/>
        <v>-208.33333333333334</v>
      </c>
      <c r="AH149" s="2">
        <f t="shared" si="86"/>
        <v>-208.33333333333334</v>
      </c>
    </row>
    <row r="150" spans="1:34" outlineLevel="2" x14ac:dyDescent="0.25">
      <c r="A150" s="1" t="s">
        <v>153</v>
      </c>
      <c r="B150" s="2">
        <v>-513.79</v>
      </c>
      <c r="C150" s="8">
        <f>+B150/$B$2</f>
        <v>-4.6566775074651962E-5</v>
      </c>
      <c r="D150" s="2">
        <v>0</v>
      </c>
      <c r="E150" s="8">
        <f>+D150/$D$2</f>
        <v>0</v>
      </c>
      <c r="F150" s="2">
        <v>0</v>
      </c>
      <c r="G150" s="8">
        <f>+F150/$D$2</f>
        <v>0</v>
      </c>
      <c r="H150" s="2">
        <f t="shared" si="82"/>
        <v>0</v>
      </c>
      <c r="I150" s="2">
        <f t="shared" si="82"/>
        <v>0</v>
      </c>
      <c r="J150" s="2">
        <f t="shared" si="82"/>
        <v>0</v>
      </c>
      <c r="K150" s="2">
        <f t="shared" si="82"/>
        <v>0</v>
      </c>
      <c r="L150" s="2">
        <f t="shared" si="82"/>
        <v>0</v>
      </c>
      <c r="M150" s="2">
        <f t="shared" si="82"/>
        <v>0</v>
      </c>
      <c r="N150" s="2">
        <f t="shared" si="82"/>
        <v>0</v>
      </c>
      <c r="O150" s="2">
        <f t="shared" si="82"/>
        <v>0</v>
      </c>
      <c r="P150" s="2">
        <f t="shared" si="82"/>
        <v>0</v>
      </c>
      <c r="Q150" s="2">
        <f t="shared" si="82"/>
        <v>0</v>
      </c>
      <c r="R150" s="2">
        <f t="shared" si="82"/>
        <v>0</v>
      </c>
      <c r="S150" s="2">
        <f t="shared" si="82"/>
        <v>0</v>
      </c>
      <c r="U150" s="6">
        <f t="shared" si="72"/>
        <v>0</v>
      </c>
      <c r="V150" s="23">
        <f t="shared" si="83"/>
        <v>0</v>
      </c>
      <c r="W150" s="2">
        <f t="shared" si="86"/>
        <v>0</v>
      </c>
      <c r="X150" s="2">
        <f t="shared" si="86"/>
        <v>0</v>
      </c>
      <c r="Y150" s="2">
        <f t="shared" si="86"/>
        <v>0</v>
      </c>
      <c r="Z150" s="2">
        <f t="shared" si="86"/>
        <v>0</v>
      </c>
      <c r="AA150" s="2">
        <f t="shared" si="86"/>
        <v>0</v>
      </c>
      <c r="AB150" s="2">
        <f t="shared" si="86"/>
        <v>0</v>
      </c>
      <c r="AC150" s="2">
        <f t="shared" si="86"/>
        <v>0</v>
      </c>
      <c r="AD150" s="2">
        <f t="shared" si="86"/>
        <v>0</v>
      </c>
      <c r="AE150" s="2">
        <f t="shared" si="86"/>
        <v>0</v>
      </c>
      <c r="AF150" s="2">
        <f t="shared" si="86"/>
        <v>0</v>
      </c>
      <c r="AG150" s="2">
        <f t="shared" si="86"/>
        <v>0</v>
      </c>
      <c r="AH150" s="2">
        <f t="shared" si="86"/>
        <v>0</v>
      </c>
    </row>
    <row r="151" spans="1:34" outlineLevel="2" x14ac:dyDescent="0.25">
      <c r="A151" s="1" t="s">
        <v>154</v>
      </c>
      <c r="B151" s="2">
        <v>-35306.28</v>
      </c>
      <c r="C151" s="8">
        <f>+B151/$B$2</f>
        <v>-3.1999447234914717E-3</v>
      </c>
      <c r="D151" s="2">
        <v>-192004.47</v>
      </c>
      <c r="E151" s="8">
        <f>+D151/$D$2</f>
        <v>-2.2828501045321262E-2</v>
      </c>
      <c r="F151" s="2">
        <v>-185000</v>
      </c>
      <c r="G151" s="8">
        <f>+F151/$D$2</f>
        <v>-2.1995699857323286E-2</v>
      </c>
      <c r="H151" s="2">
        <f t="shared" si="82"/>
        <v>-15416.666666666666</v>
      </c>
      <c r="I151" s="2">
        <f t="shared" si="82"/>
        <v>-15416.666666666666</v>
      </c>
      <c r="J151" s="2">
        <f t="shared" si="82"/>
        <v>-15416.666666666666</v>
      </c>
      <c r="K151" s="2">
        <f t="shared" si="82"/>
        <v>-15416.666666666666</v>
      </c>
      <c r="L151" s="2">
        <f t="shared" si="82"/>
        <v>-15416.666666666666</v>
      </c>
      <c r="M151" s="2">
        <f t="shared" si="82"/>
        <v>-15416.666666666666</v>
      </c>
      <c r="N151" s="2">
        <f t="shared" si="82"/>
        <v>-15416.666666666666</v>
      </c>
      <c r="O151" s="2">
        <f t="shared" si="82"/>
        <v>-15416.666666666666</v>
      </c>
      <c r="P151" s="2">
        <f t="shared" si="82"/>
        <v>-15416.666666666666</v>
      </c>
      <c r="Q151" s="2">
        <f t="shared" si="82"/>
        <v>-15416.666666666666</v>
      </c>
      <c r="R151" s="2">
        <f t="shared" si="82"/>
        <v>-15416.666666666666</v>
      </c>
      <c r="S151" s="2">
        <f t="shared" si="82"/>
        <v>-15416.666666666666</v>
      </c>
      <c r="U151" s="6">
        <f t="shared" si="72"/>
        <v>-184999.99999999997</v>
      </c>
      <c r="V151" s="23">
        <f t="shared" si="83"/>
        <v>-1.3837823074506216E-2</v>
      </c>
      <c r="W151" s="2">
        <f t="shared" si="86"/>
        <v>-15416.666666666666</v>
      </c>
      <c r="X151" s="2">
        <f t="shared" si="86"/>
        <v>-15416.666666666666</v>
      </c>
      <c r="Y151" s="2">
        <f t="shared" si="86"/>
        <v>-15416.666666666666</v>
      </c>
      <c r="Z151" s="2">
        <f t="shared" si="86"/>
        <v>-15416.666666666666</v>
      </c>
      <c r="AA151" s="2">
        <f t="shared" si="86"/>
        <v>-15416.666666666666</v>
      </c>
      <c r="AB151" s="2">
        <f t="shared" si="86"/>
        <v>-15416.666666666666</v>
      </c>
      <c r="AC151" s="2">
        <f t="shared" si="86"/>
        <v>-15416.666666666666</v>
      </c>
      <c r="AD151" s="2">
        <f t="shared" si="86"/>
        <v>-15416.666666666666</v>
      </c>
      <c r="AE151" s="2">
        <f t="shared" si="86"/>
        <v>-15416.666666666666</v>
      </c>
      <c r="AF151" s="2">
        <f t="shared" si="86"/>
        <v>-15416.666666666666</v>
      </c>
      <c r="AG151" s="2">
        <f t="shared" si="86"/>
        <v>-15416.666666666666</v>
      </c>
      <c r="AH151" s="2">
        <f t="shared" si="86"/>
        <v>-15416.666666666666</v>
      </c>
    </row>
    <row r="152" spans="1:34" outlineLevel="2" x14ac:dyDescent="0.25">
      <c r="A152" s="10" t="s">
        <v>155</v>
      </c>
      <c r="C152" s="8"/>
      <c r="E152" s="8"/>
      <c r="G152" s="8"/>
      <c r="H152" s="2">
        <f t="shared" si="82"/>
        <v>0</v>
      </c>
      <c r="I152" s="2">
        <f t="shared" si="82"/>
        <v>0</v>
      </c>
      <c r="J152" s="2">
        <f t="shared" si="82"/>
        <v>0</v>
      </c>
      <c r="K152" s="2">
        <f t="shared" si="82"/>
        <v>0</v>
      </c>
      <c r="L152" s="2">
        <f t="shared" si="82"/>
        <v>0</v>
      </c>
      <c r="M152" s="2">
        <f t="shared" si="82"/>
        <v>0</v>
      </c>
      <c r="N152" s="2">
        <f t="shared" si="82"/>
        <v>0</v>
      </c>
      <c r="O152" s="2">
        <f t="shared" si="82"/>
        <v>0</v>
      </c>
      <c r="P152" s="2">
        <f t="shared" si="82"/>
        <v>0</v>
      </c>
      <c r="Q152" s="2">
        <f t="shared" si="82"/>
        <v>0</v>
      </c>
      <c r="R152" s="2">
        <f t="shared" si="82"/>
        <v>0</v>
      </c>
      <c r="S152" s="2">
        <f t="shared" si="82"/>
        <v>0</v>
      </c>
      <c r="U152" s="6">
        <f t="shared" si="72"/>
        <v>0</v>
      </c>
      <c r="V152" s="23">
        <f t="shared" si="83"/>
        <v>0</v>
      </c>
      <c r="W152" s="2">
        <f t="shared" si="86"/>
        <v>0</v>
      </c>
      <c r="X152" s="2">
        <f t="shared" si="86"/>
        <v>0</v>
      </c>
      <c r="Y152" s="2">
        <f t="shared" si="86"/>
        <v>0</v>
      </c>
      <c r="Z152" s="2">
        <f t="shared" si="86"/>
        <v>0</v>
      </c>
      <c r="AA152" s="2">
        <f t="shared" si="86"/>
        <v>0</v>
      </c>
      <c r="AB152" s="2">
        <f t="shared" si="86"/>
        <v>0</v>
      </c>
      <c r="AC152" s="2">
        <f t="shared" si="86"/>
        <v>0</v>
      </c>
      <c r="AD152" s="2">
        <f t="shared" si="86"/>
        <v>0</v>
      </c>
      <c r="AE152" s="2">
        <f t="shared" si="86"/>
        <v>0</v>
      </c>
      <c r="AF152" s="2">
        <f t="shared" si="86"/>
        <v>0</v>
      </c>
      <c r="AG152" s="2">
        <f t="shared" si="86"/>
        <v>0</v>
      </c>
      <c r="AH152" s="2">
        <f t="shared" si="86"/>
        <v>0</v>
      </c>
    </row>
    <row r="153" spans="1:34" s="5" customFormat="1" x14ac:dyDescent="0.25">
      <c r="A153" s="5" t="s">
        <v>156</v>
      </c>
      <c r="B153" s="6">
        <v>408580.07</v>
      </c>
      <c r="C153" s="7">
        <f t="shared" ref="C153:C174" si="87">+B153/$B$2</f>
        <v>3.7031192159589631E-2</v>
      </c>
      <c r="D153" s="6">
        <v>4780.0600000000004</v>
      </c>
      <c r="E153" s="7">
        <f t="shared" ref="E153:E174" si="88">+D153/$D$2</f>
        <v>5.6832845978376629E-4</v>
      </c>
      <c r="F153" s="6">
        <f>SUM(F154:F159)</f>
        <v>0</v>
      </c>
      <c r="G153" s="7">
        <f t="shared" ref="G153:G174" si="89">+F153/$D$2</f>
        <v>0</v>
      </c>
      <c r="H153" s="6">
        <f>SUM(H154:H159)</f>
        <v>0</v>
      </c>
      <c r="I153" s="6">
        <f t="shared" ref="I153:S153" si="90">SUM(I154:I159)</f>
        <v>0</v>
      </c>
      <c r="J153" s="6">
        <f t="shared" si="90"/>
        <v>0</v>
      </c>
      <c r="K153" s="6">
        <f t="shared" si="90"/>
        <v>0</v>
      </c>
      <c r="L153" s="6">
        <f t="shared" si="90"/>
        <v>0</v>
      </c>
      <c r="M153" s="6">
        <f t="shared" si="90"/>
        <v>0</v>
      </c>
      <c r="N153" s="6">
        <f t="shared" si="90"/>
        <v>0</v>
      </c>
      <c r="O153" s="6">
        <f t="shared" si="90"/>
        <v>0</v>
      </c>
      <c r="P153" s="6">
        <f t="shared" si="90"/>
        <v>0</v>
      </c>
      <c r="Q153" s="6">
        <f t="shared" si="90"/>
        <v>0</v>
      </c>
      <c r="R153" s="6">
        <f t="shared" si="90"/>
        <v>0</v>
      </c>
      <c r="S153" s="6">
        <f t="shared" si="90"/>
        <v>0</v>
      </c>
      <c r="U153" s="6">
        <f t="shared" si="72"/>
        <v>0</v>
      </c>
      <c r="V153" s="23">
        <f t="shared" si="83"/>
        <v>0</v>
      </c>
      <c r="W153" s="6">
        <f>SUM(W154:W159)</f>
        <v>0</v>
      </c>
      <c r="X153" s="6">
        <f t="shared" ref="X153:AH153" si="91">SUM(X154:X159)</f>
        <v>0</v>
      </c>
      <c r="Y153" s="6">
        <f t="shared" si="91"/>
        <v>0</v>
      </c>
      <c r="Z153" s="6">
        <f t="shared" si="91"/>
        <v>0</v>
      </c>
      <c r="AA153" s="6">
        <f t="shared" si="91"/>
        <v>0</v>
      </c>
      <c r="AB153" s="6">
        <f t="shared" si="91"/>
        <v>0</v>
      </c>
      <c r="AC153" s="6">
        <f t="shared" si="91"/>
        <v>0</v>
      </c>
      <c r="AD153" s="6">
        <f t="shared" si="91"/>
        <v>0</v>
      </c>
      <c r="AE153" s="6">
        <f t="shared" si="91"/>
        <v>0</v>
      </c>
      <c r="AF153" s="6">
        <f t="shared" si="91"/>
        <v>0</v>
      </c>
      <c r="AG153" s="6">
        <f t="shared" si="91"/>
        <v>0</v>
      </c>
      <c r="AH153" s="6">
        <f t="shared" si="91"/>
        <v>0</v>
      </c>
    </row>
    <row r="154" spans="1:34" outlineLevel="1" x14ac:dyDescent="0.25">
      <c r="A154" s="1" t="s">
        <v>157</v>
      </c>
      <c r="B154" s="2">
        <v>-21482.959999999999</v>
      </c>
      <c r="C154" s="8">
        <f t="shared" si="87"/>
        <v>-1.9470837623498808E-3</v>
      </c>
      <c r="D154" s="2">
        <v>0</v>
      </c>
      <c r="E154" s="8">
        <f t="shared" si="88"/>
        <v>0</v>
      </c>
      <c r="F154" s="2">
        <v>0</v>
      </c>
      <c r="G154" s="8">
        <f t="shared" si="89"/>
        <v>0</v>
      </c>
      <c r="H154" s="2">
        <f t="shared" si="82"/>
        <v>0</v>
      </c>
      <c r="I154" s="2">
        <f t="shared" si="82"/>
        <v>0</v>
      </c>
      <c r="J154" s="2">
        <f t="shared" si="82"/>
        <v>0</v>
      </c>
      <c r="K154" s="2">
        <f t="shared" si="82"/>
        <v>0</v>
      </c>
      <c r="L154" s="2">
        <f t="shared" si="82"/>
        <v>0</v>
      </c>
      <c r="M154" s="2">
        <f t="shared" si="82"/>
        <v>0</v>
      </c>
      <c r="N154" s="2">
        <f t="shared" si="82"/>
        <v>0</v>
      </c>
      <c r="O154" s="2">
        <f t="shared" si="82"/>
        <v>0</v>
      </c>
      <c r="P154" s="2">
        <f t="shared" si="82"/>
        <v>0</v>
      </c>
      <c r="Q154" s="2">
        <f t="shared" si="82"/>
        <v>0</v>
      </c>
      <c r="R154" s="2">
        <f t="shared" si="82"/>
        <v>0</v>
      </c>
      <c r="S154" s="2">
        <f t="shared" si="82"/>
        <v>0</v>
      </c>
      <c r="U154" s="6">
        <f t="shared" si="72"/>
        <v>0</v>
      </c>
      <c r="V154" s="23">
        <f t="shared" si="83"/>
        <v>0</v>
      </c>
      <c r="W154" s="2">
        <f t="shared" si="86"/>
        <v>0</v>
      </c>
      <c r="X154" s="2">
        <f t="shared" si="86"/>
        <v>0</v>
      </c>
      <c r="Y154" s="2">
        <f t="shared" si="86"/>
        <v>0</v>
      </c>
      <c r="Z154" s="2">
        <f t="shared" si="86"/>
        <v>0</v>
      </c>
      <c r="AA154" s="2">
        <f t="shared" si="86"/>
        <v>0</v>
      </c>
      <c r="AB154" s="2">
        <f t="shared" si="86"/>
        <v>0</v>
      </c>
      <c r="AC154" s="2">
        <f t="shared" si="86"/>
        <v>0</v>
      </c>
      <c r="AD154" s="2">
        <f t="shared" si="86"/>
        <v>0</v>
      </c>
      <c r="AE154" s="2">
        <f t="shared" si="86"/>
        <v>0</v>
      </c>
      <c r="AF154" s="2">
        <f t="shared" si="86"/>
        <v>0</v>
      </c>
      <c r="AG154" s="2">
        <f t="shared" si="86"/>
        <v>0</v>
      </c>
      <c r="AH154" s="2">
        <f t="shared" si="86"/>
        <v>0</v>
      </c>
    </row>
    <row r="155" spans="1:34" outlineLevel="1" x14ac:dyDescent="0.25">
      <c r="A155" s="1" t="s">
        <v>158</v>
      </c>
      <c r="B155" s="2">
        <v>-0.26</v>
      </c>
      <c r="C155" s="8">
        <f t="shared" si="87"/>
        <v>-2.356480569767709E-8</v>
      </c>
      <c r="D155" s="2">
        <v>0</v>
      </c>
      <c r="E155" s="8">
        <f t="shared" si="88"/>
        <v>0</v>
      </c>
      <c r="F155" s="2">
        <v>0</v>
      </c>
      <c r="G155" s="8">
        <f t="shared" si="89"/>
        <v>0</v>
      </c>
      <c r="H155" s="2">
        <f t="shared" si="82"/>
        <v>0</v>
      </c>
      <c r="I155" s="2">
        <f t="shared" si="82"/>
        <v>0</v>
      </c>
      <c r="J155" s="2">
        <f t="shared" si="82"/>
        <v>0</v>
      </c>
      <c r="K155" s="2">
        <f t="shared" si="82"/>
        <v>0</v>
      </c>
      <c r="L155" s="2">
        <f t="shared" si="82"/>
        <v>0</v>
      </c>
      <c r="M155" s="2">
        <f t="shared" si="82"/>
        <v>0</v>
      </c>
      <c r="N155" s="2">
        <f t="shared" si="82"/>
        <v>0</v>
      </c>
      <c r="O155" s="2">
        <f t="shared" si="82"/>
        <v>0</v>
      </c>
      <c r="P155" s="2">
        <f t="shared" si="82"/>
        <v>0</v>
      </c>
      <c r="Q155" s="2">
        <f t="shared" si="82"/>
        <v>0</v>
      </c>
      <c r="R155" s="2">
        <f t="shared" si="82"/>
        <v>0</v>
      </c>
      <c r="S155" s="2">
        <f t="shared" si="82"/>
        <v>0</v>
      </c>
      <c r="U155" s="6">
        <f t="shared" si="72"/>
        <v>0</v>
      </c>
      <c r="V155" s="23">
        <f t="shared" si="83"/>
        <v>0</v>
      </c>
      <c r="W155" s="2">
        <f t="shared" si="86"/>
        <v>0</v>
      </c>
      <c r="X155" s="2">
        <f t="shared" si="86"/>
        <v>0</v>
      </c>
      <c r="Y155" s="2">
        <f t="shared" si="86"/>
        <v>0</v>
      </c>
      <c r="Z155" s="2">
        <f t="shared" si="86"/>
        <v>0</v>
      </c>
      <c r="AA155" s="2">
        <f t="shared" si="86"/>
        <v>0</v>
      </c>
      <c r="AB155" s="2">
        <f t="shared" si="86"/>
        <v>0</v>
      </c>
      <c r="AC155" s="2">
        <f t="shared" si="86"/>
        <v>0</v>
      </c>
      <c r="AD155" s="2">
        <f t="shared" si="86"/>
        <v>0</v>
      </c>
      <c r="AE155" s="2">
        <f t="shared" si="86"/>
        <v>0</v>
      </c>
      <c r="AF155" s="2">
        <f t="shared" si="86"/>
        <v>0</v>
      </c>
      <c r="AG155" s="2">
        <f t="shared" si="86"/>
        <v>0</v>
      </c>
      <c r="AH155" s="2">
        <f t="shared" si="86"/>
        <v>0</v>
      </c>
    </row>
    <row r="156" spans="1:34" s="5" customFormat="1" outlineLevel="1" x14ac:dyDescent="0.25">
      <c r="A156" s="1" t="s">
        <v>159</v>
      </c>
      <c r="B156" s="2">
        <v>5539.4</v>
      </c>
      <c r="C156" s="8">
        <f t="shared" si="87"/>
        <v>5.020572487758172E-4</v>
      </c>
      <c r="D156" s="2">
        <v>0</v>
      </c>
      <c r="E156" s="8">
        <f t="shared" si="88"/>
        <v>0</v>
      </c>
      <c r="F156" s="2">
        <v>0</v>
      </c>
      <c r="G156" s="8">
        <f t="shared" si="89"/>
        <v>0</v>
      </c>
      <c r="H156" s="2">
        <f t="shared" si="82"/>
        <v>0</v>
      </c>
      <c r="I156" s="2">
        <f t="shared" si="82"/>
        <v>0</v>
      </c>
      <c r="J156" s="2">
        <f t="shared" si="82"/>
        <v>0</v>
      </c>
      <c r="K156" s="2">
        <f t="shared" si="82"/>
        <v>0</v>
      </c>
      <c r="L156" s="2">
        <f t="shared" si="82"/>
        <v>0</v>
      </c>
      <c r="M156" s="2">
        <f t="shared" si="82"/>
        <v>0</v>
      </c>
      <c r="N156" s="2">
        <f t="shared" si="82"/>
        <v>0</v>
      </c>
      <c r="O156" s="2">
        <f t="shared" si="82"/>
        <v>0</v>
      </c>
      <c r="P156" s="2">
        <f t="shared" si="82"/>
        <v>0</v>
      </c>
      <c r="Q156" s="2">
        <f t="shared" si="82"/>
        <v>0</v>
      </c>
      <c r="R156" s="2">
        <f t="shared" si="82"/>
        <v>0</v>
      </c>
      <c r="S156" s="2">
        <f t="shared" si="82"/>
        <v>0</v>
      </c>
      <c r="U156" s="6">
        <f t="shared" si="72"/>
        <v>0</v>
      </c>
      <c r="V156" s="23">
        <f t="shared" si="83"/>
        <v>0</v>
      </c>
      <c r="W156" s="2">
        <f t="shared" si="86"/>
        <v>0</v>
      </c>
      <c r="X156" s="2">
        <f t="shared" si="86"/>
        <v>0</v>
      </c>
      <c r="Y156" s="2">
        <f t="shared" si="86"/>
        <v>0</v>
      </c>
      <c r="Z156" s="2">
        <f t="shared" si="86"/>
        <v>0</v>
      </c>
      <c r="AA156" s="2">
        <f t="shared" si="86"/>
        <v>0</v>
      </c>
      <c r="AB156" s="2">
        <f t="shared" si="86"/>
        <v>0</v>
      </c>
      <c r="AC156" s="2">
        <f t="shared" si="86"/>
        <v>0</v>
      </c>
      <c r="AD156" s="2">
        <f t="shared" si="86"/>
        <v>0</v>
      </c>
      <c r="AE156" s="2">
        <f t="shared" si="86"/>
        <v>0</v>
      </c>
      <c r="AF156" s="2">
        <f t="shared" si="86"/>
        <v>0</v>
      </c>
      <c r="AG156" s="2">
        <f t="shared" si="86"/>
        <v>0</v>
      </c>
      <c r="AH156" s="2">
        <f t="shared" si="86"/>
        <v>0</v>
      </c>
    </row>
    <row r="157" spans="1:34" outlineLevel="1" x14ac:dyDescent="0.25">
      <c r="A157" s="1" t="s">
        <v>160</v>
      </c>
      <c r="B157" s="2">
        <v>261929.73</v>
      </c>
      <c r="C157" s="8">
        <f t="shared" si="87"/>
        <v>2.3739704591903929E-2</v>
      </c>
      <c r="D157" s="2">
        <v>642.16</v>
      </c>
      <c r="E157" s="8">
        <f t="shared" si="88"/>
        <v>7.6350046596641733E-5</v>
      </c>
      <c r="F157" s="2">
        <v>0</v>
      </c>
      <c r="G157" s="8">
        <f t="shared" si="89"/>
        <v>0</v>
      </c>
      <c r="H157" s="2">
        <f t="shared" si="82"/>
        <v>0</v>
      </c>
      <c r="I157" s="2">
        <f t="shared" si="82"/>
        <v>0</v>
      </c>
      <c r="J157" s="2">
        <f t="shared" si="82"/>
        <v>0</v>
      </c>
      <c r="K157" s="2">
        <f t="shared" si="82"/>
        <v>0</v>
      </c>
      <c r="L157" s="2">
        <f t="shared" si="82"/>
        <v>0</v>
      </c>
      <c r="M157" s="2">
        <f t="shared" si="82"/>
        <v>0</v>
      </c>
      <c r="N157" s="2">
        <f t="shared" si="82"/>
        <v>0</v>
      </c>
      <c r="O157" s="2">
        <f t="shared" si="82"/>
        <v>0</v>
      </c>
      <c r="P157" s="2">
        <f t="shared" si="82"/>
        <v>0</v>
      </c>
      <c r="Q157" s="2">
        <f t="shared" si="82"/>
        <v>0</v>
      </c>
      <c r="R157" s="2">
        <f t="shared" si="82"/>
        <v>0</v>
      </c>
      <c r="S157" s="2">
        <f t="shared" si="82"/>
        <v>0</v>
      </c>
      <c r="U157" s="6">
        <f t="shared" si="72"/>
        <v>0</v>
      </c>
      <c r="V157" s="23">
        <f t="shared" si="83"/>
        <v>0</v>
      </c>
      <c r="W157" s="2">
        <f t="shared" si="86"/>
        <v>0</v>
      </c>
      <c r="X157" s="2">
        <f t="shared" si="86"/>
        <v>0</v>
      </c>
      <c r="Y157" s="2">
        <f t="shared" si="86"/>
        <v>0</v>
      </c>
      <c r="Z157" s="2">
        <f t="shared" si="86"/>
        <v>0</v>
      </c>
      <c r="AA157" s="2">
        <f t="shared" si="86"/>
        <v>0</v>
      </c>
      <c r="AB157" s="2">
        <f t="shared" si="86"/>
        <v>0</v>
      </c>
      <c r="AC157" s="2">
        <f t="shared" si="86"/>
        <v>0</v>
      </c>
      <c r="AD157" s="2">
        <f t="shared" si="86"/>
        <v>0</v>
      </c>
      <c r="AE157" s="2">
        <f t="shared" si="86"/>
        <v>0</v>
      </c>
      <c r="AF157" s="2">
        <f t="shared" si="86"/>
        <v>0</v>
      </c>
      <c r="AG157" s="2">
        <f t="shared" si="86"/>
        <v>0</v>
      </c>
      <c r="AH157" s="2">
        <f t="shared" si="86"/>
        <v>0</v>
      </c>
    </row>
    <row r="158" spans="1:34" s="5" customFormat="1" outlineLevel="1" x14ac:dyDescent="0.25">
      <c r="A158" s="1" t="s">
        <v>161</v>
      </c>
      <c r="B158" s="2">
        <v>162594.16</v>
      </c>
      <c r="C158" s="8">
        <f t="shared" si="87"/>
        <v>1.4736537646065462E-2</v>
      </c>
      <c r="D158" s="2">
        <v>4132.3100000000004</v>
      </c>
      <c r="E158" s="8">
        <f t="shared" si="88"/>
        <v>4.9131378636440865E-4</v>
      </c>
      <c r="F158" s="2">
        <v>0</v>
      </c>
      <c r="G158" s="8">
        <f t="shared" si="89"/>
        <v>0</v>
      </c>
      <c r="H158" s="2">
        <f t="shared" si="82"/>
        <v>0</v>
      </c>
      <c r="I158" s="2">
        <f t="shared" si="82"/>
        <v>0</v>
      </c>
      <c r="J158" s="2">
        <f t="shared" si="82"/>
        <v>0</v>
      </c>
      <c r="K158" s="2">
        <f t="shared" si="82"/>
        <v>0</v>
      </c>
      <c r="L158" s="2">
        <f t="shared" si="82"/>
        <v>0</v>
      </c>
      <c r="M158" s="2">
        <f t="shared" si="82"/>
        <v>0</v>
      </c>
      <c r="N158" s="2">
        <f t="shared" si="82"/>
        <v>0</v>
      </c>
      <c r="O158" s="2">
        <f t="shared" si="82"/>
        <v>0</v>
      </c>
      <c r="P158" s="2">
        <f t="shared" si="82"/>
        <v>0</v>
      </c>
      <c r="Q158" s="2">
        <f t="shared" si="82"/>
        <v>0</v>
      </c>
      <c r="R158" s="2">
        <f t="shared" si="82"/>
        <v>0</v>
      </c>
      <c r="S158" s="2">
        <f t="shared" si="82"/>
        <v>0</v>
      </c>
      <c r="U158" s="6">
        <f t="shared" si="72"/>
        <v>0</v>
      </c>
      <c r="V158" s="23">
        <f t="shared" si="83"/>
        <v>0</v>
      </c>
      <c r="W158" s="2">
        <f t="shared" si="86"/>
        <v>0</v>
      </c>
      <c r="X158" s="2">
        <f t="shared" si="86"/>
        <v>0</v>
      </c>
      <c r="Y158" s="2">
        <f t="shared" si="86"/>
        <v>0</v>
      </c>
      <c r="Z158" s="2">
        <f t="shared" si="86"/>
        <v>0</v>
      </c>
      <c r="AA158" s="2">
        <f t="shared" si="86"/>
        <v>0</v>
      </c>
      <c r="AB158" s="2">
        <f t="shared" si="86"/>
        <v>0</v>
      </c>
      <c r="AC158" s="2">
        <f t="shared" si="86"/>
        <v>0</v>
      </c>
      <c r="AD158" s="2">
        <f t="shared" si="86"/>
        <v>0</v>
      </c>
      <c r="AE158" s="2">
        <f t="shared" si="86"/>
        <v>0</v>
      </c>
      <c r="AF158" s="2">
        <f t="shared" si="86"/>
        <v>0</v>
      </c>
      <c r="AG158" s="2">
        <f t="shared" si="86"/>
        <v>0</v>
      </c>
      <c r="AH158" s="2">
        <f t="shared" si="86"/>
        <v>0</v>
      </c>
    </row>
    <row r="159" spans="1:34" outlineLevel="1" x14ac:dyDescent="0.25">
      <c r="A159" s="1" t="s">
        <v>162</v>
      </c>
      <c r="B159" s="2">
        <v>0</v>
      </c>
      <c r="C159" s="8">
        <f t="shared" si="87"/>
        <v>0</v>
      </c>
      <c r="D159" s="2">
        <v>5.59</v>
      </c>
      <c r="E159" s="8">
        <f t="shared" si="88"/>
        <v>6.6462682271587652E-7</v>
      </c>
      <c r="F159" s="2">
        <v>0</v>
      </c>
      <c r="G159" s="8">
        <f t="shared" si="89"/>
        <v>0</v>
      </c>
      <c r="H159" s="2">
        <f t="shared" si="82"/>
        <v>0</v>
      </c>
      <c r="I159" s="2">
        <f t="shared" si="82"/>
        <v>0</v>
      </c>
      <c r="J159" s="2">
        <f t="shared" si="82"/>
        <v>0</v>
      </c>
      <c r="K159" s="2">
        <f t="shared" si="82"/>
        <v>0</v>
      </c>
      <c r="L159" s="2">
        <f t="shared" si="82"/>
        <v>0</v>
      </c>
      <c r="M159" s="2">
        <f t="shared" si="82"/>
        <v>0</v>
      </c>
      <c r="N159" s="2">
        <f t="shared" si="82"/>
        <v>0</v>
      </c>
      <c r="O159" s="2">
        <f t="shared" si="82"/>
        <v>0</v>
      </c>
      <c r="P159" s="2">
        <f t="shared" si="82"/>
        <v>0</v>
      </c>
      <c r="Q159" s="2">
        <f t="shared" si="82"/>
        <v>0</v>
      </c>
      <c r="R159" s="2">
        <f t="shared" si="82"/>
        <v>0</v>
      </c>
      <c r="S159" s="2">
        <f t="shared" si="82"/>
        <v>0</v>
      </c>
      <c r="U159" s="6">
        <f t="shared" si="72"/>
        <v>0</v>
      </c>
      <c r="V159" s="23">
        <f t="shared" si="83"/>
        <v>0</v>
      </c>
      <c r="W159" s="2">
        <f t="shared" si="86"/>
        <v>0</v>
      </c>
      <c r="X159" s="2">
        <f t="shared" si="86"/>
        <v>0</v>
      </c>
      <c r="Y159" s="2">
        <f t="shared" si="86"/>
        <v>0</v>
      </c>
      <c r="Z159" s="2">
        <f t="shared" si="86"/>
        <v>0</v>
      </c>
      <c r="AA159" s="2">
        <f t="shared" si="86"/>
        <v>0</v>
      </c>
      <c r="AB159" s="2">
        <f t="shared" si="86"/>
        <v>0</v>
      </c>
      <c r="AC159" s="2">
        <f t="shared" si="86"/>
        <v>0</v>
      </c>
      <c r="AD159" s="2">
        <f t="shared" si="86"/>
        <v>0</v>
      </c>
      <c r="AE159" s="2">
        <f t="shared" si="86"/>
        <v>0</v>
      </c>
      <c r="AF159" s="2">
        <f t="shared" si="86"/>
        <v>0</v>
      </c>
      <c r="AG159" s="2">
        <f t="shared" si="86"/>
        <v>0</v>
      </c>
      <c r="AH159" s="2">
        <f t="shared" si="86"/>
        <v>0</v>
      </c>
    </row>
    <row r="160" spans="1:34" x14ac:dyDescent="0.25">
      <c r="A160" s="5" t="s">
        <v>163</v>
      </c>
      <c r="B160" s="6">
        <v>79815.25</v>
      </c>
      <c r="C160" s="7">
        <f t="shared" si="87"/>
        <v>7.2339648383135434E-3</v>
      </c>
      <c r="D160" s="6">
        <v>19221.78</v>
      </c>
      <c r="E160" s="7">
        <f t="shared" si="88"/>
        <v>2.2853865059648624E-3</v>
      </c>
      <c r="F160" s="6">
        <f>SUM(F161:F162)</f>
        <v>19221.78</v>
      </c>
      <c r="G160" s="7">
        <f t="shared" si="89"/>
        <v>2.2853865059648624E-3</v>
      </c>
      <c r="H160" s="6">
        <f>SUM(H161:H162)</f>
        <v>1601.8149999999998</v>
      </c>
      <c r="I160" s="6">
        <f t="shared" ref="I160:S160" si="92">SUM(I161:I162)</f>
        <v>1601.8149999999998</v>
      </c>
      <c r="J160" s="6">
        <f t="shared" si="92"/>
        <v>1601.8149999999998</v>
      </c>
      <c r="K160" s="6">
        <f t="shared" si="92"/>
        <v>1601.8149999999998</v>
      </c>
      <c r="L160" s="6">
        <f t="shared" si="92"/>
        <v>1601.8149999999998</v>
      </c>
      <c r="M160" s="6">
        <f t="shared" si="92"/>
        <v>1601.8149999999998</v>
      </c>
      <c r="N160" s="6">
        <f t="shared" si="92"/>
        <v>1601.8149999999998</v>
      </c>
      <c r="O160" s="6">
        <f t="shared" si="92"/>
        <v>1601.8149999999998</v>
      </c>
      <c r="P160" s="6">
        <f t="shared" si="92"/>
        <v>1601.8149999999998</v>
      </c>
      <c r="Q160" s="6">
        <f t="shared" si="92"/>
        <v>1601.8149999999998</v>
      </c>
      <c r="R160" s="6">
        <f t="shared" si="92"/>
        <v>1601.8149999999998</v>
      </c>
      <c r="S160" s="6">
        <f t="shared" si="92"/>
        <v>1601.8149999999998</v>
      </c>
      <c r="U160" s="6">
        <f t="shared" si="72"/>
        <v>19221.78</v>
      </c>
      <c r="V160" s="23">
        <f t="shared" si="83"/>
        <v>1.4377707611734167E-3</v>
      </c>
      <c r="W160" s="6">
        <f>SUM(W161:W162)</f>
        <v>1601.8149999999998</v>
      </c>
      <c r="X160" s="6">
        <f t="shared" ref="X160:AH160" si="93">SUM(X161:X162)</f>
        <v>1601.8149999999998</v>
      </c>
      <c r="Y160" s="6">
        <f t="shared" si="93"/>
        <v>1601.8149999999998</v>
      </c>
      <c r="Z160" s="6">
        <f t="shared" si="93"/>
        <v>1601.8149999999998</v>
      </c>
      <c r="AA160" s="6">
        <f t="shared" si="93"/>
        <v>1601.8149999999998</v>
      </c>
      <c r="AB160" s="6">
        <f t="shared" si="93"/>
        <v>1601.8149999999998</v>
      </c>
      <c r="AC160" s="6">
        <f t="shared" si="93"/>
        <v>1601.8149999999998</v>
      </c>
      <c r="AD160" s="6">
        <f t="shared" si="93"/>
        <v>1601.8149999999998</v>
      </c>
      <c r="AE160" s="6">
        <f t="shared" si="93"/>
        <v>1601.8149999999998</v>
      </c>
      <c r="AF160" s="6">
        <f t="shared" si="93"/>
        <v>1601.8149999999998</v>
      </c>
      <c r="AG160" s="6">
        <f t="shared" si="93"/>
        <v>1601.8149999999998</v>
      </c>
      <c r="AH160" s="6">
        <f t="shared" si="93"/>
        <v>1601.8149999999998</v>
      </c>
    </row>
    <row r="161" spans="1:34" hidden="1" outlineLevel="1" x14ac:dyDescent="0.25">
      <c r="A161" s="1" t="s">
        <v>164</v>
      </c>
      <c r="B161" s="2">
        <v>-60773.99</v>
      </c>
      <c r="C161" s="8">
        <f t="shared" si="87"/>
        <v>-5.5081817916252706E-3</v>
      </c>
      <c r="D161" s="2">
        <v>-20602.89</v>
      </c>
      <c r="E161" s="8">
        <f t="shared" si="88"/>
        <v>-2.4495945115321476E-3</v>
      </c>
      <c r="F161" s="2">
        <v>-20602.89</v>
      </c>
      <c r="G161" s="8">
        <f t="shared" si="89"/>
        <v>-2.4495945115321476E-3</v>
      </c>
      <c r="H161" s="2">
        <f t="shared" si="82"/>
        <v>-1716.9075</v>
      </c>
      <c r="I161" s="2">
        <f t="shared" si="82"/>
        <v>-1716.9075</v>
      </c>
      <c r="J161" s="2">
        <f t="shared" si="82"/>
        <v>-1716.9075</v>
      </c>
      <c r="K161" s="2">
        <f t="shared" si="82"/>
        <v>-1716.9075</v>
      </c>
      <c r="L161" s="2">
        <f t="shared" si="82"/>
        <v>-1716.9075</v>
      </c>
      <c r="M161" s="2">
        <f t="shared" si="82"/>
        <v>-1716.9075</v>
      </c>
      <c r="N161" s="2">
        <f t="shared" si="82"/>
        <v>-1716.9075</v>
      </c>
      <c r="O161" s="2">
        <f t="shared" si="82"/>
        <v>-1716.9075</v>
      </c>
      <c r="P161" s="2">
        <f t="shared" si="82"/>
        <v>-1716.9075</v>
      </c>
      <c r="Q161" s="2">
        <f t="shared" si="82"/>
        <v>-1716.9075</v>
      </c>
      <c r="R161" s="2">
        <f t="shared" si="82"/>
        <v>-1716.9075</v>
      </c>
      <c r="S161" s="2">
        <f t="shared" si="82"/>
        <v>-1716.9075</v>
      </c>
      <c r="U161" s="6">
        <f t="shared" si="72"/>
        <v>-20602.89</v>
      </c>
      <c r="V161" s="23">
        <f t="shared" si="83"/>
        <v>-1.5410764683433157E-3</v>
      </c>
      <c r="W161" s="2">
        <f t="shared" si="86"/>
        <v>-1716.9075</v>
      </c>
      <c r="X161" s="2">
        <f t="shared" si="86"/>
        <v>-1716.9075</v>
      </c>
      <c r="Y161" s="2">
        <f t="shared" si="86"/>
        <v>-1716.9075</v>
      </c>
      <c r="Z161" s="2">
        <f t="shared" si="86"/>
        <v>-1716.9075</v>
      </c>
      <c r="AA161" s="2">
        <f t="shared" si="86"/>
        <v>-1716.9075</v>
      </c>
      <c r="AB161" s="2">
        <f t="shared" si="86"/>
        <v>-1716.9075</v>
      </c>
      <c r="AC161" s="2">
        <f t="shared" si="86"/>
        <v>-1716.9075</v>
      </c>
      <c r="AD161" s="2">
        <f t="shared" si="86"/>
        <v>-1716.9075</v>
      </c>
      <c r="AE161" s="2">
        <f t="shared" si="86"/>
        <v>-1716.9075</v>
      </c>
      <c r="AF161" s="2">
        <f t="shared" si="86"/>
        <v>-1716.9075</v>
      </c>
      <c r="AG161" s="2">
        <f t="shared" si="86"/>
        <v>-1716.9075</v>
      </c>
      <c r="AH161" s="2">
        <f t="shared" si="86"/>
        <v>-1716.9075</v>
      </c>
    </row>
    <row r="162" spans="1:34" s="3" customFormat="1" hidden="1" outlineLevel="1" x14ac:dyDescent="0.25">
      <c r="A162" s="1" t="s">
        <v>165</v>
      </c>
      <c r="B162" s="2">
        <v>140589.24</v>
      </c>
      <c r="C162" s="8">
        <f t="shared" si="87"/>
        <v>1.2742146629938814E-2</v>
      </c>
      <c r="D162" s="2">
        <v>39824.67</v>
      </c>
      <c r="E162" s="8">
        <f t="shared" si="88"/>
        <v>4.73498101749701E-3</v>
      </c>
      <c r="F162" s="2">
        <v>39824.67</v>
      </c>
      <c r="G162" s="8">
        <f t="shared" si="89"/>
        <v>4.73498101749701E-3</v>
      </c>
      <c r="H162" s="2">
        <f t="shared" si="82"/>
        <v>3318.7224999999999</v>
      </c>
      <c r="I162" s="2">
        <f t="shared" si="82"/>
        <v>3318.7224999999999</v>
      </c>
      <c r="J162" s="2">
        <f t="shared" si="82"/>
        <v>3318.7224999999999</v>
      </c>
      <c r="K162" s="2">
        <f t="shared" si="82"/>
        <v>3318.7224999999999</v>
      </c>
      <c r="L162" s="2">
        <f t="shared" si="82"/>
        <v>3318.7224999999999</v>
      </c>
      <c r="M162" s="2">
        <f t="shared" si="82"/>
        <v>3318.7224999999999</v>
      </c>
      <c r="N162" s="2">
        <f t="shared" si="82"/>
        <v>3318.7224999999999</v>
      </c>
      <c r="O162" s="2">
        <f t="shared" si="82"/>
        <v>3318.7224999999999</v>
      </c>
      <c r="P162" s="2">
        <f t="shared" si="82"/>
        <v>3318.7224999999999</v>
      </c>
      <c r="Q162" s="2">
        <f t="shared" si="82"/>
        <v>3318.7224999999999</v>
      </c>
      <c r="R162" s="2">
        <f t="shared" si="82"/>
        <v>3318.7224999999999</v>
      </c>
      <c r="S162" s="2">
        <f t="shared" si="82"/>
        <v>3318.7224999999999</v>
      </c>
      <c r="U162" s="6">
        <f t="shared" si="72"/>
        <v>39824.67</v>
      </c>
      <c r="V162" s="23">
        <f t="shared" si="83"/>
        <v>2.9788472295167326E-3</v>
      </c>
      <c r="W162" s="2">
        <f t="shared" si="86"/>
        <v>3318.7224999999999</v>
      </c>
      <c r="X162" s="2">
        <f t="shared" si="86"/>
        <v>3318.7224999999999</v>
      </c>
      <c r="Y162" s="2">
        <f t="shared" si="86"/>
        <v>3318.7224999999999</v>
      </c>
      <c r="Z162" s="2">
        <f t="shared" si="86"/>
        <v>3318.7224999999999</v>
      </c>
      <c r="AA162" s="2">
        <f t="shared" si="86"/>
        <v>3318.7224999999999</v>
      </c>
      <c r="AB162" s="2">
        <f t="shared" si="86"/>
        <v>3318.7224999999999</v>
      </c>
      <c r="AC162" s="2">
        <f t="shared" si="86"/>
        <v>3318.7224999999999</v>
      </c>
      <c r="AD162" s="2">
        <f t="shared" si="86"/>
        <v>3318.7224999999999</v>
      </c>
      <c r="AE162" s="2">
        <f t="shared" si="86"/>
        <v>3318.7224999999999</v>
      </c>
      <c r="AF162" s="2">
        <f t="shared" si="86"/>
        <v>3318.7224999999999</v>
      </c>
      <c r="AG162" s="2">
        <f t="shared" si="86"/>
        <v>3318.7224999999999</v>
      </c>
      <c r="AH162" s="2">
        <f t="shared" si="86"/>
        <v>3318.7224999999999</v>
      </c>
    </row>
    <row r="163" spans="1:34" s="3" customFormat="1" collapsed="1" x14ac:dyDescent="0.25">
      <c r="A163" s="5" t="s">
        <v>166</v>
      </c>
      <c r="B163" s="6">
        <v>-716.06</v>
      </c>
      <c r="C163" s="7">
        <f t="shared" si="87"/>
        <v>-6.4899287568764066E-5</v>
      </c>
      <c r="D163" s="6">
        <v>0</v>
      </c>
      <c r="E163" s="7">
        <f t="shared" si="88"/>
        <v>0</v>
      </c>
      <c r="F163" s="6">
        <v>0</v>
      </c>
      <c r="G163" s="7">
        <f t="shared" si="89"/>
        <v>0</v>
      </c>
      <c r="H163" s="6">
        <v>0</v>
      </c>
      <c r="I163" s="6">
        <v>0</v>
      </c>
      <c r="J163" s="6">
        <v>0</v>
      </c>
      <c r="K163" s="6">
        <v>0</v>
      </c>
      <c r="L163" s="6">
        <v>0</v>
      </c>
      <c r="M163" s="6">
        <v>0</v>
      </c>
      <c r="N163" s="6">
        <v>0</v>
      </c>
      <c r="O163" s="6">
        <v>0</v>
      </c>
      <c r="P163" s="6">
        <v>0</v>
      </c>
      <c r="Q163" s="6">
        <v>0</v>
      </c>
      <c r="R163" s="6">
        <v>0</v>
      </c>
      <c r="S163" s="6">
        <v>0</v>
      </c>
      <c r="U163" s="6">
        <f t="shared" si="72"/>
        <v>0</v>
      </c>
      <c r="V163" s="23">
        <f t="shared" si="83"/>
        <v>0</v>
      </c>
      <c r="W163" s="6">
        <v>0</v>
      </c>
      <c r="X163" s="6">
        <v>0</v>
      </c>
      <c r="Y163" s="6">
        <v>0</v>
      </c>
      <c r="Z163" s="6">
        <v>0</v>
      </c>
      <c r="AA163" s="6">
        <v>0</v>
      </c>
      <c r="AB163" s="6">
        <v>0</v>
      </c>
      <c r="AC163" s="6">
        <v>0</v>
      </c>
      <c r="AD163" s="6">
        <v>0</v>
      </c>
      <c r="AE163" s="6">
        <v>0</v>
      </c>
      <c r="AF163" s="6">
        <v>0</v>
      </c>
      <c r="AG163" s="6">
        <v>0</v>
      </c>
      <c r="AH163" s="6">
        <v>0</v>
      </c>
    </row>
    <row r="164" spans="1:34" s="5" customFormat="1" hidden="1" outlineLevel="1" x14ac:dyDescent="0.25">
      <c r="A164" s="1" t="s">
        <v>167</v>
      </c>
      <c r="B164" s="2">
        <v>-716.06</v>
      </c>
      <c r="C164" s="8">
        <f t="shared" si="87"/>
        <v>-6.4899287568764066E-5</v>
      </c>
      <c r="D164" s="2">
        <v>0</v>
      </c>
      <c r="E164" s="8">
        <f t="shared" si="88"/>
        <v>0</v>
      </c>
      <c r="F164" s="2">
        <v>0</v>
      </c>
      <c r="G164" s="8">
        <f t="shared" si="89"/>
        <v>0</v>
      </c>
      <c r="H164" s="2">
        <v>0</v>
      </c>
      <c r="I164" s="2">
        <v>0</v>
      </c>
      <c r="J164" s="2">
        <v>0</v>
      </c>
      <c r="K164" s="2">
        <v>0</v>
      </c>
      <c r="L164" s="2">
        <v>0</v>
      </c>
      <c r="M164" s="2">
        <v>0</v>
      </c>
      <c r="N164" s="2">
        <v>0</v>
      </c>
      <c r="O164" s="2">
        <v>0</v>
      </c>
      <c r="P164" s="2">
        <v>0</v>
      </c>
      <c r="Q164" s="2">
        <v>0</v>
      </c>
      <c r="R164" s="2">
        <v>0</v>
      </c>
      <c r="S164" s="2">
        <v>0</v>
      </c>
      <c r="U164" s="6">
        <f t="shared" si="72"/>
        <v>0</v>
      </c>
      <c r="V164" s="23">
        <f t="shared" si="83"/>
        <v>0</v>
      </c>
      <c r="W164" s="2">
        <v>0</v>
      </c>
      <c r="X164" s="2">
        <v>0</v>
      </c>
      <c r="Y164" s="2">
        <v>0</v>
      </c>
      <c r="Z164" s="2">
        <v>0</v>
      </c>
      <c r="AA164" s="2">
        <v>0</v>
      </c>
      <c r="AB164" s="2">
        <v>0</v>
      </c>
      <c r="AC164" s="2">
        <v>0</v>
      </c>
      <c r="AD164" s="2">
        <v>0</v>
      </c>
      <c r="AE164" s="2">
        <v>0</v>
      </c>
      <c r="AF164" s="2">
        <v>0</v>
      </c>
      <c r="AG164" s="2">
        <v>0</v>
      </c>
      <c r="AH164" s="2">
        <v>0</v>
      </c>
    </row>
    <row r="165" spans="1:34" collapsed="1" x14ac:dyDescent="0.25">
      <c r="A165" s="5" t="s">
        <v>168</v>
      </c>
      <c r="B165" s="6">
        <v>0</v>
      </c>
      <c r="C165" s="7">
        <f t="shared" si="87"/>
        <v>0</v>
      </c>
      <c r="D165" s="6">
        <v>0</v>
      </c>
      <c r="E165" s="7">
        <f t="shared" si="88"/>
        <v>0</v>
      </c>
      <c r="F165" s="6">
        <v>0</v>
      </c>
      <c r="G165" s="7">
        <f t="shared" si="89"/>
        <v>0</v>
      </c>
      <c r="H165" s="6">
        <v>0</v>
      </c>
      <c r="I165" s="6">
        <v>0</v>
      </c>
      <c r="J165" s="6">
        <v>0</v>
      </c>
      <c r="K165" s="6">
        <v>0</v>
      </c>
      <c r="L165" s="6">
        <v>0</v>
      </c>
      <c r="M165" s="6">
        <v>0</v>
      </c>
      <c r="N165" s="6">
        <v>0</v>
      </c>
      <c r="O165" s="6">
        <v>0</v>
      </c>
      <c r="P165" s="6">
        <v>0</v>
      </c>
      <c r="Q165" s="6">
        <v>0</v>
      </c>
      <c r="R165" s="6">
        <v>0</v>
      </c>
      <c r="S165" s="6">
        <v>0</v>
      </c>
      <c r="U165" s="6">
        <f t="shared" si="72"/>
        <v>0</v>
      </c>
      <c r="V165" s="23">
        <f t="shared" si="83"/>
        <v>0</v>
      </c>
      <c r="W165" s="6">
        <v>0</v>
      </c>
      <c r="X165" s="6">
        <v>0</v>
      </c>
      <c r="Y165" s="6">
        <v>0</v>
      </c>
      <c r="Z165" s="6">
        <v>0</v>
      </c>
      <c r="AA165" s="6">
        <v>0</v>
      </c>
      <c r="AB165" s="6">
        <v>0</v>
      </c>
      <c r="AC165" s="6">
        <v>0</v>
      </c>
      <c r="AD165" s="6">
        <v>0</v>
      </c>
      <c r="AE165" s="6">
        <v>0</v>
      </c>
      <c r="AF165" s="6">
        <v>0</v>
      </c>
      <c r="AG165" s="6">
        <v>0</v>
      </c>
      <c r="AH165" s="6">
        <v>0</v>
      </c>
    </row>
    <row r="166" spans="1:34" hidden="1" outlineLevel="1" x14ac:dyDescent="0.25">
      <c r="A166" s="1" t="s">
        <v>169</v>
      </c>
      <c r="B166" s="2">
        <v>0</v>
      </c>
      <c r="C166" s="8">
        <f t="shared" si="87"/>
        <v>0</v>
      </c>
      <c r="D166" s="2">
        <v>0</v>
      </c>
      <c r="E166" s="8">
        <f t="shared" si="88"/>
        <v>0</v>
      </c>
      <c r="F166" s="2">
        <v>0</v>
      </c>
      <c r="G166" s="8">
        <f t="shared" si="89"/>
        <v>0</v>
      </c>
      <c r="H166" s="2">
        <v>0</v>
      </c>
      <c r="I166" s="2">
        <v>0</v>
      </c>
      <c r="J166" s="2">
        <v>0</v>
      </c>
      <c r="K166" s="2">
        <v>0</v>
      </c>
      <c r="L166" s="2">
        <v>0</v>
      </c>
      <c r="M166" s="2">
        <v>0</v>
      </c>
      <c r="N166" s="2">
        <v>0</v>
      </c>
      <c r="O166" s="2">
        <v>0</v>
      </c>
      <c r="P166" s="2">
        <v>0</v>
      </c>
      <c r="Q166" s="2">
        <v>0</v>
      </c>
      <c r="R166" s="2">
        <v>0</v>
      </c>
      <c r="S166" s="2">
        <v>0</v>
      </c>
      <c r="U166" s="6">
        <f t="shared" si="72"/>
        <v>0</v>
      </c>
      <c r="V166" s="23">
        <f t="shared" si="83"/>
        <v>0</v>
      </c>
      <c r="W166" s="2">
        <v>0</v>
      </c>
      <c r="X166" s="2">
        <v>0</v>
      </c>
      <c r="Y166" s="2">
        <v>0</v>
      </c>
      <c r="Z166" s="2">
        <v>0</v>
      </c>
      <c r="AA166" s="2">
        <v>0</v>
      </c>
      <c r="AB166" s="2">
        <v>0</v>
      </c>
      <c r="AC166" s="2">
        <v>0</v>
      </c>
      <c r="AD166" s="2">
        <v>0</v>
      </c>
      <c r="AE166" s="2">
        <v>0</v>
      </c>
      <c r="AF166" s="2">
        <v>0</v>
      </c>
      <c r="AG166" s="2">
        <v>0</v>
      </c>
      <c r="AH166" s="2">
        <v>0</v>
      </c>
    </row>
    <row r="167" spans="1:34" s="3" customFormat="1" hidden="1" outlineLevel="1" x14ac:dyDescent="0.25">
      <c r="A167" s="1" t="s">
        <v>170</v>
      </c>
      <c r="B167" s="2">
        <v>0</v>
      </c>
      <c r="C167" s="8">
        <f t="shared" si="87"/>
        <v>0</v>
      </c>
      <c r="D167" s="2">
        <v>0</v>
      </c>
      <c r="E167" s="8">
        <f t="shared" si="88"/>
        <v>0</v>
      </c>
      <c r="F167" s="2">
        <v>0</v>
      </c>
      <c r="G167" s="8">
        <f t="shared" si="89"/>
        <v>0</v>
      </c>
      <c r="H167" s="2">
        <v>0</v>
      </c>
      <c r="I167" s="2">
        <v>0</v>
      </c>
      <c r="J167" s="2">
        <v>0</v>
      </c>
      <c r="K167" s="2">
        <v>0</v>
      </c>
      <c r="L167" s="2">
        <v>0</v>
      </c>
      <c r="M167" s="2">
        <v>0</v>
      </c>
      <c r="N167" s="2">
        <v>0</v>
      </c>
      <c r="O167" s="2">
        <v>0</v>
      </c>
      <c r="P167" s="2">
        <v>0</v>
      </c>
      <c r="Q167" s="2">
        <v>0</v>
      </c>
      <c r="R167" s="2">
        <v>0</v>
      </c>
      <c r="S167" s="2">
        <v>0</v>
      </c>
      <c r="U167" s="6">
        <f t="shared" si="72"/>
        <v>0</v>
      </c>
      <c r="V167" s="23">
        <f t="shared" si="83"/>
        <v>0</v>
      </c>
      <c r="W167" s="2">
        <v>0</v>
      </c>
      <c r="X167" s="2">
        <v>0</v>
      </c>
      <c r="Y167" s="2">
        <v>0</v>
      </c>
      <c r="Z167" s="2">
        <v>0</v>
      </c>
      <c r="AA167" s="2">
        <v>0</v>
      </c>
      <c r="AB167" s="2">
        <v>0</v>
      </c>
      <c r="AC167" s="2">
        <v>0</v>
      </c>
      <c r="AD167" s="2">
        <v>0</v>
      </c>
      <c r="AE167" s="2">
        <v>0</v>
      </c>
      <c r="AF167" s="2">
        <v>0</v>
      </c>
      <c r="AG167" s="2">
        <v>0</v>
      </c>
      <c r="AH167" s="2">
        <v>0</v>
      </c>
    </row>
    <row r="168" spans="1:34" hidden="1" outlineLevel="1" x14ac:dyDescent="0.25">
      <c r="A168" s="1" t="s">
        <v>171</v>
      </c>
      <c r="B168" s="2">
        <v>0</v>
      </c>
      <c r="C168" s="8">
        <f t="shared" si="87"/>
        <v>0</v>
      </c>
      <c r="D168" s="2">
        <v>0</v>
      </c>
      <c r="E168" s="8">
        <f t="shared" si="88"/>
        <v>0</v>
      </c>
      <c r="F168" s="2">
        <v>0</v>
      </c>
      <c r="G168" s="8">
        <f t="shared" si="89"/>
        <v>0</v>
      </c>
      <c r="H168" s="2">
        <v>0</v>
      </c>
      <c r="I168" s="2">
        <v>0</v>
      </c>
      <c r="J168" s="2">
        <v>0</v>
      </c>
      <c r="K168" s="2">
        <v>0</v>
      </c>
      <c r="L168" s="2">
        <v>0</v>
      </c>
      <c r="M168" s="2">
        <v>0</v>
      </c>
      <c r="N168" s="2">
        <v>0</v>
      </c>
      <c r="O168" s="2">
        <v>0</v>
      </c>
      <c r="P168" s="2">
        <v>0</v>
      </c>
      <c r="Q168" s="2">
        <v>0</v>
      </c>
      <c r="R168" s="2">
        <v>0</v>
      </c>
      <c r="S168" s="2">
        <v>0</v>
      </c>
      <c r="U168" s="6">
        <f t="shared" si="72"/>
        <v>0</v>
      </c>
      <c r="V168" s="23">
        <f t="shared" si="83"/>
        <v>0</v>
      </c>
      <c r="W168" s="2">
        <v>0</v>
      </c>
      <c r="X168" s="2">
        <v>0</v>
      </c>
      <c r="Y168" s="2">
        <v>0</v>
      </c>
      <c r="Z168" s="2">
        <v>0</v>
      </c>
      <c r="AA168" s="2">
        <v>0</v>
      </c>
      <c r="AB168" s="2">
        <v>0</v>
      </c>
      <c r="AC168" s="2">
        <v>0</v>
      </c>
      <c r="AD168" s="2">
        <v>0</v>
      </c>
      <c r="AE168" s="2">
        <v>0</v>
      </c>
      <c r="AF168" s="2">
        <v>0</v>
      </c>
      <c r="AG168" s="2">
        <v>0</v>
      </c>
      <c r="AH168" s="2">
        <v>0</v>
      </c>
    </row>
    <row r="169" spans="1:34" collapsed="1" x14ac:dyDescent="0.25">
      <c r="A169" s="3" t="s">
        <v>172</v>
      </c>
      <c r="B169" s="4">
        <v>663360.6</v>
      </c>
      <c r="C169" s="11">
        <f t="shared" si="87"/>
        <v>6.0122937101901891E-2</v>
      </c>
      <c r="D169" s="4">
        <v>-6097.62</v>
      </c>
      <c r="E169" s="11">
        <f t="shared" si="88"/>
        <v>-7.2498064521087362E-4</v>
      </c>
      <c r="F169" s="4">
        <f>+F137+F146+F153+F160+F163+F165</f>
        <v>-10709.220000000001</v>
      </c>
      <c r="G169" s="11">
        <f t="shared" si="89"/>
        <v>-1.2732799396002361E-3</v>
      </c>
      <c r="H169" s="4">
        <f>+H137+H146+H153+H160+H163+H165</f>
        <v>-892.43500000000017</v>
      </c>
      <c r="I169" s="4">
        <f t="shared" ref="I169:S169" si="94">+I137+I146+I153+I160+I163+I165</f>
        <v>-891.43500000000017</v>
      </c>
      <c r="J169" s="4">
        <f t="shared" si="94"/>
        <v>-890.43500000000017</v>
      </c>
      <c r="K169" s="4">
        <f t="shared" si="94"/>
        <v>-889.43500000000017</v>
      </c>
      <c r="L169" s="4">
        <f t="shared" si="94"/>
        <v>-888.43500000000017</v>
      </c>
      <c r="M169" s="4">
        <f t="shared" si="94"/>
        <v>-887.43500000000017</v>
      </c>
      <c r="N169" s="4">
        <f t="shared" si="94"/>
        <v>-886.43500000000017</v>
      </c>
      <c r="O169" s="4">
        <f t="shared" si="94"/>
        <v>-885.43500000000017</v>
      </c>
      <c r="P169" s="4">
        <f t="shared" si="94"/>
        <v>-884.43500000000017</v>
      </c>
      <c r="Q169" s="4">
        <f t="shared" si="94"/>
        <v>-883.43500000000017</v>
      </c>
      <c r="R169" s="4">
        <f t="shared" si="94"/>
        <v>-882.43500000000017</v>
      </c>
      <c r="S169" s="4">
        <f t="shared" si="94"/>
        <v>-881.43500000000017</v>
      </c>
      <c r="U169" s="6">
        <f t="shared" si="72"/>
        <v>-206609.22</v>
      </c>
      <c r="V169" s="23">
        <f t="shared" si="83"/>
        <v>-1.5454172064441793E-2</v>
      </c>
      <c r="W169" s="4">
        <f>+W137+W146+W153+W160+W163+W165</f>
        <v>-17217.435000000001</v>
      </c>
      <c r="X169" s="4">
        <f t="shared" ref="X169:AH169" si="95">+X137+X146+X153+X160+X163+X165</f>
        <v>-17217.435000000001</v>
      </c>
      <c r="Y169" s="4">
        <f t="shared" si="95"/>
        <v>-17217.435000000001</v>
      </c>
      <c r="Z169" s="4">
        <f t="shared" si="95"/>
        <v>-17217.435000000001</v>
      </c>
      <c r="AA169" s="4">
        <f t="shared" si="95"/>
        <v>-17217.435000000001</v>
      </c>
      <c r="AB169" s="4">
        <f t="shared" si="95"/>
        <v>-17217.435000000001</v>
      </c>
      <c r="AC169" s="4">
        <f t="shared" si="95"/>
        <v>-17217.435000000001</v>
      </c>
      <c r="AD169" s="4">
        <f t="shared" si="95"/>
        <v>-17217.435000000001</v>
      </c>
      <c r="AE169" s="4">
        <f t="shared" si="95"/>
        <v>-17217.435000000001</v>
      </c>
      <c r="AF169" s="4">
        <f t="shared" si="95"/>
        <v>-17217.435000000001</v>
      </c>
      <c r="AG169" s="4">
        <f t="shared" si="95"/>
        <v>-17217.435000000001</v>
      </c>
      <c r="AH169" s="4">
        <f t="shared" si="95"/>
        <v>-17217.435000000001</v>
      </c>
    </row>
    <row r="170" spans="1:34" x14ac:dyDescent="0.25">
      <c r="A170" s="3" t="s">
        <v>173</v>
      </c>
      <c r="B170" s="4">
        <v>2829000.19</v>
      </c>
      <c r="C170" s="11">
        <f t="shared" si="87"/>
        <v>0.25640322998477527</v>
      </c>
      <c r="D170" s="4">
        <v>1255729.4099999999</v>
      </c>
      <c r="E170" s="11">
        <f t="shared" si="88"/>
        <v>0.14930079569931703</v>
      </c>
      <c r="F170" s="4">
        <f>+F136+F169</f>
        <v>454109.62356000114</v>
      </c>
      <c r="G170" s="11">
        <f t="shared" si="89"/>
        <v>5.3991670173772155E-2</v>
      </c>
      <c r="H170" s="4">
        <f>+H136+H169</f>
        <v>241293.76945783681</v>
      </c>
      <c r="I170" s="4">
        <f t="shared" ref="I170:S170" si="96">+I136+I169</f>
        <v>364012.05023963435</v>
      </c>
      <c r="J170" s="4">
        <f t="shared" si="96"/>
        <v>327869.05541795364</v>
      </c>
      <c r="K170" s="4">
        <f t="shared" si="96"/>
        <v>17071.419810166142</v>
      </c>
      <c r="L170" s="4">
        <f t="shared" si="96"/>
        <v>393174.50373782252</v>
      </c>
      <c r="M170" s="4">
        <f t="shared" si="96"/>
        <v>261719.17982962151</v>
      </c>
      <c r="N170" s="4">
        <f t="shared" si="96"/>
        <v>259075.99162554747</v>
      </c>
      <c r="O170" s="4">
        <f t="shared" si="96"/>
        <v>68398.860850220779</v>
      </c>
      <c r="P170" s="4">
        <f t="shared" si="96"/>
        <v>213011.22864741745</v>
      </c>
      <c r="Q170" s="4">
        <f t="shared" si="96"/>
        <v>185778.10192109569</v>
      </c>
      <c r="R170" s="4">
        <f t="shared" si="96"/>
        <v>196737.41069825349</v>
      </c>
      <c r="S170" s="4">
        <f t="shared" si="96"/>
        <v>184357.75111041829</v>
      </c>
      <c r="U170" s="6">
        <f t="shared" si="72"/>
        <v>6791030.0067459876</v>
      </c>
      <c r="V170" s="23">
        <f t="shared" si="83"/>
        <v>0.50796254987574996</v>
      </c>
      <c r="W170" s="4">
        <f>+W136+W169</f>
        <v>606176.82640783675</v>
      </c>
      <c r="X170" s="4">
        <f t="shared" ref="X170:AH170" si="97">+X136+X169</f>
        <v>728894.10718963435</v>
      </c>
      <c r="Y170" s="4">
        <f t="shared" si="97"/>
        <v>642750.11236795364</v>
      </c>
      <c r="Z170" s="4">
        <f t="shared" si="97"/>
        <v>481951.47676016617</v>
      </c>
      <c r="AA170" s="4">
        <f t="shared" si="97"/>
        <v>708053.56068782252</v>
      </c>
      <c r="AB170" s="4">
        <f t="shared" si="97"/>
        <v>576597.23677962145</v>
      </c>
      <c r="AC170" s="4">
        <f t="shared" si="97"/>
        <v>573953.04857554741</v>
      </c>
      <c r="AD170" s="4">
        <f t="shared" si="97"/>
        <v>383274.91780022072</v>
      </c>
      <c r="AE170" s="4">
        <f t="shared" si="97"/>
        <v>577886.28559741739</v>
      </c>
      <c r="AF170" s="4">
        <f t="shared" si="97"/>
        <v>500652.15887109563</v>
      </c>
      <c r="AG170" s="4">
        <f t="shared" si="97"/>
        <v>511610.46764825337</v>
      </c>
      <c r="AH170" s="4">
        <f t="shared" si="97"/>
        <v>499229.80806041823</v>
      </c>
    </row>
    <row r="171" spans="1:34" x14ac:dyDescent="0.25">
      <c r="A171" s="5" t="s">
        <v>174</v>
      </c>
      <c r="B171" s="6">
        <v>-685372.3</v>
      </c>
      <c r="C171" s="7">
        <f t="shared" si="87"/>
        <v>-6.2117942615654051E-2</v>
      </c>
      <c r="D171" s="6">
        <v>0</v>
      </c>
      <c r="E171" s="7">
        <f t="shared" si="88"/>
        <v>0</v>
      </c>
      <c r="F171" s="6">
        <v>0</v>
      </c>
      <c r="G171" s="7">
        <f t="shared" si="89"/>
        <v>0</v>
      </c>
      <c r="H171" s="6">
        <v>0</v>
      </c>
      <c r="I171" s="6">
        <v>0</v>
      </c>
      <c r="J171" s="6">
        <v>0</v>
      </c>
      <c r="K171" s="6">
        <v>0</v>
      </c>
      <c r="L171" s="6">
        <v>0</v>
      </c>
      <c r="M171" s="6">
        <v>0</v>
      </c>
      <c r="N171" s="6">
        <v>0</v>
      </c>
      <c r="O171" s="6">
        <v>0</v>
      </c>
      <c r="P171" s="6">
        <v>0</v>
      </c>
      <c r="Q171" s="6">
        <v>0</v>
      </c>
      <c r="R171" s="6">
        <v>0</v>
      </c>
      <c r="S171" s="6">
        <v>0</v>
      </c>
      <c r="U171" s="6">
        <f t="shared" si="72"/>
        <v>0</v>
      </c>
      <c r="V171" s="23">
        <f t="shared" si="83"/>
        <v>0</v>
      </c>
      <c r="W171" s="6">
        <v>0</v>
      </c>
      <c r="X171" s="6">
        <v>0</v>
      </c>
      <c r="Y171" s="6">
        <v>0</v>
      </c>
      <c r="Z171" s="6">
        <v>0</v>
      </c>
      <c r="AA171" s="6">
        <v>0</v>
      </c>
      <c r="AB171" s="6">
        <v>0</v>
      </c>
      <c r="AC171" s="6">
        <v>0</v>
      </c>
      <c r="AD171" s="6">
        <v>0</v>
      </c>
      <c r="AE171" s="6">
        <v>0</v>
      </c>
      <c r="AF171" s="6">
        <v>0</v>
      </c>
      <c r="AG171" s="6">
        <v>0</v>
      </c>
      <c r="AH171" s="6">
        <v>0</v>
      </c>
    </row>
    <row r="172" spans="1:34" hidden="1" outlineLevel="1" x14ac:dyDescent="0.25">
      <c r="A172" s="1" t="s">
        <v>175</v>
      </c>
      <c r="B172" s="2">
        <v>-769897.22</v>
      </c>
      <c r="C172" s="8">
        <f t="shared" si="87"/>
        <v>-6.9778763063391355E-2</v>
      </c>
      <c r="D172" s="2">
        <v>0</v>
      </c>
      <c r="E172" s="8">
        <f t="shared" si="88"/>
        <v>0</v>
      </c>
      <c r="F172" s="2">
        <v>0</v>
      </c>
      <c r="G172" s="8">
        <f t="shared" si="89"/>
        <v>0</v>
      </c>
      <c r="H172" s="2">
        <v>0</v>
      </c>
      <c r="I172" s="2">
        <v>0</v>
      </c>
      <c r="J172" s="2">
        <v>0</v>
      </c>
      <c r="K172" s="2">
        <v>0</v>
      </c>
      <c r="L172" s="2">
        <v>0</v>
      </c>
      <c r="M172" s="2">
        <v>0</v>
      </c>
      <c r="N172" s="2">
        <v>0</v>
      </c>
      <c r="O172" s="2">
        <v>0</v>
      </c>
      <c r="P172" s="2">
        <v>0</v>
      </c>
      <c r="Q172" s="2">
        <v>0</v>
      </c>
      <c r="R172" s="2">
        <v>0</v>
      </c>
      <c r="S172" s="2">
        <v>0</v>
      </c>
      <c r="U172" s="6">
        <f t="shared" si="72"/>
        <v>0</v>
      </c>
      <c r="V172" s="23">
        <f t="shared" si="83"/>
        <v>0</v>
      </c>
      <c r="W172" s="2">
        <v>0</v>
      </c>
      <c r="X172" s="2">
        <v>0</v>
      </c>
      <c r="Y172" s="2">
        <v>0</v>
      </c>
      <c r="Z172" s="2">
        <v>0</v>
      </c>
      <c r="AA172" s="2">
        <v>0</v>
      </c>
      <c r="AB172" s="2">
        <v>0</v>
      </c>
      <c r="AC172" s="2">
        <v>0</v>
      </c>
      <c r="AD172" s="2">
        <v>0</v>
      </c>
      <c r="AE172" s="2">
        <v>0</v>
      </c>
      <c r="AF172" s="2">
        <v>0</v>
      </c>
      <c r="AG172" s="2">
        <v>0</v>
      </c>
      <c r="AH172" s="2">
        <v>0</v>
      </c>
    </row>
    <row r="173" spans="1:34" hidden="1" outlineLevel="1" x14ac:dyDescent="0.25">
      <c r="A173" s="1" t="s">
        <v>176</v>
      </c>
      <c r="B173" s="2">
        <v>84524.92</v>
      </c>
      <c r="C173" s="8">
        <f t="shared" si="87"/>
        <v>7.6608204477373078E-3</v>
      </c>
      <c r="D173" s="2">
        <v>0</v>
      </c>
      <c r="E173" s="8">
        <f t="shared" si="88"/>
        <v>0</v>
      </c>
      <c r="F173" s="2">
        <v>0</v>
      </c>
      <c r="G173" s="8">
        <f t="shared" si="89"/>
        <v>0</v>
      </c>
      <c r="H173" s="2">
        <v>0</v>
      </c>
      <c r="I173" s="2">
        <v>0</v>
      </c>
      <c r="J173" s="2">
        <v>0</v>
      </c>
      <c r="K173" s="2">
        <v>0</v>
      </c>
      <c r="L173" s="2">
        <v>0</v>
      </c>
      <c r="M173" s="2">
        <v>0</v>
      </c>
      <c r="N173" s="2">
        <v>0</v>
      </c>
      <c r="O173" s="2">
        <v>0</v>
      </c>
      <c r="P173" s="2">
        <v>0</v>
      </c>
      <c r="Q173" s="2">
        <v>0</v>
      </c>
      <c r="R173" s="2">
        <v>0</v>
      </c>
      <c r="S173" s="2">
        <v>0</v>
      </c>
      <c r="U173" s="6">
        <f t="shared" si="72"/>
        <v>0</v>
      </c>
      <c r="V173" s="23">
        <f t="shared" si="83"/>
        <v>0</v>
      </c>
      <c r="W173" s="2">
        <v>0</v>
      </c>
      <c r="X173" s="2">
        <v>0</v>
      </c>
      <c r="Y173" s="2">
        <v>0</v>
      </c>
      <c r="Z173" s="2">
        <v>0</v>
      </c>
      <c r="AA173" s="2">
        <v>0</v>
      </c>
      <c r="AB173" s="2">
        <v>0</v>
      </c>
      <c r="AC173" s="2">
        <v>0</v>
      </c>
      <c r="AD173" s="2">
        <v>0</v>
      </c>
      <c r="AE173" s="2">
        <v>0</v>
      </c>
      <c r="AF173" s="2">
        <v>0</v>
      </c>
      <c r="AG173" s="2">
        <v>0</v>
      </c>
      <c r="AH173" s="2">
        <v>0</v>
      </c>
    </row>
    <row r="174" spans="1:34" collapsed="1" x14ac:dyDescent="0.25">
      <c r="A174" s="3" t="s">
        <v>177</v>
      </c>
      <c r="B174" s="4">
        <v>2143627.89</v>
      </c>
      <c r="C174" s="11">
        <f t="shared" si="87"/>
        <v>0.19428528736912123</v>
      </c>
      <c r="D174" s="4">
        <v>1255729.4099999999</v>
      </c>
      <c r="E174" s="11">
        <f t="shared" si="88"/>
        <v>0.14930079569931703</v>
      </c>
      <c r="F174" s="4">
        <f>+F170+F171</f>
        <v>454109.62356000114</v>
      </c>
      <c r="G174" s="11">
        <f t="shared" si="89"/>
        <v>5.3991670173772155E-2</v>
      </c>
      <c r="H174" s="4">
        <f>+H170+H171</f>
        <v>241293.76945783681</v>
      </c>
      <c r="I174" s="4">
        <f t="shared" ref="I174:S174" si="98">+I170+I171</f>
        <v>364012.05023963435</v>
      </c>
      <c r="J174" s="4">
        <f t="shared" si="98"/>
        <v>327869.05541795364</v>
      </c>
      <c r="K174" s="4">
        <f t="shared" si="98"/>
        <v>17071.419810166142</v>
      </c>
      <c r="L174" s="4">
        <f t="shared" si="98"/>
        <v>393174.50373782252</v>
      </c>
      <c r="M174" s="4">
        <f t="shared" si="98"/>
        <v>261719.17982962151</v>
      </c>
      <c r="N174" s="4">
        <f t="shared" si="98"/>
        <v>259075.99162554747</v>
      </c>
      <c r="O174" s="4">
        <f t="shared" si="98"/>
        <v>68398.860850220779</v>
      </c>
      <c r="P174" s="4">
        <f t="shared" si="98"/>
        <v>213011.22864741745</v>
      </c>
      <c r="Q174" s="4">
        <f t="shared" si="98"/>
        <v>185778.10192109569</v>
      </c>
      <c r="R174" s="4">
        <f t="shared" si="98"/>
        <v>196737.41069825349</v>
      </c>
      <c r="S174" s="4">
        <f t="shared" si="98"/>
        <v>184357.75111041829</v>
      </c>
      <c r="U174" s="6">
        <f t="shared" si="72"/>
        <v>6791030.0067459876</v>
      </c>
      <c r="V174" s="23">
        <f t="shared" si="83"/>
        <v>0.50796254987574996</v>
      </c>
      <c r="W174" s="4">
        <f>+W170+W171</f>
        <v>606176.82640783675</v>
      </c>
      <c r="X174" s="4">
        <f t="shared" ref="X174:AH174" si="99">+X170+X171</f>
        <v>728894.10718963435</v>
      </c>
      <c r="Y174" s="4">
        <f t="shared" si="99"/>
        <v>642750.11236795364</v>
      </c>
      <c r="Z174" s="4">
        <f t="shared" si="99"/>
        <v>481951.47676016617</v>
      </c>
      <c r="AA174" s="4">
        <f t="shared" si="99"/>
        <v>708053.56068782252</v>
      </c>
      <c r="AB174" s="4">
        <f t="shared" si="99"/>
        <v>576597.23677962145</v>
      </c>
      <c r="AC174" s="4">
        <f t="shared" si="99"/>
        <v>573953.04857554741</v>
      </c>
      <c r="AD174" s="4">
        <f t="shared" si="99"/>
        <v>383274.91780022072</v>
      </c>
      <c r="AE174" s="4">
        <f t="shared" si="99"/>
        <v>577886.28559741739</v>
      </c>
      <c r="AF174" s="4">
        <f t="shared" si="99"/>
        <v>500652.15887109563</v>
      </c>
      <c r="AG174" s="4">
        <f t="shared" si="99"/>
        <v>511610.46764825337</v>
      </c>
      <c r="AH174" s="4">
        <f t="shared" si="99"/>
        <v>499229.80806041823</v>
      </c>
    </row>
    <row r="175" spans="1:34" x14ac:dyDescent="0.25">
      <c r="F175" s="2" t="s">
        <v>197</v>
      </c>
      <c r="G175" s="2" t="s">
        <v>198</v>
      </c>
    </row>
    <row r="176" spans="1:34" s="47" customFormat="1" x14ac:dyDescent="0.25">
      <c r="A176" s="47" t="s">
        <v>1253</v>
      </c>
      <c r="B176" s="53"/>
      <c r="C176" s="53"/>
      <c r="D176" s="53"/>
      <c r="E176" s="53"/>
      <c r="F176" s="53"/>
      <c r="G176" s="53"/>
      <c r="H176" s="54">
        <f>SUM(H177:H180)</f>
        <v>729842</v>
      </c>
      <c r="I176" s="54">
        <f t="shared" ref="I176:S176" si="100">SUM(I177:I180)</f>
        <v>879038.45274419722</v>
      </c>
      <c r="J176" s="54">
        <f t="shared" si="100"/>
        <v>1190613.9054883944</v>
      </c>
      <c r="K176" s="54">
        <f t="shared" si="100"/>
        <v>1307238.1696296516</v>
      </c>
      <c r="L176" s="54">
        <f t="shared" si="100"/>
        <v>1341995.5610512441</v>
      </c>
      <c r="M176" s="54">
        <f t="shared" si="100"/>
        <v>1107313.840795795</v>
      </c>
      <c r="N176" s="54">
        <f t="shared" si="100"/>
        <v>1169374.9177498487</v>
      </c>
      <c r="O176" s="54">
        <f t="shared" si="100"/>
        <v>1259321.4358444402</v>
      </c>
      <c r="P176" s="54">
        <f t="shared" si="100"/>
        <v>1131879.1274227919</v>
      </c>
      <c r="Q176" s="54">
        <f t="shared" si="100"/>
        <v>948155.42486501602</v>
      </c>
      <c r="R176" s="54">
        <f t="shared" si="100"/>
        <v>951893.37334665144</v>
      </c>
      <c r="S176" s="54">
        <f t="shared" si="100"/>
        <v>1063442.735258949</v>
      </c>
      <c r="W176" s="54">
        <f>SUM(W177:W180)</f>
        <v>800000</v>
      </c>
      <c r="X176" s="54">
        <f t="shared" ref="X176:AH176" si="101">SUM(X177:X180)</f>
        <v>595306.95274419722</v>
      </c>
      <c r="Y176" s="54">
        <f t="shared" si="101"/>
        <v>1190613.9054883944</v>
      </c>
      <c r="Z176" s="54">
        <f t="shared" si="101"/>
        <v>1307238.1696296516</v>
      </c>
      <c r="AA176" s="54">
        <f t="shared" si="101"/>
        <v>1341995.5610512441</v>
      </c>
      <c r="AB176" s="54">
        <f t="shared" si="101"/>
        <v>1107313.840795795</v>
      </c>
      <c r="AC176" s="54">
        <f t="shared" si="101"/>
        <v>1169374.9177498487</v>
      </c>
      <c r="AD176" s="54">
        <f t="shared" si="101"/>
        <v>1259321.4358444402</v>
      </c>
      <c r="AE176" s="54">
        <f t="shared" si="101"/>
        <v>1131879.1274227919</v>
      </c>
      <c r="AF176" s="54">
        <f t="shared" si="101"/>
        <v>948155.42486501602</v>
      </c>
      <c r="AG176" s="54">
        <f t="shared" si="101"/>
        <v>951893.37334665144</v>
      </c>
      <c r="AH176" s="54">
        <f t="shared" si="101"/>
        <v>1063442.735258949</v>
      </c>
    </row>
    <row r="177" spans="1:34" x14ac:dyDescent="0.25">
      <c r="A177" s="1" t="s">
        <v>1254</v>
      </c>
      <c r="F177" s="2">
        <v>859571</v>
      </c>
      <c r="G177" s="2">
        <v>567463</v>
      </c>
      <c r="H177" s="22">
        <f>+(F177*0.5)+(G177*0.5)</f>
        <v>713517</v>
      </c>
      <c r="I177" s="22">
        <f>+(G177*0.5)+(H2*0.5)</f>
        <v>879038.45274419722</v>
      </c>
      <c r="J177" s="22">
        <f>+(H2*0.5)+(H2*0.5)</f>
        <v>1190613.9054883944</v>
      </c>
      <c r="K177" s="22">
        <f>+(H2*0.5)+(I2*0.5)</f>
        <v>1307238.1696296516</v>
      </c>
      <c r="L177" s="22">
        <f t="shared" ref="L177:S177" si="102">+(I2*0.5)+(J2*0.5)</f>
        <v>1341995.5610512441</v>
      </c>
      <c r="M177" s="22">
        <f t="shared" si="102"/>
        <v>1107313.840795795</v>
      </c>
      <c r="N177" s="22">
        <f t="shared" si="102"/>
        <v>1169374.9177498487</v>
      </c>
      <c r="O177" s="22">
        <f t="shared" si="102"/>
        <v>1259321.4358444402</v>
      </c>
      <c r="P177" s="22">
        <f t="shared" si="102"/>
        <v>1131879.1274227919</v>
      </c>
      <c r="Q177" s="22">
        <f t="shared" si="102"/>
        <v>948155.42486501602</v>
      </c>
      <c r="R177" s="22">
        <f t="shared" si="102"/>
        <v>951893.37334665144</v>
      </c>
      <c r="S177" s="22">
        <f t="shared" si="102"/>
        <v>1063442.735258949</v>
      </c>
      <c r="W177" s="22">
        <v>800000</v>
      </c>
      <c r="X177" s="22">
        <f>+(V177*0.5)+(W2*0.5)</f>
        <v>595306.95274419722</v>
      </c>
      <c r="Y177" s="22">
        <f>+(W2*0.5)+(W2*0.5)</f>
        <v>1190613.9054883944</v>
      </c>
      <c r="Z177" s="22">
        <f>+(W2*0.5)+(X2*0.5)</f>
        <v>1307238.1696296516</v>
      </c>
      <c r="AA177" s="22">
        <f t="shared" ref="AA177" si="103">+(X2*0.5)+(Y2*0.5)</f>
        <v>1341995.5610512441</v>
      </c>
      <c r="AB177" s="22">
        <f t="shared" ref="AB177" si="104">+(Y2*0.5)+(Z2*0.5)</f>
        <v>1107313.840795795</v>
      </c>
      <c r="AC177" s="22">
        <f t="shared" ref="AC177" si="105">+(Z2*0.5)+(AA2*0.5)</f>
        <v>1169374.9177498487</v>
      </c>
      <c r="AD177" s="22">
        <f t="shared" ref="AD177" si="106">+(AA2*0.5)+(AB2*0.5)</f>
        <v>1259321.4358444402</v>
      </c>
      <c r="AE177" s="22">
        <f t="shared" ref="AE177" si="107">+(AB2*0.5)+(AC2*0.5)</f>
        <v>1131879.1274227919</v>
      </c>
      <c r="AF177" s="22">
        <f t="shared" ref="AF177" si="108">+(AC2*0.5)+(AD2*0.5)</f>
        <v>948155.42486501602</v>
      </c>
      <c r="AG177" s="22">
        <f t="shared" ref="AG177" si="109">+(AD2*0.5)+(AE2*0.5)</f>
        <v>951893.37334665144</v>
      </c>
      <c r="AH177" s="22">
        <f t="shared" ref="AH177" si="110">+(AE2*0.5)+(AF2*0.5)</f>
        <v>1063442.735258949</v>
      </c>
    </row>
    <row r="178" spans="1:34" x14ac:dyDescent="0.25">
      <c r="A178" s="1" t="s">
        <v>1255</v>
      </c>
      <c r="H178" s="2">
        <f>+H4</f>
        <v>0</v>
      </c>
      <c r="I178" s="2">
        <f t="shared" ref="I178:S178" si="111">+I4</f>
        <v>0</v>
      </c>
      <c r="J178" s="2">
        <f t="shared" si="111"/>
        <v>0</v>
      </c>
      <c r="K178" s="2">
        <f t="shared" si="111"/>
        <v>0</v>
      </c>
      <c r="L178" s="2">
        <f t="shared" si="111"/>
        <v>0</v>
      </c>
      <c r="M178" s="2">
        <f t="shared" si="111"/>
        <v>0</v>
      </c>
      <c r="N178" s="2">
        <f t="shared" si="111"/>
        <v>0</v>
      </c>
      <c r="O178" s="2">
        <f t="shared" si="111"/>
        <v>0</v>
      </c>
      <c r="P178" s="2">
        <f t="shared" si="111"/>
        <v>0</v>
      </c>
      <c r="Q178" s="2">
        <f t="shared" si="111"/>
        <v>0</v>
      </c>
      <c r="R178" s="2">
        <f t="shared" si="111"/>
        <v>0</v>
      </c>
      <c r="S178" s="2">
        <f t="shared" si="111"/>
        <v>0</v>
      </c>
      <c r="W178" s="2">
        <f>+W4</f>
        <v>0</v>
      </c>
      <c r="X178" s="2">
        <f t="shared" ref="X178:AH178" si="112">+X4</f>
        <v>0</v>
      </c>
      <c r="Y178" s="2">
        <f t="shared" si="112"/>
        <v>0</v>
      </c>
      <c r="Z178" s="2">
        <f t="shared" si="112"/>
        <v>0</v>
      </c>
      <c r="AA178" s="2">
        <f t="shared" si="112"/>
        <v>0</v>
      </c>
      <c r="AB178" s="2">
        <f t="shared" si="112"/>
        <v>0</v>
      </c>
      <c r="AC178" s="2">
        <f t="shared" si="112"/>
        <v>0</v>
      </c>
      <c r="AD178" s="2">
        <f t="shared" si="112"/>
        <v>0</v>
      </c>
      <c r="AE178" s="2">
        <f t="shared" si="112"/>
        <v>0</v>
      </c>
      <c r="AF178" s="2">
        <f t="shared" si="112"/>
        <v>0</v>
      </c>
      <c r="AG178" s="2">
        <f t="shared" si="112"/>
        <v>0</v>
      </c>
      <c r="AH178" s="2">
        <f t="shared" si="112"/>
        <v>0</v>
      </c>
    </row>
    <row r="179" spans="1:34" x14ac:dyDescent="0.25">
      <c r="A179" s="1" t="s">
        <v>1256</v>
      </c>
      <c r="H179" s="2">
        <f>+H5</f>
        <v>0</v>
      </c>
      <c r="I179" s="2">
        <f t="shared" ref="I179:S179" si="113">+I5</f>
        <v>0</v>
      </c>
      <c r="J179" s="2">
        <f t="shared" si="113"/>
        <v>0</v>
      </c>
      <c r="K179" s="2">
        <f t="shared" si="113"/>
        <v>0</v>
      </c>
      <c r="L179" s="2">
        <f t="shared" si="113"/>
        <v>0</v>
      </c>
      <c r="M179" s="2">
        <f t="shared" si="113"/>
        <v>0</v>
      </c>
      <c r="N179" s="2">
        <f t="shared" si="113"/>
        <v>0</v>
      </c>
      <c r="O179" s="2">
        <f t="shared" si="113"/>
        <v>0</v>
      </c>
      <c r="P179" s="2">
        <f t="shared" si="113"/>
        <v>0</v>
      </c>
      <c r="Q179" s="2">
        <f t="shared" si="113"/>
        <v>0</v>
      </c>
      <c r="R179" s="2">
        <f t="shared" si="113"/>
        <v>0</v>
      </c>
      <c r="S179" s="2">
        <f t="shared" si="113"/>
        <v>0</v>
      </c>
      <c r="W179" s="2">
        <f>+W5</f>
        <v>0</v>
      </c>
      <c r="X179" s="2">
        <f t="shared" ref="X179:AH179" si="114">+X5</f>
        <v>0</v>
      </c>
      <c r="Y179" s="2">
        <f t="shared" si="114"/>
        <v>0</v>
      </c>
      <c r="Z179" s="2">
        <f t="shared" si="114"/>
        <v>0</v>
      </c>
      <c r="AA179" s="2">
        <f t="shared" si="114"/>
        <v>0</v>
      </c>
      <c r="AB179" s="2">
        <f t="shared" si="114"/>
        <v>0</v>
      </c>
      <c r="AC179" s="2">
        <f t="shared" si="114"/>
        <v>0</v>
      </c>
      <c r="AD179" s="2">
        <f t="shared" si="114"/>
        <v>0</v>
      </c>
      <c r="AE179" s="2">
        <f t="shared" si="114"/>
        <v>0</v>
      </c>
      <c r="AF179" s="2">
        <f t="shared" si="114"/>
        <v>0</v>
      </c>
      <c r="AG179" s="2">
        <f t="shared" si="114"/>
        <v>0</v>
      </c>
      <c r="AH179" s="2">
        <f t="shared" si="114"/>
        <v>0</v>
      </c>
    </row>
    <row r="180" spans="1:34" x14ac:dyDescent="0.25">
      <c r="A180" s="1" t="s">
        <v>1261</v>
      </c>
      <c r="H180" s="2">
        <f>+H137</f>
        <v>16325</v>
      </c>
      <c r="W180" s="2">
        <f>+W137</f>
        <v>0</v>
      </c>
    </row>
    <row r="181" spans="1:34" s="47" customFormat="1" x14ac:dyDescent="0.25">
      <c r="A181" s="47" t="s">
        <v>1260</v>
      </c>
      <c r="B181" s="53"/>
      <c r="C181" s="53"/>
      <c r="D181" s="53"/>
      <c r="E181" s="53"/>
      <c r="F181" s="53"/>
      <c r="G181" s="53"/>
      <c r="H181" s="53">
        <f>SUM(H182:H185)</f>
        <v>-977674.76061666664</v>
      </c>
      <c r="I181" s="53">
        <f t="shared" ref="I181:S181" si="115">SUM(I182:I185)</f>
        <v>-1003879.9264475828</v>
      </c>
      <c r="J181" s="53">
        <f t="shared" si="115"/>
        <v>-970350.67488911678</v>
      </c>
      <c r="K181" s="53">
        <f t="shared" si="115"/>
        <v>-1009140.2698484018</v>
      </c>
      <c r="L181" s="53">
        <f t="shared" si="115"/>
        <v>-888549.62264252105</v>
      </c>
      <c r="M181" s="53">
        <f t="shared" si="115"/>
        <v>-931173.26072738483</v>
      </c>
      <c r="N181" s="53">
        <f t="shared" si="115"/>
        <v>-870781.2083618741</v>
      </c>
      <c r="O181" s="53">
        <f t="shared" si="115"/>
        <v>-783718.66529379855</v>
      </c>
      <c r="P181" s="53">
        <f t="shared" si="115"/>
        <v>-835489.99526449898</v>
      </c>
      <c r="Q181" s="53">
        <f t="shared" si="115"/>
        <v>-838350.73664135893</v>
      </c>
      <c r="R181" s="53">
        <f t="shared" si="115"/>
        <v>-808503.47800597129</v>
      </c>
      <c r="S181" s="53">
        <f t="shared" si="115"/>
        <v>-807862.92351973173</v>
      </c>
      <c r="W181" s="53">
        <f>SUM(W182:W185)</f>
        <v>-618819.25</v>
      </c>
      <c r="X181" s="53">
        <f t="shared" ref="X181:AH181" si="116">SUM(X182:X185)</f>
        <v>-641304.5178309161</v>
      </c>
      <c r="Y181" s="53">
        <f t="shared" si="116"/>
        <v>-657775.2662724501</v>
      </c>
      <c r="Z181" s="53">
        <f t="shared" si="116"/>
        <v>-546564.86123173521</v>
      </c>
      <c r="AA181" s="53">
        <f t="shared" si="116"/>
        <v>-575974.21402585437</v>
      </c>
      <c r="AB181" s="53">
        <f t="shared" si="116"/>
        <v>-618597.85211071814</v>
      </c>
      <c r="AC181" s="53">
        <f t="shared" si="116"/>
        <v>-558205.79974520742</v>
      </c>
      <c r="AD181" s="53">
        <f t="shared" si="116"/>
        <v>-471143.25667713187</v>
      </c>
      <c r="AE181" s="53">
        <f t="shared" si="116"/>
        <v>-472914.5866478323</v>
      </c>
      <c r="AF181" s="53">
        <f t="shared" si="116"/>
        <v>-525775.32802469237</v>
      </c>
      <c r="AG181" s="53">
        <f t="shared" si="116"/>
        <v>-495928.06938930473</v>
      </c>
      <c r="AH181" s="53">
        <f t="shared" si="116"/>
        <v>-495287.51490306511</v>
      </c>
    </row>
    <row r="182" spans="1:34" x14ac:dyDescent="0.25">
      <c r="A182" s="1" t="s">
        <v>1257</v>
      </c>
      <c r="H182" s="2">
        <v>-600000</v>
      </c>
      <c r="I182" s="1">
        <f>+(H13*0.5)+(I13*0.5)</f>
        <v>-626205.16583091614</v>
      </c>
      <c r="J182" s="1">
        <f t="shared" ref="J182:S182" si="117">+(I13*0.5)+(J13*0.5)</f>
        <v>-642675.91427245014</v>
      </c>
      <c r="K182" s="1">
        <f t="shared" si="117"/>
        <v>-531465.50923173514</v>
      </c>
      <c r="L182" s="1">
        <f t="shared" si="117"/>
        <v>-560874.86202585441</v>
      </c>
      <c r="M182" s="1">
        <f t="shared" si="117"/>
        <v>-603498.50011071819</v>
      </c>
      <c r="N182" s="1">
        <f t="shared" si="117"/>
        <v>-543106.44774520746</v>
      </c>
      <c r="O182" s="1">
        <f t="shared" si="117"/>
        <v>-456043.90467713191</v>
      </c>
      <c r="P182" s="1">
        <f t="shared" si="117"/>
        <v>-457815.23464783235</v>
      </c>
      <c r="Q182" s="1">
        <f t="shared" si="117"/>
        <v>-510675.97602469235</v>
      </c>
      <c r="R182" s="1">
        <f t="shared" si="117"/>
        <v>-480828.71738930471</v>
      </c>
      <c r="S182" s="1">
        <f t="shared" si="117"/>
        <v>-480188.16290306509</v>
      </c>
      <c r="W182" s="2">
        <v>-600000</v>
      </c>
      <c r="X182" s="1">
        <f>+(W13*0.5)+(X13*0.5)</f>
        <v>-622485.2678309161</v>
      </c>
      <c r="Y182" s="1">
        <f t="shared" ref="Y182" si="118">+(X13*0.5)+(Y13*0.5)</f>
        <v>-638956.0162724501</v>
      </c>
      <c r="Z182" s="1">
        <f t="shared" ref="Z182" si="119">+(Y13*0.5)+(Z13*0.5)</f>
        <v>-527745.61123173521</v>
      </c>
      <c r="AA182" s="1">
        <f t="shared" ref="AA182" si="120">+(Z13*0.5)+(AA13*0.5)</f>
        <v>-557154.96402585437</v>
      </c>
      <c r="AB182" s="1">
        <f t="shared" ref="AB182" si="121">+(AA13*0.5)+(AB13*0.5)</f>
        <v>-599778.60211071814</v>
      </c>
      <c r="AC182" s="1">
        <f t="shared" ref="AC182" si="122">+(AB13*0.5)+(AC13*0.5)</f>
        <v>-539386.54974520742</v>
      </c>
      <c r="AD182" s="1">
        <f t="shared" ref="AD182" si="123">+(AC13*0.5)+(AD13*0.5)</f>
        <v>-452324.00667713187</v>
      </c>
      <c r="AE182" s="1">
        <f t="shared" ref="AE182" si="124">+(AD13*0.5)+(AE13*0.5)</f>
        <v>-454095.3366478323</v>
      </c>
      <c r="AF182" s="1">
        <f t="shared" ref="AF182" si="125">+(AE13*0.5)+(AF13*0.5)</f>
        <v>-506956.07802469237</v>
      </c>
      <c r="AG182" s="1">
        <f t="shared" ref="AG182" si="126">+(AF13*0.5)+(AG13*0.5)</f>
        <v>-477108.81938930473</v>
      </c>
      <c r="AH182" s="1">
        <f t="shared" ref="AH182" si="127">+(AG13*0.5)+(AH13*0.5)</f>
        <v>-476468.26490306511</v>
      </c>
    </row>
    <row r="183" spans="1:34" x14ac:dyDescent="0.25">
      <c r="A183" s="1" t="s">
        <v>1258</v>
      </c>
      <c r="H183" s="2">
        <f>+H27</f>
        <v>-289182.51341666665</v>
      </c>
      <c r="I183" s="2">
        <f t="shared" ref="I183:S183" si="128">+I27</f>
        <v>-289182.51341666665</v>
      </c>
      <c r="J183" s="2">
        <f t="shared" si="128"/>
        <v>-239182.51341666662</v>
      </c>
      <c r="K183" s="2">
        <f t="shared" si="128"/>
        <v>-389182.51341666671</v>
      </c>
      <c r="L183" s="2">
        <f t="shared" si="128"/>
        <v>-239182.51341666662</v>
      </c>
      <c r="M183" s="2">
        <f t="shared" si="128"/>
        <v>-239182.51341666662</v>
      </c>
      <c r="N183" s="2">
        <f t="shared" si="128"/>
        <v>-239182.51341666662</v>
      </c>
      <c r="O183" s="2">
        <f t="shared" si="128"/>
        <v>-239182.51341666662</v>
      </c>
      <c r="P183" s="2">
        <f t="shared" si="128"/>
        <v>-289182.51341666665</v>
      </c>
      <c r="Q183" s="2">
        <f t="shared" si="128"/>
        <v>-239182.51341666662</v>
      </c>
      <c r="R183" s="2">
        <f t="shared" si="128"/>
        <v>-239182.51341666662</v>
      </c>
      <c r="S183" s="2">
        <f t="shared" si="128"/>
        <v>-239182.51341666662</v>
      </c>
      <c r="W183" s="2">
        <f>+W27</f>
        <v>0</v>
      </c>
      <c r="X183" s="2">
        <f t="shared" ref="X183:AH183" si="129">+X27</f>
        <v>0</v>
      </c>
      <c r="Y183" s="2">
        <f t="shared" si="129"/>
        <v>0</v>
      </c>
      <c r="Z183" s="2">
        <f t="shared" si="129"/>
        <v>0</v>
      </c>
      <c r="AA183" s="2">
        <f t="shared" si="129"/>
        <v>0</v>
      </c>
      <c r="AB183" s="2">
        <f t="shared" si="129"/>
        <v>0</v>
      </c>
      <c r="AC183" s="2">
        <f t="shared" si="129"/>
        <v>0</v>
      </c>
      <c r="AD183" s="2">
        <f t="shared" si="129"/>
        <v>0</v>
      </c>
      <c r="AE183" s="2">
        <f t="shared" si="129"/>
        <v>0</v>
      </c>
      <c r="AF183" s="2">
        <f t="shared" si="129"/>
        <v>0</v>
      </c>
      <c r="AG183" s="2">
        <f t="shared" si="129"/>
        <v>0</v>
      </c>
      <c r="AH183" s="2">
        <f t="shared" si="129"/>
        <v>0</v>
      </c>
    </row>
    <row r="184" spans="1:34" x14ac:dyDescent="0.25">
      <c r="A184" s="1" t="s">
        <v>1259</v>
      </c>
      <c r="H184" s="2">
        <f>+H37</f>
        <v>-69672.997199999998</v>
      </c>
      <c r="I184" s="2">
        <f t="shared" ref="I184:S184" si="130">+I37</f>
        <v>-69672.997199999998</v>
      </c>
      <c r="J184" s="2">
        <f t="shared" si="130"/>
        <v>-69672.997199999998</v>
      </c>
      <c r="K184" s="2">
        <f t="shared" si="130"/>
        <v>-69672.997199999998</v>
      </c>
      <c r="L184" s="2">
        <f t="shared" si="130"/>
        <v>-69672.997199999998</v>
      </c>
      <c r="M184" s="2">
        <f t="shared" si="130"/>
        <v>-69672.997199999998</v>
      </c>
      <c r="N184" s="2">
        <f t="shared" si="130"/>
        <v>-69672.997199999998</v>
      </c>
      <c r="O184" s="2">
        <f t="shared" si="130"/>
        <v>-69672.997199999998</v>
      </c>
      <c r="P184" s="2">
        <f t="shared" si="130"/>
        <v>-69672.997199999998</v>
      </c>
      <c r="Q184" s="2">
        <f t="shared" si="130"/>
        <v>-69672.997199999998</v>
      </c>
      <c r="R184" s="2">
        <f t="shared" si="130"/>
        <v>-69672.997199999998</v>
      </c>
      <c r="S184" s="2">
        <f t="shared" si="130"/>
        <v>-69672.997199999998</v>
      </c>
      <c r="W184" s="2">
        <f>+W37</f>
        <v>0</v>
      </c>
      <c r="X184" s="2">
        <f t="shared" ref="X184:AH184" si="131">+X37</f>
        <v>0</v>
      </c>
      <c r="Y184" s="2">
        <f t="shared" si="131"/>
        <v>0</v>
      </c>
      <c r="Z184" s="2">
        <f t="shared" si="131"/>
        <v>0</v>
      </c>
      <c r="AA184" s="2">
        <f t="shared" si="131"/>
        <v>0</v>
      </c>
      <c r="AB184" s="2">
        <f t="shared" si="131"/>
        <v>0</v>
      </c>
      <c r="AC184" s="2">
        <f t="shared" si="131"/>
        <v>0</v>
      </c>
      <c r="AD184" s="2">
        <f t="shared" si="131"/>
        <v>0</v>
      </c>
      <c r="AE184" s="2">
        <f t="shared" si="131"/>
        <v>0</v>
      </c>
      <c r="AF184" s="2">
        <f t="shared" si="131"/>
        <v>0</v>
      </c>
      <c r="AG184" s="2">
        <f t="shared" si="131"/>
        <v>0</v>
      </c>
      <c r="AH184" s="2">
        <f t="shared" si="131"/>
        <v>0</v>
      </c>
    </row>
    <row r="185" spans="1:34" x14ac:dyDescent="0.25">
      <c r="H185" s="2">
        <f>+H146</f>
        <v>-18819.25</v>
      </c>
      <c r="I185" s="2">
        <f t="shared" ref="I185:S185" si="132">+I146</f>
        <v>-18819.25</v>
      </c>
      <c r="J185" s="2">
        <f t="shared" si="132"/>
        <v>-18819.25</v>
      </c>
      <c r="K185" s="2">
        <f t="shared" si="132"/>
        <v>-18819.25</v>
      </c>
      <c r="L185" s="2">
        <f t="shared" si="132"/>
        <v>-18819.25</v>
      </c>
      <c r="M185" s="2">
        <f t="shared" si="132"/>
        <v>-18819.25</v>
      </c>
      <c r="N185" s="2">
        <f t="shared" si="132"/>
        <v>-18819.25</v>
      </c>
      <c r="O185" s="2">
        <f t="shared" si="132"/>
        <v>-18819.25</v>
      </c>
      <c r="P185" s="2">
        <f t="shared" si="132"/>
        <v>-18819.25</v>
      </c>
      <c r="Q185" s="2">
        <f t="shared" si="132"/>
        <v>-18819.25</v>
      </c>
      <c r="R185" s="2">
        <f t="shared" si="132"/>
        <v>-18819.25</v>
      </c>
      <c r="S185" s="2">
        <f t="shared" si="132"/>
        <v>-18819.25</v>
      </c>
      <c r="W185" s="2">
        <f>+W146</f>
        <v>-18819.25</v>
      </c>
      <c r="X185" s="2">
        <f t="shared" ref="X185:AH185" si="133">+X146</f>
        <v>-18819.25</v>
      </c>
      <c r="Y185" s="2">
        <f t="shared" si="133"/>
        <v>-18819.25</v>
      </c>
      <c r="Z185" s="2">
        <f t="shared" si="133"/>
        <v>-18819.25</v>
      </c>
      <c r="AA185" s="2">
        <f t="shared" si="133"/>
        <v>-18819.25</v>
      </c>
      <c r="AB185" s="2">
        <f t="shared" si="133"/>
        <v>-18819.25</v>
      </c>
      <c r="AC185" s="2">
        <f t="shared" si="133"/>
        <v>-18819.25</v>
      </c>
      <c r="AD185" s="2">
        <f t="shared" si="133"/>
        <v>-18819.25</v>
      </c>
      <c r="AE185" s="2">
        <f t="shared" si="133"/>
        <v>-18819.25</v>
      </c>
      <c r="AF185" s="2">
        <f t="shared" si="133"/>
        <v>-18819.25</v>
      </c>
      <c r="AG185" s="2">
        <f t="shared" si="133"/>
        <v>-18819.25</v>
      </c>
      <c r="AH185" s="2">
        <f t="shared" si="133"/>
        <v>-18819.25</v>
      </c>
    </row>
    <row r="186" spans="1:34" x14ac:dyDescent="0.25">
      <c r="A186" s="1" t="s">
        <v>1262</v>
      </c>
      <c r="H186" s="2">
        <f>+H176+H181</f>
        <v>-247832.76061666664</v>
      </c>
      <c r="I186" s="2">
        <f t="shared" ref="I186:S186" si="134">+I176+I181</f>
        <v>-124841.47370338556</v>
      </c>
      <c r="J186" s="2">
        <f t="shared" si="134"/>
        <v>220263.23059927765</v>
      </c>
      <c r="K186" s="2">
        <f t="shared" si="134"/>
        <v>298097.89978124981</v>
      </c>
      <c r="L186" s="2">
        <f t="shared" si="134"/>
        <v>453445.9384087231</v>
      </c>
      <c r="M186" s="2">
        <f t="shared" si="134"/>
        <v>176140.58006841014</v>
      </c>
      <c r="N186" s="2">
        <f t="shared" si="134"/>
        <v>298593.70938797458</v>
      </c>
      <c r="O186" s="2">
        <f t="shared" si="134"/>
        <v>475602.7705506417</v>
      </c>
      <c r="P186" s="2">
        <f t="shared" si="134"/>
        <v>296389.13215829292</v>
      </c>
      <c r="Q186" s="2">
        <f t="shared" si="134"/>
        <v>109804.68822365708</v>
      </c>
      <c r="R186" s="2">
        <f t="shared" si="134"/>
        <v>143389.89534068014</v>
      </c>
      <c r="S186" s="2">
        <f t="shared" si="134"/>
        <v>255579.81173921726</v>
      </c>
      <c r="W186" s="2">
        <f>+W176+W181</f>
        <v>181180.75</v>
      </c>
      <c r="X186" s="2">
        <f t="shared" ref="X186:AH186" si="135">+X176+X181</f>
        <v>-45997.565086718882</v>
      </c>
      <c r="Y186" s="2">
        <f t="shared" si="135"/>
        <v>532838.63921594433</v>
      </c>
      <c r="Z186" s="2">
        <f t="shared" si="135"/>
        <v>760673.30839791638</v>
      </c>
      <c r="AA186" s="2">
        <f t="shared" si="135"/>
        <v>766021.34702538978</v>
      </c>
      <c r="AB186" s="2">
        <f t="shared" si="135"/>
        <v>488715.98868507682</v>
      </c>
      <c r="AC186" s="2">
        <f t="shared" si="135"/>
        <v>611169.11800464126</v>
      </c>
      <c r="AD186" s="2">
        <f t="shared" si="135"/>
        <v>788178.17916730838</v>
      </c>
      <c r="AE186" s="2">
        <f t="shared" si="135"/>
        <v>658964.54077495961</v>
      </c>
      <c r="AF186" s="2">
        <f t="shared" si="135"/>
        <v>422380.09684032365</v>
      </c>
      <c r="AG186" s="2">
        <f t="shared" si="135"/>
        <v>455965.30395734671</v>
      </c>
      <c r="AH186" s="2">
        <f t="shared" si="135"/>
        <v>568155.22035588394</v>
      </c>
    </row>
    <row r="187" spans="1:34" x14ac:dyDescent="0.25">
      <c r="A187" s="1" t="s">
        <v>1263</v>
      </c>
      <c r="H187" s="2">
        <f>+H186</f>
        <v>-247832.76061666664</v>
      </c>
      <c r="I187" s="2">
        <f>+I186+H187</f>
        <v>-372674.2343200522</v>
      </c>
      <c r="J187" s="2">
        <f t="shared" ref="J187:S187" si="136">+J186+I187</f>
        <v>-152411.00372077455</v>
      </c>
      <c r="K187" s="2">
        <f t="shared" si="136"/>
        <v>145686.89606047526</v>
      </c>
      <c r="L187" s="2">
        <f t="shared" si="136"/>
        <v>599132.83446919837</v>
      </c>
      <c r="M187" s="2">
        <f t="shared" si="136"/>
        <v>775273.41453760851</v>
      </c>
      <c r="N187" s="2">
        <f t="shared" si="136"/>
        <v>1073867.123925583</v>
      </c>
      <c r="O187" s="2">
        <f t="shared" si="136"/>
        <v>1549469.8944762247</v>
      </c>
      <c r="P187" s="2">
        <f t="shared" si="136"/>
        <v>1845859.0266345176</v>
      </c>
      <c r="Q187" s="2">
        <f t="shared" si="136"/>
        <v>1955663.7148581748</v>
      </c>
      <c r="R187" s="2">
        <f t="shared" si="136"/>
        <v>2099053.6101988549</v>
      </c>
      <c r="S187" s="2">
        <f t="shared" si="136"/>
        <v>2354633.421938072</v>
      </c>
      <c r="W187" s="2">
        <f>+W186</f>
        <v>181180.75</v>
      </c>
      <c r="X187" s="2">
        <f>+X186+W187</f>
        <v>135183.18491328112</v>
      </c>
      <c r="Y187" s="2">
        <f t="shared" ref="Y187" si="137">+Y186+X187</f>
        <v>668021.82412922545</v>
      </c>
      <c r="Z187" s="2">
        <f t="shared" ref="Z187" si="138">+Z186+Y187</f>
        <v>1428695.1325271418</v>
      </c>
      <c r="AA187" s="2">
        <f t="shared" ref="AA187" si="139">+AA186+Z187</f>
        <v>2194716.4795525316</v>
      </c>
      <c r="AB187" s="2">
        <f t="shared" ref="AB187" si="140">+AB186+AA187</f>
        <v>2683432.4682376087</v>
      </c>
      <c r="AC187" s="2">
        <f t="shared" ref="AC187" si="141">+AC186+AB187</f>
        <v>3294601.5862422502</v>
      </c>
      <c r="AD187" s="2">
        <f t="shared" ref="AD187" si="142">+AD186+AC187</f>
        <v>4082779.7654095585</v>
      </c>
      <c r="AE187" s="2">
        <f t="shared" ref="AE187" si="143">+AE186+AD187</f>
        <v>4741744.3061845182</v>
      </c>
      <c r="AF187" s="2">
        <f t="shared" ref="AF187" si="144">+AF186+AE187</f>
        <v>5164124.403024842</v>
      </c>
      <c r="AG187" s="2">
        <f t="shared" ref="AG187" si="145">+AG186+AF187</f>
        <v>5620089.7069821889</v>
      </c>
      <c r="AH187" s="2">
        <f t="shared" ref="AH187" si="146">+AH186+AG187</f>
        <v>6188244.927338073</v>
      </c>
    </row>
  </sheetData>
  <pageMargins left="0.7" right="0.7" top="0.75" bottom="0.75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8EEF89-D9D3-4078-A399-CA955738F5E5}">
  <dimension ref="A1:AI187"/>
  <sheetViews>
    <sheetView zoomScale="110" zoomScaleNormal="110" workbookViewId="0">
      <pane xSplit="1" ySplit="1" topLeftCell="B21" activePane="bottomRight" state="frozen"/>
      <selection pane="topRight" activeCell="B1" sqref="B1"/>
      <selection pane="bottomLeft" activeCell="A2" sqref="A2"/>
      <selection pane="bottomRight" activeCell="X6" sqref="X6"/>
    </sheetView>
  </sheetViews>
  <sheetFormatPr baseColWidth="10" defaultColWidth="12.7109375" defaultRowHeight="15.75" outlineLevelRow="2" outlineLevelCol="1" x14ac:dyDescent="0.25"/>
  <cols>
    <col min="1" max="1" width="73.140625" style="1" customWidth="1"/>
    <col min="2" max="2" width="20.42578125" style="2" hidden="1" customWidth="1" outlineLevel="1"/>
    <col min="3" max="3" width="24.42578125" style="2" hidden="1" customWidth="1" outlineLevel="1"/>
    <col min="4" max="4" width="20.42578125" style="2" hidden="1" customWidth="1" outlineLevel="1"/>
    <col min="5" max="5" width="24.42578125" style="2" hidden="1" customWidth="1" outlineLevel="1"/>
    <col min="6" max="6" width="20.42578125" style="2" hidden="1" customWidth="1" outlineLevel="1"/>
    <col min="7" max="7" width="24.42578125" style="2" hidden="1" customWidth="1" outlineLevel="1"/>
    <col min="8" max="8" width="14.140625" style="1" hidden="1" customWidth="1" outlineLevel="1"/>
    <col min="9" max="9" width="19" style="1" hidden="1" customWidth="1" outlineLevel="1"/>
    <col min="10" max="10" width="14.5703125" style="1" hidden="1" customWidth="1" outlineLevel="1"/>
    <col min="11" max="11" width="15.7109375" style="1" hidden="1" customWidth="1" outlineLevel="1"/>
    <col min="12" max="12" width="14.85546875" style="1" hidden="1" customWidth="1" outlineLevel="1"/>
    <col min="13" max="13" width="15.7109375" style="1" hidden="1" customWidth="1" outlineLevel="1"/>
    <col min="14" max="19" width="12.7109375" style="1" hidden="1" customWidth="1" outlineLevel="1"/>
    <col min="20" max="20" width="18.140625" style="1" hidden="1" customWidth="1" outlineLevel="1"/>
    <col min="21" max="21" width="19.7109375" style="1" customWidth="1" collapsed="1"/>
    <col min="22" max="22" width="23.7109375" style="1" customWidth="1"/>
    <col min="23" max="23" width="14.140625" style="1" customWidth="1"/>
    <col min="24" max="24" width="19" style="1" customWidth="1"/>
    <col min="25" max="25" width="14.5703125" style="1" customWidth="1"/>
    <col min="26" max="26" width="15.7109375" style="1" customWidth="1"/>
    <col min="27" max="27" width="14.85546875" style="1" customWidth="1"/>
    <col min="28" max="28" width="15.7109375" style="1" customWidth="1"/>
    <col min="29" max="29" width="14.5703125" style="1" customWidth="1"/>
    <col min="30" max="30" width="15.5703125" style="1" customWidth="1"/>
    <col min="31" max="31" width="16.28515625" style="1" customWidth="1"/>
    <col min="32" max="34" width="12.7109375" style="1"/>
    <col min="35" max="35" width="18.140625" style="1" customWidth="1"/>
    <col min="36" max="16384" width="12.7109375" style="1"/>
  </cols>
  <sheetData>
    <row r="1" spans="1:35" s="3" customFormat="1" x14ac:dyDescent="0.25">
      <c r="A1" s="3" t="s">
        <v>0</v>
      </c>
      <c r="B1" s="4" t="s">
        <v>1</v>
      </c>
      <c r="C1" s="3" t="s">
        <v>2</v>
      </c>
      <c r="D1" s="4" t="s">
        <v>3</v>
      </c>
      <c r="E1" s="3" t="s">
        <v>4</v>
      </c>
      <c r="F1" s="4" t="s">
        <v>1192</v>
      </c>
      <c r="G1" s="3" t="s">
        <v>1193</v>
      </c>
      <c r="H1" s="20" t="s">
        <v>187</v>
      </c>
      <c r="I1" s="16" t="s">
        <v>188</v>
      </c>
      <c r="J1" s="16" t="s">
        <v>189</v>
      </c>
      <c r="K1" s="16" t="s">
        <v>190</v>
      </c>
      <c r="L1" s="16" t="s">
        <v>191</v>
      </c>
      <c r="M1" s="16" t="s">
        <v>192</v>
      </c>
      <c r="N1" s="16" t="s">
        <v>193</v>
      </c>
      <c r="O1" s="16" t="s">
        <v>194</v>
      </c>
      <c r="P1" s="16" t="s">
        <v>195</v>
      </c>
      <c r="Q1" s="16" t="s">
        <v>196</v>
      </c>
      <c r="R1" s="16" t="s">
        <v>197</v>
      </c>
      <c r="S1" s="16" t="s">
        <v>198</v>
      </c>
      <c r="T1" s="3" t="s">
        <v>186</v>
      </c>
      <c r="U1" s="4" t="s">
        <v>1265</v>
      </c>
      <c r="V1" s="3" t="s">
        <v>1266</v>
      </c>
      <c r="W1" s="20" t="s">
        <v>187</v>
      </c>
      <c r="X1" s="16" t="s">
        <v>188</v>
      </c>
      <c r="Y1" s="16" t="s">
        <v>189</v>
      </c>
      <c r="Z1" s="16" t="s">
        <v>190</v>
      </c>
      <c r="AA1" s="16" t="s">
        <v>191</v>
      </c>
      <c r="AB1" s="16" t="s">
        <v>192</v>
      </c>
      <c r="AC1" s="16" t="s">
        <v>193</v>
      </c>
      <c r="AD1" s="16" t="s">
        <v>194</v>
      </c>
      <c r="AE1" s="16" t="s">
        <v>195</v>
      </c>
      <c r="AF1" s="16" t="s">
        <v>196</v>
      </c>
      <c r="AG1" s="16" t="s">
        <v>197</v>
      </c>
      <c r="AH1" s="16" t="s">
        <v>198</v>
      </c>
      <c r="AI1" s="3" t="s">
        <v>186</v>
      </c>
    </row>
    <row r="2" spans="1:35" s="5" customFormat="1" x14ac:dyDescent="0.25">
      <c r="A2" s="5" t="s">
        <v>5</v>
      </c>
      <c r="B2" s="6">
        <v>11033403.09</v>
      </c>
      <c r="C2" s="7">
        <f t="shared" ref="C2:C37" si="0">+B2/$B$2</f>
        <v>1</v>
      </c>
      <c r="D2" s="6">
        <f>SUM(D3)</f>
        <v>8410734.8800000008</v>
      </c>
      <c r="E2" s="7">
        <f>+D2/$D$2</f>
        <v>1</v>
      </c>
      <c r="F2" s="6">
        <f>SUM(F3:F8)</f>
        <v>11800000</v>
      </c>
      <c r="G2" s="7">
        <f>+F2/$F$2</f>
        <v>1</v>
      </c>
      <c r="H2" s="6">
        <f>SUM(H3:H8)</f>
        <v>1190613.9054883944</v>
      </c>
      <c r="I2" s="6">
        <f t="shared" ref="I2:S2" si="1">SUM(I3:I8)</f>
        <v>1423862.433770909</v>
      </c>
      <c r="J2" s="6">
        <f t="shared" si="1"/>
        <v>1260128.6883315793</v>
      </c>
      <c r="K2" s="6">
        <f t="shared" si="1"/>
        <v>954498.99326001084</v>
      </c>
      <c r="L2" s="6">
        <f t="shared" si="1"/>
        <v>1384250.8422396868</v>
      </c>
      <c r="M2" s="6">
        <f t="shared" si="1"/>
        <v>1134392.0294491937</v>
      </c>
      <c r="N2" s="6">
        <f t="shared" si="1"/>
        <v>1129366.2253963901</v>
      </c>
      <c r="O2" s="6">
        <f t="shared" si="1"/>
        <v>766944.62433364184</v>
      </c>
      <c r="P2" s="6">
        <f t="shared" si="1"/>
        <v>1136842.1223596609</v>
      </c>
      <c r="Q2" s="6">
        <f t="shared" si="1"/>
        <v>990043.34815823683</v>
      </c>
      <c r="R2" s="6">
        <f t="shared" si="1"/>
        <v>1010871.7871397217</v>
      </c>
      <c r="S2" s="6">
        <f t="shared" si="1"/>
        <v>987339.88837508019</v>
      </c>
      <c r="T2" s="6">
        <f>SUM(H2:S2)</f>
        <v>13369154.888302505</v>
      </c>
      <c r="U2" s="6">
        <f>SUM(W2:AH2)</f>
        <v>644000</v>
      </c>
      <c r="W2" s="6">
        <f>SUM(W3:W8)</f>
        <v>53666.666666666664</v>
      </c>
      <c r="X2" s="6">
        <f t="shared" ref="X2:AH2" si="2">SUM(X3:X8)</f>
        <v>53666.666666666664</v>
      </c>
      <c r="Y2" s="6">
        <f t="shared" si="2"/>
        <v>53666.666666666664</v>
      </c>
      <c r="Z2" s="6">
        <f t="shared" si="2"/>
        <v>53666.666666666664</v>
      </c>
      <c r="AA2" s="6">
        <f t="shared" si="2"/>
        <v>53666.666666666664</v>
      </c>
      <c r="AB2" s="6">
        <f t="shared" si="2"/>
        <v>53666.666666666664</v>
      </c>
      <c r="AC2" s="6">
        <f t="shared" si="2"/>
        <v>53666.666666666664</v>
      </c>
      <c r="AD2" s="6">
        <f t="shared" si="2"/>
        <v>53666.666666666664</v>
      </c>
      <c r="AE2" s="6">
        <f t="shared" si="2"/>
        <v>53666.666666666664</v>
      </c>
      <c r="AF2" s="6">
        <f t="shared" si="2"/>
        <v>53666.666666666664</v>
      </c>
      <c r="AG2" s="6">
        <f t="shared" si="2"/>
        <v>53666.666666666664</v>
      </c>
      <c r="AH2" s="6">
        <f t="shared" si="2"/>
        <v>53666.666666666664</v>
      </c>
      <c r="AI2" s="6">
        <f>SUM(W2:AH2)</f>
        <v>644000</v>
      </c>
    </row>
    <row r="3" spans="1:35" outlineLevel="1" x14ac:dyDescent="0.25">
      <c r="A3" s="1" t="s">
        <v>6</v>
      </c>
      <c r="B3" s="2">
        <v>10636261.33</v>
      </c>
      <c r="C3" s="8">
        <f t="shared" si="0"/>
        <v>0.96400550611987113</v>
      </c>
      <c r="D3" s="2">
        <v>8410734.8800000008</v>
      </c>
      <c r="E3" s="8">
        <f>+D3/$D$2</f>
        <v>1</v>
      </c>
      <c r="F3" s="2">
        <v>11800000</v>
      </c>
      <c r="G3" s="7">
        <f t="shared" ref="G3:G13" si="3">+F3/$F$2</f>
        <v>1</v>
      </c>
      <c r="H3" s="2">
        <f>+'presupuesto ventas cenval indus'!AQ997</f>
        <v>1190613.9054883944</v>
      </c>
      <c r="I3" s="2">
        <f>+'presupuesto ventas cenval indus'!AR997</f>
        <v>1423862.433770909</v>
      </c>
      <c r="J3" s="2">
        <f>+'presupuesto ventas cenval indus'!AS997</f>
        <v>1260128.6883315793</v>
      </c>
      <c r="K3" s="2">
        <f>+'presupuesto ventas cenval indus'!AT997</f>
        <v>954498.99326001084</v>
      </c>
      <c r="L3" s="2">
        <f>+'presupuesto ventas cenval indus'!AU997</f>
        <v>1384250.8422396868</v>
      </c>
      <c r="M3" s="2">
        <f>+'presupuesto ventas cenval indus'!AV997</f>
        <v>1134392.0294491937</v>
      </c>
      <c r="N3" s="2">
        <f>+'presupuesto ventas cenval indus'!AW997</f>
        <v>1129366.2253963901</v>
      </c>
      <c r="O3" s="2">
        <f>+'presupuesto ventas cenval indus'!AX997</f>
        <v>766944.62433364184</v>
      </c>
      <c r="P3" s="2">
        <f>+'presupuesto ventas cenval indus'!AY997</f>
        <v>1136842.1223596609</v>
      </c>
      <c r="Q3" s="2">
        <f>+'presupuesto ventas cenval indus'!AZ997</f>
        <v>990043.34815823683</v>
      </c>
      <c r="R3" s="2">
        <f>+'presupuesto ventas cenval indus'!BA997</f>
        <v>1010871.7871397217</v>
      </c>
      <c r="S3" s="2">
        <f>+'presupuesto ventas cenval indus'!BB997</f>
        <v>987339.88837508019</v>
      </c>
      <c r="T3" s="6">
        <f t="shared" ref="T3:T66" si="4">SUM(H3:S3)</f>
        <v>13369154.888302505</v>
      </c>
      <c r="U3" s="56">
        <v>0</v>
      </c>
      <c r="W3" s="2">
        <v>0</v>
      </c>
      <c r="X3" s="2">
        <f t="shared" ref="X3:AH3" si="5">+$F$4/12</f>
        <v>0</v>
      </c>
      <c r="Y3" s="2">
        <f t="shared" si="5"/>
        <v>0</v>
      </c>
      <c r="Z3" s="2">
        <f t="shared" si="5"/>
        <v>0</v>
      </c>
      <c r="AA3" s="2">
        <f t="shared" si="5"/>
        <v>0</v>
      </c>
      <c r="AB3" s="2">
        <f t="shared" si="5"/>
        <v>0</v>
      </c>
      <c r="AC3" s="2">
        <f t="shared" si="5"/>
        <v>0</v>
      </c>
      <c r="AD3" s="2">
        <f t="shared" si="5"/>
        <v>0</v>
      </c>
      <c r="AE3" s="2">
        <f t="shared" si="5"/>
        <v>0</v>
      </c>
      <c r="AF3" s="2">
        <f t="shared" si="5"/>
        <v>0</v>
      </c>
      <c r="AG3" s="2">
        <f t="shared" si="5"/>
        <v>0</v>
      </c>
      <c r="AH3" s="2">
        <f t="shared" si="5"/>
        <v>0</v>
      </c>
      <c r="AI3" s="6">
        <f t="shared" ref="AI3:AI31" si="6">SUM(W3:AH3)</f>
        <v>0</v>
      </c>
    </row>
    <row r="4" spans="1:35" s="5" customFormat="1" outlineLevel="1" x14ac:dyDescent="0.25">
      <c r="A4" s="1" t="s">
        <v>7</v>
      </c>
      <c r="B4" s="2">
        <v>356139.25</v>
      </c>
      <c r="C4" s="8">
        <f t="shared" si="0"/>
        <v>3.2278277798332485E-2</v>
      </c>
      <c r="D4" s="2"/>
      <c r="E4" s="8">
        <f>+D4/$D$2</f>
        <v>0</v>
      </c>
      <c r="F4" s="2"/>
      <c r="G4" s="7">
        <f t="shared" si="3"/>
        <v>0</v>
      </c>
      <c r="H4" s="2">
        <f>+$F$4/12</f>
        <v>0</v>
      </c>
      <c r="I4" s="2">
        <f t="shared" ref="I4:S4" si="7">+$F$4/12</f>
        <v>0</v>
      </c>
      <c r="J4" s="2">
        <f t="shared" si="7"/>
        <v>0</v>
      </c>
      <c r="K4" s="2">
        <f t="shared" si="7"/>
        <v>0</v>
      </c>
      <c r="L4" s="2">
        <f t="shared" si="7"/>
        <v>0</v>
      </c>
      <c r="M4" s="2">
        <f t="shared" si="7"/>
        <v>0</v>
      </c>
      <c r="N4" s="2">
        <f t="shared" si="7"/>
        <v>0</v>
      </c>
      <c r="O4" s="2">
        <f t="shared" si="7"/>
        <v>0</v>
      </c>
      <c r="P4" s="2">
        <f t="shared" si="7"/>
        <v>0</v>
      </c>
      <c r="Q4" s="2">
        <f t="shared" si="7"/>
        <v>0</v>
      </c>
      <c r="R4" s="2">
        <f t="shared" si="7"/>
        <v>0</v>
      </c>
      <c r="S4" s="2">
        <f t="shared" si="7"/>
        <v>0</v>
      </c>
      <c r="T4" s="6">
        <f t="shared" si="4"/>
        <v>0</v>
      </c>
      <c r="U4" s="56">
        <v>608000</v>
      </c>
      <c r="W4" s="2">
        <f>+$U4/12</f>
        <v>50666.666666666664</v>
      </c>
      <c r="X4" s="2">
        <f t="shared" ref="X4:AH4" si="8">+$U4/12</f>
        <v>50666.666666666664</v>
      </c>
      <c r="Y4" s="2">
        <f t="shared" si="8"/>
        <v>50666.666666666664</v>
      </c>
      <c r="Z4" s="2">
        <f t="shared" si="8"/>
        <v>50666.666666666664</v>
      </c>
      <c r="AA4" s="2">
        <f t="shared" si="8"/>
        <v>50666.666666666664</v>
      </c>
      <c r="AB4" s="2">
        <f t="shared" si="8"/>
        <v>50666.666666666664</v>
      </c>
      <c r="AC4" s="2">
        <f t="shared" si="8"/>
        <v>50666.666666666664</v>
      </c>
      <c r="AD4" s="2">
        <f t="shared" si="8"/>
        <v>50666.666666666664</v>
      </c>
      <c r="AE4" s="2">
        <f t="shared" si="8"/>
        <v>50666.666666666664</v>
      </c>
      <c r="AF4" s="2">
        <f t="shared" si="8"/>
        <v>50666.666666666664</v>
      </c>
      <c r="AG4" s="2">
        <f t="shared" si="8"/>
        <v>50666.666666666664</v>
      </c>
      <c r="AH4" s="2">
        <f t="shared" si="8"/>
        <v>50666.666666666664</v>
      </c>
      <c r="AI4" s="6">
        <f t="shared" si="6"/>
        <v>608000</v>
      </c>
    </row>
    <row r="5" spans="1:35" outlineLevel="1" x14ac:dyDescent="0.25">
      <c r="A5" s="1" t="s">
        <v>8</v>
      </c>
      <c r="B5" s="2">
        <v>41002.51</v>
      </c>
      <c r="C5" s="8">
        <f t="shared" si="0"/>
        <v>3.7162160817963918E-3</v>
      </c>
      <c r="E5" s="8">
        <f>+D5/$D$2</f>
        <v>0</v>
      </c>
      <c r="G5" s="7">
        <f t="shared" si="3"/>
        <v>0</v>
      </c>
      <c r="H5" s="2">
        <f>+$F$5/12</f>
        <v>0</v>
      </c>
      <c r="I5" s="2">
        <f t="shared" ref="I5:S5" si="9">+$F$5/12</f>
        <v>0</v>
      </c>
      <c r="J5" s="2">
        <f t="shared" si="9"/>
        <v>0</v>
      </c>
      <c r="K5" s="2">
        <f t="shared" si="9"/>
        <v>0</v>
      </c>
      <c r="L5" s="2">
        <f t="shared" si="9"/>
        <v>0</v>
      </c>
      <c r="M5" s="2">
        <f t="shared" si="9"/>
        <v>0</v>
      </c>
      <c r="N5" s="2">
        <f t="shared" si="9"/>
        <v>0</v>
      </c>
      <c r="O5" s="2">
        <f t="shared" si="9"/>
        <v>0</v>
      </c>
      <c r="P5" s="2">
        <f t="shared" si="9"/>
        <v>0</v>
      </c>
      <c r="Q5" s="2">
        <f t="shared" si="9"/>
        <v>0</v>
      </c>
      <c r="R5" s="2">
        <f t="shared" si="9"/>
        <v>0</v>
      </c>
      <c r="S5" s="2">
        <f t="shared" si="9"/>
        <v>0</v>
      </c>
      <c r="T5" s="6">
        <f t="shared" si="4"/>
        <v>0</v>
      </c>
      <c r="U5" s="56">
        <v>36000</v>
      </c>
      <c r="W5" s="2">
        <f>+$U5/12</f>
        <v>3000</v>
      </c>
      <c r="X5" s="2">
        <f t="shared" ref="X5:AH5" si="10">+$U5/12</f>
        <v>3000</v>
      </c>
      <c r="Y5" s="2">
        <f t="shared" si="10"/>
        <v>3000</v>
      </c>
      <c r="Z5" s="2">
        <f t="shared" si="10"/>
        <v>3000</v>
      </c>
      <c r="AA5" s="2">
        <f t="shared" si="10"/>
        <v>3000</v>
      </c>
      <c r="AB5" s="2">
        <f t="shared" si="10"/>
        <v>3000</v>
      </c>
      <c r="AC5" s="2">
        <f t="shared" si="10"/>
        <v>3000</v>
      </c>
      <c r="AD5" s="2">
        <f t="shared" si="10"/>
        <v>3000</v>
      </c>
      <c r="AE5" s="2">
        <f t="shared" si="10"/>
        <v>3000</v>
      </c>
      <c r="AF5" s="2">
        <f t="shared" si="10"/>
        <v>3000</v>
      </c>
      <c r="AG5" s="2">
        <f t="shared" si="10"/>
        <v>3000</v>
      </c>
      <c r="AH5" s="2">
        <f t="shared" si="10"/>
        <v>3000</v>
      </c>
      <c r="AI5" s="6">
        <f t="shared" si="6"/>
        <v>36000</v>
      </c>
    </row>
    <row r="6" spans="1:35" outlineLevel="1" x14ac:dyDescent="0.25">
      <c r="A6" s="1" t="s">
        <v>9</v>
      </c>
      <c r="C6" s="8">
        <f t="shared" si="0"/>
        <v>0</v>
      </c>
      <c r="E6" s="2">
        <v>3</v>
      </c>
      <c r="G6" s="7">
        <f t="shared" si="3"/>
        <v>0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6">
        <f t="shared" si="4"/>
        <v>0</v>
      </c>
      <c r="U6" s="56">
        <f t="shared" ref="U6:U37" si="11">SUM(W6:AH6)</f>
        <v>0</v>
      </c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6">
        <f t="shared" si="6"/>
        <v>0</v>
      </c>
    </row>
    <row r="7" spans="1:35" outlineLevel="1" x14ac:dyDescent="0.25">
      <c r="A7" s="9" t="s">
        <v>10</v>
      </c>
      <c r="C7" s="8">
        <f t="shared" si="0"/>
        <v>0</v>
      </c>
      <c r="E7" s="2">
        <v>4</v>
      </c>
      <c r="G7" s="7">
        <f t="shared" si="3"/>
        <v>0</v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6">
        <f t="shared" si="4"/>
        <v>0</v>
      </c>
      <c r="U7" s="56">
        <f t="shared" si="11"/>
        <v>0</v>
      </c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6">
        <f t="shared" si="6"/>
        <v>0</v>
      </c>
    </row>
    <row r="8" spans="1:35" outlineLevel="1" x14ac:dyDescent="0.25">
      <c r="A8" s="9" t="s">
        <v>11</v>
      </c>
      <c r="C8" s="8">
        <f t="shared" si="0"/>
        <v>0</v>
      </c>
      <c r="E8" s="2">
        <v>5</v>
      </c>
      <c r="G8" s="7">
        <f t="shared" si="3"/>
        <v>0</v>
      </c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6">
        <f t="shared" si="4"/>
        <v>0</v>
      </c>
      <c r="U8" s="56">
        <f t="shared" si="11"/>
        <v>0</v>
      </c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6">
        <f t="shared" si="6"/>
        <v>0</v>
      </c>
    </row>
    <row r="9" spans="1:35" s="5" customFormat="1" outlineLevel="1" x14ac:dyDescent="0.25">
      <c r="A9" s="5" t="s">
        <v>12</v>
      </c>
      <c r="B9" s="6">
        <v>-338099.66</v>
      </c>
      <c r="C9" s="7">
        <f t="shared" si="0"/>
        <v>-3.0643279978271869E-2</v>
      </c>
      <c r="D9" s="6">
        <v>0</v>
      </c>
      <c r="E9" s="7">
        <f t="shared" ref="E9:E37" si="12">+D9/$D$2</f>
        <v>0</v>
      </c>
      <c r="F9" s="6">
        <f>+F10+F11</f>
        <v>0</v>
      </c>
      <c r="G9" s="7">
        <f t="shared" si="3"/>
        <v>0</v>
      </c>
      <c r="H9" s="6">
        <f>+H10+H11</f>
        <v>0</v>
      </c>
      <c r="I9" s="6">
        <f t="shared" ref="I9:S9" si="13">+I10+I11</f>
        <v>0</v>
      </c>
      <c r="J9" s="6">
        <f t="shared" si="13"/>
        <v>0</v>
      </c>
      <c r="K9" s="6">
        <f t="shared" si="13"/>
        <v>0</v>
      </c>
      <c r="L9" s="6">
        <f t="shared" si="13"/>
        <v>0</v>
      </c>
      <c r="M9" s="6">
        <f t="shared" si="13"/>
        <v>0</v>
      </c>
      <c r="N9" s="6">
        <f t="shared" si="13"/>
        <v>0</v>
      </c>
      <c r="O9" s="6">
        <f t="shared" si="13"/>
        <v>0</v>
      </c>
      <c r="P9" s="6">
        <f t="shared" si="13"/>
        <v>0</v>
      </c>
      <c r="Q9" s="6">
        <f t="shared" si="13"/>
        <v>0</v>
      </c>
      <c r="R9" s="6">
        <f t="shared" si="13"/>
        <v>0</v>
      </c>
      <c r="S9" s="6">
        <f t="shared" si="13"/>
        <v>0</v>
      </c>
      <c r="T9" s="6">
        <f t="shared" si="4"/>
        <v>0</v>
      </c>
      <c r="U9" s="6">
        <f t="shared" si="11"/>
        <v>0</v>
      </c>
      <c r="W9" s="6">
        <f>+W10+W11</f>
        <v>0</v>
      </c>
      <c r="X9" s="6">
        <f t="shared" ref="X9:AH9" si="14">+X10+X11</f>
        <v>0</v>
      </c>
      <c r="Y9" s="6">
        <f t="shared" si="14"/>
        <v>0</v>
      </c>
      <c r="Z9" s="6">
        <f t="shared" si="14"/>
        <v>0</v>
      </c>
      <c r="AA9" s="6">
        <f t="shared" si="14"/>
        <v>0</v>
      </c>
      <c r="AB9" s="6">
        <f t="shared" si="14"/>
        <v>0</v>
      </c>
      <c r="AC9" s="6">
        <f t="shared" si="14"/>
        <v>0</v>
      </c>
      <c r="AD9" s="6">
        <f t="shared" si="14"/>
        <v>0</v>
      </c>
      <c r="AE9" s="6">
        <f t="shared" si="14"/>
        <v>0</v>
      </c>
      <c r="AF9" s="6">
        <f t="shared" si="14"/>
        <v>0</v>
      </c>
      <c r="AG9" s="6">
        <f t="shared" si="14"/>
        <v>0</v>
      </c>
      <c r="AH9" s="6">
        <f t="shared" si="14"/>
        <v>0</v>
      </c>
      <c r="AI9" s="6">
        <f t="shared" si="6"/>
        <v>0</v>
      </c>
    </row>
    <row r="10" spans="1:35" outlineLevel="1" x14ac:dyDescent="0.25">
      <c r="A10" s="1" t="s">
        <v>13</v>
      </c>
      <c r="B10" s="2">
        <v>-1399440.38</v>
      </c>
      <c r="C10" s="8">
        <f t="shared" si="0"/>
        <v>-0.12683669476993611</v>
      </c>
      <c r="D10" s="2">
        <v>0</v>
      </c>
      <c r="E10" s="8">
        <f t="shared" si="12"/>
        <v>0</v>
      </c>
      <c r="F10" s="2">
        <v>0</v>
      </c>
      <c r="G10" s="7">
        <f t="shared" si="3"/>
        <v>0</v>
      </c>
      <c r="H10" s="2">
        <v>0</v>
      </c>
      <c r="I10" s="2">
        <v>0</v>
      </c>
      <c r="J10" s="2">
        <v>0</v>
      </c>
      <c r="K10" s="2">
        <v>0</v>
      </c>
      <c r="L10" s="2">
        <v>0</v>
      </c>
      <c r="M10" s="2">
        <v>0</v>
      </c>
      <c r="N10" s="2">
        <v>0</v>
      </c>
      <c r="O10" s="2">
        <v>0</v>
      </c>
      <c r="P10" s="2">
        <v>0</v>
      </c>
      <c r="Q10" s="2">
        <v>0</v>
      </c>
      <c r="R10" s="2">
        <v>0</v>
      </c>
      <c r="S10" s="2">
        <v>0</v>
      </c>
      <c r="T10" s="6">
        <f t="shared" si="4"/>
        <v>0</v>
      </c>
      <c r="U10" s="6">
        <f t="shared" si="11"/>
        <v>0</v>
      </c>
      <c r="W10" s="2">
        <v>0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  <c r="AC10" s="2">
        <v>0</v>
      </c>
      <c r="AD10" s="2">
        <v>0</v>
      </c>
      <c r="AE10" s="2">
        <v>0</v>
      </c>
      <c r="AF10" s="2">
        <v>0</v>
      </c>
      <c r="AG10" s="2">
        <v>0</v>
      </c>
      <c r="AH10" s="2">
        <v>0</v>
      </c>
      <c r="AI10" s="6">
        <f t="shared" si="6"/>
        <v>0</v>
      </c>
    </row>
    <row r="11" spans="1:35" outlineLevel="1" x14ac:dyDescent="0.25">
      <c r="A11" s="1" t="s">
        <v>14</v>
      </c>
      <c r="B11" s="2">
        <v>1061340.72</v>
      </c>
      <c r="C11" s="8">
        <f t="shared" si="0"/>
        <v>9.6193414791664239E-2</v>
      </c>
      <c r="D11" s="2">
        <v>0</v>
      </c>
      <c r="E11" s="8">
        <f t="shared" si="12"/>
        <v>0</v>
      </c>
      <c r="F11" s="2">
        <v>0</v>
      </c>
      <c r="G11" s="7">
        <f t="shared" si="3"/>
        <v>0</v>
      </c>
      <c r="H11" s="2">
        <v>0</v>
      </c>
      <c r="I11" s="2">
        <v>0</v>
      </c>
      <c r="J11" s="2">
        <v>0</v>
      </c>
      <c r="K11" s="2">
        <v>0</v>
      </c>
      <c r="L11" s="2">
        <v>0</v>
      </c>
      <c r="M11" s="2">
        <v>0</v>
      </c>
      <c r="N11" s="2">
        <v>0</v>
      </c>
      <c r="O11" s="2">
        <v>0</v>
      </c>
      <c r="P11" s="2">
        <v>0</v>
      </c>
      <c r="Q11" s="2">
        <v>0</v>
      </c>
      <c r="R11" s="2">
        <v>0</v>
      </c>
      <c r="S11" s="2">
        <v>0</v>
      </c>
      <c r="T11" s="6">
        <f t="shared" si="4"/>
        <v>0</v>
      </c>
      <c r="U11" s="6">
        <f t="shared" si="11"/>
        <v>0</v>
      </c>
      <c r="W11" s="2">
        <v>0</v>
      </c>
      <c r="X11" s="2">
        <v>0</v>
      </c>
      <c r="Y11" s="2">
        <v>0</v>
      </c>
      <c r="Z11" s="2">
        <v>0</v>
      </c>
      <c r="AA11" s="2">
        <v>0</v>
      </c>
      <c r="AB11" s="2">
        <v>0</v>
      </c>
      <c r="AC11" s="2">
        <v>0</v>
      </c>
      <c r="AD11" s="2">
        <v>0</v>
      </c>
      <c r="AE11" s="2">
        <v>0</v>
      </c>
      <c r="AF11" s="2">
        <v>0</v>
      </c>
      <c r="AG11" s="2">
        <v>0</v>
      </c>
      <c r="AH11" s="2">
        <v>0</v>
      </c>
      <c r="AI11" s="6">
        <f t="shared" si="6"/>
        <v>0</v>
      </c>
    </row>
    <row r="12" spans="1:35" x14ac:dyDescent="0.25">
      <c r="A12" s="5" t="s">
        <v>15</v>
      </c>
      <c r="B12" s="6">
        <v>0</v>
      </c>
      <c r="C12" s="7">
        <f t="shared" si="0"/>
        <v>0</v>
      </c>
      <c r="D12" s="6">
        <v>0</v>
      </c>
      <c r="E12" s="7">
        <f t="shared" si="12"/>
        <v>0</v>
      </c>
      <c r="F12" s="6">
        <v>0</v>
      </c>
      <c r="G12" s="7">
        <f t="shared" si="3"/>
        <v>0</v>
      </c>
      <c r="H12" s="6">
        <v>0</v>
      </c>
      <c r="I12" s="6">
        <v>0</v>
      </c>
      <c r="J12" s="6">
        <v>0</v>
      </c>
      <c r="K12" s="6">
        <v>0</v>
      </c>
      <c r="L12" s="6">
        <v>0</v>
      </c>
      <c r="M12" s="6">
        <v>0</v>
      </c>
      <c r="N12" s="6">
        <v>0</v>
      </c>
      <c r="O12" s="6">
        <v>0</v>
      </c>
      <c r="P12" s="6">
        <v>0</v>
      </c>
      <c r="Q12" s="6">
        <v>0</v>
      </c>
      <c r="R12" s="6">
        <v>0</v>
      </c>
      <c r="S12" s="6">
        <v>0</v>
      </c>
      <c r="T12" s="6">
        <f t="shared" si="4"/>
        <v>0</v>
      </c>
      <c r="U12" s="6">
        <f t="shared" si="11"/>
        <v>0</v>
      </c>
      <c r="W12" s="6">
        <v>0</v>
      </c>
      <c r="X12" s="6">
        <v>0</v>
      </c>
      <c r="Y12" s="6">
        <v>0</v>
      </c>
      <c r="Z12" s="6">
        <v>0</v>
      </c>
      <c r="AA12" s="6">
        <v>0</v>
      </c>
      <c r="AB12" s="6">
        <v>0</v>
      </c>
      <c r="AC12" s="6">
        <v>0</v>
      </c>
      <c r="AD12" s="6">
        <v>0</v>
      </c>
      <c r="AE12" s="6">
        <v>0</v>
      </c>
      <c r="AF12" s="6">
        <v>0</v>
      </c>
      <c r="AG12" s="6">
        <v>0</v>
      </c>
      <c r="AH12" s="6">
        <v>0</v>
      </c>
      <c r="AI12" s="6">
        <f t="shared" si="6"/>
        <v>0</v>
      </c>
    </row>
    <row r="13" spans="1:35" x14ac:dyDescent="0.25">
      <c r="A13" s="5" t="s">
        <v>16</v>
      </c>
      <c r="B13" s="6">
        <v>-5045177.9000000004</v>
      </c>
      <c r="C13" s="7">
        <f t="shared" si="0"/>
        <v>-0.45726398816813285</v>
      </c>
      <c r="D13" s="6">
        <v>-4498539.4400000004</v>
      </c>
      <c r="E13" s="7">
        <f t="shared" si="12"/>
        <v>-0.53485688280308752</v>
      </c>
      <c r="F13" s="6">
        <f>SUM(F15:F21)</f>
        <v>-7104782.0290399995</v>
      </c>
      <c r="G13" s="7">
        <f t="shared" si="3"/>
        <v>-0.60210017195254228</v>
      </c>
      <c r="H13" s="6">
        <f>SUM(H15:H21)</f>
        <v>-570939.54208055767</v>
      </c>
      <c r="I13" s="6">
        <f t="shared" ref="I13:S13" si="15">SUM(I15:I21)</f>
        <v>-681470.78958127461</v>
      </c>
      <c r="J13" s="6">
        <f t="shared" si="15"/>
        <v>-603881.03896362567</v>
      </c>
      <c r="K13" s="6">
        <f t="shared" si="15"/>
        <v>-459049.97949984466</v>
      </c>
      <c r="L13" s="6">
        <f t="shared" si="15"/>
        <v>-662699.74455186422</v>
      </c>
      <c r="M13" s="6">
        <f t="shared" si="15"/>
        <v>-544297.25566957227</v>
      </c>
      <c r="N13" s="6">
        <f t="shared" si="15"/>
        <v>-541915.63982084265</v>
      </c>
      <c r="O13" s="6">
        <f t="shared" si="15"/>
        <v>-370172.16953342111</v>
      </c>
      <c r="P13" s="6">
        <f t="shared" si="15"/>
        <v>-545458.29976224352</v>
      </c>
      <c r="Q13" s="6">
        <f t="shared" si="15"/>
        <v>-475893.65228714119</v>
      </c>
      <c r="R13" s="6">
        <f t="shared" si="15"/>
        <v>-485763.78249146824</v>
      </c>
      <c r="S13" s="6">
        <f t="shared" si="15"/>
        <v>-474612.54331466195</v>
      </c>
      <c r="T13" s="6">
        <f t="shared" si="4"/>
        <v>-6416154.4375565173</v>
      </c>
      <c r="U13" s="6">
        <f t="shared" si="11"/>
        <v>-36172.931999999993</v>
      </c>
      <c r="V13" s="23">
        <f>+U13/$U$2</f>
        <v>-5.6169149068322974E-2</v>
      </c>
      <c r="W13" s="6">
        <f>SUM(W15:W21)</f>
        <v>-3014.4109999999996</v>
      </c>
      <c r="X13" s="6">
        <f t="shared" ref="X13:AH13" si="16">SUM(X15:X21)</f>
        <v>-3014.4109999999996</v>
      </c>
      <c r="Y13" s="6">
        <f t="shared" si="16"/>
        <v>-3014.4109999999996</v>
      </c>
      <c r="Z13" s="6">
        <f t="shared" si="16"/>
        <v>-3014.4109999999996</v>
      </c>
      <c r="AA13" s="6">
        <f t="shared" si="16"/>
        <v>-3014.4109999999996</v>
      </c>
      <c r="AB13" s="6">
        <f t="shared" si="16"/>
        <v>-3014.4109999999996</v>
      </c>
      <c r="AC13" s="6">
        <f t="shared" si="16"/>
        <v>-3014.4109999999996</v>
      </c>
      <c r="AD13" s="6">
        <f t="shared" si="16"/>
        <v>-3014.4109999999996</v>
      </c>
      <c r="AE13" s="6">
        <f t="shared" si="16"/>
        <v>-3014.4109999999996</v>
      </c>
      <c r="AF13" s="6">
        <f t="shared" si="16"/>
        <v>-3014.4109999999996</v>
      </c>
      <c r="AG13" s="6">
        <f t="shared" si="16"/>
        <v>-3014.4109999999996</v>
      </c>
      <c r="AH13" s="6">
        <f t="shared" si="16"/>
        <v>-3014.4109999999996</v>
      </c>
      <c r="AI13" s="6">
        <f t="shared" si="6"/>
        <v>-36172.931999999993</v>
      </c>
    </row>
    <row r="14" spans="1:35" outlineLevel="1" x14ac:dyDescent="0.25">
      <c r="A14" s="9" t="s">
        <v>17</v>
      </c>
      <c r="B14" s="6"/>
      <c r="C14" s="8">
        <f t="shared" si="0"/>
        <v>0</v>
      </c>
      <c r="D14" s="6"/>
      <c r="E14" s="8">
        <f t="shared" si="12"/>
        <v>0</v>
      </c>
      <c r="F14" s="6"/>
      <c r="G14" s="8">
        <f t="shared" ref="G14:G37" si="17">+F14/$D$2</f>
        <v>0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>
        <f t="shared" si="4"/>
        <v>0</v>
      </c>
      <c r="U14" s="6">
        <f t="shared" si="11"/>
        <v>0</v>
      </c>
      <c r="V14" s="23">
        <f t="shared" ref="V14:V77" si="18">+U14/$U$2</f>
        <v>0</v>
      </c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>
        <f t="shared" si="6"/>
        <v>0</v>
      </c>
    </row>
    <row r="15" spans="1:35" outlineLevel="1" x14ac:dyDescent="0.25">
      <c r="A15" s="1" t="s">
        <v>18</v>
      </c>
      <c r="B15" s="2">
        <v>-1925072.66</v>
      </c>
      <c r="C15" s="8">
        <f t="shared" si="0"/>
        <v>-0.17447678148773227</v>
      </c>
      <c r="D15" s="2">
        <v>-1426913.3</v>
      </c>
      <c r="E15" s="8">
        <f t="shared" si="12"/>
        <v>-0.16965381983363623</v>
      </c>
      <c r="F15" s="2">
        <f>-'presupuesto ventas cenval indus'!P999</f>
        <v>-2536576</v>
      </c>
      <c r="G15" s="8">
        <f t="shared" si="17"/>
        <v>-0.30158791546643066</v>
      </c>
      <c r="H15" s="2">
        <f>-'presupuesto ventas cenval indus'!Q998</f>
        <v>-177741.00129342597</v>
      </c>
      <c r="I15" s="2">
        <f>-'presupuesto ventas cenval indus'!R998</f>
        <v>-212561.54788375532</v>
      </c>
      <c r="J15" s="2">
        <f>-'presupuesto ventas cenval indus'!S998</f>
        <v>-188118.52758493563</v>
      </c>
      <c r="K15" s="2">
        <f>-'presupuesto ventas cenval indus'!T998</f>
        <v>-142492.54608361816</v>
      </c>
      <c r="L15" s="2">
        <f>-'presupuesto ventas cenval indus'!U998</f>
        <v>-206648.12464123257</v>
      </c>
      <c r="M15" s="2">
        <f>-'presupuesto ventas cenval indus'!V998</f>
        <v>-169347.9088763652</v>
      </c>
      <c r="N15" s="2">
        <f>-'presupuesto ventas cenval indus'!W998</f>
        <v>-168597.63085547832</v>
      </c>
      <c r="O15" s="2">
        <f>-'presupuesto ventas cenval indus'!X998</f>
        <v>-114493.45991785132</v>
      </c>
      <c r="P15" s="2">
        <f>-'presupuesto ventas cenval indus'!Y998</f>
        <v>-169713.67141715201</v>
      </c>
      <c r="Q15" s="2">
        <f>-'presupuesto ventas cenval indus'!Z998</f>
        <v>-147798.79120709328</v>
      </c>
      <c r="R15" s="2">
        <f>-'presupuesto ventas cenval indus'!AA998</f>
        <v>-150908.16829641085</v>
      </c>
      <c r="S15" s="2">
        <f>-'presupuesto ventas cenval indus'!AB998</f>
        <v>-147395.2047492167</v>
      </c>
      <c r="T15" s="6">
        <f t="shared" si="4"/>
        <v>-1995816.5828065355</v>
      </c>
      <c r="U15" s="6">
        <f t="shared" si="11"/>
        <v>0</v>
      </c>
      <c r="V15" s="23">
        <f t="shared" si="18"/>
        <v>0</v>
      </c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6">
        <f t="shared" si="6"/>
        <v>0</v>
      </c>
    </row>
    <row r="16" spans="1:35" outlineLevel="1" x14ac:dyDescent="0.25">
      <c r="A16" s="1" t="s">
        <v>19</v>
      </c>
      <c r="B16" s="2">
        <v>-2367572.19</v>
      </c>
      <c r="C16" s="8">
        <f t="shared" si="0"/>
        <v>-0.21458222550989933</v>
      </c>
      <c r="D16" s="2">
        <v>-2250423.88</v>
      </c>
      <c r="E16" s="8">
        <f t="shared" si="12"/>
        <v>-0.26756566603369142</v>
      </c>
      <c r="F16" s="2">
        <f>-'presupuesto ventas cenval indus'!C999</f>
        <v>-2959202.3210399998</v>
      </c>
      <c r="G16" s="8">
        <f t="shared" si="17"/>
        <v>-0.3518363571388663</v>
      </c>
      <c r="H16" s="2">
        <f>-'presupuesto ventas cenval indus'!D998</f>
        <v>-309803.04424506519</v>
      </c>
      <c r="I16" s="2">
        <f>-'presupuesto ventas cenval indus'!E998</f>
        <v>-370495.35078919347</v>
      </c>
      <c r="J16" s="2">
        <f>-'presupuesto ventas cenval indus'!F998</f>
        <v>-327891.10053735157</v>
      </c>
      <c r="K16" s="2">
        <f>-'presupuesto ventas cenval indus'!G998</f>
        <v>-248364.89182402164</v>
      </c>
      <c r="L16" s="2">
        <f>-'presupuesto ventas cenval indus'!H998</f>
        <v>-360188.23814151261</v>
      </c>
      <c r="M16" s="2">
        <f>-'presupuesto ventas cenval indus'!I998</f>
        <v>-295173.8615437519</v>
      </c>
      <c r="N16" s="2">
        <f>-'presupuesto ventas cenval indus'!J998</f>
        <v>-293866.12493143807</v>
      </c>
      <c r="O16" s="2">
        <f>-'presupuesto ventas cenval indus'!K998</f>
        <v>-199562.40918292053</v>
      </c>
      <c r="P16" s="2">
        <f>-'presupuesto ventas cenval indus'!L998</f>
        <v>-295811.38663803134</v>
      </c>
      <c r="Q16" s="2">
        <f>-'presupuesto ventas cenval indus'!M998</f>
        <v>-257613.69137393159</v>
      </c>
      <c r="R16" s="2">
        <f>-'presupuesto ventas cenval indus'!N998</f>
        <v>-263033.34402000852</v>
      </c>
      <c r="S16" s="2">
        <f>-'presupuesto ventas cenval indus'!O998</f>
        <v>-256910.23909023561</v>
      </c>
      <c r="T16" s="6">
        <f t="shared" si="4"/>
        <v>-3478713.6823174618</v>
      </c>
      <c r="U16" s="6">
        <f t="shared" si="11"/>
        <v>0</v>
      </c>
      <c r="V16" s="23">
        <f t="shared" si="18"/>
        <v>0</v>
      </c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6">
        <f t="shared" si="6"/>
        <v>0</v>
      </c>
    </row>
    <row r="17" spans="1:35" s="5" customFormat="1" outlineLevel="1" x14ac:dyDescent="0.25">
      <c r="A17" s="1" t="s">
        <v>20</v>
      </c>
      <c r="B17" s="2">
        <v>-611413.31999999995</v>
      </c>
      <c r="C17" s="8">
        <f t="shared" si="0"/>
        <v>-5.5414754179891015E-2</v>
      </c>
      <c r="D17" s="2">
        <v>-753859.17</v>
      </c>
      <c r="E17" s="8">
        <f t="shared" si="12"/>
        <v>-8.9630594800058652E-2</v>
      </c>
      <c r="F17" s="2">
        <f>-'presupuesto ventas cenval indus'!AC999</f>
        <v>-1528192</v>
      </c>
      <c r="G17" s="8">
        <f t="shared" si="17"/>
        <v>-0.18169541922358154</v>
      </c>
      <c r="H17" s="2">
        <f>-'presupuesto ventas cenval indus'!AD998</f>
        <v>-76661.1875420664</v>
      </c>
      <c r="I17" s="2">
        <f>-'presupuesto ventas cenval indus'!AE998</f>
        <v>-91679.581908325679</v>
      </c>
      <c r="J17" s="2">
        <f>-'presupuesto ventas cenval indus'!AF998</f>
        <v>-81137.101841338357</v>
      </c>
      <c r="K17" s="2">
        <f>-'presupuesto ventas cenval indus'!AG998</f>
        <v>-61458.232592204942</v>
      </c>
      <c r="L17" s="2">
        <f>-'presupuesto ventas cenval indus'!AH998</f>
        <v>-89129.072769118895</v>
      </c>
      <c r="M17" s="2">
        <f>-'presupuesto ventas cenval indus'!AI998</f>
        <v>-73041.176249455093</v>
      </c>
      <c r="N17" s="2">
        <f>-'presupuesto ventas cenval indus'!AJ998</f>
        <v>-72717.575033926129</v>
      </c>
      <c r="O17" s="2">
        <f>-'presupuesto ventas cenval indus'!AK998</f>
        <v>-49381.991432649331</v>
      </c>
      <c r="P17" s="2">
        <f>-'presupuesto ventas cenval indus'!AL998</f>
        <v>-73198.932707059997</v>
      </c>
      <c r="Q17" s="2">
        <f>-'presupuesto ventas cenval indus'!AM998</f>
        <v>-63746.860706116378</v>
      </c>
      <c r="R17" s="2">
        <f>-'presupuesto ventas cenval indus'!AN998</f>
        <v>-65087.961175048891</v>
      </c>
      <c r="S17" s="2">
        <f>-'presupuesto ventas cenval indus'!AO998</f>
        <v>-63572.790475209673</v>
      </c>
      <c r="T17" s="6">
        <f t="shared" si="4"/>
        <v>-860812.46443251974</v>
      </c>
      <c r="U17" s="6">
        <f t="shared" si="11"/>
        <v>0</v>
      </c>
      <c r="V17" s="23">
        <f t="shared" si="18"/>
        <v>0</v>
      </c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6">
        <f t="shared" si="6"/>
        <v>0</v>
      </c>
    </row>
    <row r="18" spans="1:35" outlineLevel="1" x14ac:dyDescent="0.25">
      <c r="A18" s="1" t="s">
        <v>21</v>
      </c>
      <c r="B18" s="2">
        <v>-41366.75</v>
      </c>
      <c r="C18" s="8">
        <f t="shared" si="0"/>
        <v>-3.7492285619014757E-3</v>
      </c>
      <c r="D18" s="2">
        <v>-24326.799999999999</v>
      </c>
      <c r="E18" s="8">
        <f t="shared" si="12"/>
        <v>-2.8923513042655789E-3</v>
      </c>
      <c r="F18" s="2">
        <f>+D18*1.2</f>
        <v>-29192.16</v>
      </c>
      <c r="G18" s="8">
        <f t="shared" si="17"/>
        <v>-3.4708215651186947E-3</v>
      </c>
      <c r="H18" s="2">
        <f>+$F18/12</f>
        <v>-2432.6799999999998</v>
      </c>
      <c r="I18" s="2">
        <f t="shared" ref="I18:S18" si="19">+$F18/12</f>
        <v>-2432.6799999999998</v>
      </c>
      <c r="J18" s="2">
        <f t="shared" si="19"/>
        <v>-2432.6799999999998</v>
      </c>
      <c r="K18" s="2">
        <f t="shared" si="19"/>
        <v>-2432.6799999999998</v>
      </c>
      <c r="L18" s="2">
        <f t="shared" si="19"/>
        <v>-2432.6799999999998</v>
      </c>
      <c r="M18" s="2">
        <f t="shared" si="19"/>
        <v>-2432.6799999999998</v>
      </c>
      <c r="N18" s="2">
        <f t="shared" si="19"/>
        <v>-2432.6799999999998</v>
      </c>
      <c r="O18" s="2">
        <f t="shared" si="19"/>
        <v>-2432.6799999999998</v>
      </c>
      <c r="P18" s="2">
        <f t="shared" si="19"/>
        <v>-2432.6799999999998</v>
      </c>
      <c r="Q18" s="2">
        <f t="shared" si="19"/>
        <v>-2432.6799999999998</v>
      </c>
      <c r="R18" s="2">
        <f t="shared" si="19"/>
        <v>-2432.6799999999998</v>
      </c>
      <c r="S18" s="2">
        <f t="shared" si="19"/>
        <v>-2432.6799999999998</v>
      </c>
      <c r="T18" s="6">
        <f t="shared" si="4"/>
        <v>-29192.16</v>
      </c>
      <c r="U18" s="6">
        <f t="shared" si="11"/>
        <v>-29192.16</v>
      </c>
      <c r="V18" s="23">
        <f t="shared" si="18"/>
        <v>-4.5329440993788821E-2</v>
      </c>
      <c r="W18" s="2">
        <f>+$F18/12</f>
        <v>-2432.6799999999998</v>
      </c>
      <c r="X18" s="2">
        <f t="shared" ref="X18:AH18" si="20">+$F18/12</f>
        <v>-2432.6799999999998</v>
      </c>
      <c r="Y18" s="2">
        <f t="shared" si="20"/>
        <v>-2432.6799999999998</v>
      </c>
      <c r="Z18" s="2">
        <f t="shared" si="20"/>
        <v>-2432.6799999999998</v>
      </c>
      <c r="AA18" s="2">
        <f t="shared" si="20"/>
        <v>-2432.6799999999998</v>
      </c>
      <c r="AB18" s="2">
        <f t="shared" si="20"/>
        <v>-2432.6799999999998</v>
      </c>
      <c r="AC18" s="2">
        <f t="shared" si="20"/>
        <v>-2432.6799999999998</v>
      </c>
      <c r="AD18" s="2">
        <f t="shared" si="20"/>
        <v>-2432.6799999999998</v>
      </c>
      <c r="AE18" s="2">
        <f t="shared" si="20"/>
        <v>-2432.6799999999998</v>
      </c>
      <c r="AF18" s="2">
        <f t="shared" si="20"/>
        <v>-2432.6799999999998</v>
      </c>
      <c r="AG18" s="2">
        <f t="shared" si="20"/>
        <v>-2432.6799999999998</v>
      </c>
      <c r="AH18" s="2">
        <f t="shared" si="20"/>
        <v>-2432.6799999999998</v>
      </c>
      <c r="AI18" s="6">
        <f t="shared" si="6"/>
        <v>-29192.16</v>
      </c>
    </row>
    <row r="19" spans="1:35" outlineLevel="1" x14ac:dyDescent="0.25">
      <c r="A19" s="1" t="s">
        <v>22</v>
      </c>
      <c r="B19" s="2">
        <v>-9552.14</v>
      </c>
      <c r="C19" s="8">
        <f t="shared" si="0"/>
        <v>-8.6574739652695856E-4</v>
      </c>
      <c r="D19" s="2">
        <v>-6583</v>
      </c>
      <c r="E19" s="8">
        <f t="shared" si="12"/>
        <v>-7.8269022789599564E-4</v>
      </c>
      <c r="F19" s="2">
        <f>+D19*1.2</f>
        <v>-7899.5999999999995</v>
      </c>
      <c r="G19" s="8">
        <f t="shared" si="17"/>
        <v>-9.3922827347519471E-4</v>
      </c>
      <c r="H19" s="2">
        <f t="shared" ref="H19:S34" si="21">+$F19/12</f>
        <v>-658.3</v>
      </c>
      <c r="I19" s="2">
        <f t="shared" si="21"/>
        <v>-658.3</v>
      </c>
      <c r="J19" s="2">
        <f t="shared" si="21"/>
        <v>-658.3</v>
      </c>
      <c r="K19" s="2">
        <f t="shared" si="21"/>
        <v>-658.3</v>
      </c>
      <c r="L19" s="2">
        <f t="shared" si="21"/>
        <v>-658.3</v>
      </c>
      <c r="M19" s="2">
        <f t="shared" si="21"/>
        <v>-658.3</v>
      </c>
      <c r="N19" s="2">
        <f t="shared" si="21"/>
        <v>-658.3</v>
      </c>
      <c r="O19" s="2">
        <f t="shared" si="21"/>
        <v>-658.3</v>
      </c>
      <c r="P19" s="2">
        <f t="shared" si="21"/>
        <v>-658.3</v>
      </c>
      <c r="Q19" s="2">
        <f t="shared" si="21"/>
        <v>-658.3</v>
      </c>
      <c r="R19" s="2">
        <f t="shared" si="21"/>
        <v>-658.3</v>
      </c>
      <c r="S19" s="2">
        <f t="shared" si="21"/>
        <v>-658.3</v>
      </c>
      <c r="T19" s="6">
        <f t="shared" si="4"/>
        <v>-7899.6000000000013</v>
      </c>
      <c r="U19" s="6">
        <f t="shared" si="11"/>
        <v>-7899.6000000000013</v>
      </c>
      <c r="V19" s="23">
        <f t="shared" si="18"/>
        <v>-1.2266459627329194E-2</v>
      </c>
      <c r="W19" s="2">
        <f t="shared" ref="W19:AH26" si="22">+$F19/12</f>
        <v>-658.3</v>
      </c>
      <c r="X19" s="2">
        <f t="shared" si="22"/>
        <v>-658.3</v>
      </c>
      <c r="Y19" s="2">
        <f t="shared" si="22"/>
        <v>-658.3</v>
      </c>
      <c r="Z19" s="2">
        <f t="shared" si="22"/>
        <v>-658.3</v>
      </c>
      <c r="AA19" s="2">
        <f t="shared" si="22"/>
        <v>-658.3</v>
      </c>
      <c r="AB19" s="2">
        <f t="shared" si="22"/>
        <v>-658.3</v>
      </c>
      <c r="AC19" s="2">
        <f t="shared" si="22"/>
        <v>-658.3</v>
      </c>
      <c r="AD19" s="2">
        <f t="shared" si="22"/>
        <v>-658.3</v>
      </c>
      <c r="AE19" s="2">
        <f t="shared" si="22"/>
        <v>-658.3</v>
      </c>
      <c r="AF19" s="2">
        <f t="shared" si="22"/>
        <v>-658.3</v>
      </c>
      <c r="AG19" s="2">
        <f t="shared" si="22"/>
        <v>-658.3</v>
      </c>
      <c r="AH19" s="2">
        <f t="shared" si="22"/>
        <v>-658.3</v>
      </c>
      <c r="AI19" s="6">
        <f t="shared" si="6"/>
        <v>-7899.6000000000013</v>
      </c>
    </row>
    <row r="20" spans="1:35" outlineLevel="1" x14ac:dyDescent="0.25">
      <c r="A20" s="1" t="s">
        <v>23</v>
      </c>
      <c r="B20" s="2">
        <v>5745.4</v>
      </c>
      <c r="C20" s="8">
        <f t="shared" si="0"/>
        <v>5.2072782559782287E-4</v>
      </c>
      <c r="D20" s="2">
        <v>765.69</v>
      </c>
      <c r="E20" s="8">
        <f t="shared" si="12"/>
        <v>9.103722931758848E-5</v>
      </c>
      <c r="F20" s="2">
        <f>+D20*1.2</f>
        <v>918.82800000000009</v>
      </c>
      <c r="G20" s="8">
        <f t="shared" si="17"/>
        <v>1.0924467518110617E-4</v>
      </c>
      <c r="H20" s="2">
        <f t="shared" si="21"/>
        <v>76.569000000000003</v>
      </c>
      <c r="I20" s="2">
        <f t="shared" si="21"/>
        <v>76.569000000000003</v>
      </c>
      <c r="J20" s="2">
        <f t="shared" si="21"/>
        <v>76.569000000000003</v>
      </c>
      <c r="K20" s="2">
        <f t="shared" si="21"/>
        <v>76.569000000000003</v>
      </c>
      <c r="L20" s="2">
        <f t="shared" si="21"/>
        <v>76.569000000000003</v>
      </c>
      <c r="M20" s="2">
        <f t="shared" si="21"/>
        <v>76.569000000000003</v>
      </c>
      <c r="N20" s="2">
        <f t="shared" si="21"/>
        <v>76.569000000000003</v>
      </c>
      <c r="O20" s="2">
        <f t="shared" si="21"/>
        <v>76.569000000000003</v>
      </c>
      <c r="P20" s="2">
        <f t="shared" si="21"/>
        <v>76.569000000000003</v>
      </c>
      <c r="Q20" s="2">
        <f t="shared" si="21"/>
        <v>76.569000000000003</v>
      </c>
      <c r="R20" s="2">
        <f t="shared" si="21"/>
        <v>76.569000000000003</v>
      </c>
      <c r="S20" s="2">
        <f t="shared" si="21"/>
        <v>76.569000000000003</v>
      </c>
      <c r="T20" s="6">
        <f t="shared" si="4"/>
        <v>918.82799999999986</v>
      </c>
      <c r="U20" s="6">
        <f t="shared" si="11"/>
        <v>918.82799999999986</v>
      </c>
      <c r="V20" s="23">
        <f t="shared" si="18"/>
        <v>1.4267515527950309E-3</v>
      </c>
      <c r="W20" s="2">
        <f t="shared" si="22"/>
        <v>76.569000000000003</v>
      </c>
      <c r="X20" s="2">
        <f t="shared" si="22"/>
        <v>76.569000000000003</v>
      </c>
      <c r="Y20" s="2">
        <f t="shared" si="22"/>
        <v>76.569000000000003</v>
      </c>
      <c r="Z20" s="2">
        <f t="shared" si="22"/>
        <v>76.569000000000003</v>
      </c>
      <c r="AA20" s="2">
        <f t="shared" si="22"/>
        <v>76.569000000000003</v>
      </c>
      <c r="AB20" s="2">
        <f t="shared" si="22"/>
        <v>76.569000000000003</v>
      </c>
      <c r="AC20" s="2">
        <f t="shared" si="22"/>
        <v>76.569000000000003</v>
      </c>
      <c r="AD20" s="2">
        <f t="shared" si="22"/>
        <v>76.569000000000003</v>
      </c>
      <c r="AE20" s="2">
        <f t="shared" si="22"/>
        <v>76.569000000000003</v>
      </c>
      <c r="AF20" s="2">
        <f t="shared" si="22"/>
        <v>76.569000000000003</v>
      </c>
      <c r="AG20" s="2">
        <f t="shared" si="22"/>
        <v>76.569000000000003</v>
      </c>
      <c r="AH20" s="2">
        <f t="shared" si="22"/>
        <v>76.569000000000003</v>
      </c>
      <c r="AI20" s="6">
        <f t="shared" si="6"/>
        <v>918.82799999999986</v>
      </c>
    </row>
    <row r="21" spans="1:35" outlineLevel="1" x14ac:dyDescent="0.25">
      <c r="A21" s="1" t="s">
        <v>24</v>
      </c>
      <c r="B21" s="2">
        <v>-95946.240000000005</v>
      </c>
      <c r="C21" s="8">
        <f t="shared" si="0"/>
        <v>-8.6959788577795905E-3</v>
      </c>
      <c r="D21" s="2">
        <v>-37198.980000000003</v>
      </c>
      <c r="E21" s="8">
        <f t="shared" si="12"/>
        <v>-4.4227978328571452E-3</v>
      </c>
      <c r="F21" s="2">
        <f>+D21*1.2</f>
        <v>-44638.776000000005</v>
      </c>
      <c r="G21" s="8">
        <f t="shared" si="17"/>
        <v>-5.3073573994285739E-3</v>
      </c>
      <c r="H21" s="2">
        <f t="shared" si="21"/>
        <v>-3719.8980000000006</v>
      </c>
      <c r="I21" s="2">
        <f t="shared" si="21"/>
        <v>-3719.8980000000006</v>
      </c>
      <c r="J21" s="2">
        <f t="shared" si="21"/>
        <v>-3719.8980000000006</v>
      </c>
      <c r="K21" s="2">
        <f t="shared" si="21"/>
        <v>-3719.8980000000006</v>
      </c>
      <c r="L21" s="2">
        <f t="shared" si="21"/>
        <v>-3719.8980000000006</v>
      </c>
      <c r="M21" s="2">
        <f t="shared" si="21"/>
        <v>-3719.8980000000006</v>
      </c>
      <c r="N21" s="2">
        <f t="shared" si="21"/>
        <v>-3719.8980000000006</v>
      </c>
      <c r="O21" s="2">
        <f t="shared" si="21"/>
        <v>-3719.8980000000006</v>
      </c>
      <c r="P21" s="2">
        <f t="shared" si="21"/>
        <v>-3719.8980000000006</v>
      </c>
      <c r="Q21" s="2">
        <f t="shared" si="21"/>
        <v>-3719.8980000000006</v>
      </c>
      <c r="R21" s="2">
        <f t="shared" si="21"/>
        <v>-3719.8980000000006</v>
      </c>
      <c r="S21" s="2">
        <f t="shared" si="21"/>
        <v>-3719.8980000000006</v>
      </c>
      <c r="T21" s="6">
        <f t="shared" si="4"/>
        <v>-44638.776000000005</v>
      </c>
      <c r="U21" s="6">
        <f t="shared" si="11"/>
        <v>0</v>
      </c>
      <c r="V21" s="23">
        <f t="shared" si="18"/>
        <v>0</v>
      </c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6">
        <f t="shared" si="6"/>
        <v>0</v>
      </c>
    </row>
    <row r="22" spans="1:35" s="5" customFormat="1" x14ac:dyDescent="0.25">
      <c r="A22" s="5" t="s">
        <v>25</v>
      </c>
      <c r="B22" s="6">
        <v>16481.650000000001</v>
      </c>
      <c r="C22" s="7">
        <f t="shared" si="0"/>
        <v>1.4937956916427678E-3</v>
      </c>
      <c r="D22" s="6">
        <v>12839.48</v>
      </c>
      <c r="E22" s="7">
        <f t="shared" si="12"/>
        <v>1.5265586400221901E-3</v>
      </c>
      <c r="F22" s="6">
        <f>SUM(F23:F26)</f>
        <v>12969.644</v>
      </c>
      <c r="G22" s="7">
        <f t="shared" si="17"/>
        <v>1.5420345766504529E-3</v>
      </c>
      <c r="H22" s="6">
        <f>SUM(H23:H26)</f>
        <v>1080.8036666666667</v>
      </c>
      <c r="I22" s="6">
        <f t="shared" ref="I22:S22" si="23">SUM(I23:I26)</f>
        <v>1080.8036666666667</v>
      </c>
      <c r="J22" s="6">
        <f t="shared" si="23"/>
        <v>1080.8036666666667</v>
      </c>
      <c r="K22" s="6">
        <f t="shared" si="23"/>
        <v>1080.8036666666667</v>
      </c>
      <c r="L22" s="6">
        <f t="shared" si="23"/>
        <v>1080.8036666666667</v>
      </c>
      <c r="M22" s="6">
        <f t="shared" si="23"/>
        <v>1080.8036666666667</v>
      </c>
      <c r="N22" s="6">
        <f t="shared" si="23"/>
        <v>1080.8036666666667</v>
      </c>
      <c r="O22" s="6">
        <f t="shared" si="23"/>
        <v>1080.8036666666667</v>
      </c>
      <c r="P22" s="6">
        <f t="shared" si="23"/>
        <v>1080.8036666666667</v>
      </c>
      <c r="Q22" s="6">
        <f t="shared" si="23"/>
        <v>1080.8036666666667</v>
      </c>
      <c r="R22" s="6">
        <f t="shared" si="23"/>
        <v>1080.8036666666667</v>
      </c>
      <c r="S22" s="6">
        <f t="shared" si="23"/>
        <v>1080.8036666666667</v>
      </c>
      <c r="T22" s="6">
        <f t="shared" si="4"/>
        <v>12969.644</v>
      </c>
      <c r="U22" s="6">
        <f t="shared" si="11"/>
        <v>12969.644</v>
      </c>
      <c r="V22" s="23">
        <f t="shared" si="18"/>
        <v>2.0139198757763977E-2</v>
      </c>
      <c r="W22" s="6">
        <f>SUM(W23:W26)</f>
        <v>1080.8036666666667</v>
      </c>
      <c r="X22" s="6">
        <f t="shared" ref="X22:AH22" si="24">SUM(X23:X26)</f>
        <v>1080.8036666666667</v>
      </c>
      <c r="Y22" s="6">
        <f t="shared" si="24"/>
        <v>1080.8036666666667</v>
      </c>
      <c r="Z22" s="6">
        <f t="shared" si="24"/>
        <v>1080.8036666666667</v>
      </c>
      <c r="AA22" s="6">
        <f t="shared" si="24"/>
        <v>1080.8036666666667</v>
      </c>
      <c r="AB22" s="6">
        <f t="shared" si="24"/>
        <v>1080.8036666666667</v>
      </c>
      <c r="AC22" s="6">
        <f t="shared" si="24"/>
        <v>1080.8036666666667</v>
      </c>
      <c r="AD22" s="6">
        <f t="shared" si="24"/>
        <v>1080.8036666666667</v>
      </c>
      <c r="AE22" s="6">
        <f t="shared" si="24"/>
        <v>1080.8036666666667</v>
      </c>
      <c r="AF22" s="6">
        <f t="shared" si="24"/>
        <v>1080.8036666666667</v>
      </c>
      <c r="AG22" s="6">
        <f t="shared" si="24"/>
        <v>1080.8036666666667</v>
      </c>
      <c r="AH22" s="6">
        <f t="shared" si="24"/>
        <v>1080.8036666666667</v>
      </c>
      <c r="AI22" s="6">
        <f t="shared" si="6"/>
        <v>12969.644</v>
      </c>
    </row>
    <row r="23" spans="1:35" outlineLevel="1" x14ac:dyDescent="0.25">
      <c r="A23" s="1" t="s">
        <v>26</v>
      </c>
      <c r="B23" s="2">
        <v>400</v>
      </c>
      <c r="C23" s="8">
        <f t="shared" si="0"/>
        <v>3.6253547227195524E-5</v>
      </c>
      <c r="D23" s="2">
        <v>1300</v>
      </c>
      <c r="E23" s="8">
        <f t="shared" si="12"/>
        <v>1.5456437737578526E-4</v>
      </c>
      <c r="F23" s="2">
        <v>1300</v>
      </c>
      <c r="G23" s="8">
        <f t="shared" si="17"/>
        <v>1.5456437737578526E-4</v>
      </c>
      <c r="H23" s="2">
        <f t="shared" si="21"/>
        <v>108.33333333333333</v>
      </c>
      <c r="I23" s="2">
        <f t="shared" si="21"/>
        <v>108.33333333333333</v>
      </c>
      <c r="J23" s="2">
        <f t="shared" si="21"/>
        <v>108.33333333333333</v>
      </c>
      <c r="K23" s="2">
        <f t="shared" si="21"/>
        <v>108.33333333333333</v>
      </c>
      <c r="L23" s="2">
        <f t="shared" si="21"/>
        <v>108.33333333333333</v>
      </c>
      <c r="M23" s="2">
        <f t="shared" si="21"/>
        <v>108.33333333333333</v>
      </c>
      <c r="N23" s="2">
        <f t="shared" si="21"/>
        <v>108.33333333333333</v>
      </c>
      <c r="O23" s="2">
        <f t="shared" si="21"/>
        <v>108.33333333333333</v>
      </c>
      <c r="P23" s="2">
        <f t="shared" si="21"/>
        <v>108.33333333333333</v>
      </c>
      <c r="Q23" s="2">
        <f t="shared" si="21"/>
        <v>108.33333333333333</v>
      </c>
      <c r="R23" s="2">
        <f t="shared" si="21"/>
        <v>108.33333333333333</v>
      </c>
      <c r="S23" s="2">
        <f t="shared" si="21"/>
        <v>108.33333333333333</v>
      </c>
      <c r="T23" s="6">
        <f t="shared" si="4"/>
        <v>1300</v>
      </c>
      <c r="U23" s="6">
        <f t="shared" si="11"/>
        <v>1300</v>
      </c>
      <c r="V23" s="23">
        <f t="shared" si="18"/>
        <v>2.0186335403726708E-3</v>
      </c>
      <c r="W23" s="2">
        <f t="shared" si="22"/>
        <v>108.33333333333333</v>
      </c>
      <c r="X23" s="2">
        <f t="shared" si="22"/>
        <v>108.33333333333333</v>
      </c>
      <c r="Y23" s="2">
        <f t="shared" si="22"/>
        <v>108.33333333333333</v>
      </c>
      <c r="Z23" s="2">
        <f t="shared" si="22"/>
        <v>108.33333333333333</v>
      </c>
      <c r="AA23" s="2">
        <f t="shared" si="22"/>
        <v>108.33333333333333</v>
      </c>
      <c r="AB23" s="2">
        <f t="shared" si="22"/>
        <v>108.33333333333333</v>
      </c>
      <c r="AC23" s="2">
        <f t="shared" si="22"/>
        <v>108.33333333333333</v>
      </c>
      <c r="AD23" s="2">
        <f t="shared" si="22"/>
        <v>108.33333333333333</v>
      </c>
      <c r="AE23" s="2">
        <f t="shared" si="22"/>
        <v>108.33333333333333</v>
      </c>
      <c r="AF23" s="2">
        <f t="shared" si="22"/>
        <v>108.33333333333333</v>
      </c>
      <c r="AG23" s="2">
        <f t="shared" si="22"/>
        <v>108.33333333333333</v>
      </c>
      <c r="AH23" s="2">
        <f t="shared" si="22"/>
        <v>108.33333333333333</v>
      </c>
      <c r="AI23" s="6">
        <f t="shared" si="6"/>
        <v>1300</v>
      </c>
    </row>
    <row r="24" spans="1:35" outlineLevel="1" x14ac:dyDescent="0.25">
      <c r="A24" s="1" t="s">
        <v>27</v>
      </c>
      <c r="B24" s="2">
        <v>7154.61</v>
      </c>
      <c r="C24" s="8">
        <f t="shared" si="0"/>
        <v>6.4844997881791338E-4</v>
      </c>
      <c r="D24" s="2">
        <v>7357.98</v>
      </c>
      <c r="E24" s="8">
        <f t="shared" si="12"/>
        <v>8.7483199803344643E-4</v>
      </c>
      <c r="F24" s="2">
        <f>+D24</f>
        <v>7357.98</v>
      </c>
      <c r="G24" s="8">
        <f t="shared" si="17"/>
        <v>8.7483199803344643E-4</v>
      </c>
      <c r="H24" s="2">
        <f t="shared" si="21"/>
        <v>613.16499999999996</v>
      </c>
      <c r="I24" s="2">
        <f t="shared" si="21"/>
        <v>613.16499999999996</v>
      </c>
      <c r="J24" s="2">
        <f t="shared" si="21"/>
        <v>613.16499999999996</v>
      </c>
      <c r="K24" s="2">
        <f t="shared" si="21"/>
        <v>613.16499999999996</v>
      </c>
      <c r="L24" s="2">
        <f t="shared" si="21"/>
        <v>613.16499999999996</v>
      </c>
      <c r="M24" s="2">
        <f t="shared" si="21"/>
        <v>613.16499999999996</v>
      </c>
      <c r="N24" s="2">
        <f t="shared" si="21"/>
        <v>613.16499999999996</v>
      </c>
      <c r="O24" s="2">
        <f t="shared" si="21"/>
        <v>613.16499999999996</v>
      </c>
      <c r="P24" s="2">
        <f t="shared" si="21"/>
        <v>613.16499999999996</v>
      </c>
      <c r="Q24" s="2">
        <f t="shared" si="21"/>
        <v>613.16499999999996</v>
      </c>
      <c r="R24" s="2">
        <f t="shared" si="21"/>
        <v>613.16499999999996</v>
      </c>
      <c r="S24" s="2">
        <f t="shared" si="21"/>
        <v>613.16499999999996</v>
      </c>
      <c r="T24" s="6">
        <f t="shared" si="4"/>
        <v>7357.98</v>
      </c>
      <c r="U24" s="6">
        <f t="shared" si="11"/>
        <v>7357.98</v>
      </c>
      <c r="V24" s="23">
        <f t="shared" si="18"/>
        <v>1.1425434782608695E-2</v>
      </c>
      <c r="W24" s="2">
        <f t="shared" si="22"/>
        <v>613.16499999999996</v>
      </c>
      <c r="X24" s="2">
        <f t="shared" si="22"/>
        <v>613.16499999999996</v>
      </c>
      <c r="Y24" s="2">
        <f t="shared" si="22"/>
        <v>613.16499999999996</v>
      </c>
      <c r="Z24" s="2">
        <f t="shared" si="22"/>
        <v>613.16499999999996</v>
      </c>
      <c r="AA24" s="2">
        <f t="shared" si="22"/>
        <v>613.16499999999996</v>
      </c>
      <c r="AB24" s="2">
        <f t="shared" si="22"/>
        <v>613.16499999999996</v>
      </c>
      <c r="AC24" s="2">
        <f t="shared" si="22"/>
        <v>613.16499999999996</v>
      </c>
      <c r="AD24" s="2">
        <f t="shared" si="22"/>
        <v>613.16499999999996</v>
      </c>
      <c r="AE24" s="2">
        <f t="shared" si="22"/>
        <v>613.16499999999996</v>
      </c>
      <c r="AF24" s="2">
        <f t="shared" si="22"/>
        <v>613.16499999999996</v>
      </c>
      <c r="AG24" s="2">
        <f t="shared" si="22"/>
        <v>613.16499999999996</v>
      </c>
      <c r="AH24" s="2">
        <f t="shared" si="22"/>
        <v>613.16499999999996</v>
      </c>
      <c r="AI24" s="6">
        <f t="shared" si="6"/>
        <v>7357.98</v>
      </c>
    </row>
    <row r="25" spans="1:35" outlineLevel="1" x14ac:dyDescent="0.25">
      <c r="A25" s="1" t="s">
        <v>28</v>
      </c>
      <c r="B25" s="2">
        <v>6117</v>
      </c>
      <c r="C25" s="8">
        <f t="shared" si="0"/>
        <v>5.5440737097188757E-4</v>
      </c>
      <c r="D25" s="2">
        <v>1301.6400000000001</v>
      </c>
      <c r="E25" s="8">
        <f t="shared" si="12"/>
        <v>1.5475936628262855E-4</v>
      </c>
      <c r="F25" s="2">
        <f>+D25*1.1</f>
        <v>1431.8040000000003</v>
      </c>
      <c r="G25" s="8">
        <f t="shared" si="17"/>
        <v>1.7023530291089144E-4</v>
      </c>
      <c r="H25" s="2">
        <f t="shared" si="21"/>
        <v>119.31700000000002</v>
      </c>
      <c r="I25" s="2">
        <f t="shared" si="21"/>
        <v>119.31700000000002</v>
      </c>
      <c r="J25" s="2">
        <f t="shared" si="21"/>
        <v>119.31700000000002</v>
      </c>
      <c r="K25" s="2">
        <f t="shared" si="21"/>
        <v>119.31700000000002</v>
      </c>
      <c r="L25" s="2">
        <f t="shared" si="21"/>
        <v>119.31700000000002</v>
      </c>
      <c r="M25" s="2">
        <f t="shared" si="21"/>
        <v>119.31700000000002</v>
      </c>
      <c r="N25" s="2">
        <f t="shared" si="21"/>
        <v>119.31700000000002</v>
      </c>
      <c r="O25" s="2">
        <f t="shared" si="21"/>
        <v>119.31700000000002</v>
      </c>
      <c r="P25" s="2">
        <f t="shared" si="21"/>
        <v>119.31700000000002</v>
      </c>
      <c r="Q25" s="2">
        <f t="shared" si="21"/>
        <v>119.31700000000002</v>
      </c>
      <c r="R25" s="2">
        <f t="shared" si="21"/>
        <v>119.31700000000002</v>
      </c>
      <c r="S25" s="2">
        <f t="shared" si="21"/>
        <v>119.31700000000002</v>
      </c>
      <c r="T25" s="6">
        <f t="shared" si="4"/>
        <v>1431.8040000000003</v>
      </c>
      <c r="U25" s="6">
        <f t="shared" si="11"/>
        <v>1431.8040000000003</v>
      </c>
      <c r="V25" s="23">
        <f t="shared" si="18"/>
        <v>2.2232981366459631E-3</v>
      </c>
      <c r="W25" s="2">
        <f t="shared" si="22"/>
        <v>119.31700000000002</v>
      </c>
      <c r="X25" s="2">
        <f t="shared" si="22"/>
        <v>119.31700000000002</v>
      </c>
      <c r="Y25" s="2">
        <f t="shared" si="22"/>
        <v>119.31700000000002</v>
      </c>
      <c r="Z25" s="2">
        <f t="shared" si="22"/>
        <v>119.31700000000002</v>
      </c>
      <c r="AA25" s="2">
        <f t="shared" si="22"/>
        <v>119.31700000000002</v>
      </c>
      <c r="AB25" s="2">
        <f t="shared" si="22"/>
        <v>119.31700000000002</v>
      </c>
      <c r="AC25" s="2">
        <f t="shared" si="22"/>
        <v>119.31700000000002</v>
      </c>
      <c r="AD25" s="2">
        <f t="shared" si="22"/>
        <v>119.31700000000002</v>
      </c>
      <c r="AE25" s="2">
        <f t="shared" si="22"/>
        <v>119.31700000000002</v>
      </c>
      <c r="AF25" s="2">
        <f t="shared" si="22"/>
        <v>119.31700000000002</v>
      </c>
      <c r="AG25" s="2">
        <f t="shared" si="22"/>
        <v>119.31700000000002</v>
      </c>
      <c r="AH25" s="2">
        <f t="shared" si="22"/>
        <v>119.31700000000002</v>
      </c>
      <c r="AI25" s="6">
        <f t="shared" si="6"/>
        <v>1431.8040000000003</v>
      </c>
    </row>
    <row r="26" spans="1:35" outlineLevel="1" x14ac:dyDescent="0.25">
      <c r="A26" s="1" t="s">
        <v>29</v>
      </c>
      <c r="B26" s="2">
        <v>2810.04</v>
      </c>
      <c r="C26" s="8">
        <f t="shared" si="0"/>
        <v>2.5468479462577125E-4</v>
      </c>
      <c r="D26" s="2">
        <v>2879.86</v>
      </c>
      <c r="E26" s="8">
        <f t="shared" si="12"/>
        <v>3.4240289833032994E-4</v>
      </c>
      <c r="F26" s="2">
        <f>+D26</f>
        <v>2879.86</v>
      </c>
      <c r="G26" s="8">
        <f t="shared" si="17"/>
        <v>3.4240289833032994E-4</v>
      </c>
      <c r="H26" s="2">
        <f t="shared" si="21"/>
        <v>239.98833333333334</v>
      </c>
      <c r="I26" s="2">
        <f t="shared" si="21"/>
        <v>239.98833333333334</v>
      </c>
      <c r="J26" s="2">
        <f t="shared" si="21"/>
        <v>239.98833333333334</v>
      </c>
      <c r="K26" s="2">
        <f t="shared" si="21"/>
        <v>239.98833333333334</v>
      </c>
      <c r="L26" s="2">
        <f t="shared" si="21"/>
        <v>239.98833333333334</v>
      </c>
      <c r="M26" s="2">
        <f t="shared" si="21"/>
        <v>239.98833333333334</v>
      </c>
      <c r="N26" s="2">
        <f t="shared" si="21"/>
        <v>239.98833333333334</v>
      </c>
      <c r="O26" s="2">
        <f t="shared" si="21"/>
        <v>239.98833333333334</v>
      </c>
      <c r="P26" s="2">
        <f t="shared" si="21"/>
        <v>239.98833333333334</v>
      </c>
      <c r="Q26" s="2">
        <f t="shared" si="21"/>
        <v>239.98833333333334</v>
      </c>
      <c r="R26" s="2">
        <f t="shared" si="21"/>
        <v>239.98833333333334</v>
      </c>
      <c r="S26" s="2">
        <f t="shared" si="21"/>
        <v>239.98833333333334</v>
      </c>
      <c r="T26" s="6">
        <f t="shared" si="4"/>
        <v>2879.8599999999992</v>
      </c>
      <c r="U26" s="6">
        <f t="shared" si="11"/>
        <v>2879.8599999999992</v>
      </c>
      <c r="V26" s="23">
        <f t="shared" si="18"/>
        <v>4.4718322981366449E-3</v>
      </c>
      <c r="W26" s="2">
        <f t="shared" si="22"/>
        <v>239.98833333333334</v>
      </c>
      <c r="X26" s="2">
        <f t="shared" si="22"/>
        <v>239.98833333333334</v>
      </c>
      <c r="Y26" s="2">
        <f t="shared" si="22"/>
        <v>239.98833333333334</v>
      </c>
      <c r="Z26" s="2">
        <f t="shared" si="22"/>
        <v>239.98833333333334</v>
      </c>
      <c r="AA26" s="2">
        <f t="shared" si="22"/>
        <v>239.98833333333334</v>
      </c>
      <c r="AB26" s="2">
        <f t="shared" si="22"/>
        <v>239.98833333333334</v>
      </c>
      <c r="AC26" s="2">
        <f t="shared" si="22"/>
        <v>239.98833333333334</v>
      </c>
      <c r="AD26" s="2">
        <f t="shared" si="22"/>
        <v>239.98833333333334</v>
      </c>
      <c r="AE26" s="2">
        <f t="shared" si="22"/>
        <v>239.98833333333334</v>
      </c>
      <c r="AF26" s="2">
        <f t="shared" si="22"/>
        <v>239.98833333333334</v>
      </c>
      <c r="AG26" s="2">
        <f t="shared" si="22"/>
        <v>239.98833333333334</v>
      </c>
      <c r="AH26" s="2">
        <f t="shared" si="22"/>
        <v>239.98833333333334</v>
      </c>
      <c r="AI26" s="6">
        <f t="shared" si="6"/>
        <v>2879.8599999999992</v>
      </c>
    </row>
    <row r="27" spans="1:35" x14ac:dyDescent="0.25">
      <c r="A27" s="5" t="s">
        <v>30</v>
      </c>
      <c r="B27" s="6">
        <v>-2409624.44</v>
      </c>
      <c r="C27" s="7">
        <f t="shared" si="0"/>
        <v>-0.21839358358836139</v>
      </c>
      <c r="D27" s="6">
        <f>SUM(D28:D36)</f>
        <v>-2503434.5399999996</v>
      </c>
      <c r="E27" s="7">
        <f t="shared" si="12"/>
        <v>-0.29764753921241177</v>
      </c>
      <c r="F27" s="6">
        <f>SUM(F28:F36)</f>
        <v>-3170190.1609999994</v>
      </c>
      <c r="G27" s="7">
        <f t="shared" si="17"/>
        <v>-0.37692189876754256</v>
      </c>
      <c r="H27" s="6">
        <f>SUM(H28:H36)</f>
        <v>-289182.51341666665</v>
      </c>
      <c r="I27" s="6">
        <f t="shared" ref="I27:S27" si="25">SUM(I28:I36)</f>
        <v>-289182.51341666665</v>
      </c>
      <c r="J27" s="6">
        <f t="shared" si="25"/>
        <v>-239182.51341666662</v>
      </c>
      <c r="K27" s="6">
        <f t="shared" si="25"/>
        <v>-389182.51341666671</v>
      </c>
      <c r="L27" s="6">
        <f t="shared" si="25"/>
        <v>-239182.51341666662</v>
      </c>
      <c r="M27" s="6">
        <f t="shared" si="25"/>
        <v>-239182.51341666662</v>
      </c>
      <c r="N27" s="6">
        <f t="shared" si="25"/>
        <v>-239182.51341666662</v>
      </c>
      <c r="O27" s="6">
        <f t="shared" si="25"/>
        <v>-239182.51341666662</v>
      </c>
      <c r="P27" s="6">
        <f t="shared" si="25"/>
        <v>-289182.51341666665</v>
      </c>
      <c r="Q27" s="6">
        <f t="shared" si="25"/>
        <v>-239182.51341666662</v>
      </c>
      <c r="R27" s="6">
        <f t="shared" si="25"/>
        <v>-239182.51341666662</v>
      </c>
      <c r="S27" s="6">
        <f t="shared" si="25"/>
        <v>-239182.51341666662</v>
      </c>
      <c r="T27" s="6">
        <f t="shared" si="4"/>
        <v>-3170190.1609999989</v>
      </c>
      <c r="U27" s="6">
        <f t="shared" si="11"/>
        <v>0</v>
      </c>
      <c r="V27" s="23">
        <f t="shared" si="18"/>
        <v>0</v>
      </c>
      <c r="W27" s="6">
        <f>SUM(W28:W36)</f>
        <v>0</v>
      </c>
      <c r="X27" s="6">
        <f t="shared" ref="X27:AH27" si="26">SUM(X28:X36)</f>
        <v>0</v>
      </c>
      <c r="Y27" s="6">
        <f t="shared" si="26"/>
        <v>0</v>
      </c>
      <c r="Z27" s="6">
        <f t="shared" si="26"/>
        <v>0</v>
      </c>
      <c r="AA27" s="6">
        <f t="shared" si="26"/>
        <v>0</v>
      </c>
      <c r="AB27" s="6">
        <f t="shared" si="26"/>
        <v>0</v>
      </c>
      <c r="AC27" s="6">
        <f t="shared" si="26"/>
        <v>0</v>
      </c>
      <c r="AD27" s="6">
        <f t="shared" si="26"/>
        <v>0</v>
      </c>
      <c r="AE27" s="6">
        <f t="shared" si="26"/>
        <v>0</v>
      </c>
      <c r="AF27" s="6">
        <f t="shared" si="26"/>
        <v>0</v>
      </c>
      <c r="AG27" s="6">
        <f t="shared" si="26"/>
        <v>0</v>
      </c>
      <c r="AH27" s="6">
        <f t="shared" si="26"/>
        <v>0</v>
      </c>
      <c r="AI27" s="6">
        <f t="shared" si="6"/>
        <v>0</v>
      </c>
    </row>
    <row r="28" spans="1:35" outlineLevel="1" x14ac:dyDescent="0.25">
      <c r="A28" s="1" t="s">
        <v>31</v>
      </c>
      <c r="B28" s="2">
        <v>-1803670.97</v>
      </c>
      <c r="C28" s="8">
        <f t="shared" si="0"/>
        <v>-0.16347367673304139</v>
      </c>
      <c r="D28" s="2">
        <v>-1858835.58</v>
      </c>
      <c r="E28" s="8">
        <f t="shared" si="12"/>
        <v>-0.22100751082050513</v>
      </c>
      <c r="F28" s="2">
        <f>+D28*1.15</f>
        <v>-2137660.9169999999</v>
      </c>
      <c r="G28" s="8">
        <f t="shared" si="17"/>
        <v>-0.25415863744358086</v>
      </c>
      <c r="H28" s="2">
        <f t="shared" si="21"/>
        <v>-178138.40974999999</v>
      </c>
      <c r="I28" s="2">
        <f t="shared" si="21"/>
        <v>-178138.40974999999</v>
      </c>
      <c r="J28" s="2">
        <f t="shared" si="21"/>
        <v>-178138.40974999999</v>
      </c>
      <c r="K28" s="2">
        <f t="shared" si="21"/>
        <v>-178138.40974999999</v>
      </c>
      <c r="L28" s="2">
        <f t="shared" si="21"/>
        <v>-178138.40974999999</v>
      </c>
      <c r="M28" s="2">
        <f t="shared" si="21"/>
        <v>-178138.40974999999</v>
      </c>
      <c r="N28" s="2">
        <f t="shared" si="21"/>
        <v>-178138.40974999999</v>
      </c>
      <c r="O28" s="2">
        <f t="shared" si="21"/>
        <v>-178138.40974999999</v>
      </c>
      <c r="P28" s="2">
        <f t="shared" si="21"/>
        <v>-178138.40974999999</v>
      </c>
      <c r="Q28" s="2">
        <f t="shared" si="21"/>
        <v>-178138.40974999999</v>
      </c>
      <c r="R28" s="2">
        <f t="shared" si="21"/>
        <v>-178138.40974999999</v>
      </c>
      <c r="S28" s="2">
        <f t="shared" si="21"/>
        <v>-178138.40974999999</v>
      </c>
      <c r="T28" s="6">
        <f t="shared" si="4"/>
        <v>-2137660.9170000004</v>
      </c>
      <c r="U28" s="24">
        <v>0</v>
      </c>
      <c r="V28" s="23">
        <f t="shared" si="18"/>
        <v>0</v>
      </c>
      <c r="W28" s="2">
        <f>+$U28/12</f>
        <v>0</v>
      </c>
      <c r="X28" s="2">
        <f t="shared" ref="X28:AH28" si="27">+$U28/12</f>
        <v>0</v>
      </c>
      <c r="Y28" s="2">
        <f t="shared" si="27"/>
        <v>0</v>
      </c>
      <c r="Z28" s="2">
        <f t="shared" si="27"/>
        <v>0</v>
      </c>
      <c r="AA28" s="2">
        <f t="shared" si="27"/>
        <v>0</v>
      </c>
      <c r="AB28" s="2">
        <f t="shared" si="27"/>
        <v>0</v>
      </c>
      <c r="AC28" s="2">
        <f t="shared" si="27"/>
        <v>0</v>
      </c>
      <c r="AD28" s="2">
        <f t="shared" si="27"/>
        <v>0</v>
      </c>
      <c r="AE28" s="2">
        <f t="shared" si="27"/>
        <v>0</v>
      </c>
      <c r="AF28" s="2">
        <f t="shared" si="27"/>
        <v>0</v>
      </c>
      <c r="AG28" s="2">
        <f t="shared" si="27"/>
        <v>0</v>
      </c>
      <c r="AH28" s="2">
        <f t="shared" si="27"/>
        <v>0</v>
      </c>
      <c r="AI28" s="6">
        <f t="shared" si="6"/>
        <v>0</v>
      </c>
    </row>
    <row r="29" spans="1:35" outlineLevel="1" x14ac:dyDescent="0.25">
      <c r="A29" s="1" t="s">
        <v>32</v>
      </c>
      <c r="B29" s="2">
        <v>-23400</v>
      </c>
      <c r="C29" s="8">
        <f t="shared" si="0"/>
        <v>-2.1208325127909382E-3</v>
      </c>
      <c r="D29" s="2">
        <v>-17550</v>
      </c>
      <c r="E29" s="8">
        <f t="shared" si="12"/>
        <v>-2.0866190945731007E-3</v>
      </c>
      <c r="F29" s="2">
        <f t="shared" ref="F29:F36" si="28">+D29*1.2</f>
        <v>-21060</v>
      </c>
      <c r="G29" s="8">
        <f t="shared" si="17"/>
        <v>-2.5039429134877211E-3</v>
      </c>
      <c r="H29" s="2">
        <f t="shared" si="21"/>
        <v>-1755</v>
      </c>
      <c r="I29" s="2">
        <f t="shared" si="21"/>
        <v>-1755</v>
      </c>
      <c r="J29" s="2">
        <f t="shared" si="21"/>
        <v>-1755</v>
      </c>
      <c r="K29" s="2">
        <f t="shared" si="21"/>
        <v>-1755</v>
      </c>
      <c r="L29" s="2">
        <f t="shared" si="21"/>
        <v>-1755</v>
      </c>
      <c r="M29" s="2">
        <f t="shared" si="21"/>
        <v>-1755</v>
      </c>
      <c r="N29" s="2">
        <f t="shared" si="21"/>
        <v>-1755</v>
      </c>
      <c r="O29" s="2">
        <f t="shared" si="21"/>
        <v>-1755</v>
      </c>
      <c r="P29" s="2">
        <f t="shared" si="21"/>
        <v>-1755</v>
      </c>
      <c r="Q29" s="2">
        <f t="shared" si="21"/>
        <v>-1755</v>
      </c>
      <c r="R29" s="2">
        <f t="shared" si="21"/>
        <v>-1755</v>
      </c>
      <c r="S29" s="2">
        <f t="shared" si="21"/>
        <v>-1755</v>
      </c>
      <c r="T29" s="6">
        <f t="shared" si="4"/>
        <v>-21060</v>
      </c>
      <c r="U29" s="24">
        <v>0</v>
      </c>
      <c r="V29" s="23">
        <f t="shared" si="18"/>
        <v>0</v>
      </c>
      <c r="W29" s="2">
        <f t="shared" ref="W29:AH44" si="29">+$U29/12</f>
        <v>0</v>
      </c>
      <c r="X29" s="2">
        <f t="shared" si="29"/>
        <v>0</v>
      </c>
      <c r="Y29" s="2">
        <f t="shared" si="29"/>
        <v>0</v>
      </c>
      <c r="Z29" s="2">
        <f t="shared" si="29"/>
        <v>0</v>
      </c>
      <c r="AA29" s="2">
        <f t="shared" si="29"/>
        <v>0</v>
      </c>
      <c r="AB29" s="2">
        <f t="shared" si="29"/>
        <v>0</v>
      </c>
      <c r="AC29" s="2">
        <f t="shared" si="29"/>
        <v>0</v>
      </c>
      <c r="AD29" s="2">
        <f t="shared" si="29"/>
        <v>0</v>
      </c>
      <c r="AE29" s="2">
        <f t="shared" si="29"/>
        <v>0</v>
      </c>
      <c r="AF29" s="2">
        <f t="shared" si="29"/>
        <v>0</v>
      </c>
      <c r="AG29" s="2">
        <f t="shared" si="29"/>
        <v>0</v>
      </c>
      <c r="AH29" s="2">
        <f t="shared" si="29"/>
        <v>0</v>
      </c>
      <c r="AI29" s="6">
        <f t="shared" si="6"/>
        <v>0</v>
      </c>
    </row>
    <row r="30" spans="1:35" outlineLevel="1" x14ac:dyDescent="0.25">
      <c r="A30" s="1" t="s">
        <v>33</v>
      </c>
      <c r="B30" s="2">
        <v>0</v>
      </c>
      <c r="C30" s="8">
        <f t="shared" si="0"/>
        <v>0</v>
      </c>
      <c r="D30" s="2">
        <v>-30979.360000000001</v>
      </c>
      <c r="E30" s="8">
        <f t="shared" si="12"/>
        <v>-3.6833119153079283E-3</v>
      </c>
      <c r="F30" s="2">
        <f t="shared" si="28"/>
        <v>-37175.231999999996</v>
      </c>
      <c r="G30" s="8">
        <f t="shared" si="17"/>
        <v>-4.4199742983695132E-3</v>
      </c>
      <c r="H30" s="2">
        <f t="shared" si="21"/>
        <v>-3097.9359999999997</v>
      </c>
      <c r="I30" s="2">
        <f t="shared" si="21"/>
        <v>-3097.9359999999997</v>
      </c>
      <c r="J30" s="2">
        <f t="shared" si="21"/>
        <v>-3097.9359999999997</v>
      </c>
      <c r="K30" s="2">
        <f t="shared" si="21"/>
        <v>-3097.9359999999997</v>
      </c>
      <c r="L30" s="2">
        <f t="shared" si="21"/>
        <v>-3097.9359999999997</v>
      </c>
      <c r="M30" s="2">
        <f t="shared" si="21"/>
        <v>-3097.9359999999997</v>
      </c>
      <c r="N30" s="2">
        <f t="shared" si="21"/>
        <v>-3097.9359999999997</v>
      </c>
      <c r="O30" s="2">
        <f t="shared" si="21"/>
        <v>-3097.9359999999997</v>
      </c>
      <c r="P30" s="2">
        <f t="shared" si="21"/>
        <v>-3097.9359999999997</v>
      </c>
      <c r="Q30" s="2">
        <f t="shared" si="21"/>
        <v>-3097.9359999999997</v>
      </c>
      <c r="R30" s="2">
        <f t="shared" si="21"/>
        <v>-3097.9359999999997</v>
      </c>
      <c r="S30" s="2">
        <f t="shared" si="21"/>
        <v>-3097.9359999999997</v>
      </c>
      <c r="T30" s="6">
        <f t="shared" si="4"/>
        <v>-37175.232000000004</v>
      </c>
      <c r="U30" s="24">
        <v>0</v>
      </c>
      <c r="V30" s="23">
        <f t="shared" si="18"/>
        <v>0</v>
      </c>
      <c r="W30" s="2">
        <f t="shared" si="29"/>
        <v>0</v>
      </c>
      <c r="X30" s="2">
        <f t="shared" si="29"/>
        <v>0</v>
      </c>
      <c r="Y30" s="2">
        <f t="shared" si="29"/>
        <v>0</v>
      </c>
      <c r="Z30" s="2">
        <f t="shared" si="29"/>
        <v>0</v>
      </c>
      <c r="AA30" s="2">
        <f t="shared" si="29"/>
        <v>0</v>
      </c>
      <c r="AB30" s="2">
        <f t="shared" si="29"/>
        <v>0</v>
      </c>
      <c r="AC30" s="2">
        <f t="shared" si="29"/>
        <v>0</v>
      </c>
      <c r="AD30" s="2">
        <f t="shared" si="29"/>
        <v>0</v>
      </c>
      <c r="AE30" s="2">
        <f t="shared" si="29"/>
        <v>0</v>
      </c>
      <c r="AF30" s="2">
        <f t="shared" si="29"/>
        <v>0</v>
      </c>
      <c r="AG30" s="2">
        <f t="shared" si="29"/>
        <v>0</v>
      </c>
      <c r="AH30" s="2">
        <f t="shared" si="29"/>
        <v>0</v>
      </c>
      <c r="AI30" s="6">
        <f t="shared" si="6"/>
        <v>0</v>
      </c>
    </row>
    <row r="31" spans="1:35" outlineLevel="1" x14ac:dyDescent="0.25">
      <c r="A31" s="1" t="s">
        <v>34</v>
      </c>
      <c r="B31" s="2">
        <v>-59758.13</v>
      </c>
      <c r="C31" s="8">
        <f t="shared" si="0"/>
        <v>-5.4161104704097233E-3</v>
      </c>
      <c r="D31" s="2">
        <v>-48378.17</v>
      </c>
      <c r="E31" s="8">
        <f t="shared" si="12"/>
        <v>-5.7519551727922245E-3</v>
      </c>
      <c r="F31" s="2">
        <f t="shared" si="28"/>
        <v>-58053.803999999996</v>
      </c>
      <c r="G31" s="8">
        <f t="shared" si="17"/>
        <v>-6.9023462073506698E-3</v>
      </c>
      <c r="H31" s="2">
        <f t="shared" si="21"/>
        <v>-4837.817</v>
      </c>
      <c r="I31" s="2">
        <f t="shared" si="21"/>
        <v>-4837.817</v>
      </c>
      <c r="J31" s="2">
        <f t="shared" si="21"/>
        <v>-4837.817</v>
      </c>
      <c r="K31" s="2">
        <f t="shared" si="21"/>
        <v>-4837.817</v>
      </c>
      <c r="L31" s="2">
        <f t="shared" si="21"/>
        <v>-4837.817</v>
      </c>
      <c r="M31" s="2">
        <f t="shared" si="21"/>
        <v>-4837.817</v>
      </c>
      <c r="N31" s="2">
        <f t="shared" si="21"/>
        <v>-4837.817</v>
      </c>
      <c r="O31" s="2">
        <f t="shared" si="21"/>
        <v>-4837.817</v>
      </c>
      <c r="P31" s="2">
        <f t="shared" si="21"/>
        <v>-4837.817</v>
      </c>
      <c r="Q31" s="2">
        <f t="shared" si="21"/>
        <v>-4837.817</v>
      </c>
      <c r="R31" s="2">
        <f t="shared" si="21"/>
        <v>-4837.817</v>
      </c>
      <c r="S31" s="2">
        <f t="shared" si="21"/>
        <v>-4837.817</v>
      </c>
      <c r="T31" s="6">
        <f t="shared" si="4"/>
        <v>-58053.804000000011</v>
      </c>
      <c r="U31" s="24">
        <v>0</v>
      </c>
      <c r="V31" s="23">
        <f t="shared" si="18"/>
        <v>0</v>
      </c>
      <c r="W31" s="2">
        <f t="shared" si="29"/>
        <v>0</v>
      </c>
      <c r="X31" s="2">
        <f t="shared" si="29"/>
        <v>0</v>
      </c>
      <c r="Y31" s="2">
        <f t="shared" si="29"/>
        <v>0</v>
      </c>
      <c r="Z31" s="2">
        <f t="shared" si="29"/>
        <v>0</v>
      </c>
      <c r="AA31" s="2">
        <f t="shared" si="29"/>
        <v>0</v>
      </c>
      <c r="AB31" s="2">
        <f t="shared" si="29"/>
        <v>0</v>
      </c>
      <c r="AC31" s="2">
        <f t="shared" si="29"/>
        <v>0</v>
      </c>
      <c r="AD31" s="2">
        <f t="shared" si="29"/>
        <v>0</v>
      </c>
      <c r="AE31" s="2">
        <f t="shared" si="29"/>
        <v>0</v>
      </c>
      <c r="AF31" s="2">
        <f t="shared" si="29"/>
        <v>0</v>
      </c>
      <c r="AG31" s="2">
        <f t="shared" si="29"/>
        <v>0</v>
      </c>
      <c r="AH31" s="2">
        <f t="shared" si="29"/>
        <v>0</v>
      </c>
      <c r="AI31" s="6">
        <f t="shared" si="6"/>
        <v>0</v>
      </c>
    </row>
    <row r="32" spans="1:35" s="5" customFormat="1" outlineLevel="1" x14ac:dyDescent="0.25">
      <c r="A32" s="1" t="s">
        <v>35</v>
      </c>
      <c r="B32" s="2">
        <v>0</v>
      </c>
      <c r="C32" s="8">
        <f t="shared" si="0"/>
        <v>0</v>
      </c>
      <c r="D32" s="2">
        <v>-35116.82</v>
      </c>
      <c r="E32" s="8">
        <f t="shared" si="12"/>
        <v>-4.1752380143980942E-3</v>
      </c>
      <c r="F32" s="2">
        <v>-300000</v>
      </c>
      <c r="G32" s="8">
        <f t="shared" si="17"/>
        <v>-3.5668702471335058E-2</v>
      </c>
      <c r="H32" s="2">
        <v>-50000</v>
      </c>
      <c r="I32" s="2">
        <v>-50000</v>
      </c>
      <c r="J32" s="2"/>
      <c r="K32" s="2">
        <v>-150000</v>
      </c>
      <c r="L32" s="2"/>
      <c r="M32" s="2"/>
      <c r="N32" s="2"/>
      <c r="O32" s="2"/>
      <c r="P32" s="2">
        <v>-50000</v>
      </c>
      <c r="Q32" s="2"/>
      <c r="R32" s="2"/>
      <c r="S32" s="2"/>
      <c r="T32" s="6"/>
      <c r="U32" s="24">
        <v>0</v>
      </c>
      <c r="V32" s="23">
        <f t="shared" si="18"/>
        <v>0</v>
      </c>
      <c r="W32" s="2">
        <f t="shared" si="29"/>
        <v>0</v>
      </c>
      <c r="X32" s="2">
        <f t="shared" si="29"/>
        <v>0</v>
      </c>
      <c r="Y32" s="2">
        <f t="shared" si="29"/>
        <v>0</v>
      </c>
      <c r="Z32" s="2">
        <f t="shared" si="29"/>
        <v>0</v>
      </c>
      <c r="AA32" s="2">
        <f t="shared" si="29"/>
        <v>0</v>
      </c>
      <c r="AB32" s="2">
        <f t="shared" si="29"/>
        <v>0</v>
      </c>
      <c r="AC32" s="2">
        <f t="shared" si="29"/>
        <v>0</v>
      </c>
      <c r="AD32" s="2">
        <f t="shared" si="29"/>
        <v>0</v>
      </c>
      <c r="AE32" s="2">
        <f t="shared" si="29"/>
        <v>0</v>
      </c>
      <c r="AF32" s="2">
        <f t="shared" si="29"/>
        <v>0</v>
      </c>
      <c r="AG32" s="2">
        <f t="shared" si="29"/>
        <v>0</v>
      </c>
      <c r="AH32" s="2">
        <f t="shared" si="29"/>
        <v>0</v>
      </c>
      <c r="AI32" s="6"/>
    </row>
    <row r="33" spans="1:35" outlineLevel="1" x14ac:dyDescent="0.25">
      <c r="A33" s="1" t="s">
        <v>36</v>
      </c>
      <c r="B33" s="2">
        <v>-474954.57</v>
      </c>
      <c r="C33" s="8">
        <f t="shared" si="0"/>
        <v>-4.3046969835668351E-2</v>
      </c>
      <c r="D33" s="2">
        <v>-440599.49</v>
      </c>
      <c r="E33" s="8">
        <f t="shared" si="12"/>
        <v>-5.2385373726106556E-2</v>
      </c>
      <c r="F33" s="2">
        <f t="shared" si="28"/>
        <v>-528719.38799999992</v>
      </c>
      <c r="G33" s="8">
        <f t="shared" si="17"/>
        <v>-6.2862448471327853E-2</v>
      </c>
      <c r="H33" s="2">
        <f t="shared" si="21"/>
        <v>-44059.948999999993</v>
      </c>
      <c r="I33" s="2">
        <f t="shared" si="21"/>
        <v>-44059.948999999993</v>
      </c>
      <c r="J33" s="2">
        <f t="shared" si="21"/>
        <v>-44059.948999999993</v>
      </c>
      <c r="K33" s="2">
        <f t="shared" si="21"/>
        <v>-44059.948999999993</v>
      </c>
      <c r="L33" s="2">
        <f t="shared" si="21"/>
        <v>-44059.948999999993</v>
      </c>
      <c r="M33" s="2">
        <f t="shared" si="21"/>
        <v>-44059.948999999993</v>
      </c>
      <c r="N33" s="2">
        <f t="shared" si="21"/>
        <v>-44059.948999999993</v>
      </c>
      <c r="O33" s="2">
        <f t="shared" si="21"/>
        <v>-44059.948999999993</v>
      </c>
      <c r="P33" s="2">
        <f t="shared" si="21"/>
        <v>-44059.948999999993</v>
      </c>
      <c r="Q33" s="2">
        <f t="shared" si="21"/>
        <v>-44059.948999999993</v>
      </c>
      <c r="R33" s="2">
        <f t="shared" si="21"/>
        <v>-44059.948999999993</v>
      </c>
      <c r="S33" s="2">
        <f t="shared" si="21"/>
        <v>-44059.948999999993</v>
      </c>
      <c r="T33" s="6">
        <f t="shared" si="4"/>
        <v>-528719.38800000004</v>
      </c>
      <c r="U33" s="24">
        <v>0</v>
      </c>
      <c r="V33" s="23">
        <f t="shared" si="18"/>
        <v>0</v>
      </c>
      <c r="W33" s="2">
        <f t="shared" si="29"/>
        <v>0</v>
      </c>
      <c r="X33" s="2">
        <f t="shared" si="29"/>
        <v>0</v>
      </c>
      <c r="Y33" s="2">
        <f t="shared" si="29"/>
        <v>0</v>
      </c>
      <c r="Z33" s="2">
        <f t="shared" si="29"/>
        <v>0</v>
      </c>
      <c r="AA33" s="2">
        <f t="shared" si="29"/>
        <v>0</v>
      </c>
      <c r="AB33" s="2">
        <f t="shared" si="29"/>
        <v>0</v>
      </c>
      <c r="AC33" s="2">
        <f t="shared" si="29"/>
        <v>0</v>
      </c>
      <c r="AD33" s="2">
        <f t="shared" si="29"/>
        <v>0</v>
      </c>
      <c r="AE33" s="2">
        <f t="shared" si="29"/>
        <v>0</v>
      </c>
      <c r="AF33" s="2">
        <f t="shared" si="29"/>
        <v>0</v>
      </c>
      <c r="AG33" s="2">
        <f t="shared" si="29"/>
        <v>0</v>
      </c>
      <c r="AH33" s="2">
        <f t="shared" si="29"/>
        <v>0</v>
      </c>
      <c r="AI33" s="6">
        <f t="shared" ref="AI33:AI66" si="30">SUM(W33:AH33)</f>
        <v>0</v>
      </c>
    </row>
    <row r="34" spans="1:35" outlineLevel="1" x14ac:dyDescent="0.25">
      <c r="A34" s="1" t="s">
        <v>37</v>
      </c>
      <c r="B34" s="2">
        <v>-1421</v>
      </c>
      <c r="C34" s="8">
        <f t="shared" si="0"/>
        <v>-1.2879072652461208E-4</v>
      </c>
      <c r="D34" s="2">
        <v>-7966.65</v>
      </c>
      <c r="E34" s="8">
        <f t="shared" si="12"/>
        <v>-9.4720022847753803E-4</v>
      </c>
      <c r="F34" s="2">
        <f>+D34*2</f>
        <v>-15933.3</v>
      </c>
      <c r="G34" s="8">
        <f t="shared" si="17"/>
        <v>-1.8944004569550761E-3</v>
      </c>
      <c r="H34" s="2">
        <f t="shared" si="21"/>
        <v>-1327.7749999999999</v>
      </c>
      <c r="I34" s="2">
        <f t="shared" si="21"/>
        <v>-1327.7749999999999</v>
      </c>
      <c r="J34" s="2">
        <f t="shared" si="21"/>
        <v>-1327.7749999999999</v>
      </c>
      <c r="K34" s="2">
        <f t="shared" si="21"/>
        <v>-1327.7749999999999</v>
      </c>
      <c r="L34" s="2">
        <f t="shared" si="21"/>
        <v>-1327.7749999999999</v>
      </c>
      <c r="M34" s="2">
        <f t="shared" si="21"/>
        <v>-1327.7749999999999</v>
      </c>
      <c r="N34" s="2">
        <f t="shared" si="21"/>
        <v>-1327.7749999999999</v>
      </c>
      <c r="O34" s="2">
        <f t="shared" si="21"/>
        <v>-1327.7749999999999</v>
      </c>
      <c r="P34" s="2">
        <f t="shared" si="21"/>
        <v>-1327.7749999999999</v>
      </c>
      <c r="Q34" s="2">
        <f t="shared" si="21"/>
        <v>-1327.7749999999999</v>
      </c>
      <c r="R34" s="2">
        <f t="shared" si="21"/>
        <v>-1327.7749999999999</v>
      </c>
      <c r="S34" s="2">
        <f t="shared" si="21"/>
        <v>-1327.7749999999999</v>
      </c>
      <c r="T34" s="6">
        <f t="shared" si="4"/>
        <v>-15933.299999999997</v>
      </c>
      <c r="U34" s="24">
        <v>0</v>
      </c>
      <c r="V34" s="23">
        <f t="shared" si="18"/>
        <v>0</v>
      </c>
      <c r="W34" s="2">
        <f t="shared" si="29"/>
        <v>0</v>
      </c>
      <c r="X34" s="2">
        <f t="shared" si="29"/>
        <v>0</v>
      </c>
      <c r="Y34" s="2">
        <f t="shared" si="29"/>
        <v>0</v>
      </c>
      <c r="Z34" s="2">
        <f t="shared" si="29"/>
        <v>0</v>
      </c>
      <c r="AA34" s="2">
        <f t="shared" si="29"/>
        <v>0</v>
      </c>
      <c r="AB34" s="2">
        <f t="shared" si="29"/>
        <v>0</v>
      </c>
      <c r="AC34" s="2">
        <f t="shared" si="29"/>
        <v>0</v>
      </c>
      <c r="AD34" s="2">
        <f t="shared" si="29"/>
        <v>0</v>
      </c>
      <c r="AE34" s="2">
        <f t="shared" si="29"/>
        <v>0</v>
      </c>
      <c r="AF34" s="2">
        <f t="shared" si="29"/>
        <v>0</v>
      </c>
      <c r="AG34" s="2">
        <f t="shared" si="29"/>
        <v>0</v>
      </c>
      <c r="AH34" s="2">
        <f t="shared" si="29"/>
        <v>0</v>
      </c>
      <c r="AI34" s="6">
        <f t="shared" si="30"/>
        <v>0</v>
      </c>
    </row>
    <row r="35" spans="1:35" outlineLevel="1" x14ac:dyDescent="0.25">
      <c r="A35" s="1" t="s">
        <v>38</v>
      </c>
      <c r="B35" s="2">
        <v>-2396.38</v>
      </c>
      <c r="C35" s="8">
        <f t="shared" si="0"/>
        <v>-2.1719318876076702E-4</v>
      </c>
      <c r="D35" s="2">
        <v>-13056.61</v>
      </c>
      <c r="E35" s="8">
        <f t="shared" si="12"/>
        <v>-1.5523744579141936E-3</v>
      </c>
      <c r="F35" s="2">
        <f>+D35*0.8</f>
        <v>-10445.288</v>
      </c>
      <c r="G35" s="8">
        <f t="shared" si="17"/>
        <v>-1.2418995663313547E-3</v>
      </c>
      <c r="H35" s="2">
        <f t="shared" ref="H35:S36" si="31">+$F35/12</f>
        <v>-870.44066666666674</v>
      </c>
      <c r="I35" s="2">
        <f t="shared" si="31"/>
        <v>-870.44066666666674</v>
      </c>
      <c r="J35" s="2">
        <f t="shared" si="31"/>
        <v>-870.44066666666674</v>
      </c>
      <c r="K35" s="2">
        <f t="shared" si="31"/>
        <v>-870.44066666666674</v>
      </c>
      <c r="L35" s="2">
        <f t="shared" si="31"/>
        <v>-870.44066666666674</v>
      </c>
      <c r="M35" s="2">
        <f t="shared" si="31"/>
        <v>-870.44066666666674</v>
      </c>
      <c r="N35" s="2">
        <f t="shared" si="31"/>
        <v>-870.44066666666674</v>
      </c>
      <c r="O35" s="2">
        <f t="shared" si="31"/>
        <v>-870.44066666666674</v>
      </c>
      <c r="P35" s="2">
        <f t="shared" si="31"/>
        <v>-870.44066666666674</v>
      </c>
      <c r="Q35" s="2">
        <f t="shared" si="31"/>
        <v>-870.44066666666674</v>
      </c>
      <c r="R35" s="2">
        <f t="shared" si="31"/>
        <v>-870.44066666666674</v>
      </c>
      <c r="S35" s="2">
        <f t="shared" si="31"/>
        <v>-870.44066666666674</v>
      </c>
      <c r="T35" s="6">
        <f t="shared" si="4"/>
        <v>-10445.288</v>
      </c>
      <c r="U35" s="24">
        <v>0</v>
      </c>
      <c r="V35" s="23">
        <f t="shared" si="18"/>
        <v>0</v>
      </c>
      <c r="W35" s="2">
        <f t="shared" si="29"/>
        <v>0</v>
      </c>
      <c r="X35" s="2">
        <f t="shared" si="29"/>
        <v>0</v>
      </c>
      <c r="Y35" s="2">
        <f t="shared" si="29"/>
        <v>0</v>
      </c>
      <c r="Z35" s="2">
        <f t="shared" si="29"/>
        <v>0</v>
      </c>
      <c r="AA35" s="2">
        <f t="shared" si="29"/>
        <v>0</v>
      </c>
      <c r="AB35" s="2">
        <f t="shared" si="29"/>
        <v>0</v>
      </c>
      <c r="AC35" s="2">
        <f t="shared" si="29"/>
        <v>0</v>
      </c>
      <c r="AD35" s="2">
        <f t="shared" si="29"/>
        <v>0</v>
      </c>
      <c r="AE35" s="2">
        <f t="shared" si="29"/>
        <v>0</v>
      </c>
      <c r="AF35" s="2">
        <f t="shared" si="29"/>
        <v>0</v>
      </c>
      <c r="AG35" s="2">
        <f t="shared" si="29"/>
        <v>0</v>
      </c>
      <c r="AH35" s="2">
        <f t="shared" si="29"/>
        <v>0</v>
      </c>
      <c r="AI35" s="6">
        <f t="shared" si="30"/>
        <v>0</v>
      </c>
    </row>
    <row r="36" spans="1:35" outlineLevel="1" x14ac:dyDescent="0.25">
      <c r="A36" s="1" t="s">
        <v>39</v>
      </c>
      <c r="B36" s="2">
        <v>-44023.39</v>
      </c>
      <c r="C36" s="8">
        <f t="shared" si="0"/>
        <v>-3.9900101211656179E-3</v>
      </c>
      <c r="D36" s="2">
        <v>-50951.86</v>
      </c>
      <c r="E36" s="8">
        <f t="shared" si="12"/>
        <v>-6.05795578233706E-3</v>
      </c>
      <c r="F36" s="2">
        <f t="shared" si="28"/>
        <v>-61142.231999999996</v>
      </c>
      <c r="G36" s="8">
        <f t="shared" si="17"/>
        <v>-7.2695469388044708E-3</v>
      </c>
      <c r="H36" s="2">
        <f t="shared" si="31"/>
        <v>-5095.1859999999997</v>
      </c>
      <c r="I36" s="2">
        <f t="shared" si="31"/>
        <v>-5095.1859999999997</v>
      </c>
      <c r="J36" s="2">
        <f t="shared" si="31"/>
        <v>-5095.1859999999997</v>
      </c>
      <c r="K36" s="2">
        <f t="shared" si="31"/>
        <v>-5095.1859999999997</v>
      </c>
      <c r="L36" s="2">
        <f t="shared" si="31"/>
        <v>-5095.1859999999997</v>
      </c>
      <c r="M36" s="2">
        <f t="shared" si="31"/>
        <v>-5095.1859999999997</v>
      </c>
      <c r="N36" s="2">
        <f t="shared" si="31"/>
        <v>-5095.1859999999997</v>
      </c>
      <c r="O36" s="2">
        <f t="shared" si="31"/>
        <v>-5095.1859999999997</v>
      </c>
      <c r="P36" s="2">
        <f t="shared" si="31"/>
        <v>-5095.1859999999997</v>
      </c>
      <c r="Q36" s="2">
        <f t="shared" si="31"/>
        <v>-5095.1859999999997</v>
      </c>
      <c r="R36" s="2">
        <f t="shared" si="31"/>
        <v>-5095.1859999999997</v>
      </c>
      <c r="S36" s="2">
        <f t="shared" si="31"/>
        <v>-5095.1859999999997</v>
      </c>
      <c r="T36" s="6">
        <f t="shared" si="4"/>
        <v>-61142.232000000011</v>
      </c>
      <c r="U36" s="24">
        <v>0</v>
      </c>
      <c r="V36" s="23">
        <f t="shared" si="18"/>
        <v>0</v>
      </c>
      <c r="W36" s="2">
        <f t="shared" si="29"/>
        <v>0</v>
      </c>
      <c r="X36" s="2">
        <f t="shared" si="29"/>
        <v>0</v>
      </c>
      <c r="Y36" s="2">
        <f t="shared" si="29"/>
        <v>0</v>
      </c>
      <c r="Z36" s="2">
        <f t="shared" si="29"/>
        <v>0</v>
      </c>
      <c r="AA36" s="2">
        <f t="shared" si="29"/>
        <v>0</v>
      </c>
      <c r="AB36" s="2">
        <f t="shared" si="29"/>
        <v>0</v>
      </c>
      <c r="AC36" s="2">
        <f t="shared" si="29"/>
        <v>0</v>
      </c>
      <c r="AD36" s="2">
        <f t="shared" si="29"/>
        <v>0</v>
      </c>
      <c r="AE36" s="2">
        <f t="shared" si="29"/>
        <v>0</v>
      </c>
      <c r="AF36" s="2">
        <f t="shared" si="29"/>
        <v>0</v>
      </c>
      <c r="AG36" s="2">
        <f t="shared" si="29"/>
        <v>0</v>
      </c>
      <c r="AH36" s="2">
        <f t="shared" si="29"/>
        <v>0</v>
      </c>
      <c r="AI36" s="6">
        <f t="shared" si="30"/>
        <v>0</v>
      </c>
    </row>
    <row r="37" spans="1:35" x14ac:dyDescent="0.25">
      <c r="A37" s="5" t="s">
        <v>40</v>
      </c>
      <c r="B37" s="6">
        <v>-1010603.09</v>
      </c>
      <c r="C37" s="7">
        <f t="shared" si="0"/>
        <v>-9.1594867128161811E-2</v>
      </c>
      <c r="D37" s="6">
        <v>-705469.42</v>
      </c>
      <c r="E37" s="7">
        <f t="shared" si="12"/>
        <v>-8.3877262815351045E-2</v>
      </c>
      <c r="F37" s="6">
        <f>SUM(F38:F121)</f>
        <v>-836075.96640000003</v>
      </c>
      <c r="G37" s="7">
        <f t="shared" si="17"/>
        <v>-9.9405816296518429E-2</v>
      </c>
      <c r="H37" s="6">
        <f>SUM(H38:H121)</f>
        <v>-69672.997199999998</v>
      </c>
      <c r="I37" s="6">
        <f t="shared" ref="I37:S37" si="32">SUM(I38:I121)</f>
        <v>-69672.997199999998</v>
      </c>
      <c r="J37" s="6">
        <f t="shared" si="32"/>
        <v>-69672.997199999998</v>
      </c>
      <c r="K37" s="6">
        <f t="shared" si="32"/>
        <v>-69672.997199999998</v>
      </c>
      <c r="L37" s="6">
        <f t="shared" si="32"/>
        <v>-69672.997199999998</v>
      </c>
      <c r="M37" s="6">
        <f t="shared" si="32"/>
        <v>-69672.997199999998</v>
      </c>
      <c r="N37" s="6">
        <f t="shared" si="32"/>
        <v>-69672.997199999998</v>
      </c>
      <c r="O37" s="6">
        <f t="shared" si="32"/>
        <v>-69672.997199999998</v>
      </c>
      <c r="P37" s="6">
        <f t="shared" si="32"/>
        <v>-69672.997199999998</v>
      </c>
      <c r="Q37" s="6">
        <f t="shared" si="32"/>
        <v>-69672.997199999998</v>
      </c>
      <c r="R37" s="6">
        <f t="shared" si="32"/>
        <v>-69672.997199999998</v>
      </c>
      <c r="S37" s="6">
        <f t="shared" si="32"/>
        <v>-69672.997199999998</v>
      </c>
      <c r="T37" s="6">
        <f t="shared" si="4"/>
        <v>-836075.96639999992</v>
      </c>
      <c r="U37" s="6">
        <f t="shared" si="11"/>
        <v>0</v>
      </c>
      <c r="V37" s="23">
        <f t="shared" si="18"/>
        <v>0</v>
      </c>
      <c r="W37" s="6">
        <f>SUM(W38:W121)</f>
        <v>0</v>
      </c>
      <c r="X37" s="6">
        <f t="shared" ref="X37:AH37" si="33">SUM(X38:X121)</f>
        <v>0</v>
      </c>
      <c r="Y37" s="6">
        <f t="shared" si="33"/>
        <v>0</v>
      </c>
      <c r="Z37" s="6">
        <f t="shared" si="33"/>
        <v>0</v>
      </c>
      <c r="AA37" s="6">
        <f t="shared" si="33"/>
        <v>0</v>
      </c>
      <c r="AB37" s="6">
        <f t="shared" si="33"/>
        <v>0</v>
      </c>
      <c r="AC37" s="6">
        <f t="shared" si="33"/>
        <v>0</v>
      </c>
      <c r="AD37" s="6">
        <f t="shared" si="33"/>
        <v>0</v>
      </c>
      <c r="AE37" s="6">
        <f t="shared" si="33"/>
        <v>0</v>
      </c>
      <c r="AF37" s="6">
        <f t="shared" si="33"/>
        <v>0</v>
      </c>
      <c r="AG37" s="6">
        <f t="shared" si="33"/>
        <v>0</v>
      </c>
      <c r="AH37" s="6">
        <f t="shared" si="33"/>
        <v>0</v>
      </c>
      <c r="AI37" s="6">
        <f t="shared" si="30"/>
        <v>0</v>
      </c>
    </row>
    <row r="38" spans="1:35" outlineLevel="1" x14ac:dyDescent="0.25">
      <c r="A38" s="10" t="s">
        <v>41</v>
      </c>
      <c r="B38" s="6"/>
      <c r="C38" s="7"/>
      <c r="D38" s="6"/>
      <c r="E38" s="7"/>
      <c r="F38" s="24">
        <f>+D38*1.1</f>
        <v>0</v>
      </c>
      <c r="G38" s="7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24"/>
      <c r="T38" s="6">
        <f t="shared" si="4"/>
        <v>0</v>
      </c>
      <c r="U38" s="24">
        <v>0</v>
      </c>
      <c r="V38" s="23">
        <f t="shared" si="18"/>
        <v>0</v>
      </c>
      <c r="W38" s="2">
        <f t="shared" si="29"/>
        <v>0</v>
      </c>
      <c r="X38" s="2">
        <f t="shared" si="29"/>
        <v>0</v>
      </c>
      <c r="Y38" s="2">
        <f t="shared" si="29"/>
        <v>0</v>
      </c>
      <c r="Z38" s="2">
        <f t="shared" si="29"/>
        <v>0</v>
      </c>
      <c r="AA38" s="2">
        <f t="shared" si="29"/>
        <v>0</v>
      </c>
      <c r="AB38" s="2">
        <f t="shared" si="29"/>
        <v>0</v>
      </c>
      <c r="AC38" s="2">
        <f t="shared" si="29"/>
        <v>0</v>
      </c>
      <c r="AD38" s="2">
        <f t="shared" si="29"/>
        <v>0</v>
      </c>
      <c r="AE38" s="2">
        <f t="shared" si="29"/>
        <v>0</v>
      </c>
      <c r="AF38" s="2">
        <f t="shared" si="29"/>
        <v>0</v>
      </c>
      <c r="AG38" s="2">
        <f t="shared" si="29"/>
        <v>0</v>
      </c>
      <c r="AH38" s="2">
        <f t="shared" si="29"/>
        <v>0</v>
      </c>
      <c r="AI38" s="6">
        <f t="shared" si="30"/>
        <v>0</v>
      </c>
    </row>
    <row r="39" spans="1:35" outlineLevel="1" x14ac:dyDescent="0.25">
      <c r="A39" s="1" t="s">
        <v>42</v>
      </c>
      <c r="B39" s="2">
        <v>0</v>
      </c>
      <c r="C39" s="8">
        <f>+B39/$B$2</f>
        <v>0</v>
      </c>
      <c r="D39" s="2">
        <v>-5319.29</v>
      </c>
      <c r="E39" s="8">
        <f>+D39/$D$2</f>
        <v>-6.3244057456249281E-4</v>
      </c>
      <c r="F39" s="24">
        <v>-6708</v>
      </c>
      <c r="G39" s="8">
        <f>+F39/$D$2</f>
        <v>-7.9755218725905189E-4</v>
      </c>
      <c r="H39" s="2">
        <f t="shared" ref="H39:S43" si="34">+$F39/12</f>
        <v>-559</v>
      </c>
      <c r="I39" s="2">
        <f t="shared" si="34"/>
        <v>-559</v>
      </c>
      <c r="J39" s="2">
        <f t="shared" si="34"/>
        <v>-559</v>
      </c>
      <c r="K39" s="2">
        <f t="shared" si="34"/>
        <v>-559</v>
      </c>
      <c r="L39" s="2">
        <f t="shared" si="34"/>
        <v>-559</v>
      </c>
      <c r="M39" s="2">
        <f t="shared" si="34"/>
        <v>-559</v>
      </c>
      <c r="N39" s="2">
        <f t="shared" si="34"/>
        <v>-559</v>
      </c>
      <c r="O39" s="2">
        <f t="shared" si="34"/>
        <v>-559</v>
      </c>
      <c r="P39" s="2">
        <f t="shared" si="34"/>
        <v>-559</v>
      </c>
      <c r="Q39" s="2">
        <f t="shared" si="34"/>
        <v>-559</v>
      </c>
      <c r="R39" s="2">
        <f t="shared" si="34"/>
        <v>-559</v>
      </c>
      <c r="S39" s="2">
        <f t="shared" si="34"/>
        <v>-559</v>
      </c>
      <c r="T39" s="6">
        <f t="shared" si="4"/>
        <v>-6708</v>
      </c>
      <c r="U39" s="24">
        <v>0</v>
      </c>
      <c r="V39" s="23">
        <f t="shared" si="18"/>
        <v>0</v>
      </c>
      <c r="W39" s="2">
        <f t="shared" si="29"/>
        <v>0</v>
      </c>
      <c r="X39" s="2">
        <f t="shared" si="29"/>
        <v>0</v>
      </c>
      <c r="Y39" s="2">
        <f t="shared" si="29"/>
        <v>0</v>
      </c>
      <c r="Z39" s="2">
        <f t="shared" si="29"/>
        <v>0</v>
      </c>
      <c r="AA39" s="2">
        <f t="shared" si="29"/>
        <v>0</v>
      </c>
      <c r="AB39" s="2">
        <f t="shared" si="29"/>
        <v>0</v>
      </c>
      <c r="AC39" s="2">
        <f t="shared" si="29"/>
        <v>0</v>
      </c>
      <c r="AD39" s="2">
        <f t="shared" si="29"/>
        <v>0</v>
      </c>
      <c r="AE39" s="2">
        <f t="shared" si="29"/>
        <v>0</v>
      </c>
      <c r="AF39" s="2">
        <f t="shared" si="29"/>
        <v>0</v>
      </c>
      <c r="AG39" s="2">
        <f t="shared" si="29"/>
        <v>0</v>
      </c>
      <c r="AH39" s="2">
        <f t="shared" si="29"/>
        <v>0</v>
      </c>
      <c r="AI39" s="6">
        <f t="shared" si="30"/>
        <v>0</v>
      </c>
    </row>
    <row r="40" spans="1:35" outlineLevel="1" x14ac:dyDescent="0.25">
      <c r="A40" s="1" t="s">
        <v>43</v>
      </c>
      <c r="B40" s="2">
        <v>-23966.68</v>
      </c>
      <c r="C40" s="8">
        <f>+B40/$B$2</f>
        <v>-2.1721929131477058E-3</v>
      </c>
      <c r="D40" s="2">
        <v>-29325.13</v>
      </c>
      <c r="E40" s="8">
        <f>+D40/$D$2</f>
        <v>-3.4866311230107396E-3</v>
      </c>
      <c r="F40" s="24">
        <f>+D40*1.1</f>
        <v>-32257.643000000004</v>
      </c>
      <c r="G40" s="8">
        <f>+F40/$D$2</f>
        <v>-3.8352942353118138E-3</v>
      </c>
      <c r="H40" s="2">
        <f t="shared" si="34"/>
        <v>-2688.1369166666668</v>
      </c>
      <c r="I40" s="2">
        <f t="shared" si="34"/>
        <v>-2688.1369166666668</v>
      </c>
      <c r="J40" s="2">
        <f t="shared" si="34"/>
        <v>-2688.1369166666668</v>
      </c>
      <c r="K40" s="2">
        <f t="shared" si="34"/>
        <v>-2688.1369166666668</v>
      </c>
      <c r="L40" s="2">
        <f t="shared" si="34"/>
        <v>-2688.1369166666668</v>
      </c>
      <c r="M40" s="2">
        <f t="shared" si="34"/>
        <v>-2688.1369166666668</v>
      </c>
      <c r="N40" s="2">
        <f t="shared" si="34"/>
        <v>-2688.1369166666668</v>
      </c>
      <c r="O40" s="2">
        <f t="shared" si="34"/>
        <v>-2688.1369166666668</v>
      </c>
      <c r="P40" s="2">
        <f t="shared" si="34"/>
        <v>-2688.1369166666668</v>
      </c>
      <c r="Q40" s="2">
        <f t="shared" si="34"/>
        <v>-2688.1369166666668</v>
      </c>
      <c r="R40" s="2">
        <f t="shared" si="34"/>
        <v>-2688.1369166666668</v>
      </c>
      <c r="S40" s="2">
        <f t="shared" si="34"/>
        <v>-2688.1369166666668</v>
      </c>
      <c r="T40" s="6">
        <f t="shared" si="4"/>
        <v>-32257.643</v>
      </c>
      <c r="U40" s="24">
        <v>0</v>
      </c>
      <c r="V40" s="23">
        <f t="shared" si="18"/>
        <v>0</v>
      </c>
      <c r="W40" s="2">
        <f t="shared" si="29"/>
        <v>0</v>
      </c>
      <c r="X40" s="2">
        <f t="shared" si="29"/>
        <v>0</v>
      </c>
      <c r="Y40" s="2">
        <f t="shared" si="29"/>
        <v>0</v>
      </c>
      <c r="Z40" s="2">
        <f t="shared" si="29"/>
        <v>0</v>
      </c>
      <c r="AA40" s="2">
        <f t="shared" si="29"/>
        <v>0</v>
      </c>
      <c r="AB40" s="2">
        <f t="shared" si="29"/>
        <v>0</v>
      </c>
      <c r="AC40" s="2">
        <f t="shared" si="29"/>
        <v>0</v>
      </c>
      <c r="AD40" s="2">
        <f t="shared" si="29"/>
        <v>0</v>
      </c>
      <c r="AE40" s="2">
        <f t="shared" si="29"/>
        <v>0</v>
      </c>
      <c r="AF40" s="2">
        <f t="shared" si="29"/>
        <v>0</v>
      </c>
      <c r="AG40" s="2">
        <f t="shared" si="29"/>
        <v>0</v>
      </c>
      <c r="AH40" s="2">
        <f t="shared" si="29"/>
        <v>0</v>
      </c>
      <c r="AI40" s="6">
        <f t="shared" si="30"/>
        <v>0</v>
      </c>
    </row>
    <row r="41" spans="1:35" outlineLevel="1" x14ac:dyDescent="0.25">
      <c r="A41" s="1" t="s">
        <v>44</v>
      </c>
      <c r="B41" s="2">
        <v>-5094.5</v>
      </c>
      <c r="C41" s="8">
        <f>+B41/$B$2</f>
        <v>-4.6173424087236897E-4</v>
      </c>
      <c r="D41" s="2">
        <v>-4326.67</v>
      </c>
      <c r="E41" s="8">
        <f>+D41/$D$2</f>
        <v>-5.1442234973883756E-4</v>
      </c>
      <c r="F41" s="24">
        <f>+D41*1.1</f>
        <v>-4759.3370000000004</v>
      </c>
      <c r="G41" s="8">
        <f>+F41/$D$2</f>
        <v>-5.6586458471272129E-4</v>
      </c>
      <c r="H41" s="2">
        <f t="shared" si="34"/>
        <v>-396.61141666666668</v>
      </c>
      <c r="I41" s="2">
        <f t="shared" si="34"/>
        <v>-396.61141666666668</v>
      </c>
      <c r="J41" s="2">
        <f t="shared" si="34"/>
        <v>-396.61141666666668</v>
      </c>
      <c r="K41" s="2">
        <f t="shared" si="34"/>
        <v>-396.61141666666668</v>
      </c>
      <c r="L41" s="2">
        <f t="shared" si="34"/>
        <v>-396.61141666666668</v>
      </c>
      <c r="M41" s="2">
        <f t="shared" si="34"/>
        <v>-396.61141666666668</v>
      </c>
      <c r="N41" s="2">
        <f t="shared" si="34"/>
        <v>-396.61141666666668</v>
      </c>
      <c r="O41" s="2">
        <f t="shared" si="34"/>
        <v>-396.61141666666668</v>
      </c>
      <c r="P41" s="2">
        <f t="shared" si="34"/>
        <v>-396.61141666666668</v>
      </c>
      <c r="Q41" s="2">
        <f t="shared" si="34"/>
        <v>-396.61141666666668</v>
      </c>
      <c r="R41" s="2">
        <f t="shared" si="34"/>
        <v>-396.61141666666668</v>
      </c>
      <c r="S41" s="2">
        <f t="shared" si="34"/>
        <v>-396.61141666666668</v>
      </c>
      <c r="T41" s="6">
        <f t="shared" si="4"/>
        <v>-4759.3370000000004</v>
      </c>
      <c r="U41" s="24">
        <v>0</v>
      </c>
      <c r="V41" s="23">
        <f t="shared" si="18"/>
        <v>0</v>
      </c>
      <c r="W41" s="2">
        <f t="shared" si="29"/>
        <v>0</v>
      </c>
      <c r="X41" s="2">
        <f t="shared" si="29"/>
        <v>0</v>
      </c>
      <c r="Y41" s="2">
        <f t="shared" si="29"/>
        <v>0</v>
      </c>
      <c r="Z41" s="2">
        <f t="shared" si="29"/>
        <v>0</v>
      </c>
      <c r="AA41" s="2">
        <f t="shared" si="29"/>
        <v>0</v>
      </c>
      <c r="AB41" s="2">
        <f t="shared" si="29"/>
        <v>0</v>
      </c>
      <c r="AC41" s="2">
        <f t="shared" si="29"/>
        <v>0</v>
      </c>
      <c r="AD41" s="2">
        <f t="shared" si="29"/>
        <v>0</v>
      </c>
      <c r="AE41" s="2">
        <f t="shared" si="29"/>
        <v>0</v>
      </c>
      <c r="AF41" s="2">
        <f t="shared" si="29"/>
        <v>0</v>
      </c>
      <c r="AG41" s="2">
        <f t="shared" si="29"/>
        <v>0</v>
      </c>
      <c r="AH41" s="2">
        <f t="shared" si="29"/>
        <v>0</v>
      </c>
      <c r="AI41" s="6">
        <f t="shared" si="30"/>
        <v>0</v>
      </c>
    </row>
    <row r="42" spans="1:35" outlineLevel="1" x14ac:dyDescent="0.25">
      <c r="A42" s="1" t="s">
        <v>45</v>
      </c>
      <c r="B42" s="2">
        <v>-2145.44</v>
      </c>
      <c r="C42" s="8">
        <f>+B42/$B$2</f>
        <v>-1.944495259077859E-4</v>
      </c>
      <c r="D42" s="2">
        <v>-2745.82</v>
      </c>
      <c r="E42" s="8">
        <f>+D42/$D$2</f>
        <v>-3.2646612206613745E-4</v>
      </c>
      <c r="F42" s="24">
        <f>+D42*1.03</f>
        <v>-2828.1946000000003</v>
      </c>
      <c r="G42" s="8">
        <f>+F42/$D$2</f>
        <v>-3.3626010572812158E-4</v>
      </c>
      <c r="H42" s="2">
        <f t="shared" si="34"/>
        <v>-235.68288333333336</v>
      </c>
      <c r="I42" s="2">
        <f t="shared" si="34"/>
        <v>-235.68288333333336</v>
      </c>
      <c r="J42" s="2">
        <f t="shared" si="34"/>
        <v>-235.68288333333336</v>
      </c>
      <c r="K42" s="2">
        <f t="shared" si="34"/>
        <v>-235.68288333333336</v>
      </c>
      <c r="L42" s="2">
        <f t="shared" si="34"/>
        <v>-235.68288333333336</v>
      </c>
      <c r="M42" s="2">
        <f t="shared" si="34"/>
        <v>-235.68288333333336</v>
      </c>
      <c r="N42" s="2">
        <f t="shared" si="34"/>
        <v>-235.68288333333336</v>
      </c>
      <c r="O42" s="2">
        <f t="shared" si="34"/>
        <v>-235.68288333333336</v>
      </c>
      <c r="P42" s="2">
        <f t="shared" si="34"/>
        <v>-235.68288333333336</v>
      </c>
      <c r="Q42" s="2">
        <f t="shared" si="34"/>
        <v>-235.68288333333336</v>
      </c>
      <c r="R42" s="2">
        <f t="shared" si="34"/>
        <v>-235.68288333333336</v>
      </c>
      <c r="S42" s="2">
        <f t="shared" si="34"/>
        <v>-235.68288333333336</v>
      </c>
      <c r="T42" s="6">
        <f t="shared" si="4"/>
        <v>-2828.1946000000003</v>
      </c>
      <c r="U42" s="24">
        <v>0</v>
      </c>
      <c r="V42" s="23">
        <f t="shared" si="18"/>
        <v>0</v>
      </c>
      <c r="W42" s="2">
        <f t="shared" si="29"/>
        <v>0</v>
      </c>
      <c r="X42" s="2">
        <f t="shared" si="29"/>
        <v>0</v>
      </c>
      <c r="Y42" s="2">
        <f t="shared" si="29"/>
        <v>0</v>
      </c>
      <c r="Z42" s="2">
        <f t="shared" si="29"/>
        <v>0</v>
      </c>
      <c r="AA42" s="2">
        <f t="shared" si="29"/>
        <v>0</v>
      </c>
      <c r="AB42" s="2">
        <f t="shared" si="29"/>
        <v>0</v>
      </c>
      <c r="AC42" s="2">
        <f t="shared" si="29"/>
        <v>0</v>
      </c>
      <c r="AD42" s="2">
        <f t="shared" si="29"/>
        <v>0</v>
      </c>
      <c r="AE42" s="2">
        <f t="shared" si="29"/>
        <v>0</v>
      </c>
      <c r="AF42" s="2">
        <f t="shared" si="29"/>
        <v>0</v>
      </c>
      <c r="AG42" s="2">
        <f t="shared" si="29"/>
        <v>0</v>
      </c>
      <c r="AH42" s="2">
        <f t="shared" si="29"/>
        <v>0</v>
      </c>
      <c r="AI42" s="6">
        <f t="shared" si="30"/>
        <v>0</v>
      </c>
    </row>
    <row r="43" spans="1:35" outlineLevel="1" x14ac:dyDescent="0.25">
      <c r="A43" s="1" t="s">
        <v>46</v>
      </c>
      <c r="B43" s="2">
        <v>-18000</v>
      </c>
      <c r="C43" s="8">
        <f>+B43/$B$2</f>
        <v>-1.6314096252237984E-3</v>
      </c>
      <c r="D43" s="2">
        <v>-18000</v>
      </c>
      <c r="E43" s="8">
        <f>+D43/$D$2</f>
        <v>-2.1401221482801034E-3</v>
      </c>
      <c r="F43" s="24">
        <f>+D43</f>
        <v>-18000</v>
      </c>
      <c r="G43" s="8">
        <f>+F43/$D$2</f>
        <v>-2.1401221482801034E-3</v>
      </c>
      <c r="H43" s="2">
        <f t="shared" si="34"/>
        <v>-1500</v>
      </c>
      <c r="I43" s="2">
        <f t="shared" si="34"/>
        <v>-1500</v>
      </c>
      <c r="J43" s="2">
        <f t="shared" si="34"/>
        <v>-1500</v>
      </c>
      <c r="K43" s="2">
        <f t="shared" si="34"/>
        <v>-1500</v>
      </c>
      <c r="L43" s="2">
        <f t="shared" si="34"/>
        <v>-1500</v>
      </c>
      <c r="M43" s="2">
        <f t="shared" si="34"/>
        <v>-1500</v>
      </c>
      <c r="N43" s="2">
        <f t="shared" si="34"/>
        <v>-1500</v>
      </c>
      <c r="O43" s="2">
        <f t="shared" si="34"/>
        <v>-1500</v>
      </c>
      <c r="P43" s="2">
        <f t="shared" si="34"/>
        <v>-1500</v>
      </c>
      <c r="Q43" s="2">
        <f t="shared" si="34"/>
        <v>-1500</v>
      </c>
      <c r="R43" s="2">
        <f t="shared" si="34"/>
        <v>-1500</v>
      </c>
      <c r="S43" s="2">
        <f t="shared" si="34"/>
        <v>-1500</v>
      </c>
      <c r="T43" s="6">
        <f t="shared" si="4"/>
        <v>-18000</v>
      </c>
      <c r="U43" s="24">
        <v>0</v>
      </c>
      <c r="V43" s="23">
        <f t="shared" si="18"/>
        <v>0</v>
      </c>
      <c r="W43" s="2">
        <f t="shared" si="29"/>
        <v>0</v>
      </c>
      <c r="X43" s="2">
        <f t="shared" si="29"/>
        <v>0</v>
      </c>
      <c r="Y43" s="2">
        <f t="shared" si="29"/>
        <v>0</v>
      </c>
      <c r="Z43" s="2">
        <f t="shared" si="29"/>
        <v>0</v>
      </c>
      <c r="AA43" s="2">
        <f t="shared" si="29"/>
        <v>0</v>
      </c>
      <c r="AB43" s="2">
        <f t="shared" si="29"/>
        <v>0</v>
      </c>
      <c r="AC43" s="2">
        <f t="shared" si="29"/>
        <v>0</v>
      </c>
      <c r="AD43" s="2">
        <f t="shared" si="29"/>
        <v>0</v>
      </c>
      <c r="AE43" s="2">
        <f t="shared" si="29"/>
        <v>0</v>
      </c>
      <c r="AF43" s="2">
        <f t="shared" si="29"/>
        <v>0</v>
      </c>
      <c r="AG43" s="2">
        <f t="shared" si="29"/>
        <v>0</v>
      </c>
      <c r="AH43" s="2">
        <f t="shared" si="29"/>
        <v>0</v>
      </c>
      <c r="AI43" s="6">
        <f t="shared" si="30"/>
        <v>0</v>
      </c>
    </row>
    <row r="44" spans="1:35" outlineLevel="1" x14ac:dyDescent="0.25">
      <c r="A44" s="9" t="s">
        <v>47</v>
      </c>
      <c r="C44" s="8"/>
      <c r="E44" s="8"/>
      <c r="F44" s="24">
        <f t="shared" ref="F44:F49" si="35">+D44*1.1</f>
        <v>0</v>
      </c>
      <c r="G44" s="8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6">
        <f t="shared" si="4"/>
        <v>0</v>
      </c>
      <c r="U44" s="24">
        <v>0</v>
      </c>
      <c r="V44" s="23">
        <f t="shared" si="18"/>
        <v>0</v>
      </c>
      <c r="W44" s="2">
        <f t="shared" si="29"/>
        <v>0</v>
      </c>
      <c r="X44" s="2">
        <f t="shared" si="29"/>
        <v>0</v>
      </c>
      <c r="Y44" s="2">
        <f t="shared" si="29"/>
        <v>0</v>
      </c>
      <c r="Z44" s="2">
        <f t="shared" si="29"/>
        <v>0</v>
      </c>
      <c r="AA44" s="2">
        <f t="shared" si="29"/>
        <v>0</v>
      </c>
      <c r="AB44" s="2">
        <f t="shared" si="29"/>
        <v>0</v>
      </c>
      <c r="AC44" s="2">
        <f t="shared" si="29"/>
        <v>0</v>
      </c>
      <c r="AD44" s="2">
        <f t="shared" si="29"/>
        <v>0</v>
      </c>
      <c r="AE44" s="2">
        <f t="shared" si="29"/>
        <v>0</v>
      </c>
      <c r="AF44" s="2">
        <f t="shared" si="29"/>
        <v>0</v>
      </c>
      <c r="AG44" s="2">
        <f t="shared" si="29"/>
        <v>0</v>
      </c>
      <c r="AH44" s="2">
        <f t="shared" si="29"/>
        <v>0</v>
      </c>
      <c r="AI44" s="6">
        <f t="shared" si="30"/>
        <v>0</v>
      </c>
    </row>
    <row r="45" spans="1:35" outlineLevel="1" x14ac:dyDescent="0.25">
      <c r="A45" s="9" t="s">
        <v>48</v>
      </c>
      <c r="C45" s="8"/>
      <c r="E45" s="8"/>
      <c r="F45" s="24">
        <f t="shared" si="35"/>
        <v>0</v>
      </c>
      <c r="G45" s="8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6">
        <f t="shared" si="4"/>
        <v>0</v>
      </c>
      <c r="U45" s="24">
        <v>0</v>
      </c>
      <c r="V45" s="23">
        <f t="shared" si="18"/>
        <v>0</v>
      </c>
      <c r="W45" s="2">
        <f t="shared" ref="W45:AH66" si="36">+$U45/12</f>
        <v>0</v>
      </c>
      <c r="X45" s="2">
        <f t="shared" si="36"/>
        <v>0</v>
      </c>
      <c r="Y45" s="2">
        <f t="shared" si="36"/>
        <v>0</v>
      </c>
      <c r="Z45" s="2">
        <f t="shared" si="36"/>
        <v>0</v>
      </c>
      <c r="AA45" s="2">
        <f t="shared" si="36"/>
        <v>0</v>
      </c>
      <c r="AB45" s="2">
        <f t="shared" si="36"/>
        <v>0</v>
      </c>
      <c r="AC45" s="2">
        <f t="shared" si="36"/>
        <v>0</v>
      </c>
      <c r="AD45" s="2">
        <f t="shared" si="36"/>
        <v>0</v>
      </c>
      <c r="AE45" s="2">
        <f t="shared" si="36"/>
        <v>0</v>
      </c>
      <c r="AF45" s="2">
        <f t="shared" si="36"/>
        <v>0</v>
      </c>
      <c r="AG45" s="2">
        <f t="shared" si="36"/>
        <v>0</v>
      </c>
      <c r="AH45" s="2">
        <f t="shared" si="36"/>
        <v>0</v>
      </c>
      <c r="AI45" s="6">
        <f t="shared" si="30"/>
        <v>0</v>
      </c>
    </row>
    <row r="46" spans="1:35" outlineLevel="1" x14ac:dyDescent="0.25">
      <c r="A46" s="9" t="s">
        <v>49</v>
      </c>
      <c r="C46" s="8"/>
      <c r="E46" s="8"/>
      <c r="F46" s="24">
        <f t="shared" si="35"/>
        <v>0</v>
      </c>
      <c r="G46" s="8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6">
        <f t="shared" si="4"/>
        <v>0</v>
      </c>
      <c r="U46" s="24">
        <v>0</v>
      </c>
      <c r="V46" s="23">
        <f t="shared" si="18"/>
        <v>0</v>
      </c>
      <c r="W46" s="2">
        <f t="shared" si="36"/>
        <v>0</v>
      </c>
      <c r="X46" s="2">
        <f t="shared" si="36"/>
        <v>0</v>
      </c>
      <c r="Y46" s="2">
        <f t="shared" si="36"/>
        <v>0</v>
      </c>
      <c r="Z46" s="2">
        <f t="shared" si="36"/>
        <v>0</v>
      </c>
      <c r="AA46" s="2">
        <f t="shared" si="36"/>
        <v>0</v>
      </c>
      <c r="AB46" s="2">
        <f t="shared" si="36"/>
        <v>0</v>
      </c>
      <c r="AC46" s="2">
        <f t="shared" si="36"/>
        <v>0</v>
      </c>
      <c r="AD46" s="2">
        <f t="shared" si="36"/>
        <v>0</v>
      </c>
      <c r="AE46" s="2">
        <f t="shared" si="36"/>
        <v>0</v>
      </c>
      <c r="AF46" s="2">
        <f t="shared" si="36"/>
        <v>0</v>
      </c>
      <c r="AG46" s="2">
        <f t="shared" si="36"/>
        <v>0</v>
      </c>
      <c r="AH46" s="2">
        <f t="shared" si="36"/>
        <v>0</v>
      </c>
      <c r="AI46" s="6">
        <f t="shared" si="30"/>
        <v>0</v>
      </c>
    </row>
    <row r="47" spans="1:35" outlineLevel="1" x14ac:dyDescent="0.25">
      <c r="A47" s="9" t="s">
        <v>50</v>
      </c>
      <c r="C47" s="8"/>
      <c r="E47" s="8"/>
      <c r="F47" s="24">
        <f t="shared" si="35"/>
        <v>0</v>
      </c>
      <c r="G47" s="8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6">
        <f t="shared" si="4"/>
        <v>0</v>
      </c>
      <c r="U47" s="24">
        <v>0</v>
      </c>
      <c r="V47" s="23">
        <f t="shared" si="18"/>
        <v>0</v>
      </c>
      <c r="W47" s="2">
        <f t="shared" si="36"/>
        <v>0</v>
      </c>
      <c r="X47" s="2">
        <f t="shared" si="36"/>
        <v>0</v>
      </c>
      <c r="Y47" s="2">
        <f t="shared" si="36"/>
        <v>0</v>
      </c>
      <c r="Z47" s="2">
        <f t="shared" si="36"/>
        <v>0</v>
      </c>
      <c r="AA47" s="2">
        <f t="shared" si="36"/>
        <v>0</v>
      </c>
      <c r="AB47" s="2">
        <f t="shared" si="36"/>
        <v>0</v>
      </c>
      <c r="AC47" s="2">
        <f t="shared" si="36"/>
        <v>0</v>
      </c>
      <c r="AD47" s="2">
        <f t="shared" si="36"/>
        <v>0</v>
      </c>
      <c r="AE47" s="2">
        <f t="shared" si="36"/>
        <v>0</v>
      </c>
      <c r="AF47" s="2">
        <f t="shared" si="36"/>
        <v>0</v>
      </c>
      <c r="AG47" s="2">
        <f t="shared" si="36"/>
        <v>0</v>
      </c>
      <c r="AH47" s="2">
        <f t="shared" si="36"/>
        <v>0</v>
      </c>
      <c r="AI47" s="6">
        <f t="shared" si="30"/>
        <v>0</v>
      </c>
    </row>
    <row r="48" spans="1:35" outlineLevel="1" x14ac:dyDescent="0.25">
      <c r="A48" s="9" t="s">
        <v>51</v>
      </c>
      <c r="C48" s="8"/>
      <c r="E48" s="8"/>
      <c r="F48" s="24">
        <f t="shared" si="35"/>
        <v>0</v>
      </c>
      <c r="G48" s="8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6">
        <f t="shared" si="4"/>
        <v>0</v>
      </c>
      <c r="U48" s="24">
        <v>0</v>
      </c>
      <c r="V48" s="23">
        <f t="shared" si="18"/>
        <v>0</v>
      </c>
      <c r="W48" s="2">
        <f t="shared" si="36"/>
        <v>0</v>
      </c>
      <c r="X48" s="2">
        <f t="shared" si="36"/>
        <v>0</v>
      </c>
      <c r="Y48" s="2">
        <f t="shared" si="36"/>
        <v>0</v>
      </c>
      <c r="Z48" s="2">
        <f t="shared" si="36"/>
        <v>0</v>
      </c>
      <c r="AA48" s="2">
        <f t="shared" si="36"/>
        <v>0</v>
      </c>
      <c r="AB48" s="2">
        <f t="shared" si="36"/>
        <v>0</v>
      </c>
      <c r="AC48" s="2">
        <f t="shared" si="36"/>
        <v>0</v>
      </c>
      <c r="AD48" s="2">
        <f t="shared" si="36"/>
        <v>0</v>
      </c>
      <c r="AE48" s="2">
        <f t="shared" si="36"/>
        <v>0</v>
      </c>
      <c r="AF48" s="2">
        <f t="shared" si="36"/>
        <v>0</v>
      </c>
      <c r="AG48" s="2">
        <f t="shared" si="36"/>
        <v>0</v>
      </c>
      <c r="AH48" s="2">
        <f t="shared" si="36"/>
        <v>0</v>
      </c>
      <c r="AI48" s="6">
        <f t="shared" si="30"/>
        <v>0</v>
      </c>
    </row>
    <row r="49" spans="1:35" outlineLevel="1" x14ac:dyDescent="0.25">
      <c r="A49" s="10" t="s">
        <v>52</v>
      </c>
      <c r="C49" s="8"/>
      <c r="E49" s="8"/>
      <c r="F49" s="24">
        <f t="shared" si="35"/>
        <v>0</v>
      </c>
      <c r="G49" s="8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6">
        <f t="shared" si="4"/>
        <v>0</v>
      </c>
      <c r="U49" s="24">
        <v>0</v>
      </c>
      <c r="V49" s="23">
        <f t="shared" si="18"/>
        <v>0</v>
      </c>
      <c r="W49" s="2">
        <f t="shared" si="36"/>
        <v>0</v>
      </c>
      <c r="X49" s="2">
        <f t="shared" si="36"/>
        <v>0</v>
      </c>
      <c r="Y49" s="2">
        <f t="shared" si="36"/>
        <v>0</v>
      </c>
      <c r="Z49" s="2">
        <f t="shared" si="36"/>
        <v>0</v>
      </c>
      <c r="AA49" s="2">
        <f t="shared" si="36"/>
        <v>0</v>
      </c>
      <c r="AB49" s="2">
        <f t="shared" si="36"/>
        <v>0</v>
      </c>
      <c r="AC49" s="2">
        <f t="shared" si="36"/>
        <v>0</v>
      </c>
      <c r="AD49" s="2">
        <f t="shared" si="36"/>
        <v>0</v>
      </c>
      <c r="AE49" s="2">
        <f t="shared" si="36"/>
        <v>0</v>
      </c>
      <c r="AF49" s="2">
        <f t="shared" si="36"/>
        <v>0</v>
      </c>
      <c r="AG49" s="2">
        <f t="shared" si="36"/>
        <v>0</v>
      </c>
      <c r="AH49" s="2">
        <f t="shared" si="36"/>
        <v>0</v>
      </c>
      <c r="AI49" s="6">
        <f t="shared" si="30"/>
        <v>0</v>
      </c>
    </row>
    <row r="50" spans="1:35" outlineLevel="1" x14ac:dyDescent="0.25">
      <c r="A50" s="1" t="s">
        <v>53</v>
      </c>
      <c r="B50" s="2">
        <v>-11524.89</v>
      </c>
      <c r="C50" s="8">
        <f t="shared" ref="C50:C60" si="37">+B50/$B$2</f>
        <v>-1.0445453597580834E-3</v>
      </c>
      <c r="D50" s="2">
        <v>-11623.2</v>
      </c>
      <c r="E50" s="8">
        <f t="shared" ref="E50:E60" si="38">+D50/$D$2</f>
        <v>-1.3819482085494056E-3</v>
      </c>
      <c r="F50" s="24">
        <v>-12000</v>
      </c>
      <c r="G50" s="8">
        <f t="shared" ref="G50:G60" si="39">+F50/$D$2</f>
        <v>-1.4267480988534023E-3</v>
      </c>
      <c r="H50" s="2">
        <f t="shared" ref="H50:S65" si="40">+$F50/12</f>
        <v>-1000</v>
      </c>
      <c r="I50" s="2">
        <f t="shared" si="40"/>
        <v>-1000</v>
      </c>
      <c r="J50" s="2">
        <f t="shared" si="40"/>
        <v>-1000</v>
      </c>
      <c r="K50" s="2">
        <f t="shared" si="40"/>
        <v>-1000</v>
      </c>
      <c r="L50" s="2">
        <f t="shared" si="40"/>
        <v>-1000</v>
      </c>
      <c r="M50" s="2">
        <f t="shared" si="40"/>
        <v>-1000</v>
      </c>
      <c r="N50" s="2">
        <f t="shared" si="40"/>
        <v>-1000</v>
      </c>
      <c r="O50" s="2">
        <f t="shared" si="40"/>
        <v>-1000</v>
      </c>
      <c r="P50" s="2">
        <f t="shared" si="40"/>
        <v>-1000</v>
      </c>
      <c r="Q50" s="2">
        <f t="shared" si="40"/>
        <v>-1000</v>
      </c>
      <c r="R50" s="2">
        <f t="shared" si="40"/>
        <v>-1000</v>
      </c>
      <c r="S50" s="2">
        <f t="shared" si="40"/>
        <v>-1000</v>
      </c>
      <c r="T50" s="6">
        <f t="shared" si="4"/>
        <v>-12000</v>
      </c>
      <c r="U50" s="24">
        <v>0</v>
      </c>
      <c r="V50" s="23">
        <f t="shared" si="18"/>
        <v>0</v>
      </c>
      <c r="W50" s="2">
        <f t="shared" si="36"/>
        <v>0</v>
      </c>
      <c r="X50" s="2">
        <f t="shared" si="36"/>
        <v>0</v>
      </c>
      <c r="Y50" s="2">
        <f t="shared" si="36"/>
        <v>0</v>
      </c>
      <c r="Z50" s="2">
        <f t="shared" si="36"/>
        <v>0</v>
      </c>
      <c r="AA50" s="2">
        <f t="shared" si="36"/>
        <v>0</v>
      </c>
      <c r="AB50" s="2">
        <f t="shared" si="36"/>
        <v>0</v>
      </c>
      <c r="AC50" s="2">
        <f t="shared" si="36"/>
        <v>0</v>
      </c>
      <c r="AD50" s="2">
        <f t="shared" si="36"/>
        <v>0</v>
      </c>
      <c r="AE50" s="2">
        <f t="shared" si="36"/>
        <v>0</v>
      </c>
      <c r="AF50" s="2">
        <f t="shared" si="36"/>
        <v>0</v>
      </c>
      <c r="AG50" s="2">
        <f t="shared" si="36"/>
        <v>0</v>
      </c>
      <c r="AH50" s="2">
        <f t="shared" si="36"/>
        <v>0</v>
      </c>
      <c r="AI50" s="6">
        <f t="shared" si="30"/>
        <v>0</v>
      </c>
    </row>
    <row r="51" spans="1:35" outlineLevel="1" x14ac:dyDescent="0.25">
      <c r="A51" s="1" t="s">
        <v>54</v>
      </c>
      <c r="B51" s="2">
        <v>-2635.86</v>
      </c>
      <c r="C51" s="8">
        <f t="shared" si="37"/>
        <v>-2.3889818748568898E-4</v>
      </c>
      <c r="D51" s="2">
        <v>-5134.1000000000004</v>
      </c>
      <c r="E51" s="8">
        <f t="shared" si="38"/>
        <v>-6.1042228452693782E-4</v>
      </c>
      <c r="F51" s="24">
        <v>-20000</v>
      </c>
      <c r="G51" s="8">
        <f t="shared" si="39"/>
        <v>-2.3779134980890038E-3</v>
      </c>
      <c r="H51" s="2">
        <f t="shared" si="40"/>
        <v>-1666.6666666666667</v>
      </c>
      <c r="I51" s="2">
        <f t="shared" si="40"/>
        <v>-1666.6666666666667</v>
      </c>
      <c r="J51" s="2">
        <f t="shared" si="40"/>
        <v>-1666.6666666666667</v>
      </c>
      <c r="K51" s="2">
        <f t="shared" si="40"/>
        <v>-1666.6666666666667</v>
      </c>
      <c r="L51" s="2">
        <f t="shared" si="40"/>
        <v>-1666.6666666666667</v>
      </c>
      <c r="M51" s="2">
        <f t="shared" si="40"/>
        <v>-1666.6666666666667</v>
      </c>
      <c r="N51" s="2">
        <f t="shared" si="40"/>
        <v>-1666.6666666666667</v>
      </c>
      <c r="O51" s="2">
        <f t="shared" si="40"/>
        <v>-1666.6666666666667</v>
      </c>
      <c r="P51" s="2">
        <f t="shared" si="40"/>
        <v>-1666.6666666666667</v>
      </c>
      <c r="Q51" s="2">
        <f t="shared" si="40"/>
        <v>-1666.6666666666667</v>
      </c>
      <c r="R51" s="2">
        <f t="shared" si="40"/>
        <v>-1666.6666666666667</v>
      </c>
      <c r="S51" s="2">
        <f t="shared" si="40"/>
        <v>-1666.6666666666667</v>
      </c>
      <c r="T51" s="6">
        <f t="shared" si="4"/>
        <v>-20000</v>
      </c>
      <c r="U51" s="24">
        <v>0</v>
      </c>
      <c r="V51" s="23">
        <f t="shared" si="18"/>
        <v>0</v>
      </c>
      <c r="W51" s="2">
        <f t="shared" si="36"/>
        <v>0</v>
      </c>
      <c r="X51" s="2">
        <f t="shared" si="36"/>
        <v>0</v>
      </c>
      <c r="Y51" s="2">
        <f t="shared" si="36"/>
        <v>0</v>
      </c>
      <c r="Z51" s="2">
        <f t="shared" si="36"/>
        <v>0</v>
      </c>
      <c r="AA51" s="2">
        <f t="shared" si="36"/>
        <v>0</v>
      </c>
      <c r="AB51" s="2">
        <f t="shared" si="36"/>
        <v>0</v>
      </c>
      <c r="AC51" s="2">
        <f t="shared" si="36"/>
        <v>0</v>
      </c>
      <c r="AD51" s="2">
        <f t="shared" si="36"/>
        <v>0</v>
      </c>
      <c r="AE51" s="2">
        <f t="shared" si="36"/>
        <v>0</v>
      </c>
      <c r="AF51" s="2">
        <f t="shared" si="36"/>
        <v>0</v>
      </c>
      <c r="AG51" s="2">
        <f t="shared" si="36"/>
        <v>0</v>
      </c>
      <c r="AH51" s="2">
        <f t="shared" si="36"/>
        <v>0</v>
      </c>
      <c r="AI51" s="6">
        <f t="shared" si="30"/>
        <v>0</v>
      </c>
    </row>
    <row r="52" spans="1:35" outlineLevel="1" x14ac:dyDescent="0.25">
      <c r="A52" s="1" t="s">
        <v>55</v>
      </c>
      <c r="B52" s="2">
        <v>-1064</v>
      </c>
      <c r="C52" s="8">
        <f t="shared" si="37"/>
        <v>-9.6434435624340086E-5</v>
      </c>
      <c r="D52" s="2">
        <v>-287.43</v>
      </c>
      <c r="E52" s="8">
        <f t="shared" si="38"/>
        <v>-3.4174183837786121E-5</v>
      </c>
      <c r="F52" s="24">
        <v>-15000</v>
      </c>
      <c r="G52" s="8">
        <f t="shared" si="39"/>
        <v>-1.7834351235667528E-3</v>
      </c>
      <c r="H52" s="2">
        <f t="shared" si="40"/>
        <v>-1250</v>
      </c>
      <c r="I52" s="2">
        <f t="shared" si="40"/>
        <v>-1250</v>
      </c>
      <c r="J52" s="2">
        <f t="shared" si="40"/>
        <v>-1250</v>
      </c>
      <c r="K52" s="2">
        <f t="shared" si="40"/>
        <v>-1250</v>
      </c>
      <c r="L52" s="2">
        <f t="shared" si="40"/>
        <v>-1250</v>
      </c>
      <c r="M52" s="2">
        <f t="shared" si="40"/>
        <v>-1250</v>
      </c>
      <c r="N52" s="2">
        <f t="shared" si="40"/>
        <v>-1250</v>
      </c>
      <c r="O52" s="2">
        <f t="shared" si="40"/>
        <v>-1250</v>
      </c>
      <c r="P52" s="2">
        <f t="shared" si="40"/>
        <v>-1250</v>
      </c>
      <c r="Q52" s="2">
        <f t="shared" si="40"/>
        <v>-1250</v>
      </c>
      <c r="R52" s="2">
        <f t="shared" si="40"/>
        <v>-1250</v>
      </c>
      <c r="S52" s="2">
        <f t="shared" si="40"/>
        <v>-1250</v>
      </c>
      <c r="T52" s="6">
        <f t="shared" si="4"/>
        <v>-15000</v>
      </c>
      <c r="U52" s="24">
        <v>0</v>
      </c>
      <c r="V52" s="23">
        <f t="shared" si="18"/>
        <v>0</v>
      </c>
      <c r="W52" s="2">
        <f t="shared" si="36"/>
        <v>0</v>
      </c>
      <c r="X52" s="2">
        <f t="shared" si="36"/>
        <v>0</v>
      </c>
      <c r="Y52" s="2">
        <f t="shared" si="36"/>
        <v>0</v>
      </c>
      <c r="Z52" s="2">
        <f t="shared" si="36"/>
        <v>0</v>
      </c>
      <c r="AA52" s="2">
        <f t="shared" si="36"/>
        <v>0</v>
      </c>
      <c r="AB52" s="2">
        <f t="shared" si="36"/>
        <v>0</v>
      </c>
      <c r="AC52" s="2">
        <f t="shared" si="36"/>
        <v>0</v>
      </c>
      <c r="AD52" s="2">
        <f t="shared" si="36"/>
        <v>0</v>
      </c>
      <c r="AE52" s="2">
        <f t="shared" si="36"/>
        <v>0</v>
      </c>
      <c r="AF52" s="2">
        <f t="shared" si="36"/>
        <v>0</v>
      </c>
      <c r="AG52" s="2">
        <f t="shared" si="36"/>
        <v>0</v>
      </c>
      <c r="AH52" s="2">
        <f t="shared" si="36"/>
        <v>0</v>
      </c>
      <c r="AI52" s="6">
        <f t="shared" si="30"/>
        <v>0</v>
      </c>
    </row>
    <row r="53" spans="1:35" outlineLevel="1" x14ac:dyDescent="0.25">
      <c r="A53" s="1" t="s">
        <v>56</v>
      </c>
      <c r="B53" s="2">
        <v>0</v>
      </c>
      <c r="C53" s="8">
        <f t="shared" si="37"/>
        <v>0</v>
      </c>
      <c r="D53" s="2">
        <v>-27.06</v>
      </c>
      <c r="E53" s="8">
        <f t="shared" si="38"/>
        <v>-3.217316962914422E-6</v>
      </c>
      <c r="F53" s="24">
        <f>+D53*1.1</f>
        <v>-29.766000000000002</v>
      </c>
      <c r="G53" s="8">
        <f t="shared" si="39"/>
        <v>-3.5390486592058645E-6</v>
      </c>
      <c r="H53" s="2">
        <f t="shared" si="40"/>
        <v>-2.4805000000000001</v>
      </c>
      <c r="I53" s="2">
        <f t="shared" si="40"/>
        <v>-2.4805000000000001</v>
      </c>
      <c r="J53" s="2">
        <f t="shared" si="40"/>
        <v>-2.4805000000000001</v>
      </c>
      <c r="K53" s="2">
        <f t="shared" si="40"/>
        <v>-2.4805000000000001</v>
      </c>
      <c r="L53" s="2">
        <f t="shared" si="40"/>
        <v>-2.4805000000000001</v>
      </c>
      <c r="M53" s="2">
        <f t="shared" si="40"/>
        <v>-2.4805000000000001</v>
      </c>
      <c r="N53" s="2">
        <f t="shared" si="40"/>
        <v>-2.4805000000000001</v>
      </c>
      <c r="O53" s="2">
        <f t="shared" si="40"/>
        <v>-2.4805000000000001</v>
      </c>
      <c r="P53" s="2">
        <f t="shared" si="40"/>
        <v>-2.4805000000000001</v>
      </c>
      <c r="Q53" s="2">
        <f t="shared" si="40"/>
        <v>-2.4805000000000001</v>
      </c>
      <c r="R53" s="2">
        <f t="shared" si="40"/>
        <v>-2.4805000000000001</v>
      </c>
      <c r="S53" s="2">
        <f t="shared" si="40"/>
        <v>-2.4805000000000001</v>
      </c>
      <c r="T53" s="6">
        <f t="shared" si="4"/>
        <v>-29.765999999999995</v>
      </c>
      <c r="U53" s="24">
        <v>0</v>
      </c>
      <c r="V53" s="23">
        <f t="shared" si="18"/>
        <v>0</v>
      </c>
      <c r="W53" s="2">
        <f t="shared" si="36"/>
        <v>0</v>
      </c>
      <c r="X53" s="2">
        <f t="shared" si="36"/>
        <v>0</v>
      </c>
      <c r="Y53" s="2">
        <f t="shared" si="36"/>
        <v>0</v>
      </c>
      <c r="Z53" s="2">
        <f t="shared" si="36"/>
        <v>0</v>
      </c>
      <c r="AA53" s="2">
        <f t="shared" si="36"/>
        <v>0</v>
      </c>
      <c r="AB53" s="2">
        <f t="shared" si="36"/>
        <v>0</v>
      </c>
      <c r="AC53" s="2">
        <f t="shared" si="36"/>
        <v>0</v>
      </c>
      <c r="AD53" s="2">
        <f t="shared" si="36"/>
        <v>0</v>
      </c>
      <c r="AE53" s="2">
        <f t="shared" si="36"/>
        <v>0</v>
      </c>
      <c r="AF53" s="2">
        <f t="shared" si="36"/>
        <v>0</v>
      </c>
      <c r="AG53" s="2">
        <f t="shared" si="36"/>
        <v>0</v>
      </c>
      <c r="AH53" s="2">
        <f t="shared" si="36"/>
        <v>0</v>
      </c>
      <c r="AI53" s="6">
        <f t="shared" si="30"/>
        <v>0</v>
      </c>
    </row>
    <row r="54" spans="1:35" outlineLevel="1" x14ac:dyDescent="0.25">
      <c r="A54" s="1" t="s">
        <v>57</v>
      </c>
      <c r="B54" s="2">
        <v>-66.849999999999994</v>
      </c>
      <c r="C54" s="8">
        <f t="shared" si="37"/>
        <v>-6.0588740803450513E-6</v>
      </c>
      <c r="D54" s="2">
        <v>-2202.0500000000002</v>
      </c>
      <c r="E54" s="8">
        <f t="shared" si="38"/>
        <v>-2.6181422092334458E-4</v>
      </c>
      <c r="F54" s="24">
        <f>+D54*1.1</f>
        <v>-2422.2550000000006</v>
      </c>
      <c r="G54" s="8">
        <f t="shared" si="39"/>
        <v>-2.8799564301567904E-4</v>
      </c>
      <c r="H54" s="2">
        <f t="shared" si="40"/>
        <v>-201.85458333333338</v>
      </c>
      <c r="I54" s="2">
        <f t="shared" si="40"/>
        <v>-201.85458333333338</v>
      </c>
      <c r="J54" s="2">
        <f t="shared" si="40"/>
        <v>-201.85458333333338</v>
      </c>
      <c r="K54" s="2">
        <f t="shared" si="40"/>
        <v>-201.85458333333338</v>
      </c>
      <c r="L54" s="2">
        <f t="shared" si="40"/>
        <v>-201.85458333333338</v>
      </c>
      <c r="M54" s="2">
        <f t="shared" si="40"/>
        <v>-201.85458333333338</v>
      </c>
      <c r="N54" s="2">
        <f t="shared" si="40"/>
        <v>-201.85458333333338</v>
      </c>
      <c r="O54" s="2">
        <f t="shared" si="40"/>
        <v>-201.85458333333338</v>
      </c>
      <c r="P54" s="2">
        <f t="shared" si="40"/>
        <v>-201.85458333333338</v>
      </c>
      <c r="Q54" s="2">
        <f t="shared" si="40"/>
        <v>-201.85458333333338</v>
      </c>
      <c r="R54" s="2">
        <f t="shared" si="40"/>
        <v>-201.85458333333338</v>
      </c>
      <c r="S54" s="2">
        <f t="shared" si="40"/>
        <v>-201.85458333333338</v>
      </c>
      <c r="T54" s="6">
        <f t="shared" si="4"/>
        <v>-2422.2550000000001</v>
      </c>
      <c r="U54" s="24">
        <v>0</v>
      </c>
      <c r="V54" s="23">
        <f t="shared" si="18"/>
        <v>0</v>
      </c>
      <c r="W54" s="2">
        <f t="shared" si="36"/>
        <v>0</v>
      </c>
      <c r="X54" s="2">
        <f t="shared" si="36"/>
        <v>0</v>
      </c>
      <c r="Y54" s="2">
        <f t="shared" si="36"/>
        <v>0</v>
      </c>
      <c r="Z54" s="2">
        <f t="shared" si="36"/>
        <v>0</v>
      </c>
      <c r="AA54" s="2">
        <f t="shared" si="36"/>
        <v>0</v>
      </c>
      <c r="AB54" s="2">
        <f t="shared" si="36"/>
        <v>0</v>
      </c>
      <c r="AC54" s="2">
        <f t="shared" si="36"/>
        <v>0</v>
      </c>
      <c r="AD54" s="2">
        <f t="shared" si="36"/>
        <v>0</v>
      </c>
      <c r="AE54" s="2">
        <f t="shared" si="36"/>
        <v>0</v>
      </c>
      <c r="AF54" s="2">
        <f t="shared" si="36"/>
        <v>0</v>
      </c>
      <c r="AG54" s="2">
        <f t="shared" si="36"/>
        <v>0</v>
      </c>
      <c r="AH54" s="2">
        <f t="shared" si="36"/>
        <v>0</v>
      </c>
      <c r="AI54" s="6">
        <f t="shared" si="30"/>
        <v>0</v>
      </c>
    </row>
    <row r="55" spans="1:35" outlineLevel="1" x14ac:dyDescent="0.25">
      <c r="A55" s="1" t="s">
        <v>58</v>
      </c>
      <c r="B55" s="2">
        <v>-16824.740000000002</v>
      </c>
      <c r="C55" s="8">
        <f t="shared" si="37"/>
        <v>-1.5248912654382142E-3</v>
      </c>
      <c r="D55" s="2">
        <v>-13901.01</v>
      </c>
      <c r="E55" s="8">
        <f t="shared" si="38"/>
        <v>-1.6527699658035113E-3</v>
      </c>
      <c r="F55" s="24">
        <v>-14000</v>
      </c>
      <c r="G55" s="8">
        <f t="shared" si="39"/>
        <v>-1.6645394486623027E-3</v>
      </c>
      <c r="H55" s="2">
        <f t="shared" si="40"/>
        <v>-1166.6666666666667</v>
      </c>
      <c r="I55" s="2">
        <f t="shared" si="40"/>
        <v>-1166.6666666666667</v>
      </c>
      <c r="J55" s="2">
        <f t="shared" si="40"/>
        <v>-1166.6666666666667</v>
      </c>
      <c r="K55" s="2">
        <f t="shared" si="40"/>
        <v>-1166.6666666666667</v>
      </c>
      <c r="L55" s="2">
        <f t="shared" si="40"/>
        <v>-1166.6666666666667</v>
      </c>
      <c r="M55" s="2">
        <f t="shared" si="40"/>
        <v>-1166.6666666666667</v>
      </c>
      <c r="N55" s="2">
        <f t="shared" si="40"/>
        <v>-1166.6666666666667</v>
      </c>
      <c r="O55" s="2">
        <f t="shared" si="40"/>
        <v>-1166.6666666666667</v>
      </c>
      <c r="P55" s="2">
        <f t="shared" si="40"/>
        <v>-1166.6666666666667</v>
      </c>
      <c r="Q55" s="2">
        <f t="shared" si="40"/>
        <v>-1166.6666666666667</v>
      </c>
      <c r="R55" s="2">
        <f t="shared" si="40"/>
        <v>-1166.6666666666667</v>
      </c>
      <c r="S55" s="2">
        <f t="shared" si="40"/>
        <v>-1166.6666666666667</v>
      </c>
      <c r="T55" s="6">
        <f t="shared" si="4"/>
        <v>-13999.999999999998</v>
      </c>
      <c r="U55" s="24">
        <v>0</v>
      </c>
      <c r="V55" s="23">
        <f t="shared" si="18"/>
        <v>0</v>
      </c>
      <c r="W55" s="2">
        <f t="shared" si="36"/>
        <v>0</v>
      </c>
      <c r="X55" s="2">
        <f t="shared" si="36"/>
        <v>0</v>
      </c>
      <c r="Y55" s="2">
        <f t="shared" si="36"/>
        <v>0</v>
      </c>
      <c r="Z55" s="2">
        <f t="shared" si="36"/>
        <v>0</v>
      </c>
      <c r="AA55" s="2">
        <f t="shared" si="36"/>
        <v>0</v>
      </c>
      <c r="AB55" s="2">
        <f t="shared" si="36"/>
        <v>0</v>
      </c>
      <c r="AC55" s="2">
        <f t="shared" si="36"/>
        <v>0</v>
      </c>
      <c r="AD55" s="2">
        <f t="shared" si="36"/>
        <v>0</v>
      </c>
      <c r="AE55" s="2">
        <f t="shared" si="36"/>
        <v>0</v>
      </c>
      <c r="AF55" s="2">
        <f t="shared" si="36"/>
        <v>0</v>
      </c>
      <c r="AG55" s="2">
        <f t="shared" si="36"/>
        <v>0</v>
      </c>
      <c r="AH55" s="2">
        <f t="shared" si="36"/>
        <v>0</v>
      </c>
      <c r="AI55" s="6">
        <f t="shared" si="30"/>
        <v>0</v>
      </c>
    </row>
    <row r="56" spans="1:35" outlineLevel="1" x14ac:dyDescent="0.25">
      <c r="A56" s="47" t="s">
        <v>59</v>
      </c>
      <c r="B56" s="2">
        <v>-4731.74</v>
      </c>
      <c r="C56" s="8">
        <f t="shared" si="37"/>
        <v>-4.2885589889202533E-4</v>
      </c>
      <c r="D56" s="2">
        <v>-15000</v>
      </c>
      <c r="E56" s="8">
        <f t="shared" si="38"/>
        <v>-1.7834351235667528E-3</v>
      </c>
      <c r="F56" s="24">
        <v>0</v>
      </c>
      <c r="G56" s="8">
        <f t="shared" si="39"/>
        <v>0</v>
      </c>
      <c r="H56" s="2">
        <f t="shared" si="40"/>
        <v>0</v>
      </c>
      <c r="I56" s="2">
        <f t="shared" si="40"/>
        <v>0</v>
      </c>
      <c r="J56" s="2">
        <f t="shared" si="40"/>
        <v>0</v>
      </c>
      <c r="K56" s="2">
        <f t="shared" si="40"/>
        <v>0</v>
      </c>
      <c r="L56" s="2">
        <f t="shared" si="40"/>
        <v>0</v>
      </c>
      <c r="M56" s="2">
        <f t="shared" si="40"/>
        <v>0</v>
      </c>
      <c r="N56" s="2">
        <f t="shared" si="40"/>
        <v>0</v>
      </c>
      <c r="O56" s="2">
        <f t="shared" si="40"/>
        <v>0</v>
      </c>
      <c r="P56" s="2">
        <f t="shared" si="40"/>
        <v>0</v>
      </c>
      <c r="Q56" s="2">
        <f t="shared" si="40"/>
        <v>0</v>
      </c>
      <c r="R56" s="2">
        <f t="shared" si="40"/>
        <v>0</v>
      </c>
      <c r="S56" s="2">
        <f t="shared" si="40"/>
        <v>0</v>
      </c>
      <c r="T56" s="6">
        <f t="shared" si="4"/>
        <v>0</v>
      </c>
      <c r="U56" s="24">
        <v>0</v>
      </c>
      <c r="V56" s="23">
        <f t="shared" si="18"/>
        <v>0</v>
      </c>
      <c r="W56" s="2">
        <f t="shared" si="36"/>
        <v>0</v>
      </c>
      <c r="X56" s="2">
        <f t="shared" si="36"/>
        <v>0</v>
      </c>
      <c r="Y56" s="2">
        <f t="shared" si="36"/>
        <v>0</v>
      </c>
      <c r="Z56" s="2">
        <f t="shared" si="36"/>
        <v>0</v>
      </c>
      <c r="AA56" s="2">
        <f t="shared" si="36"/>
        <v>0</v>
      </c>
      <c r="AB56" s="2">
        <f t="shared" si="36"/>
        <v>0</v>
      </c>
      <c r="AC56" s="2">
        <f t="shared" si="36"/>
        <v>0</v>
      </c>
      <c r="AD56" s="2">
        <f t="shared" si="36"/>
        <v>0</v>
      </c>
      <c r="AE56" s="2">
        <f t="shared" si="36"/>
        <v>0</v>
      </c>
      <c r="AF56" s="2">
        <f t="shared" si="36"/>
        <v>0</v>
      </c>
      <c r="AG56" s="2">
        <f t="shared" si="36"/>
        <v>0</v>
      </c>
      <c r="AH56" s="2">
        <f t="shared" si="36"/>
        <v>0</v>
      </c>
      <c r="AI56" s="6">
        <f t="shared" si="30"/>
        <v>0</v>
      </c>
    </row>
    <row r="57" spans="1:35" outlineLevel="1" x14ac:dyDescent="0.25">
      <c r="A57" s="1" t="s">
        <v>60</v>
      </c>
      <c r="B57" s="2">
        <v>0</v>
      </c>
      <c r="C57" s="8">
        <f t="shared" si="37"/>
        <v>0</v>
      </c>
      <c r="D57" s="2">
        <v>-3660.7</v>
      </c>
      <c r="E57" s="8">
        <f t="shared" si="38"/>
        <v>-4.3524139712272078E-4</v>
      </c>
      <c r="F57" s="24">
        <v>-4000</v>
      </c>
      <c r="G57" s="8">
        <f t="shared" si="39"/>
        <v>-4.7558269961780076E-4</v>
      </c>
      <c r="H57" s="2">
        <f t="shared" si="40"/>
        <v>-333.33333333333331</v>
      </c>
      <c r="I57" s="2">
        <f t="shared" si="40"/>
        <v>-333.33333333333331</v>
      </c>
      <c r="J57" s="2">
        <f t="shared" si="40"/>
        <v>-333.33333333333331</v>
      </c>
      <c r="K57" s="2">
        <f t="shared" si="40"/>
        <v>-333.33333333333331</v>
      </c>
      <c r="L57" s="2">
        <f t="shared" si="40"/>
        <v>-333.33333333333331</v>
      </c>
      <c r="M57" s="2">
        <f t="shared" si="40"/>
        <v>-333.33333333333331</v>
      </c>
      <c r="N57" s="2">
        <f t="shared" si="40"/>
        <v>-333.33333333333331</v>
      </c>
      <c r="O57" s="2">
        <f t="shared" si="40"/>
        <v>-333.33333333333331</v>
      </c>
      <c r="P57" s="2">
        <f t="shared" si="40"/>
        <v>-333.33333333333331</v>
      </c>
      <c r="Q57" s="2">
        <f t="shared" si="40"/>
        <v>-333.33333333333331</v>
      </c>
      <c r="R57" s="2">
        <f t="shared" si="40"/>
        <v>-333.33333333333331</v>
      </c>
      <c r="S57" s="2">
        <f t="shared" si="40"/>
        <v>-333.33333333333331</v>
      </c>
      <c r="T57" s="6">
        <f t="shared" si="4"/>
        <v>-4000.0000000000005</v>
      </c>
      <c r="U57" s="24">
        <v>0</v>
      </c>
      <c r="V57" s="23">
        <f t="shared" si="18"/>
        <v>0</v>
      </c>
      <c r="W57" s="2">
        <f t="shared" si="36"/>
        <v>0</v>
      </c>
      <c r="X57" s="2">
        <f t="shared" si="36"/>
        <v>0</v>
      </c>
      <c r="Y57" s="2">
        <f t="shared" si="36"/>
        <v>0</v>
      </c>
      <c r="Z57" s="2">
        <f t="shared" si="36"/>
        <v>0</v>
      </c>
      <c r="AA57" s="2">
        <f t="shared" si="36"/>
        <v>0</v>
      </c>
      <c r="AB57" s="2">
        <f t="shared" si="36"/>
        <v>0</v>
      </c>
      <c r="AC57" s="2">
        <f t="shared" si="36"/>
        <v>0</v>
      </c>
      <c r="AD57" s="2">
        <f t="shared" si="36"/>
        <v>0</v>
      </c>
      <c r="AE57" s="2">
        <f t="shared" si="36"/>
        <v>0</v>
      </c>
      <c r="AF57" s="2">
        <f t="shared" si="36"/>
        <v>0</v>
      </c>
      <c r="AG57" s="2">
        <f t="shared" si="36"/>
        <v>0</v>
      </c>
      <c r="AH57" s="2">
        <f t="shared" si="36"/>
        <v>0</v>
      </c>
      <c r="AI57" s="6">
        <f t="shared" si="30"/>
        <v>0</v>
      </c>
    </row>
    <row r="58" spans="1:35" outlineLevel="1" x14ac:dyDescent="0.25">
      <c r="A58" s="1" t="s">
        <v>61</v>
      </c>
      <c r="B58" s="2">
        <v>0</v>
      </c>
      <c r="C58" s="8">
        <f t="shared" si="37"/>
        <v>0</v>
      </c>
      <c r="D58" s="2">
        <v>-485</v>
      </c>
      <c r="E58" s="8">
        <f t="shared" si="38"/>
        <v>-5.7664402328658347E-5</v>
      </c>
      <c r="F58" s="24">
        <f>+D58*1.1</f>
        <v>-533.5</v>
      </c>
      <c r="G58" s="8">
        <f t="shared" si="39"/>
        <v>-6.3430842561524179E-5</v>
      </c>
      <c r="H58" s="2">
        <f t="shared" si="40"/>
        <v>-44.458333333333336</v>
      </c>
      <c r="I58" s="2">
        <f t="shared" si="40"/>
        <v>-44.458333333333336</v>
      </c>
      <c r="J58" s="2">
        <f t="shared" si="40"/>
        <v>-44.458333333333336</v>
      </c>
      <c r="K58" s="2">
        <f t="shared" si="40"/>
        <v>-44.458333333333336</v>
      </c>
      <c r="L58" s="2">
        <f t="shared" si="40"/>
        <v>-44.458333333333336</v>
      </c>
      <c r="M58" s="2">
        <f t="shared" si="40"/>
        <v>-44.458333333333336</v>
      </c>
      <c r="N58" s="2">
        <f t="shared" si="40"/>
        <v>-44.458333333333336</v>
      </c>
      <c r="O58" s="2">
        <f t="shared" si="40"/>
        <v>-44.458333333333336</v>
      </c>
      <c r="P58" s="2">
        <f t="shared" si="40"/>
        <v>-44.458333333333336</v>
      </c>
      <c r="Q58" s="2">
        <f t="shared" si="40"/>
        <v>-44.458333333333336</v>
      </c>
      <c r="R58" s="2">
        <f t="shared" si="40"/>
        <v>-44.458333333333336</v>
      </c>
      <c r="S58" s="2">
        <f t="shared" si="40"/>
        <v>-44.458333333333336</v>
      </c>
      <c r="T58" s="6">
        <f t="shared" si="4"/>
        <v>-533.49999999999989</v>
      </c>
      <c r="U58" s="24">
        <v>0</v>
      </c>
      <c r="V58" s="23">
        <f t="shared" si="18"/>
        <v>0</v>
      </c>
      <c r="W58" s="2">
        <f t="shared" si="36"/>
        <v>0</v>
      </c>
      <c r="X58" s="2">
        <f t="shared" si="36"/>
        <v>0</v>
      </c>
      <c r="Y58" s="2">
        <f t="shared" si="36"/>
        <v>0</v>
      </c>
      <c r="Z58" s="2">
        <f t="shared" si="36"/>
        <v>0</v>
      </c>
      <c r="AA58" s="2">
        <f t="shared" si="36"/>
        <v>0</v>
      </c>
      <c r="AB58" s="2">
        <f t="shared" si="36"/>
        <v>0</v>
      </c>
      <c r="AC58" s="2">
        <f t="shared" si="36"/>
        <v>0</v>
      </c>
      <c r="AD58" s="2">
        <f t="shared" si="36"/>
        <v>0</v>
      </c>
      <c r="AE58" s="2">
        <f t="shared" si="36"/>
        <v>0</v>
      </c>
      <c r="AF58" s="2">
        <f t="shared" si="36"/>
        <v>0</v>
      </c>
      <c r="AG58" s="2">
        <f t="shared" si="36"/>
        <v>0</v>
      </c>
      <c r="AH58" s="2">
        <f t="shared" si="36"/>
        <v>0</v>
      </c>
      <c r="AI58" s="6">
        <f t="shared" si="30"/>
        <v>0</v>
      </c>
    </row>
    <row r="59" spans="1:35" outlineLevel="1" x14ac:dyDescent="0.25">
      <c r="A59" s="1" t="s">
        <v>62</v>
      </c>
      <c r="B59" s="2">
        <v>-862.41</v>
      </c>
      <c r="C59" s="8">
        <f t="shared" si="37"/>
        <v>-7.816355416051422E-5</v>
      </c>
      <c r="D59" s="2">
        <v>0</v>
      </c>
      <c r="E59" s="8">
        <f t="shared" si="38"/>
        <v>0</v>
      </c>
      <c r="F59" s="24">
        <f>+D59*1.1</f>
        <v>0</v>
      </c>
      <c r="G59" s="8">
        <f t="shared" si="39"/>
        <v>0</v>
      </c>
      <c r="H59" s="2">
        <f t="shared" si="40"/>
        <v>0</v>
      </c>
      <c r="I59" s="2">
        <f t="shared" si="40"/>
        <v>0</v>
      </c>
      <c r="J59" s="2">
        <f t="shared" si="40"/>
        <v>0</v>
      </c>
      <c r="K59" s="2">
        <f t="shared" si="40"/>
        <v>0</v>
      </c>
      <c r="L59" s="2">
        <f t="shared" si="40"/>
        <v>0</v>
      </c>
      <c r="M59" s="2">
        <f t="shared" si="40"/>
        <v>0</v>
      </c>
      <c r="N59" s="2">
        <f t="shared" si="40"/>
        <v>0</v>
      </c>
      <c r="O59" s="2">
        <f t="shared" si="40"/>
        <v>0</v>
      </c>
      <c r="P59" s="2">
        <f t="shared" si="40"/>
        <v>0</v>
      </c>
      <c r="Q59" s="2">
        <f t="shared" si="40"/>
        <v>0</v>
      </c>
      <c r="R59" s="2">
        <f t="shared" si="40"/>
        <v>0</v>
      </c>
      <c r="S59" s="2">
        <f t="shared" si="40"/>
        <v>0</v>
      </c>
      <c r="T59" s="6">
        <f t="shared" si="4"/>
        <v>0</v>
      </c>
      <c r="U59" s="24">
        <v>0</v>
      </c>
      <c r="V59" s="23">
        <f t="shared" si="18"/>
        <v>0</v>
      </c>
      <c r="W59" s="2">
        <f t="shared" si="36"/>
        <v>0</v>
      </c>
      <c r="X59" s="2">
        <f t="shared" si="36"/>
        <v>0</v>
      </c>
      <c r="Y59" s="2">
        <f t="shared" si="36"/>
        <v>0</v>
      </c>
      <c r="Z59" s="2">
        <f t="shared" si="36"/>
        <v>0</v>
      </c>
      <c r="AA59" s="2">
        <f t="shared" si="36"/>
        <v>0</v>
      </c>
      <c r="AB59" s="2">
        <f t="shared" si="36"/>
        <v>0</v>
      </c>
      <c r="AC59" s="2">
        <f t="shared" si="36"/>
        <v>0</v>
      </c>
      <c r="AD59" s="2">
        <f t="shared" si="36"/>
        <v>0</v>
      </c>
      <c r="AE59" s="2">
        <f t="shared" si="36"/>
        <v>0</v>
      </c>
      <c r="AF59" s="2">
        <f t="shared" si="36"/>
        <v>0</v>
      </c>
      <c r="AG59" s="2">
        <f t="shared" si="36"/>
        <v>0</v>
      </c>
      <c r="AH59" s="2">
        <f t="shared" si="36"/>
        <v>0</v>
      </c>
      <c r="AI59" s="6">
        <f t="shared" si="30"/>
        <v>0</v>
      </c>
    </row>
    <row r="60" spans="1:35" outlineLevel="1" x14ac:dyDescent="0.25">
      <c r="A60" s="1" t="s">
        <v>63</v>
      </c>
      <c r="B60" s="2">
        <v>-7673.6</v>
      </c>
      <c r="C60" s="8">
        <f t="shared" si="37"/>
        <v>-6.9548805000651897E-4</v>
      </c>
      <c r="D60" s="2">
        <v>-8226.7199999999993</v>
      </c>
      <c r="E60" s="8">
        <f t="shared" si="38"/>
        <v>-9.7812142664993845E-4</v>
      </c>
      <c r="F60" s="24">
        <v>-3000</v>
      </c>
      <c r="G60" s="8">
        <f t="shared" si="39"/>
        <v>-3.5668702471335057E-4</v>
      </c>
      <c r="H60" s="2">
        <f t="shared" si="40"/>
        <v>-250</v>
      </c>
      <c r="I60" s="2">
        <f t="shared" si="40"/>
        <v>-250</v>
      </c>
      <c r="J60" s="2">
        <f t="shared" si="40"/>
        <v>-250</v>
      </c>
      <c r="K60" s="2">
        <f t="shared" si="40"/>
        <v>-250</v>
      </c>
      <c r="L60" s="2">
        <f t="shared" si="40"/>
        <v>-250</v>
      </c>
      <c r="M60" s="2">
        <f t="shared" si="40"/>
        <v>-250</v>
      </c>
      <c r="N60" s="2">
        <f t="shared" si="40"/>
        <v>-250</v>
      </c>
      <c r="O60" s="2">
        <f t="shared" si="40"/>
        <v>-250</v>
      </c>
      <c r="P60" s="2">
        <f t="shared" si="40"/>
        <v>-250</v>
      </c>
      <c r="Q60" s="2">
        <f t="shared" si="40"/>
        <v>-250</v>
      </c>
      <c r="R60" s="2">
        <f t="shared" si="40"/>
        <v>-250</v>
      </c>
      <c r="S60" s="2">
        <f t="shared" si="40"/>
        <v>-250</v>
      </c>
      <c r="T60" s="6">
        <f t="shared" si="4"/>
        <v>-3000</v>
      </c>
      <c r="U60" s="24">
        <v>0</v>
      </c>
      <c r="V60" s="23">
        <f t="shared" si="18"/>
        <v>0</v>
      </c>
      <c r="W60" s="2">
        <f t="shared" si="36"/>
        <v>0</v>
      </c>
      <c r="X60" s="2">
        <f t="shared" si="36"/>
        <v>0</v>
      </c>
      <c r="Y60" s="2">
        <f t="shared" si="36"/>
        <v>0</v>
      </c>
      <c r="Z60" s="2">
        <f t="shared" si="36"/>
        <v>0</v>
      </c>
      <c r="AA60" s="2">
        <f t="shared" si="36"/>
        <v>0</v>
      </c>
      <c r="AB60" s="2">
        <f t="shared" si="36"/>
        <v>0</v>
      </c>
      <c r="AC60" s="2">
        <f t="shared" si="36"/>
        <v>0</v>
      </c>
      <c r="AD60" s="2">
        <f t="shared" si="36"/>
        <v>0</v>
      </c>
      <c r="AE60" s="2">
        <f t="shared" si="36"/>
        <v>0</v>
      </c>
      <c r="AF60" s="2">
        <f t="shared" si="36"/>
        <v>0</v>
      </c>
      <c r="AG60" s="2">
        <f t="shared" si="36"/>
        <v>0</v>
      </c>
      <c r="AH60" s="2">
        <f t="shared" si="36"/>
        <v>0</v>
      </c>
      <c r="AI60" s="6">
        <f t="shared" si="30"/>
        <v>0</v>
      </c>
    </row>
    <row r="61" spans="1:35" outlineLevel="1" x14ac:dyDescent="0.25">
      <c r="A61" s="10" t="s">
        <v>64</v>
      </c>
      <c r="C61" s="8"/>
      <c r="E61" s="8"/>
      <c r="F61" s="24">
        <f>+D61*1.1</f>
        <v>0</v>
      </c>
      <c r="G61" s="8"/>
      <c r="H61" s="2">
        <f t="shared" si="40"/>
        <v>0</v>
      </c>
      <c r="I61" s="2">
        <f t="shared" si="40"/>
        <v>0</v>
      </c>
      <c r="J61" s="2">
        <f t="shared" si="40"/>
        <v>0</v>
      </c>
      <c r="K61" s="2">
        <f t="shared" si="40"/>
        <v>0</v>
      </c>
      <c r="L61" s="2">
        <f t="shared" si="40"/>
        <v>0</v>
      </c>
      <c r="M61" s="2">
        <f t="shared" si="40"/>
        <v>0</v>
      </c>
      <c r="N61" s="2">
        <f t="shared" si="40"/>
        <v>0</v>
      </c>
      <c r="O61" s="2">
        <f t="shared" si="40"/>
        <v>0</v>
      </c>
      <c r="P61" s="2">
        <f t="shared" si="40"/>
        <v>0</v>
      </c>
      <c r="Q61" s="2">
        <f t="shared" si="40"/>
        <v>0</v>
      </c>
      <c r="R61" s="2">
        <f t="shared" si="40"/>
        <v>0</v>
      </c>
      <c r="S61" s="2">
        <f t="shared" si="40"/>
        <v>0</v>
      </c>
      <c r="T61" s="6">
        <f t="shared" si="4"/>
        <v>0</v>
      </c>
      <c r="U61" s="24">
        <v>0</v>
      </c>
      <c r="V61" s="23">
        <f t="shared" si="18"/>
        <v>0</v>
      </c>
      <c r="W61" s="2">
        <f t="shared" si="36"/>
        <v>0</v>
      </c>
      <c r="X61" s="2">
        <f t="shared" si="36"/>
        <v>0</v>
      </c>
      <c r="Y61" s="2">
        <f t="shared" si="36"/>
        <v>0</v>
      </c>
      <c r="Z61" s="2">
        <f t="shared" si="36"/>
        <v>0</v>
      </c>
      <c r="AA61" s="2">
        <f t="shared" si="36"/>
        <v>0</v>
      </c>
      <c r="AB61" s="2">
        <f t="shared" si="36"/>
        <v>0</v>
      </c>
      <c r="AC61" s="2">
        <f t="shared" si="36"/>
        <v>0</v>
      </c>
      <c r="AD61" s="2">
        <f t="shared" si="36"/>
        <v>0</v>
      </c>
      <c r="AE61" s="2">
        <f t="shared" si="36"/>
        <v>0</v>
      </c>
      <c r="AF61" s="2">
        <f t="shared" si="36"/>
        <v>0</v>
      </c>
      <c r="AG61" s="2">
        <f t="shared" si="36"/>
        <v>0</v>
      </c>
      <c r="AH61" s="2">
        <f t="shared" si="36"/>
        <v>0</v>
      </c>
      <c r="AI61" s="6">
        <f t="shared" si="30"/>
        <v>0</v>
      </c>
    </row>
    <row r="62" spans="1:35" outlineLevel="1" x14ac:dyDescent="0.25">
      <c r="A62" s="1" t="s">
        <v>65</v>
      </c>
      <c r="B62" s="2">
        <v>-4955.21</v>
      </c>
      <c r="C62" s="8">
        <f t="shared" ref="C62:C77" si="41">+B62/$B$2</f>
        <v>-4.4910984938917884E-4</v>
      </c>
      <c r="D62" s="2">
        <v>-1104.03</v>
      </c>
      <c r="E62" s="8">
        <f t="shared" ref="E62:E77" si="42">+D62/$D$2</f>
        <v>-1.3126439196476015E-4</v>
      </c>
      <c r="F62" s="24">
        <v>-3000</v>
      </c>
      <c r="G62" s="8">
        <f t="shared" ref="G62:G77" si="43">+F62/$D$2</f>
        <v>-3.5668702471335057E-4</v>
      </c>
      <c r="H62" s="2">
        <f>+$F62/12</f>
        <v>-250</v>
      </c>
      <c r="I62" s="2">
        <f>+$F62/12</f>
        <v>-250</v>
      </c>
      <c r="J62" s="2">
        <f>+$F62/12</f>
        <v>-250</v>
      </c>
      <c r="K62" s="2">
        <f>+$F62/12</f>
        <v>-250</v>
      </c>
      <c r="L62" s="2">
        <f>+$F62/12</f>
        <v>-250</v>
      </c>
      <c r="M62" s="2">
        <f t="shared" si="40"/>
        <v>-250</v>
      </c>
      <c r="N62" s="2">
        <f t="shared" si="40"/>
        <v>-250</v>
      </c>
      <c r="O62" s="2">
        <f t="shared" si="40"/>
        <v>-250</v>
      </c>
      <c r="P62" s="2">
        <f t="shared" si="40"/>
        <v>-250</v>
      </c>
      <c r="Q62" s="2">
        <f t="shared" si="40"/>
        <v>-250</v>
      </c>
      <c r="R62" s="2">
        <f t="shared" si="40"/>
        <v>-250</v>
      </c>
      <c r="S62" s="2">
        <f t="shared" si="40"/>
        <v>-250</v>
      </c>
      <c r="T62" s="6">
        <f t="shared" si="4"/>
        <v>-3000</v>
      </c>
      <c r="U62" s="24">
        <v>0</v>
      </c>
      <c r="V62" s="23">
        <f t="shared" si="18"/>
        <v>0</v>
      </c>
      <c r="W62" s="2">
        <f t="shared" si="36"/>
        <v>0</v>
      </c>
      <c r="X62" s="2">
        <f t="shared" si="36"/>
        <v>0</v>
      </c>
      <c r="Y62" s="2">
        <f t="shared" si="36"/>
        <v>0</v>
      </c>
      <c r="Z62" s="2">
        <f t="shared" si="36"/>
        <v>0</v>
      </c>
      <c r="AA62" s="2">
        <f t="shared" si="36"/>
        <v>0</v>
      </c>
      <c r="AB62" s="2">
        <f t="shared" si="36"/>
        <v>0</v>
      </c>
      <c r="AC62" s="2">
        <f t="shared" si="36"/>
        <v>0</v>
      </c>
      <c r="AD62" s="2">
        <f t="shared" si="36"/>
        <v>0</v>
      </c>
      <c r="AE62" s="2">
        <f t="shared" si="36"/>
        <v>0</v>
      </c>
      <c r="AF62" s="2">
        <f t="shared" si="36"/>
        <v>0</v>
      </c>
      <c r="AG62" s="2">
        <f t="shared" si="36"/>
        <v>0</v>
      </c>
      <c r="AH62" s="2">
        <f t="shared" si="36"/>
        <v>0</v>
      </c>
      <c r="AI62" s="6">
        <f t="shared" si="30"/>
        <v>0</v>
      </c>
    </row>
    <row r="63" spans="1:35" outlineLevel="1" x14ac:dyDescent="0.25">
      <c r="A63" s="1" t="s">
        <v>66</v>
      </c>
      <c r="B63" s="2">
        <v>-4625.43</v>
      </c>
      <c r="C63" s="8">
        <f t="shared" si="41"/>
        <v>-4.1922061237771748E-4</v>
      </c>
      <c r="D63" s="2">
        <v>-1364.57</v>
      </c>
      <c r="E63" s="8">
        <f t="shared" si="42"/>
        <v>-1.6224147110436559E-4</v>
      </c>
      <c r="F63" s="24">
        <f>+D63*1.1</f>
        <v>-1501.027</v>
      </c>
      <c r="G63" s="8">
        <f t="shared" si="43"/>
        <v>-1.7846561821480215E-4</v>
      </c>
      <c r="H63" s="2">
        <f t="shared" ref="H63:S86" si="44">+$F63/12</f>
        <v>-125.08558333333333</v>
      </c>
      <c r="I63" s="2">
        <f t="shared" si="40"/>
        <v>-125.08558333333333</v>
      </c>
      <c r="J63" s="2">
        <f t="shared" si="40"/>
        <v>-125.08558333333333</v>
      </c>
      <c r="K63" s="2">
        <f t="shared" si="40"/>
        <v>-125.08558333333333</v>
      </c>
      <c r="L63" s="2">
        <f t="shared" si="40"/>
        <v>-125.08558333333333</v>
      </c>
      <c r="M63" s="2">
        <f t="shared" si="40"/>
        <v>-125.08558333333333</v>
      </c>
      <c r="N63" s="2">
        <f t="shared" si="40"/>
        <v>-125.08558333333333</v>
      </c>
      <c r="O63" s="2">
        <f t="shared" si="40"/>
        <v>-125.08558333333333</v>
      </c>
      <c r="P63" s="2">
        <f t="shared" si="40"/>
        <v>-125.08558333333333</v>
      </c>
      <c r="Q63" s="2">
        <f t="shared" si="40"/>
        <v>-125.08558333333333</v>
      </c>
      <c r="R63" s="2">
        <f t="shared" si="40"/>
        <v>-125.08558333333333</v>
      </c>
      <c r="S63" s="2">
        <f t="shared" si="40"/>
        <v>-125.08558333333333</v>
      </c>
      <c r="T63" s="6">
        <f t="shared" si="4"/>
        <v>-1501.0269999999998</v>
      </c>
      <c r="U63" s="24">
        <v>0</v>
      </c>
      <c r="V63" s="23">
        <f t="shared" si="18"/>
        <v>0</v>
      </c>
      <c r="W63" s="2">
        <f t="shared" si="36"/>
        <v>0</v>
      </c>
      <c r="X63" s="2">
        <f t="shared" si="36"/>
        <v>0</v>
      </c>
      <c r="Y63" s="2">
        <f t="shared" si="36"/>
        <v>0</v>
      </c>
      <c r="Z63" s="2">
        <f t="shared" si="36"/>
        <v>0</v>
      </c>
      <c r="AA63" s="2">
        <f t="shared" si="36"/>
        <v>0</v>
      </c>
      <c r="AB63" s="2">
        <f t="shared" si="36"/>
        <v>0</v>
      </c>
      <c r="AC63" s="2">
        <f t="shared" si="36"/>
        <v>0</v>
      </c>
      <c r="AD63" s="2">
        <f t="shared" si="36"/>
        <v>0</v>
      </c>
      <c r="AE63" s="2">
        <f t="shared" si="36"/>
        <v>0</v>
      </c>
      <c r="AF63" s="2">
        <f t="shared" si="36"/>
        <v>0</v>
      </c>
      <c r="AG63" s="2">
        <f t="shared" si="36"/>
        <v>0</v>
      </c>
      <c r="AH63" s="2">
        <f t="shared" si="36"/>
        <v>0</v>
      </c>
      <c r="AI63" s="6">
        <f t="shared" si="30"/>
        <v>0</v>
      </c>
    </row>
    <row r="64" spans="1:35" outlineLevel="1" x14ac:dyDescent="0.25">
      <c r="A64" s="1" t="s">
        <v>67</v>
      </c>
      <c r="B64" s="2">
        <v>-18078.41</v>
      </c>
      <c r="C64" s="8">
        <f t="shared" si="41"/>
        <v>-1.6385162268190096E-3</v>
      </c>
      <c r="D64" s="2">
        <v>-18581.41</v>
      </c>
      <c r="E64" s="8">
        <f t="shared" si="42"/>
        <v>-2.2092492826262999E-3</v>
      </c>
      <c r="F64" s="24">
        <f>+D64*1.03</f>
        <v>-19138.852299999999</v>
      </c>
      <c r="G64" s="8">
        <f t="shared" si="43"/>
        <v>-2.2755267611050886E-3</v>
      </c>
      <c r="H64" s="2">
        <f t="shared" si="44"/>
        <v>-1594.9043583333332</v>
      </c>
      <c r="I64" s="2">
        <f t="shared" si="40"/>
        <v>-1594.9043583333332</v>
      </c>
      <c r="J64" s="2">
        <f t="shared" si="40"/>
        <v>-1594.9043583333332</v>
      </c>
      <c r="K64" s="2">
        <f t="shared" si="40"/>
        <v>-1594.9043583333332</v>
      </c>
      <c r="L64" s="2">
        <f t="shared" si="40"/>
        <v>-1594.9043583333332</v>
      </c>
      <c r="M64" s="2">
        <f t="shared" si="40"/>
        <v>-1594.9043583333332</v>
      </c>
      <c r="N64" s="2">
        <f t="shared" si="40"/>
        <v>-1594.9043583333332</v>
      </c>
      <c r="O64" s="2">
        <f t="shared" si="40"/>
        <v>-1594.9043583333332</v>
      </c>
      <c r="P64" s="2">
        <f t="shared" si="40"/>
        <v>-1594.9043583333332</v>
      </c>
      <c r="Q64" s="2">
        <f t="shared" si="40"/>
        <v>-1594.9043583333332</v>
      </c>
      <c r="R64" s="2">
        <f t="shared" si="40"/>
        <v>-1594.9043583333332</v>
      </c>
      <c r="S64" s="2">
        <f t="shared" si="40"/>
        <v>-1594.9043583333332</v>
      </c>
      <c r="T64" s="6">
        <f t="shared" si="4"/>
        <v>-19138.852299999999</v>
      </c>
      <c r="U64" s="24">
        <v>0</v>
      </c>
      <c r="V64" s="23">
        <f t="shared" si="18"/>
        <v>0</v>
      </c>
      <c r="W64" s="2">
        <f t="shared" si="36"/>
        <v>0</v>
      </c>
      <c r="X64" s="2">
        <f t="shared" si="36"/>
        <v>0</v>
      </c>
      <c r="Y64" s="2">
        <f t="shared" si="36"/>
        <v>0</v>
      </c>
      <c r="Z64" s="2">
        <f t="shared" si="36"/>
        <v>0</v>
      </c>
      <c r="AA64" s="2">
        <f t="shared" si="36"/>
        <v>0</v>
      </c>
      <c r="AB64" s="2">
        <f t="shared" si="36"/>
        <v>0</v>
      </c>
      <c r="AC64" s="2">
        <f t="shared" si="36"/>
        <v>0</v>
      </c>
      <c r="AD64" s="2">
        <f t="shared" si="36"/>
        <v>0</v>
      </c>
      <c r="AE64" s="2">
        <f t="shared" si="36"/>
        <v>0</v>
      </c>
      <c r="AF64" s="2">
        <f t="shared" si="36"/>
        <v>0</v>
      </c>
      <c r="AG64" s="2">
        <f t="shared" si="36"/>
        <v>0</v>
      </c>
      <c r="AH64" s="2">
        <f t="shared" si="36"/>
        <v>0</v>
      </c>
      <c r="AI64" s="6">
        <f t="shared" si="30"/>
        <v>0</v>
      </c>
    </row>
    <row r="65" spans="1:35" outlineLevel="1" x14ac:dyDescent="0.25">
      <c r="A65" s="1" t="s">
        <v>68</v>
      </c>
      <c r="B65" s="2">
        <v>-117805.66</v>
      </c>
      <c r="C65" s="8">
        <f t="shared" si="41"/>
        <v>-1.0677182646102346E-2</v>
      </c>
      <c r="D65" s="2">
        <v>-95890.07</v>
      </c>
      <c r="E65" s="8">
        <f t="shared" si="42"/>
        <v>-1.1400914589284973E-2</v>
      </c>
      <c r="F65" s="24">
        <f>+D65*1.1</f>
        <v>-105479.07700000002</v>
      </c>
      <c r="G65" s="8">
        <f t="shared" si="43"/>
        <v>-1.2541006048213472E-2</v>
      </c>
      <c r="H65" s="2">
        <f t="shared" si="44"/>
        <v>-8789.9230833333349</v>
      </c>
      <c r="I65" s="2">
        <f t="shared" si="40"/>
        <v>-8789.9230833333349</v>
      </c>
      <c r="J65" s="2">
        <f t="shared" si="40"/>
        <v>-8789.9230833333349</v>
      </c>
      <c r="K65" s="2">
        <f t="shared" si="40"/>
        <v>-8789.9230833333349</v>
      </c>
      <c r="L65" s="2">
        <f t="shared" si="40"/>
        <v>-8789.9230833333349</v>
      </c>
      <c r="M65" s="2">
        <f t="shared" si="40"/>
        <v>-8789.9230833333349</v>
      </c>
      <c r="N65" s="2">
        <f t="shared" si="40"/>
        <v>-8789.9230833333349</v>
      </c>
      <c r="O65" s="2">
        <f t="shared" si="40"/>
        <v>-8789.9230833333349</v>
      </c>
      <c r="P65" s="2">
        <f t="shared" si="40"/>
        <v>-8789.9230833333349</v>
      </c>
      <c r="Q65" s="2">
        <f t="shared" si="40"/>
        <v>-8789.9230833333349</v>
      </c>
      <c r="R65" s="2">
        <f t="shared" si="40"/>
        <v>-8789.9230833333349</v>
      </c>
      <c r="S65" s="2">
        <f t="shared" si="40"/>
        <v>-8789.9230833333349</v>
      </c>
      <c r="T65" s="6">
        <f t="shared" si="4"/>
        <v>-105479.07699999999</v>
      </c>
      <c r="U65" s="24">
        <v>0</v>
      </c>
      <c r="V65" s="23">
        <f t="shared" si="18"/>
        <v>0</v>
      </c>
      <c r="W65" s="2">
        <f t="shared" si="36"/>
        <v>0</v>
      </c>
      <c r="X65" s="2">
        <f t="shared" si="36"/>
        <v>0</v>
      </c>
      <c r="Y65" s="2">
        <f t="shared" si="36"/>
        <v>0</v>
      </c>
      <c r="Z65" s="2">
        <f t="shared" si="36"/>
        <v>0</v>
      </c>
      <c r="AA65" s="2">
        <f t="shared" si="36"/>
        <v>0</v>
      </c>
      <c r="AB65" s="2">
        <f t="shared" si="36"/>
        <v>0</v>
      </c>
      <c r="AC65" s="2">
        <f t="shared" si="36"/>
        <v>0</v>
      </c>
      <c r="AD65" s="2">
        <f t="shared" si="36"/>
        <v>0</v>
      </c>
      <c r="AE65" s="2">
        <f t="shared" si="36"/>
        <v>0</v>
      </c>
      <c r="AF65" s="2">
        <f t="shared" si="36"/>
        <v>0</v>
      </c>
      <c r="AG65" s="2">
        <f t="shared" si="36"/>
        <v>0</v>
      </c>
      <c r="AH65" s="2">
        <f t="shared" si="36"/>
        <v>0</v>
      </c>
      <c r="AI65" s="6">
        <f t="shared" si="30"/>
        <v>0</v>
      </c>
    </row>
    <row r="66" spans="1:35" outlineLevel="1" x14ac:dyDescent="0.25">
      <c r="A66" s="1" t="s">
        <v>69</v>
      </c>
      <c r="B66" s="2">
        <v>-101.51</v>
      </c>
      <c r="C66" s="8">
        <f t="shared" si="41"/>
        <v>-9.2002439475815447E-6</v>
      </c>
      <c r="D66" s="2">
        <v>-118.94</v>
      </c>
      <c r="E66" s="8">
        <f t="shared" si="42"/>
        <v>-1.4141451573135305E-5</v>
      </c>
      <c r="F66" s="24">
        <f>+D66*1.1</f>
        <v>-130.834</v>
      </c>
      <c r="G66" s="8">
        <f t="shared" si="43"/>
        <v>-1.5555596730448836E-5</v>
      </c>
      <c r="H66" s="2">
        <f t="shared" si="44"/>
        <v>-10.902833333333334</v>
      </c>
      <c r="I66" s="2">
        <f t="shared" si="44"/>
        <v>-10.902833333333334</v>
      </c>
      <c r="J66" s="2">
        <f t="shared" si="44"/>
        <v>-10.902833333333334</v>
      </c>
      <c r="K66" s="2">
        <f t="shared" si="44"/>
        <v>-10.902833333333334</v>
      </c>
      <c r="L66" s="2">
        <f t="shared" si="44"/>
        <v>-10.902833333333334</v>
      </c>
      <c r="M66" s="2">
        <f t="shared" si="44"/>
        <v>-10.902833333333334</v>
      </c>
      <c r="N66" s="2">
        <f t="shared" si="44"/>
        <v>-10.902833333333334</v>
      </c>
      <c r="O66" s="2">
        <f t="shared" si="44"/>
        <v>-10.902833333333334</v>
      </c>
      <c r="P66" s="2">
        <f t="shared" si="44"/>
        <v>-10.902833333333334</v>
      </c>
      <c r="Q66" s="2">
        <f t="shared" si="44"/>
        <v>-10.902833333333334</v>
      </c>
      <c r="R66" s="2">
        <f t="shared" si="44"/>
        <v>-10.902833333333334</v>
      </c>
      <c r="S66" s="2">
        <f t="shared" si="44"/>
        <v>-10.902833333333334</v>
      </c>
      <c r="T66" s="6">
        <f t="shared" si="4"/>
        <v>-130.834</v>
      </c>
      <c r="U66" s="24">
        <v>0</v>
      </c>
      <c r="V66" s="23">
        <f t="shared" si="18"/>
        <v>0</v>
      </c>
      <c r="W66" s="2">
        <f t="shared" si="36"/>
        <v>0</v>
      </c>
      <c r="X66" s="2">
        <f t="shared" si="36"/>
        <v>0</v>
      </c>
      <c r="Y66" s="2">
        <f t="shared" si="36"/>
        <v>0</v>
      </c>
      <c r="Z66" s="2">
        <f t="shared" ref="W66:AH87" si="45">+$U66/12</f>
        <v>0</v>
      </c>
      <c r="AA66" s="2">
        <f t="shared" si="45"/>
        <v>0</v>
      </c>
      <c r="AB66" s="2">
        <f t="shared" si="45"/>
        <v>0</v>
      </c>
      <c r="AC66" s="2">
        <f t="shared" si="45"/>
        <v>0</v>
      </c>
      <c r="AD66" s="2">
        <f t="shared" si="45"/>
        <v>0</v>
      </c>
      <c r="AE66" s="2">
        <f t="shared" si="45"/>
        <v>0</v>
      </c>
      <c r="AF66" s="2">
        <f t="shared" si="45"/>
        <v>0</v>
      </c>
      <c r="AG66" s="2">
        <f t="shared" si="45"/>
        <v>0</v>
      </c>
      <c r="AH66" s="2">
        <f t="shared" si="45"/>
        <v>0</v>
      </c>
      <c r="AI66" s="6">
        <f t="shared" si="30"/>
        <v>0</v>
      </c>
    </row>
    <row r="67" spans="1:35" outlineLevel="1" x14ac:dyDescent="0.25">
      <c r="A67" s="1" t="s">
        <v>70</v>
      </c>
      <c r="B67" s="2">
        <v>-338200</v>
      </c>
      <c r="C67" s="8">
        <f t="shared" si="41"/>
        <v>-3.0652374180593814E-2</v>
      </c>
      <c r="D67" s="2">
        <v>-1979.95</v>
      </c>
      <c r="E67" s="8">
        <f t="shared" si="42"/>
        <v>-2.3540749152706618E-4</v>
      </c>
      <c r="F67" s="24">
        <v>-50000</v>
      </c>
      <c r="G67" s="8">
        <f t="shared" si="43"/>
        <v>-5.9447837452225099E-3</v>
      </c>
      <c r="H67" s="2">
        <f t="shared" si="44"/>
        <v>-4166.666666666667</v>
      </c>
      <c r="I67" s="2">
        <f t="shared" si="44"/>
        <v>-4166.666666666667</v>
      </c>
      <c r="J67" s="2">
        <f t="shared" si="44"/>
        <v>-4166.666666666667</v>
      </c>
      <c r="K67" s="2">
        <f t="shared" si="44"/>
        <v>-4166.666666666667</v>
      </c>
      <c r="L67" s="2">
        <f t="shared" si="44"/>
        <v>-4166.666666666667</v>
      </c>
      <c r="M67" s="2">
        <f t="shared" si="44"/>
        <v>-4166.666666666667</v>
      </c>
      <c r="N67" s="2">
        <f t="shared" si="44"/>
        <v>-4166.666666666667</v>
      </c>
      <c r="O67" s="2">
        <f t="shared" si="44"/>
        <v>-4166.666666666667</v>
      </c>
      <c r="P67" s="2">
        <f t="shared" si="44"/>
        <v>-4166.666666666667</v>
      </c>
      <c r="Q67" s="2">
        <f t="shared" si="44"/>
        <v>-4166.666666666667</v>
      </c>
      <c r="R67" s="2">
        <f t="shared" si="44"/>
        <v>-4166.666666666667</v>
      </c>
      <c r="S67" s="2">
        <f t="shared" si="44"/>
        <v>-4166.666666666667</v>
      </c>
      <c r="T67" s="6">
        <f t="shared" ref="T67:T130" si="46">SUM(H67:S67)</f>
        <v>-49999.999999999993</v>
      </c>
      <c r="U67" s="24">
        <v>0</v>
      </c>
      <c r="V67" s="23">
        <f t="shared" si="18"/>
        <v>0</v>
      </c>
      <c r="W67" s="2">
        <f t="shared" si="45"/>
        <v>0</v>
      </c>
      <c r="X67" s="2">
        <f t="shared" si="45"/>
        <v>0</v>
      </c>
      <c r="Y67" s="2">
        <f t="shared" si="45"/>
        <v>0</v>
      </c>
      <c r="Z67" s="2">
        <f t="shared" si="45"/>
        <v>0</v>
      </c>
      <c r="AA67" s="2">
        <f t="shared" si="45"/>
        <v>0</v>
      </c>
      <c r="AB67" s="2">
        <f t="shared" si="45"/>
        <v>0</v>
      </c>
      <c r="AC67" s="2">
        <f t="shared" si="45"/>
        <v>0</v>
      </c>
      <c r="AD67" s="2">
        <f t="shared" si="45"/>
        <v>0</v>
      </c>
      <c r="AE67" s="2">
        <f t="shared" si="45"/>
        <v>0</v>
      </c>
      <c r="AF67" s="2">
        <f t="shared" si="45"/>
        <v>0</v>
      </c>
      <c r="AG67" s="2">
        <f t="shared" si="45"/>
        <v>0</v>
      </c>
      <c r="AH67" s="2">
        <f t="shared" si="45"/>
        <v>0</v>
      </c>
      <c r="AI67" s="6">
        <f t="shared" ref="AI67:AI130" si="47">SUM(W67:AH67)</f>
        <v>0</v>
      </c>
    </row>
    <row r="68" spans="1:35" outlineLevel="1" x14ac:dyDescent="0.25">
      <c r="A68" s="1" t="s">
        <v>71</v>
      </c>
      <c r="B68" s="2">
        <v>-29917.09</v>
      </c>
      <c r="C68" s="8">
        <f t="shared" si="41"/>
        <v>-2.7115015880381471E-3</v>
      </c>
      <c r="D68" s="2">
        <v>-35735.85</v>
      </c>
      <c r="E68" s="8">
        <f t="shared" si="42"/>
        <v>-4.2488380040341962E-3</v>
      </c>
      <c r="F68" s="24">
        <v>-40000</v>
      </c>
      <c r="G68" s="8">
        <f t="shared" si="43"/>
        <v>-4.7558269961780076E-3</v>
      </c>
      <c r="H68" s="2">
        <f t="shared" si="44"/>
        <v>-3333.3333333333335</v>
      </c>
      <c r="I68" s="2">
        <f t="shared" si="44"/>
        <v>-3333.3333333333335</v>
      </c>
      <c r="J68" s="2">
        <f t="shared" si="44"/>
        <v>-3333.3333333333335</v>
      </c>
      <c r="K68" s="2">
        <f t="shared" si="44"/>
        <v>-3333.3333333333335</v>
      </c>
      <c r="L68" s="2">
        <f t="shared" si="44"/>
        <v>-3333.3333333333335</v>
      </c>
      <c r="M68" s="2">
        <f t="shared" si="44"/>
        <v>-3333.3333333333335</v>
      </c>
      <c r="N68" s="2">
        <f t="shared" si="44"/>
        <v>-3333.3333333333335</v>
      </c>
      <c r="O68" s="2">
        <f t="shared" si="44"/>
        <v>-3333.3333333333335</v>
      </c>
      <c r="P68" s="2">
        <f t="shared" si="44"/>
        <v>-3333.3333333333335</v>
      </c>
      <c r="Q68" s="2">
        <f t="shared" si="44"/>
        <v>-3333.3333333333335</v>
      </c>
      <c r="R68" s="2">
        <f t="shared" si="44"/>
        <v>-3333.3333333333335</v>
      </c>
      <c r="S68" s="2">
        <f t="shared" si="44"/>
        <v>-3333.3333333333335</v>
      </c>
      <c r="T68" s="6">
        <f t="shared" si="46"/>
        <v>-40000</v>
      </c>
      <c r="U68" s="24">
        <v>0</v>
      </c>
      <c r="V68" s="23">
        <f t="shared" si="18"/>
        <v>0</v>
      </c>
      <c r="W68" s="2">
        <f t="shared" si="45"/>
        <v>0</v>
      </c>
      <c r="X68" s="2">
        <f t="shared" si="45"/>
        <v>0</v>
      </c>
      <c r="Y68" s="2">
        <f t="shared" si="45"/>
        <v>0</v>
      </c>
      <c r="Z68" s="2">
        <f t="shared" si="45"/>
        <v>0</v>
      </c>
      <c r="AA68" s="2">
        <f t="shared" si="45"/>
        <v>0</v>
      </c>
      <c r="AB68" s="2">
        <f t="shared" si="45"/>
        <v>0</v>
      </c>
      <c r="AC68" s="2">
        <f t="shared" si="45"/>
        <v>0</v>
      </c>
      <c r="AD68" s="2">
        <f t="shared" si="45"/>
        <v>0</v>
      </c>
      <c r="AE68" s="2">
        <f t="shared" si="45"/>
        <v>0</v>
      </c>
      <c r="AF68" s="2">
        <f t="shared" si="45"/>
        <v>0</v>
      </c>
      <c r="AG68" s="2">
        <f t="shared" si="45"/>
        <v>0</v>
      </c>
      <c r="AH68" s="2">
        <f t="shared" si="45"/>
        <v>0</v>
      </c>
      <c r="AI68" s="6">
        <f t="shared" si="47"/>
        <v>0</v>
      </c>
    </row>
    <row r="69" spans="1:35" outlineLevel="1" x14ac:dyDescent="0.25">
      <c r="A69" s="1" t="s">
        <v>72</v>
      </c>
      <c r="B69" s="2">
        <v>-20574.53</v>
      </c>
      <c r="C69" s="8">
        <f t="shared" si="41"/>
        <v>-1.8647492375808777E-3</v>
      </c>
      <c r="D69" s="2">
        <v>0</v>
      </c>
      <c r="E69" s="8">
        <f t="shared" si="42"/>
        <v>0</v>
      </c>
      <c r="F69" s="24">
        <f>+D69*1.1</f>
        <v>0</v>
      </c>
      <c r="G69" s="8">
        <f t="shared" si="43"/>
        <v>0</v>
      </c>
      <c r="H69" s="2">
        <f t="shared" si="44"/>
        <v>0</v>
      </c>
      <c r="I69" s="2">
        <f t="shared" si="44"/>
        <v>0</v>
      </c>
      <c r="J69" s="2">
        <f t="shared" si="44"/>
        <v>0</v>
      </c>
      <c r="K69" s="2">
        <f t="shared" si="44"/>
        <v>0</v>
      </c>
      <c r="L69" s="2">
        <f t="shared" si="44"/>
        <v>0</v>
      </c>
      <c r="M69" s="2">
        <f t="shared" si="44"/>
        <v>0</v>
      </c>
      <c r="N69" s="2">
        <f t="shared" si="44"/>
        <v>0</v>
      </c>
      <c r="O69" s="2">
        <f t="shared" si="44"/>
        <v>0</v>
      </c>
      <c r="P69" s="2">
        <f t="shared" si="44"/>
        <v>0</v>
      </c>
      <c r="Q69" s="2">
        <f t="shared" si="44"/>
        <v>0</v>
      </c>
      <c r="R69" s="2">
        <f t="shared" si="44"/>
        <v>0</v>
      </c>
      <c r="S69" s="2">
        <f t="shared" si="44"/>
        <v>0</v>
      </c>
      <c r="T69" s="6">
        <f t="shared" si="46"/>
        <v>0</v>
      </c>
      <c r="U69" s="24">
        <v>0</v>
      </c>
      <c r="V69" s="23">
        <f t="shared" si="18"/>
        <v>0</v>
      </c>
      <c r="W69" s="2">
        <f t="shared" si="45"/>
        <v>0</v>
      </c>
      <c r="X69" s="2">
        <f t="shared" si="45"/>
        <v>0</v>
      </c>
      <c r="Y69" s="2">
        <f t="shared" si="45"/>
        <v>0</v>
      </c>
      <c r="Z69" s="2">
        <f t="shared" si="45"/>
        <v>0</v>
      </c>
      <c r="AA69" s="2">
        <f t="shared" si="45"/>
        <v>0</v>
      </c>
      <c r="AB69" s="2">
        <f t="shared" si="45"/>
        <v>0</v>
      </c>
      <c r="AC69" s="2">
        <f t="shared" si="45"/>
        <v>0</v>
      </c>
      <c r="AD69" s="2">
        <f t="shared" si="45"/>
        <v>0</v>
      </c>
      <c r="AE69" s="2">
        <f t="shared" si="45"/>
        <v>0</v>
      </c>
      <c r="AF69" s="2">
        <f t="shared" si="45"/>
        <v>0</v>
      </c>
      <c r="AG69" s="2">
        <f t="shared" si="45"/>
        <v>0</v>
      </c>
      <c r="AH69" s="2">
        <f t="shared" si="45"/>
        <v>0</v>
      </c>
      <c r="AI69" s="6">
        <f t="shared" si="47"/>
        <v>0</v>
      </c>
    </row>
    <row r="70" spans="1:35" outlineLevel="1" x14ac:dyDescent="0.25">
      <c r="A70" s="1" t="s">
        <v>73</v>
      </c>
      <c r="B70" s="2">
        <v>-88656.21</v>
      </c>
      <c r="C70" s="8">
        <f t="shared" si="41"/>
        <v>-8.0352552405479095E-3</v>
      </c>
      <c r="D70" s="2">
        <v>0</v>
      </c>
      <c r="E70" s="8">
        <f t="shared" si="42"/>
        <v>0</v>
      </c>
      <c r="F70" s="24">
        <f>+D70*1.1</f>
        <v>0</v>
      </c>
      <c r="G70" s="8">
        <f t="shared" si="43"/>
        <v>0</v>
      </c>
      <c r="H70" s="2">
        <f t="shared" si="44"/>
        <v>0</v>
      </c>
      <c r="I70" s="2">
        <f t="shared" si="44"/>
        <v>0</v>
      </c>
      <c r="J70" s="2">
        <f t="shared" si="44"/>
        <v>0</v>
      </c>
      <c r="K70" s="2">
        <f t="shared" si="44"/>
        <v>0</v>
      </c>
      <c r="L70" s="2">
        <f t="shared" si="44"/>
        <v>0</v>
      </c>
      <c r="M70" s="2">
        <f t="shared" si="44"/>
        <v>0</v>
      </c>
      <c r="N70" s="2">
        <f t="shared" si="44"/>
        <v>0</v>
      </c>
      <c r="O70" s="2">
        <f t="shared" si="44"/>
        <v>0</v>
      </c>
      <c r="P70" s="2">
        <f t="shared" si="44"/>
        <v>0</v>
      </c>
      <c r="Q70" s="2">
        <f t="shared" si="44"/>
        <v>0</v>
      </c>
      <c r="R70" s="2">
        <f t="shared" si="44"/>
        <v>0</v>
      </c>
      <c r="S70" s="2">
        <f t="shared" si="44"/>
        <v>0</v>
      </c>
      <c r="T70" s="6">
        <f t="shared" si="46"/>
        <v>0</v>
      </c>
      <c r="U70" s="24">
        <v>0</v>
      </c>
      <c r="V70" s="23">
        <f t="shared" si="18"/>
        <v>0</v>
      </c>
      <c r="W70" s="2">
        <f t="shared" si="45"/>
        <v>0</v>
      </c>
      <c r="X70" s="2">
        <f t="shared" si="45"/>
        <v>0</v>
      </c>
      <c r="Y70" s="2">
        <f t="shared" si="45"/>
        <v>0</v>
      </c>
      <c r="Z70" s="2">
        <f t="shared" si="45"/>
        <v>0</v>
      </c>
      <c r="AA70" s="2">
        <f t="shared" si="45"/>
        <v>0</v>
      </c>
      <c r="AB70" s="2">
        <f t="shared" si="45"/>
        <v>0</v>
      </c>
      <c r="AC70" s="2">
        <f t="shared" si="45"/>
        <v>0</v>
      </c>
      <c r="AD70" s="2">
        <f t="shared" si="45"/>
        <v>0</v>
      </c>
      <c r="AE70" s="2">
        <f t="shared" si="45"/>
        <v>0</v>
      </c>
      <c r="AF70" s="2">
        <f t="shared" si="45"/>
        <v>0</v>
      </c>
      <c r="AG70" s="2">
        <f t="shared" si="45"/>
        <v>0</v>
      </c>
      <c r="AH70" s="2">
        <f t="shared" si="45"/>
        <v>0</v>
      </c>
      <c r="AI70" s="6">
        <f t="shared" si="47"/>
        <v>0</v>
      </c>
    </row>
    <row r="71" spans="1:35" outlineLevel="1" x14ac:dyDescent="0.25">
      <c r="A71" s="1" t="s">
        <v>74</v>
      </c>
      <c r="B71" s="2">
        <v>-10760.93</v>
      </c>
      <c r="C71" s="8">
        <f t="shared" si="41"/>
        <v>-9.7530470990886279E-4</v>
      </c>
      <c r="D71" s="2">
        <v>-34951.86</v>
      </c>
      <c r="E71" s="8">
        <f t="shared" si="42"/>
        <v>-4.155624983865857E-3</v>
      </c>
      <c r="F71" s="24">
        <f>+D71*1.07</f>
        <v>-37398.4902</v>
      </c>
      <c r="G71" s="8">
        <f t="shared" si="43"/>
        <v>-4.4465187327364661E-3</v>
      </c>
      <c r="H71" s="2">
        <f t="shared" si="44"/>
        <v>-3116.5408499999999</v>
      </c>
      <c r="I71" s="2">
        <f t="shared" si="44"/>
        <v>-3116.5408499999999</v>
      </c>
      <c r="J71" s="2">
        <f t="shared" si="44"/>
        <v>-3116.5408499999999</v>
      </c>
      <c r="K71" s="2">
        <f t="shared" si="44"/>
        <v>-3116.5408499999999</v>
      </c>
      <c r="L71" s="2">
        <f t="shared" si="44"/>
        <v>-3116.5408499999999</v>
      </c>
      <c r="M71" s="2">
        <f t="shared" si="44"/>
        <v>-3116.5408499999999</v>
      </c>
      <c r="N71" s="2">
        <f t="shared" si="44"/>
        <v>-3116.5408499999999</v>
      </c>
      <c r="O71" s="2">
        <f t="shared" si="44"/>
        <v>-3116.5408499999999</v>
      </c>
      <c r="P71" s="2">
        <f t="shared" si="44"/>
        <v>-3116.5408499999999</v>
      </c>
      <c r="Q71" s="2">
        <f t="shared" si="44"/>
        <v>-3116.5408499999999</v>
      </c>
      <c r="R71" s="2">
        <f t="shared" si="44"/>
        <v>-3116.5408499999999</v>
      </c>
      <c r="S71" s="2">
        <f t="shared" si="44"/>
        <v>-3116.5408499999999</v>
      </c>
      <c r="T71" s="6">
        <f t="shared" si="46"/>
        <v>-37398.4902</v>
      </c>
      <c r="U71" s="24">
        <v>0</v>
      </c>
      <c r="V71" s="23">
        <f t="shared" si="18"/>
        <v>0</v>
      </c>
      <c r="W71" s="2">
        <f t="shared" si="45"/>
        <v>0</v>
      </c>
      <c r="X71" s="2">
        <f t="shared" si="45"/>
        <v>0</v>
      </c>
      <c r="Y71" s="2">
        <f t="shared" si="45"/>
        <v>0</v>
      </c>
      <c r="Z71" s="2">
        <f t="shared" si="45"/>
        <v>0</v>
      </c>
      <c r="AA71" s="2">
        <f t="shared" si="45"/>
        <v>0</v>
      </c>
      <c r="AB71" s="2">
        <f t="shared" si="45"/>
        <v>0</v>
      </c>
      <c r="AC71" s="2">
        <f t="shared" si="45"/>
        <v>0</v>
      </c>
      <c r="AD71" s="2">
        <f t="shared" si="45"/>
        <v>0</v>
      </c>
      <c r="AE71" s="2">
        <f t="shared" si="45"/>
        <v>0</v>
      </c>
      <c r="AF71" s="2">
        <f t="shared" si="45"/>
        <v>0</v>
      </c>
      <c r="AG71" s="2">
        <f t="shared" si="45"/>
        <v>0</v>
      </c>
      <c r="AH71" s="2">
        <f t="shared" si="45"/>
        <v>0</v>
      </c>
      <c r="AI71" s="6">
        <f t="shared" si="47"/>
        <v>0</v>
      </c>
    </row>
    <row r="72" spans="1:35" outlineLevel="1" x14ac:dyDescent="0.25">
      <c r="A72" s="1" t="s">
        <v>75</v>
      </c>
      <c r="B72" s="2">
        <v>-7574.5</v>
      </c>
      <c r="C72" s="8">
        <f t="shared" si="41"/>
        <v>-6.8650623368098117E-4</v>
      </c>
      <c r="D72" s="2">
        <v>-29838.76</v>
      </c>
      <c r="E72" s="8">
        <f t="shared" si="42"/>
        <v>-3.5476995085119119E-3</v>
      </c>
      <c r="F72" s="24">
        <f>+D72</f>
        <v>-29838.76</v>
      </c>
      <c r="G72" s="8">
        <f t="shared" si="43"/>
        <v>-3.5476995085119119E-3</v>
      </c>
      <c r="H72" s="2">
        <f t="shared" si="44"/>
        <v>-2486.563333333333</v>
      </c>
      <c r="I72" s="2">
        <f t="shared" si="44"/>
        <v>-2486.563333333333</v>
      </c>
      <c r="J72" s="2">
        <f t="shared" si="44"/>
        <v>-2486.563333333333</v>
      </c>
      <c r="K72" s="2">
        <f t="shared" si="44"/>
        <v>-2486.563333333333</v>
      </c>
      <c r="L72" s="2">
        <f t="shared" si="44"/>
        <v>-2486.563333333333</v>
      </c>
      <c r="M72" s="2">
        <f t="shared" si="44"/>
        <v>-2486.563333333333</v>
      </c>
      <c r="N72" s="2">
        <f t="shared" si="44"/>
        <v>-2486.563333333333</v>
      </c>
      <c r="O72" s="2">
        <f t="shared" si="44"/>
        <v>-2486.563333333333</v>
      </c>
      <c r="P72" s="2">
        <f t="shared" si="44"/>
        <v>-2486.563333333333</v>
      </c>
      <c r="Q72" s="2">
        <f t="shared" si="44"/>
        <v>-2486.563333333333</v>
      </c>
      <c r="R72" s="2">
        <f t="shared" si="44"/>
        <v>-2486.563333333333</v>
      </c>
      <c r="S72" s="2">
        <f t="shared" si="44"/>
        <v>-2486.563333333333</v>
      </c>
      <c r="T72" s="6">
        <f t="shared" si="46"/>
        <v>-29838.759999999991</v>
      </c>
      <c r="U72" s="24">
        <v>0</v>
      </c>
      <c r="V72" s="23">
        <f t="shared" si="18"/>
        <v>0</v>
      </c>
      <c r="W72" s="2">
        <f t="shared" si="45"/>
        <v>0</v>
      </c>
      <c r="X72" s="2">
        <f t="shared" si="45"/>
        <v>0</v>
      </c>
      <c r="Y72" s="2">
        <f t="shared" si="45"/>
        <v>0</v>
      </c>
      <c r="Z72" s="2">
        <f t="shared" si="45"/>
        <v>0</v>
      </c>
      <c r="AA72" s="2">
        <f t="shared" si="45"/>
        <v>0</v>
      </c>
      <c r="AB72" s="2">
        <f t="shared" si="45"/>
        <v>0</v>
      </c>
      <c r="AC72" s="2">
        <f t="shared" si="45"/>
        <v>0</v>
      </c>
      <c r="AD72" s="2">
        <f t="shared" si="45"/>
        <v>0</v>
      </c>
      <c r="AE72" s="2">
        <f t="shared" si="45"/>
        <v>0</v>
      </c>
      <c r="AF72" s="2">
        <f t="shared" si="45"/>
        <v>0</v>
      </c>
      <c r="AG72" s="2">
        <f t="shared" si="45"/>
        <v>0</v>
      </c>
      <c r="AH72" s="2">
        <f t="shared" si="45"/>
        <v>0</v>
      </c>
      <c r="AI72" s="6">
        <f t="shared" si="47"/>
        <v>0</v>
      </c>
    </row>
    <row r="73" spans="1:35" outlineLevel="1" x14ac:dyDescent="0.25">
      <c r="A73" s="1" t="s">
        <v>76</v>
      </c>
      <c r="B73" s="2">
        <v>-3955.79</v>
      </c>
      <c r="C73" s="8">
        <f t="shared" si="41"/>
        <v>-3.5852854896466945E-4</v>
      </c>
      <c r="D73" s="2">
        <v>-11935.78</v>
      </c>
      <c r="E73" s="8">
        <f t="shared" si="42"/>
        <v>-1.4191126186110386E-3</v>
      </c>
      <c r="F73" s="24">
        <f>+D73*1.03</f>
        <v>-12293.853400000002</v>
      </c>
      <c r="G73" s="8">
        <f t="shared" si="43"/>
        <v>-1.46168599716937E-3</v>
      </c>
      <c r="H73" s="2">
        <f t="shared" si="44"/>
        <v>-1024.4877833333335</v>
      </c>
      <c r="I73" s="2">
        <f t="shared" si="44"/>
        <v>-1024.4877833333335</v>
      </c>
      <c r="J73" s="2">
        <f t="shared" si="44"/>
        <v>-1024.4877833333335</v>
      </c>
      <c r="K73" s="2">
        <f t="shared" si="44"/>
        <v>-1024.4877833333335</v>
      </c>
      <c r="L73" s="2">
        <f t="shared" si="44"/>
        <v>-1024.4877833333335</v>
      </c>
      <c r="M73" s="2">
        <f t="shared" si="44"/>
        <v>-1024.4877833333335</v>
      </c>
      <c r="N73" s="2">
        <f t="shared" si="44"/>
        <v>-1024.4877833333335</v>
      </c>
      <c r="O73" s="2">
        <f t="shared" si="44"/>
        <v>-1024.4877833333335</v>
      </c>
      <c r="P73" s="2">
        <f t="shared" si="44"/>
        <v>-1024.4877833333335</v>
      </c>
      <c r="Q73" s="2">
        <f t="shared" si="44"/>
        <v>-1024.4877833333335</v>
      </c>
      <c r="R73" s="2">
        <f t="shared" si="44"/>
        <v>-1024.4877833333335</v>
      </c>
      <c r="S73" s="2">
        <f t="shared" si="44"/>
        <v>-1024.4877833333335</v>
      </c>
      <c r="T73" s="6">
        <f t="shared" si="46"/>
        <v>-12293.853400000005</v>
      </c>
      <c r="U73" s="24">
        <v>0</v>
      </c>
      <c r="V73" s="23">
        <f t="shared" si="18"/>
        <v>0</v>
      </c>
      <c r="W73" s="2">
        <f t="shared" si="45"/>
        <v>0</v>
      </c>
      <c r="X73" s="2">
        <f t="shared" si="45"/>
        <v>0</v>
      </c>
      <c r="Y73" s="2">
        <f t="shared" si="45"/>
        <v>0</v>
      </c>
      <c r="Z73" s="2">
        <f t="shared" si="45"/>
        <v>0</v>
      </c>
      <c r="AA73" s="2">
        <f t="shared" si="45"/>
        <v>0</v>
      </c>
      <c r="AB73" s="2">
        <f t="shared" si="45"/>
        <v>0</v>
      </c>
      <c r="AC73" s="2">
        <f t="shared" si="45"/>
        <v>0</v>
      </c>
      <c r="AD73" s="2">
        <f t="shared" si="45"/>
        <v>0</v>
      </c>
      <c r="AE73" s="2">
        <f t="shared" si="45"/>
        <v>0</v>
      </c>
      <c r="AF73" s="2">
        <f t="shared" si="45"/>
        <v>0</v>
      </c>
      <c r="AG73" s="2">
        <f t="shared" si="45"/>
        <v>0</v>
      </c>
      <c r="AH73" s="2">
        <f t="shared" si="45"/>
        <v>0</v>
      </c>
      <c r="AI73" s="6">
        <f t="shared" si="47"/>
        <v>0</v>
      </c>
    </row>
    <row r="74" spans="1:35" outlineLevel="1" x14ac:dyDescent="0.25">
      <c r="A74" s="1" t="s">
        <v>77</v>
      </c>
      <c r="B74" s="2">
        <v>-1881.62</v>
      </c>
      <c r="C74" s="8">
        <f t="shared" si="41"/>
        <v>-1.7053849883408908E-4</v>
      </c>
      <c r="D74" s="2">
        <v>-1963.57</v>
      </c>
      <c r="E74" s="8">
        <f t="shared" si="42"/>
        <v>-2.3345998037213126E-4</v>
      </c>
      <c r="F74" s="24">
        <f>+D74*1.03</f>
        <v>-2022.4771000000001</v>
      </c>
      <c r="G74" s="8">
        <f t="shared" si="43"/>
        <v>-2.404637797832952E-4</v>
      </c>
      <c r="H74" s="2">
        <f t="shared" si="44"/>
        <v>-168.53975833333334</v>
      </c>
      <c r="I74" s="2">
        <f t="shared" si="44"/>
        <v>-168.53975833333334</v>
      </c>
      <c r="J74" s="2">
        <f t="shared" si="44"/>
        <v>-168.53975833333334</v>
      </c>
      <c r="K74" s="2">
        <f t="shared" si="44"/>
        <v>-168.53975833333334</v>
      </c>
      <c r="L74" s="2">
        <f t="shared" si="44"/>
        <v>-168.53975833333334</v>
      </c>
      <c r="M74" s="2">
        <f t="shared" si="44"/>
        <v>-168.53975833333334</v>
      </c>
      <c r="N74" s="2">
        <f t="shared" si="44"/>
        <v>-168.53975833333334</v>
      </c>
      <c r="O74" s="2">
        <f t="shared" si="44"/>
        <v>-168.53975833333334</v>
      </c>
      <c r="P74" s="2">
        <f t="shared" si="44"/>
        <v>-168.53975833333334</v>
      </c>
      <c r="Q74" s="2">
        <f t="shared" si="44"/>
        <v>-168.53975833333334</v>
      </c>
      <c r="R74" s="2">
        <f t="shared" si="44"/>
        <v>-168.53975833333334</v>
      </c>
      <c r="S74" s="2">
        <f t="shared" si="44"/>
        <v>-168.53975833333334</v>
      </c>
      <c r="T74" s="6">
        <f t="shared" si="46"/>
        <v>-2022.4771000000001</v>
      </c>
      <c r="U74" s="24">
        <v>0</v>
      </c>
      <c r="V74" s="23">
        <f t="shared" si="18"/>
        <v>0</v>
      </c>
      <c r="W74" s="2">
        <f t="shared" si="45"/>
        <v>0</v>
      </c>
      <c r="X74" s="2">
        <f t="shared" si="45"/>
        <v>0</v>
      </c>
      <c r="Y74" s="2">
        <f t="shared" si="45"/>
        <v>0</v>
      </c>
      <c r="Z74" s="2">
        <f t="shared" si="45"/>
        <v>0</v>
      </c>
      <c r="AA74" s="2">
        <f t="shared" si="45"/>
        <v>0</v>
      </c>
      <c r="AB74" s="2">
        <f t="shared" si="45"/>
        <v>0</v>
      </c>
      <c r="AC74" s="2">
        <f t="shared" si="45"/>
        <v>0</v>
      </c>
      <c r="AD74" s="2">
        <f t="shared" si="45"/>
        <v>0</v>
      </c>
      <c r="AE74" s="2">
        <f t="shared" si="45"/>
        <v>0</v>
      </c>
      <c r="AF74" s="2">
        <f t="shared" si="45"/>
        <v>0</v>
      </c>
      <c r="AG74" s="2">
        <f t="shared" si="45"/>
        <v>0</v>
      </c>
      <c r="AH74" s="2">
        <f t="shared" si="45"/>
        <v>0</v>
      </c>
      <c r="AI74" s="6">
        <f t="shared" si="47"/>
        <v>0</v>
      </c>
    </row>
    <row r="75" spans="1:35" outlineLevel="1" x14ac:dyDescent="0.25">
      <c r="A75" s="1" t="s">
        <v>78</v>
      </c>
      <c r="B75" s="2">
        <v>-829.9</v>
      </c>
      <c r="C75" s="8">
        <f t="shared" si="41"/>
        <v>-7.5217047109623909E-5</v>
      </c>
      <c r="D75" s="2">
        <v>-558.91999999999996</v>
      </c>
      <c r="E75" s="8">
        <f t="shared" si="42"/>
        <v>-6.6453170617595297E-5</v>
      </c>
      <c r="F75" s="24">
        <f>+D75*1.03</f>
        <v>-575.68759999999997</v>
      </c>
      <c r="G75" s="8">
        <f t="shared" si="43"/>
        <v>-6.8446765736123152E-5</v>
      </c>
      <c r="H75" s="2">
        <f t="shared" si="44"/>
        <v>-47.973966666666662</v>
      </c>
      <c r="I75" s="2">
        <f t="shared" si="44"/>
        <v>-47.973966666666662</v>
      </c>
      <c r="J75" s="2">
        <f t="shared" si="44"/>
        <v>-47.973966666666662</v>
      </c>
      <c r="K75" s="2">
        <f t="shared" si="44"/>
        <v>-47.973966666666662</v>
      </c>
      <c r="L75" s="2">
        <f t="shared" si="44"/>
        <v>-47.973966666666662</v>
      </c>
      <c r="M75" s="2">
        <f t="shared" si="44"/>
        <v>-47.973966666666662</v>
      </c>
      <c r="N75" s="2">
        <f t="shared" si="44"/>
        <v>-47.973966666666662</v>
      </c>
      <c r="O75" s="2">
        <f t="shared" si="44"/>
        <v>-47.973966666666662</v>
      </c>
      <c r="P75" s="2">
        <f t="shared" si="44"/>
        <v>-47.973966666666662</v>
      </c>
      <c r="Q75" s="2">
        <f t="shared" si="44"/>
        <v>-47.973966666666662</v>
      </c>
      <c r="R75" s="2">
        <f t="shared" si="44"/>
        <v>-47.973966666666662</v>
      </c>
      <c r="S75" s="2">
        <f t="shared" si="44"/>
        <v>-47.973966666666662</v>
      </c>
      <c r="T75" s="6">
        <f t="shared" si="46"/>
        <v>-575.68760000000009</v>
      </c>
      <c r="U75" s="24">
        <v>0</v>
      </c>
      <c r="V75" s="23">
        <f t="shared" si="18"/>
        <v>0</v>
      </c>
      <c r="W75" s="2">
        <f t="shared" si="45"/>
        <v>0</v>
      </c>
      <c r="X75" s="2">
        <f t="shared" si="45"/>
        <v>0</v>
      </c>
      <c r="Y75" s="2">
        <f t="shared" si="45"/>
        <v>0</v>
      </c>
      <c r="Z75" s="2">
        <f t="shared" si="45"/>
        <v>0</v>
      </c>
      <c r="AA75" s="2">
        <f t="shared" si="45"/>
        <v>0</v>
      </c>
      <c r="AB75" s="2">
        <f t="shared" si="45"/>
        <v>0</v>
      </c>
      <c r="AC75" s="2">
        <f t="shared" si="45"/>
        <v>0</v>
      </c>
      <c r="AD75" s="2">
        <f t="shared" si="45"/>
        <v>0</v>
      </c>
      <c r="AE75" s="2">
        <f t="shared" si="45"/>
        <v>0</v>
      </c>
      <c r="AF75" s="2">
        <f t="shared" si="45"/>
        <v>0</v>
      </c>
      <c r="AG75" s="2">
        <f t="shared" si="45"/>
        <v>0</v>
      </c>
      <c r="AH75" s="2">
        <f t="shared" si="45"/>
        <v>0</v>
      </c>
      <c r="AI75" s="6">
        <f t="shared" si="47"/>
        <v>0</v>
      </c>
    </row>
    <row r="76" spans="1:35" outlineLevel="1" x14ac:dyDescent="0.25">
      <c r="A76" s="1" t="s">
        <v>79</v>
      </c>
      <c r="B76" s="2">
        <v>-3978.91</v>
      </c>
      <c r="C76" s="8">
        <f t="shared" si="41"/>
        <v>-3.6062400399440131E-4</v>
      </c>
      <c r="D76" s="2">
        <v>-3520.94</v>
      </c>
      <c r="E76" s="8">
        <f t="shared" si="42"/>
        <v>-4.1862453759807487E-4</v>
      </c>
      <c r="F76" s="24">
        <f>+D76*1.03</f>
        <v>-3626.5682000000002</v>
      </c>
      <c r="G76" s="8">
        <f t="shared" si="43"/>
        <v>-4.3118327372601714E-4</v>
      </c>
      <c r="H76" s="2">
        <f t="shared" si="44"/>
        <v>-302.21401666666668</v>
      </c>
      <c r="I76" s="2">
        <f t="shared" si="44"/>
        <v>-302.21401666666668</v>
      </c>
      <c r="J76" s="2">
        <f t="shared" si="44"/>
        <v>-302.21401666666668</v>
      </c>
      <c r="K76" s="2">
        <f t="shared" si="44"/>
        <v>-302.21401666666668</v>
      </c>
      <c r="L76" s="2">
        <f t="shared" si="44"/>
        <v>-302.21401666666668</v>
      </c>
      <c r="M76" s="2">
        <f t="shared" si="44"/>
        <v>-302.21401666666668</v>
      </c>
      <c r="N76" s="2">
        <f t="shared" si="44"/>
        <v>-302.21401666666668</v>
      </c>
      <c r="O76" s="2">
        <f t="shared" si="44"/>
        <v>-302.21401666666668</v>
      </c>
      <c r="P76" s="2">
        <f t="shared" si="44"/>
        <v>-302.21401666666668</v>
      </c>
      <c r="Q76" s="2">
        <f t="shared" si="44"/>
        <v>-302.21401666666668</v>
      </c>
      <c r="R76" s="2">
        <f t="shared" si="44"/>
        <v>-302.21401666666668</v>
      </c>
      <c r="S76" s="2">
        <f t="shared" si="44"/>
        <v>-302.21401666666668</v>
      </c>
      <c r="T76" s="6">
        <f t="shared" si="46"/>
        <v>-3626.5682000000011</v>
      </c>
      <c r="U76" s="24">
        <v>0</v>
      </c>
      <c r="V76" s="23">
        <f t="shared" si="18"/>
        <v>0</v>
      </c>
      <c r="W76" s="2">
        <f t="shared" si="45"/>
        <v>0</v>
      </c>
      <c r="X76" s="2">
        <f t="shared" si="45"/>
        <v>0</v>
      </c>
      <c r="Y76" s="2">
        <f t="shared" si="45"/>
        <v>0</v>
      </c>
      <c r="Z76" s="2">
        <f t="shared" si="45"/>
        <v>0</v>
      </c>
      <c r="AA76" s="2">
        <f t="shared" si="45"/>
        <v>0</v>
      </c>
      <c r="AB76" s="2">
        <f t="shared" si="45"/>
        <v>0</v>
      </c>
      <c r="AC76" s="2">
        <f t="shared" si="45"/>
        <v>0</v>
      </c>
      <c r="AD76" s="2">
        <f t="shared" si="45"/>
        <v>0</v>
      </c>
      <c r="AE76" s="2">
        <f t="shared" si="45"/>
        <v>0</v>
      </c>
      <c r="AF76" s="2">
        <f t="shared" si="45"/>
        <v>0</v>
      </c>
      <c r="AG76" s="2">
        <f t="shared" si="45"/>
        <v>0</v>
      </c>
      <c r="AH76" s="2">
        <f t="shared" si="45"/>
        <v>0</v>
      </c>
      <c r="AI76" s="6">
        <f t="shared" si="47"/>
        <v>0</v>
      </c>
    </row>
    <row r="77" spans="1:35" outlineLevel="1" x14ac:dyDescent="0.25">
      <c r="A77" s="1" t="s">
        <v>80</v>
      </c>
      <c r="B77" s="2">
        <v>-54354.83</v>
      </c>
      <c r="C77" s="8">
        <f t="shared" si="41"/>
        <v>-4.9263884910779598E-3</v>
      </c>
      <c r="D77" s="2">
        <v>-20761.580000000002</v>
      </c>
      <c r="E77" s="8">
        <f t="shared" si="42"/>
        <v>-2.4684620661827353E-3</v>
      </c>
      <c r="F77" s="24">
        <f>+D77*1.03</f>
        <v>-21384.427400000004</v>
      </c>
      <c r="G77" s="8">
        <f t="shared" si="43"/>
        <v>-2.5425159281682176E-3</v>
      </c>
      <c r="H77" s="2">
        <f t="shared" si="44"/>
        <v>-1782.035616666667</v>
      </c>
      <c r="I77" s="2">
        <f t="shared" si="44"/>
        <v>-1782.035616666667</v>
      </c>
      <c r="J77" s="2">
        <f t="shared" si="44"/>
        <v>-1782.035616666667</v>
      </c>
      <c r="K77" s="2">
        <f t="shared" si="44"/>
        <v>-1782.035616666667</v>
      </c>
      <c r="L77" s="2">
        <f t="shared" si="44"/>
        <v>-1782.035616666667</v>
      </c>
      <c r="M77" s="2">
        <f t="shared" si="44"/>
        <v>-1782.035616666667</v>
      </c>
      <c r="N77" s="2">
        <f t="shared" si="44"/>
        <v>-1782.035616666667</v>
      </c>
      <c r="O77" s="2">
        <f t="shared" si="44"/>
        <v>-1782.035616666667</v>
      </c>
      <c r="P77" s="2">
        <f t="shared" si="44"/>
        <v>-1782.035616666667</v>
      </c>
      <c r="Q77" s="2">
        <f t="shared" si="44"/>
        <v>-1782.035616666667</v>
      </c>
      <c r="R77" s="2">
        <f t="shared" si="44"/>
        <v>-1782.035616666667</v>
      </c>
      <c r="S77" s="2">
        <f t="shared" si="44"/>
        <v>-1782.035616666667</v>
      </c>
      <c r="T77" s="6">
        <f t="shared" si="46"/>
        <v>-21384.427400000011</v>
      </c>
      <c r="U77" s="24">
        <v>0</v>
      </c>
      <c r="V77" s="23">
        <f t="shared" si="18"/>
        <v>0</v>
      </c>
      <c r="W77" s="2">
        <f t="shared" si="45"/>
        <v>0</v>
      </c>
      <c r="X77" s="2">
        <f t="shared" si="45"/>
        <v>0</v>
      </c>
      <c r="Y77" s="2">
        <f t="shared" si="45"/>
        <v>0</v>
      </c>
      <c r="Z77" s="2">
        <f t="shared" si="45"/>
        <v>0</v>
      </c>
      <c r="AA77" s="2">
        <f t="shared" si="45"/>
        <v>0</v>
      </c>
      <c r="AB77" s="2">
        <f t="shared" si="45"/>
        <v>0</v>
      </c>
      <c r="AC77" s="2">
        <f t="shared" si="45"/>
        <v>0</v>
      </c>
      <c r="AD77" s="2">
        <f t="shared" si="45"/>
        <v>0</v>
      </c>
      <c r="AE77" s="2">
        <f t="shared" si="45"/>
        <v>0</v>
      </c>
      <c r="AF77" s="2">
        <f t="shared" si="45"/>
        <v>0</v>
      </c>
      <c r="AG77" s="2">
        <f t="shared" si="45"/>
        <v>0</v>
      </c>
      <c r="AH77" s="2">
        <f t="shared" si="45"/>
        <v>0</v>
      </c>
      <c r="AI77" s="6">
        <f t="shared" si="47"/>
        <v>0</v>
      </c>
    </row>
    <row r="78" spans="1:35" outlineLevel="1" x14ac:dyDescent="0.25">
      <c r="A78" s="10" t="s">
        <v>81</v>
      </c>
      <c r="C78" s="8"/>
      <c r="E78" s="8"/>
      <c r="F78" s="24">
        <f>+D78*1.1</f>
        <v>0</v>
      </c>
      <c r="G78" s="8"/>
      <c r="H78" s="2">
        <f t="shared" si="44"/>
        <v>0</v>
      </c>
      <c r="I78" s="2">
        <f t="shared" si="44"/>
        <v>0</v>
      </c>
      <c r="J78" s="2">
        <f t="shared" si="44"/>
        <v>0</v>
      </c>
      <c r="K78" s="2">
        <f t="shared" si="44"/>
        <v>0</v>
      </c>
      <c r="L78" s="2">
        <f t="shared" si="44"/>
        <v>0</v>
      </c>
      <c r="M78" s="2">
        <f t="shared" si="44"/>
        <v>0</v>
      </c>
      <c r="N78" s="2">
        <f t="shared" si="44"/>
        <v>0</v>
      </c>
      <c r="O78" s="2">
        <f t="shared" si="44"/>
        <v>0</v>
      </c>
      <c r="P78" s="2">
        <f t="shared" si="44"/>
        <v>0</v>
      </c>
      <c r="Q78" s="2">
        <f t="shared" si="44"/>
        <v>0</v>
      </c>
      <c r="R78" s="2">
        <f t="shared" si="44"/>
        <v>0</v>
      </c>
      <c r="S78" s="2">
        <f t="shared" si="44"/>
        <v>0</v>
      </c>
      <c r="T78" s="6">
        <f t="shared" si="46"/>
        <v>0</v>
      </c>
      <c r="U78" s="24">
        <v>0</v>
      </c>
      <c r="V78" s="23">
        <f t="shared" ref="V78:V141" si="48">+U78/$U$2</f>
        <v>0</v>
      </c>
      <c r="W78" s="2">
        <f t="shared" si="45"/>
        <v>0</v>
      </c>
      <c r="X78" s="2">
        <f t="shared" si="45"/>
        <v>0</v>
      </c>
      <c r="Y78" s="2">
        <f t="shared" si="45"/>
        <v>0</v>
      </c>
      <c r="Z78" s="2">
        <f t="shared" si="45"/>
        <v>0</v>
      </c>
      <c r="AA78" s="2">
        <f t="shared" si="45"/>
        <v>0</v>
      </c>
      <c r="AB78" s="2">
        <f t="shared" si="45"/>
        <v>0</v>
      </c>
      <c r="AC78" s="2">
        <f t="shared" si="45"/>
        <v>0</v>
      </c>
      <c r="AD78" s="2">
        <f t="shared" si="45"/>
        <v>0</v>
      </c>
      <c r="AE78" s="2">
        <f t="shared" si="45"/>
        <v>0</v>
      </c>
      <c r="AF78" s="2">
        <f t="shared" si="45"/>
        <v>0</v>
      </c>
      <c r="AG78" s="2">
        <f t="shared" si="45"/>
        <v>0</v>
      </c>
      <c r="AH78" s="2">
        <f t="shared" si="45"/>
        <v>0</v>
      </c>
      <c r="AI78" s="6">
        <f t="shared" si="47"/>
        <v>0</v>
      </c>
    </row>
    <row r="79" spans="1:35" outlineLevel="1" x14ac:dyDescent="0.25">
      <c r="A79" s="1" t="s">
        <v>82</v>
      </c>
      <c r="B79" s="2">
        <v>-1187.83</v>
      </c>
      <c r="C79" s="8">
        <f t="shared" ref="C79:C88" si="49">+B79/$B$2</f>
        <v>-1.0765762750719913E-4</v>
      </c>
      <c r="D79" s="2">
        <v>-305.55</v>
      </c>
      <c r="E79" s="8">
        <f t="shared" ref="E79:E88" si="50">+D79/$D$2</f>
        <v>-3.6328573467054756E-5</v>
      </c>
      <c r="F79" s="24">
        <f>+D79*1.1</f>
        <v>-336.10500000000002</v>
      </c>
      <c r="G79" s="8">
        <f t="shared" ref="G79:G88" si="51">+F79/$D$2</f>
        <v>-3.9961430813760235E-5</v>
      </c>
      <c r="H79" s="2">
        <f t="shared" si="44"/>
        <v>-28.008750000000003</v>
      </c>
      <c r="I79" s="2">
        <f t="shared" si="44"/>
        <v>-28.008750000000003</v>
      </c>
      <c r="J79" s="2">
        <f t="shared" si="44"/>
        <v>-28.008750000000003</v>
      </c>
      <c r="K79" s="2">
        <f t="shared" si="44"/>
        <v>-28.008750000000003</v>
      </c>
      <c r="L79" s="2">
        <f t="shared" si="44"/>
        <v>-28.008750000000003</v>
      </c>
      <c r="M79" s="2">
        <f t="shared" si="44"/>
        <v>-28.008750000000003</v>
      </c>
      <c r="N79" s="2">
        <f t="shared" si="44"/>
        <v>-28.008750000000003</v>
      </c>
      <c r="O79" s="2">
        <f t="shared" si="44"/>
        <v>-28.008750000000003</v>
      </c>
      <c r="P79" s="2">
        <f t="shared" si="44"/>
        <v>-28.008750000000003</v>
      </c>
      <c r="Q79" s="2">
        <f t="shared" si="44"/>
        <v>-28.008750000000003</v>
      </c>
      <c r="R79" s="2">
        <f t="shared" si="44"/>
        <v>-28.008750000000003</v>
      </c>
      <c r="S79" s="2">
        <f t="shared" si="44"/>
        <v>-28.008750000000003</v>
      </c>
      <c r="T79" s="6">
        <f t="shared" si="46"/>
        <v>-336.10500000000002</v>
      </c>
      <c r="U79" s="24">
        <v>0</v>
      </c>
      <c r="V79" s="23">
        <f t="shared" si="48"/>
        <v>0</v>
      </c>
      <c r="W79" s="2">
        <f t="shared" si="45"/>
        <v>0</v>
      </c>
      <c r="X79" s="2">
        <f t="shared" si="45"/>
        <v>0</v>
      </c>
      <c r="Y79" s="2">
        <f t="shared" si="45"/>
        <v>0</v>
      </c>
      <c r="Z79" s="2">
        <f t="shared" si="45"/>
        <v>0</v>
      </c>
      <c r="AA79" s="2">
        <f t="shared" si="45"/>
        <v>0</v>
      </c>
      <c r="AB79" s="2">
        <f t="shared" si="45"/>
        <v>0</v>
      </c>
      <c r="AC79" s="2">
        <f t="shared" si="45"/>
        <v>0</v>
      </c>
      <c r="AD79" s="2">
        <f t="shared" si="45"/>
        <v>0</v>
      </c>
      <c r="AE79" s="2">
        <f t="shared" si="45"/>
        <v>0</v>
      </c>
      <c r="AF79" s="2">
        <f t="shared" si="45"/>
        <v>0</v>
      </c>
      <c r="AG79" s="2">
        <f t="shared" si="45"/>
        <v>0</v>
      </c>
      <c r="AH79" s="2">
        <f t="shared" si="45"/>
        <v>0</v>
      </c>
      <c r="AI79" s="6">
        <f t="shared" si="47"/>
        <v>0</v>
      </c>
    </row>
    <row r="80" spans="1:35" outlineLevel="1" x14ac:dyDescent="0.25">
      <c r="A80" s="1" t="s">
        <v>83</v>
      </c>
      <c r="B80" s="2">
        <v>-258.04000000000002</v>
      </c>
      <c r="C80" s="8">
        <f t="shared" si="49"/>
        <v>-2.3387163316263834E-5</v>
      </c>
      <c r="D80" s="2">
        <v>-1708.12</v>
      </c>
      <c r="E80" s="8">
        <f t="shared" si="50"/>
        <v>-2.0308808021778945E-4</v>
      </c>
      <c r="F80" s="24">
        <f>+D80*1.1</f>
        <v>-1878.932</v>
      </c>
      <c r="G80" s="8">
        <f t="shared" si="51"/>
        <v>-2.233968882395684E-4</v>
      </c>
      <c r="H80" s="2">
        <f t="shared" si="44"/>
        <v>-156.57766666666666</v>
      </c>
      <c r="I80" s="2">
        <f t="shared" si="44"/>
        <v>-156.57766666666666</v>
      </c>
      <c r="J80" s="2">
        <f t="shared" si="44"/>
        <v>-156.57766666666666</v>
      </c>
      <c r="K80" s="2">
        <f t="shared" si="44"/>
        <v>-156.57766666666666</v>
      </c>
      <c r="L80" s="2">
        <f t="shared" si="44"/>
        <v>-156.57766666666666</v>
      </c>
      <c r="M80" s="2">
        <f t="shared" si="44"/>
        <v>-156.57766666666666</v>
      </c>
      <c r="N80" s="2">
        <f t="shared" si="44"/>
        <v>-156.57766666666666</v>
      </c>
      <c r="O80" s="2">
        <f t="shared" si="44"/>
        <v>-156.57766666666666</v>
      </c>
      <c r="P80" s="2">
        <f t="shared" si="44"/>
        <v>-156.57766666666666</v>
      </c>
      <c r="Q80" s="2">
        <f t="shared" si="44"/>
        <v>-156.57766666666666</v>
      </c>
      <c r="R80" s="2">
        <f t="shared" si="44"/>
        <v>-156.57766666666666</v>
      </c>
      <c r="S80" s="2">
        <f t="shared" si="44"/>
        <v>-156.57766666666666</v>
      </c>
      <c r="T80" s="6">
        <f t="shared" si="46"/>
        <v>-1878.9319999999996</v>
      </c>
      <c r="U80" s="24">
        <v>0</v>
      </c>
      <c r="V80" s="23">
        <f t="shared" si="48"/>
        <v>0</v>
      </c>
      <c r="W80" s="2">
        <f t="shared" si="45"/>
        <v>0</v>
      </c>
      <c r="X80" s="2">
        <f t="shared" si="45"/>
        <v>0</v>
      </c>
      <c r="Y80" s="2">
        <f t="shared" si="45"/>
        <v>0</v>
      </c>
      <c r="Z80" s="2">
        <f t="shared" si="45"/>
        <v>0</v>
      </c>
      <c r="AA80" s="2">
        <f t="shared" si="45"/>
        <v>0</v>
      </c>
      <c r="AB80" s="2">
        <f t="shared" si="45"/>
        <v>0</v>
      </c>
      <c r="AC80" s="2">
        <f t="shared" si="45"/>
        <v>0</v>
      </c>
      <c r="AD80" s="2">
        <f t="shared" si="45"/>
        <v>0</v>
      </c>
      <c r="AE80" s="2">
        <f t="shared" si="45"/>
        <v>0</v>
      </c>
      <c r="AF80" s="2">
        <f t="shared" si="45"/>
        <v>0</v>
      </c>
      <c r="AG80" s="2">
        <f t="shared" si="45"/>
        <v>0</v>
      </c>
      <c r="AH80" s="2">
        <f t="shared" si="45"/>
        <v>0</v>
      </c>
      <c r="AI80" s="6">
        <f t="shared" si="47"/>
        <v>0</v>
      </c>
    </row>
    <row r="81" spans="1:35" outlineLevel="1" x14ac:dyDescent="0.25">
      <c r="A81" s="1" t="s">
        <v>84</v>
      </c>
      <c r="B81" s="2">
        <v>0</v>
      </c>
      <c r="C81" s="8">
        <f t="shared" si="49"/>
        <v>0</v>
      </c>
      <c r="D81" s="2">
        <v>-363.99</v>
      </c>
      <c r="E81" s="8">
        <f t="shared" si="50"/>
        <v>-4.3276836708470829E-5</v>
      </c>
      <c r="F81" s="24">
        <f>+D81*1.1</f>
        <v>-400.38900000000007</v>
      </c>
      <c r="G81" s="8">
        <f t="shared" si="51"/>
        <v>-4.7604520379317918E-5</v>
      </c>
      <c r="H81" s="2">
        <f t="shared" si="44"/>
        <v>-33.365750000000006</v>
      </c>
      <c r="I81" s="2">
        <f t="shared" si="44"/>
        <v>-33.365750000000006</v>
      </c>
      <c r="J81" s="2">
        <f t="shared" si="44"/>
        <v>-33.365750000000006</v>
      </c>
      <c r="K81" s="2">
        <f t="shared" si="44"/>
        <v>-33.365750000000006</v>
      </c>
      <c r="L81" s="2">
        <f t="shared" si="44"/>
        <v>-33.365750000000006</v>
      </c>
      <c r="M81" s="2">
        <f t="shared" si="44"/>
        <v>-33.365750000000006</v>
      </c>
      <c r="N81" s="2">
        <f t="shared" si="44"/>
        <v>-33.365750000000006</v>
      </c>
      <c r="O81" s="2">
        <f t="shared" si="44"/>
        <v>-33.365750000000006</v>
      </c>
      <c r="P81" s="2">
        <f t="shared" si="44"/>
        <v>-33.365750000000006</v>
      </c>
      <c r="Q81" s="2">
        <f t="shared" si="44"/>
        <v>-33.365750000000006</v>
      </c>
      <c r="R81" s="2">
        <f t="shared" si="44"/>
        <v>-33.365750000000006</v>
      </c>
      <c r="S81" s="2">
        <f t="shared" si="44"/>
        <v>-33.365750000000006</v>
      </c>
      <c r="T81" s="6">
        <f t="shared" si="46"/>
        <v>-400.38899999999995</v>
      </c>
      <c r="U81" s="24">
        <v>0</v>
      </c>
      <c r="V81" s="23">
        <f t="shared" si="48"/>
        <v>0</v>
      </c>
      <c r="W81" s="2">
        <f t="shared" si="45"/>
        <v>0</v>
      </c>
      <c r="X81" s="2">
        <f t="shared" si="45"/>
        <v>0</v>
      </c>
      <c r="Y81" s="2">
        <f t="shared" si="45"/>
        <v>0</v>
      </c>
      <c r="Z81" s="2">
        <f t="shared" si="45"/>
        <v>0</v>
      </c>
      <c r="AA81" s="2">
        <f t="shared" si="45"/>
        <v>0</v>
      </c>
      <c r="AB81" s="2">
        <f t="shared" si="45"/>
        <v>0</v>
      </c>
      <c r="AC81" s="2">
        <f t="shared" si="45"/>
        <v>0</v>
      </c>
      <c r="AD81" s="2">
        <f t="shared" si="45"/>
        <v>0</v>
      </c>
      <c r="AE81" s="2">
        <f t="shared" si="45"/>
        <v>0</v>
      </c>
      <c r="AF81" s="2">
        <f t="shared" si="45"/>
        <v>0</v>
      </c>
      <c r="AG81" s="2">
        <f t="shared" si="45"/>
        <v>0</v>
      </c>
      <c r="AH81" s="2">
        <f t="shared" si="45"/>
        <v>0</v>
      </c>
      <c r="AI81" s="6">
        <f t="shared" si="47"/>
        <v>0</v>
      </c>
    </row>
    <row r="82" spans="1:35" outlineLevel="1" x14ac:dyDescent="0.25">
      <c r="A82" s="1" t="s">
        <v>85</v>
      </c>
      <c r="B82" s="2">
        <v>0</v>
      </c>
      <c r="C82" s="8">
        <f t="shared" si="49"/>
        <v>0</v>
      </c>
      <c r="D82" s="2">
        <v>-24003.81</v>
      </c>
      <c r="E82" s="8">
        <f t="shared" si="50"/>
        <v>-2.8539491902281906E-3</v>
      </c>
      <c r="F82" s="24">
        <f>+D82*1.3</f>
        <v>-31204.953000000001</v>
      </c>
      <c r="G82" s="8">
        <f t="shared" si="51"/>
        <v>-3.7101339472966478E-3</v>
      </c>
      <c r="H82" s="2">
        <f t="shared" si="44"/>
        <v>-2600.41275</v>
      </c>
      <c r="I82" s="2">
        <f t="shared" si="44"/>
        <v>-2600.41275</v>
      </c>
      <c r="J82" s="2">
        <f t="shared" si="44"/>
        <v>-2600.41275</v>
      </c>
      <c r="K82" s="2">
        <f t="shared" si="44"/>
        <v>-2600.41275</v>
      </c>
      <c r="L82" s="2">
        <f t="shared" si="44"/>
        <v>-2600.41275</v>
      </c>
      <c r="M82" s="2">
        <f t="shared" si="44"/>
        <v>-2600.41275</v>
      </c>
      <c r="N82" s="2">
        <f t="shared" si="44"/>
        <v>-2600.41275</v>
      </c>
      <c r="O82" s="2">
        <f t="shared" si="44"/>
        <v>-2600.41275</v>
      </c>
      <c r="P82" s="2">
        <f t="shared" si="44"/>
        <v>-2600.41275</v>
      </c>
      <c r="Q82" s="2">
        <f t="shared" si="44"/>
        <v>-2600.41275</v>
      </c>
      <c r="R82" s="2">
        <f t="shared" si="44"/>
        <v>-2600.41275</v>
      </c>
      <c r="S82" s="2">
        <f t="shared" si="44"/>
        <v>-2600.41275</v>
      </c>
      <c r="T82" s="6">
        <f t="shared" si="46"/>
        <v>-31204.952999999998</v>
      </c>
      <c r="U82" s="24">
        <v>0</v>
      </c>
      <c r="V82" s="23">
        <f t="shared" si="48"/>
        <v>0</v>
      </c>
      <c r="W82" s="2">
        <f t="shared" si="45"/>
        <v>0</v>
      </c>
      <c r="X82" s="2">
        <f t="shared" si="45"/>
        <v>0</v>
      </c>
      <c r="Y82" s="2">
        <f t="shared" si="45"/>
        <v>0</v>
      </c>
      <c r="Z82" s="2">
        <f t="shared" si="45"/>
        <v>0</v>
      </c>
      <c r="AA82" s="2">
        <f t="shared" si="45"/>
        <v>0</v>
      </c>
      <c r="AB82" s="2">
        <f t="shared" si="45"/>
        <v>0</v>
      </c>
      <c r="AC82" s="2">
        <f t="shared" si="45"/>
        <v>0</v>
      </c>
      <c r="AD82" s="2">
        <f t="shared" si="45"/>
        <v>0</v>
      </c>
      <c r="AE82" s="2">
        <f t="shared" si="45"/>
        <v>0</v>
      </c>
      <c r="AF82" s="2">
        <f t="shared" si="45"/>
        <v>0</v>
      </c>
      <c r="AG82" s="2">
        <f t="shared" si="45"/>
        <v>0</v>
      </c>
      <c r="AH82" s="2">
        <f t="shared" si="45"/>
        <v>0</v>
      </c>
      <c r="AI82" s="6">
        <f t="shared" si="47"/>
        <v>0</v>
      </c>
    </row>
    <row r="83" spans="1:35" outlineLevel="1" x14ac:dyDescent="0.25">
      <c r="A83" s="1" t="s">
        <v>86</v>
      </c>
      <c r="B83" s="2">
        <v>0</v>
      </c>
      <c r="C83" s="8">
        <f t="shared" si="49"/>
        <v>0</v>
      </c>
      <c r="D83" s="2">
        <v>-800.39</v>
      </c>
      <c r="E83" s="8">
        <f t="shared" si="50"/>
        <v>-9.516290923677289E-5</v>
      </c>
      <c r="F83" s="24">
        <v>-1500</v>
      </c>
      <c r="G83" s="8">
        <f t="shared" si="51"/>
        <v>-1.7834351235667528E-4</v>
      </c>
      <c r="H83" s="2">
        <f t="shared" si="44"/>
        <v>-125</v>
      </c>
      <c r="I83" s="2">
        <f t="shared" si="44"/>
        <v>-125</v>
      </c>
      <c r="J83" s="2">
        <f t="shared" si="44"/>
        <v>-125</v>
      </c>
      <c r="K83" s="2">
        <f t="shared" si="44"/>
        <v>-125</v>
      </c>
      <c r="L83" s="2">
        <f t="shared" si="44"/>
        <v>-125</v>
      </c>
      <c r="M83" s="2">
        <f t="shared" si="44"/>
        <v>-125</v>
      </c>
      <c r="N83" s="2">
        <f t="shared" si="44"/>
        <v>-125</v>
      </c>
      <c r="O83" s="2">
        <f t="shared" si="44"/>
        <v>-125</v>
      </c>
      <c r="P83" s="2">
        <f t="shared" si="44"/>
        <v>-125</v>
      </c>
      <c r="Q83" s="2">
        <f t="shared" si="44"/>
        <v>-125</v>
      </c>
      <c r="R83" s="2">
        <f t="shared" si="44"/>
        <v>-125</v>
      </c>
      <c r="S83" s="2">
        <f t="shared" si="44"/>
        <v>-125</v>
      </c>
      <c r="T83" s="6">
        <f t="shared" si="46"/>
        <v>-1500</v>
      </c>
      <c r="U83" s="24">
        <v>0</v>
      </c>
      <c r="V83" s="23">
        <f t="shared" si="48"/>
        <v>0</v>
      </c>
      <c r="W83" s="2">
        <f t="shared" si="45"/>
        <v>0</v>
      </c>
      <c r="X83" s="2">
        <f t="shared" si="45"/>
        <v>0</v>
      </c>
      <c r="Y83" s="2">
        <f t="shared" si="45"/>
        <v>0</v>
      </c>
      <c r="Z83" s="2">
        <f t="shared" si="45"/>
        <v>0</v>
      </c>
      <c r="AA83" s="2">
        <f t="shared" si="45"/>
        <v>0</v>
      </c>
      <c r="AB83" s="2">
        <f t="shared" si="45"/>
        <v>0</v>
      </c>
      <c r="AC83" s="2">
        <f t="shared" si="45"/>
        <v>0</v>
      </c>
      <c r="AD83" s="2">
        <f t="shared" si="45"/>
        <v>0</v>
      </c>
      <c r="AE83" s="2">
        <f t="shared" si="45"/>
        <v>0</v>
      </c>
      <c r="AF83" s="2">
        <f t="shared" si="45"/>
        <v>0</v>
      </c>
      <c r="AG83" s="2">
        <f t="shared" si="45"/>
        <v>0</v>
      </c>
      <c r="AH83" s="2">
        <f t="shared" si="45"/>
        <v>0</v>
      </c>
      <c r="AI83" s="6">
        <f t="shared" si="47"/>
        <v>0</v>
      </c>
    </row>
    <row r="84" spans="1:35" outlineLevel="1" x14ac:dyDescent="0.25">
      <c r="A84" s="1" t="s">
        <v>87</v>
      </c>
      <c r="B84" s="2">
        <v>-18786.93</v>
      </c>
      <c r="C84" s="8">
        <f t="shared" si="49"/>
        <v>-1.7027321350225409E-3</v>
      </c>
      <c r="D84" s="2">
        <v>-75559.429999999993</v>
      </c>
      <c r="E84" s="8">
        <f t="shared" si="50"/>
        <v>-8.9836894252455606E-3</v>
      </c>
      <c r="F84" s="24">
        <v>-100000</v>
      </c>
      <c r="G84" s="8">
        <f t="shared" si="51"/>
        <v>-1.188956749044502E-2</v>
      </c>
      <c r="H84" s="2">
        <f t="shared" si="44"/>
        <v>-8333.3333333333339</v>
      </c>
      <c r="I84" s="2">
        <f t="shared" si="44"/>
        <v>-8333.3333333333339</v>
      </c>
      <c r="J84" s="2">
        <f t="shared" si="44"/>
        <v>-8333.3333333333339</v>
      </c>
      <c r="K84" s="2">
        <f t="shared" si="44"/>
        <v>-8333.3333333333339</v>
      </c>
      <c r="L84" s="2">
        <f t="shared" si="44"/>
        <v>-8333.3333333333339</v>
      </c>
      <c r="M84" s="2">
        <f t="shared" si="44"/>
        <v>-8333.3333333333339</v>
      </c>
      <c r="N84" s="2">
        <f t="shared" si="44"/>
        <v>-8333.3333333333339</v>
      </c>
      <c r="O84" s="2">
        <f t="shared" si="44"/>
        <v>-8333.3333333333339</v>
      </c>
      <c r="P84" s="2">
        <f t="shared" si="44"/>
        <v>-8333.3333333333339</v>
      </c>
      <c r="Q84" s="2">
        <f t="shared" si="44"/>
        <v>-8333.3333333333339</v>
      </c>
      <c r="R84" s="2">
        <f t="shared" si="44"/>
        <v>-8333.3333333333339</v>
      </c>
      <c r="S84" s="2">
        <f t="shared" si="44"/>
        <v>-8333.3333333333339</v>
      </c>
      <c r="T84" s="6">
        <f t="shared" si="46"/>
        <v>-99999.999999999985</v>
      </c>
      <c r="U84" s="24">
        <v>0</v>
      </c>
      <c r="V84" s="23">
        <f t="shared" si="48"/>
        <v>0</v>
      </c>
      <c r="W84" s="2">
        <f t="shared" si="45"/>
        <v>0</v>
      </c>
      <c r="X84" s="2">
        <f t="shared" si="45"/>
        <v>0</v>
      </c>
      <c r="Y84" s="2">
        <f t="shared" si="45"/>
        <v>0</v>
      </c>
      <c r="Z84" s="2">
        <f t="shared" si="45"/>
        <v>0</v>
      </c>
      <c r="AA84" s="2">
        <f t="shared" si="45"/>
        <v>0</v>
      </c>
      <c r="AB84" s="2">
        <f t="shared" si="45"/>
        <v>0</v>
      </c>
      <c r="AC84" s="2">
        <f t="shared" si="45"/>
        <v>0</v>
      </c>
      <c r="AD84" s="2">
        <f t="shared" si="45"/>
        <v>0</v>
      </c>
      <c r="AE84" s="2">
        <f t="shared" si="45"/>
        <v>0</v>
      </c>
      <c r="AF84" s="2">
        <f t="shared" si="45"/>
        <v>0</v>
      </c>
      <c r="AG84" s="2">
        <f t="shared" si="45"/>
        <v>0</v>
      </c>
      <c r="AH84" s="2">
        <f t="shared" si="45"/>
        <v>0</v>
      </c>
      <c r="AI84" s="6">
        <f t="shared" si="47"/>
        <v>0</v>
      </c>
    </row>
    <row r="85" spans="1:35" outlineLevel="1" x14ac:dyDescent="0.25">
      <c r="A85" s="1" t="s">
        <v>88</v>
      </c>
      <c r="B85" s="2">
        <v>0</v>
      </c>
      <c r="C85" s="8">
        <f t="shared" si="49"/>
        <v>0</v>
      </c>
      <c r="D85" s="2">
        <v>-10035.98</v>
      </c>
      <c r="E85" s="8">
        <f t="shared" si="50"/>
        <v>-1.193234615427564E-3</v>
      </c>
      <c r="F85" s="24">
        <f>+D85*2</f>
        <v>-20071.96</v>
      </c>
      <c r="G85" s="8">
        <f t="shared" si="51"/>
        <v>-2.386469230855128E-3</v>
      </c>
      <c r="H85" s="2">
        <f t="shared" si="44"/>
        <v>-1672.6633333333332</v>
      </c>
      <c r="I85" s="2">
        <f t="shared" si="44"/>
        <v>-1672.6633333333332</v>
      </c>
      <c r="J85" s="2">
        <f t="shared" si="44"/>
        <v>-1672.6633333333332</v>
      </c>
      <c r="K85" s="2">
        <f t="shared" si="44"/>
        <v>-1672.6633333333332</v>
      </c>
      <c r="L85" s="2">
        <f t="shared" si="44"/>
        <v>-1672.6633333333332</v>
      </c>
      <c r="M85" s="2">
        <f t="shared" si="44"/>
        <v>-1672.6633333333332</v>
      </c>
      <c r="N85" s="2">
        <f t="shared" si="44"/>
        <v>-1672.6633333333332</v>
      </c>
      <c r="O85" s="2">
        <f t="shared" si="44"/>
        <v>-1672.6633333333332</v>
      </c>
      <c r="P85" s="2">
        <f t="shared" si="44"/>
        <v>-1672.6633333333332</v>
      </c>
      <c r="Q85" s="2">
        <f t="shared" si="44"/>
        <v>-1672.6633333333332</v>
      </c>
      <c r="R85" s="2">
        <f t="shared" si="44"/>
        <v>-1672.6633333333332</v>
      </c>
      <c r="S85" s="2">
        <f t="shared" si="44"/>
        <v>-1672.6633333333332</v>
      </c>
      <c r="T85" s="6">
        <f t="shared" si="46"/>
        <v>-20071.960000000003</v>
      </c>
      <c r="U85" s="24">
        <v>0</v>
      </c>
      <c r="V85" s="23">
        <f t="shared" si="48"/>
        <v>0</v>
      </c>
      <c r="W85" s="2">
        <f t="shared" si="45"/>
        <v>0</v>
      </c>
      <c r="X85" s="2">
        <f t="shared" si="45"/>
        <v>0</v>
      </c>
      <c r="Y85" s="2">
        <f t="shared" si="45"/>
        <v>0</v>
      </c>
      <c r="Z85" s="2">
        <f t="shared" si="45"/>
        <v>0</v>
      </c>
      <c r="AA85" s="2">
        <f t="shared" si="45"/>
        <v>0</v>
      </c>
      <c r="AB85" s="2">
        <f t="shared" si="45"/>
        <v>0</v>
      </c>
      <c r="AC85" s="2">
        <f t="shared" si="45"/>
        <v>0</v>
      </c>
      <c r="AD85" s="2">
        <f t="shared" si="45"/>
        <v>0</v>
      </c>
      <c r="AE85" s="2">
        <f t="shared" si="45"/>
        <v>0</v>
      </c>
      <c r="AF85" s="2">
        <f t="shared" si="45"/>
        <v>0</v>
      </c>
      <c r="AG85" s="2">
        <f t="shared" si="45"/>
        <v>0</v>
      </c>
      <c r="AH85" s="2">
        <f t="shared" si="45"/>
        <v>0</v>
      </c>
      <c r="AI85" s="6">
        <f t="shared" si="47"/>
        <v>0</v>
      </c>
    </row>
    <row r="86" spans="1:35" outlineLevel="1" x14ac:dyDescent="0.25">
      <c r="A86" s="1" t="s">
        <v>89</v>
      </c>
      <c r="B86" s="2">
        <v>0</v>
      </c>
      <c r="C86" s="8">
        <f t="shared" si="49"/>
        <v>0</v>
      </c>
      <c r="D86" s="2">
        <v>-4085.85</v>
      </c>
      <c r="E86" s="8">
        <f t="shared" si="50"/>
        <v>-4.8578989330834779E-4</v>
      </c>
      <c r="F86" s="24">
        <f>+D86*3</f>
        <v>-12257.55</v>
      </c>
      <c r="G86" s="8">
        <f t="shared" si="51"/>
        <v>-1.4573696799250434E-3</v>
      </c>
      <c r="H86" s="2">
        <f t="shared" si="44"/>
        <v>-1021.4625</v>
      </c>
      <c r="I86" s="2">
        <f t="shared" si="44"/>
        <v>-1021.4625</v>
      </c>
      <c r="J86" s="2">
        <f t="shared" si="44"/>
        <v>-1021.4625</v>
      </c>
      <c r="K86" s="2">
        <f t="shared" si="44"/>
        <v>-1021.4625</v>
      </c>
      <c r="L86" s="2">
        <f t="shared" si="44"/>
        <v>-1021.4625</v>
      </c>
      <c r="M86" s="2">
        <f t="shared" si="44"/>
        <v>-1021.4625</v>
      </c>
      <c r="N86" s="2">
        <f t="shared" si="44"/>
        <v>-1021.4625</v>
      </c>
      <c r="O86" s="2">
        <f t="shared" si="44"/>
        <v>-1021.4625</v>
      </c>
      <c r="P86" s="2">
        <f t="shared" si="44"/>
        <v>-1021.4625</v>
      </c>
      <c r="Q86" s="2">
        <f t="shared" si="44"/>
        <v>-1021.4625</v>
      </c>
      <c r="R86" s="2">
        <f t="shared" si="44"/>
        <v>-1021.4625</v>
      </c>
      <c r="S86" s="2">
        <f t="shared" si="44"/>
        <v>-1021.4625</v>
      </c>
      <c r="T86" s="6">
        <f t="shared" si="46"/>
        <v>-12257.549999999997</v>
      </c>
      <c r="U86" s="24">
        <v>0</v>
      </c>
      <c r="V86" s="23">
        <f t="shared" si="48"/>
        <v>0</v>
      </c>
      <c r="W86" s="2">
        <f t="shared" si="45"/>
        <v>0</v>
      </c>
      <c r="X86" s="2">
        <f t="shared" si="45"/>
        <v>0</v>
      </c>
      <c r="Y86" s="2">
        <f t="shared" si="45"/>
        <v>0</v>
      </c>
      <c r="Z86" s="2">
        <f t="shared" si="45"/>
        <v>0</v>
      </c>
      <c r="AA86" s="2">
        <f t="shared" si="45"/>
        <v>0</v>
      </c>
      <c r="AB86" s="2">
        <f t="shared" si="45"/>
        <v>0</v>
      </c>
      <c r="AC86" s="2">
        <f t="shared" si="45"/>
        <v>0</v>
      </c>
      <c r="AD86" s="2">
        <f t="shared" si="45"/>
        <v>0</v>
      </c>
      <c r="AE86" s="2">
        <f t="shared" si="45"/>
        <v>0</v>
      </c>
      <c r="AF86" s="2">
        <f t="shared" si="45"/>
        <v>0</v>
      </c>
      <c r="AG86" s="2">
        <f t="shared" si="45"/>
        <v>0</v>
      </c>
      <c r="AH86" s="2">
        <f t="shared" si="45"/>
        <v>0</v>
      </c>
      <c r="AI86" s="6">
        <f t="shared" si="47"/>
        <v>0</v>
      </c>
    </row>
    <row r="87" spans="1:35" outlineLevel="1" x14ac:dyDescent="0.25">
      <c r="A87" s="1" t="s">
        <v>90</v>
      </c>
      <c r="B87" s="2">
        <v>-1662.61</v>
      </c>
      <c r="C87" s="8">
        <f t="shared" si="49"/>
        <v>-1.5068877538851886E-4</v>
      </c>
      <c r="D87" s="2">
        <v>-3612.71</v>
      </c>
      <c r="E87" s="8">
        <f t="shared" si="50"/>
        <v>-4.2953559368405627E-4</v>
      </c>
      <c r="F87" s="24">
        <f>+D87*1.03</f>
        <v>-3721.0913</v>
      </c>
      <c r="G87" s="8">
        <f t="shared" si="51"/>
        <v>-4.4242166149457794E-4</v>
      </c>
      <c r="H87" s="2">
        <f t="shared" ref="H87:S108" si="52">+$F87/12</f>
        <v>-310.09094166666665</v>
      </c>
      <c r="I87" s="2">
        <f t="shared" si="52"/>
        <v>-310.09094166666665</v>
      </c>
      <c r="J87" s="2">
        <f t="shared" si="52"/>
        <v>-310.09094166666665</v>
      </c>
      <c r="K87" s="2">
        <f t="shared" si="52"/>
        <v>-310.09094166666665</v>
      </c>
      <c r="L87" s="2">
        <f t="shared" si="52"/>
        <v>-310.09094166666665</v>
      </c>
      <c r="M87" s="2">
        <f t="shared" si="52"/>
        <v>-310.09094166666665</v>
      </c>
      <c r="N87" s="2">
        <f t="shared" si="52"/>
        <v>-310.09094166666665</v>
      </c>
      <c r="O87" s="2">
        <f t="shared" si="52"/>
        <v>-310.09094166666665</v>
      </c>
      <c r="P87" s="2">
        <f t="shared" si="52"/>
        <v>-310.09094166666665</v>
      </c>
      <c r="Q87" s="2">
        <f t="shared" si="52"/>
        <v>-310.09094166666665</v>
      </c>
      <c r="R87" s="2">
        <f t="shared" si="52"/>
        <v>-310.09094166666665</v>
      </c>
      <c r="S87" s="2">
        <f t="shared" si="52"/>
        <v>-310.09094166666665</v>
      </c>
      <c r="T87" s="6">
        <f t="shared" si="46"/>
        <v>-3721.0913000000005</v>
      </c>
      <c r="U87" s="24">
        <v>0</v>
      </c>
      <c r="V87" s="23">
        <f t="shared" si="48"/>
        <v>0</v>
      </c>
      <c r="W87" s="2">
        <f t="shared" si="45"/>
        <v>0</v>
      </c>
      <c r="X87" s="2">
        <f t="shared" si="45"/>
        <v>0</v>
      </c>
      <c r="Y87" s="2">
        <f t="shared" si="45"/>
        <v>0</v>
      </c>
      <c r="Z87" s="2">
        <f t="shared" si="45"/>
        <v>0</v>
      </c>
      <c r="AA87" s="2">
        <f t="shared" si="45"/>
        <v>0</v>
      </c>
      <c r="AB87" s="2">
        <f t="shared" si="45"/>
        <v>0</v>
      </c>
      <c r="AC87" s="2">
        <f t="shared" ref="AC87:AH87" si="53">+$U87/12</f>
        <v>0</v>
      </c>
      <c r="AD87" s="2">
        <f t="shared" si="53"/>
        <v>0</v>
      </c>
      <c r="AE87" s="2">
        <f t="shared" si="53"/>
        <v>0</v>
      </c>
      <c r="AF87" s="2">
        <f t="shared" si="53"/>
        <v>0</v>
      </c>
      <c r="AG87" s="2">
        <f t="shared" si="53"/>
        <v>0</v>
      </c>
      <c r="AH87" s="2">
        <f t="shared" si="53"/>
        <v>0</v>
      </c>
      <c r="AI87" s="6">
        <f t="shared" si="47"/>
        <v>0</v>
      </c>
    </row>
    <row r="88" spans="1:35" outlineLevel="1" x14ac:dyDescent="0.25">
      <c r="A88" s="1" t="s">
        <v>91</v>
      </c>
      <c r="B88" s="2">
        <v>-464</v>
      </c>
      <c r="C88" s="8">
        <f t="shared" si="49"/>
        <v>-4.2054114783546804E-5</v>
      </c>
      <c r="D88" s="2">
        <v>0</v>
      </c>
      <c r="E88" s="8">
        <f t="shared" si="50"/>
        <v>0</v>
      </c>
      <c r="F88" s="24">
        <f>+D88*1.1</f>
        <v>0</v>
      </c>
      <c r="G88" s="8">
        <f t="shared" si="51"/>
        <v>0</v>
      </c>
      <c r="H88" s="2">
        <f t="shared" si="52"/>
        <v>0</v>
      </c>
      <c r="I88" s="2">
        <f t="shared" si="52"/>
        <v>0</v>
      </c>
      <c r="J88" s="2">
        <f t="shared" si="52"/>
        <v>0</v>
      </c>
      <c r="K88" s="2">
        <f t="shared" si="52"/>
        <v>0</v>
      </c>
      <c r="L88" s="2">
        <f t="shared" si="52"/>
        <v>0</v>
      </c>
      <c r="M88" s="2">
        <f t="shared" si="52"/>
        <v>0</v>
      </c>
      <c r="N88" s="2">
        <f t="shared" si="52"/>
        <v>0</v>
      </c>
      <c r="O88" s="2">
        <f t="shared" si="52"/>
        <v>0</v>
      </c>
      <c r="P88" s="2">
        <f t="shared" si="52"/>
        <v>0</v>
      </c>
      <c r="Q88" s="2">
        <f t="shared" si="52"/>
        <v>0</v>
      </c>
      <c r="R88" s="2">
        <f t="shared" si="52"/>
        <v>0</v>
      </c>
      <c r="S88" s="2">
        <f t="shared" si="52"/>
        <v>0</v>
      </c>
      <c r="T88" s="6">
        <f t="shared" si="46"/>
        <v>0</v>
      </c>
      <c r="U88" s="24">
        <v>0</v>
      </c>
      <c r="V88" s="23">
        <f t="shared" si="48"/>
        <v>0</v>
      </c>
      <c r="W88" s="2">
        <f t="shared" ref="W88:AH109" si="54">+$U88/12</f>
        <v>0</v>
      </c>
      <c r="X88" s="2">
        <f t="shared" si="54"/>
        <v>0</v>
      </c>
      <c r="Y88" s="2">
        <f t="shared" si="54"/>
        <v>0</v>
      </c>
      <c r="Z88" s="2">
        <f t="shared" si="54"/>
        <v>0</v>
      </c>
      <c r="AA88" s="2">
        <f t="shared" si="54"/>
        <v>0</v>
      </c>
      <c r="AB88" s="2">
        <f t="shared" si="54"/>
        <v>0</v>
      </c>
      <c r="AC88" s="2">
        <f t="shared" si="54"/>
        <v>0</v>
      </c>
      <c r="AD88" s="2">
        <f t="shared" si="54"/>
        <v>0</v>
      </c>
      <c r="AE88" s="2">
        <f t="shared" si="54"/>
        <v>0</v>
      </c>
      <c r="AF88" s="2">
        <f t="shared" si="54"/>
        <v>0</v>
      </c>
      <c r="AG88" s="2">
        <f t="shared" si="54"/>
        <v>0</v>
      </c>
      <c r="AH88" s="2">
        <f t="shared" si="54"/>
        <v>0</v>
      </c>
      <c r="AI88" s="6">
        <f t="shared" si="47"/>
        <v>0</v>
      </c>
    </row>
    <row r="89" spans="1:35" outlineLevel="1" x14ac:dyDescent="0.25">
      <c r="A89" s="10" t="s">
        <v>92</v>
      </c>
      <c r="C89" s="8"/>
      <c r="E89" s="8"/>
      <c r="F89" s="24">
        <f>+D89*1.1</f>
        <v>0</v>
      </c>
      <c r="G89" s="8"/>
      <c r="H89" s="2">
        <f t="shared" si="52"/>
        <v>0</v>
      </c>
      <c r="I89" s="2">
        <f t="shared" si="52"/>
        <v>0</v>
      </c>
      <c r="J89" s="2">
        <f t="shared" si="52"/>
        <v>0</v>
      </c>
      <c r="K89" s="2">
        <f t="shared" si="52"/>
        <v>0</v>
      </c>
      <c r="L89" s="2">
        <f t="shared" si="52"/>
        <v>0</v>
      </c>
      <c r="M89" s="2">
        <f t="shared" si="52"/>
        <v>0</v>
      </c>
      <c r="N89" s="2">
        <f t="shared" si="52"/>
        <v>0</v>
      </c>
      <c r="O89" s="2">
        <f t="shared" si="52"/>
        <v>0</v>
      </c>
      <c r="P89" s="2">
        <f t="shared" si="52"/>
        <v>0</v>
      </c>
      <c r="Q89" s="2">
        <f t="shared" si="52"/>
        <v>0</v>
      </c>
      <c r="R89" s="2">
        <f t="shared" si="52"/>
        <v>0</v>
      </c>
      <c r="S89" s="2">
        <f t="shared" si="52"/>
        <v>0</v>
      </c>
      <c r="T89" s="6">
        <f t="shared" si="46"/>
        <v>0</v>
      </c>
      <c r="U89" s="24">
        <v>0</v>
      </c>
      <c r="V89" s="23">
        <f t="shared" si="48"/>
        <v>0</v>
      </c>
      <c r="W89" s="2">
        <f t="shared" si="54"/>
        <v>0</v>
      </c>
      <c r="X89" s="2">
        <f t="shared" si="54"/>
        <v>0</v>
      </c>
      <c r="Y89" s="2">
        <f t="shared" si="54"/>
        <v>0</v>
      </c>
      <c r="Z89" s="2">
        <f t="shared" si="54"/>
        <v>0</v>
      </c>
      <c r="AA89" s="2">
        <f t="shared" si="54"/>
        <v>0</v>
      </c>
      <c r="AB89" s="2">
        <f t="shared" si="54"/>
        <v>0</v>
      </c>
      <c r="AC89" s="2">
        <f t="shared" si="54"/>
        <v>0</v>
      </c>
      <c r="AD89" s="2">
        <f t="shared" si="54"/>
        <v>0</v>
      </c>
      <c r="AE89" s="2">
        <f t="shared" si="54"/>
        <v>0</v>
      </c>
      <c r="AF89" s="2">
        <f t="shared" si="54"/>
        <v>0</v>
      </c>
      <c r="AG89" s="2">
        <f t="shared" si="54"/>
        <v>0</v>
      </c>
      <c r="AH89" s="2">
        <f t="shared" si="54"/>
        <v>0</v>
      </c>
      <c r="AI89" s="6">
        <f t="shared" si="47"/>
        <v>0</v>
      </c>
    </row>
    <row r="90" spans="1:35" outlineLevel="1" x14ac:dyDescent="0.25">
      <c r="A90" s="1" t="s">
        <v>93</v>
      </c>
      <c r="B90" s="2">
        <v>-16938.47</v>
      </c>
      <c r="C90" s="8">
        <f>+B90/$B$2</f>
        <v>-1.5351990552535865E-3</v>
      </c>
      <c r="D90" s="2">
        <v>-17543.509999999998</v>
      </c>
      <c r="E90" s="8">
        <f>+D90/$D$2</f>
        <v>-2.0858474616429709E-3</v>
      </c>
      <c r="F90" s="24">
        <f>+D90*1.03</f>
        <v>-18069.815299999998</v>
      </c>
      <c r="G90" s="8">
        <f>+F90/$D$2</f>
        <v>-2.1484228854922599E-3</v>
      </c>
      <c r="H90" s="2">
        <f t="shared" si="52"/>
        <v>-1505.8179416666665</v>
      </c>
      <c r="I90" s="2">
        <f t="shared" si="52"/>
        <v>-1505.8179416666665</v>
      </c>
      <c r="J90" s="2">
        <f t="shared" si="52"/>
        <v>-1505.8179416666665</v>
      </c>
      <c r="K90" s="2">
        <f t="shared" si="52"/>
        <v>-1505.8179416666665</v>
      </c>
      <c r="L90" s="2">
        <f t="shared" si="52"/>
        <v>-1505.8179416666665</v>
      </c>
      <c r="M90" s="2">
        <f t="shared" si="52"/>
        <v>-1505.8179416666665</v>
      </c>
      <c r="N90" s="2">
        <f t="shared" si="52"/>
        <v>-1505.8179416666665</v>
      </c>
      <c r="O90" s="2">
        <f t="shared" si="52"/>
        <v>-1505.8179416666665</v>
      </c>
      <c r="P90" s="2">
        <f t="shared" si="52"/>
        <v>-1505.8179416666665</v>
      </c>
      <c r="Q90" s="2">
        <f t="shared" si="52"/>
        <v>-1505.8179416666665</v>
      </c>
      <c r="R90" s="2">
        <f t="shared" si="52"/>
        <v>-1505.8179416666665</v>
      </c>
      <c r="S90" s="2">
        <f t="shared" si="52"/>
        <v>-1505.8179416666665</v>
      </c>
      <c r="T90" s="6">
        <f t="shared" si="46"/>
        <v>-18069.815299999998</v>
      </c>
      <c r="U90" s="24">
        <v>0</v>
      </c>
      <c r="V90" s="23">
        <f t="shared" si="48"/>
        <v>0</v>
      </c>
      <c r="W90" s="2">
        <f t="shared" si="54"/>
        <v>0</v>
      </c>
      <c r="X90" s="2">
        <f t="shared" si="54"/>
        <v>0</v>
      </c>
      <c r="Y90" s="2">
        <f t="shared" si="54"/>
        <v>0</v>
      </c>
      <c r="Z90" s="2">
        <f t="shared" si="54"/>
        <v>0</v>
      </c>
      <c r="AA90" s="2">
        <f t="shared" si="54"/>
        <v>0</v>
      </c>
      <c r="AB90" s="2">
        <f t="shared" si="54"/>
        <v>0</v>
      </c>
      <c r="AC90" s="2">
        <f t="shared" si="54"/>
        <v>0</v>
      </c>
      <c r="AD90" s="2">
        <f t="shared" si="54"/>
        <v>0</v>
      </c>
      <c r="AE90" s="2">
        <f t="shared" si="54"/>
        <v>0</v>
      </c>
      <c r="AF90" s="2">
        <f t="shared" si="54"/>
        <v>0</v>
      </c>
      <c r="AG90" s="2">
        <f t="shared" si="54"/>
        <v>0</v>
      </c>
      <c r="AH90" s="2">
        <f t="shared" si="54"/>
        <v>0</v>
      </c>
      <c r="AI90" s="6">
        <f t="shared" si="47"/>
        <v>0</v>
      </c>
    </row>
    <row r="91" spans="1:35" outlineLevel="1" x14ac:dyDescent="0.25">
      <c r="A91" s="1" t="s">
        <v>94</v>
      </c>
      <c r="B91" s="2">
        <v>-1277.25</v>
      </c>
      <c r="C91" s="8">
        <f>+B91/$B$2</f>
        <v>-1.157621079898387E-4</v>
      </c>
      <c r="D91" s="2">
        <v>-2018.25</v>
      </c>
      <c r="E91" s="8">
        <f>+D91/$D$2</f>
        <v>-2.399611958759066E-4</v>
      </c>
      <c r="F91" s="24">
        <f>+D91*1.03</f>
        <v>-2078.7975000000001</v>
      </c>
      <c r="G91" s="8">
        <f>+F91/$D$2</f>
        <v>-2.4716003175218379E-4</v>
      </c>
      <c r="H91" s="2">
        <f t="shared" si="52"/>
        <v>-173.233125</v>
      </c>
      <c r="I91" s="2">
        <f t="shared" si="52"/>
        <v>-173.233125</v>
      </c>
      <c r="J91" s="2">
        <f t="shared" si="52"/>
        <v>-173.233125</v>
      </c>
      <c r="K91" s="2">
        <f t="shared" si="52"/>
        <v>-173.233125</v>
      </c>
      <c r="L91" s="2">
        <f t="shared" si="52"/>
        <v>-173.233125</v>
      </c>
      <c r="M91" s="2">
        <f t="shared" si="52"/>
        <v>-173.233125</v>
      </c>
      <c r="N91" s="2">
        <f t="shared" si="52"/>
        <v>-173.233125</v>
      </c>
      <c r="O91" s="2">
        <f t="shared" si="52"/>
        <v>-173.233125</v>
      </c>
      <c r="P91" s="2">
        <f t="shared" si="52"/>
        <v>-173.233125</v>
      </c>
      <c r="Q91" s="2">
        <f t="shared" si="52"/>
        <v>-173.233125</v>
      </c>
      <c r="R91" s="2">
        <f t="shared" si="52"/>
        <v>-173.233125</v>
      </c>
      <c r="S91" s="2">
        <f t="shared" si="52"/>
        <v>-173.233125</v>
      </c>
      <c r="T91" s="6">
        <f t="shared" si="46"/>
        <v>-2078.7975000000001</v>
      </c>
      <c r="U91" s="24">
        <v>0</v>
      </c>
      <c r="V91" s="23">
        <f t="shared" si="48"/>
        <v>0</v>
      </c>
      <c r="W91" s="2">
        <f t="shared" si="54"/>
        <v>0</v>
      </c>
      <c r="X91" s="2">
        <f t="shared" si="54"/>
        <v>0</v>
      </c>
      <c r="Y91" s="2">
        <f t="shared" si="54"/>
        <v>0</v>
      </c>
      <c r="Z91" s="2">
        <f t="shared" si="54"/>
        <v>0</v>
      </c>
      <c r="AA91" s="2">
        <f t="shared" si="54"/>
        <v>0</v>
      </c>
      <c r="AB91" s="2">
        <f t="shared" si="54"/>
        <v>0</v>
      </c>
      <c r="AC91" s="2">
        <f t="shared" si="54"/>
        <v>0</v>
      </c>
      <c r="AD91" s="2">
        <f t="shared" si="54"/>
        <v>0</v>
      </c>
      <c r="AE91" s="2">
        <f t="shared" si="54"/>
        <v>0</v>
      </c>
      <c r="AF91" s="2">
        <f t="shared" si="54"/>
        <v>0</v>
      </c>
      <c r="AG91" s="2">
        <f t="shared" si="54"/>
        <v>0</v>
      </c>
      <c r="AH91" s="2">
        <f t="shared" si="54"/>
        <v>0</v>
      </c>
      <c r="AI91" s="6">
        <f t="shared" si="47"/>
        <v>0</v>
      </c>
    </row>
    <row r="92" spans="1:35" outlineLevel="1" x14ac:dyDescent="0.25">
      <c r="A92" s="10" t="s">
        <v>95</v>
      </c>
      <c r="C92" s="8"/>
      <c r="E92" s="8"/>
      <c r="F92" s="24">
        <f t="shared" ref="F92:F97" si="55">+D92*1.03</f>
        <v>0</v>
      </c>
      <c r="G92" s="8"/>
      <c r="H92" s="2">
        <f t="shared" si="52"/>
        <v>0</v>
      </c>
      <c r="I92" s="2">
        <f t="shared" si="52"/>
        <v>0</v>
      </c>
      <c r="J92" s="2">
        <f t="shared" si="52"/>
        <v>0</v>
      </c>
      <c r="K92" s="2">
        <f t="shared" si="52"/>
        <v>0</v>
      </c>
      <c r="L92" s="2">
        <f t="shared" si="52"/>
        <v>0</v>
      </c>
      <c r="M92" s="2">
        <f t="shared" si="52"/>
        <v>0</v>
      </c>
      <c r="N92" s="2">
        <f t="shared" si="52"/>
        <v>0</v>
      </c>
      <c r="O92" s="2">
        <f t="shared" si="52"/>
        <v>0</v>
      </c>
      <c r="P92" s="2">
        <f t="shared" si="52"/>
        <v>0</v>
      </c>
      <c r="Q92" s="2">
        <f t="shared" si="52"/>
        <v>0</v>
      </c>
      <c r="R92" s="2">
        <f t="shared" si="52"/>
        <v>0</v>
      </c>
      <c r="S92" s="2">
        <f t="shared" si="52"/>
        <v>0</v>
      </c>
      <c r="T92" s="6">
        <f t="shared" si="46"/>
        <v>0</v>
      </c>
      <c r="U92" s="24">
        <v>0</v>
      </c>
      <c r="V92" s="23">
        <f t="shared" si="48"/>
        <v>0</v>
      </c>
      <c r="W92" s="2">
        <f t="shared" si="54"/>
        <v>0</v>
      </c>
      <c r="X92" s="2">
        <f t="shared" si="54"/>
        <v>0</v>
      </c>
      <c r="Y92" s="2">
        <f t="shared" si="54"/>
        <v>0</v>
      </c>
      <c r="Z92" s="2">
        <f t="shared" si="54"/>
        <v>0</v>
      </c>
      <c r="AA92" s="2">
        <f t="shared" si="54"/>
        <v>0</v>
      </c>
      <c r="AB92" s="2">
        <f t="shared" si="54"/>
        <v>0</v>
      </c>
      <c r="AC92" s="2">
        <f t="shared" si="54"/>
        <v>0</v>
      </c>
      <c r="AD92" s="2">
        <f t="shared" si="54"/>
        <v>0</v>
      </c>
      <c r="AE92" s="2">
        <f t="shared" si="54"/>
        <v>0</v>
      </c>
      <c r="AF92" s="2">
        <f t="shared" si="54"/>
        <v>0</v>
      </c>
      <c r="AG92" s="2">
        <f t="shared" si="54"/>
        <v>0</v>
      </c>
      <c r="AH92" s="2">
        <f t="shared" si="54"/>
        <v>0</v>
      </c>
      <c r="AI92" s="6">
        <f t="shared" si="47"/>
        <v>0</v>
      </c>
    </row>
    <row r="93" spans="1:35" outlineLevel="1" x14ac:dyDescent="0.25">
      <c r="A93" s="9" t="s">
        <v>96</v>
      </c>
      <c r="C93" s="8"/>
      <c r="E93" s="8"/>
      <c r="F93" s="24">
        <f t="shared" si="55"/>
        <v>0</v>
      </c>
      <c r="G93" s="8"/>
      <c r="H93" s="2">
        <f t="shared" si="52"/>
        <v>0</v>
      </c>
      <c r="I93" s="2">
        <f t="shared" si="52"/>
        <v>0</v>
      </c>
      <c r="J93" s="2">
        <f t="shared" si="52"/>
        <v>0</v>
      </c>
      <c r="K93" s="2">
        <f t="shared" si="52"/>
        <v>0</v>
      </c>
      <c r="L93" s="2">
        <f t="shared" si="52"/>
        <v>0</v>
      </c>
      <c r="M93" s="2">
        <f t="shared" si="52"/>
        <v>0</v>
      </c>
      <c r="N93" s="2">
        <f t="shared" si="52"/>
        <v>0</v>
      </c>
      <c r="O93" s="2">
        <f t="shared" si="52"/>
        <v>0</v>
      </c>
      <c r="P93" s="2">
        <f t="shared" si="52"/>
        <v>0</v>
      </c>
      <c r="Q93" s="2">
        <f t="shared" si="52"/>
        <v>0</v>
      </c>
      <c r="R93" s="2">
        <f t="shared" si="52"/>
        <v>0</v>
      </c>
      <c r="S93" s="2">
        <f t="shared" si="52"/>
        <v>0</v>
      </c>
      <c r="T93" s="6">
        <f t="shared" si="46"/>
        <v>0</v>
      </c>
      <c r="U93" s="24">
        <v>0</v>
      </c>
      <c r="V93" s="23">
        <f t="shared" si="48"/>
        <v>0</v>
      </c>
      <c r="W93" s="2">
        <f t="shared" si="54"/>
        <v>0</v>
      </c>
      <c r="X93" s="2">
        <f t="shared" si="54"/>
        <v>0</v>
      </c>
      <c r="Y93" s="2">
        <f t="shared" si="54"/>
        <v>0</v>
      </c>
      <c r="Z93" s="2">
        <f t="shared" si="54"/>
        <v>0</v>
      </c>
      <c r="AA93" s="2">
        <f t="shared" si="54"/>
        <v>0</v>
      </c>
      <c r="AB93" s="2">
        <f t="shared" si="54"/>
        <v>0</v>
      </c>
      <c r="AC93" s="2">
        <f t="shared" si="54"/>
        <v>0</v>
      </c>
      <c r="AD93" s="2">
        <f t="shared" si="54"/>
        <v>0</v>
      </c>
      <c r="AE93" s="2">
        <f t="shared" si="54"/>
        <v>0</v>
      </c>
      <c r="AF93" s="2">
        <f t="shared" si="54"/>
        <v>0</v>
      </c>
      <c r="AG93" s="2">
        <f t="shared" si="54"/>
        <v>0</v>
      </c>
      <c r="AH93" s="2">
        <f t="shared" si="54"/>
        <v>0</v>
      </c>
      <c r="AI93" s="6">
        <f t="shared" si="47"/>
        <v>0</v>
      </c>
    </row>
    <row r="94" spans="1:35" outlineLevel="1" x14ac:dyDescent="0.25">
      <c r="A94" s="1" t="s">
        <v>97</v>
      </c>
      <c r="B94" s="2">
        <v>-1979.71</v>
      </c>
      <c r="C94" s="8">
        <f>+B94/$B$2</f>
        <v>-1.7942877495287813E-4</v>
      </c>
      <c r="D94" s="2">
        <v>-153.07</v>
      </c>
      <c r="E94" s="8">
        <f>+D94/$D$2</f>
        <v>-1.8199360957624189E-5</v>
      </c>
      <c r="F94" s="24">
        <f t="shared" si="55"/>
        <v>-157.66210000000001</v>
      </c>
      <c r="G94" s="8">
        <f>+F94/$D$2</f>
        <v>-1.8745341786352917E-5</v>
      </c>
      <c r="H94" s="2">
        <f t="shared" si="52"/>
        <v>-13.138508333333334</v>
      </c>
      <c r="I94" s="2">
        <f t="shared" si="52"/>
        <v>-13.138508333333334</v>
      </c>
      <c r="J94" s="2">
        <f t="shared" si="52"/>
        <v>-13.138508333333334</v>
      </c>
      <c r="K94" s="2">
        <f t="shared" si="52"/>
        <v>-13.138508333333334</v>
      </c>
      <c r="L94" s="2">
        <f t="shared" si="52"/>
        <v>-13.138508333333334</v>
      </c>
      <c r="M94" s="2">
        <f t="shared" si="52"/>
        <v>-13.138508333333334</v>
      </c>
      <c r="N94" s="2">
        <f t="shared" si="52"/>
        <v>-13.138508333333334</v>
      </c>
      <c r="O94" s="2">
        <f t="shared" si="52"/>
        <v>-13.138508333333334</v>
      </c>
      <c r="P94" s="2">
        <f t="shared" si="52"/>
        <v>-13.138508333333334</v>
      </c>
      <c r="Q94" s="2">
        <f t="shared" si="52"/>
        <v>-13.138508333333334</v>
      </c>
      <c r="R94" s="2">
        <f t="shared" si="52"/>
        <v>-13.138508333333334</v>
      </c>
      <c r="S94" s="2">
        <f t="shared" si="52"/>
        <v>-13.138508333333334</v>
      </c>
      <c r="T94" s="6">
        <f t="shared" si="46"/>
        <v>-157.66210000000001</v>
      </c>
      <c r="U94" s="24">
        <v>0</v>
      </c>
      <c r="V94" s="23">
        <f t="shared" si="48"/>
        <v>0</v>
      </c>
      <c r="W94" s="2">
        <f t="shared" si="54"/>
        <v>0</v>
      </c>
      <c r="X94" s="2">
        <f t="shared" si="54"/>
        <v>0</v>
      </c>
      <c r="Y94" s="2">
        <f t="shared" si="54"/>
        <v>0</v>
      </c>
      <c r="Z94" s="2">
        <f t="shared" si="54"/>
        <v>0</v>
      </c>
      <c r="AA94" s="2">
        <f t="shared" si="54"/>
        <v>0</v>
      </c>
      <c r="AB94" s="2">
        <f t="shared" si="54"/>
        <v>0</v>
      </c>
      <c r="AC94" s="2">
        <f t="shared" si="54"/>
        <v>0</v>
      </c>
      <c r="AD94" s="2">
        <f t="shared" si="54"/>
        <v>0</v>
      </c>
      <c r="AE94" s="2">
        <f t="shared" si="54"/>
        <v>0</v>
      </c>
      <c r="AF94" s="2">
        <f t="shared" si="54"/>
        <v>0</v>
      </c>
      <c r="AG94" s="2">
        <f t="shared" si="54"/>
        <v>0</v>
      </c>
      <c r="AH94" s="2">
        <f t="shared" si="54"/>
        <v>0</v>
      </c>
      <c r="AI94" s="6">
        <f t="shared" si="47"/>
        <v>0</v>
      </c>
    </row>
    <row r="95" spans="1:35" outlineLevel="1" x14ac:dyDescent="0.25">
      <c r="A95" s="1" t="s">
        <v>98</v>
      </c>
      <c r="B95" s="2">
        <v>-11368.76</v>
      </c>
      <c r="C95" s="8">
        <f>+B95/$B$2</f>
        <v>-1.0303946939366284E-3</v>
      </c>
      <c r="D95" s="2">
        <v>-13408.44</v>
      </c>
      <c r="E95" s="8">
        <f>+D95/$D$2</f>
        <v>-1.5942055232158261E-3</v>
      </c>
      <c r="F95" s="24">
        <f t="shared" si="55"/>
        <v>-13810.693200000002</v>
      </c>
      <c r="G95" s="8">
        <f>+F95/$D$2</f>
        <v>-1.6420316889123011E-3</v>
      </c>
      <c r="H95" s="2">
        <f t="shared" si="52"/>
        <v>-1150.8911000000001</v>
      </c>
      <c r="I95" s="2">
        <f t="shared" si="52"/>
        <v>-1150.8911000000001</v>
      </c>
      <c r="J95" s="2">
        <f t="shared" si="52"/>
        <v>-1150.8911000000001</v>
      </c>
      <c r="K95" s="2">
        <f t="shared" si="52"/>
        <v>-1150.8911000000001</v>
      </c>
      <c r="L95" s="2">
        <f t="shared" si="52"/>
        <v>-1150.8911000000001</v>
      </c>
      <c r="M95" s="2">
        <f t="shared" si="52"/>
        <v>-1150.8911000000001</v>
      </c>
      <c r="N95" s="2">
        <f t="shared" si="52"/>
        <v>-1150.8911000000001</v>
      </c>
      <c r="O95" s="2">
        <f t="shared" si="52"/>
        <v>-1150.8911000000001</v>
      </c>
      <c r="P95" s="2">
        <f t="shared" si="52"/>
        <v>-1150.8911000000001</v>
      </c>
      <c r="Q95" s="2">
        <f t="shared" si="52"/>
        <v>-1150.8911000000001</v>
      </c>
      <c r="R95" s="2">
        <f t="shared" si="52"/>
        <v>-1150.8911000000001</v>
      </c>
      <c r="S95" s="2">
        <f t="shared" si="52"/>
        <v>-1150.8911000000001</v>
      </c>
      <c r="T95" s="6">
        <f t="shared" si="46"/>
        <v>-13810.693200000003</v>
      </c>
      <c r="U95" s="24">
        <v>0</v>
      </c>
      <c r="V95" s="23">
        <f t="shared" si="48"/>
        <v>0</v>
      </c>
      <c r="W95" s="2">
        <f t="shared" si="54"/>
        <v>0</v>
      </c>
      <c r="X95" s="2">
        <f t="shared" si="54"/>
        <v>0</v>
      </c>
      <c r="Y95" s="2">
        <f t="shared" si="54"/>
        <v>0</v>
      </c>
      <c r="Z95" s="2">
        <f t="shared" si="54"/>
        <v>0</v>
      </c>
      <c r="AA95" s="2">
        <f t="shared" si="54"/>
        <v>0</v>
      </c>
      <c r="AB95" s="2">
        <f t="shared" si="54"/>
        <v>0</v>
      </c>
      <c r="AC95" s="2">
        <f t="shared" si="54"/>
        <v>0</v>
      </c>
      <c r="AD95" s="2">
        <f t="shared" si="54"/>
        <v>0</v>
      </c>
      <c r="AE95" s="2">
        <f t="shared" si="54"/>
        <v>0</v>
      </c>
      <c r="AF95" s="2">
        <f t="shared" si="54"/>
        <v>0</v>
      </c>
      <c r="AG95" s="2">
        <f t="shared" si="54"/>
        <v>0</v>
      </c>
      <c r="AH95" s="2">
        <f t="shared" si="54"/>
        <v>0</v>
      </c>
      <c r="AI95" s="6">
        <f t="shared" si="47"/>
        <v>0</v>
      </c>
    </row>
    <row r="96" spans="1:35" outlineLevel="1" x14ac:dyDescent="0.25">
      <c r="A96" s="1" t="s">
        <v>99</v>
      </c>
      <c r="B96" s="2">
        <v>-822.86</v>
      </c>
      <c r="C96" s="8">
        <f>+B96/$B$2</f>
        <v>-7.4578984678425267E-5</v>
      </c>
      <c r="D96" s="2">
        <v>-543.61</v>
      </c>
      <c r="E96" s="8">
        <f>+D96/$D$2</f>
        <v>-6.4632877834808168E-5</v>
      </c>
      <c r="F96" s="24">
        <f t="shared" si="55"/>
        <v>-559.91830000000004</v>
      </c>
      <c r="G96" s="8">
        <f>+F96/$D$2</f>
        <v>-6.6571864169852414E-5</v>
      </c>
      <c r="H96" s="2">
        <f t="shared" si="52"/>
        <v>-46.659858333333339</v>
      </c>
      <c r="I96" s="2">
        <f t="shared" si="52"/>
        <v>-46.659858333333339</v>
      </c>
      <c r="J96" s="2">
        <f t="shared" si="52"/>
        <v>-46.659858333333339</v>
      </c>
      <c r="K96" s="2">
        <f t="shared" si="52"/>
        <v>-46.659858333333339</v>
      </c>
      <c r="L96" s="2">
        <f t="shared" si="52"/>
        <v>-46.659858333333339</v>
      </c>
      <c r="M96" s="2">
        <f t="shared" si="52"/>
        <v>-46.659858333333339</v>
      </c>
      <c r="N96" s="2">
        <f t="shared" si="52"/>
        <v>-46.659858333333339</v>
      </c>
      <c r="O96" s="2">
        <f t="shared" si="52"/>
        <v>-46.659858333333339</v>
      </c>
      <c r="P96" s="2">
        <f t="shared" si="52"/>
        <v>-46.659858333333339</v>
      </c>
      <c r="Q96" s="2">
        <f t="shared" si="52"/>
        <v>-46.659858333333339</v>
      </c>
      <c r="R96" s="2">
        <f t="shared" si="52"/>
        <v>-46.659858333333339</v>
      </c>
      <c r="S96" s="2">
        <f t="shared" si="52"/>
        <v>-46.659858333333339</v>
      </c>
      <c r="T96" s="6">
        <f t="shared" si="46"/>
        <v>-559.91829999999993</v>
      </c>
      <c r="U96" s="24">
        <v>0</v>
      </c>
      <c r="V96" s="23">
        <f t="shared" si="48"/>
        <v>0</v>
      </c>
      <c r="W96" s="2">
        <f t="shared" si="54"/>
        <v>0</v>
      </c>
      <c r="X96" s="2">
        <f t="shared" si="54"/>
        <v>0</v>
      </c>
      <c r="Y96" s="2">
        <f t="shared" si="54"/>
        <v>0</v>
      </c>
      <c r="Z96" s="2">
        <f t="shared" si="54"/>
        <v>0</v>
      </c>
      <c r="AA96" s="2">
        <f t="shared" si="54"/>
        <v>0</v>
      </c>
      <c r="AB96" s="2">
        <f t="shared" si="54"/>
        <v>0</v>
      </c>
      <c r="AC96" s="2">
        <f t="shared" si="54"/>
        <v>0</v>
      </c>
      <c r="AD96" s="2">
        <f t="shared" si="54"/>
        <v>0</v>
      </c>
      <c r="AE96" s="2">
        <f t="shared" si="54"/>
        <v>0</v>
      </c>
      <c r="AF96" s="2">
        <f t="shared" si="54"/>
        <v>0</v>
      </c>
      <c r="AG96" s="2">
        <f t="shared" si="54"/>
        <v>0</v>
      </c>
      <c r="AH96" s="2">
        <f t="shared" si="54"/>
        <v>0</v>
      </c>
      <c r="AI96" s="6">
        <f t="shared" si="47"/>
        <v>0</v>
      </c>
    </row>
    <row r="97" spans="1:35" outlineLevel="1" x14ac:dyDescent="0.25">
      <c r="A97" s="10" t="s">
        <v>100</v>
      </c>
      <c r="C97" s="8"/>
      <c r="E97" s="8"/>
      <c r="F97" s="24">
        <f t="shared" si="55"/>
        <v>0</v>
      </c>
      <c r="G97" s="8"/>
      <c r="H97" s="2">
        <f t="shared" si="52"/>
        <v>0</v>
      </c>
      <c r="I97" s="2">
        <f t="shared" si="52"/>
        <v>0</v>
      </c>
      <c r="J97" s="2">
        <f t="shared" si="52"/>
        <v>0</v>
      </c>
      <c r="K97" s="2">
        <f t="shared" si="52"/>
        <v>0</v>
      </c>
      <c r="L97" s="2">
        <f t="shared" si="52"/>
        <v>0</v>
      </c>
      <c r="M97" s="2">
        <f t="shared" si="52"/>
        <v>0</v>
      </c>
      <c r="N97" s="2">
        <f t="shared" si="52"/>
        <v>0</v>
      </c>
      <c r="O97" s="2">
        <f t="shared" si="52"/>
        <v>0</v>
      </c>
      <c r="P97" s="2">
        <f t="shared" si="52"/>
        <v>0</v>
      </c>
      <c r="Q97" s="2">
        <f t="shared" si="52"/>
        <v>0</v>
      </c>
      <c r="R97" s="2">
        <f t="shared" si="52"/>
        <v>0</v>
      </c>
      <c r="S97" s="2">
        <f t="shared" si="52"/>
        <v>0</v>
      </c>
      <c r="T97" s="6">
        <f t="shared" si="46"/>
        <v>0</v>
      </c>
      <c r="U97" s="24">
        <v>0</v>
      </c>
      <c r="V97" s="23">
        <f t="shared" si="48"/>
        <v>0</v>
      </c>
      <c r="W97" s="2">
        <f t="shared" si="54"/>
        <v>0</v>
      </c>
      <c r="X97" s="2">
        <f t="shared" si="54"/>
        <v>0</v>
      </c>
      <c r="Y97" s="2">
        <f t="shared" si="54"/>
        <v>0</v>
      </c>
      <c r="Z97" s="2">
        <f t="shared" si="54"/>
        <v>0</v>
      </c>
      <c r="AA97" s="2">
        <f t="shared" si="54"/>
        <v>0</v>
      </c>
      <c r="AB97" s="2">
        <f t="shared" si="54"/>
        <v>0</v>
      </c>
      <c r="AC97" s="2">
        <f t="shared" si="54"/>
        <v>0</v>
      </c>
      <c r="AD97" s="2">
        <f t="shared" si="54"/>
        <v>0</v>
      </c>
      <c r="AE97" s="2">
        <f t="shared" si="54"/>
        <v>0</v>
      </c>
      <c r="AF97" s="2">
        <f t="shared" si="54"/>
        <v>0</v>
      </c>
      <c r="AG97" s="2">
        <f t="shared" si="54"/>
        <v>0</v>
      </c>
      <c r="AH97" s="2">
        <f t="shared" si="54"/>
        <v>0</v>
      </c>
      <c r="AI97" s="6">
        <f t="shared" si="47"/>
        <v>0</v>
      </c>
    </row>
    <row r="98" spans="1:35" outlineLevel="1" x14ac:dyDescent="0.25">
      <c r="A98" s="1" t="s">
        <v>101</v>
      </c>
      <c r="B98" s="2">
        <v>-1621.38</v>
      </c>
      <c r="C98" s="8">
        <f>+B98/$B$2</f>
        <v>-1.469519410080757E-4</v>
      </c>
      <c r="D98" s="2">
        <v>0</v>
      </c>
      <c r="E98" s="8">
        <f>+D98/$D$2</f>
        <v>0</v>
      </c>
      <c r="F98" s="24">
        <f>+D98*1.03</f>
        <v>0</v>
      </c>
      <c r="G98" s="8">
        <f>+F98/$D$2</f>
        <v>0</v>
      </c>
      <c r="H98" s="2">
        <f t="shared" si="52"/>
        <v>0</v>
      </c>
      <c r="I98" s="2">
        <f t="shared" si="52"/>
        <v>0</v>
      </c>
      <c r="J98" s="2">
        <f t="shared" si="52"/>
        <v>0</v>
      </c>
      <c r="K98" s="2">
        <f t="shared" si="52"/>
        <v>0</v>
      </c>
      <c r="L98" s="2">
        <f t="shared" si="52"/>
        <v>0</v>
      </c>
      <c r="M98" s="2">
        <f t="shared" si="52"/>
        <v>0</v>
      </c>
      <c r="N98" s="2">
        <f t="shared" si="52"/>
        <v>0</v>
      </c>
      <c r="O98" s="2">
        <f t="shared" si="52"/>
        <v>0</v>
      </c>
      <c r="P98" s="2">
        <f t="shared" si="52"/>
        <v>0</v>
      </c>
      <c r="Q98" s="2">
        <f t="shared" si="52"/>
        <v>0</v>
      </c>
      <c r="R98" s="2">
        <f t="shared" si="52"/>
        <v>0</v>
      </c>
      <c r="S98" s="2">
        <f t="shared" si="52"/>
        <v>0</v>
      </c>
      <c r="T98" s="6">
        <f t="shared" si="46"/>
        <v>0</v>
      </c>
      <c r="U98" s="24">
        <v>0</v>
      </c>
      <c r="V98" s="23">
        <f t="shared" si="48"/>
        <v>0</v>
      </c>
      <c r="W98" s="2">
        <f t="shared" si="54"/>
        <v>0</v>
      </c>
      <c r="X98" s="2">
        <f t="shared" si="54"/>
        <v>0</v>
      </c>
      <c r="Y98" s="2">
        <f t="shared" si="54"/>
        <v>0</v>
      </c>
      <c r="Z98" s="2">
        <f t="shared" si="54"/>
        <v>0</v>
      </c>
      <c r="AA98" s="2">
        <f t="shared" si="54"/>
        <v>0</v>
      </c>
      <c r="AB98" s="2">
        <f t="shared" si="54"/>
        <v>0</v>
      </c>
      <c r="AC98" s="2">
        <f t="shared" si="54"/>
        <v>0</v>
      </c>
      <c r="AD98" s="2">
        <f t="shared" si="54"/>
        <v>0</v>
      </c>
      <c r="AE98" s="2">
        <f t="shared" si="54"/>
        <v>0</v>
      </c>
      <c r="AF98" s="2">
        <f t="shared" si="54"/>
        <v>0</v>
      </c>
      <c r="AG98" s="2">
        <f t="shared" si="54"/>
        <v>0</v>
      </c>
      <c r="AH98" s="2">
        <f t="shared" si="54"/>
        <v>0</v>
      </c>
      <c r="AI98" s="6">
        <f t="shared" si="47"/>
        <v>0</v>
      </c>
    </row>
    <row r="99" spans="1:35" outlineLevel="1" x14ac:dyDescent="0.25">
      <c r="A99" s="1" t="s">
        <v>102</v>
      </c>
      <c r="B99" s="2">
        <v>-11599.17</v>
      </c>
      <c r="C99" s="8">
        <f>+B99/$B$2</f>
        <v>-1.0512776434781737E-3</v>
      </c>
      <c r="D99" s="2">
        <v>-8113.6</v>
      </c>
      <c r="E99" s="8">
        <f>+D99/$D$2</f>
        <v>-9.6467194790474716E-4</v>
      </c>
      <c r="F99" s="24">
        <v>-7000</v>
      </c>
      <c r="G99" s="8">
        <f>+F99/$D$2</f>
        <v>-8.3226972433115133E-4</v>
      </c>
      <c r="H99" s="2">
        <f t="shared" si="52"/>
        <v>-583.33333333333337</v>
      </c>
      <c r="I99" s="2">
        <f t="shared" si="52"/>
        <v>-583.33333333333337</v>
      </c>
      <c r="J99" s="2">
        <f t="shared" si="52"/>
        <v>-583.33333333333337</v>
      </c>
      <c r="K99" s="2">
        <f t="shared" si="52"/>
        <v>-583.33333333333337</v>
      </c>
      <c r="L99" s="2">
        <f t="shared" si="52"/>
        <v>-583.33333333333337</v>
      </c>
      <c r="M99" s="2">
        <f t="shared" si="52"/>
        <v>-583.33333333333337</v>
      </c>
      <c r="N99" s="2">
        <f t="shared" si="52"/>
        <v>-583.33333333333337</v>
      </c>
      <c r="O99" s="2">
        <f t="shared" si="52"/>
        <v>-583.33333333333337</v>
      </c>
      <c r="P99" s="2">
        <f t="shared" si="52"/>
        <v>-583.33333333333337</v>
      </c>
      <c r="Q99" s="2">
        <f t="shared" si="52"/>
        <v>-583.33333333333337</v>
      </c>
      <c r="R99" s="2">
        <f t="shared" si="52"/>
        <v>-583.33333333333337</v>
      </c>
      <c r="S99" s="2">
        <f t="shared" si="52"/>
        <v>-583.33333333333337</v>
      </c>
      <c r="T99" s="6">
        <f t="shared" si="46"/>
        <v>-6999.9999999999991</v>
      </c>
      <c r="U99" s="24">
        <v>0</v>
      </c>
      <c r="V99" s="23">
        <f t="shared" si="48"/>
        <v>0</v>
      </c>
      <c r="W99" s="2">
        <f t="shared" si="54"/>
        <v>0</v>
      </c>
      <c r="X99" s="2">
        <f t="shared" si="54"/>
        <v>0</v>
      </c>
      <c r="Y99" s="2">
        <f t="shared" si="54"/>
        <v>0</v>
      </c>
      <c r="Z99" s="2">
        <f t="shared" si="54"/>
        <v>0</v>
      </c>
      <c r="AA99" s="2">
        <f t="shared" si="54"/>
        <v>0</v>
      </c>
      <c r="AB99" s="2">
        <f t="shared" si="54"/>
        <v>0</v>
      </c>
      <c r="AC99" s="2">
        <f t="shared" si="54"/>
        <v>0</v>
      </c>
      <c r="AD99" s="2">
        <f t="shared" si="54"/>
        <v>0</v>
      </c>
      <c r="AE99" s="2">
        <f t="shared" si="54"/>
        <v>0</v>
      </c>
      <c r="AF99" s="2">
        <f t="shared" si="54"/>
        <v>0</v>
      </c>
      <c r="AG99" s="2">
        <f t="shared" si="54"/>
        <v>0</v>
      </c>
      <c r="AH99" s="2">
        <f t="shared" si="54"/>
        <v>0</v>
      </c>
      <c r="AI99" s="6">
        <f t="shared" si="47"/>
        <v>0</v>
      </c>
    </row>
    <row r="100" spans="1:35" outlineLevel="1" x14ac:dyDescent="0.25">
      <c r="A100" s="1" t="s">
        <v>103</v>
      </c>
      <c r="B100" s="2">
        <v>-7271.18</v>
      </c>
      <c r="C100" s="8">
        <f>+B100/$B$2</f>
        <v>-6.5901516881859885E-4</v>
      </c>
      <c r="D100" s="2">
        <v>-8550.52</v>
      </c>
      <c r="E100" s="8">
        <f>+D100/$D$2</f>
        <v>-1.0166198461839995E-3</v>
      </c>
      <c r="F100" s="24">
        <v>-8000</v>
      </c>
      <c r="G100" s="8">
        <f>+F100/$D$2</f>
        <v>-9.5116539923560152E-4</v>
      </c>
      <c r="H100" s="2">
        <f t="shared" si="52"/>
        <v>-666.66666666666663</v>
      </c>
      <c r="I100" s="2">
        <f t="shared" si="52"/>
        <v>-666.66666666666663</v>
      </c>
      <c r="J100" s="2">
        <f t="shared" si="52"/>
        <v>-666.66666666666663</v>
      </c>
      <c r="K100" s="2">
        <f t="shared" si="52"/>
        <v>-666.66666666666663</v>
      </c>
      <c r="L100" s="2">
        <f t="shared" si="52"/>
        <v>-666.66666666666663</v>
      </c>
      <c r="M100" s="2">
        <f t="shared" si="52"/>
        <v>-666.66666666666663</v>
      </c>
      <c r="N100" s="2">
        <f t="shared" si="52"/>
        <v>-666.66666666666663</v>
      </c>
      <c r="O100" s="2">
        <f t="shared" si="52"/>
        <v>-666.66666666666663</v>
      </c>
      <c r="P100" s="2">
        <f t="shared" si="52"/>
        <v>-666.66666666666663</v>
      </c>
      <c r="Q100" s="2">
        <f t="shared" si="52"/>
        <v>-666.66666666666663</v>
      </c>
      <c r="R100" s="2">
        <f t="shared" si="52"/>
        <v>-666.66666666666663</v>
      </c>
      <c r="S100" s="2">
        <f t="shared" si="52"/>
        <v>-666.66666666666663</v>
      </c>
      <c r="T100" s="6">
        <f t="shared" si="46"/>
        <v>-8000.0000000000009</v>
      </c>
      <c r="U100" s="24">
        <v>0</v>
      </c>
      <c r="V100" s="23">
        <f t="shared" si="48"/>
        <v>0</v>
      </c>
      <c r="W100" s="2">
        <f t="shared" si="54"/>
        <v>0</v>
      </c>
      <c r="X100" s="2">
        <f t="shared" si="54"/>
        <v>0</v>
      </c>
      <c r="Y100" s="2">
        <f t="shared" si="54"/>
        <v>0</v>
      </c>
      <c r="Z100" s="2">
        <f t="shared" si="54"/>
        <v>0</v>
      </c>
      <c r="AA100" s="2">
        <f t="shared" si="54"/>
        <v>0</v>
      </c>
      <c r="AB100" s="2">
        <f t="shared" si="54"/>
        <v>0</v>
      </c>
      <c r="AC100" s="2">
        <f t="shared" si="54"/>
        <v>0</v>
      </c>
      <c r="AD100" s="2">
        <f t="shared" si="54"/>
        <v>0</v>
      </c>
      <c r="AE100" s="2">
        <f t="shared" si="54"/>
        <v>0</v>
      </c>
      <c r="AF100" s="2">
        <f t="shared" si="54"/>
        <v>0</v>
      </c>
      <c r="AG100" s="2">
        <f t="shared" si="54"/>
        <v>0</v>
      </c>
      <c r="AH100" s="2">
        <f t="shared" si="54"/>
        <v>0</v>
      </c>
      <c r="AI100" s="6">
        <f t="shared" si="47"/>
        <v>0</v>
      </c>
    </row>
    <row r="101" spans="1:35" outlineLevel="1" x14ac:dyDescent="0.25">
      <c r="A101" s="1" t="s">
        <v>104</v>
      </c>
      <c r="B101" s="2">
        <v>-1798.4</v>
      </c>
      <c r="C101" s="8">
        <f>+B101/$B$2</f>
        <v>-1.6299594833347108E-4</v>
      </c>
      <c r="D101" s="2">
        <v>-1720.44</v>
      </c>
      <c r="E101" s="8">
        <f>+D101/$D$2</f>
        <v>-2.045528749326123E-4</v>
      </c>
      <c r="F101" s="24">
        <v>-2000</v>
      </c>
      <c r="G101" s="8">
        <f>+F101/$D$2</f>
        <v>-2.3779134980890038E-4</v>
      </c>
      <c r="H101" s="2">
        <f t="shared" si="52"/>
        <v>-166.66666666666666</v>
      </c>
      <c r="I101" s="2">
        <f t="shared" si="52"/>
        <v>-166.66666666666666</v>
      </c>
      <c r="J101" s="2">
        <f t="shared" si="52"/>
        <v>-166.66666666666666</v>
      </c>
      <c r="K101" s="2">
        <f t="shared" si="52"/>
        <v>-166.66666666666666</v>
      </c>
      <c r="L101" s="2">
        <f t="shared" si="52"/>
        <v>-166.66666666666666</v>
      </c>
      <c r="M101" s="2">
        <f t="shared" si="52"/>
        <v>-166.66666666666666</v>
      </c>
      <c r="N101" s="2">
        <f t="shared" si="52"/>
        <v>-166.66666666666666</v>
      </c>
      <c r="O101" s="2">
        <f t="shared" si="52"/>
        <v>-166.66666666666666</v>
      </c>
      <c r="P101" s="2">
        <f t="shared" si="52"/>
        <v>-166.66666666666666</v>
      </c>
      <c r="Q101" s="2">
        <f t="shared" si="52"/>
        <v>-166.66666666666666</v>
      </c>
      <c r="R101" s="2">
        <f t="shared" si="52"/>
        <v>-166.66666666666666</v>
      </c>
      <c r="S101" s="2">
        <f t="shared" si="52"/>
        <v>-166.66666666666666</v>
      </c>
      <c r="T101" s="6">
        <f t="shared" si="46"/>
        <v>-2000.0000000000002</v>
      </c>
      <c r="U101" s="24">
        <v>0</v>
      </c>
      <c r="V101" s="23">
        <f t="shared" si="48"/>
        <v>0</v>
      </c>
      <c r="W101" s="2">
        <f t="shared" si="54"/>
        <v>0</v>
      </c>
      <c r="X101" s="2">
        <f t="shared" si="54"/>
        <v>0</v>
      </c>
      <c r="Y101" s="2">
        <f t="shared" si="54"/>
        <v>0</v>
      </c>
      <c r="Z101" s="2">
        <f t="shared" si="54"/>
        <v>0</v>
      </c>
      <c r="AA101" s="2">
        <f t="shared" si="54"/>
        <v>0</v>
      </c>
      <c r="AB101" s="2">
        <f t="shared" si="54"/>
        <v>0</v>
      </c>
      <c r="AC101" s="2">
        <f t="shared" si="54"/>
        <v>0</v>
      </c>
      <c r="AD101" s="2">
        <f t="shared" si="54"/>
        <v>0</v>
      </c>
      <c r="AE101" s="2">
        <f t="shared" si="54"/>
        <v>0</v>
      </c>
      <c r="AF101" s="2">
        <f t="shared" si="54"/>
        <v>0</v>
      </c>
      <c r="AG101" s="2">
        <f t="shared" si="54"/>
        <v>0</v>
      </c>
      <c r="AH101" s="2">
        <f t="shared" si="54"/>
        <v>0</v>
      </c>
      <c r="AI101" s="6">
        <f t="shared" si="47"/>
        <v>0</v>
      </c>
    </row>
    <row r="102" spans="1:35" outlineLevel="1" x14ac:dyDescent="0.25">
      <c r="A102" s="10" t="s">
        <v>105</v>
      </c>
      <c r="C102" s="8"/>
      <c r="E102" s="8"/>
      <c r="F102" s="24">
        <f>+D102*1.1</f>
        <v>0</v>
      </c>
      <c r="G102" s="8"/>
      <c r="H102" s="2">
        <f t="shared" si="52"/>
        <v>0</v>
      </c>
      <c r="I102" s="2">
        <f t="shared" si="52"/>
        <v>0</v>
      </c>
      <c r="J102" s="2">
        <f t="shared" si="52"/>
        <v>0</v>
      </c>
      <c r="K102" s="2">
        <f t="shared" si="52"/>
        <v>0</v>
      </c>
      <c r="L102" s="2">
        <f t="shared" si="52"/>
        <v>0</v>
      </c>
      <c r="M102" s="2">
        <f t="shared" si="52"/>
        <v>0</v>
      </c>
      <c r="N102" s="2">
        <f t="shared" si="52"/>
        <v>0</v>
      </c>
      <c r="O102" s="2">
        <f t="shared" si="52"/>
        <v>0</v>
      </c>
      <c r="P102" s="2">
        <f t="shared" si="52"/>
        <v>0</v>
      </c>
      <c r="Q102" s="2">
        <f t="shared" si="52"/>
        <v>0</v>
      </c>
      <c r="R102" s="2">
        <f t="shared" si="52"/>
        <v>0</v>
      </c>
      <c r="S102" s="2">
        <f t="shared" si="52"/>
        <v>0</v>
      </c>
      <c r="T102" s="6">
        <f t="shared" si="46"/>
        <v>0</v>
      </c>
      <c r="U102" s="24">
        <v>0</v>
      </c>
      <c r="V102" s="23">
        <f t="shared" si="48"/>
        <v>0</v>
      </c>
      <c r="W102" s="2">
        <f t="shared" si="54"/>
        <v>0</v>
      </c>
      <c r="X102" s="2">
        <f t="shared" si="54"/>
        <v>0</v>
      </c>
      <c r="Y102" s="2">
        <f t="shared" si="54"/>
        <v>0</v>
      </c>
      <c r="Z102" s="2">
        <f t="shared" si="54"/>
        <v>0</v>
      </c>
      <c r="AA102" s="2">
        <f t="shared" si="54"/>
        <v>0</v>
      </c>
      <c r="AB102" s="2">
        <f t="shared" si="54"/>
        <v>0</v>
      </c>
      <c r="AC102" s="2">
        <f t="shared" si="54"/>
        <v>0</v>
      </c>
      <c r="AD102" s="2">
        <f t="shared" si="54"/>
        <v>0</v>
      </c>
      <c r="AE102" s="2">
        <f t="shared" si="54"/>
        <v>0</v>
      </c>
      <c r="AF102" s="2">
        <f t="shared" si="54"/>
        <v>0</v>
      </c>
      <c r="AG102" s="2">
        <f t="shared" si="54"/>
        <v>0</v>
      </c>
      <c r="AH102" s="2">
        <f t="shared" si="54"/>
        <v>0</v>
      </c>
      <c r="AI102" s="6">
        <f t="shared" si="47"/>
        <v>0</v>
      </c>
    </row>
    <row r="103" spans="1:35" outlineLevel="1" x14ac:dyDescent="0.25">
      <c r="A103" s="1" t="s">
        <v>106</v>
      </c>
      <c r="B103" s="2">
        <v>-250</v>
      </c>
      <c r="C103" s="8">
        <f t="shared" ref="C103:C119" si="56">+B103/$B$2</f>
        <v>-2.26584670169972E-5</v>
      </c>
      <c r="D103" s="2">
        <v>0</v>
      </c>
      <c r="E103" s="8">
        <f t="shared" ref="E103:E119" si="57">+D103/$D$2</f>
        <v>0</v>
      </c>
      <c r="F103" s="24">
        <f>+D103*1.1</f>
        <v>0</v>
      </c>
      <c r="G103" s="8">
        <f t="shared" ref="G103:G119" si="58">+F103/$D$2</f>
        <v>0</v>
      </c>
      <c r="H103" s="2">
        <f t="shared" si="52"/>
        <v>0</v>
      </c>
      <c r="I103" s="2">
        <f t="shared" si="52"/>
        <v>0</v>
      </c>
      <c r="J103" s="2">
        <f t="shared" si="52"/>
        <v>0</v>
      </c>
      <c r="K103" s="2">
        <f t="shared" si="52"/>
        <v>0</v>
      </c>
      <c r="L103" s="2">
        <f t="shared" si="52"/>
        <v>0</v>
      </c>
      <c r="M103" s="2">
        <f t="shared" si="52"/>
        <v>0</v>
      </c>
      <c r="N103" s="2">
        <f t="shared" si="52"/>
        <v>0</v>
      </c>
      <c r="O103" s="2">
        <f t="shared" si="52"/>
        <v>0</v>
      </c>
      <c r="P103" s="2">
        <f t="shared" si="52"/>
        <v>0</v>
      </c>
      <c r="Q103" s="2">
        <f t="shared" si="52"/>
        <v>0</v>
      </c>
      <c r="R103" s="2">
        <f t="shared" si="52"/>
        <v>0</v>
      </c>
      <c r="S103" s="2">
        <f t="shared" si="52"/>
        <v>0</v>
      </c>
      <c r="T103" s="6">
        <f t="shared" si="46"/>
        <v>0</v>
      </c>
      <c r="U103" s="24">
        <v>0</v>
      </c>
      <c r="V103" s="23">
        <f t="shared" si="48"/>
        <v>0</v>
      </c>
      <c r="W103" s="2">
        <f t="shared" si="54"/>
        <v>0</v>
      </c>
      <c r="X103" s="2">
        <f t="shared" si="54"/>
        <v>0</v>
      </c>
      <c r="Y103" s="2">
        <f t="shared" si="54"/>
        <v>0</v>
      </c>
      <c r="Z103" s="2">
        <f t="shared" si="54"/>
        <v>0</v>
      </c>
      <c r="AA103" s="2">
        <f t="shared" si="54"/>
        <v>0</v>
      </c>
      <c r="AB103" s="2">
        <f t="shared" si="54"/>
        <v>0</v>
      </c>
      <c r="AC103" s="2">
        <f t="shared" si="54"/>
        <v>0</v>
      </c>
      <c r="AD103" s="2">
        <f t="shared" si="54"/>
        <v>0</v>
      </c>
      <c r="AE103" s="2">
        <f t="shared" si="54"/>
        <v>0</v>
      </c>
      <c r="AF103" s="2">
        <f t="shared" si="54"/>
        <v>0</v>
      </c>
      <c r="AG103" s="2">
        <f t="shared" si="54"/>
        <v>0</v>
      </c>
      <c r="AH103" s="2">
        <f t="shared" si="54"/>
        <v>0</v>
      </c>
      <c r="AI103" s="6">
        <f t="shared" si="47"/>
        <v>0</v>
      </c>
    </row>
    <row r="104" spans="1:35" outlineLevel="1" x14ac:dyDescent="0.25">
      <c r="A104" s="1" t="s">
        <v>107</v>
      </c>
      <c r="B104" s="2">
        <v>-22457.42</v>
      </c>
      <c r="C104" s="8">
        <f t="shared" si="56"/>
        <v>-2.0354028414274129E-3</v>
      </c>
      <c r="D104" s="2">
        <v>0</v>
      </c>
      <c r="E104" s="8">
        <f t="shared" si="57"/>
        <v>0</v>
      </c>
      <c r="F104" s="24">
        <f>+D104*1.1</f>
        <v>0</v>
      </c>
      <c r="G104" s="8">
        <f t="shared" si="58"/>
        <v>0</v>
      </c>
      <c r="H104" s="2">
        <f t="shared" si="52"/>
        <v>0</v>
      </c>
      <c r="I104" s="2">
        <f t="shared" si="52"/>
        <v>0</v>
      </c>
      <c r="J104" s="2">
        <f t="shared" si="52"/>
        <v>0</v>
      </c>
      <c r="K104" s="2">
        <f t="shared" si="52"/>
        <v>0</v>
      </c>
      <c r="L104" s="2">
        <f t="shared" si="52"/>
        <v>0</v>
      </c>
      <c r="M104" s="2">
        <f t="shared" si="52"/>
        <v>0</v>
      </c>
      <c r="N104" s="2">
        <f t="shared" si="52"/>
        <v>0</v>
      </c>
      <c r="O104" s="2">
        <f t="shared" si="52"/>
        <v>0</v>
      </c>
      <c r="P104" s="2">
        <f t="shared" si="52"/>
        <v>0</v>
      </c>
      <c r="Q104" s="2">
        <f t="shared" si="52"/>
        <v>0</v>
      </c>
      <c r="R104" s="2">
        <f t="shared" si="52"/>
        <v>0</v>
      </c>
      <c r="S104" s="2">
        <f t="shared" si="52"/>
        <v>0</v>
      </c>
      <c r="T104" s="6">
        <f t="shared" si="46"/>
        <v>0</v>
      </c>
      <c r="U104" s="24">
        <v>0</v>
      </c>
      <c r="V104" s="23">
        <f t="shared" si="48"/>
        <v>0</v>
      </c>
      <c r="W104" s="2">
        <f t="shared" si="54"/>
        <v>0</v>
      </c>
      <c r="X104" s="2">
        <f t="shared" si="54"/>
        <v>0</v>
      </c>
      <c r="Y104" s="2">
        <f t="shared" si="54"/>
        <v>0</v>
      </c>
      <c r="Z104" s="2">
        <f t="shared" si="54"/>
        <v>0</v>
      </c>
      <c r="AA104" s="2">
        <f t="shared" si="54"/>
        <v>0</v>
      </c>
      <c r="AB104" s="2">
        <f t="shared" si="54"/>
        <v>0</v>
      </c>
      <c r="AC104" s="2">
        <f t="shared" si="54"/>
        <v>0</v>
      </c>
      <c r="AD104" s="2">
        <f t="shared" si="54"/>
        <v>0</v>
      </c>
      <c r="AE104" s="2">
        <f t="shared" si="54"/>
        <v>0</v>
      </c>
      <c r="AF104" s="2">
        <f t="shared" si="54"/>
        <v>0</v>
      </c>
      <c r="AG104" s="2">
        <f t="shared" si="54"/>
        <v>0</v>
      </c>
      <c r="AH104" s="2">
        <f t="shared" si="54"/>
        <v>0</v>
      </c>
      <c r="AI104" s="6">
        <f t="shared" si="47"/>
        <v>0</v>
      </c>
    </row>
    <row r="105" spans="1:35" outlineLevel="1" x14ac:dyDescent="0.25">
      <c r="A105" s="1" t="s">
        <v>108</v>
      </c>
      <c r="B105" s="2">
        <v>-2415.54</v>
      </c>
      <c r="C105" s="8">
        <f t="shared" si="56"/>
        <v>-2.1892973367294968E-4</v>
      </c>
      <c r="D105" s="2">
        <v>-824.46</v>
      </c>
      <c r="E105" s="8">
        <f t="shared" si="57"/>
        <v>-9.8024728131723015E-5</v>
      </c>
      <c r="F105" s="24">
        <v>-1000</v>
      </c>
      <c r="G105" s="8">
        <f t="shared" si="58"/>
        <v>-1.1889567490445019E-4</v>
      </c>
      <c r="H105" s="2">
        <f t="shared" si="52"/>
        <v>-83.333333333333329</v>
      </c>
      <c r="I105" s="2">
        <f t="shared" si="52"/>
        <v>-83.333333333333329</v>
      </c>
      <c r="J105" s="2">
        <f t="shared" si="52"/>
        <v>-83.333333333333329</v>
      </c>
      <c r="K105" s="2">
        <f t="shared" si="52"/>
        <v>-83.333333333333329</v>
      </c>
      <c r="L105" s="2">
        <f t="shared" si="52"/>
        <v>-83.333333333333329</v>
      </c>
      <c r="M105" s="2">
        <f t="shared" si="52"/>
        <v>-83.333333333333329</v>
      </c>
      <c r="N105" s="2">
        <f t="shared" si="52"/>
        <v>-83.333333333333329</v>
      </c>
      <c r="O105" s="2">
        <f t="shared" si="52"/>
        <v>-83.333333333333329</v>
      </c>
      <c r="P105" s="2">
        <f t="shared" si="52"/>
        <v>-83.333333333333329</v>
      </c>
      <c r="Q105" s="2">
        <f t="shared" si="52"/>
        <v>-83.333333333333329</v>
      </c>
      <c r="R105" s="2">
        <f t="shared" si="52"/>
        <v>-83.333333333333329</v>
      </c>
      <c r="S105" s="2">
        <f t="shared" si="52"/>
        <v>-83.333333333333329</v>
      </c>
      <c r="T105" s="6">
        <f t="shared" si="46"/>
        <v>-1000.0000000000001</v>
      </c>
      <c r="U105" s="24">
        <v>0</v>
      </c>
      <c r="V105" s="23">
        <f t="shared" si="48"/>
        <v>0</v>
      </c>
      <c r="W105" s="2">
        <f t="shared" si="54"/>
        <v>0</v>
      </c>
      <c r="X105" s="2">
        <f t="shared" si="54"/>
        <v>0</v>
      </c>
      <c r="Y105" s="2">
        <f t="shared" si="54"/>
        <v>0</v>
      </c>
      <c r="Z105" s="2">
        <f t="shared" si="54"/>
        <v>0</v>
      </c>
      <c r="AA105" s="2">
        <f t="shared" si="54"/>
        <v>0</v>
      </c>
      <c r="AB105" s="2">
        <f t="shared" si="54"/>
        <v>0</v>
      </c>
      <c r="AC105" s="2">
        <f t="shared" si="54"/>
        <v>0</v>
      </c>
      <c r="AD105" s="2">
        <f t="shared" si="54"/>
        <v>0</v>
      </c>
      <c r="AE105" s="2">
        <f t="shared" si="54"/>
        <v>0</v>
      </c>
      <c r="AF105" s="2">
        <f t="shared" si="54"/>
        <v>0</v>
      </c>
      <c r="AG105" s="2">
        <f t="shared" si="54"/>
        <v>0</v>
      </c>
      <c r="AH105" s="2">
        <f t="shared" si="54"/>
        <v>0</v>
      </c>
      <c r="AI105" s="6">
        <f t="shared" si="47"/>
        <v>0</v>
      </c>
    </row>
    <row r="106" spans="1:35" outlineLevel="1" x14ac:dyDescent="0.25">
      <c r="A106" s="1" t="s">
        <v>109</v>
      </c>
      <c r="B106" s="2">
        <v>-9102.02</v>
      </c>
      <c r="C106" s="8">
        <f t="shared" si="56"/>
        <v>-8.2495127983219548E-4</v>
      </c>
      <c r="D106" s="2">
        <v>-9468.61</v>
      </c>
      <c r="E106" s="8">
        <f t="shared" si="57"/>
        <v>-1.1257767763570262E-3</v>
      </c>
      <c r="F106" s="24">
        <v>-3000</v>
      </c>
      <c r="G106" s="8">
        <f t="shared" si="58"/>
        <v>-3.5668702471335057E-4</v>
      </c>
      <c r="H106" s="2">
        <f t="shared" si="52"/>
        <v>-250</v>
      </c>
      <c r="I106" s="2">
        <f t="shared" si="52"/>
        <v>-250</v>
      </c>
      <c r="J106" s="2">
        <f t="shared" si="52"/>
        <v>-250</v>
      </c>
      <c r="K106" s="2">
        <f t="shared" si="52"/>
        <v>-250</v>
      </c>
      <c r="L106" s="2">
        <f t="shared" si="52"/>
        <v>-250</v>
      </c>
      <c r="M106" s="2">
        <f t="shared" si="52"/>
        <v>-250</v>
      </c>
      <c r="N106" s="2">
        <f t="shared" si="52"/>
        <v>-250</v>
      </c>
      <c r="O106" s="2">
        <f t="shared" si="52"/>
        <v>-250</v>
      </c>
      <c r="P106" s="2">
        <f t="shared" si="52"/>
        <v>-250</v>
      </c>
      <c r="Q106" s="2">
        <f t="shared" si="52"/>
        <v>-250</v>
      </c>
      <c r="R106" s="2">
        <f t="shared" si="52"/>
        <v>-250</v>
      </c>
      <c r="S106" s="2">
        <f t="shared" si="52"/>
        <v>-250</v>
      </c>
      <c r="T106" s="6">
        <f t="shared" si="46"/>
        <v>-3000</v>
      </c>
      <c r="U106" s="24">
        <v>0</v>
      </c>
      <c r="V106" s="23">
        <f t="shared" si="48"/>
        <v>0</v>
      </c>
      <c r="W106" s="2">
        <f t="shared" si="54"/>
        <v>0</v>
      </c>
      <c r="X106" s="2">
        <f t="shared" si="54"/>
        <v>0</v>
      </c>
      <c r="Y106" s="2">
        <f t="shared" si="54"/>
        <v>0</v>
      </c>
      <c r="Z106" s="2">
        <f t="shared" si="54"/>
        <v>0</v>
      </c>
      <c r="AA106" s="2">
        <f t="shared" si="54"/>
        <v>0</v>
      </c>
      <c r="AB106" s="2">
        <f t="shared" si="54"/>
        <v>0</v>
      </c>
      <c r="AC106" s="2">
        <f t="shared" si="54"/>
        <v>0</v>
      </c>
      <c r="AD106" s="2">
        <f t="shared" si="54"/>
        <v>0</v>
      </c>
      <c r="AE106" s="2">
        <f t="shared" si="54"/>
        <v>0</v>
      </c>
      <c r="AF106" s="2">
        <f t="shared" si="54"/>
        <v>0</v>
      </c>
      <c r="AG106" s="2">
        <f t="shared" si="54"/>
        <v>0</v>
      </c>
      <c r="AH106" s="2">
        <f t="shared" si="54"/>
        <v>0</v>
      </c>
      <c r="AI106" s="6">
        <f t="shared" si="47"/>
        <v>0</v>
      </c>
    </row>
    <row r="107" spans="1:35" outlineLevel="1" x14ac:dyDescent="0.25">
      <c r="A107" s="1" t="s">
        <v>110</v>
      </c>
      <c r="B107" s="2">
        <v>-2105.33</v>
      </c>
      <c r="C107" s="8">
        <f t="shared" si="56"/>
        <v>-1.9081420145957887E-4</v>
      </c>
      <c r="D107" s="2">
        <v>-255.68</v>
      </c>
      <c r="E107" s="8">
        <f t="shared" si="57"/>
        <v>-3.0399246159569828E-5</v>
      </c>
      <c r="F107" s="24">
        <v>-1000</v>
      </c>
      <c r="G107" s="8">
        <f t="shared" si="58"/>
        <v>-1.1889567490445019E-4</v>
      </c>
      <c r="H107" s="2">
        <f t="shared" si="52"/>
        <v>-83.333333333333329</v>
      </c>
      <c r="I107" s="2">
        <f t="shared" si="52"/>
        <v>-83.333333333333329</v>
      </c>
      <c r="J107" s="2">
        <f t="shared" si="52"/>
        <v>-83.333333333333329</v>
      </c>
      <c r="K107" s="2">
        <f t="shared" si="52"/>
        <v>-83.333333333333329</v>
      </c>
      <c r="L107" s="2">
        <f t="shared" si="52"/>
        <v>-83.333333333333329</v>
      </c>
      <c r="M107" s="2">
        <f t="shared" si="52"/>
        <v>-83.333333333333329</v>
      </c>
      <c r="N107" s="2">
        <f t="shared" si="52"/>
        <v>-83.333333333333329</v>
      </c>
      <c r="O107" s="2">
        <f t="shared" si="52"/>
        <v>-83.333333333333329</v>
      </c>
      <c r="P107" s="2">
        <f t="shared" si="52"/>
        <v>-83.333333333333329</v>
      </c>
      <c r="Q107" s="2">
        <f t="shared" si="52"/>
        <v>-83.333333333333329</v>
      </c>
      <c r="R107" s="2">
        <f t="shared" si="52"/>
        <v>-83.333333333333329</v>
      </c>
      <c r="S107" s="2">
        <f t="shared" si="52"/>
        <v>-83.333333333333329</v>
      </c>
      <c r="T107" s="6">
        <f t="shared" si="46"/>
        <v>-1000.0000000000001</v>
      </c>
      <c r="U107" s="24">
        <v>0</v>
      </c>
      <c r="V107" s="23">
        <f t="shared" si="48"/>
        <v>0</v>
      </c>
      <c r="W107" s="2">
        <f t="shared" si="54"/>
        <v>0</v>
      </c>
      <c r="X107" s="2">
        <f t="shared" si="54"/>
        <v>0</v>
      </c>
      <c r="Y107" s="2">
        <f t="shared" si="54"/>
        <v>0</v>
      </c>
      <c r="Z107" s="2">
        <f t="shared" si="54"/>
        <v>0</v>
      </c>
      <c r="AA107" s="2">
        <f t="shared" si="54"/>
        <v>0</v>
      </c>
      <c r="AB107" s="2">
        <f t="shared" si="54"/>
        <v>0</v>
      </c>
      <c r="AC107" s="2">
        <f t="shared" si="54"/>
        <v>0</v>
      </c>
      <c r="AD107" s="2">
        <f t="shared" si="54"/>
        <v>0</v>
      </c>
      <c r="AE107" s="2">
        <f t="shared" si="54"/>
        <v>0</v>
      </c>
      <c r="AF107" s="2">
        <f t="shared" si="54"/>
        <v>0</v>
      </c>
      <c r="AG107" s="2">
        <f t="shared" si="54"/>
        <v>0</v>
      </c>
      <c r="AH107" s="2">
        <f t="shared" si="54"/>
        <v>0</v>
      </c>
      <c r="AI107" s="6">
        <f t="shared" si="47"/>
        <v>0</v>
      </c>
    </row>
    <row r="108" spans="1:35" outlineLevel="1" x14ac:dyDescent="0.25">
      <c r="A108" s="1" t="s">
        <v>111</v>
      </c>
      <c r="B108" s="2">
        <v>-1504.19</v>
      </c>
      <c r="C108" s="8">
        <f t="shared" si="56"/>
        <v>-1.3633055800918808E-4</v>
      </c>
      <c r="D108" s="2">
        <v>-3249.72</v>
      </c>
      <c r="E108" s="8">
        <f t="shared" si="57"/>
        <v>-3.8637765265048984E-4</v>
      </c>
      <c r="F108" s="24">
        <v>-3500</v>
      </c>
      <c r="G108" s="8">
        <f t="shared" si="58"/>
        <v>-4.1613486216557566E-4</v>
      </c>
      <c r="H108" s="2">
        <f t="shared" si="52"/>
        <v>-291.66666666666669</v>
      </c>
      <c r="I108" s="2">
        <f t="shared" si="52"/>
        <v>-291.66666666666669</v>
      </c>
      <c r="J108" s="2">
        <f t="shared" si="52"/>
        <v>-291.66666666666669</v>
      </c>
      <c r="K108" s="2">
        <f t="shared" ref="H108:S125" si="59">+$F108/12</f>
        <v>-291.66666666666669</v>
      </c>
      <c r="L108" s="2">
        <f t="shared" si="59"/>
        <v>-291.66666666666669</v>
      </c>
      <c r="M108" s="2">
        <f t="shared" si="59"/>
        <v>-291.66666666666669</v>
      </c>
      <c r="N108" s="2">
        <f t="shared" si="59"/>
        <v>-291.66666666666669</v>
      </c>
      <c r="O108" s="2">
        <f t="shared" si="59"/>
        <v>-291.66666666666669</v>
      </c>
      <c r="P108" s="2">
        <f t="shared" si="59"/>
        <v>-291.66666666666669</v>
      </c>
      <c r="Q108" s="2">
        <f t="shared" si="59"/>
        <v>-291.66666666666669</v>
      </c>
      <c r="R108" s="2">
        <f t="shared" si="59"/>
        <v>-291.66666666666669</v>
      </c>
      <c r="S108" s="2">
        <f t="shared" si="59"/>
        <v>-291.66666666666669</v>
      </c>
      <c r="T108" s="6">
        <f t="shared" si="46"/>
        <v>-3499.9999999999995</v>
      </c>
      <c r="U108" s="24">
        <v>0</v>
      </c>
      <c r="V108" s="23">
        <f t="shared" si="48"/>
        <v>0</v>
      </c>
      <c r="W108" s="2">
        <f t="shared" si="54"/>
        <v>0</v>
      </c>
      <c r="X108" s="2">
        <f t="shared" si="54"/>
        <v>0</v>
      </c>
      <c r="Y108" s="2">
        <f t="shared" si="54"/>
        <v>0</v>
      </c>
      <c r="Z108" s="2">
        <f t="shared" si="54"/>
        <v>0</v>
      </c>
      <c r="AA108" s="2">
        <f t="shared" si="54"/>
        <v>0</v>
      </c>
      <c r="AB108" s="2">
        <f t="shared" si="54"/>
        <v>0</v>
      </c>
      <c r="AC108" s="2">
        <f t="shared" si="54"/>
        <v>0</v>
      </c>
      <c r="AD108" s="2">
        <f t="shared" si="54"/>
        <v>0</v>
      </c>
      <c r="AE108" s="2">
        <f t="shared" si="54"/>
        <v>0</v>
      </c>
      <c r="AF108" s="2">
        <f t="shared" si="54"/>
        <v>0</v>
      </c>
      <c r="AG108" s="2">
        <f t="shared" si="54"/>
        <v>0</v>
      </c>
      <c r="AH108" s="2">
        <f t="shared" si="54"/>
        <v>0</v>
      </c>
      <c r="AI108" s="6">
        <f t="shared" si="47"/>
        <v>0</v>
      </c>
    </row>
    <row r="109" spans="1:35" outlineLevel="1" x14ac:dyDescent="0.25">
      <c r="A109" s="1" t="s">
        <v>112</v>
      </c>
      <c r="B109" s="2">
        <v>-3578.25</v>
      </c>
      <c r="C109" s="8">
        <f t="shared" si="56"/>
        <v>-3.2431063841428093E-4</v>
      </c>
      <c r="D109" s="2">
        <v>-1979.95</v>
      </c>
      <c r="E109" s="8">
        <f t="shared" si="57"/>
        <v>-2.3540749152706618E-4</v>
      </c>
      <c r="F109" s="24">
        <v>-2000</v>
      </c>
      <c r="G109" s="8">
        <f t="shared" si="58"/>
        <v>-2.3779134980890038E-4</v>
      </c>
      <c r="H109" s="2">
        <f t="shared" si="59"/>
        <v>-166.66666666666666</v>
      </c>
      <c r="I109" s="2">
        <f t="shared" si="59"/>
        <v>-166.66666666666666</v>
      </c>
      <c r="J109" s="2">
        <f t="shared" si="59"/>
        <v>-166.66666666666666</v>
      </c>
      <c r="K109" s="2">
        <f t="shared" si="59"/>
        <v>-166.66666666666666</v>
      </c>
      <c r="L109" s="2">
        <f t="shared" si="59"/>
        <v>-166.66666666666666</v>
      </c>
      <c r="M109" s="2">
        <f t="shared" si="59"/>
        <v>-166.66666666666666</v>
      </c>
      <c r="N109" s="2">
        <f t="shared" si="59"/>
        <v>-166.66666666666666</v>
      </c>
      <c r="O109" s="2">
        <f t="shared" si="59"/>
        <v>-166.66666666666666</v>
      </c>
      <c r="P109" s="2">
        <f t="shared" si="59"/>
        <v>-166.66666666666666</v>
      </c>
      <c r="Q109" s="2">
        <f t="shared" si="59"/>
        <v>-166.66666666666666</v>
      </c>
      <c r="R109" s="2">
        <f t="shared" si="59"/>
        <v>-166.66666666666666</v>
      </c>
      <c r="S109" s="2">
        <f t="shared" si="59"/>
        <v>-166.66666666666666</v>
      </c>
      <c r="T109" s="6">
        <f t="shared" si="46"/>
        <v>-2000.0000000000002</v>
      </c>
      <c r="U109" s="24">
        <v>0</v>
      </c>
      <c r="V109" s="23">
        <f t="shared" si="48"/>
        <v>0</v>
      </c>
      <c r="W109" s="2">
        <f t="shared" si="54"/>
        <v>0</v>
      </c>
      <c r="X109" s="2">
        <f t="shared" si="54"/>
        <v>0</v>
      </c>
      <c r="Y109" s="2">
        <f t="shared" si="54"/>
        <v>0</v>
      </c>
      <c r="Z109" s="2">
        <f t="shared" ref="W109:AH121" si="60">+$U109/12</f>
        <v>0</v>
      </c>
      <c r="AA109" s="2">
        <f t="shared" si="60"/>
        <v>0</v>
      </c>
      <c r="AB109" s="2">
        <f t="shared" si="60"/>
        <v>0</v>
      </c>
      <c r="AC109" s="2">
        <f t="shared" si="60"/>
        <v>0</v>
      </c>
      <c r="AD109" s="2">
        <f t="shared" si="60"/>
        <v>0</v>
      </c>
      <c r="AE109" s="2">
        <f t="shared" si="60"/>
        <v>0</v>
      </c>
      <c r="AF109" s="2">
        <f t="shared" si="60"/>
        <v>0</v>
      </c>
      <c r="AG109" s="2">
        <f t="shared" si="60"/>
        <v>0</v>
      </c>
      <c r="AH109" s="2">
        <f t="shared" si="60"/>
        <v>0</v>
      </c>
      <c r="AI109" s="6">
        <f t="shared" si="47"/>
        <v>0</v>
      </c>
    </row>
    <row r="110" spans="1:35" outlineLevel="1" x14ac:dyDescent="0.25">
      <c r="A110" s="1" t="s">
        <v>113</v>
      </c>
      <c r="B110" s="2">
        <v>-5193.66</v>
      </c>
      <c r="C110" s="8">
        <f t="shared" si="56"/>
        <v>-4.707214952299907E-4</v>
      </c>
      <c r="D110" s="2">
        <v>-4201.68</v>
      </c>
      <c r="E110" s="8">
        <f t="shared" si="57"/>
        <v>-4.9956157933253034E-4</v>
      </c>
      <c r="F110" s="24">
        <v>-4200</v>
      </c>
      <c r="G110" s="8">
        <f t="shared" si="58"/>
        <v>-4.9936183459869086E-4</v>
      </c>
      <c r="H110" s="2">
        <f t="shared" si="59"/>
        <v>-350</v>
      </c>
      <c r="I110" s="2">
        <f t="shared" si="59"/>
        <v>-350</v>
      </c>
      <c r="J110" s="2">
        <f t="shared" si="59"/>
        <v>-350</v>
      </c>
      <c r="K110" s="2">
        <f t="shared" si="59"/>
        <v>-350</v>
      </c>
      <c r="L110" s="2">
        <f t="shared" si="59"/>
        <v>-350</v>
      </c>
      <c r="M110" s="2">
        <f t="shared" si="59"/>
        <v>-350</v>
      </c>
      <c r="N110" s="2">
        <f t="shared" si="59"/>
        <v>-350</v>
      </c>
      <c r="O110" s="2">
        <f t="shared" si="59"/>
        <v>-350</v>
      </c>
      <c r="P110" s="2">
        <f t="shared" si="59"/>
        <v>-350</v>
      </c>
      <c r="Q110" s="2">
        <f t="shared" si="59"/>
        <v>-350</v>
      </c>
      <c r="R110" s="2">
        <f t="shared" si="59"/>
        <v>-350</v>
      </c>
      <c r="S110" s="2">
        <f t="shared" si="59"/>
        <v>-350</v>
      </c>
      <c r="T110" s="6">
        <f t="shared" si="46"/>
        <v>-4200</v>
      </c>
      <c r="U110" s="24">
        <v>0</v>
      </c>
      <c r="V110" s="23">
        <f t="shared" si="48"/>
        <v>0</v>
      </c>
      <c r="W110" s="2">
        <f t="shared" si="60"/>
        <v>0</v>
      </c>
      <c r="X110" s="2">
        <f t="shared" si="60"/>
        <v>0</v>
      </c>
      <c r="Y110" s="2">
        <f t="shared" si="60"/>
        <v>0</v>
      </c>
      <c r="Z110" s="2">
        <f t="shared" si="60"/>
        <v>0</v>
      </c>
      <c r="AA110" s="2">
        <f t="shared" si="60"/>
        <v>0</v>
      </c>
      <c r="AB110" s="2">
        <f t="shared" si="60"/>
        <v>0</v>
      </c>
      <c r="AC110" s="2">
        <f t="shared" si="60"/>
        <v>0</v>
      </c>
      <c r="AD110" s="2">
        <f t="shared" si="60"/>
        <v>0</v>
      </c>
      <c r="AE110" s="2">
        <f t="shared" si="60"/>
        <v>0</v>
      </c>
      <c r="AF110" s="2">
        <f t="shared" si="60"/>
        <v>0</v>
      </c>
      <c r="AG110" s="2">
        <f t="shared" si="60"/>
        <v>0</v>
      </c>
      <c r="AH110" s="2">
        <f t="shared" si="60"/>
        <v>0</v>
      </c>
      <c r="AI110" s="6">
        <f t="shared" si="47"/>
        <v>0</v>
      </c>
    </row>
    <row r="111" spans="1:35" outlineLevel="1" x14ac:dyDescent="0.25">
      <c r="A111" s="1" t="s">
        <v>114</v>
      </c>
      <c r="B111" s="2">
        <v>-1084.69</v>
      </c>
      <c r="C111" s="8">
        <f t="shared" si="56"/>
        <v>-9.8309650354666778E-5</v>
      </c>
      <c r="D111" s="2">
        <v>-762.5</v>
      </c>
      <c r="E111" s="8">
        <f t="shared" si="57"/>
        <v>-9.0657952114643267E-5</v>
      </c>
      <c r="F111" s="24">
        <v>-800</v>
      </c>
      <c r="G111" s="8">
        <f t="shared" si="58"/>
        <v>-9.5116539923560155E-5</v>
      </c>
      <c r="H111" s="2">
        <f t="shared" si="59"/>
        <v>-66.666666666666671</v>
      </c>
      <c r="I111" s="2">
        <f t="shared" si="59"/>
        <v>-66.666666666666671</v>
      </c>
      <c r="J111" s="2">
        <f t="shared" si="59"/>
        <v>-66.666666666666671</v>
      </c>
      <c r="K111" s="2">
        <f t="shared" si="59"/>
        <v>-66.666666666666671</v>
      </c>
      <c r="L111" s="2">
        <f t="shared" si="59"/>
        <v>-66.666666666666671</v>
      </c>
      <c r="M111" s="2">
        <f t="shared" si="59"/>
        <v>-66.666666666666671</v>
      </c>
      <c r="N111" s="2">
        <f t="shared" si="59"/>
        <v>-66.666666666666671</v>
      </c>
      <c r="O111" s="2">
        <f t="shared" si="59"/>
        <v>-66.666666666666671</v>
      </c>
      <c r="P111" s="2">
        <f t="shared" si="59"/>
        <v>-66.666666666666671</v>
      </c>
      <c r="Q111" s="2">
        <f t="shared" si="59"/>
        <v>-66.666666666666671</v>
      </c>
      <c r="R111" s="2">
        <f t="shared" si="59"/>
        <v>-66.666666666666671</v>
      </c>
      <c r="S111" s="2">
        <f t="shared" si="59"/>
        <v>-66.666666666666671</v>
      </c>
      <c r="T111" s="6">
        <f t="shared" si="46"/>
        <v>-799.99999999999989</v>
      </c>
      <c r="U111" s="24">
        <v>0</v>
      </c>
      <c r="V111" s="23">
        <f t="shared" si="48"/>
        <v>0</v>
      </c>
      <c r="W111" s="2">
        <f t="shared" si="60"/>
        <v>0</v>
      </c>
      <c r="X111" s="2">
        <f t="shared" si="60"/>
        <v>0</v>
      </c>
      <c r="Y111" s="2">
        <f t="shared" si="60"/>
        <v>0</v>
      </c>
      <c r="Z111" s="2">
        <f t="shared" si="60"/>
        <v>0</v>
      </c>
      <c r="AA111" s="2">
        <f t="shared" si="60"/>
        <v>0</v>
      </c>
      <c r="AB111" s="2">
        <f t="shared" si="60"/>
        <v>0</v>
      </c>
      <c r="AC111" s="2">
        <f t="shared" si="60"/>
        <v>0</v>
      </c>
      <c r="AD111" s="2">
        <f t="shared" si="60"/>
        <v>0</v>
      </c>
      <c r="AE111" s="2">
        <f t="shared" si="60"/>
        <v>0</v>
      </c>
      <c r="AF111" s="2">
        <f t="shared" si="60"/>
        <v>0</v>
      </c>
      <c r="AG111" s="2">
        <f t="shared" si="60"/>
        <v>0</v>
      </c>
      <c r="AH111" s="2">
        <f t="shared" si="60"/>
        <v>0</v>
      </c>
      <c r="AI111" s="6">
        <f t="shared" si="47"/>
        <v>0</v>
      </c>
    </row>
    <row r="112" spans="1:35" outlineLevel="1" x14ac:dyDescent="0.25">
      <c r="A112" s="1" t="s">
        <v>115</v>
      </c>
      <c r="B112" s="2">
        <v>-25.06</v>
      </c>
      <c r="C112" s="8">
        <f t="shared" si="56"/>
        <v>-2.2712847337837991E-6</v>
      </c>
      <c r="D112" s="2">
        <v>-54.27</v>
      </c>
      <c r="E112" s="8">
        <f t="shared" si="57"/>
        <v>-6.4524682770645122E-6</v>
      </c>
      <c r="F112" s="24">
        <v>-60</v>
      </c>
      <c r="G112" s="8">
        <f t="shared" si="58"/>
        <v>-7.1337404942670116E-6</v>
      </c>
      <c r="H112" s="2">
        <f t="shared" si="59"/>
        <v>-5</v>
      </c>
      <c r="I112" s="2">
        <f t="shared" si="59"/>
        <v>-5</v>
      </c>
      <c r="J112" s="2">
        <f t="shared" si="59"/>
        <v>-5</v>
      </c>
      <c r="K112" s="2">
        <f t="shared" si="59"/>
        <v>-5</v>
      </c>
      <c r="L112" s="2">
        <f t="shared" si="59"/>
        <v>-5</v>
      </c>
      <c r="M112" s="2">
        <f t="shared" si="59"/>
        <v>-5</v>
      </c>
      <c r="N112" s="2">
        <f t="shared" si="59"/>
        <v>-5</v>
      </c>
      <c r="O112" s="2">
        <f t="shared" si="59"/>
        <v>-5</v>
      </c>
      <c r="P112" s="2">
        <f t="shared" si="59"/>
        <v>-5</v>
      </c>
      <c r="Q112" s="2">
        <f t="shared" si="59"/>
        <v>-5</v>
      </c>
      <c r="R112" s="2">
        <f t="shared" si="59"/>
        <v>-5</v>
      </c>
      <c r="S112" s="2">
        <f t="shared" si="59"/>
        <v>-5</v>
      </c>
      <c r="T112" s="6">
        <f t="shared" si="46"/>
        <v>-60</v>
      </c>
      <c r="U112" s="24">
        <v>0</v>
      </c>
      <c r="V112" s="23">
        <f t="shared" si="48"/>
        <v>0</v>
      </c>
      <c r="W112" s="2">
        <f t="shared" si="60"/>
        <v>0</v>
      </c>
      <c r="X112" s="2">
        <f t="shared" si="60"/>
        <v>0</v>
      </c>
      <c r="Y112" s="2">
        <f t="shared" si="60"/>
        <v>0</v>
      </c>
      <c r="Z112" s="2">
        <f t="shared" si="60"/>
        <v>0</v>
      </c>
      <c r="AA112" s="2">
        <f t="shared" si="60"/>
        <v>0</v>
      </c>
      <c r="AB112" s="2">
        <f t="shared" si="60"/>
        <v>0</v>
      </c>
      <c r="AC112" s="2">
        <f t="shared" si="60"/>
        <v>0</v>
      </c>
      <c r="AD112" s="2">
        <f t="shared" si="60"/>
        <v>0</v>
      </c>
      <c r="AE112" s="2">
        <f t="shared" si="60"/>
        <v>0</v>
      </c>
      <c r="AF112" s="2">
        <f t="shared" si="60"/>
        <v>0</v>
      </c>
      <c r="AG112" s="2">
        <f t="shared" si="60"/>
        <v>0</v>
      </c>
      <c r="AH112" s="2">
        <f t="shared" si="60"/>
        <v>0</v>
      </c>
      <c r="AI112" s="6">
        <f t="shared" si="47"/>
        <v>0</v>
      </c>
    </row>
    <row r="113" spans="1:35" outlineLevel="1" x14ac:dyDescent="0.25">
      <c r="A113" s="1" t="s">
        <v>116</v>
      </c>
      <c r="B113" s="2">
        <v>-2305.14</v>
      </c>
      <c r="C113" s="8">
        <f t="shared" si="56"/>
        <v>-2.089237546382437E-4</v>
      </c>
      <c r="D113" s="2">
        <v>-1799.75</v>
      </c>
      <c r="E113" s="8">
        <f t="shared" si="57"/>
        <v>-2.1398249090928424E-4</v>
      </c>
      <c r="F113" s="24">
        <v>-12500</v>
      </c>
      <c r="G113" s="8">
        <f t="shared" si="58"/>
        <v>-1.4861959363056275E-3</v>
      </c>
      <c r="H113" s="2">
        <f t="shared" si="59"/>
        <v>-1041.6666666666667</v>
      </c>
      <c r="I113" s="2">
        <f t="shared" si="59"/>
        <v>-1041.6666666666667</v>
      </c>
      <c r="J113" s="2">
        <f t="shared" si="59"/>
        <v>-1041.6666666666667</v>
      </c>
      <c r="K113" s="2">
        <f t="shared" si="59"/>
        <v>-1041.6666666666667</v>
      </c>
      <c r="L113" s="2">
        <f t="shared" si="59"/>
        <v>-1041.6666666666667</v>
      </c>
      <c r="M113" s="2">
        <f t="shared" si="59"/>
        <v>-1041.6666666666667</v>
      </c>
      <c r="N113" s="2">
        <f t="shared" si="59"/>
        <v>-1041.6666666666667</v>
      </c>
      <c r="O113" s="2">
        <f t="shared" si="59"/>
        <v>-1041.6666666666667</v>
      </c>
      <c r="P113" s="2">
        <f t="shared" si="59"/>
        <v>-1041.6666666666667</v>
      </c>
      <c r="Q113" s="2">
        <f t="shared" si="59"/>
        <v>-1041.6666666666667</v>
      </c>
      <c r="R113" s="2">
        <f t="shared" si="59"/>
        <v>-1041.6666666666667</v>
      </c>
      <c r="S113" s="2">
        <f t="shared" si="59"/>
        <v>-1041.6666666666667</v>
      </c>
      <c r="T113" s="6">
        <f t="shared" si="46"/>
        <v>-12499.999999999998</v>
      </c>
      <c r="U113" s="24">
        <v>0</v>
      </c>
      <c r="V113" s="23">
        <f t="shared" si="48"/>
        <v>0</v>
      </c>
      <c r="W113" s="2">
        <f t="shared" si="60"/>
        <v>0</v>
      </c>
      <c r="X113" s="2">
        <f t="shared" si="60"/>
        <v>0</v>
      </c>
      <c r="Y113" s="2">
        <f t="shared" si="60"/>
        <v>0</v>
      </c>
      <c r="Z113" s="2">
        <f t="shared" si="60"/>
        <v>0</v>
      </c>
      <c r="AA113" s="2">
        <f t="shared" si="60"/>
        <v>0</v>
      </c>
      <c r="AB113" s="2">
        <f t="shared" si="60"/>
        <v>0</v>
      </c>
      <c r="AC113" s="2">
        <f t="shared" si="60"/>
        <v>0</v>
      </c>
      <c r="AD113" s="2">
        <f t="shared" si="60"/>
        <v>0</v>
      </c>
      <c r="AE113" s="2">
        <f t="shared" si="60"/>
        <v>0</v>
      </c>
      <c r="AF113" s="2">
        <f t="shared" si="60"/>
        <v>0</v>
      </c>
      <c r="AG113" s="2">
        <f t="shared" si="60"/>
        <v>0</v>
      </c>
      <c r="AH113" s="2">
        <f t="shared" si="60"/>
        <v>0</v>
      </c>
      <c r="AI113" s="6">
        <f t="shared" si="47"/>
        <v>0</v>
      </c>
    </row>
    <row r="114" spans="1:35" outlineLevel="1" x14ac:dyDescent="0.25">
      <c r="A114" s="1" t="s">
        <v>117</v>
      </c>
      <c r="B114" s="2">
        <v>-13510.56</v>
      </c>
      <c r="C114" s="8">
        <f t="shared" si="56"/>
        <v>-1.2245143125646468E-3</v>
      </c>
      <c r="D114" s="2">
        <v>-10322.64</v>
      </c>
      <c r="E114" s="8">
        <f t="shared" si="57"/>
        <v>-1.2273172495956737E-3</v>
      </c>
      <c r="F114" s="24">
        <v>0</v>
      </c>
      <c r="G114" s="8">
        <f t="shared" si="58"/>
        <v>0</v>
      </c>
      <c r="H114" s="2">
        <f t="shared" si="59"/>
        <v>0</v>
      </c>
      <c r="I114" s="2">
        <f t="shared" si="59"/>
        <v>0</v>
      </c>
      <c r="J114" s="2">
        <f t="shared" si="59"/>
        <v>0</v>
      </c>
      <c r="K114" s="2">
        <f t="shared" si="59"/>
        <v>0</v>
      </c>
      <c r="L114" s="2">
        <f t="shared" si="59"/>
        <v>0</v>
      </c>
      <c r="M114" s="2">
        <f t="shared" si="59"/>
        <v>0</v>
      </c>
      <c r="N114" s="2">
        <f t="shared" si="59"/>
        <v>0</v>
      </c>
      <c r="O114" s="2">
        <f t="shared" si="59"/>
        <v>0</v>
      </c>
      <c r="P114" s="2">
        <f t="shared" si="59"/>
        <v>0</v>
      </c>
      <c r="Q114" s="2">
        <f t="shared" si="59"/>
        <v>0</v>
      </c>
      <c r="R114" s="2">
        <f t="shared" si="59"/>
        <v>0</v>
      </c>
      <c r="S114" s="2">
        <f t="shared" si="59"/>
        <v>0</v>
      </c>
      <c r="T114" s="6">
        <f t="shared" si="46"/>
        <v>0</v>
      </c>
      <c r="U114" s="24">
        <v>0</v>
      </c>
      <c r="V114" s="23">
        <f t="shared" si="48"/>
        <v>0</v>
      </c>
      <c r="W114" s="2">
        <f t="shared" si="60"/>
        <v>0</v>
      </c>
      <c r="X114" s="2">
        <f t="shared" si="60"/>
        <v>0</v>
      </c>
      <c r="Y114" s="2">
        <f t="shared" si="60"/>
        <v>0</v>
      </c>
      <c r="Z114" s="2">
        <f t="shared" si="60"/>
        <v>0</v>
      </c>
      <c r="AA114" s="2">
        <f t="shared" si="60"/>
        <v>0</v>
      </c>
      <c r="AB114" s="2">
        <f t="shared" si="60"/>
        <v>0</v>
      </c>
      <c r="AC114" s="2">
        <f t="shared" si="60"/>
        <v>0</v>
      </c>
      <c r="AD114" s="2">
        <f t="shared" si="60"/>
        <v>0</v>
      </c>
      <c r="AE114" s="2">
        <f t="shared" si="60"/>
        <v>0</v>
      </c>
      <c r="AF114" s="2">
        <f t="shared" si="60"/>
        <v>0</v>
      </c>
      <c r="AG114" s="2">
        <f t="shared" si="60"/>
        <v>0</v>
      </c>
      <c r="AH114" s="2">
        <f t="shared" si="60"/>
        <v>0</v>
      </c>
      <c r="AI114" s="6">
        <f t="shared" si="47"/>
        <v>0</v>
      </c>
    </row>
    <row r="115" spans="1:35" s="5" customFormat="1" outlineLevel="1" x14ac:dyDescent="0.25">
      <c r="A115" s="1" t="s">
        <v>118</v>
      </c>
      <c r="B115" s="2">
        <v>-5177</v>
      </c>
      <c r="C115" s="8">
        <f t="shared" si="56"/>
        <v>-4.6921153498797805E-4</v>
      </c>
      <c r="D115" s="2">
        <v>-333.36</v>
      </c>
      <c r="E115" s="8">
        <f t="shared" si="57"/>
        <v>-3.9635062186147517E-5</v>
      </c>
      <c r="F115" s="24">
        <f>+D115*1.1</f>
        <v>-366.69600000000003</v>
      </c>
      <c r="G115" s="8">
        <f t="shared" si="58"/>
        <v>-4.3598568404762268E-5</v>
      </c>
      <c r="H115" s="2">
        <f t="shared" si="59"/>
        <v>-30.558000000000003</v>
      </c>
      <c r="I115" s="2">
        <f t="shared" si="59"/>
        <v>-30.558000000000003</v>
      </c>
      <c r="J115" s="2">
        <f t="shared" si="59"/>
        <v>-30.558000000000003</v>
      </c>
      <c r="K115" s="2">
        <f t="shared" si="59"/>
        <v>-30.558000000000003</v>
      </c>
      <c r="L115" s="2">
        <f t="shared" si="59"/>
        <v>-30.558000000000003</v>
      </c>
      <c r="M115" s="2">
        <f t="shared" si="59"/>
        <v>-30.558000000000003</v>
      </c>
      <c r="N115" s="2">
        <f t="shared" si="59"/>
        <v>-30.558000000000003</v>
      </c>
      <c r="O115" s="2">
        <f t="shared" si="59"/>
        <v>-30.558000000000003</v>
      </c>
      <c r="P115" s="2">
        <f t="shared" si="59"/>
        <v>-30.558000000000003</v>
      </c>
      <c r="Q115" s="2">
        <f t="shared" si="59"/>
        <v>-30.558000000000003</v>
      </c>
      <c r="R115" s="2">
        <f t="shared" si="59"/>
        <v>-30.558000000000003</v>
      </c>
      <c r="S115" s="2">
        <f t="shared" si="59"/>
        <v>-30.558000000000003</v>
      </c>
      <c r="T115" s="6">
        <f t="shared" si="46"/>
        <v>-366.69599999999997</v>
      </c>
      <c r="U115" s="24">
        <v>0</v>
      </c>
      <c r="V115" s="23">
        <f t="shared" si="48"/>
        <v>0</v>
      </c>
      <c r="W115" s="2">
        <f t="shared" si="60"/>
        <v>0</v>
      </c>
      <c r="X115" s="2">
        <f t="shared" si="60"/>
        <v>0</v>
      </c>
      <c r="Y115" s="2">
        <f t="shared" si="60"/>
        <v>0</v>
      </c>
      <c r="Z115" s="2">
        <f t="shared" si="60"/>
        <v>0</v>
      </c>
      <c r="AA115" s="2">
        <f t="shared" si="60"/>
        <v>0</v>
      </c>
      <c r="AB115" s="2">
        <f t="shared" si="60"/>
        <v>0</v>
      </c>
      <c r="AC115" s="2">
        <f t="shared" si="60"/>
        <v>0</v>
      </c>
      <c r="AD115" s="2">
        <f t="shared" si="60"/>
        <v>0</v>
      </c>
      <c r="AE115" s="2">
        <f t="shared" si="60"/>
        <v>0</v>
      </c>
      <c r="AF115" s="2">
        <f t="shared" si="60"/>
        <v>0</v>
      </c>
      <c r="AG115" s="2">
        <f t="shared" si="60"/>
        <v>0</v>
      </c>
      <c r="AH115" s="2">
        <f t="shared" si="60"/>
        <v>0</v>
      </c>
      <c r="AI115" s="6">
        <f t="shared" si="47"/>
        <v>0</v>
      </c>
    </row>
    <row r="116" spans="1:35" outlineLevel="1" x14ac:dyDescent="0.25">
      <c r="A116" s="1" t="s">
        <v>119</v>
      </c>
      <c r="B116" s="2">
        <v>-76.739999999999995</v>
      </c>
      <c r="C116" s="8">
        <f t="shared" si="56"/>
        <v>-6.9552430355374605E-6</v>
      </c>
      <c r="D116" s="2">
        <v>-1488.56</v>
      </c>
      <c r="E116" s="8">
        <f t="shared" si="57"/>
        <v>-1.7698334583576838E-4</v>
      </c>
      <c r="F116" s="24">
        <f>+D116*1.03</f>
        <v>-1533.2167999999999</v>
      </c>
      <c r="G116" s="8">
        <f t="shared" si="58"/>
        <v>-1.8229284621084141E-4</v>
      </c>
      <c r="H116" s="2">
        <f t="shared" si="59"/>
        <v>-127.76806666666666</v>
      </c>
      <c r="I116" s="2">
        <f t="shared" si="59"/>
        <v>-127.76806666666666</v>
      </c>
      <c r="J116" s="2">
        <f t="shared" si="59"/>
        <v>-127.76806666666666</v>
      </c>
      <c r="K116" s="2">
        <f t="shared" si="59"/>
        <v>-127.76806666666666</v>
      </c>
      <c r="L116" s="2">
        <f t="shared" si="59"/>
        <v>-127.76806666666666</v>
      </c>
      <c r="M116" s="2">
        <f t="shared" si="59"/>
        <v>-127.76806666666666</v>
      </c>
      <c r="N116" s="2">
        <f t="shared" si="59"/>
        <v>-127.76806666666666</v>
      </c>
      <c r="O116" s="2">
        <f t="shared" si="59"/>
        <v>-127.76806666666666</v>
      </c>
      <c r="P116" s="2">
        <f t="shared" si="59"/>
        <v>-127.76806666666666</v>
      </c>
      <c r="Q116" s="2">
        <f t="shared" si="59"/>
        <v>-127.76806666666666</v>
      </c>
      <c r="R116" s="2">
        <f t="shared" si="59"/>
        <v>-127.76806666666666</v>
      </c>
      <c r="S116" s="2">
        <f t="shared" si="59"/>
        <v>-127.76806666666666</v>
      </c>
      <c r="T116" s="6">
        <f t="shared" si="46"/>
        <v>-1533.2168000000001</v>
      </c>
      <c r="U116" s="24">
        <v>0</v>
      </c>
      <c r="V116" s="23">
        <f t="shared" si="48"/>
        <v>0</v>
      </c>
      <c r="W116" s="2">
        <f t="shared" si="60"/>
        <v>0</v>
      </c>
      <c r="X116" s="2">
        <f t="shared" si="60"/>
        <v>0</v>
      </c>
      <c r="Y116" s="2">
        <f t="shared" si="60"/>
        <v>0</v>
      </c>
      <c r="Z116" s="2">
        <f t="shared" si="60"/>
        <v>0</v>
      </c>
      <c r="AA116" s="2">
        <f t="shared" si="60"/>
        <v>0</v>
      </c>
      <c r="AB116" s="2">
        <f t="shared" si="60"/>
        <v>0</v>
      </c>
      <c r="AC116" s="2">
        <f t="shared" si="60"/>
        <v>0</v>
      </c>
      <c r="AD116" s="2">
        <f t="shared" si="60"/>
        <v>0</v>
      </c>
      <c r="AE116" s="2">
        <f t="shared" si="60"/>
        <v>0</v>
      </c>
      <c r="AF116" s="2">
        <f t="shared" si="60"/>
        <v>0</v>
      </c>
      <c r="AG116" s="2">
        <f t="shared" si="60"/>
        <v>0</v>
      </c>
      <c r="AH116" s="2">
        <f t="shared" si="60"/>
        <v>0</v>
      </c>
      <c r="AI116" s="6">
        <f t="shared" si="47"/>
        <v>0</v>
      </c>
    </row>
    <row r="117" spans="1:35" outlineLevel="1" x14ac:dyDescent="0.25">
      <c r="A117" s="1" t="s">
        <v>120</v>
      </c>
      <c r="B117" s="2">
        <v>-63974.09</v>
      </c>
      <c r="C117" s="8">
        <f t="shared" si="56"/>
        <v>-5.7982192328296413E-3</v>
      </c>
      <c r="D117" s="2">
        <v>-63155.77</v>
      </c>
      <c r="E117" s="8">
        <f t="shared" si="57"/>
        <v>-7.5089478982602277E-3</v>
      </c>
      <c r="F117" s="24">
        <f>+D117*1.03</f>
        <v>-65050.443099999997</v>
      </c>
      <c r="G117" s="8">
        <f t="shared" si="58"/>
        <v>-7.7342163352080344E-3</v>
      </c>
      <c r="H117" s="2">
        <f t="shared" si="59"/>
        <v>-5420.8702583333334</v>
      </c>
      <c r="I117" s="2">
        <f t="shared" si="59"/>
        <v>-5420.8702583333334</v>
      </c>
      <c r="J117" s="2">
        <f t="shared" si="59"/>
        <v>-5420.8702583333334</v>
      </c>
      <c r="K117" s="2">
        <f t="shared" si="59"/>
        <v>-5420.8702583333334</v>
      </c>
      <c r="L117" s="2">
        <f t="shared" si="59"/>
        <v>-5420.8702583333334</v>
      </c>
      <c r="M117" s="2">
        <f t="shared" si="59"/>
        <v>-5420.8702583333334</v>
      </c>
      <c r="N117" s="2">
        <f t="shared" si="59"/>
        <v>-5420.8702583333334</v>
      </c>
      <c r="O117" s="2">
        <f t="shared" si="59"/>
        <v>-5420.8702583333334</v>
      </c>
      <c r="P117" s="2">
        <f t="shared" si="59"/>
        <v>-5420.8702583333334</v>
      </c>
      <c r="Q117" s="2">
        <f t="shared" si="59"/>
        <v>-5420.8702583333334</v>
      </c>
      <c r="R117" s="2">
        <f t="shared" si="59"/>
        <v>-5420.8702583333334</v>
      </c>
      <c r="S117" s="2">
        <f t="shared" si="59"/>
        <v>-5420.8702583333334</v>
      </c>
      <c r="T117" s="6">
        <f t="shared" si="46"/>
        <v>-65050.443100000011</v>
      </c>
      <c r="U117" s="24">
        <v>0</v>
      </c>
      <c r="V117" s="23">
        <f t="shared" si="48"/>
        <v>0</v>
      </c>
      <c r="W117" s="2">
        <f t="shared" si="60"/>
        <v>0</v>
      </c>
      <c r="X117" s="2">
        <f t="shared" si="60"/>
        <v>0</v>
      </c>
      <c r="Y117" s="2">
        <f t="shared" si="60"/>
        <v>0</v>
      </c>
      <c r="Z117" s="2">
        <f t="shared" si="60"/>
        <v>0</v>
      </c>
      <c r="AA117" s="2">
        <f t="shared" si="60"/>
        <v>0</v>
      </c>
      <c r="AB117" s="2">
        <f t="shared" si="60"/>
        <v>0</v>
      </c>
      <c r="AC117" s="2">
        <f t="shared" si="60"/>
        <v>0</v>
      </c>
      <c r="AD117" s="2">
        <f t="shared" si="60"/>
        <v>0</v>
      </c>
      <c r="AE117" s="2">
        <f t="shared" si="60"/>
        <v>0</v>
      </c>
      <c r="AF117" s="2">
        <f t="shared" si="60"/>
        <v>0</v>
      </c>
      <c r="AG117" s="2">
        <f t="shared" si="60"/>
        <v>0</v>
      </c>
      <c r="AH117" s="2">
        <f t="shared" si="60"/>
        <v>0</v>
      </c>
      <c r="AI117" s="6">
        <f t="shared" si="47"/>
        <v>0</v>
      </c>
    </row>
    <row r="118" spans="1:35" outlineLevel="1" x14ac:dyDescent="0.25">
      <c r="A118" s="1" t="s">
        <v>121</v>
      </c>
      <c r="B118" s="2">
        <v>0</v>
      </c>
      <c r="C118" s="8">
        <f t="shared" si="56"/>
        <v>0</v>
      </c>
      <c r="D118" s="2">
        <v>-127.88</v>
      </c>
      <c r="E118" s="8">
        <f t="shared" si="57"/>
        <v>-1.5204378906781091E-5</v>
      </c>
      <c r="F118" s="24">
        <f>+D118*1</f>
        <v>-127.88</v>
      </c>
      <c r="G118" s="8">
        <f t="shared" si="58"/>
        <v>-1.5204378906781091E-5</v>
      </c>
      <c r="H118" s="2">
        <f t="shared" si="59"/>
        <v>-10.656666666666666</v>
      </c>
      <c r="I118" s="2">
        <f t="shared" si="59"/>
        <v>-10.656666666666666</v>
      </c>
      <c r="J118" s="2">
        <f t="shared" si="59"/>
        <v>-10.656666666666666</v>
      </c>
      <c r="K118" s="2">
        <f t="shared" si="59"/>
        <v>-10.656666666666666</v>
      </c>
      <c r="L118" s="2">
        <f t="shared" si="59"/>
        <v>-10.656666666666666</v>
      </c>
      <c r="M118" s="2">
        <f t="shared" si="59"/>
        <v>-10.656666666666666</v>
      </c>
      <c r="N118" s="2">
        <f t="shared" si="59"/>
        <v>-10.656666666666666</v>
      </c>
      <c r="O118" s="2">
        <f t="shared" si="59"/>
        <v>-10.656666666666666</v>
      </c>
      <c r="P118" s="2">
        <f t="shared" si="59"/>
        <v>-10.656666666666666</v>
      </c>
      <c r="Q118" s="2">
        <f t="shared" si="59"/>
        <v>-10.656666666666666</v>
      </c>
      <c r="R118" s="2">
        <f t="shared" si="59"/>
        <v>-10.656666666666666</v>
      </c>
      <c r="S118" s="2">
        <f t="shared" si="59"/>
        <v>-10.656666666666666</v>
      </c>
      <c r="T118" s="6">
        <f t="shared" si="46"/>
        <v>-127.88</v>
      </c>
      <c r="U118" s="24">
        <v>0</v>
      </c>
      <c r="V118" s="23">
        <f t="shared" si="48"/>
        <v>0</v>
      </c>
      <c r="W118" s="2">
        <f t="shared" si="60"/>
        <v>0</v>
      </c>
      <c r="X118" s="2">
        <f t="shared" si="60"/>
        <v>0</v>
      </c>
      <c r="Y118" s="2">
        <f t="shared" si="60"/>
        <v>0</v>
      </c>
      <c r="Z118" s="2">
        <f t="shared" si="60"/>
        <v>0</v>
      </c>
      <c r="AA118" s="2">
        <f t="shared" si="60"/>
        <v>0</v>
      </c>
      <c r="AB118" s="2">
        <f t="shared" si="60"/>
        <v>0</v>
      </c>
      <c r="AC118" s="2">
        <f t="shared" si="60"/>
        <v>0</v>
      </c>
      <c r="AD118" s="2">
        <f t="shared" si="60"/>
        <v>0</v>
      </c>
      <c r="AE118" s="2">
        <f t="shared" si="60"/>
        <v>0</v>
      </c>
      <c r="AF118" s="2">
        <f t="shared" si="60"/>
        <v>0</v>
      </c>
      <c r="AG118" s="2">
        <f t="shared" si="60"/>
        <v>0</v>
      </c>
      <c r="AH118" s="2">
        <f t="shared" si="60"/>
        <v>0</v>
      </c>
      <c r="AI118" s="6">
        <f t="shared" si="47"/>
        <v>0</v>
      </c>
    </row>
    <row r="119" spans="1:35" s="5" customFormat="1" outlineLevel="1" x14ac:dyDescent="0.25">
      <c r="A119" s="1" t="s">
        <v>122</v>
      </c>
      <c r="B119" s="2">
        <v>34.43</v>
      </c>
      <c r="C119" s="8">
        <f t="shared" si="56"/>
        <v>3.1205240775808545E-6</v>
      </c>
      <c r="D119" s="2">
        <v>-873.74</v>
      </c>
      <c r="E119" s="8">
        <f t="shared" si="57"/>
        <v>-1.0388390699101431E-4</v>
      </c>
      <c r="F119" s="24">
        <f>+D119*1.1</f>
        <v>-961.11400000000003</v>
      </c>
      <c r="G119" s="8">
        <f t="shared" si="58"/>
        <v>-1.1427229769011574E-4</v>
      </c>
      <c r="H119" s="2">
        <f t="shared" si="59"/>
        <v>-80.092833333333331</v>
      </c>
      <c r="I119" s="2">
        <f t="shared" si="59"/>
        <v>-80.092833333333331</v>
      </c>
      <c r="J119" s="2">
        <f t="shared" si="59"/>
        <v>-80.092833333333331</v>
      </c>
      <c r="K119" s="2">
        <f t="shared" si="59"/>
        <v>-80.092833333333331</v>
      </c>
      <c r="L119" s="2">
        <f t="shared" si="59"/>
        <v>-80.092833333333331</v>
      </c>
      <c r="M119" s="2">
        <f t="shared" si="59"/>
        <v>-80.092833333333331</v>
      </c>
      <c r="N119" s="2">
        <f t="shared" si="59"/>
        <v>-80.092833333333331</v>
      </c>
      <c r="O119" s="2">
        <f t="shared" si="59"/>
        <v>-80.092833333333331</v>
      </c>
      <c r="P119" s="2">
        <f t="shared" si="59"/>
        <v>-80.092833333333331</v>
      </c>
      <c r="Q119" s="2">
        <f t="shared" si="59"/>
        <v>-80.092833333333331</v>
      </c>
      <c r="R119" s="2">
        <f t="shared" si="59"/>
        <v>-80.092833333333331</v>
      </c>
      <c r="S119" s="2">
        <f t="shared" si="59"/>
        <v>-80.092833333333331</v>
      </c>
      <c r="T119" s="6">
        <f t="shared" si="46"/>
        <v>-961.11400000000015</v>
      </c>
      <c r="U119" s="24">
        <v>0</v>
      </c>
      <c r="V119" s="23">
        <f t="shared" si="48"/>
        <v>0</v>
      </c>
      <c r="W119" s="2">
        <f t="shared" si="60"/>
        <v>0</v>
      </c>
      <c r="X119" s="2">
        <f t="shared" si="60"/>
        <v>0</v>
      </c>
      <c r="Y119" s="2">
        <f t="shared" si="60"/>
        <v>0</v>
      </c>
      <c r="Z119" s="2">
        <f t="shared" si="60"/>
        <v>0</v>
      </c>
      <c r="AA119" s="2">
        <f t="shared" si="60"/>
        <v>0</v>
      </c>
      <c r="AB119" s="2">
        <f t="shared" si="60"/>
        <v>0</v>
      </c>
      <c r="AC119" s="2">
        <f t="shared" si="60"/>
        <v>0</v>
      </c>
      <c r="AD119" s="2">
        <f t="shared" si="60"/>
        <v>0</v>
      </c>
      <c r="AE119" s="2">
        <f t="shared" si="60"/>
        <v>0</v>
      </c>
      <c r="AF119" s="2">
        <f t="shared" si="60"/>
        <v>0</v>
      </c>
      <c r="AG119" s="2">
        <f t="shared" si="60"/>
        <v>0</v>
      </c>
      <c r="AH119" s="2">
        <f t="shared" si="60"/>
        <v>0</v>
      </c>
      <c r="AI119" s="6">
        <f t="shared" si="47"/>
        <v>0</v>
      </c>
    </row>
    <row r="120" spans="1:35" s="5" customFormat="1" outlineLevel="1" x14ac:dyDescent="0.25">
      <c r="A120" s="9" t="s">
        <v>123</v>
      </c>
      <c r="B120" s="2"/>
      <c r="C120" s="8"/>
      <c r="D120" s="2"/>
      <c r="E120" s="8"/>
      <c r="F120" s="24">
        <f>+D120*1.1</f>
        <v>0</v>
      </c>
      <c r="G120" s="8"/>
      <c r="H120" s="2">
        <f t="shared" si="59"/>
        <v>0</v>
      </c>
      <c r="I120" s="2">
        <f t="shared" si="59"/>
        <v>0</v>
      </c>
      <c r="J120" s="2">
        <f t="shared" si="59"/>
        <v>0</v>
      </c>
      <c r="K120" s="2">
        <f t="shared" si="59"/>
        <v>0</v>
      </c>
      <c r="L120" s="2">
        <f t="shared" si="59"/>
        <v>0</v>
      </c>
      <c r="M120" s="2">
        <f t="shared" si="59"/>
        <v>0</v>
      </c>
      <c r="N120" s="2">
        <f t="shared" si="59"/>
        <v>0</v>
      </c>
      <c r="O120" s="2">
        <f t="shared" si="59"/>
        <v>0</v>
      </c>
      <c r="P120" s="2">
        <f t="shared" si="59"/>
        <v>0</v>
      </c>
      <c r="Q120" s="2">
        <f t="shared" si="59"/>
        <v>0</v>
      </c>
      <c r="R120" s="2">
        <f t="shared" si="59"/>
        <v>0</v>
      </c>
      <c r="S120" s="2">
        <f t="shared" si="59"/>
        <v>0</v>
      </c>
      <c r="T120" s="6">
        <f t="shared" si="46"/>
        <v>0</v>
      </c>
      <c r="U120" s="24">
        <v>0</v>
      </c>
      <c r="V120" s="23">
        <f t="shared" si="48"/>
        <v>0</v>
      </c>
      <c r="W120" s="2">
        <f t="shared" si="60"/>
        <v>0</v>
      </c>
      <c r="X120" s="2">
        <f t="shared" si="60"/>
        <v>0</v>
      </c>
      <c r="Y120" s="2">
        <f t="shared" si="60"/>
        <v>0</v>
      </c>
      <c r="Z120" s="2">
        <f t="shared" si="60"/>
        <v>0</v>
      </c>
      <c r="AA120" s="2">
        <f t="shared" si="60"/>
        <v>0</v>
      </c>
      <c r="AB120" s="2">
        <f t="shared" si="60"/>
        <v>0</v>
      </c>
      <c r="AC120" s="2">
        <f t="shared" si="60"/>
        <v>0</v>
      </c>
      <c r="AD120" s="2">
        <f t="shared" si="60"/>
        <v>0</v>
      </c>
      <c r="AE120" s="2">
        <f t="shared" si="60"/>
        <v>0</v>
      </c>
      <c r="AF120" s="2">
        <f t="shared" si="60"/>
        <v>0</v>
      </c>
      <c r="AG120" s="2">
        <f t="shared" si="60"/>
        <v>0</v>
      </c>
      <c r="AH120" s="2">
        <f t="shared" si="60"/>
        <v>0</v>
      </c>
      <c r="AI120" s="6">
        <f t="shared" si="47"/>
        <v>0</v>
      </c>
    </row>
    <row r="121" spans="1:35" s="5" customFormat="1" outlineLevel="1" x14ac:dyDescent="0.25">
      <c r="A121" s="1" t="s">
        <v>124</v>
      </c>
      <c r="B121" s="2">
        <v>0</v>
      </c>
      <c r="C121" s="8">
        <f t="shared" ref="C121:C146" si="61">+B121/$B$2</f>
        <v>0</v>
      </c>
      <c r="D121" s="2">
        <v>-55473.17</v>
      </c>
      <c r="E121" s="8">
        <f t="shared" ref="E121:E146" si="62">+D121/$D$2</f>
        <v>-6.5955199862392988E-3</v>
      </c>
      <c r="F121" s="24">
        <v>-55000</v>
      </c>
      <c r="G121" s="8">
        <f t="shared" ref="G121:G146" si="63">+F121/$D$2</f>
        <v>-6.5392621197447607E-3</v>
      </c>
      <c r="H121" s="2">
        <f t="shared" si="59"/>
        <v>-4583.333333333333</v>
      </c>
      <c r="I121" s="2">
        <f t="shared" si="59"/>
        <v>-4583.333333333333</v>
      </c>
      <c r="J121" s="2">
        <f t="shared" si="59"/>
        <v>-4583.333333333333</v>
      </c>
      <c r="K121" s="2">
        <f t="shared" si="59"/>
        <v>-4583.333333333333</v>
      </c>
      <c r="L121" s="2">
        <f t="shared" si="59"/>
        <v>-4583.333333333333</v>
      </c>
      <c r="M121" s="2">
        <f t="shared" si="59"/>
        <v>-4583.333333333333</v>
      </c>
      <c r="N121" s="2">
        <f t="shared" si="59"/>
        <v>-4583.333333333333</v>
      </c>
      <c r="O121" s="2">
        <f t="shared" si="59"/>
        <v>-4583.333333333333</v>
      </c>
      <c r="P121" s="2">
        <f t="shared" si="59"/>
        <v>-4583.333333333333</v>
      </c>
      <c r="Q121" s="2">
        <f t="shared" si="59"/>
        <v>-4583.333333333333</v>
      </c>
      <c r="R121" s="2">
        <f t="shared" si="59"/>
        <v>-4583.333333333333</v>
      </c>
      <c r="S121" s="2">
        <f t="shared" si="59"/>
        <v>-4583.333333333333</v>
      </c>
      <c r="T121" s="6">
        <f t="shared" si="46"/>
        <v>-55000.000000000007</v>
      </c>
      <c r="U121" s="56">
        <v>0</v>
      </c>
      <c r="V121" s="23">
        <f t="shared" si="48"/>
        <v>0</v>
      </c>
      <c r="W121" s="2">
        <f t="shared" si="60"/>
        <v>0</v>
      </c>
      <c r="X121" s="2">
        <f t="shared" si="60"/>
        <v>0</v>
      </c>
      <c r="Y121" s="2">
        <f t="shared" si="60"/>
        <v>0</v>
      </c>
      <c r="Z121" s="2">
        <f t="shared" si="60"/>
        <v>0</v>
      </c>
      <c r="AA121" s="2">
        <f t="shared" si="60"/>
        <v>0</v>
      </c>
      <c r="AB121" s="2">
        <f t="shared" si="60"/>
        <v>0</v>
      </c>
      <c r="AC121" s="2">
        <f t="shared" si="60"/>
        <v>0</v>
      </c>
      <c r="AD121" s="2">
        <f t="shared" si="60"/>
        <v>0</v>
      </c>
      <c r="AE121" s="2">
        <f t="shared" si="60"/>
        <v>0</v>
      </c>
      <c r="AF121" s="2">
        <f t="shared" si="60"/>
        <v>0</v>
      </c>
      <c r="AG121" s="2">
        <f t="shared" si="60"/>
        <v>0</v>
      </c>
      <c r="AH121" s="2">
        <f t="shared" si="60"/>
        <v>0</v>
      </c>
      <c r="AI121" s="6">
        <f t="shared" si="47"/>
        <v>0</v>
      </c>
    </row>
    <row r="122" spans="1:35" x14ac:dyDescent="0.25">
      <c r="A122" s="5" t="s">
        <v>125</v>
      </c>
      <c r="B122" s="6">
        <v>-223421.53</v>
      </c>
      <c r="C122" s="7">
        <f t="shared" si="61"/>
        <v>-2.0249557473568203E-2</v>
      </c>
      <c r="D122" s="6">
        <v>-249984.47</v>
      </c>
      <c r="E122" s="7">
        <f t="shared" si="62"/>
        <v>-2.9722072276281281E-2</v>
      </c>
      <c r="F122" s="6">
        <f>SUM(F123:F125)</f>
        <v>-249984.47</v>
      </c>
      <c r="G122" s="7">
        <f t="shared" si="63"/>
        <v>-2.9722072276281281E-2</v>
      </c>
      <c r="H122" s="6">
        <f>SUM(H123:H125)</f>
        <v>-20832.039166666666</v>
      </c>
      <c r="I122" s="6">
        <f t="shared" ref="I122:S122" si="64">SUM(I123:I125)</f>
        <v>-20832.039166666666</v>
      </c>
      <c r="J122" s="6">
        <f t="shared" si="64"/>
        <v>-20832.039166666666</v>
      </c>
      <c r="K122" s="6">
        <f t="shared" si="64"/>
        <v>-20832.039166666666</v>
      </c>
      <c r="L122" s="6">
        <f t="shared" si="64"/>
        <v>-20832.039166666666</v>
      </c>
      <c r="M122" s="6">
        <f t="shared" si="64"/>
        <v>-20832.039166666666</v>
      </c>
      <c r="N122" s="6">
        <f t="shared" si="64"/>
        <v>-20832.039166666666</v>
      </c>
      <c r="O122" s="6">
        <f t="shared" si="64"/>
        <v>-20832.039166666666</v>
      </c>
      <c r="P122" s="6">
        <f t="shared" si="64"/>
        <v>-20832.039166666666</v>
      </c>
      <c r="Q122" s="6">
        <f t="shared" si="64"/>
        <v>-20832.039166666666</v>
      </c>
      <c r="R122" s="6">
        <f t="shared" si="64"/>
        <v>-20832.039166666666</v>
      </c>
      <c r="S122" s="6">
        <f t="shared" si="64"/>
        <v>-20832.039166666666</v>
      </c>
      <c r="T122" s="6">
        <f t="shared" si="46"/>
        <v>-249984.46999999994</v>
      </c>
      <c r="U122" s="6">
        <f t="shared" ref="U122:U174" si="65">SUM(W122:AH122)</f>
        <v>0</v>
      </c>
      <c r="V122" s="23">
        <f t="shared" si="48"/>
        <v>0</v>
      </c>
      <c r="W122" s="6">
        <f>SUM(W123:W125)</f>
        <v>0</v>
      </c>
      <c r="X122" s="6">
        <f t="shared" ref="X122:AH122" si="66">SUM(X123:X125)</f>
        <v>0</v>
      </c>
      <c r="Y122" s="6">
        <f t="shared" si="66"/>
        <v>0</v>
      </c>
      <c r="Z122" s="6">
        <f t="shared" si="66"/>
        <v>0</v>
      </c>
      <c r="AA122" s="6">
        <f t="shared" si="66"/>
        <v>0</v>
      </c>
      <c r="AB122" s="6">
        <f t="shared" si="66"/>
        <v>0</v>
      </c>
      <c r="AC122" s="6">
        <f t="shared" si="66"/>
        <v>0</v>
      </c>
      <c r="AD122" s="6">
        <f t="shared" si="66"/>
        <v>0</v>
      </c>
      <c r="AE122" s="6">
        <f t="shared" si="66"/>
        <v>0</v>
      </c>
      <c r="AF122" s="6">
        <f t="shared" si="66"/>
        <v>0</v>
      </c>
      <c r="AG122" s="6">
        <f t="shared" si="66"/>
        <v>0</v>
      </c>
      <c r="AH122" s="6">
        <f t="shared" si="66"/>
        <v>0</v>
      </c>
      <c r="AI122" s="6">
        <f t="shared" si="47"/>
        <v>0</v>
      </c>
    </row>
    <row r="123" spans="1:35" outlineLevel="1" x14ac:dyDescent="0.25">
      <c r="A123" s="1" t="s">
        <v>126</v>
      </c>
      <c r="B123" s="2">
        <v>-29004.26</v>
      </c>
      <c r="C123" s="8">
        <f t="shared" si="61"/>
        <v>-2.6287682742496448E-3</v>
      </c>
      <c r="D123" s="2">
        <v>-41023.82</v>
      </c>
      <c r="E123" s="8">
        <f t="shared" si="62"/>
        <v>-4.8775547660586819E-3</v>
      </c>
      <c r="F123" s="2">
        <v>-41023.82</v>
      </c>
      <c r="G123" s="8">
        <f t="shared" si="63"/>
        <v>-4.8775547660586819E-3</v>
      </c>
      <c r="H123" s="2">
        <f t="shared" si="59"/>
        <v>-3418.6516666666666</v>
      </c>
      <c r="I123" s="2">
        <f t="shared" si="59"/>
        <v>-3418.6516666666666</v>
      </c>
      <c r="J123" s="2">
        <f t="shared" si="59"/>
        <v>-3418.6516666666666</v>
      </c>
      <c r="K123" s="2">
        <f t="shared" si="59"/>
        <v>-3418.6516666666666</v>
      </c>
      <c r="L123" s="2">
        <f t="shared" si="59"/>
        <v>-3418.6516666666666</v>
      </c>
      <c r="M123" s="2">
        <f t="shared" si="59"/>
        <v>-3418.6516666666666</v>
      </c>
      <c r="N123" s="2">
        <f t="shared" si="59"/>
        <v>-3418.6516666666666</v>
      </c>
      <c r="O123" s="2">
        <f t="shared" si="59"/>
        <v>-3418.6516666666666</v>
      </c>
      <c r="P123" s="2">
        <f t="shared" si="59"/>
        <v>-3418.6516666666666</v>
      </c>
      <c r="Q123" s="2">
        <f t="shared" si="59"/>
        <v>-3418.6516666666666</v>
      </c>
      <c r="R123" s="2">
        <f t="shared" si="59"/>
        <v>-3418.6516666666666</v>
      </c>
      <c r="S123" s="2">
        <f t="shared" si="59"/>
        <v>-3418.6516666666666</v>
      </c>
      <c r="T123" s="6">
        <f t="shared" si="46"/>
        <v>-41023.819999999985</v>
      </c>
      <c r="U123" s="6">
        <f t="shared" si="65"/>
        <v>0</v>
      </c>
      <c r="V123" s="23">
        <f t="shared" si="48"/>
        <v>0</v>
      </c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6">
        <f t="shared" si="47"/>
        <v>0</v>
      </c>
    </row>
    <row r="124" spans="1:35" s="5" customFormat="1" outlineLevel="1" x14ac:dyDescent="0.25">
      <c r="A124" s="1" t="s">
        <v>127</v>
      </c>
      <c r="B124" s="2">
        <v>-108031.88</v>
      </c>
      <c r="C124" s="8">
        <f t="shared" si="61"/>
        <v>-9.7913471590567996E-3</v>
      </c>
      <c r="D124" s="2">
        <v>-122547.15</v>
      </c>
      <c r="E124" s="8">
        <f t="shared" si="62"/>
        <v>-1.4570326106866894E-2</v>
      </c>
      <c r="F124" s="2">
        <v>-122547.15</v>
      </c>
      <c r="G124" s="8">
        <f t="shared" si="63"/>
        <v>-1.4570326106866894E-2</v>
      </c>
      <c r="H124" s="2">
        <f t="shared" si="59"/>
        <v>-10212.262499999999</v>
      </c>
      <c r="I124" s="2">
        <f t="shared" si="59"/>
        <v>-10212.262499999999</v>
      </c>
      <c r="J124" s="2">
        <f t="shared" si="59"/>
        <v>-10212.262499999999</v>
      </c>
      <c r="K124" s="2">
        <f t="shared" si="59"/>
        <v>-10212.262499999999</v>
      </c>
      <c r="L124" s="2">
        <f t="shared" si="59"/>
        <v>-10212.262499999999</v>
      </c>
      <c r="M124" s="2">
        <f t="shared" si="59"/>
        <v>-10212.262499999999</v>
      </c>
      <c r="N124" s="2">
        <f t="shared" si="59"/>
        <v>-10212.262499999999</v>
      </c>
      <c r="O124" s="2">
        <f t="shared" si="59"/>
        <v>-10212.262499999999</v>
      </c>
      <c r="P124" s="2">
        <f t="shared" si="59"/>
        <v>-10212.262499999999</v>
      </c>
      <c r="Q124" s="2">
        <f t="shared" si="59"/>
        <v>-10212.262499999999</v>
      </c>
      <c r="R124" s="2">
        <f t="shared" si="59"/>
        <v>-10212.262499999999</v>
      </c>
      <c r="S124" s="2">
        <f t="shared" si="59"/>
        <v>-10212.262499999999</v>
      </c>
      <c r="T124" s="6">
        <f t="shared" si="46"/>
        <v>-122547.14999999998</v>
      </c>
      <c r="U124" s="6">
        <f t="shared" si="65"/>
        <v>0</v>
      </c>
      <c r="V124" s="23">
        <f t="shared" si="48"/>
        <v>0</v>
      </c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6">
        <f t="shared" si="47"/>
        <v>0</v>
      </c>
    </row>
    <row r="125" spans="1:35" s="5" customFormat="1" outlineLevel="1" x14ac:dyDescent="0.25">
      <c r="A125" s="1" t="s">
        <v>128</v>
      </c>
      <c r="B125" s="2">
        <v>-86385.39</v>
      </c>
      <c r="C125" s="8">
        <f t="shared" si="61"/>
        <v>-7.8294420402617599E-3</v>
      </c>
      <c r="D125" s="2">
        <v>-86413.5</v>
      </c>
      <c r="E125" s="8">
        <f t="shared" si="62"/>
        <v>-1.0274191403355707E-2</v>
      </c>
      <c r="F125" s="2">
        <v>-86413.5</v>
      </c>
      <c r="G125" s="8">
        <f t="shared" si="63"/>
        <v>-1.0274191403355707E-2</v>
      </c>
      <c r="H125" s="2">
        <f t="shared" si="59"/>
        <v>-7201.125</v>
      </c>
      <c r="I125" s="2">
        <f t="shared" si="59"/>
        <v>-7201.125</v>
      </c>
      <c r="J125" s="2">
        <f t="shared" si="59"/>
        <v>-7201.125</v>
      </c>
      <c r="K125" s="2">
        <f t="shared" si="59"/>
        <v>-7201.125</v>
      </c>
      <c r="L125" s="2">
        <f t="shared" si="59"/>
        <v>-7201.125</v>
      </c>
      <c r="M125" s="2">
        <f t="shared" si="59"/>
        <v>-7201.125</v>
      </c>
      <c r="N125" s="2">
        <f t="shared" si="59"/>
        <v>-7201.125</v>
      </c>
      <c r="O125" s="2">
        <f t="shared" si="59"/>
        <v>-7201.125</v>
      </c>
      <c r="P125" s="2">
        <f t="shared" si="59"/>
        <v>-7201.125</v>
      </c>
      <c r="Q125" s="2">
        <f t="shared" si="59"/>
        <v>-7201.125</v>
      </c>
      <c r="R125" s="2">
        <f t="shared" si="59"/>
        <v>-7201.125</v>
      </c>
      <c r="S125" s="2">
        <f t="shared" si="59"/>
        <v>-7201.125</v>
      </c>
      <c r="T125" s="6">
        <f t="shared" si="46"/>
        <v>-86413.5</v>
      </c>
      <c r="U125" s="6">
        <f t="shared" si="65"/>
        <v>0</v>
      </c>
      <c r="V125" s="23">
        <f t="shared" si="48"/>
        <v>0</v>
      </c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6">
        <f t="shared" si="47"/>
        <v>0</v>
      </c>
    </row>
    <row r="126" spans="1:35" x14ac:dyDescent="0.25">
      <c r="A126" s="5" t="s">
        <v>129</v>
      </c>
      <c r="B126" s="6">
        <v>0</v>
      </c>
      <c r="C126" s="7">
        <f t="shared" si="61"/>
        <v>0</v>
      </c>
      <c r="D126" s="6">
        <v>0</v>
      </c>
      <c r="E126" s="7">
        <f t="shared" si="62"/>
        <v>0</v>
      </c>
      <c r="F126" s="6">
        <v>0</v>
      </c>
      <c r="G126" s="7">
        <f t="shared" si="63"/>
        <v>0</v>
      </c>
      <c r="H126" s="6">
        <v>0</v>
      </c>
      <c r="I126" s="6">
        <v>0</v>
      </c>
      <c r="J126" s="6">
        <v>0</v>
      </c>
      <c r="K126" s="6">
        <v>0</v>
      </c>
      <c r="L126" s="6">
        <v>0</v>
      </c>
      <c r="M126" s="6">
        <v>0</v>
      </c>
      <c r="N126" s="6">
        <v>0</v>
      </c>
      <c r="O126" s="6">
        <v>0</v>
      </c>
      <c r="P126" s="6">
        <v>0</v>
      </c>
      <c r="Q126" s="6">
        <v>0</v>
      </c>
      <c r="R126" s="6">
        <v>0</v>
      </c>
      <c r="S126" s="6">
        <v>0</v>
      </c>
      <c r="T126" s="6">
        <f t="shared" si="46"/>
        <v>0</v>
      </c>
      <c r="U126" s="6">
        <f t="shared" si="65"/>
        <v>0</v>
      </c>
      <c r="V126" s="23">
        <f t="shared" si="48"/>
        <v>0</v>
      </c>
      <c r="W126" s="6">
        <v>0</v>
      </c>
      <c r="X126" s="6">
        <v>0</v>
      </c>
      <c r="Y126" s="6">
        <v>0</v>
      </c>
      <c r="Z126" s="6">
        <v>0</v>
      </c>
      <c r="AA126" s="6">
        <v>0</v>
      </c>
      <c r="AB126" s="6">
        <v>0</v>
      </c>
      <c r="AC126" s="6">
        <v>0</v>
      </c>
      <c r="AD126" s="6">
        <v>0</v>
      </c>
      <c r="AE126" s="6">
        <v>0</v>
      </c>
      <c r="AF126" s="6">
        <v>0</v>
      </c>
      <c r="AG126" s="6">
        <v>0</v>
      </c>
      <c r="AH126" s="6">
        <v>0</v>
      </c>
      <c r="AI126" s="6">
        <f t="shared" si="47"/>
        <v>0</v>
      </c>
    </row>
    <row r="127" spans="1:35" x14ac:dyDescent="0.25">
      <c r="A127" s="5" t="s">
        <v>130</v>
      </c>
      <c r="B127" s="6">
        <v>0</v>
      </c>
      <c r="C127" s="7">
        <f t="shared" si="61"/>
        <v>0</v>
      </c>
      <c r="D127" s="6">
        <v>0</v>
      </c>
      <c r="E127" s="7">
        <f t="shared" si="62"/>
        <v>0</v>
      </c>
      <c r="F127" s="6">
        <v>0</v>
      </c>
      <c r="G127" s="7">
        <f t="shared" si="63"/>
        <v>0</v>
      </c>
      <c r="H127" s="6">
        <v>0</v>
      </c>
      <c r="I127" s="6">
        <v>0</v>
      </c>
      <c r="J127" s="6">
        <v>0</v>
      </c>
      <c r="K127" s="6">
        <v>0</v>
      </c>
      <c r="L127" s="6">
        <v>0</v>
      </c>
      <c r="M127" s="6">
        <v>0</v>
      </c>
      <c r="N127" s="6">
        <v>0</v>
      </c>
      <c r="O127" s="6">
        <v>0</v>
      </c>
      <c r="P127" s="6">
        <v>0</v>
      </c>
      <c r="Q127" s="6">
        <v>0</v>
      </c>
      <c r="R127" s="6">
        <v>0</v>
      </c>
      <c r="S127" s="6">
        <v>0</v>
      </c>
      <c r="T127" s="6">
        <f t="shared" si="46"/>
        <v>0</v>
      </c>
      <c r="U127" s="6">
        <f t="shared" si="65"/>
        <v>0</v>
      </c>
      <c r="V127" s="23">
        <f t="shared" si="48"/>
        <v>0</v>
      </c>
      <c r="W127" s="6">
        <v>0</v>
      </c>
      <c r="X127" s="6">
        <v>0</v>
      </c>
      <c r="Y127" s="6">
        <v>0</v>
      </c>
      <c r="Z127" s="6">
        <v>0</v>
      </c>
      <c r="AA127" s="6">
        <v>0</v>
      </c>
      <c r="AB127" s="6">
        <v>0</v>
      </c>
      <c r="AC127" s="6">
        <v>0</v>
      </c>
      <c r="AD127" s="6">
        <v>0</v>
      </c>
      <c r="AE127" s="6">
        <v>0</v>
      </c>
      <c r="AF127" s="6">
        <v>0</v>
      </c>
      <c r="AG127" s="6">
        <v>0</v>
      </c>
      <c r="AH127" s="6">
        <v>0</v>
      </c>
      <c r="AI127" s="6">
        <f t="shared" si="47"/>
        <v>0</v>
      </c>
    </row>
    <row r="128" spans="1:35" x14ac:dyDescent="0.25">
      <c r="A128" s="5" t="s">
        <v>131</v>
      </c>
      <c r="B128" s="6">
        <v>6001.14</v>
      </c>
      <c r="C128" s="7">
        <f t="shared" si="61"/>
        <v>5.4390653101753033E-4</v>
      </c>
      <c r="D128" s="6">
        <v>-541.22</v>
      </c>
      <c r="E128" s="7">
        <f t="shared" si="62"/>
        <v>-6.4348717171786531E-5</v>
      </c>
      <c r="F128" s="6">
        <f>SUM(F129:F130)</f>
        <v>-541.22</v>
      </c>
      <c r="G128" s="7">
        <f t="shared" si="63"/>
        <v>-6.4348717171786531E-5</v>
      </c>
      <c r="H128" s="6">
        <f>SUM(H129:H130)</f>
        <v>0</v>
      </c>
      <c r="I128" s="6">
        <f t="shared" ref="I128:S128" si="67">SUM(I129:I130)</f>
        <v>0</v>
      </c>
      <c r="J128" s="6">
        <f t="shared" si="67"/>
        <v>0</v>
      </c>
      <c r="K128" s="6">
        <f t="shared" si="67"/>
        <v>0</v>
      </c>
      <c r="L128" s="6">
        <f t="shared" si="67"/>
        <v>0</v>
      </c>
      <c r="M128" s="6">
        <f t="shared" si="67"/>
        <v>0</v>
      </c>
      <c r="N128" s="6">
        <f t="shared" si="67"/>
        <v>0</v>
      </c>
      <c r="O128" s="6">
        <f t="shared" si="67"/>
        <v>0</v>
      </c>
      <c r="P128" s="6">
        <f t="shared" si="67"/>
        <v>0</v>
      </c>
      <c r="Q128" s="6">
        <f t="shared" si="67"/>
        <v>0</v>
      </c>
      <c r="R128" s="6">
        <f t="shared" si="67"/>
        <v>0</v>
      </c>
      <c r="S128" s="6">
        <f t="shared" si="67"/>
        <v>0</v>
      </c>
      <c r="T128" s="6">
        <f t="shared" si="46"/>
        <v>0</v>
      </c>
      <c r="U128" s="6">
        <f t="shared" si="65"/>
        <v>0</v>
      </c>
      <c r="V128" s="23">
        <f t="shared" si="48"/>
        <v>0</v>
      </c>
      <c r="W128" s="6">
        <f>SUM(W129:W130)</f>
        <v>0</v>
      </c>
      <c r="X128" s="6">
        <f t="shared" ref="X128:AH128" si="68">SUM(X129:X130)</f>
        <v>0</v>
      </c>
      <c r="Y128" s="6">
        <f t="shared" si="68"/>
        <v>0</v>
      </c>
      <c r="Z128" s="6">
        <f t="shared" si="68"/>
        <v>0</v>
      </c>
      <c r="AA128" s="6">
        <f t="shared" si="68"/>
        <v>0</v>
      </c>
      <c r="AB128" s="6">
        <f t="shared" si="68"/>
        <v>0</v>
      </c>
      <c r="AC128" s="6">
        <f t="shared" si="68"/>
        <v>0</v>
      </c>
      <c r="AD128" s="6">
        <f t="shared" si="68"/>
        <v>0</v>
      </c>
      <c r="AE128" s="6">
        <f t="shared" si="68"/>
        <v>0</v>
      </c>
      <c r="AF128" s="6">
        <f t="shared" si="68"/>
        <v>0</v>
      </c>
      <c r="AG128" s="6">
        <f t="shared" si="68"/>
        <v>0</v>
      </c>
      <c r="AH128" s="6">
        <f t="shared" si="68"/>
        <v>0</v>
      </c>
      <c r="AI128" s="6">
        <f t="shared" si="47"/>
        <v>0</v>
      </c>
    </row>
    <row r="129" spans="1:35" s="3" customFormat="1" outlineLevel="1" x14ac:dyDescent="0.25">
      <c r="A129" s="1" t="s">
        <v>132</v>
      </c>
      <c r="B129" s="2">
        <v>0</v>
      </c>
      <c r="C129" s="8">
        <f t="shared" si="61"/>
        <v>0</v>
      </c>
      <c r="D129" s="2">
        <v>-541.22</v>
      </c>
      <c r="E129" s="8">
        <f t="shared" si="62"/>
        <v>-6.4348717171786531E-5</v>
      </c>
      <c r="F129" s="2">
        <v>-541.22</v>
      </c>
      <c r="G129" s="8">
        <f t="shared" si="63"/>
        <v>-6.4348717171786531E-5</v>
      </c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6">
        <f t="shared" si="46"/>
        <v>0</v>
      </c>
      <c r="U129" s="6">
        <f t="shared" si="65"/>
        <v>0</v>
      </c>
      <c r="V129" s="23">
        <f t="shared" si="48"/>
        <v>0</v>
      </c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6">
        <f t="shared" si="47"/>
        <v>0</v>
      </c>
    </row>
    <row r="130" spans="1:35" s="5" customFormat="1" outlineLevel="1" x14ac:dyDescent="0.25">
      <c r="A130" s="1" t="s">
        <v>133</v>
      </c>
      <c r="B130" s="2">
        <v>6001.14</v>
      </c>
      <c r="C130" s="8">
        <f t="shared" si="61"/>
        <v>5.4390653101753033E-4</v>
      </c>
      <c r="D130" s="2">
        <v>0</v>
      </c>
      <c r="E130" s="8">
        <f t="shared" si="62"/>
        <v>0</v>
      </c>
      <c r="F130" s="2">
        <v>0</v>
      </c>
      <c r="G130" s="8">
        <f t="shared" si="63"/>
        <v>0</v>
      </c>
      <c r="H130" s="2">
        <v>0</v>
      </c>
      <c r="I130" s="2">
        <v>0</v>
      </c>
      <c r="J130" s="2">
        <v>0</v>
      </c>
      <c r="K130" s="2">
        <v>0</v>
      </c>
      <c r="L130" s="2">
        <v>0</v>
      </c>
      <c r="M130" s="2">
        <v>0</v>
      </c>
      <c r="N130" s="2">
        <v>0</v>
      </c>
      <c r="O130" s="2">
        <v>0</v>
      </c>
      <c r="P130" s="2">
        <v>0</v>
      </c>
      <c r="Q130" s="2">
        <v>0</v>
      </c>
      <c r="R130" s="2">
        <v>0</v>
      </c>
      <c r="S130" s="2">
        <v>0</v>
      </c>
      <c r="T130" s="6">
        <f t="shared" si="46"/>
        <v>0</v>
      </c>
      <c r="U130" s="6">
        <f t="shared" si="65"/>
        <v>0</v>
      </c>
      <c r="V130" s="23">
        <f t="shared" si="48"/>
        <v>0</v>
      </c>
      <c r="W130" s="2">
        <v>0</v>
      </c>
      <c r="X130" s="2">
        <v>0</v>
      </c>
      <c r="Y130" s="2">
        <v>0</v>
      </c>
      <c r="Z130" s="2">
        <v>0</v>
      </c>
      <c r="AA130" s="2">
        <v>0</v>
      </c>
      <c r="AB130" s="2">
        <v>0</v>
      </c>
      <c r="AC130" s="2">
        <v>0</v>
      </c>
      <c r="AD130" s="2">
        <v>0</v>
      </c>
      <c r="AE130" s="2">
        <v>0</v>
      </c>
      <c r="AF130" s="2">
        <v>0</v>
      </c>
      <c r="AG130" s="2">
        <v>0</v>
      </c>
      <c r="AH130" s="2">
        <v>0</v>
      </c>
      <c r="AI130" s="6">
        <f t="shared" si="47"/>
        <v>0</v>
      </c>
    </row>
    <row r="131" spans="1:35" x14ac:dyDescent="0.25">
      <c r="A131" s="5" t="s">
        <v>134</v>
      </c>
      <c r="B131" s="6">
        <v>0</v>
      </c>
      <c r="C131" s="7">
        <f t="shared" si="61"/>
        <v>0</v>
      </c>
      <c r="D131" s="6">
        <v>0</v>
      </c>
      <c r="E131" s="7">
        <f t="shared" si="62"/>
        <v>0</v>
      </c>
      <c r="F131" s="6">
        <v>0</v>
      </c>
      <c r="G131" s="7">
        <f t="shared" si="63"/>
        <v>0</v>
      </c>
      <c r="H131" s="6">
        <v>0</v>
      </c>
      <c r="I131" s="6">
        <v>0</v>
      </c>
      <c r="J131" s="6">
        <v>0</v>
      </c>
      <c r="K131" s="6">
        <v>0</v>
      </c>
      <c r="L131" s="6">
        <v>0</v>
      </c>
      <c r="M131" s="6">
        <v>0</v>
      </c>
      <c r="N131" s="6">
        <v>0</v>
      </c>
      <c r="O131" s="6">
        <v>0</v>
      </c>
      <c r="P131" s="6">
        <v>0</v>
      </c>
      <c r="Q131" s="6">
        <v>0</v>
      </c>
      <c r="R131" s="6">
        <v>0</v>
      </c>
      <c r="S131" s="6">
        <v>0</v>
      </c>
      <c r="T131" s="6">
        <f t="shared" ref="T131:T139" si="69">SUM(H131:S131)</f>
        <v>0</v>
      </c>
      <c r="U131" s="6">
        <f t="shared" si="65"/>
        <v>0</v>
      </c>
      <c r="V131" s="23">
        <f t="shared" si="48"/>
        <v>0</v>
      </c>
      <c r="W131" s="6">
        <v>0</v>
      </c>
      <c r="X131" s="6">
        <v>0</v>
      </c>
      <c r="Y131" s="6">
        <v>0</v>
      </c>
      <c r="Z131" s="6">
        <v>0</v>
      </c>
      <c r="AA131" s="6">
        <v>0</v>
      </c>
      <c r="AB131" s="6">
        <v>0</v>
      </c>
      <c r="AC131" s="6">
        <v>0</v>
      </c>
      <c r="AD131" s="6">
        <v>0</v>
      </c>
      <c r="AE131" s="6">
        <v>0</v>
      </c>
      <c r="AF131" s="6">
        <v>0</v>
      </c>
      <c r="AG131" s="6">
        <v>0</v>
      </c>
      <c r="AH131" s="6">
        <v>0</v>
      </c>
      <c r="AI131" s="6">
        <f t="shared" ref="AI131:AI139" si="70">SUM(W131:AH131)</f>
        <v>0</v>
      </c>
    </row>
    <row r="132" spans="1:35" x14ac:dyDescent="0.25">
      <c r="A132" s="5" t="s">
        <v>135</v>
      </c>
      <c r="B132" s="6">
        <v>136680.32999999999</v>
      </c>
      <c r="C132" s="7">
        <f t="shared" si="61"/>
        <v>1.2387866996709171E-2</v>
      </c>
      <c r="D132" s="6">
        <v>26392.69</v>
      </c>
      <c r="E132" s="7">
        <f t="shared" si="62"/>
        <v>3.1379766900939336E-3</v>
      </c>
      <c r="F132" s="6">
        <f>SUM(F133:F135)</f>
        <v>26392.690000000002</v>
      </c>
      <c r="G132" s="7">
        <f t="shared" si="63"/>
        <v>3.137976690093934E-3</v>
      </c>
      <c r="H132" s="6">
        <f>SUM(H133:H135)</f>
        <v>2199.3908333333338</v>
      </c>
      <c r="I132" s="6">
        <f t="shared" ref="I132:S132" si="71">SUM(I133:I135)</f>
        <v>2199.3908333333338</v>
      </c>
      <c r="J132" s="6">
        <f t="shared" si="71"/>
        <v>2199.3908333333338</v>
      </c>
      <c r="K132" s="6">
        <f t="shared" si="71"/>
        <v>2199.3908333333338</v>
      </c>
      <c r="L132" s="6">
        <f t="shared" si="71"/>
        <v>2199.3908333333338</v>
      </c>
      <c r="M132" s="6">
        <f t="shared" si="71"/>
        <v>2199.3908333333338</v>
      </c>
      <c r="N132" s="6">
        <f t="shared" si="71"/>
        <v>2199.3908333333338</v>
      </c>
      <c r="O132" s="6">
        <f t="shared" si="71"/>
        <v>2199.3908333333338</v>
      </c>
      <c r="P132" s="6">
        <f t="shared" si="71"/>
        <v>2199.3908333333338</v>
      </c>
      <c r="Q132" s="6">
        <f t="shared" si="71"/>
        <v>2199.3908333333338</v>
      </c>
      <c r="R132" s="6">
        <f t="shared" si="71"/>
        <v>2199.3908333333338</v>
      </c>
      <c r="S132" s="6">
        <f t="shared" si="71"/>
        <v>2199.3908333333338</v>
      </c>
      <c r="T132" s="6">
        <f t="shared" si="69"/>
        <v>26392.690000000013</v>
      </c>
      <c r="U132" s="6">
        <f t="shared" si="65"/>
        <v>0</v>
      </c>
      <c r="V132" s="23">
        <f t="shared" si="48"/>
        <v>0</v>
      </c>
      <c r="W132" s="6">
        <f>SUM(W133:W135)</f>
        <v>0</v>
      </c>
      <c r="X132" s="6">
        <f t="shared" ref="X132:AH132" si="72">SUM(X133:X135)</f>
        <v>0</v>
      </c>
      <c r="Y132" s="6">
        <f t="shared" si="72"/>
        <v>0</v>
      </c>
      <c r="Z132" s="6">
        <f t="shared" si="72"/>
        <v>0</v>
      </c>
      <c r="AA132" s="6">
        <f t="shared" si="72"/>
        <v>0</v>
      </c>
      <c r="AB132" s="6">
        <f t="shared" si="72"/>
        <v>0</v>
      </c>
      <c r="AC132" s="6">
        <f t="shared" si="72"/>
        <v>0</v>
      </c>
      <c r="AD132" s="6">
        <f t="shared" si="72"/>
        <v>0</v>
      </c>
      <c r="AE132" s="6">
        <f t="shared" si="72"/>
        <v>0</v>
      </c>
      <c r="AF132" s="6">
        <f t="shared" si="72"/>
        <v>0</v>
      </c>
      <c r="AG132" s="6">
        <f t="shared" si="72"/>
        <v>0</v>
      </c>
      <c r="AH132" s="6">
        <f t="shared" si="72"/>
        <v>0</v>
      </c>
      <c r="AI132" s="6">
        <f t="shared" si="70"/>
        <v>0</v>
      </c>
    </row>
    <row r="133" spans="1:35" outlineLevel="1" x14ac:dyDescent="0.25">
      <c r="A133" s="1" t="s">
        <v>136</v>
      </c>
      <c r="B133" s="2">
        <v>-11323.89</v>
      </c>
      <c r="C133" s="8">
        <f t="shared" si="61"/>
        <v>-1.0263279522764177E-3</v>
      </c>
      <c r="D133" s="2">
        <v>-12228.15</v>
      </c>
      <c r="E133" s="8">
        <f t="shared" si="62"/>
        <v>-1.4538741470828526E-3</v>
      </c>
      <c r="F133" s="2">
        <v>-12228.15</v>
      </c>
      <c r="G133" s="8">
        <f t="shared" si="63"/>
        <v>-1.4538741470828526E-3</v>
      </c>
      <c r="H133" s="2">
        <f t="shared" ref="H133:S135" si="73">+$F133/12</f>
        <v>-1019.0124999999999</v>
      </c>
      <c r="I133" s="2">
        <f t="shared" si="73"/>
        <v>-1019.0124999999999</v>
      </c>
      <c r="J133" s="2">
        <f t="shared" si="73"/>
        <v>-1019.0124999999999</v>
      </c>
      <c r="K133" s="2">
        <f t="shared" si="73"/>
        <v>-1019.0124999999999</v>
      </c>
      <c r="L133" s="2">
        <f t="shared" si="73"/>
        <v>-1019.0124999999999</v>
      </c>
      <c r="M133" s="2">
        <f t="shared" si="73"/>
        <v>-1019.0124999999999</v>
      </c>
      <c r="N133" s="2">
        <f t="shared" si="73"/>
        <v>-1019.0124999999999</v>
      </c>
      <c r="O133" s="2">
        <f t="shared" si="73"/>
        <v>-1019.0124999999999</v>
      </c>
      <c r="P133" s="2">
        <f t="shared" si="73"/>
        <v>-1019.0124999999999</v>
      </c>
      <c r="Q133" s="2">
        <f t="shared" si="73"/>
        <v>-1019.0124999999999</v>
      </c>
      <c r="R133" s="2">
        <f t="shared" si="73"/>
        <v>-1019.0124999999999</v>
      </c>
      <c r="S133" s="2">
        <f t="shared" si="73"/>
        <v>-1019.0124999999999</v>
      </c>
      <c r="T133" s="6">
        <f t="shared" si="69"/>
        <v>-12228.150000000001</v>
      </c>
      <c r="U133" s="56">
        <f t="shared" si="65"/>
        <v>0</v>
      </c>
      <c r="V133" s="23">
        <f t="shared" si="48"/>
        <v>0</v>
      </c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6">
        <f t="shared" si="70"/>
        <v>0</v>
      </c>
    </row>
    <row r="134" spans="1:35" outlineLevel="1" x14ac:dyDescent="0.25">
      <c r="A134" s="1" t="s">
        <v>137</v>
      </c>
      <c r="B134" s="2">
        <v>-622.33000000000004</v>
      </c>
      <c r="C134" s="8">
        <f t="shared" si="61"/>
        <v>-5.640417511475148E-5</v>
      </c>
      <c r="D134" s="2">
        <v>-1381.73</v>
      </c>
      <c r="E134" s="8">
        <f t="shared" si="62"/>
        <v>-1.6428172088572596E-4</v>
      </c>
      <c r="F134" s="2">
        <v>-1381.73</v>
      </c>
      <c r="G134" s="8">
        <f t="shared" si="63"/>
        <v>-1.6428172088572596E-4</v>
      </c>
      <c r="H134" s="2">
        <f t="shared" si="73"/>
        <v>-115.14416666666666</v>
      </c>
      <c r="I134" s="2">
        <f t="shared" si="73"/>
        <v>-115.14416666666666</v>
      </c>
      <c r="J134" s="2">
        <f t="shared" si="73"/>
        <v>-115.14416666666666</v>
      </c>
      <c r="K134" s="2">
        <f t="shared" si="73"/>
        <v>-115.14416666666666</v>
      </c>
      <c r="L134" s="2">
        <f t="shared" si="73"/>
        <v>-115.14416666666666</v>
      </c>
      <c r="M134" s="2">
        <f t="shared" si="73"/>
        <v>-115.14416666666666</v>
      </c>
      <c r="N134" s="2">
        <f t="shared" si="73"/>
        <v>-115.14416666666666</v>
      </c>
      <c r="O134" s="2">
        <f t="shared" si="73"/>
        <v>-115.14416666666666</v>
      </c>
      <c r="P134" s="2">
        <f t="shared" si="73"/>
        <v>-115.14416666666666</v>
      </c>
      <c r="Q134" s="2">
        <f t="shared" si="73"/>
        <v>-115.14416666666666</v>
      </c>
      <c r="R134" s="2">
        <f t="shared" si="73"/>
        <v>-115.14416666666666</v>
      </c>
      <c r="S134" s="2">
        <f t="shared" si="73"/>
        <v>-115.14416666666666</v>
      </c>
      <c r="T134" s="6">
        <f t="shared" si="69"/>
        <v>-1381.7300000000002</v>
      </c>
      <c r="U134" s="56">
        <f t="shared" si="65"/>
        <v>0</v>
      </c>
      <c r="V134" s="23">
        <f t="shared" si="48"/>
        <v>0</v>
      </c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6">
        <f t="shared" si="70"/>
        <v>0</v>
      </c>
    </row>
    <row r="135" spans="1:35" outlineLevel="1" x14ac:dyDescent="0.25">
      <c r="A135" s="1" t="s">
        <v>138</v>
      </c>
      <c r="B135" s="2">
        <v>148626.54999999999</v>
      </c>
      <c r="C135" s="8">
        <f t="shared" si="61"/>
        <v>1.3470599124100341E-2</v>
      </c>
      <c r="D135" s="2">
        <v>40002.57</v>
      </c>
      <c r="E135" s="8">
        <f t="shared" si="62"/>
        <v>4.7561325580625117E-3</v>
      </c>
      <c r="F135" s="2">
        <v>40002.57</v>
      </c>
      <c r="G135" s="8">
        <f t="shared" si="63"/>
        <v>4.7561325580625117E-3</v>
      </c>
      <c r="H135" s="2">
        <f t="shared" si="73"/>
        <v>3333.5475000000001</v>
      </c>
      <c r="I135" s="2">
        <f t="shared" si="73"/>
        <v>3333.5475000000001</v>
      </c>
      <c r="J135" s="2">
        <f t="shared" si="73"/>
        <v>3333.5475000000001</v>
      </c>
      <c r="K135" s="2">
        <f t="shared" si="73"/>
        <v>3333.5475000000001</v>
      </c>
      <c r="L135" s="2">
        <f t="shared" si="73"/>
        <v>3333.5475000000001</v>
      </c>
      <c r="M135" s="2">
        <f t="shared" si="73"/>
        <v>3333.5475000000001</v>
      </c>
      <c r="N135" s="2">
        <f t="shared" si="73"/>
        <v>3333.5475000000001</v>
      </c>
      <c r="O135" s="2">
        <f t="shared" si="73"/>
        <v>3333.5475000000001</v>
      </c>
      <c r="P135" s="2">
        <f t="shared" si="73"/>
        <v>3333.5475000000001</v>
      </c>
      <c r="Q135" s="2">
        <f t="shared" si="73"/>
        <v>3333.5475000000001</v>
      </c>
      <c r="R135" s="2">
        <f t="shared" si="73"/>
        <v>3333.5475000000001</v>
      </c>
      <c r="S135" s="2">
        <f t="shared" si="73"/>
        <v>3333.5475000000001</v>
      </c>
      <c r="T135" s="6">
        <f t="shared" si="69"/>
        <v>40002.57</v>
      </c>
      <c r="U135" s="56">
        <f t="shared" si="65"/>
        <v>0</v>
      </c>
      <c r="V135" s="23">
        <f t="shared" si="48"/>
        <v>0</v>
      </c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6">
        <f t="shared" si="70"/>
        <v>0</v>
      </c>
    </row>
    <row r="136" spans="1:35" x14ac:dyDescent="0.25">
      <c r="A136" s="3" t="s">
        <v>139</v>
      </c>
      <c r="B136" s="4">
        <v>2165639.59</v>
      </c>
      <c r="C136" s="11">
        <f t="shared" si="61"/>
        <v>0.19628029288287335</v>
      </c>
      <c r="D136" s="4">
        <v>1261827.03</v>
      </c>
      <c r="E136" s="11">
        <f t="shared" si="62"/>
        <v>0.15002577634452793</v>
      </c>
      <c r="F136" s="4">
        <f>+F2+F13+F27+F37+F122+F126+F127+F128+F132</f>
        <v>464818.84356000117</v>
      </c>
      <c r="G136" s="11">
        <f t="shared" si="63"/>
        <v>5.5264950113372388E-2</v>
      </c>
      <c r="H136" s="4">
        <f>+H2+H13+H27+H37+H122+H126+H127+H128+H132</f>
        <v>242186.20445783681</v>
      </c>
      <c r="I136" s="4">
        <f t="shared" ref="I136:S136" si="74">+I2+I13+I27+I37+I122+I126+I127+I128+I132</f>
        <v>364903.48523963435</v>
      </c>
      <c r="J136" s="4">
        <f t="shared" si="74"/>
        <v>328759.49041795364</v>
      </c>
      <c r="K136" s="4">
        <f t="shared" si="74"/>
        <v>17960.854810166144</v>
      </c>
      <c r="L136" s="4">
        <f t="shared" si="74"/>
        <v>394062.93873782252</v>
      </c>
      <c r="M136" s="4">
        <f t="shared" si="74"/>
        <v>262606.61482962151</v>
      </c>
      <c r="N136" s="4">
        <f t="shared" si="74"/>
        <v>259962.42662554746</v>
      </c>
      <c r="O136" s="4">
        <f t="shared" si="74"/>
        <v>69284.295850220777</v>
      </c>
      <c r="P136" s="4">
        <f t="shared" si="74"/>
        <v>213895.66364741744</v>
      </c>
      <c r="Q136" s="4">
        <f t="shared" si="74"/>
        <v>186661.53692109569</v>
      </c>
      <c r="R136" s="4">
        <f t="shared" si="74"/>
        <v>197619.84569825348</v>
      </c>
      <c r="S136" s="4">
        <f t="shared" si="74"/>
        <v>185239.18611041829</v>
      </c>
      <c r="T136" s="6">
        <f t="shared" si="69"/>
        <v>2723142.5433459878</v>
      </c>
      <c r="U136" s="6">
        <f t="shared" si="65"/>
        <v>607827.06799999997</v>
      </c>
      <c r="V136" s="23">
        <f t="shared" si="48"/>
        <v>0.94383085093167696</v>
      </c>
      <c r="W136" s="4">
        <f>+W2+W13+W27+W37+W122+W126+W127+W128+W132</f>
        <v>50652.255666666664</v>
      </c>
      <c r="X136" s="4">
        <f t="shared" ref="X136:AH136" si="75">+X2+X13+X27+X37+X122+X126+X127+X128+X132</f>
        <v>50652.255666666664</v>
      </c>
      <c r="Y136" s="4">
        <f t="shared" si="75"/>
        <v>50652.255666666664</v>
      </c>
      <c r="Z136" s="4">
        <f t="shared" si="75"/>
        <v>50652.255666666664</v>
      </c>
      <c r="AA136" s="4">
        <f t="shared" si="75"/>
        <v>50652.255666666664</v>
      </c>
      <c r="AB136" s="4">
        <f t="shared" si="75"/>
        <v>50652.255666666664</v>
      </c>
      <c r="AC136" s="4">
        <f t="shared" si="75"/>
        <v>50652.255666666664</v>
      </c>
      <c r="AD136" s="4">
        <f t="shared" si="75"/>
        <v>50652.255666666664</v>
      </c>
      <c r="AE136" s="4">
        <f t="shared" si="75"/>
        <v>50652.255666666664</v>
      </c>
      <c r="AF136" s="4">
        <f t="shared" si="75"/>
        <v>50652.255666666664</v>
      </c>
      <c r="AG136" s="4">
        <f t="shared" si="75"/>
        <v>50652.255666666664</v>
      </c>
      <c r="AH136" s="4">
        <f t="shared" si="75"/>
        <v>50652.255666666664</v>
      </c>
      <c r="AI136" s="6">
        <f t="shared" si="70"/>
        <v>607827.06799999997</v>
      </c>
    </row>
    <row r="137" spans="1:35" x14ac:dyDescent="0.25">
      <c r="A137" s="5" t="s">
        <v>140</v>
      </c>
      <c r="B137" s="6">
        <v>213887.64</v>
      </c>
      <c r="C137" s="7">
        <f t="shared" si="61"/>
        <v>1.9385464145133487E-2</v>
      </c>
      <c r="D137" s="6">
        <v>202918.5</v>
      </c>
      <c r="E137" s="7">
        <f t="shared" si="62"/>
        <v>2.4126132008098676E-2</v>
      </c>
      <c r="F137" s="6">
        <f>SUM(F138:F139)</f>
        <v>195900</v>
      </c>
      <c r="G137" s="7">
        <f t="shared" si="63"/>
        <v>2.3291662713781792E-2</v>
      </c>
      <c r="H137" s="6">
        <f>SUM(H138:H139)</f>
        <v>16325</v>
      </c>
      <c r="I137" s="6">
        <f t="shared" ref="I137:S137" si="76">SUM(I138:I139)</f>
        <v>16326</v>
      </c>
      <c r="J137" s="6">
        <f t="shared" si="76"/>
        <v>16327</v>
      </c>
      <c r="K137" s="6">
        <f t="shared" si="76"/>
        <v>16328</v>
      </c>
      <c r="L137" s="6">
        <f t="shared" si="76"/>
        <v>16329</v>
      </c>
      <c r="M137" s="6">
        <f t="shared" si="76"/>
        <v>16330</v>
      </c>
      <c r="N137" s="6">
        <f t="shared" si="76"/>
        <v>16331</v>
      </c>
      <c r="O137" s="6">
        <f t="shared" si="76"/>
        <v>16332</v>
      </c>
      <c r="P137" s="6">
        <f t="shared" si="76"/>
        <v>16333</v>
      </c>
      <c r="Q137" s="6">
        <f t="shared" si="76"/>
        <v>16334</v>
      </c>
      <c r="R137" s="6">
        <f t="shared" si="76"/>
        <v>16335</v>
      </c>
      <c r="S137" s="6">
        <f t="shared" si="76"/>
        <v>16336</v>
      </c>
      <c r="T137" s="6">
        <f t="shared" si="69"/>
        <v>195966</v>
      </c>
      <c r="U137" s="6">
        <f t="shared" si="65"/>
        <v>0</v>
      </c>
      <c r="V137" s="23">
        <f t="shared" si="48"/>
        <v>0</v>
      </c>
      <c r="W137" s="6">
        <f>SUM(W138:W139)</f>
        <v>0</v>
      </c>
      <c r="X137" s="6">
        <f t="shared" ref="X137:AH137" si="77">SUM(X138:X139)</f>
        <v>0</v>
      </c>
      <c r="Y137" s="6">
        <f t="shared" si="77"/>
        <v>0</v>
      </c>
      <c r="Z137" s="6">
        <f t="shared" si="77"/>
        <v>0</v>
      </c>
      <c r="AA137" s="6">
        <f t="shared" si="77"/>
        <v>0</v>
      </c>
      <c r="AB137" s="6">
        <f t="shared" si="77"/>
        <v>0</v>
      </c>
      <c r="AC137" s="6">
        <f t="shared" si="77"/>
        <v>0</v>
      </c>
      <c r="AD137" s="6">
        <f t="shared" si="77"/>
        <v>0</v>
      </c>
      <c r="AE137" s="6">
        <f t="shared" si="77"/>
        <v>0</v>
      </c>
      <c r="AF137" s="6">
        <f t="shared" si="77"/>
        <v>0</v>
      </c>
      <c r="AG137" s="6">
        <f t="shared" si="77"/>
        <v>0</v>
      </c>
      <c r="AH137" s="6">
        <f t="shared" si="77"/>
        <v>0</v>
      </c>
      <c r="AI137" s="6">
        <f t="shared" si="70"/>
        <v>0</v>
      </c>
    </row>
    <row r="138" spans="1:35" outlineLevel="1" x14ac:dyDescent="0.25">
      <c r="A138" s="1" t="s">
        <v>141</v>
      </c>
      <c r="B138" s="2">
        <v>0</v>
      </c>
      <c r="C138" s="8">
        <f t="shared" si="61"/>
        <v>0</v>
      </c>
      <c r="D138" s="2">
        <v>0</v>
      </c>
      <c r="E138" s="8">
        <f t="shared" si="62"/>
        <v>0</v>
      </c>
      <c r="F138" s="2">
        <v>0</v>
      </c>
      <c r="G138" s="8">
        <f t="shared" si="63"/>
        <v>0</v>
      </c>
      <c r="H138" s="2">
        <v>0</v>
      </c>
      <c r="I138" s="2">
        <v>1</v>
      </c>
      <c r="J138" s="2">
        <v>2</v>
      </c>
      <c r="K138" s="2">
        <v>3</v>
      </c>
      <c r="L138" s="2">
        <v>4</v>
      </c>
      <c r="M138" s="2">
        <v>5</v>
      </c>
      <c r="N138" s="2">
        <v>6</v>
      </c>
      <c r="O138" s="2">
        <v>7</v>
      </c>
      <c r="P138" s="2">
        <v>8</v>
      </c>
      <c r="Q138" s="2">
        <v>9</v>
      </c>
      <c r="R138" s="2">
        <v>10</v>
      </c>
      <c r="S138" s="2">
        <v>11</v>
      </c>
      <c r="T138" s="6">
        <f t="shared" si="69"/>
        <v>66</v>
      </c>
      <c r="U138" s="6">
        <f t="shared" si="65"/>
        <v>0</v>
      </c>
      <c r="V138" s="23">
        <f t="shared" si="48"/>
        <v>0</v>
      </c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6">
        <f t="shared" si="70"/>
        <v>0</v>
      </c>
    </row>
    <row r="139" spans="1:35" s="5" customFormat="1" outlineLevel="1" x14ac:dyDescent="0.25">
      <c r="A139" s="1" t="s">
        <v>142</v>
      </c>
      <c r="B139" s="2">
        <v>213887.64</v>
      </c>
      <c r="C139" s="8">
        <f t="shared" si="61"/>
        <v>1.9385464145133487E-2</v>
      </c>
      <c r="D139" s="2">
        <v>202918.5</v>
      </c>
      <c r="E139" s="8">
        <f t="shared" si="62"/>
        <v>2.4126132008098676E-2</v>
      </c>
      <c r="F139" s="2">
        <f>SUM(F140:F145)</f>
        <v>195900</v>
      </c>
      <c r="G139" s="8">
        <f t="shared" si="63"/>
        <v>2.3291662713781792E-2</v>
      </c>
      <c r="H139" s="2">
        <f>SUM(H140:H145)</f>
        <v>16325</v>
      </c>
      <c r="I139" s="2">
        <f t="shared" ref="I139:S139" si="78">SUM(I140:I145)</f>
        <v>16325</v>
      </c>
      <c r="J139" s="2">
        <f t="shared" si="78"/>
        <v>16325</v>
      </c>
      <c r="K139" s="2">
        <f t="shared" si="78"/>
        <v>16325</v>
      </c>
      <c r="L139" s="2">
        <f t="shared" si="78"/>
        <v>16325</v>
      </c>
      <c r="M139" s="2">
        <f t="shared" si="78"/>
        <v>16325</v>
      </c>
      <c r="N139" s="2">
        <f t="shared" si="78"/>
        <v>16325</v>
      </c>
      <c r="O139" s="2">
        <f t="shared" si="78"/>
        <v>16325</v>
      </c>
      <c r="P139" s="2">
        <f t="shared" si="78"/>
        <v>16325</v>
      </c>
      <c r="Q139" s="2">
        <f t="shared" si="78"/>
        <v>16325</v>
      </c>
      <c r="R139" s="2">
        <f t="shared" si="78"/>
        <v>16325</v>
      </c>
      <c r="S139" s="2">
        <f t="shared" si="78"/>
        <v>16325</v>
      </c>
      <c r="T139" s="6">
        <f t="shared" si="69"/>
        <v>195900</v>
      </c>
      <c r="U139" s="6">
        <f t="shared" si="65"/>
        <v>0</v>
      </c>
      <c r="V139" s="23">
        <f t="shared" si="48"/>
        <v>0</v>
      </c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6">
        <f t="shared" si="70"/>
        <v>0</v>
      </c>
    </row>
    <row r="140" spans="1:35" outlineLevel="1" x14ac:dyDescent="0.25">
      <c r="A140" s="1" t="s">
        <v>143</v>
      </c>
      <c r="B140" s="2">
        <v>5687.66</v>
      </c>
      <c r="C140" s="8">
        <f t="shared" si="61"/>
        <v>5.1549462605557719E-4</v>
      </c>
      <c r="D140" s="2">
        <v>9569.77</v>
      </c>
      <c r="E140" s="8">
        <f t="shared" si="62"/>
        <v>1.1378042628303604E-3</v>
      </c>
      <c r="F140" s="2">
        <v>10000</v>
      </c>
      <c r="G140" s="8">
        <f t="shared" si="63"/>
        <v>1.1889567490445019E-3</v>
      </c>
      <c r="H140" s="2">
        <f t="shared" ref="H140:S162" si="79">+$F140/12</f>
        <v>833.33333333333337</v>
      </c>
      <c r="I140" s="2">
        <f t="shared" si="79"/>
        <v>833.33333333333337</v>
      </c>
      <c r="J140" s="2">
        <f t="shared" si="79"/>
        <v>833.33333333333337</v>
      </c>
      <c r="K140" s="2">
        <f t="shared" si="79"/>
        <v>833.33333333333337</v>
      </c>
      <c r="L140" s="2">
        <f t="shared" si="79"/>
        <v>833.33333333333337</v>
      </c>
      <c r="M140" s="2">
        <f t="shared" si="79"/>
        <v>833.33333333333337</v>
      </c>
      <c r="N140" s="2">
        <f t="shared" si="79"/>
        <v>833.33333333333337</v>
      </c>
      <c r="O140" s="2">
        <f t="shared" si="79"/>
        <v>833.33333333333337</v>
      </c>
      <c r="P140" s="2">
        <f t="shared" si="79"/>
        <v>833.33333333333337</v>
      </c>
      <c r="Q140" s="2">
        <f t="shared" si="79"/>
        <v>833.33333333333337</v>
      </c>
      <c r="R140" s="2">
        <f t="shared" si="79"/>
        <v>833.33333333333337</v>
      </c>
      <c r="S140" s="2">
        <f t="shared" si="79"/>
        <v>833.33333333333337</v>
      </c>
      <c r="U140" s="6">
        <f t="shared" si="65"/>
        <v>0</v>
      </c>
      <c r="V140" s="23">
        <f t="shared" si="48"/>
        <v>0</v>
      </c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</row>
    <row r="141" spans="1:35" outlineLevel="1" x14ac:dyDescent="0.25">
      <c r="A141" s="1" t="s">
        <v>144</v>
      </c>
      <c r="B141" s="2">
        <v>127810</v>
      </c>
      <c r="C141" s="8">
        <f t="shared" si="61"/>
        <v>1.1583914677769648E-2</v>
      </c>
      <c r="D141" s="2">
        <v>107149.97</v>
      </c>
      <c r="E141" s="8">
        <f t="shared" si="62"/>
        <v>1.273966799914159E-2</v>
      </c>
      <c r="F141" s="2">
        <v>100000</v>
      </c>
      <c r="G141" s="8">
        <f t="shared" si="63"/>
        <v>1.188956749044502E-2</v>
      </c>
      <c r="H141" s="2">
        <f t="shared" si="79"/>
        <v>8333.3333333333339</v>
      </c>
      <c r="I141" s="2">
        <f t="shared" si="79"/>
        <v>8333.3333333333339</v>
      </c>
      <c r="J141" s="2">
        <f t="shared" si="79"/>
        <v>8333.3333333333339</v>
      </c>
      <c r="K141" s="2">
        <f t="shared" si="79"/>
        <v>8333.3333333333339</v>
      </c>
      <c r="L141" s="2">
        <f t="shared" si="79"/>
        <v>8333.3333333333339</v>
      </c>
      <c r="M141" s="2">
        <f t="shared" si="79"/>
        <v>8333.3333333333339</v>
      </c>
      <c r="N141" s="2">
        <f t="shared" si="79"/>
        <v>8333.3333333333339</v>
      </c>
      <c r="O141" s="2">
        <f t="shared" si="79"/>
        <v>8333.3333333333339</v>
      </c>
      <c r="P141" s="2">
        <f t="shared" si="79"/>
        <v>8333.3333333333339</v>
      </c>
      <c r="Q141" s="2">
        <f t="shared" si="79"/>
        <v>8333.3333333333339</v>
      </c>
      <c r="R141" s="2">
        <f t="shared" si="79"/>
        <v>8333.3333333333339</v>
      </c>
      <c r="S141" s="2">
        <f t="shared" si="79"/>
        <v>8333.3333333333339</v>
      </c>
      <c r="U141" s="6">
        <f t="shared" si="65"/>
        <v>0</v>
      </c>
      <c r="V141" s="23">
        <f t="shared" si="48"/>
        <v>0</v>
      </c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</row>
    <row r="142" spans="1:35" outlineLevel="1" x14ac:dyDescent="0.25">
      <c r="A142" s="1" t="s">
        <v>145</v>
      </c>
      <c r="B142" s="2">
        <v>6628.55</v>
      </c>
      <c r="C142" s="8">
        <f t="shared" si="61"/>
        <v>6.0077112618206723E-4</v>
      </c>
      <c r="D142" s="2">
        <v>0</v>
      </c>
      <c r="E142" s="8">
        <f t="shared" si="62"/>
        <v>0</v>
      </c>
      <c r="F142" s="2">
        <v>0</v>
      </c>
      <c r="G142" s="8">
        <f t="shared" si="63"/>
        <v>0</v>
      </c>
      <c r="H142" s="2">
        <f t="shared" si="79"/>
        <v>0</v>
      </c>
      <c r="I142" s="2">
        <f t="shared" si="79"/>
        <v>0</v>
      </c>
      <c r="J142" s="2">
        <f t="shared" si="79"/>
        <v>0</v>
      </c>
      <c r="K142" s="2">
        <f t="shared" si="79"/>
        <v>0</v>
      </c>
      <c r="L142" s="2">
        <f t="shared" si="79"/>
        <v>0</v>
      </c>
      <c r="M142" s="2">
        <f t="shared" si="79"/>
        <v>0</v>
      </c>
      <c r="N142" s="2">
        <f t="shared" si="79"/>
        <v>0</v>
      </c>
      <c r="O142" s="2">
        <f t="shared" si="79"/>
        <v>0</v>
      </c>
      <c r="P142" s="2">
        <f t="shared" si="79"/>
        <v>0</v>
      </c>
      <c r="Q142" s="2">
        <f t="shared" si="79"/>
        <v>0</v>
      </c>
      <c r="R142" s="2">
        <f t="shared" si="79"/>
        <v>0</v>
      </c>
      <c r="S142" s="2">
        <f t="shared" si="79"/>
        <v>0</v>
      </c>
      <c r="U142" s="6">
        <f t="shared" si="65"/>
        <v>0</v>
      </c>
      <c r="V142" s="23">
        <f t="shared" ref="V142:V174" si="80">+U142/$U$2</f>
        <v>0</v>
      </c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</row>
    <row r="143" spans="1:35" outlineLevel="1" x14ac:dyDescent="0.25">
      <c r="A143" s="1" t="s">
        <v>146</v>
      </c>
      <c r="B143" s="2">
        <v>1883.95</v>
      </c>
      <c r="C143" s="8">
        <f t="shared" si="61"/>
        <v>1.7074967574668752E-4</v>
      </c>
      <c r="D143" s="2">
        <v>0</v>
      </c>
      <c r="E143" s="8">
        <f t="shared" si="62"/>
        <v>0</v>
      </c>
      <c r="F143" s="2">
        <v>0</v>
      </c>
      <c r="G143" s="8">
        <f t="shared" si="63"/>
        <v>0</v>
      </c>
      <c r="H143" s="2">
        <f t="shared" si="79"/>
        <v>0</v>
      </c>
      <c r="I143" s="2">
        <f t="shared" si="79"/>
        <v>0</v>
      </c>
      <c r="J143" s="2">
        <f t="shared" si="79"/>
        <v>0</v>
      </c>
      <c r="K143" s="2">
        <f t="shared" si="79"/>
        <v>0</v>
      </c>
      <c r="L143" s="2">
        <f t="shared" si="79"/>
        <v>0</v>
      </c>
      <c r="M143" s="2">
        <f t="shared" si="79"/>
        <v>0</v>
      </c>
      <c r="N143" s="2">
        <f t="shared" si="79"/>
        <v>0</v>
      </c>
      <c r="O143" s="2">
        <f t="shared" si="79"/>
        <v>0</v>
      </c>
      <c r="P143" s="2">
        <f t="shared" si="79"/>
        <v>0</v>
      </c>
      <c r="Q143" s="2">
        <f t="shared" si="79"/>
        <v>0</v>
      </c>
      <c r="R143" s="2">
        <f t="shared" si="79"/>
        <v>0</v>
      </c>
      <c r="S143" s="2">
        <f t="shared" si="79"/>
        <v>0</v>
      </c>
      <c r="U143" s="6">
        <f t="shared" si="65"/>
        <v>0</v>
      </c>
      <c r="V143" s="23">
        <f t="shared" si="80"/>
        <v>0</v>
      </c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</row>
    <row r="144" spans="1:35" s="5" customFormat="1" outlineLevel="1" x14ac:dyDescent="0.25">
      <c r="A144" s="1" t="s">
        <v>147</v>
      </c>
      <c r="B144" s="2">
        <v>0</v>
      </c>
      <c r="C144" s="8">
        <f t="shared" si="61"/>
        <v>0</v>
      </c>
      <c r="D144" s="2">
        <v>6491.28</v>
      </c>
      <c r="E144" s="8">
        <f t="shared" si="62"/>
        <v>7.7178511659375937E-4</v>
      </c>
      <c r="F144" s="2">
        <v>5900</v>
      </c>
      <c r="G144" s="8">
        <f t="shared" si="63"/>
        <v>7.0148448193625614E-4</v>
      </c>
      <c r="H144" s="2">
        <f t="shared" si="79"/>
        <v>491.66666666666669</v>
      </c>
      <c r="I144" s="2">
        <f t="shared" si="79"/>
        <v>491.66666666666669</v>
      </c>
      <c r="J144" s="2">
        <f t="shared" si="79"/>
        <v>491.66666666666669</v>
      </c>
      <c r="K144" s="2">
        <f t="shared" si="79"/>
        <v>491.66666666666669</v>
      </c>
      <c r="L144" s="2">
        <f t="shared" si="79"/>
        <v>491.66666666666669</v>
      </c>
      <c r="M144" s="2">
        <f t="shared" si="79"/>
        <v>491.66666666666669</v>
      </c>
      <c r="N144" s="2">
        <f t="shared" si="79"/>
        <v>491.66666666666669</v>
      </c>
      <c r="O144" s="2">
        <f t="shared" si="79"/>
        <v>491.66666666666669</v>
      </c>
      <c r="P144" s="2">
        <f t="shared" si="79"/>
        <v>491.66666666666669</v>
      </c>
      <c r="Q144" s="2">
        <f t="shared" si="79"/>
        <v>491.66666666666669</v>
      </c>
      <c r="R144" s="2">
        <f t="shared" si="79"/>
        <v>491.66666666666669</v>
      </c>
      <c r="S144" s="2">
        <f t="shared" si="79"/>
        <v>491.66666666666669</v>
      </c>
      <c r="U144" s="6">
        <f t="shared" si="65"/>
        <v>0</v>
      </c>
      <c r="V144" s="23">
        <f t="shared" si="80"/>
        <v>0</v>
      </c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</row>
    <row r="145" spans="1:34" outlineLevel="1" x14ac:dyDescent="0.25">
      <c r="A145" s="1" t="s">
        <v>148</v>
      </c>
      <c r="B145" s="2">
        <v>71877.48</v>
      </c>
      <c r="C145" s="8">
        <f t="shared" si="61"/>
        <v>6.5145340393795038E-3</v>
      </c>
      <c r="D145" s="2">
        <v>79707.48</v>
      </c>
      <c r="E145" s="8">
        <f t="shared" si="62"/>
        <v>9.4768746295329654E-3</v>
      </c>
      <c r="F145" s="2">
        <v>80000</v>
      </c>
      <c r="G145" s="8">
        <f t="shared" si="63"/>
        <v>9.5116539923560152E-3</v>
      </c>
      <c r="H145" s="2">
        <f t="shared" si="79"/>
        <v>6666.666666666667</v>
      </c>
      <c r="I145" s="2">
        <f t="shared" si="79"/>
        <v>6666.666666666667</v>
      </c>
      <c r="J145" s="2">
        <f t="shared" si="79"/>
        <v>6666.666666666667</v>
      </c>
      <c r="K145" s="2">
        <f t="shared" si="79"/>
        <v>6666.666666666667</v>
      </c>
      <c r="L145" s="2">
        <f t="shared" si="79"/>
        <v>6666.666666666667</v>
      </c>
      <c r="M145" s="2">
        <f t="shared" si="79"/>
        <v>6666.666666666667</v>
      </c>
      <c r="N145" s="2">
        <f t="shared" si="79"/>
        <v>6666.666666666667</v>
      </c>
      <c r="O145" s="2">
        <f t="shared" si="79"/>
        <v>6666.666666666667</v>
      </c>
      <c r="P145" s="2">
        <f t="shared" si="79"/>
        <v>6666.666666666667</v>
      </c>
      <c r="Q145" s="2">
        <f t="shared" si="79"/>
        <v>6666.666666666667</v>
      </c>
      <c r="R145" s="2">
        <f t="shared" si="79"/>
        <v>6666.666666666667</v>
      </c>
      <c r="S145" s="2">
        <f t="shared" si="79"/>
        <v>6666.666666666667</v>
      </c>
      <c r="U145" s="6">
        <f t="shared" si="65"/>
        <v>0</v>
      </c>
      <c r="V145" s="23">
        <f t="shared" si="80"/>
        <v>0</v>
      </c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</row>
    <row r="146" spans="1:34" x14ac:dyDescent="0.25">
      <c r="A146" s="5" t="s">
        <v>149</v>
      </c>
      <c r="B146" s="6">
        <v>-38206.300000000003</v>
      </c>
      <c r="C146" s="7">
        <f t="shared" si="61"/>
        <v>-3.4627847535660008E-3</v>
      </c>
      <c r="D146" s="6">
        <v>-233017.96</v>
      </c>
      <c r="E146" s="7">
        <f t="shared" si="62"/>
        <v>-2.7704827619058178E-2</v>
      </c>
      <c r="F146" s="6">
        <f>SUM(F147:F152)</f>
        <v>-225831</v>
      </c>
      <c r="G146" s="7">
        <f t="shared" si="63"/>
        <v>-2.6850329159346892E-2</v>
      </c>
      <c r="H146" s="6">
        <f>SUM(H147:H152)</f>
        <v>-18819.25</v>
      </c>
      <c r="I146" s="6">
        <f t="shared" ref="I146:S146" si="81">SUM(I147:I152)</f>
        <v>-18819.25</v>
      </c>
      <c r="J146" s="6">
        <f t="shared" si="81"/>
        <v>-18819.25</v>
      </c>
      <c r="K146" s="6">
        <f t="shared" si="81"/>
        <v>-18819.25</v>
      </c>
      <c r="L146" s="6">
        <f t="shared" si="81"/>
        <v>-18819.25</v>
      </c>
      <c r="M146" s="6">
        <f t="shared" si="81"/>
        <v>-18819.25</v>
      </c>
      <c r="N146" s="6">
        <f t="shared" si="81"/>
        <v>-18819.25</v>
      </c>
      <c r="O146" s="6">
        <f t="shared" si="81"/>
        <v>-18819.25</v>
      </c>
      <c r="P146" s="6">
        <f t="shared" si="81"/>
        <v>-18819.25</v>
      </c>
      <c r="Q146" s="6">
        <f t="shared" si="81"/>
        <v>-18819.25</v>
      </c>
      <c r="R146" s="6">
        <f t="shared" si="81"/>
        <v>-18819.25</v>
      </c>
      <c r="S146" s="6">
        <f t="shared" si="81"/>
        <v>-18819.25</v>
      </c>
      <c r="U146" s="6">
        <f t="shared" si="65"/>
        <v>-225831</v>
      </c>
      <c r="V146" s="23">
        <f t="shared" si="80"/>
        <v>-0.35066925465838511</v>
      </c>
      <c r="W146" s="6">
        <f>SUM(W147:W152)</f>
        <v>-18819.25</v>
      </c>
      <c r="X146" s="6">
        <f t="shared" ref="X146:AH146" si="82">SUM(X147:X152)</f>
        <v>-18819.25</v>
      </c>
      <c r="Y146" s="6">
        <f t="shared" si="82"/>
        <v>-18819.25</v>
      </c>
      <c r="Z146" s="6">
        <f t="shared" si="82"/>
        <v>-18819.25</v>
      </c>
      <c r="AA146" s="6">
        <f t="shared" si="82"/>
        <v>-18819.25</v>
      </c>
      <c r="AB146" s="6">
        <f t="shared" si="82"/>
        <v>-18819.25</v>
      </c>
      <c r="AC146" s="6">
        <f t="shared" si="82"/>
        <v>-18819.25</v>
      </c>
      <c r="AD146" s="6">
        <f t="shared" si="82"/>
        <v>-18819.25</v>
      </c>
      <c r="AE146" s="6">
        <f t="shared" si="82"/>
        <v>-18819.25</v>
      </c>
      <c r="AF146" s="6">
        <f t="shared" si="82"/>
        <v>-18819.25</v>
      </c>
      <c r="AG146" s="6">
        <f t="shared" si="82"/>
        <v>-18819.25</v>
      </c>
      <c r="AH146" s="6">
        <f t="shared" si="82"/>
        <v>-18819.25</v>
      </c>
    </row>
    <row r="147" spans="1:34" outlineLevel="2" x14ac:dyDescent="0.25">
      <c r="A147" s="10" t="s">
        <v>150</v>
      </c>
      <c r="B147" s="6"/>
      <c r="C147" s="7"/>
      <c r="D147" s="6"/>
      <c r="E147" s="7"/>
      <c r="F147" s="6"/>
      <c r="G147" s="7"/>
      <c r="H147" s="2">
        <f t="shared" si="79"/>
        <v>0</v>
      </c>
      <c r="I147" s="2">
        <f t="shared" si="79"/>
        <v>0</v>
      </c>
      <c r="J147" s="2">
        <f t="shared" si="79"/>
        <v>0</v>
      </c>
      <c r="K147" s="2">
        <f t="shared" si="79"/>
        <v>0</v>
      </c>
      <c r="L147" s="2">
        <f t="shared" si="79"/>
        <v>0</v>
      </c>
      <c r="M147" s="2">
        <f t="shared" si="79"/>
        <v>0</v>
      </c>
      <c r="N147" s="2">
        <f t="shared" si="79"/>
        <v>0</v>
      </c>
      <c r="O147" s="2">
        <f t="shared" si="79"/>
        <v>0</v>
      </c>
      <c r="P147" s="2">
        <f t="shared" si="79"/>
        <v>0</v>
      </c>
      <c r="Q147" s="2">
        <f t="shared" si="79"/>
        <v>0</v>
      </c>
      <c r="R147" s="2">
        <f t="shared" si="79"/>
        <v>0</v>
      </c>
      <c r="S147" s="2">
        <f t="shared" si="79"/>
        <v>0</v>
      </c>
      <c r="U147" s="6">
        <f t="shared" si="65"/>
        <v>0</v>
      </c>
      <c r="V147" s="23">
        <f t="shared" si="80"/>
        <v>0</v>
      </c>
      <c r="W147" s="2">
        <f t="shared" ref="W147:AH162" si="83">+$F147/12</f>
        <v>0</v>
      </c>
      <c r="X147" s="2">
        <f t="shared" si="83"/>
        <v>0</v>
      </c>
      <c r="Y147" s="2">
        <f t="shared" si="83"/>
        <v>0</v>
      </c>
      <c r="Z147" s="2">
        <f t="shared" si="83"/>
        <v>0</v>
      </c>
      <c r="AA147" s="2">
        <f t="shared" si="83"/>
        <v>0</v>
      </c>
      <c r="AB147" s="2">
        <f t="shared" si="83"/>
        <v>0</v>
      </c>
      <c r="AC147" s="2">
        <f t="shared" si="83"/>
        <v>0</v>
      </c>
      <c r="AD147" s="2">
        <f t="shared" si="83"/>
        <v>0</v>
      </c>
      <c r="AE147" s="2">
        <f t="shared" si="83"/>
        <v>0</v>
      </c>
      <c r="AF147" s="2">
        <f t="shared" si="83"/>
        <v>0</v>
      </c>
      <c r="AG147" s="2">
        <f t="shared" si="83"/>
        <v>0</v>
      </c>
      <c r="AH147" s="2">
        <f t="shared" si="83"/>
        <v>0</v>
      </c>
    </row>
    <row r="148" spans="1:34" outlineLevel="2" x14ac:dyDescent="0.25">
      <c r="A148" s="1" t="s">
        <v>151</v>
      </c>
      <c r="B148" s="2">
        <v>0</v>
      </c>
      <c r="C148" s="8">
        <f>+B148/$B$2</f>
        <v>0</v>
      </c>
      <c r="D148" s="2">
        <v>-38331</v>
      </c>
      <c r="E148" s="8">
        <f>+D148/$D$2</f>
        <v>-4.5573901147624805E-3</v>
      </c>
      <c r="F148" s="2">
        <v>-38331</v>
      </c>
      <c r="G148" s="8">
        <f>+F148/$D$2</f>
        <v>-4.5573901147624805E-3</v>
      </c>
      <c r="H148" s="2">
        <f t="shared" si="79"/>
        <v>-3194.25</v>
      </c>
      <c r="I148" s="2">
        <f t="shared" si="79"/>
        <v>-3194.25</v>
      </c>
      <c r="J148" s="2">
        <f t="shared" si="79"/>
        <v>-3194.25</v>
      </c>
      <c r="K148" s="2">
        <f t="shared" si="79"/>
        <v>-3194.25</v>
      </c>
      <c r="L148" s="2">
        <f t="shared" si="79"/>
        <v>-3194.25</v>
      </c>
      <c r="M148" s="2">
        <f t="shared" si="79"/>
        <v>-3194.25</v>
      </c>
      <c r="N148" s="2">
        <f t="shared" si="79"/>
        <v>-3194.25</v>
      </c>
      <c r="O148" s="2">
        <f t="shared" si="79"/>
        <v>-3194.25</v>
      </c>
      <c r="P148" s="2">
        <f t="shared" si="79"/>
        <v>-3194.25</v>
      </c>
      <c r="Q148" s="2">
        <f t="shared" si="79"/>
        <v>-3194.25</v>
      </c>
      <c r="R148" s="2">
        <f t="shared" si="79"/>
        <v>-3194.25</v>
      </c>
      <c r="S148" s="2">
        <f t="shared" si="79"/>
        <v>-3194.25</v>
      </c>
      <c r="U148" s="6">
        <f t="shared" si="65"/>
        <v>-38331</v>
      </c>
      <c r="V148" s="23">
        <f t="shared" si="80"/>
        <v>-5.9520186335403728E-2</v>
      </c>
      <c r="W148" s="2">
        <f t="shared" si="83"/>
        <v>-3194.25</v>
      </c>
      <c r="X148" s="2">
        <f t="shared" si="83"/>
        <v>-3194.25</v>
      </c>
      <c r="Y148" s="2">
        <f t="shared" si="83"/>
        <v>-3194.25</v>
      </c>
      <c r="Z148" s="2">
        <f t="shared" si="83"/>
        <v>-3194.25</v>
      </c>
      <c r="AA148" s="2">
        <f t="shared" si="83"/>
        <v>-3194.25</v>
      </c>
      <c r="AB148" s="2">
        <f t="shared" si="83"/>
        <v>-3194.25</v>
      </c>
      <c r="AC148" s="2">
        <f t="shared" si="83"/>
        <v>-3194.25</v>
      </c>
      <c r="AD148" s="2">
        <f t="shared" si="83"/>
        <v>-3194.25</v>
      </c>
      <c r="AE148" s="2">
        <f t="shared" si="83"/>
        <v>-3194.25</v>
      </c>
      <c r="AF148" s="2">
        <f t="shared" si="83"/>
        <v>-3194.25</v>
      </c>
      <c r="AG148" s="2">
        <f t="shared" si="83"/>
        <v>-3194.25</v>
      </c>
      <c r="AH148" s="2">
        <f t="shared" si="83"/>
        <v>-3194.25</v>
      </c>
    </row>
    <row r="149" spans="1:34" outlineLevel="2" x14ac:dyDescent="0.25">
      <c r="A149" s="1" t="s">
        <v>152</v>
      </c>
      <c r="B149" s="2">
        <v>-2386.23</v>
      </c>
      <c r="C149" s="8">
        <f>+B149/$B$2</f>
        <v>-2.1627325499987693E-4</v>
      </c>
      <c r="D149" s="2">
        <v>-2682.49</v>
      </c>
      <c r="E149" s="8">
        <f>+D149/$D$2</f>
        <v>-3.1893645897443856E-4</v>
      </c>
      <c r="F149" s="2">
        <v>-2500</v>
      </c>
      <c r="G149" s="8">
        <f>+F149/$D$2</f>
        <v>-2.9723918726112547E-4</v>
      </c>
      <c r="H149" s="2">
        <f t="shared" si="79"/>
        <v>-208.33333333333334</v>
      </c>
      <c r="I149" s="2">
        <f t="shared" si="79"/>
        <v>-208.33333333333334</v>
      </c>
      <c r="J149" s="2">
        <f t="shared" si="79"/>
        <v>-208.33333333333334</v>
      </c>
      <c r="K149" s="2">
        <f t="shared" si="79"/>
        <v>-208.33333333333334</v>
      </c>
      <c r="L149" s="2">
        <f t="shared" si="79"/>
        <v>-208.33333333333334</v>
      </c>
      <c r="M149" s="2">
        <f t="shared" si="79"/>
        <v>-208.33333333333334</v>
      </c>
      <c r="N149" s="2">
        <f t="shared" si="79"/>
        <v>-208.33333333333334</v>
      </c>
      <c r="O149" s="2">
        <f t="shared" si="79"/>
        <v>-208.33333333333334</v>
      </c>
      <c r="P149" s="2">
        <f t="shared" si="79"/>
        <v>-208.33333333333334</v>
      </c>
      <c r="Q149" s="2">
        <f t="shared" si="79"/>
        <v>-208.33333333333334</v>
      </c>
      <c r="R149" s="2">
        <f t="shared" si="79"/>
        <v>-208.33333333333334</v>
      </c>
      <c r="S149" s="2">
        <f t="shared" si="79"/>
        <v>-208.33333333333334</v>
      </c>
      <c r="U149" s="6">
        <f t="shared" si="65"/>
        <v>-2500</v>
      </c>
      <c r="V149" s="23">
        <f t="shared" si="80"/>
        <v>-3.8819875776397515E-3</v>
      </c>
      <c r="W149" s="2">
        <f t="shared" si="83"/>
        <v>-208.33333333333334</v>
      </c>
      <c r="X149" s="2">
        <f t="shared" si="83"/>
        <v>-208.33333333333334</v>
      </c>
      <c r="Y149" s="2">
        <f t="shared" si="83"/>
        <v>-208.33333333333334</v>
      </c>
      <c r="Z149" s="2">
        <f t="shared" si="83"/>
        <v>-208.33333333333334</v>
      </c>
      <c r="AA149" s="2">
        <f t="shared" si="83"/>
        <v>-208.33333333333334</v>
      </c>
      <c r="AB149" s="2">
        <f t="shared" si="83"/>
        <v>-208.33333333333334</v>
      </c>
      <c r="AC149" s="2">
        <f t="shared" si="83"/>
        <v>-208.33333333333334</v>
      </c>
      <c r="AD149" s="2">
        <f t="shared" si="83"/>
        <v>-208.33333333333334</v>
      </c>
      <c r="AE149" s="2">
        <f t="shared" si="83"/>
        <v>-208.33333333333334</v>
      </c>
      <c r="AF149" s="2">
        <f t="shared" si="83"/>
        <v>-208.33333333333334</v>
      </c>
      <c r="AG149" s="2">
        <f t="shared" si="83"/>
        <v>-208.33333333333334</v>
      </c>
      <c r="AH149" s="2">
        <f t="shared" si="83"/>
        <v>-208.33333333333334</v>
      </c>
    </row>
    <row r="150" spans="1:34" outlineLevel="2" x14ac:dyDescent="0.25">
      <c r="A150" s="1" t="s">
        <v>153</v>
      </c>
      <c r="B150" s="2">
        <v>-513.79</v>
      </c>
      <c r="C150" s="8">
        <f>+B150/$B$2</f>
        <v>-4.6566775074651962E-5</v>
      </c>
      <c r="D150" s="2">
        <v>0</v>
      </c>
      <c r="E150" s="8">
        <f>+D150/$D$2</f>
        <v>0</v>
      </c>
      <c r="F150" s="2">
        <v>0</v>
      </c>
      <c r="G150" s="8">
        <f>+F150/$D$2</f>
        <v>0</v>
      </c>
      <c r="H150" s="2">
        <f t="shared" si="79"/>
        <v>0</v>
      </c>
      <c r="I150" s="2">
        <f t="shared" si="79"/>
        <v>0</v>
      </c>
      <c r="J150" s="2">
        <f t="shared" si="79"/>
        <v>0</v>
      </c>
      <c r="K150" s="2">
        <f t="shared" si="79"/>
        <v>0</v>
      </c>
      <c r="L150" s="2">
        <f t="shared" si="79"/>
        <v>0</v>
      </c>
      <c r="M150" s="2">
        <f t="shared" si="79"/>
        <v>0</v>
      </c>
      <c r="N150" s="2">
        <f t="shared" si="79"/>
        <v>0</v>
      </c>
      <c r="O150" s="2">
        <f t="shared" si="79"/>
        <v>0</v>
      </c>
      <c r="P150" s="2">
        <f t="shared" si="79"/>
        <v>0</v>
      </c>
      <c r="Q150" s="2">
        <f t="shared" si="79"/>
        <v>0</v>
      </c>
      <c r="R150" s="2">
        <f t="shared" si="79"/>
        <v>0</v>
      </c>
      <c r="S150" s="2">
        <f t="shared" si="79"/>
        <v>0</v>
      </c>
      <c r="U150" s="6">
        <f t="shared" si="65"/>
        <v>0</v>
      </c>
      <c r="V150" s="23">
        <f t="shared" si="80"/>
        <v>0</v>
      </c>
      <c r="W150" s="2">
        <f t="shared" si="83"/>
        <v>0</v>
      </c>
      <c r="X150" s="2">
        <f t="shared" si="83"/>
        <v>0</v>
      </c>
      <c r="Y150" s="2">
        <f t="shared" si="83"/>
        <v>0</v>
      </c>
      <c r="Z150" s="2">
        <f t="shared" si="83"/>
        <v>0</v>
      </c>
      <c r="AA150" s="2">
        <f t="shared" si="83"/>
        <v>0</v>
      </c>
      <c r="AB150" s="2">
        <f t="shared" si="83"/>
        <v>0</v>
      </c>
      <c r="AC150" s="2">
        <f t="shared" si="83"/>
        <v>0</v>
      </c>
      <c r="AD150" s="2">
        <f t="shared" si="83"/>
        <v>0</v>
      </c>
      <c r="AE150" s="2">
        <f t="shared" si="83"/>
        <v>0</v>
      </c>
      <c r="AF150" s="2">
        <f t="shared" si="83"/>
        <v>0</v>
      </c>
      <c r="AG150" s="2">
        <f t="shared" si="83"/>
        <v>0</v>
      </c>
      <c r="AH150" s="2">
        <f t="shared" si="83"/>
        <v>0</v>
      </c>
    </row>
    <row r="151" spans="1:34" outlineLevel="2" x14ac:dyDescent="0.25">
      <c r="A151" s="1" t="s">
        <v>154</v>
      </c>
      <c r="B151" s="2">
        <v>-35306.28</v>
      </c>
      <c r="C151" s="8">
        <f>+B151/$B$2</f>
        <v>-3.1999447234914717E-3</v>
      </c>
      <c r="D151" s="2">
        <v>-192004.47</v>
      </c>
      <c r="E151" s="8">
        <f>+D151/$D$2</f>
        <v>-2.2828501045321262E-2</v>
      </c>
      <c r="F151" s="2">
        <v>-185000</v>
      </c>
      <c r="G151" s="8">
        <f>+F151/$D$2</f>
        <v>-2.1995699857323286E-2</v>
      </c>
      <c r="H151" s="2">
        <f t="shared" si="79"/>
        <v>-15416.666666666666</v>
      </c>
      <c r="I151" s="2">
        <f t="shared" si="79"/>
        <v>-15416.666666666666</v>
      </c>
      <c r="J151" s="2">
        <f t="shared" si="79"/>
        <v>-15416.666666666666</v>
      </c>
      <c r="K151" s="2">
        <f t="shared" si="79"/>
        <v>-15416.666666666666</v>
      </c>
      <c r="L151" s="2">
        <f t="shared" si="79"/>
        <v>-15416.666666666666</v>
      </c>
      <c r="M151" s="2">
        <f t="shared" si="79"/>
        <v>-15416.666666666666</v>
      </c>
      <c r="N151" s="2">
        <f t="shared" si="79"/>
        <v>-15416.666666666666</v>
      </c>
      <c r="O151" s="2">
        <f t="shared" si="79"/>
        <v>-15416.666666666666</v>
      </c>
      <c r="P151" s="2">
        <f t="shared" si="79"/>
        <v>-15416.666666666666</v>
      </c>
      <c r="Q151" s="2">
        <f t="shared" si="79"/>
        <v>-15416.666666666666</v>
      </c>
      <c r="R151" s="2">
        <f t="shared" si="79"/>
        <v>-15416.666666666666</v>
      </c>
      <c r="S151" s="2">
        <f t="shared" si="79"/>
        <v>-15416.666666666666</v>
      </c>
      <c r="U151" s="6">
        <f t="shared" si="65"/>
        <v>-184999.99999999997</v>
      </c>
      <c r="V151" s="23">
        <f t="shared" si="80"/>
        <v>-0.28726708074534157</v>
      </c>
      <c r="W151" s="2">
        <f t="shared" si="83"/>
        <v>-15416.666666666666</v>
      </c>
      <c r="X151" s="2">
        <f t="shared" si="83"/>
        <v>-15416.666666666666</v>
      </c>
      <c r="Y151" s="2">
        <f t="shared" si="83"/>
        <v>-15416.666666666666</v>
      </c>
      <c r="Z151" s="2">
        <f t="shared" si="83"/>
        <v>-15416.666666666666</v>
      </c>
      <c r="AA151" s="2">
        <f t="shared" si="83"/>
        <v>-15416.666666666666</v>
      </c>
      <c r="AB151" s="2">
        <f t="shared" si="83"/>
        <v>-15416.666666666666</v>
      </c>
      <c r="AC151" s="2">
        <f t="shared" si="83"/>
        <v>-15416.666666666666</v>
      </c>
      <c r="AD151" s="2">
        <f t="shared" si="83"/>
        <v>-15416.666666666666</v>
      </c>
      <c r="AE151" s="2">
        <f t="shared" si="83"/>
        <v>-15416.666666666666</v>
      </c>
      <c r="AF151" s="2">
        <f t="shared" si="83"/>
        <v>-15416.666666666666</v>
      </c>
      <c r="AG151" s="2">
        <f t="shared" si="83"/>
        <v>-15416.666666666666</v>
      </c>
      <c r="AH151" s="2">
        <f t="shared" si="83"/>
        <v>-15416.666666666666</v>
      </c>
    </row>
    <row r="152" spans="1:34" outlineLevel="2" x14ac:dyDescent="0.25">
      <c r="A152" s="10" t="s">
        <v>155</v>
      </c>
      <c r="C152" s="8"/>
      <c r="E152" s="8"/>
      <c r="G152" s="8"/>
      <c r="H152" s="2">
        <f t="shared" si="79"/>
        <v>0</v>
      </c>
      <c r="I152" s="2">
        <f t="shared" si="79"/>
        <v>0</v>
      </c>
      <c r="J152" s="2">
        <f t="shared" si="79"/>
        <v>0</v>
      </c>
      <c r="K152" s="2">
        <f t="shared" si="79"/>
        <v>0</v>
      </c>
      <c r="L152" s="2">
        <f t="shared" si="79"/>
        <v>0</v>
      </c>
      <c r="M152" s="2">
        <f t="shared" si="79"/>
        <v>0</v>
      </c>
      <c r="N152" s="2">
        <f t="shared" si="79"/>
        <v>0</v>
      </c>
      <c r="O152" s="2">
        <f t="shared" si="79"/>
        <v>0</v>
      </c>
      <c r="P152" s="2">
        <f t="shared" si="79"/>
        <v>0</v>
      </c>
      <c r="Q152" s="2">
        <f t="shared" si="79"/>
        <v>0</v>
      </c>
      <c r="R152" s="2">
        <f t="shared" si="79"/>
        <v>0</v>
      </c>
      <c r="S152" s="2">
        <f t="shared" si="79"/>
        <v>0</v>
      </c>
      <c r="U152" s="6">
        <f t="shared" si="65"/>
        <v>0</v>
      </c>
      <c r="V152" s="23">
        <f t="shared" si="80"/>
        <v>0</v>
      </c>
      <c r="W152" s="2">
        <f t="shared" si="83"/>
        <v>0</v>
      </c>
      <c r="X152" s="2">
        <f t="shared" si="83"/>
        <v>0</v>
      </c>
      <c r="Y152" s="2">
        <f t="shared" si="83"/>
        <v>0</v>
      </c>
      <c r="Z152" s="2">
        <f t="shared" si="83"/>
        <v>0</v>
      </c>
      <c r="AA152" s="2">
        <f t="shared" si="83"/>
        <v>0</v>
      </c>
      <c r="AB152" s="2">
        <f t="shared" si="83"/>
        <v>0</v>
      </c>
      <c r="AC152" s="2">
        <f t="shared" si="83"/>
        <v>0</v>
      </c>
      <c r="AD152" s="2">
        <f t="shared" si="83"/>
        <v>0</v>
      </c>
      <c r="AE152" s="2">
        <f t="shared" si="83"/>
        <v>0</v>
      </c>
      <c r="AF152" s="2">
        <f t="shared" si="83"/>
        <v>0</v>
      </c>
      <c r="AG152" s="2">
        <f t="shared" si="83"/>
        <v>0</v>
      </c>
      <c r="AH152" s="2">
        <f t="shared" si="83"/>
        <v>0</v>
      </c>
    </row>
    <row r="153" spans="1:34" s="5" customFormat="1" x14ac:dyDescent="0.25">
      <c r="A153" s="5" t="s">
        <v>156</v>
      </c>
      <c r="B153" s="6">
        <v>408580.07</v>
      </c>
      <c r="C153" s="7">
        <f t="shared" ref="C153:C174" si="84">+B153/$B$2</f>
        <v>3.7031192159589631E-2</v>
      </c>
      <c r="D153" s="6">
        <v>4780.0600000000004</v>
      </c>
      <c r="E153" s="7">
        <f t="shared" ref="E153:E174" si="85">+D153/$D$2</f>
        <v>5.6832845978376629E-4</v>
      </c>
      <c r="F153" s="6">
        <f>SUM(F154:F159)</f>
        <v>0</v>
      </c>
      <c r="G153" s="7">
        <f t="shared" ref="G153:G174" si="86">+F153/$D$2</f>
        <v>0</v>
      </c>
      <c r="H153" s="6">
        <f>SUM(H154:H159)</f>
        <v>0</v>
      </c>
      <c r="I153" s="6">
        <f t="shared" ref="I153:S153" si="87">SUM(I154:I159)</f>
        <v>0</v>
      </c>
      <c r="J153" s="6">
        <f t="shared" si="87"/>
        <v>0</v>
      </c>
      <c r="K153" s="6">
        <f t="shared" si="87"/>
        <v>0</v>
      </c>
      <c r="L153" s="6">
        <f t="shared" si="87"/>
        <v>0</v>
      </c>
      <c r="M153" s="6">
        <f t="shared" si="87"/>
        <v>0</v>
      </c>
      <c r="N153" s="6">
        <f t="shared" si="87"/>
        <v>0</v>
      </c>
      <c r="O153" s="6">
        <f t="shared" si="87"/>
        <v>0</v>
      </c>
      <c r="P153" s="6">
        <f t="shared" si="87"/>
        <v>0</v>
      </c>
      <c r="Q153" s="6">
        <f t="shared" si="87"/>
        <v>0</v>
      </c>
      <c r="R153" s="6">
        <f t="shared" si="87"/>
        <v>0</v>
      </c>
      <c r="S153" s="6">
        <f t="shared" si="87"/>
        <v>0</v>
      </c>
      <c r="U153" s="6">
        <f t="shared" si="65"/>
        <v>0</v>
      </c>
      <c r="V153" s="23">
        <f t="shared" si="80"/>
        <v>0</v>
      </c>
      <c r="W153" s="6">
        <f>SUM(W154:W159)</f>
        <v>0</v>
      </c>
      <c r="X153" s="6">
        <f t="shared" ref="X153:AH153" si="88">SUM(X154:X159)</f>
        <v>0</v>
      </c>
      <c r="Y153" s="6">
        <f t="shared" si="88"/>
        <v>0</v>
      </c>
      <c r="Z153" s="6">
        <f t="shared" si="88"/>
        <v>0</v>
      </c>
      <c r="AA153" s="6">
        <f t="shared" si="88"/>
        <v>0</v>
      </c>
      <c r="AB153" s="6">
        <f t="shared" si="88"/>
        <v>0</v>
      </c>
      <c r="AC153" s="6">
        <f t="shared" si="88"/>
        <v>0</v>
      </c>
      <c r="AD153" s="6">
        <f t="shared" si="88"/>
        <v>0</v>
      </c>
      <c r="AE153" s="6">
        <f t="shared" si="88"/>
        <v>0</v>
      </c>
      <c r="AF153" s="6">
        <f t="shared" si="88"/>
        <v>0</v>
      </c>
      <c r="AG153" s="6">
        <f t="shared" si="88"/>
        <v>0</v>
      </c>
      <c r="AH153" s="6">
        <f t="shared" si="88"/>
        <v>0</v>
      </c>
    </row>
    <row r="154" spans="1:34" outlineLevel="1" x14ac:dyDescent="0.25">
      <c r="A154" s="1" t="s">
        <v>157</v>
      </c>
      <c r="B154" s="2">
        <v>-21482.959999999999</v>
      </c>
      <c r="C154" s="8">
        <f t="shared" si="84"/>
        <v>-1.9470837623498808E-3</v>
      </c>
      <c r="D154" s="2">
        <v>0</v>
      </c>
      <c r="E154" s="8">
        <f t="shared" si="85"/>
        <v>0</v>
      </c>
      <c r="F154" s="2">
        <v>0</v>
      </c>
      <c r="G154" s="8">
        <f t="shared" si="86"/>
        <v>0</v>
      </c>
      <c r="H154" s="2">
        <f t="shared" si="79"/>
        <v>0</v>
      </c>
      <c r="I154" s="2">
        <f t="shared" si="79"/>
        <v>0</v>
      </c>
      <c r="J154" s="2">
        <f t="shared" si="79"/>
        <v>0</v>
      </c>
      <c r="K154" s="2">
        <f t="shared" si="79"/>
        <v>0</v>
      </c>
      <c r="L154" s="2">
        <f t="shared" si="79"/>
        <v>0</v>
      </c>
      <c r="M154" s="2">
        <f t="shared" si="79"/>
        <v>0</v>
      </c>
      <c r="N154" s="2">
        <f t="shared" si="79"/>
        <v>0</v>
      </c>
      <c r="O154" s="2">
        <f t="shared" si="79"/>
        <v>0</v>
      </c>
      <c r="P154" s="2">
        <f t="shared" si="79"/>
        <v>0</v>
      </c>
      <c r="Q154" s="2">
        <f t="shared" si="79"/>
        <v>0</v>
      </c>
      <c r="R154" s="2">
        <f t="shared" si="79"/>
        <v>0</v>
      </c>
      <c r="S154" s="2">
        <f t="shared" si="79"/>
        <v>0</v>
      </c>
      <c r="U154" s="6">
        <f t="shared" si="65"/>
        <v>0</v>
      </c>
      <c r="V154" s="23">
        <f t="shared" si="80"/>
        <v>0</v>
      </c>
      <c r="W154" s="2">
        <f t="shared" si="83"/>
        <v>0</v>
      </c>
      <c r="X154" s="2">
        <f t="shared" si="83"/>
        <v>0</v>
      </c>
      <c r="Y154" s="2">
        <f t="shared" si="83"/>
        <v>0</v>
      </c>
      <c r="Z154" s="2">
        <f t="shared" si="83"/>
        <v>0</v>
      </c>
      <c r="AA154" s="2">
        <f t="shared" si="83"/>
        <v>0</v>
      </c>
      <c r="AB154" s="2">
        <f t="shared" si="83"/>
        <v>0</v>
      </c>
      <c r="AC154" s="2">
        <f t="shared" si="83"/>
        <v>0</v>
      </c>
      <c r="AD154" s="2">
        <f t="shared" si="83"/>
        <v>0</v>
      </c>
      <c r="AE154" s="2">
        <f t="shared" si="83"/>
        <v>0</v>
      </c>
      <c r="AF154" s="2">
        <f t="shared" si="83"/>
        <v>0</v>
      </c>
      <c r="AG154" s="2">
        <f t="shared" si="83"/>
        <v>0</v>
      </c>
      <c r="AH154" s="2">
        <f t="shared" si="83"/>
        <v>0</v>
      </c>
    </row>
    <row r="155" spans="1:34" outlineLevel="1" x14ac:dyDescent="0.25">
      <c r="A155" s="1" t="s">
        <v>158</v>
      </c>
      <c r="B155" s="2">
        <v>-0.26</v>
      </c>
      <c r="C155" s="8">
        <f t="shared" si="84"/>
        <v>-2.356480569767709E-8</v>
      </c>
      <c r="D155" s="2">
        <v>0</v>
      </c>
      <c r="E155" s="8">
        <f t="shared" si="85"/>
        <v>0</v>
      </c>
      <c r="F155" s="2">
        <v>0</v>
      </c>
      <c r="G155" s="8">
        <f t="shared" si="86"/>
        <v>0</v>
      </c>
      <c r="H155" s="2">
        <f t="shared" si="79"/>
        <v>0</v>
      </c>
      <c r="I155" s="2">
        <f t="shared" si="79"/>
        <v>0</v>
      </c>
      <c r="J155" s="2">
        <f t="shared" si="79"/>
        <v>0</v>
      </c>
      <c r="K155" s="2">
        <f t="shared" si="79"/>
        <v>0</v>
      </c>
      <c r="L155" s="2">
        <f t="shared" si="79"/>
        <v>0</v>
      </c>
      <c r="M155" s="2">
        <f t="shared" si="79"/>
        <v>0</v>
      </c>
      <c r="N155" s="2">
        <f t="shared" si="79"/>
        <v>0</v>
      </c>
      <c r="O155" s="2">
        <f t="shared" si="79"/>
        <v>0</v>
      </c>
      <c r="P155" s="2">
        <f t="shared" si="79"/>
        <v>0</v>
      </c>
      <c r="Q155" s="2">
        <f t="shared" si="79"/>
        <v>0</v>
      </c>
      <c r="R155" s="2">
        <f t="shared" si="79"/>
        <v>0</v>
      </c>
      <c r="S155" s="2">
        <f t="shared" si="79"/>
        <v>0</v>
      </c>
      <c r="U155" s="6">
        <f t="shared" si="65"/>
        <v>0</v>
      </c>
      <c r="V155" s="23">
        <f t="shared" si="80"/>
        <v>0</v>
      </c>
      <c r="W155" s="2">
        <f t="shared" si="83"/>
        <v>0</v>
      </c>
      <c r="X155" s="2">
        <f t="shared" si="83"/>
        <v>0</v>
      </c>
      <c r="Y155" s="2">
        <f t="shared" si="83"/>
        <v>0</v>
      </c>
      <c r="Z155" s="2">
        <f t="shared" si="83"/>
        <v>0</v>
      </c>
      <c r="AA155" s="2">
        <f t="shared" si="83"/>
        <v>0</v>
      </c>
      <c r="AB155" s="2">
        <f t="shared" si="83"/>
        <v>0</v>
      </c>
      <c r="AC155" s="2">
        <f t="shared" si="83"/>
        <v>0</v>
      </c>
      <c r="AD155" s="2">
        <f t="shared" si="83"/>
        <v>0</v>
      </c>
      <c r="AE155" s="2">
        <f t="shared" si="83"/>
        <v>0</v>
      </c>
      <c r="AF155" s="2">
        <f t="shared" si="83"/>
        <v>0</v>
      </c>
      <c r="AG155" s="2">
        <f t="shared" si="83"/>
        <v>0</v>
      </c>
      <c r="AH155" s="2">
        <f t="shared" si="83"/>
        <v>0</v>
      </c>
    </row>
    <row r="156" spans="1:34" s="5" customFormat="1" outlineLevel="1" x14ac:dyDescent="0.25">
      <c r="A156" s="1" t="s">
        <v>159</v>
      </c>
      <c r="B156" s="2">
        <v>5539.4</v>
      </c>
      <c r="C156" s="8">
        <f t="shared" si="84"/>
        <v>5.020572487758172E-4</v>
      </c>
      <c r="D156" s="2">
        <v>0</v>
      </c>
      <c r="E156" s="8">
        <f t="shared" si="85"/>
        <v>0</v>
      </c>
      <c r="F156" s="2">
        <v>0</v>
      </c>
      <c r="G156" s="8">
        <f t="shared" si="86"/>
        <v>0</v>
      </c>
      <c r="H156" s="2">
        <f t="shared" si="79"/>
        <v>0</v>
      </c>
      <c r="I156" s="2">
        <f t="shared" si="79"/>
        <v>0</v>
      </c>
      <c r="J156" s="2">
        <f t="shared" si="79"/>
        <v>0</v>
      </c>
      <c r="K156" s="2">
        <f t="shared" si="79"/>
        <v>0</v>
      </c>
      <c r="L156" s="2">
        <f t="shared" si="79"/>
        <v>0</v>
      </c>
      <c r="M156" s="2">
        <f t="shared" si="79"/>
        <v>0</v>
      </c>
      <c r="N156" s="2">
        <f t="shared" si="79"/>
        <v>0</v>
      </c>
      <c r="O156" s="2">
        <f t="shared" si="79"/>
        <v>0</v>
      </c>
      <c r="P156" s="2">
        <f t="shared" si="79"/>
        <v>0</v>
      </c>
      <c r="Q156" s="2">
        <f t="shared" si="79"/>
        <v>0</v>
      </c>
      <c r="R156" s="2">
        <f t="shared" si="79"/>
        <v>0</v>
      </c>
      <c r="S156" s="2">
        <f t="shared" si="79"/>
        <v>0</v>
      </c>
      <c r="U156" s="6">
        <f t="shared" si="65"/>
        <v>0</v>
      </c>
      <c r="V156" s="23">
        <f t="shared" si="80"/>
        <v>0</v>
      </c>
      <c r="W156" s="2">
        <f t="shared" si="83"/>
        <v>0</v>
      </c>
      <c r="X156" s="2">
        <f t="shared" si="83"/>
        <v>0</v>
      </c>
      <c r="Y156" s="2">
        <f t="shared" si="83"/>
        <v>0</v>
      </c>
      <c r="Z156" s="2">
        <f t="shared" si="83"/>
        <v>0</v>
      </c>
      <c r="AA156" s="2">
        <f t="shared" si="83"/>
        <v>0</v>
      </c>
      <c r="AB156" s="2">
        <f t="shared" si="83"/>
        <v>0</v>
      </c>
      <c r="AC156" s="2">
        <f t="shared" si="83"/>
        <v>0</v>
      </c>
      <c r="AD156" s="2">
        <f t="shared" si="83"/>
        <v>0</v>
      </c>
      <c r="AE156" s="2">
        <f t="shared" si="83"/>
        <v>0</v>
      </c>
      <c r="AF156" s="2">
        <f t="shared" si="83"/>
        <v>0</v>
      </c>
      <c r="AG156" s="2">
        <f t="shared" si="83"/>
        <v>0</v>
      </c>
      <c r="AH156" s="2">
        <f t="shared" si="83"/>
        <v>0</v>
      </c>
    </row>
    <row r="157" spans="1:34" outlineLevel="1" x14ac:dyDescent="0.25">
      <c r="A157" s="1" t="s">
        <v>160</v>
      </c>
      <c r="B157" s="2">
        <v>261929.73</v>
      </c>
      <c r="C157" s="8">
        <f t="shared" si="84"/>
        <v>2.3739704591903929E-2</v>
      </c>
      <c r="D157" s="2">
        <v>642.16</v>
      </c>
      <c r="E157" s="8">
        <f t="shared" si="85"/>
        <v>7.6350046596641733E-5</v>
      </c>
      <c r="F157" s="2">
        <v>0</v>
      </c>
      <c r="G157" s="8">
        <f t="shared" si="86"/>
        <v>0</v>
      </c>
      <c r="H157" s="2">
        <f t="shared" si="79"/>
        <v>0</v>
      </c>
      <c r="I157" s="2">
        <f t="shared" si="79"/>
        <v>0</v>
      </c>
      <c r="J157" s="2">
        <f t="shared" si="79"/>
        <v>0</v>
      </c>
      <c r="K157" s="2">
        <f t="shared" si="79"/>
        <v>0</v>
      </c>
      <c r="L157" s="2">
        <f t="shared" si="79"/>
        <v>0</v>
      </c>
      <c r="M157" s="2">
        <f t="shared" si="79"/>
        <v>0</v>
      </c>
      <c r="N157" s="2">
        <f t="shared" si="79"/>
        <v>0</v>
      </c>
      <c r="O157" s="2">
        <f t="shared" si="79"/>
        <v>0</v>
      </c>
      <c r="P157" s="2">
        <f t="shared" si="79"/>
        <v>0</v>
      </c>
      <c r="Q157" s="2">
        <f t="shared" si="79"/>
        <v>0</v>
      </c>
      <c r="R157" s="2">
        <f t="shared" si="79"/>
        <v>0</v>
      </c>
      <c r="S157" s="2">
        <f t="shared" si="79"/>
        <v>0</v>
      </c>
      <c r="U157" s="6">
        <f t="shared" si="65"/>
        <v>0</v>
      </c>
      <c r="V157" s="23">
        <f t="shared" si="80"/>
        <v>0</v>
      </c>
      <c r="W157" s="2">
        <f t="shared" si="83"/>
        <v>0</v>
      </c>
      <c r="X157" s="2">
        <f t="shared" si="83"/>
        <v>0</v>
      </c>
      <c r="Y157" s="2">
        <f t="shared" si="83"/>
        <v>0</v>
      </c>
      <c r="Z157" s="2">
        <f t="shared" si="83"/>
        <v>0</v>
      </c>
      <c r="AA157" s="2">
        <f t="shared" si="83"/>
        <v>0</v>
      </c>
      <c r="AB157" s="2">
        <f t="shared" si="83"/>
        <v>0</v>
      </c>
      <c r="AC157" s="2">
        <f t="shared" si="83"/>
        <v>0</v>
      </c>
      <c r="AD157" s="2">
        <f t="shared" si="83"/>
        <v>0</v>
      </c>
      <c r="AE157" s="2">
        <f t="shared" si="83"/>
        <v>0</v>
      </c>
      <c r="AF157" s="2">
        <f t="shared" si="83"/>
        <v>0</v>
      </c>
      <c r="AG157" s="2">
        <f t="shared" si="83"/>
        <v>0</v>
      </c>
      <c r="AH157" s="2">
        <f t="shared" si="83"/>
        <v>0</v>
      </c>
    </row>
    <row r="158" spans="1:34" s="5" customFormat="1" outlineLevel="1" x14ac:dyDescent="0.25">
      <c r="A158" s="1" t="s">
        <v>161</v>
      </c>
      <c r="B158" s="2">
        <v>162594.16</v>
      </c>
      <c r="C158" s="8">
        <f t="shared" si="84"/>
        <v>1.4736537646065462E-2</v>
      </c>
      <c r="D158" s="2">
        <v>4132.3100000000004</v>
      </c>
      <c r="E158" s="8">
        <f t="shared" si="85"/>
        <v>4.9131378636440865E-4</v>
      </c>
      <c r="F158" s="2">
        <v>0</v>
      </c>
      <c r="G158" s="8">
        <f t="shared" si="86"/>
        <v>0</v>
      </c>
      <c r="H158" s="2">
        <f t="shared" si="79"/>
        <v>0</v>
      </c>
      <c r="I158" s="2">
        <f t="shared" si="79"/>
        <v>0</v>
      </c>
      <c r="J158" s="2">
        <f t="shared" si="79"/>
        <v>0</v>
      </c>
      <c r="K158" s="2">
        <f t="shared" si="79"/>
        <v>0</v>
      </c>
      <c r="L158" s="2">
        <f t="shared" si="79"/>
        <v>0</v>
      </c>
      <c r="M158" s="2">
        <f t="shared" si="79"/>
        <v>0</v>
      </c>
      <c r="N158" s="2">
        <f t="shared" si="79"/>
        <v>0</v>
      </c>
      <c r="O158" s="2">
        <f t="shared" si="79"/>
        <v>0</v>
      </c>
      <c r="P158" s="2">
        <f t="shared" si="79"/>
        <v>0</v>
      </c>
      <c r="Q158" s="2">
        <f t="shared" si="79"/>
        <v>0</v>
      </c>
      <c r="R158" s="2">
        <f t="shared" si="79"/>
        <v>0</v>
      </c>
      <c r="S158" s="2">
        <f t="shared" si="79"/>
        <v>0</v>
      </c>
      <c r="U158" s="6">
        <f t="shared" si="65"/>
        <v>0</v>
      </c>
      <c r="V158" s="23">
        <f t="shared" si="80"/>
        <v>0</v>
      </c>
      <c r="W158" s="2">
        <f t="shared" si="83"/>
        <v>0</v>
      </c>
      <c r="X158" s="2">
        <f t="shared" si="83"/>
        <v>0</v>
      </c>
      <c r="Y158" s="2">
        <f t="shared" si="83"/>
        <v>0</v>
      </c>
      <c r="Z158" s="2">
        <f t="shared" si="83"/>
        <v>0</v>
      </c>
      <c r="AA158" s="2">
        <f t="shared" si="83"/>
        <v>0</v>
      </c>
      <c r="AB158" s="2">
        <f t="shared" si="83"/>
        <v>0</v>
      </c>
      <c r="AC158" s="2">
        <f t="shared" si="83"/>
        <v>0</v>
      </c>
      <c r="AD158" s="2">
        <f t="shared" si="83"/>
        <v>0</v>
      </c>
      <c r="AE158" s="2">
        <f t="shared" si="83"/>
        <v>0</v>
      </c>
      <c r="AF158" s="2">
        <f t="shared" si="83"/>
        <v>0</v>
      </c>
      <c r="AG158" s="2">
        <f t="shared" si="83"/>
        <v>0</v>
      </c>
      <c r="AH158" s="2">
        <f t="shared" si="83"/>
        <v>0</v>
      </c>
    </row>
    <row r="159" spans="1:34" outlineLevel="1" x14ac:dyDescent="0.25">
      <c r="A159" s="1" t="s">
        <v>162</v>
      </c>
      <c r="B159" s="2">
        <v>0</v>
      </c>
      <c r="C159" s="8">
        <f t="shared" si="84"/>
        <v>0</v>
      </c>
      <c r="D159" s="2">
        <v>5.59</v>
      </c>
      <c r="E159" s="8">
        <f t="shared" si="85"/>
        <v>6.6462682271587652E-7</v>
      </c>
      <c r="F159" s="2">
        <v>0</v>
      </c>
      <c r="G159" s="8">
        <f t="shared" si="86"/>
        <v>0</v>
      </c>
      <c r="H159" s="2">
        <f t="shared" si="79"/>
        <v>0</v>
      </c>
      <c r="I159" s="2">
        <f t="shared" si="79"/>
        <v>0</v>
      </c>
      <c r="J159" s="2">
        <f t="shared" si="79"/>
        <v>0</v>
      </c>
      <c r="K159" s="2">
        <f t="shared" si="79"/>
        <v>0</v>
      </c>
      <c r="L159" s="2">
        <f t="shared" si="79"/>
        <v>0</v>
      </c>
      <c r="M159" s="2">
        <f t="shared" si="79"/>
        <v>0</v>
      </c>
      <c r="N159" s="2">
        <f t="shared" si="79"/>
        <v>0</v>
      </c>
      <c r="O159" s="2">
        <f t="shared" si="79"/>
        <v>0</v>
      </c>
      <c r="P159" s="2">
        <f t="shared" si="79"/>
        <v>0</v>
      </c>
      <c r="Q159" s="2">
        <f t="shared" si="79"/>
        <v>0</v>
      </c>
      <c r="R159" s="2">
        <f t="shared" si="79"/>
        <v>0</v>
      </c>
      <c r="S159" s="2">
        <f t="shared" si="79"/>
        <v>0</v>
      </c>
      <c r="U159" s="6">
        <f t="shared" si="65"/>
        <v>0</v>
      </c>
      <c r="V159" s="23">
        <f t="shared" si="80"/>
        <v>0</v>
      </c>
      <c r="W159" s="2">
        <f t="shared" si="83"/>
        <v>0</v>
      </c>
      <c r="X159" s="2">
        <f t="shared" si="83"/>
        <v>0</v>
      </c>
      <c r="Y159" s="2">
        <f t="shared" si="83"/>
        <v>0</v>
      </c>
      <c r="Z159" s="2">
        <f t="shared" si="83"/>
        <v>0</v>
      </c>
      <c r="AA159" s="2">
        <f t="shared" si="83"/>
        <v>0</v>
      </c>
      <c r="AB159" s="2">
        <f t="shared" si="83"/>
        <v>0</v>
      </c>
      <c r="AC159" s="2">
        <f t="shared" si="83"/>
        <v>0</v>
      </c>
      <c r="AD159" s="2">
        <f t="shared" si="83"/>
        <v>0</v>
      </c>
      <c r="AE159" s="2">
        <f t="shared" si="83"/>
        <v>0</v>
      </c>
      <c r="AF159" s="2">
        <f t="shared" si="83"/>
        <v>0</v>
      </c>
      <c r="AG159" s="2">
        <f t="shared" si="83"/>
        <v>0</v>
      </c>
      <c r="AH159" s="2">
        <f t="shared" si="83"/>
        <v>0</v>
      </c>
    </row>
    <row r="160" spans="1:34" x14ac:dyDescent="0.25">
      <c r="A160" s="5" t="s">
        <v>163</v>
      </c>
      <c r="B160" s="6">
        <v>79815.25</v>
      </c>
      <c r="C160" s="7">
        <f t="shared" si="84"/>
        <v>7.2339648383135434E-3</v>
      </c>
      <c r="D160" s="6">
        <v>19221.78</v>
      </c>
      <c r="E160" s="7">
        <f t="shared" si="85"/>
        <v>2.2853865059648624E-3</v>
      </c>
      <c r="F160" s="6">
        <f>SUM(F161:F162)</f>
        <v>19221.78</v>
      </c>
      <c r="G160" s="7">
        <f t="shared" si="86"/>
        <v>2.2853865059648624E-3</v>
      </c>
      <c r="H160" s="6">
        <f>SUM(H161:H162)</f>
        <v>1601.8149999999998</v>
      </c>
      <c r="I160" s="6">
        <f t="shared" ref="I160:S160" si="89">SUM(I161:I162)</f>
        <v>1601.8149999999998</v>
      </c>
      <c r="J160" s="6">
        <f t="shared" si="89"/>
        <v>1601.8149999999998</v>
      </c>
      <c r="K160" s="6">
        <f t="shared" si="89"/>
        <v>1601.8149999999998</v>
      </c>
      <c r="L160" s="6">
        <f t="shared" si="89"/>
        <v>1601.8149999999998</v>
      </c>
      <c r="M160" s="6">
        <f t="shared" si="89"/>
        <v>1601.8149999999998</v>
      </c>
      <c r="N160" s="6">
        <f t="shared" si="89"/>
        <v>1601.8149999999998</v>
      </c>
      <c r="O160" s="6">
        <f t="shared" si="89"/>
        <v>1601.8149999999998</v>
      </c>
      <c r="P160" s="6">
        <f t="shared" si="89"/>
        <v>1601.8149999999998</v>
      </c>
      <c r="Q160" s="6">
        <f t="shared" si="89"/>
        <v>1601.8149999999998</v>
      </c>
      <c r="R160" s="6">
        <f t="shared" si="89"/>
        <v>1601.8149999999998</v>
      </c>
      <c r="S160" s="6">
        <f t="shared" si="89"/>
        <v>1601.8149999999998</v>
      </c>
      <c r="U160" s="6">
        <f t="shared" si="65"/>
        <v>19221.78</v>
      </c>
      <c r="V160" s="23">
        <f t="shared" si="80"/>
        <v>2.9847484472049688E-2</v>
      </c>
      <c r="W160" s="6">
        <f>SUM(W161:W162)</f>
        <v>1601.8149999999998</v>
      </c>
      <c r="X160" s="6">
        <f t="shared" ref="X160:AH160" si="90">SUM(X161:X162)</f>
        <v>1601.8149999999998</v>
      </c>
      <c r="Y160" s="6">
        <f t="shared" si="90"/>
        <v>1601.8149999999998</v>
      </c>
      <c r="Z160" s="6">
        <f t="shared" si="90"/>
        <v>1601.8149999999998</v>
      </c>
      <c r="AA160" s="6">
        <f t="shared" si="90"/>
        <v>1601.8149999999998</v>
      </c>
      <c r="AB160" s="6">
        <f t="shared" si="90"/>
        <v>1601.8149999999998</v>
      </c>
      <c r="AC160" s="6">
        <f t="shared" si="90"/>
        <v>1601.8149999999998</v>
      </c>
      <c r="AD160" s="6">
        <f t="shared" si="90"/>
        <v>1601.8149999999998</v>
      </c>
      <c r="AE160" s="6">
        <f t="shared" si="90"/>
        <v>1601.8149999999998</v>
      </c>
      <c r="AF160" s="6">
        <f t="shared" si="90"/>
        <v>1601.8149999999998</v>
      </c>
      <c r="AG160" s="6">
        <f t="shared" si="90"/>
        <v>1601.8149999999998</v>
      </c>
      <c r="AH160" s="6">
        <f t="shared" si="90"/>
        <v>1601.8149999999998</v>
      </c>
    </row>
    <row r="161" spans="1:34" hidden="1" outlineLevel="1" x14ac:dyDescent="0.25">
      <c r="A161" s="1" t="s">
        <v>164</v>
      </c>
      <c r="B161" s="2">
        <v>-60773.99</v>
      </c>
      <c r="C161" s="8">
        <f t="shared" si="84"/>
        <v>-5.5081817916252706E-3</v>
      </c>
      <c r="D161" s="2">
        <v>-20602.89</v>
      </c>
      <c r="E161" s="8">
        <f t="shared" si="85"/>
        <v>-2.4495945115321476E-3</v>
      </c>
      <c r="F161" s="2">
        <v>-20602.89</v>
      </c>
      <c r="G161" s="8">
        <f t="shared" si="86"/>
        <v>-2.4495945115321476E-3</v>
      </c>
      <c r="H161" s="2">
        <f t="shared" si="79"/>
        <v>-1716.9075</v>
      </c>
      <c r="I161" s="2">
        <f t="shared" si="79"/>
        <v>-1716.9075</v>
      </c>
      <c r="J161" s="2">
        <f t="shared" si="79"/>
        <v>-1716.9075</v>
      </c>
      <c r="K161" s="2">
        <f t="shared" si="79"/>
        <v>-1716.9075</v>
      </c>
      <c r="L161" s="2">
        <f t="shared" si="79"/>
        <v>-1716.9075</v>
      </c>
      <c r="M161" s="2">
        <f t="shared" si="79"/>
        <v>-1716.9075</v>
      </c>
      <c r="N161" s="2">
        <f t="shared" si="79"/>
        <v>-1716.9075</v>
      </c>
      <c r="O161" s="2">
        <f t="shared" si="79"/>
        <v>-1716.9075</v>
      </c>
      <c r="P161" s="2">
        <f t="shared" si="79"/>
        <v>-1716.9075</v>
      </c>
      <c r="Q161" s="2">
        <f t="shared" si="79"/>
        <v>-1716.9075</v>
      </c>
      <c r="R161" s="2">
        <f t="shared" si="79"/>
        <v>-1716.9075</v>
      </c>
      <c r="S161" s="2">
        <f t="shared" si="79"/>
        <v>-1716.9075</v>
      </c>
      <c r="U161" s="6">
        <f t="shared" si="65"/>
        <v>-20602.89</v>
      </c>
      <c r="V161" s="23">
        <f t="shared" si="80"/>
        <v>-3.1992065217391306E-2</v>
      </c>
      <c r="W161" s="2">
        <f t="shared" si="83"/>
        <v>-1716.9075</v>
      </c>
      <c r="X161" s="2">
        <f t="shared" si="83"/>
        <v>-1716.9075</v>
      </c>
      <c r="Y161" s="2">
        <f t="shared" si="83"/>
        <v>-1716.9075</v>
      </c>
      <c r="Z161" s="2">
        <f t="shared" si="83"/>
        <v>-1716.9075</v>
      </c>
      <c r="AA161" s="2">
        <f t="shared" si="83"/>
        <v>-1716.9075</v>
      </c>
      <c r="AB161" s="2">
        <f t="shared" si="83"/>
        <v>-1716.9075</v>
      </c>
      <c r="AC161" s="2">
        <f t="shared" si="83"/>
        <v>-1716.9075</v>
      </c>
      <c r="AD161" s="2">
        <f t="shared" si="83"/>
        <v>-1716.9075</v>
      </c>
      <c r="AE161" s="2">
        <f t="shared" si="83"/>
        <v>-1716.9075</v>
      </c>
      <c r="AF161" s="2">
        <f t="shared" si="83"/>
        <v>-1716.9075</v>
      </c>
      <c r="AG161" s="2">
        <f t="shared" si="83"/>
        <v>-1716.9075</v>
      </c>
      <c r="AH161" s="2">
        <f t="shared" si="83"/>
        <v>-1716.9075</v>
      </c>
    </row>
    <row r="162" spans="1:34" s="3" customFormat="1" hidden="1" outlineLevel="1" x14ac:dyDescent="0.25">
      <c r="A162" s="1" t="s">
        <v>165</v>
      </c>
      <c r="B162" s="2">
        <v>140589.24</v>
      </c>
      <c r="C162" s="8">
        <f t="shared" si="84"/>
        <v>1.2742146629938814E-2</v>
      </c>
      <c r="D162" s="2">
        <v>39824.67</v>
      </c>
      <c r="E162" s="8">
        <f t="shared" si="85"/>
        <v>4.73498101749701E-3</v>
      </c>
      <c r="F162" s="2">
        <v>39824.67</v>
      </c>
      <c r="G162" s="8">
        <f t="shared" si="86"/>
        <v>4.73498101749701E-3</v>
      </c>
      <c r="H162" s="2">
        <f t="shared" si="79"/>
        <v>3318.7224999999999</v>
      </c>
      <c r="I162" s="2">
        <f t="shared" si="79"/>
        <v>3318.7224999999999</v>
      </c>
      <c r="J162" s="2">
        <f t="shared" si="79"/>
        <v>3318.7224999999999</v>
      </c>
      <c r="K162" s="2">
        <f t="shared" si="79"/>
        <v>3318.7224999999999</v>
      </c>
      <c r="L162" s="2">
        <f t="shared" si="79"/>
        <v>3318.7224999999999</v>
      </c>
      <c r="M162" s="2">
        <f t="shared" si="79"/>
        <v>3318.7224999999999</v>
      </c>
      <c r="N162" s="2">
        <f t="shared" si="79"/>
        <v>3318.7224999999999</v>
      </c>
      <c r="O162" s="2">
        <f t="shared" si="79"/>
        <v>3318.7224999999999</v>
      </c>
      <c r="P162" s="2">
        <f t="shared" si="79"/>
        <v>3318.7224999999999</v>
      </c>
      <c r="Q162" s="2">
        <f t="shared" si="79"/>
        <v>3318.7224999999999</v>
      </c>
      <c r="R162" s="2">
        <f t="shared" si="79"/>
        <v>3318.7224999999999</v>
      </c>
      <c r="S162" s="2">
        <f t="shared" si="79"/>
        <v>3318.7224999999999</v>
      </c>
      <c r="U162" s="6">
        <f t="shared" si="65"/>
        <v>39824.67</v>
      </c>
      <c r="V162" s="23">
        <f t="shared" si="80"/>
        <v>6.1839549689440991E-2</v>
      </c>
      <c r="W162" s="2">
        <f t="shared" si="83"/>
        <v>3318.7224999999999</v>
      </c>
      <c r="X162" s="2">
        <f t="shared" si="83"/>
        <v>3318.7224999999999</v>
      </c>
      <c r="Y162" s="2">
        <f t="shared" si="83"/>
        <v>3318.7224999999999</v>
      </c>
      <c r="Z162" s="2">
        <f t="shared" si="83"/>
        <v>3318.7224999999999</v>
      </c>
      <c r="AA162" s="2">
        <f t="shared" si="83"/>
        <v>3318.7224999999999</v>
      </c>
      <c r="AB162" s="2">
        <f t="shared" si="83"/>
        <v>3318.7224999999999</v>
      </c>
      <c r="AC162" s="2">
        <f t="shared" si="83"/>
        <v>3318.7224999999999</v>
      </c>
      <c r="AD162" s="2">
        <f t="shared" si="83"/>
        <v>3318.7224999999999</v>
      </c>
      <c r="AE162" s="2">
        <f t="shared" si="83"/>
        <v>3318.7224999999999</v>
      </c>
      <c r="AF162" s="2">
        <f t="shared" si="83"/>
        <v>3318.7224999999999</v>
      </c>
      <c r="AG162" s="2">
        <f t="shared" si="83"/>
        <v>3318.7224999999999</v>
      </c>
      <c r="AH162" s="2">
        <f t="shared" si="83"/>
        <v>3318.7224999999999</v>
      </c>
    </row>
    <row r="163" spans="1:34" s="3" customFormat="1" collapsed="1" x14ac:dyDescent="0.25">
      <c r="A163" s="5" t="s">
        <v>166</v>
      </c>
      <c r="B163" s="6">
        <v>-716.06</v>
      </c>
      <c r="C163" s="7">
        <f t="shared" si="84"/>
        <v>-6.4899287568764066E-5</v>
      </c>
      <c r="D163" s="6">
        <v>0</v>
      </c>
      <c r="E163" s="7">
        <f t="shared" si="85"/>
        <v>0</v>
      </c>
      <c r="F163" s="6">
        <v>0</v>
      </c>
      <c r="G163" s="7">
        <f t="shared" si="86"/>
        <v>0</v>
      </c>
      <c r="H163" s="6">
        <v>0</v>
      </c>
      <c r="I163" s="6">
        <v>0</v>
      </c>
      <c r="J163" s="6">
        <v>0</v>
      </c>
      <c r="K163" s="6">
        <v>0</v>
      </c>
      <c r="L163" s="6">
        <v>0</v>
      </c>
      <c r="M163" s="6">
        <v>0</v>
      </c>
      <c r="N163" s="6">
        <v>0</v>
      </c>
      <c r="O163" s="6">
        <v>0</v>
      </c>
      <c r="P163" s="6">
        <v>0</v>
      </c>
      <c r="Q163" s="6">
        <v>0</v>
      </c>
      <c r="R163" s="6">
        <v>0</v>
      </c>
      <c r="S163" s="6">
        <v>0</v>
      </c>
      <c r="U163" s="6">
        <f t="shared" si="65"/>
        <v>0</v>
      </c>
      <c r="V163" s="23">
        <f t="shared" si="80"/>
        <v>0</v>
      </c>
      <c r="W163" s="6">
        <v>0</v>
      </c>
      <c r="X163" s="6">
        <v>0</v>
      </c>
      <c r="Y163" s="6">
        <v>0</v>
      </c>
      <c r="Z163" s="6">
        <v>0</v>
      </c>
      <c r="AA163" s="6">
        <v>0</v>
      </c>
      <c r="AB163" s="6">
        <v>0</v>
      </c>
      <c r="AC163" s="6">
        <v>0</v>
      </c>
      <c r="AD163" s="6">
        <v>0</v>
      </c>
      <c r="AE163" s="6">
        <v>0</v>
      </c>
      <c r="AF163" s="6">
        <v>0</v>
      </c>
      <c r="AG163" s="6">
        <v>0</v>
      </c>
      <c r="AH163" s="6">
        <v>0</v>
      </c>
    </row>
    <row r="164" spans="1:34" s="5" customFormat="1" hidden="1" outlineLevel="1" x14ac:dyDescent="0.25">
      <c r="A164" s="1" t="s">
        <v>167</v>
      </c>
      <c r="B164" s="2">
        <v>-716.06</v>
      </c>
      <c r="C164" s="8">
        <f t="shared" si="84"/>
        <v>-6.4899287568764066E-5</v>
      </c>
      <c r="D164" s="2">
        <v>0</v>
      </c>
      <c r="E164" s="8">
        <f t="shared" si="85"/>
        <v>0</v>
      </c>
      <c r="F164" s="2">
        <v>0</v>
      </c>
      <c r="G164" s="8">
        <f t="shared" si="86"/>
        <v>0</v>
      </c>
      <c r="H164" s="2">
        <v>0</v>
      </c>
      <c r="I164" s="2">
        <v>0</v>
      </c>
      <c r="J164" s="2">
        <v>0</v>
      </c>
      <c r="K164" s="2">
        <v>0</v>
      </c>
      <c r="L164" s="2">
        <v>0</v>
      </c>
      <c r="M164" s="2">
        <v>0</v>
      </c>
      <c r="N164" s="2">
        <v>0</v>
      </c>
      <c r="O164" s="2">
        <v>0</v>
      </c>
      <c r="P164" s="2">
        <v>0</v>
      </c>
      <c r="Q164" s="2">
        <v>0</v>
      </c>
      <c r="R164" s="2">
        <v>0</v>
      </c>
      <c r="S164" s="2">
        <v>0</v>
      </c>
      <c r="U164" s="6">
        <f t="shared" si="65"/>
        <v>0</v>
      </c>
      <c r="V164" s="23">
        <f t="shared" si="80"/>
        <v>0</v>
      </c>
      <c r="W164" s="2">
        <v>0</v>
      </c>
      <c r="X164" s="2">
        <v>0</v>
      </c>
      <c r="Y164" s="2">
        <v>0</v>
      </c>
      <c r="Z164" s="2">
        <v>0</v>
      </c>
      <c r="AA164" s="2">
        <v>0</v>
      </c>
      <c r="AB164" s="2">
        <v>0</v>
      </c>
      <c r="AC164" s="2">
        <v>0</v>
      </c>
      <c r="AD164" s="2">
        <v>0</v>
      </c>
      <c r="AE164" s="2">
        <v>0</v>
      </c>
      <c r="AF164" s="2">
        <v>0</v>
      </c>
      <c r="AG164" s="2">
        <v>0</v>
      </c>
      <c r="AH164" s="2">
        <v>0</v>
      </c>
    </row>
    <row r="165" spans="1:34" collapsed="1" x14ac:dyDescent="0.25">
      <c r="A165" s="5" t="s">
        <v>168</v>
      </c>
      <c r="B165" s="6">
        <v>0</v>
      </c>
      <c r="C165" s="7">
        <f t="shared" si="84"/>
        <v>0</v>
      </c>
      <c r="D165" s="6">
        <v>0</v>
      </c>
      <c r="E165" s="7">
        <f t="shared" si="85"/>
        <v>0</v>
      </c>
      <c r="F165" s="6">
        <v>0</v>
      </c>
      <c r="G165" s="7">
        <f t="shared" si="86"/>
        <v>0</v>
      </c>
      <c r="H165" s="6">
        <v>0</v>
      </c>
      <c r="I165" s="6">
        <v>0</v>
      </c>
      <c r="J165" s="6">
        <v>0</v>
      </c>
      <c r="K165" s="6">
        <v>0</v>
      </c>
      <c r="L165" s="6">
        <v>0</v>
      </c>
      <c r="M165" s="6">
        <v>0</v>
      </c>
      <c r="N165" s="6">
        <v>0</v>
      </c>
      <c r="O165" s="6">
        <v>0</v>
      </c>
      <c r="P165" s="6">
        <v>0</v>
      </c>
      <c r="Q165" s="6">
        <v>0</v>
      </c>
      <c r="R165" s="6">
        <v>0</v>
      </c>
      <c r="S165" s="6">
        <v>0</v>
      </c>
      <c r="U165" s="6">
        <f t="shared" si="65"/>
        <v>0</v>
      </c>
      <c r="V165" s="23">
        <f t="shared" si="80"/>
        <v>0</v>
      </c>
      <c r="W165" s="6">
        <v>0</v>
      </c>
      <c r="X165" s="6">
        <v>0</v>
      </c>
      <c r="Y165" s="6">
        <v>0</v>
      </c>
      <c r="Z165" s="6">
        <v>0</v>
      </c>
      <c r="AA165" s="6">
        <v>0</v>
      </c>
      <c r="AB165" s="6">
        <v>0</v>
      </c>
      <c r="AC165" s="6">
        <v>0</v>
      </c>
      <c r="AD165" s="6">
        <v>0</v>
      </c>
      <c r="AE165" s="6">
        <v>0</v>
      </c>
      <c r="AF165" s="6">
        <v>0</v>
      </c>
      <c r="AG165" s="6">
        <v>0</v>
      </c>
      <c r="AH165" s="6">
        <v>0</v>
      </c>
    </row>
    <row r="166" spans="1:34" hidden="1" outlineLevel="1" x14ac:dyDescent="0.25">
      <c r="A166" s="1" t="s">
        <v>169</v>
      </c>
      <c r="B166" s="2">
        <v>0</v>
      </c>
      <c r="C166" s="8">
        <f t="shared" si="84"/>
        <v>0</v>
      </c>
      <c r="D166" s="2">
        <v>0</v>
      </c>
      <c r="E166" s="8">
        <f t="shared" si="85"/>
        <v>0</v>
      </c>
      <c r="F166" s="2">
        <v>0</v>
      </c>
      <c r="G166" s="8">
        <f t="shared" si="86"/>
        <v>0</v>
      </c>
      <c r="H166" s="2">
        <v>0</v>
      </c>
      <c r="I166" s="2">
        <v>0</v>
      </c>
      <c r="J166" s="2">
        <v>0</v>
      </c>
      <c r="K166" s="2">
        <v>0</v>
      </c>
      <c r="L166" s="2">
        <v>0</v>
      </c>
      <c r="M166" s="2">
        <v>0</v>
      </c>
      <c r="N166" s="2">
        <v>0</v>
      </c>
      <c r="O166" s="2">
        <v>0</v>
      </c>
      <c r="P166" s="2">
        <v>0</v>
      </c>
      <c r="Q166" s="2">
        <v>0</v>
      </c>
      <c r="R166" s="2">
        <v>0</v>
      </c>
      <c r="S166" s="2">
        <v>0</v>
      </c>
      <c r="U166" s="6">
        <f t="shared" si="65"/>
        <v>0</v>
      </c>
      <c r="V166" s="23">
        <f t="shared" si="80"/>
        <v>0</v>
      </c>
      <c r="W166" s="2">
        <v>0</v>
      </c>
      <c r="X166" s="2">
        <v>0</v>
      </c>
      <c r="Y166" s="2">
        <v>0</v>
      </c>
      <c r="Z166" s="2">
        <v>0</v>
      </c>
      <c r="AA166" s="2">
        <v>0</v>
      </c>
      <c r="AB166" s="2">
        <v>0</v>
      </c>
      <c r="AC166" s="2">
        <v>0</v>
      </c>
      <c r="AD166" s="2">
        <v>0</v>
      </c>
      <c r="AE166" s="2">
        <v>0</v>
      </c>
      <c r="AF166" s="2">
        <v>0</v>
      </c>
      <c r="AG166" s="2">
        <v>0</v>
      </c>
      <c r="AH166" s="2">
        <v>0</v>
      </c>
    </row>
    <row r="167" spans="1:34" s="3" customFormat="1" hidden="1" outlineLevel="1" x14ac:dyDescent="0.25">
      <c r="A167" s="1" t="s">
        <v>170</v>
      </c>
      <c r="B167" s="2">
        <v>0</v>
      </c>
      <c r="C167" s="8">
        <f t="shared" si="84"/>
        <v>0</v>
      </c>
      <c r="D167" s="2">
        <v>0</v>
      </c>
      <c r="E167" s="8">
        <f t="shared" si="85"/>
        <v>0</v>
      </c>
      <c r="F167" s="2">
        <v>0</v>
      </c>
      <c r="G167" s="8">
        <f t="shared" si="86"/>
        <v>0</v>
      </c>
      <c r="H167" s="2">
        <v>0</v>
      </c>
      <c r="I167" s="2">
        <v>0</v>
      </c>
      <c r="J167" s="2">
        <v>0</v>
      </c>
      <c r="K167" s="2">
        <v>0</v>
      </c>
      <c r="L167" s="2">
        <v>0</v>
      </c>
      <c r="M167" s="2">
        <v>0</v>
      </c>
      <c r="N167" s="2">
        <v>0</v>
      </c>
      <c r="O167" s="2">
        <v>0</v>
      </c>
      <c r="P167" s="2">
        <v>0</v>
      </c>
      <c r="Q167" s="2">
        <v>0</v>
      </c>
      <c r="R167" s="2">
        <v>0</v>
      </c>
      <c r="S167" s="2">
        <v>0</v>
      </c>
      <c r="U167" s="6">
        <f t="shared" si="65"/>
        <v>0</v>
      </c>
      <c r="V167" s="23">
        <f t="shared" si="80"/>
        <v>0</v>
      </c>
      <c r="W167" s="2">
        <v>0</v>
      </c>
      <c r="X167" s="2">
        <v>0</v>
      </c>
      <c r="Y167" s="2">
        <v>0</v>
      </c>
      <c r="Z167" s="2">
        <v>0</v>
      </c>
      <c r="AA167" s="2">
        <v>0</v>
      </c>
      <c r="AB167" s="2">
        <v>0</v>
      </c>
      <c r="AC167" s="2">
        <v>0</v>
      </c>
      <c r="AD167" s="2">
        <v>0</v>
      </c>
      <c r="AE167" s="2">
        <v>0</v>
      </c>
      <c r="AF167" s="2">
        <v>0</v>
      </c>
      <c r="AG167" s="2">
        <v>0</v>
      </c>
      <c r="AH167" s="2">
        <v>0</v>
      </c>
    </row>
    <row r="168" spans="1:34" hidden="1" outlineLevel="1" x14ac:dyDescent="0.25">
      <c r="A168" s="1" t="s">
        <v>171</v>
      </c>
      <c r="B168" s="2">
        <v>0</v>
      </c>
      <c r="C168" s="8">
        <f t="shared" si="84"/>
        <v>0</v>
      </c>
      <c r="D168" s="2">
        <v>0</v>
      </c>
      <c r="E168" s="8">
        <f t="shared" si="85"/>
        <v>0</v>
      </c>
      <c r="F168" s="2">
        <v>0</v>
      </c>
      <c r="G168" s="8">
        <f t="shared" si="86"/>
        <v>0</v>
      </c>
      <c r="H168" s="2">
        <v>0</v>
      </c>
      <c r="I168" s="2">
        <v>0</v>
      </c>
      <c r="J168" s="2">
        <v>0</v>
      </c>
      <c r="K168" s="2">
        <v>0</v>
      </c>
      <c r="L168" s="2">
        <v>0</v>
      </c>
      <c r="M168" s="2">
        <v>0</v>
      </c>
      <c r="N168" s="2">
        <v>0</v>
      </c>
      <c r="O168" s="2">
        <v>0</v>
      </c>
      <c r="P168" s="2">
        <v>0</v>
      </c>
      <c r="Q168" s="2">
        <v>0</v>
      </c>
      <c r="R168" s="2">
        <v>0</v>
      </c>
      <c r="S168" s="2">
        <v>0</v>
      </c>
      <c r="U168" s="6">
        <f t="shared" si="65"/>
        <v>0</v>
      </c>
      <c r="V168" s="23">
        <f t="shared" si="80"/>
        <v>0</v>
      </c>
      <c r="W168" s="2">
        <v>0</v>
      </c>
      <c r="X168" s="2">
        <v>0</v>
      </c>
      <c r="Y168" s="2">
        <v>0</v>
      </c>
      <c r="Z168" s="2">
        <v>0</v>
      </c>
      <c r="AA168" s="2">
        <v>0</v>
      </c>
      <c r="AB168" s="2">
        <v>0</v>
      </c>
      <c r="AC168" s="2">
        <v>0</v>
      </c>
      <c r="AD168" s="2">
        <v>0</v>
      </c>
      <c r="AE168" s="2">
        <v>0</v>
      </c>
      <c r="AF168" s="2">
        <v>0</v>
      </c>
      <c r="AG168" s="2">
        <v>0</v>
      </c>
      <c r="AH168" s="2">
        <v>0</v>
      </c>
    </row>
    <row r="169" spans="1:34" collapsed="1" x14ac:dyDescent="0.25">
      <c r="A169" s="3" t="s">
        <v>172</v>
      </c>
      <c r="B169" s="4">
        <v>663360.6</v>
      </c>
      <c r="C169" s="11">
        <f t="shared" si="84"/>
        <v>6.0122937101901891E-2</v>
      </c>
      <c r="D169" s="4">
        <v>-6097.62</v>
      </c>
      <c r="E169" s="11">
        <f t="shared" si="85"/>
        <v>-7.2498064521087362E-4</v>
      </c>
      <c r="F169" s="4">
        <f>+F137+F146+F153+F160+F163+F165</f>
        <v>-10709.220000000001</v>
      </c>
      <c r="G169" s="11">
        <f t="shared" si="86"/>
        <v>-1.2732799396002361E-3</v>
      </c>
      <c r="H169" s="4">
        <f>+H137+H146+H153+H160+H163+H165</f>
        <v>-892.43500000000017</v>
      </c>
      <c r="I169" s="4">
        <f t="shared" ref="I169:S169" si="91">+I137+I146+I153+I160+I163+I165</f>
        <v>-891.43500000000017</v>
      </c>
      <c r="J169" s="4">
        <f t="shared" si="91"/>
        <v>-890.43500000000017</v>
      </c>
      <c r="K169" s="4">
        <f t="shared" si="91"/>
        <v>-889.43500000000017</v>
      </c>
      <c r="L169" s="4">
        <f t="shared" si="91"/>
        <v>-888.43500000000017</v>
      </c>
      <c r="M169" s="4">
        <f t="shared" si="91"/>
        <v>-887.43500000000017</v>
      </c>
      <c r="N169" s="4">
        <f t="shared" si="91"/>
        <v>-886.43500000000017</v>
      </c>
      <c r="O169" s="4">
        <f t="shared" si="91"/>
        <v>-885.43500000000017</v>
      </c>
      <c r="P169" s="4">
        <f t="shared" si="91"/>
        <v>-884.43500000000017</v>
      </c>
      <c r="Q169" s="4">
        <f t="shared" si="91"/>
        <v>-883.43500000000017</v>
      </c>
      <c r="R169" s="4">
        <f t="shared" si="91"/>
        <v>-882.43500000000017</v>
      </c>
      <c r="S169" s="4">
        <f t="shared" si="91"/>
        <v>-881.43500000000017</v>
      </c>
      <c r="U169" s="6">
        <f t="shared" si="65"/>
        <v>-206609.22</v>
      </c>
      <c r="V169" s="23">
        <f t="shared" si="80"/>
        <v>-0.3208217701863354</v>
      </c>
      <c r="W169" s="4">
        <f>+W137+W146+W153+W160+W163+W165</f>
        <v>-17217.435000000001</v>
      </c>
      <c r="X169" s="4">
        <f t="shared" ref="X169:AH169" si="92">+X137+X146+X153+X160+X163+X165</f>
        <v>-17217.435000000001</v>
      </c>
      <c r="Y169" s="4">
        <f t="shared" si="92"/>
        <v>-17217.435000000001</v>
      </c>
      <c r="Z169" s="4">
        <f t="shared" si="92"/>
        <v>-17217.435000000001</v>
      </c>
      <c r="AA169" s="4">
        <f t="shared" si="92"/>
        <v>-17217.435000000001</v>
      </c>
      <c r="AB169" s="4">
        <f t="shared" si="92"/>
        <v>-17217.435000000001</v>
      </c>
      <c r="AC169" s="4">
        <f t="shared" si="92"/>
        <v>-17217.435000000001</v>
      </c>
      <c r="AD169" s="4">
        <f t="shared" si="92"/>
        <v>-17217.435000000001</v>
      </c>
      <c r="AE169" s="4">
        <f t="shared" si="92"/>
        <v>-17217.435000000001</v>
      </c>
      <c r="AF169" s="4">
        <f t="shared" si="92"/>
        <v>-17217.435000000001</v>
      </c>
      <c r="AG169" s="4">
        <f t="shared" si="92"/>
        <v>-17217.435000000001</v>
      </c>
      <c r="AH169" s="4">
        <f t="shared" si="92"/>
        <v>-17217.435000000001</v>
      </c>
    </row>
    <row r="170" spans="1:34" x14ac:dyDescent="0.25">
      <c r="A170" s="3" t="s">
        <v>173</v>
      </c>
      <c r="B170" s="4">
        <v>2829000.19</v>
      </c>
      <c r="C170" s="11">
        <f t="shared" si="84"/>
        <v>0.25640322998477527</v>
      </c>
      <c r="D170" s="4">
        <v>1255729.4099999999</v>
      </c>
      <c r="E170" s="11">
        <f t="shared" si="85"/>
        <v>0.14930079569931703</v>
      </c>
      <c r="F170" s="4">
        <f>+F136+F169</f>
        <v>454109.62356000114</v>
      </c>
      <c r="G170" s="11">
        <f t="shared" si="86"/>
        <v>5.3991670173772155E-2</v>
      </c>
      <c r="H170" s="4">
        <f>+H136+H169</f>
        <v>241293.76945783681</v>
      </c>
      <c r="I170" s="4">
        <f t="shared" ref="I170:S170" si="93">+I136+I169</f>
        <v>364012.05023963435</v>
      </c>
      <c r="J170" s="4">
        <f t="shared" si="93"/>
        <v>327869.05541795364</v>
      </c>
      <c r="K170" s="4">
        <f t="shared" si="93"/>
        <v>17071.419810166142</v>
      </c>
      <c r="L170" s="4">
        <f t="shared" si="93"/>
        <v>393174.50373782252</v>
      </c>
      <c r="M170" s="4">
        <f t="shared" si="93"/>
        <v>261719.17982962151</v>
      </c>
      <c r="N170" s="4">
        <f t="shared" si="93"/>
        <v>259075.99162554747</v>
      </c>
      <c r="O170" s="4">
        <f t="shared" si="93"/>
        <v>68398.860850220779</v>
      </c>
      <c r="P170" s="4">
        <f t="shared" si="93"/>
        <v>213011.22864741745</v>
      </c>
      <c r="Q170" s="4">
        <f t="shared" si="93"/>
        <v>185778.10192109569</v>
      </c>
      <c r="R170" s="4">
        <f t="shared" si="93"/>
        <v>196737.41069825349</v>
      </c>
      <c r="S170" s="4">
        <f t="shared" si="93"/>
        <v>184357.75111041829</v>
      </c>
      <c r="U170" s="6">
        <f t="shared" si="65"/>
        <v>401217.848</v>
      </c>
      <c r="V170" s="23">
        <f t="shared" si="80"/>
        <v>0.62300908074534156</v>
      </c>
      <c r="W170" s="4">
        <f>+W136+W169</f>
        <v>33434.820666666667</v>
      </c>
      <c r="X170" s="4">
        <f t="shared" ref="X170:AH170" si="94">+X136+X169</f>
        <v>33434.820666666667</v>
      </c>
      <c r="Y170" s="4">
        <f t="shared" si="94"/>
        <v>33434.820666666667</v>
      </c>
      <c r="Z170" s="4">
        <f t="shared" si="94"/>
        <v>33434.820666666667</v>
      </c>
      <c r="AA170" s="4">
        <f t="shared" si="94"/>
        <v>33434.820666666667</v>
      </c>
      <c r="AB170" s="4">
        <f t="shared" si="94"/>
        <v>33434.820666666667</v>
      </c>
      <c r="AC170" s="4">
        <f t="shared" si="94"/>
        <v>33434.820666666667</v>
      </c>
      <c r="AD170" s="4">
        <f t="shared" si="94"/>
        <v>33434.820666666667</v>
      </c>
      <c r="AE170" s="4">
        <f t="shared" si="94"/>
        <v>33434.820666666667</v>
      </c>
      <c r="AF170" s="4">
        <f t="shared" si="94"/>
        <v>33434.820666666667</v>
      </c>
      <c r="AG170" s="4">
        <f t="shared" si="94"/>
        <v>33434.820666666667</v>
      </c>
      <c r="AH170" s="4">
        <f t="shared" si="94"/>
        <v>33434.820666666667</v>
      </c>
    </row>
    <row r="171" spans="1:34" x14ac:dyDescent="0.25">
      <c r="A171" s="5" t="s">
        <v>174</v>
      </c>
      <c r="B171" s="6">
        <v>-685372.3</v>
      </c>
      <c r="C171" s="7">
        <f t="shared" si="84"/>
        <v>-6.2117942615654051E-2</v>
      </c>
      <c r="D171" s="6">
        <v>0</v>
      </c>
      <c r="E171" s="7">
        <f t="shared" si="85"/>
        <v>0</v>
      </c>
      <c r="F171" s="6">
        <v>0</v>
      </c>
      <c r="G171" s="7">
        <f t="shared" si="86"/>
        <v>0</v>
      </c>
      <c r="H171" s="6">
        <v>0</v>
      </c>
      <c r="I171" s="6">
        <v>0</v>
      </c>
      <c r="J171" s="6">
        <v>0</v>
      </c>
      <c r="K171" s="6">
        <v>0</v>
      </c>
      <c r="L171" s="6">
        <v>0</v>
      </c>
      <c r="M171" s="6">
        <v>0</v>
      </c>
      <c r="N171" s="6">
        <v>0</v>
      </c>
      <c r="O171" s="6">
        <v>0</v>
      </c>
      <c r="P171" s="6">
        <v>0</v>
      </c>
      <c r="Q171" s="6">
        <v>0</v>
      </c>
      <c r="R171" s="6">
        <v>0</v>
      </c>
      <c r="S171" s="6">
        <v>0</v>
      </c>
      <c r="U171" s="6">
        <f t="shared" si="65"/>
        <v>0</v>
      </c>
      <c r="V171" s="23">
        <f t="shared" si="80"/>
        <v>0</v>
      </c>
      <c r="W171" s="6">
        <v>0</v>
      </c>
      <c r="X171" s="6">
        <v>0</v>
      </c>
      <c r="Y171" s="6">
        <v>0</v>
      </c>
      <c r="Z171" s="6">
        <v>0</v>
      </c>
      <c r="AA171" s="6">
        <v>0</v>
      </c>
      <c r="AB171" s="6">
        <v>0</v>
      </c>
      <c r="AC171" s="6">
        <v>0</v>
      </c>
      <c r="AD171" s="6">
        <v>0</v>
      </c>
      <c r="AE171" s="6">
        <v>0</v>
      </c>
      <c r="AF171" s="6">
        <v>0</v>
      </c>
      <c r="AG171" s="6">
        <v>0</v>
      </c>
      <c r="AH171" s="6">
        <v>0</v>
      </c>
    </row>
    <row r="172" spans="1:34" hidden="1" outlineLevel="1" x14ac:dyDescent="0.25">
      <c r="A172" s="1" t="s">
        <v>175</v>
      </c>
      <c r="B172" s="2">
        <v>-769897.22</v>
      </c>
      <c r="C172" s="8">
        <f t="shared" si="84"/>
        <v>-6.9778763063391355E-2</v>
      </c>
      <c r="D172" s="2">
        <v>0</v>
      </c>
      <c r="E172" s="8">
        <f t="shared" si="85"/>
        <v>0</v>
      </c>
      <c r="F172" s="2">
        <v>0</v>
      </c>
      <c r="G172" s="8">
        <f t="shared" si="86"/>
        <v>0</v>
      </c>
      <c r="H172" s="2">
        <v>0</v>
      </c>
      <c r="I172" s="2">
        <v>0</v>
      </c>
      <c r="J172" s="2">
        <v>0</v>
      </c>
      <c r="K172" s="2">
        <v>0</v>
      </c>
      <c r="L172" s="2">
        <v>0</v>
      </c>
      <c r="M172" s="2">
        <v>0</v>
      </c>
      <c r="N172" s="2">
        <v>0</v>
      </c>
      <c r="O172" s="2">
        <v>0</v>
      </c>
      <c r="P172" s="2">
        <v>0</v>
      </c>
      <c r="Q172" s="2">
        <v>0</v>
      </c>
      <c r="R172" s="2">
        <v>0</v>
      </c>
      <c r="S172" s="2">
        <v>0</v>
      </c>
      <c r="U172" s="6">
        <f t="shared" si="65"/>
        <v>0</v>
      </c>
      <c r="V172" s="23">
        <f t="shared" si="80"/>
        <v>0</v>
      </c>
      <c r="W172" s="2">
        <v>0</v>
      </c>
      <c r="X172" s="2">
        <v>0</v>
      </c>
      <c r="Y172" s="2">
        <v>0</v>
      </c>
      <c r="Z172" s="2">
        <v>0</v>
      </c>
      <c r="AA172" s="2">
        <v>0</v>
      </c>
      <c r="AB172" s="2">
        <v>0</v>
      </c>
      <c r="AC172" s="2">
        <v>0</v>
      </c>
      <c r="AD172" s="2">
        <v>0</v>
      </c>
      <c r="AE172" s="2">
        <v>0</v>
      </c>
      <c r="AF172" s="2">
        <v>0</v>
      </c>
      <c r="AG172" s="2">
        <v>0</v>
      </c>
      <c r="AH172" s="2">
        <v>0</v>
      </c>
    </row>
    <row r="173" spans="1:34" hidden="1" outlineLevel="1" x14ac:dyDescent="0.25">
      <c r="A173" s="1" t="s">
        <v>176</v>
      </c>
      <c r="B173" s="2">
        <v>84524.92</v>
      </c>
      <c r="C173" s="8">
        <f t="shared" si="84"/>
        <v>7.6608204477373078E-3</v>
      </c>
      <c r="D173" s="2">
        <v>0</v>
      </c>
      <c r="E173" s="8">
        <f t="shared" si="85"/>
        <v>0</v>
      </c>
      <c r="F173" s="2">
        <v>0</v>
      </c>
      <c r="G173" s="8">
        <f t="shared" si="86"/>
        <v>0</v>
      </c>
      <c r="H173" s="2">
        <v>0</v>
      </c>
      <c r="I173" s="2">
        <v>0</v>
      </c>
      <c r="J173" s="2">
        <v>0</v>
      </c>
      <c r="K173" s="2">
        <v>0</v>
      </c>
      <c r="L173" s="2">
        <v>0</v>
      </c>
      <c r="M173" s="2">
        <v>0</v>
      </c>
      <c r="N173" s="2">
        <v>0</v>
      </c>
      <c r="O173" s="2">
        <v>0</v>
      </c>
      <c r="P173" s="2">
        <v>0</v>
      </c>
      <c r="Q173" s="2">
        <v>0</v>
      </c>
      <c r="R173" s="2">
        <v>0</v>
      </c>
      <c r="S173" s="2">
        <v>0</v>
      </c>
      <c r="U173" s="6">
        <f t="shared" si="65"/>
        <v>0</v>
      </c>
      <c r="V173" s="23">
        <f t="shared" si="80"/>
        <v>0</v>
      </c>
      <c r="W173" s="2">
        <v>0</v>
      </c>
      <c r="X173" s="2">
        <v>0</v>
      </c>
      <c r="Y173" s="2">
        <v>0</v>
      </c>
      <c r="Z173" s="2">
        <v>0</v>
      </c>
      <c r="AA173" s="2">
        <v>0</v>
      </c>
      <c r="AB173" s="2">
        <v>0</v>
      </c>
      <c r="AC173" s="2">
        <v>0</v>
      </c>
      <c r="AD173" s="2">
        <v>0</v>
      </c>
      <c r="AE173" s="2">
        <v>0</v>
      </c>
      <c r="AF173" s="2">
        <v>0</v>
      </c>
      <c r="AG173" s="2">
        <v>0</v>
      </c>
      <c r="AH173" s="2">
        <v>0</v>
      </c>
    </row>
    <row r="174" spans="1:34" collapsed="1" x14ac:dyDescent="0.25">
      <c r="A174" s="3" t="s">
        <v>177</v>
      </c>
      <c r="B174" s="4">
        <v>2143627.89</v>
      </c>
      <c r="C174" s="11">
        <f t="shared" si="84"/>
        <v>0.19428528736912123</v>
      </c>
      <c r="D174" s="4">
        <v>1255729.4099999999</v>
      </c>
      <c r="E174" s="11">
        <f t="shared" si="85"/>
        <v>0.14930079569931703</v>
      </c>
      <c r="F174" s="4">
        <f>+F170+F171</f>
        <v>454109.62356000114</v>
      </c>
      <c r="G174" s="11">
        <f t="shared" si="86"/>
        <v>5.3991670173772155E-2</v>
      </c>
      <c r="H174" s="4">
        <f>+H170+H171</f>
        <v>241293.76945783681</v>
      </c>
      <c r="I174" s="4">
        <f t="shared" ref="I174:S174" si="95">+I170+I171</f>
        <v>364012.05023963435</v>
      </c>
      <c r="J174" s="4">
        <f t="shared" si="95"/>
        <v>327869.05541795364</v>
      </c>
      <c r="K174" s="4">
        <f t="shared" si="95"/>
        <v>17071.419810166142</v>
      </c>
      <c r="L174" s="4">
        <f t="shared" si="95"/>
        <v>393174.50373782252</v>
      </c>
      <c r="M174" s="4">
        <f t="shared" si="95"/>
        <v>261719.17982962151</v>
      </c>
      <c r="N174" s="4">
        <f t="shared" si="95"/>
        <v>259075.99162554747</v>
      </c>
      <c r="O174" s="4">
        <f t="shared" si="95"/>
        <v>68398.860850220779</v>
      </c>
      <c r="P174" s="4">
        <f t="shared" si="95"/>
        <v>213011.22864741745</v>
      </c>
      <c r="Q174" s="4">
        <f t="shared" si="95"/>
        <v>185778.10192109569</v>
      </c>
      <c r="R174" s="4">
        <f t="shared" si="95"/>
        <v>196737.41069825349</v>
      </c>
      <c r="S174" s="4">
        <f t="shared" si="95"/>
        <v>184357.75111041829</v>
      </c>
      <c r="U174" s="6">
        <f t="shared" si="65"/>
        <v>401217.848</v>
      </c>
      <c r="V174" s="23">
        <f t="shared" si="80"/>
        <v>0.62300908074534156</v>
      </c>
      <c r="W174" s="4">
        <f>+W170+W171</f>
        <v>33434.820666666667</v>
      </c>
      <c r="X174" s="4">
        <f t="shared" ref="X174:AH174" si="96">+X170+X171</f>
        <v>33434.820666666667</v>
      </c>
      <c r="Y174" s="4">
        <f t="shared" si="96"/>
        <v>33434.820666666667</v>
      </c>
      <c r="Z174" s="4">
        <f t="shared" si="96"/>
        <v>33434.820666666667</v>
      </c>
      <c r="AA174" s="4">
        <f t="shared" si="96"/>
        <v>33434.820666666667</v>
      </c>
      <c r="AB174" s="4">
        <f t="shared" si="96"/>
        <v>33434.820666666667</v>
      </c>
      <c r="AC174" s="4">
        <f t="shared" si="96"/>
        <v>33434.820666666667</v>
      </c>
      <c r="AD174" s="4">
        <f t="shared" si="96"/>
        <v>33434.820666666667</v>
      </c>
      <c r="AE174" s="4">
        <f t="shared" si="96"/>
        <v>33434.820666666667</v>
      </c>
      <c r="AF174" s="4">
        <f t="shared" si="96"/>
        <v>33434.820666666667</v>
      </c>
      <c r="AG174" s="4">
        <f t="shared" si="96"/>
        <v>33434.820666666667</v>
      </c>
      <c r="AH174" s="4">
        <f t="shared" si="96"/>
        <v>33434.820666666667</v>
      </c>
    </row>
    <row r="175" spans="1:34" x14ac:dyDescent="0.25">
      <c r="F175" s="2" t="s">
        <v>197</v>
      </c>
      <c r="G175" s="2" t="s">
        <v>198</v>
      </c>
    </row>
    <row r="176" spans="1:34" s="47" customFormat="1" x14ac:dyDescent="0.25">
      <c r="A176" s="47" t="s">
        <v>1253</v>
      </c>
      <c r="B176" s="53"/>
      <c r="C176" s="53"/>
      <c r="D176" s="53"/>
      <c r="E176" s="53"/>
      <c r="F176" s="53"/>
      <c r="G176" s="53"/>
      <c r="H176" s="54">
        <f>SUM(H177:H180)</f>
        <v>729842</v>
      </c>
      <c r="I176" s="54">
        <f t="shared" ref="I176:S176" si="97">SUM(I177:I180)</f>
        <v>879038.45274419722</v>
      </c>
      <c r="J176" s="54">
        <f t="shared" si="97"/>
        <v>1190613.9054883944</v>
      </c>
      <c r="K176" s="54">
        <f t="shared" si="97"/>
        <v>1307238.1696296516</v>
      </c>
      <c r="L176" s="54">
        <f t="shared" si="97"/>
        <v>1341995.5610512441</v>
      </c>
      <c r="M176" s="54">
        <f t="shared" si="97"/>
        <v>1107313.840795795</v>
      </c>
      <c r="N176" s="54">
        <f t="shared" si="97"/>
        <v>1169374.9177498487</v>
      </c>
      <c r="O176" s="54">
        <f t="shared" si="97"/>
        <v>1259321.4358444402</v>
      </c>
      <c r="P176" s="54">
        <f t="shared" si="97"/>
        <v>1131879.1274227919</v>
      </c>
      <c r="Q176" s="54">
        <f t="shared" si="97"/>
        <v>948155.42486501602</v>
      </c>
      <c r="R176" s="54">
        <f t="shared" si="97"/>
        <v>951893.37334665144</v>
      </c>
      <c r="S176" s="54">
        <f t="shared" si="97"/>
        <v>1063442.735258949</v>
      </c>
      <c r="W176" s="54">
        <f>SUM(W177:W180)</f>
        <v>853666.66666666663</v>
      </c>
      <c r="X176" s="54">
        <f t="shared" ref="X176:AH176" si="98">SUM(X177:X180)</f>
        <v>80500</v>
      </c>
      <c r="Y176" s="54">
        <f t="shared" si="98"/>
        <v>107333.33333333333</v>
      </c>
      <c r="Z176" s="54">
        <f t="shared" si="98"/>
        <v>107333.33333333333</v>
      </c>
      <c r="AA176" s="54">
        <f t="shared" si="98"/>
        <v>107333.33333333333</v>
      </c>
      <c r="AB176" s="54">
        <f t="shared" si="98"/>
        <v>107333.33333333333</v>
      </c>
      <c r="AC176" s="54">
        <f t="shared" si="98"/>
        <v>107333.33333333333</v>
      </c>
      <c r="AD176" s="54">
        <f t="shared" si="98"/>
        <v>107333.33333333333</v>
      </c>
      <c r="AE176" s="54">
        <f t="shared" si="98"/>
        <v>107333.33333333333</v>
      </c>
      <c r="AF176" s="54">
        <f t="shared" si="98"/>
        <v>107333.33333333333</v>
      </c>
      <c r="AG176" s="54">
        <f t="shared" si="98"/>
        <v>107333.33333333333</v>
      </c>
      <c r="AH176" s="54">
        <f t="shared" si="98"/>
        <v>107333.33333333333</v>
      </c>
    </row>
    <row r="177" spans="1:34" x14ac:dyDescent="0.25">
      <c r="A177" s="1" t="s">
        <v>1254</v>
      </c>
      <c r="F177" s="2">
        <v>859571</v>
      </c>
      <c r="G177" s="2">
        <v>567463</v>
      </c>
      <c r="H177" s="22">
        <f>+(F177*0.5)+(G177*0.5)</f>
        <v>713517</v>
      </c>
      <c r="I177" s="22">
        <f>+(G177*0.5)+(H2*0.5)</f>
        <v>879038.45274419722</v>
      </c>
      <c r="J177" s="22">
        <f>+(H2*0.5)+(H2*0.5)</f>
        <v>1190613.9054883944</v>
      </c>
      <c r="K177" s="22">
        <f>+(H2*0.5)+(I2*0.5)</f>
        <v>1307238.1696296516</v>
      </c>
      <c r="L177" s="22">
        <f t="shared" ref="L177:S177" si="99">+(I2*0.5)+(J2*0.5)</f>
        <v>1341995.5610512441</v>
      </c>
      <c r="M177" s="22">
        <f t="shared" si="99"/>
        <v>1107313.840795795</v>
      </c>
      <c r="N177" s="22">
        <f t="shared" si="99"/>
        <v>1169374.9177498487</v>
      </c>
      <c r="O177" s="22">
        <f t="shared" si="99"/>
        <v>1259321.4358444402</v>
      </c>
      <c r="P177" s="22">
        <f t="shared" si="99"/>
        <v>1131879.1274227919</v>
      </c>
      <c r="Q177" s="22">
        <f t="shared" si="99"/>
        <v>948155.42486501602</v>
      </c>
      <c r="R177" s="22">
        <f t="shared" si="99"/>
        <v>951893.37334665144</v>
      </c>
      <c r="S177" s="22">
        <f t="shared" si="99"/>
        <v>1063442.735258949</v>
      </c>
      <c r="W177" s="22">
        <v>800000</v>
      </c>
      <c r="X177" s="22">
        <f>+(V177*0.5)+(W2*0.5)</f>
        <v>26833.333333333332</v>
      </c>
      <c r="Y177" s="22">
        <f>+(W2*0.5)+(W2*0.5)</f>
        <v>53666.666666666664</v>
      </c>
      <c r="Z177" s="22">
        <f>+(W2*0.5)+(X2*0.5)</f>
        <v>53666.666666666664</v>
      </c>
      <c r="AA177" s="22">
        <f t="shared" ref="AA177:AH177" si="100">+(X2*0.5)+(Y2*0.5)</f>
        <v>53666.666666666664</v>
      </c>
      <c r="AB177" s="22">
        <f t="shared" si="100"/>
        <v>53666.666666666664</v>
      </c>
      <c r="AC177" s="22">
        <f t="shared" si="100"/>
        <v>53666.666666666664</v>
      </c>
      <c r="AD177" s="22">
        <f t="shared" si="100"/>
        <v>53666.666666666664</v>
      </c>
      <c r="AE177" s="22">
        <f t="shared" si="100"/>
        <v>53666.666666666664</v>
      </c>
      <c r="AF177" s="22">
        <f t="shared" si="100"/>
        <v>53666.666666666664</v>
      </c>
      <c r="AG177" s="22">
        <f t="shared" si="100"/>
        <v>53666.666666666664</v>
      </c>
      <c r="AH177" s="22">
        <f t="shared" si="100"/>
        <v>53666.666666666664</v>
      </c>
    </row>
    <row r="178" spans="1:34" x14ac:dyDescent="0.25">
      <c r="A178" s="1" t="s">
        <v>1255</v>
      </c>
      <c r="H178" s="2">
        <f>+H4</f>
        <v>0</v>
      </c>
      <c r="I178" s="2">
        <f t="shared" ref="I178:S179" si="101">+I4</f>
        <v>0</v>
      </c>
      <c r="J178" s="2">
        <f t="shared" si="101"/>
        <v>0</v>
      </c>
      <c r="K178" s="2">
        <f t="shared" si="101"/>
        <v>0</v>
      </c>
      <c r="L178" s="2">
        <f t="shared" si="101"/>
        <v>0</v>
      </c>
      <c r="M178" s="2">
        <f t="shared" si="101"/>
        <v>0</v>
      </c>
      <c r="N178" s="2">
        <f t="shared" si="101"/>
        <v>0</v>
      </c>
      <c r="O178" s="2">
        <f t="shared" si="101"/>
        <v>0</v>
      </c>
      <c r="P178" s="2">
        <f t="shared" si="101"/>
        <v>0</v>
      </c>
      <c r="Q178" s="2">
        <f t="shared" si="101"/>
        <v>0</v>
      </c>
      <c r="R178" s="2">
        <f t="shared" si="101"/>
        <v>0</v>
      </c>
      <c r="S178" s="2">
        <f t="shared" si="101"/>
        <v>0</v>
      </c>
      <c r="W178" s="2">
        <f>+W4</f>
        <v>50666.666666666664</v>
      </c>
      <c r="X178" s="2">
        <f t="shared" ref="X178:AH179" si="102">+X4</f>
        <v>50666.666666666664</v>
      </c>
      <c r="Y178" s="2">
        <f t="shared" si="102"/>
        <v>50666.666666666664</v>
      </c>
      <c r="Z178" s="2">
        <f t="shared" si="102"/>
        <v>50666.666666666664</v>
      </c>
      <c r="AA178" s="2">
        <f t="shared" si="102"/>
        <v>50666.666666666664</v>
      </c>
      <c r="AB178" s="2">
        <f t="shared" si="102"/>
        <v>50666.666666666664</v>
      </c>
      <c r="AC178" s="2">
        <f t="shared" si="102"/>
        <v>50666.666666666664</v>
      </c>
      <c r="AD178" s="2">
        <f t="shared" si="102"/>
        <v>50666.666666666664</v>
      </c>
      <c r="AE178" s="2">
        <f t="shared" si="102"/>
        <v>50666.666666666664</v>
      </c>
      <c r="AF178" s="2">
        <f t="shared" si="102"/>
        <v>50666.666666666664</v>
      </c>
      <c r="AG178" s="2">
        <f t="shared" si="102"/>
        <v>50666.666666666664</v>
      </c>
      <c r="AH178" s="2">
        <f t="shared" si="102"/>
        <v>50666.666666666664</v>
      </c>
    </row>
    <row r="179" spans="1:34" x14ac:dyDescent="0.25">
      <c r="A179" s="1" t="s">
        <v>1256</v>
      </c>
      <c r="H179" s="2">
        <f>+H5</f>
        <v>0</v>
      </c>
      <c r="I179" s="2">
        <f t="shared" si="101"/>
        <v>0</v>
      </c>
      <c r="J179" s="2">
        <f t="shared" si="101"/>
        <v>0</v>
      </c>
      <c r="K179" s="2">
        <f t="shared" si="101"/>
        <v>0</v>
      </c>
      <c r="L179" s="2">
        <f t="shared" si="101"/>
        <v>0</v>
      </c>
      <c r="M179" s="2">
        <f t="shared" si="101"/>
        <v>0</v>
      </c>
      <c r="N179" s="2">
        <f t="shared" si="101"/>
        <v>0</v>
      </c>
      <c r="O179" s="2">
        <f t="shared" si="101"/>
        <v>0</v>
      </c>
      <c r="P179" s="2">
        <f t="shared" si="101"/>
        <v>0</v>
      </c>
      <c r="Q179" s="2">
        <f t="shared" si="101"/>
        <v>0</v>
      </c>
      <c r="R179" s="2">
        <f t="shared" si="101"/>
        <v>0</v>
      </c>
      <c r="S179" s="2">
        <f t="shared" si="101"/>
        <v>0</v>
      </c>
      <c r="W179" s="2">
        <f>+W5</f>
        <v>3000</v>
      </c>
      <c r="X179" s="2">
        <f t="shared" si="102"/>
        <v>3000</v>
      </c>
      <c r="Y179" s="2">
        <f t="shared" si="102"/>
        <v>3000</v>
      </c>
      <c r="Z179" s="2">
        <f t="shared" si="102"/>
        <v>3000</v>
      </c>
      <c r="AA179" s="2">
        <f t="shared" si="102"/>
        <v>3000</v>
      </c>
      <c r="AB179" s="2">
        <f t="shared" si="102"/>
        <v>3000</v>
      </c>
      <c r="AC179" s="2">
        <f t="shared" si="102"/>
        <v>3000</v>
      </c>
      <c r="AD179" s="2">
        <f t="shared" si="102"/>
        <v>3000</v>
      </c>
      <c r="AE179" s="2">
        <f t="shared" si="102"/>
        <v>3000</v>
      </c>
      <c r="AF179" s="2">
        <f t="shared" si="102"/>
        <v>3000</v>
      </c>
      <c r="AG179" s="2">
        <f t="shared" si="102"/>
        <v>3000</v>
      </c>
      <c r="AH179" s="2">
        <f t="shared" si="102"/>
        <v>3000</v>
      </c>
    </row>
    <row r="180" spans="1:34" x14ac:dyDescent="0.25">
      <c r="A180" s="1" t="s">
        <v>1261</v>
      </c>
      <c r="H180" s="2">
        <f>+H137</f>
        <v>16325</v>
      </c>
      <c r="W180" s="2">
        <f>+W137</f>
        <v>0</v>
      </c>
    </row>
    <row r="181" spans="1:34" s="47" customFormat="1" x14ac:dyDescent="0.25">
      <c r="A181" s="47" t="s">
        <v>1260</v>
      </c>
      <c r="B181" s="53"/>
      <c r="C181" s="53"/>
      <c r="D181" s="53"/>
      <c r="E181" s="53"/>
      <c r="F181" s="53"/>
      <c r="G181" s="53"/>
      <c r="H181" s="53">
        <f>SUM(H182:H185)</f>
        <v>-977674.76061666664</v>
      </c>
      <c r="I181" s="53">
        <f t="shared" ref="I181:S181" si="103">SUM(I182:I185)</f>
        <v>-1003879.9264475828</v>
      </c>
      <c r="J181" s="53">
        <f t="shared" si="103"/>
        <v>-970350.67488911678</v>
      </c>
      <c r="K181" s="53">
        <f t="shared" si="103"/>
        <v>-1009140.2698484018</v>
      </c>
      <c r="L181" s="53">
        <f t="shared" si="103"/>
        <v>-888549.62264252105</v>
      </c>
      <c r="M181" s="53">
        <f t="shared" si="103"/>
        <v>-931173.26072738483</v>
      </c>
      <c r="N181" s="53">
        <f t="shared" si="103"/>
        <v>-870781.2083618741</v>
      </c>
      <c r="O181" s="53">
        <f t="shared" si="103"/>
        <v>-783718.66529379855</v>
      </c>
      <c r="P181" s="53">
        <f t="shared" si="103"/>
        <v>-835489.99526449898</v>
      </c>
      <c r="Q181" s="53">
        <f t="shared" si="103"/>
        <v>-838350.73664135893</v>
      </c>
      <c r="R181" s="53">
        <f t="shared" si="103"/>
        <v>-808503.47800597129</v>
      </c>
      <c r="S181" s="53">
        <f t="shared" si="103"/>
        <v>-807862.92351973173</v>
      </c>
      <c r="W181" s="53">
        <f>SUM(W182:W185)</f>
        <v>-618819.25</v>
      </c>
      <c r="X181" s="53">
        <f t="shared" ref="X181:AH181" si="104">SUM(X182:X185)</f>
        <v>-21833.661</v>
      </c>
      <c r="Y181" s="53">
        <f t="shared" si="104"/>
        <v>-21833.661</v>
      </c>
      <c r="Z181" s="53">
        <f t="shared" si="104"/>
        <v>-21833.661</v>
      </c>
      <c r="AA181" s="53">
        <f t="shared" si="104"/>
        <v>-21833.661</v>
      </c>
      <c r="AB181" s="53">
        <f t="shared" si="104"/>
        <v>-21833.661</v>
      </c>
      <c r="AC181" s="53">
        <f t="shared" si="104"/>
        <v>-21833.661</v>
      </c>
      <c r="AD181" s="53">
        <f t="shared" si="104"/>
        <v>-21833.661</v>
      </c>
      <c r="AE181" s="53">
        <f t="shared" si="104"/>
        <v>-21833.661</v>
      </c>
      <c r="AF181" s="53">
        <f t="shared" si="104"/>
        <v>-21833.661</v>
      </c>
      <c r="AG181" s="53">
        <f t="shared" si="104"/>
        <v>-21833.661</v>
      </c>
      <c r="AH181" s="53">
        <f t="shared" si="104"/>
        <v>-21833.661</v>
      </c>
    </row>
    <row r="182" spans="1:34" x14ac:dyDescent="0.25">
      <c r="A182" s="1" t="s">
        <v>1257</v>
      </c>
      <c r="H182" s="2">
        <v>-600000</v>
      </c>
      <c r="I182" s="1">
        <f>+(H13*0.5)+(I13*0.5)</f>
        <v>-626205.16583091614</v>
      </c>
      <c r="J182" s="1">
        <f t="shared" ref="J182:S182" si="105">+(I13*0.5)+(J13*0.5)</f>
        <v>-642675.91427245014</v>
      </c>
      <c r="K182" s="1">
        <f t="shared" si="105"/>
        <v>-531465.50923173514</v>
      </c>
      <c r="L182" s="1">
        <f t="shared" si="105"/>
        <v>-560874.86202585441</v>
      </c>
      <c r="M182" s="1">
        <f t="shared" si="105"/>
        <v>-603498.50011071819</v>
      </c>
      <c r="N182" s="1">
        <f t="shared" si="105"/>
        <v>-543106.44774520746</v>
      </c>
      <c r="O182" s="1">
        <f t="shared" si="105"/>
        <v>-456043.90467713191</v>
      </c>
      <c r="P182" s="1">
        <f t="shared" si="105"/>
        <v>-457815.23464783235</v>
      </c>
      <c r="Q182" s="1">
        <f t="shared" si="105"/>
        <v>-510675.97602469235</v>
      </c>
      <c r="R182" s="1">
        <f t="shared" si="105"/>
        <v>-480828.71738930471</v>
      </c>
      <c r="S182" s="1">
        <f t="shared" si="105"/>
        <v>-480188.16290306509</v>
      </c>
      <c r="W182" s="2">
        <v>-600000</v>
      </c>
      <c r="X182" s="1">
        <f>+(W13*0.5)+(X13*0.5)</f>
        <v>-3014.4109999999996</v>
      </c>
      <c r="Y182" s="1">
        <f t="shared" ref="Y182:AH182" si="106">+(X13*0.5)+(Y13*0.5)</f>
        <v>-3014.4109999999996</v>
      </c>
      <c r="Z182" s="1">
        <f t="shared" si="106"/>
        <v>-3014.4109999999996</v>
      </c>
      <c r="AA182" s="1">
        <f t="shared" si="106"/>
        <v>-3014.4109999999996</v>
      </c>
      <c r="AB182" s="1">
        <f t="shared" si="106"/>
        <v>-3014.4109999999996</v>
      </c>
      <c r="AC182" s="1">
        <f t="shared" si="106"/>
        <v>-3014.4109999999996</v>
      </c>
      <c r="AD182" s="1">
        <f t="shared" si="106"/>
        <v>-3014.4109999999996</v>
      </c>
      <c r="AE182" s="1">
        <f t="shared" si="106"/>
        <v>-3014.4109999999996</v>
      </c>
      <c r="AF182" s="1">
        <f t="shared" si="106"/>
        <v>-3014.4109999999996</v>
      </c>
      <c r="AG182" s="1">
        <f t="shared" si="106"/>
        <v>-3014.4109999999996</v>
      </c>
      <c r="AH182" s="1">
        <f t="shared" si="106"/>
        <v>-3014.4109999999996</v>
      </c>
    </row>
    <row r="183" spans="1:34" x14ac:dyDescent="0.25">
      <c r="A183" s="1" t="s">
        <v>1258</v>
      </c>
      <c r="H183" s="2">
        <f>+H27</f>
        <v>-289182.51341666665</v>
      </c>
      <c r="I183" s="2">
        <f t="shared" ref="I183:S183" si="107">+I27</f>
        <v>-289182.51341666665</v>
      </c>
      <c r="J183" s="2">
        <f t="shared" si="107"/>
        <v>-239182.51341666662</v>
      </c>
      <c r="K183" s="2">
        <f t="shared" si="107"/>
        <v>-389182.51341666671</v>
      </c>
      <c r="L183" s="2">
        <f t="shared" si="107"/>
        <v>-239182.51341666662</v>
      </c>
      <c r="M183" s="2">
        <f t="shared" si="107"/>
        <v>-239182.51341666662</v>
      </c>
      <c r="N183" s="2">
        <f t="shared" si="107"/>
        <v>-239182.51341666662</v>
      </c>
      <c r="O183" s="2">
        <f t="shared" si="107"/>
        <v>-239182.51341666662</v>
      </c>
      <c r="P183" s="2">
        <f t="shared" si="107"/>
        <v>-289182.51341666665</v>
      </c>
      <c r="Q183" s="2">
        <f t="shared" si="107"/>
        <v>-239182.51341666662</v>
      </c>
      <c r="R183" s="2">
        <f t="shared" si="107"/>
        <v>-239182.51341666662</v>
      </c>
      <c r="S183" s="2">
        <f t="shared" si="107"/>
        <v>-239182.51341666662</v>
      </c>
      <c r="W183" s="2">
        <f>+W27</f>
        <v>0</v>
      </c>
      <c r="X183" s="2">
        <f t="shared" ref="X183:AH183" si="108">+X27</f>
        <v>0</v>
      </c>
      <c r="Y183" s="2">
        <f t="shared" si="108"/>
        <v>0</v>
      </c>
      <c r="Z183" s="2">
        <f t="shared" si="108"/>
        <v>0</v>
      </c>
      <c r="AA183" s="2">
        <f t="shared" si="108"/>
        <v>0</v>
      </c>
      <c r="AB183" s="2">
        <f t="shared" si="108"/>
        <v>0</v>
      </c>
      <c r="AC183" s="2">
        <f t="shared" si="108"/>
        <v>0</v>
      </c>
      <c r="AD183" s="2">
        <f t="shared" si="108"/>
        <v>0</v>
      </c>
      <c r="AE183" s="2">
        <f t="shared" si="108"/>
        <v>0</v>
      </c>
      <c r="AF183" s="2">
        <f t="shared" si="108"/>
        <v>0</v>
      </c>
      <c r="AG183" s="2">
        <f t="shared" si="108"/>
        <v>0</v>
      </c>
      <c r="AH183" s="2">
        <f t="shared" si="108"/>
        <v>0</v>
      </c>
    </row>
    <row r="184" spans="1:34" x14ac:dyDescent="0.25">
      <c r="A184" s="1" t="s">
        <v>1259</v>
      </c>
      <c r="H184" s="2">
        <f>+H37</f>
        <v>-69672.997199999998</v>
      </c>
      <c r="I184" s="2">
        <f t="shared" ref="I184:S184" si="109">+I37</f>
        <v>-69672.997199999998</v>
      </c>
      <c r="J184" s="2">
        <f t="shared" si="109"/>
        <v>-69672.997199999998</v>
      </c>
      <c r="K184" s="2">
        <f t="shared" si="109"/>
        <v>-69672.997199999998</v>
      </c>
      <c r="L184" s="2">
        <f t="shared" si="109"/>
        <v>-69672.997199999998</v>
      </c>
      <c r="M184" s="2">
        <f t="shared" si="109"/>
        <v>-69672.997199999998</v>
      </c>
      <c r="N184" s="2">
        <f t="shared" si="109"/>
        <v>-69672.997199999998</v>
      </c>
      <c r="O184" s="2">
        <f t="shared" si="109"/>
        <v>-69672.997199999998</v>
      </c>
      <c r="P184" s="2">
        <f t="shared" si="109"/>
        <v>-69672.997199999998</v>
      </c>
      <c r="Q184" s="2">
        <f t="shared" si="109"/>
        <v>-69672.997199999998</v>
      </c>
      <c r="R184" s="2">
        <f t="shared" si="109"/>
        <v>-69672.997199999998</v>
      </c>
      <c r="S184" s="2">
        <f t="shared" si="109"/>
        <v>-69672.997199999998</v>
      </c>
      <c r="W184" s="2">
        <f>+W37</f>
        <v>0</v>
      </c>
      <c r="X184" s="2">
        <f t="shared" ref="X184:AH184" si="110">+X37</f>
        <v>0</v>
      </c>
      <c r="Y184" s="2">
        <f t="shared" si="110"/>
        <v>0</v>
      </c>
      <c r="Z184" s="2">
        <f t="shared" si="110"/>
        <v>0</v>
      </c>
      <c r="AA184" s="2">
        <f t="shared" si="110"/>
        <v>0</v>
      </c>
      <c r="AB184" s="2">
        <f t="shared" si="110"/>
        <v>0</v>
      </c>
      <c r="AC184" s="2">
        <f t="shared" si="110"/>
        <v>0</v>
      </c>
      <c r="AD184" s="2">
        <f t="shared" si="110"/>
        <v>0</v>
      </c>
      <c r="AE184" s="2">
        <f t="shared" si="110"/>
        <v>0</v>
      </c>
      <c r="AF184" s="2">
        <f t="shared" si="110"/>
        <v>0</v>
      </c>
      <c r="AG184" s="2">
        <f t="shared" si="110"/>
        <v>0</v>
      </c>
      <c r="AH184" s="2">
        <f t="shared" si="110"/>
        <v>0</v>
      </c>
    </row>
    <row r="185" spans="1:34" x14ac:dyDescent="0.25">
      <c r="H185" s="2">
        <f>+H146</f>
        <v>-18819.25</v>
      </c>
      <c r="I185" s="2">
        <f t="shared" ref="I185:S185" si="111">+I146</f>
        <v>-18819.25</v>
      </c>
      <c r="J185" s="2">
        <f t="shared" si="111"/>
        <v>-18819.25</v>
      </c>
      <c r="K185" s="2">
        <f t="shared" si="111"/>
        <v>-18819.25</v>
      </c>
      <c r="L185" s="2">
        <f t="shared" si="111"/>
        <v>-18819.25</v>
      </c>
      <c r="M185" s="2">
        <f t="shared" si="111"/>
        <v>-18819.25</v>
      </c>
      <c r="N185" s="2">
        <f t="shared" si="111"/>
        <v>-18819.25</v>
      </c>
      <c r="O185" s="2">
        <f t="shared" si="111"/>
        <v>-18819.25</v>
      </c>
      <c r="P185" s="2">
        <f t="shared" si="111"/>
        <v>-18819.25</v>
      </c>
      <c r="Q185" s="2">
        <f t="shared" si="111"/>
        <v>-18819.25</v>
      </c>
      <c r="R185" s="2">
        <f t="shared" si="111"/>
        <v>-18819.25</v>
      </c>
      <c r="S185" s="2">
        <f t="shared" si="111"/>
        <v>-18819.25</v>
      </c>
      <c r="W185" s="2">
        <f>+W146</f>
        <v>-18819.25</v>
      </c>
      <c r="X185" s="2">
        <f t="shared" ref="X185:AH185" si="112">+X146</f>
        <v>-18819.25</v>
      </c>
      <c r="Y185" s="2">
        <f t="shared" si="112"/>
        <v>-18819.25</v>
      </c>
      <c r="Z185" s="2">
        <f t="shared" si="112"/>
        <v>-18819.25</v>
      </c>
      <c r="AA185" s="2">
        <f t="shared" si="112"/>
        <v>-18819.25</v>
      </c>
      <c r="AB185" s="2">
        <f t="shared" si="112"/>
        <v>-18819.25</v>
      </c>
      <c r="AC185" s="2">
        <f t="shared" si="112"/>
        <v>-18819.25</v>
      </c>
      <c r="AD185" s="2">
        <f t="shared" si="112"/>
        <v>-18819.25</v>
      </c>
      <c r="AE185" s="2">
        <f t="shared" si="112"/>
        <v>-18819.25</v>
      </c>
      <c r="AF185" s="2">
        <f t="shared" si="112"/>
        <v>-18819.25</v>
      </c>
      <c r="AG185" s="2">
        <f t="shared" si="112"/>
        <v>-18819.25</v>
      </c>
      <c r="AH185" s="2">
        <f t="shared" si="112"/>
        <v>-18819.25</v>
      </c>
    </row>
    <row r="186" spans="1:34" x14ac:dyDescent="0.25">
      <c r="A186" s="1" t="s">
        <v>1262</v>
      </c>
      <c r="H186" s="2">
        <f>+H176+H181</f>
        <v>-247832.76061666664</v>
      </c>
      <c r="I186" s="2">
        <f t="shared" ref="I186:S186" si="113">+I176+I181</f>
        <v>-124841.47370338556</v>
      </c>
      <c r="J186" s="2">
        <f t="shared" si="113"/>
        <v>220263.23059927765</v>
      </c>
      <c r="K186" s="2">
        <f t="shared" si="113"/>
        <v>298097.89978124981</v>
      </c>
      <c r="L186" s="2">
        <f t="shared" si="113"/>
        <v>453445.9384087231</v>
      </c>
      <c r="M186" s="2">
        <f t="shared" si="113"/>
        <v>176140.58006841014</v>
      </c>
      <c r="N186" s="2">
        <f t="shared" si="113"/>
        <v>298593.70938797458</v>
      </c>
      <c r="O186" s="2">
        <f t="shared" si="113"/>
        <v>475602.7705506417</v>
      </c>
      <c r="P186" s="2">
        <f t="shared" si="113"/>
        <v>296389.13215829292</v>
      </c>
      <c r="Q186" s="2">
        <f t="shared" si="113"/>
        <v>109804.68822365708</v>
      </c>
      <c r="R186" s="2">
        <f t="shared" si="113"/>
        <v>143389.89534068014</v>
      </c>
      <c r="S186" s="2">
        <f t="shared" si="113"/>
        <v>255579.81173921726</v>
      </c>
      <c r="W186" s="2">
        <f>+W176+W181</f>
        <v>234847.41666666663</v>
      </c>
      <c r="X186" s="2">
        <f t="shared" ref="X186:AH186" si="114">+X176+X181</f>
        <v>58666.339</v>
      </c>
      <c r="Y186" s="2">
        <f t="shared" si="114"/>
        <v>85499.672333333321</v>
      </c>
      <c r="Z186" s="2">
        <f t="shared" si="114"/>
        <v>85499.672333333321</v>
      </c>
      <c r="AA186" s="2">
        <f t="shared" si="114"/>
        <v>85499.672333333321</v>
      </c>
      <c r="AB186" s="2">
        <f t="shared" si="114"/>
        <v>85499.672333333321</v>
      </c>
      <c r="AC186" s="2">
        <f t="shared" si="114"/>
        <v>85499.672333333321</v>
      </c>
      <c r="AD186" s="2">
        <f t="shared" si="114"/>
        <v>85499.672333333321</v>
      </c>
      <c r="AE186" s="2">
        <f t="shared" si="114"/>
        <v>85499.672333333321</v>
      </c>
      <c r="AF186" s="2">
        <f t="shared" si="114"/>
        <v>85499.672333333321</v>
      </c>
      <c r="AG186" s="2">
        <f t="shared" si="114"/>
        <v>85499.672333333321</v>
      </c>
      <c r="AH186" s="2">
        <f t="shared" si="114"/>
        <v>85499.672333333321</v>
      </c>
    </row>
    <row r="187" spans="1:34" x14ac:dyDescent="0.25">
      <c r="A187" s="1" t="s">
        <v>1263</v>
      </c>
      <c r="H187" s="2">
        <f>+H186</f>
        <v>-247832.76061666664</v>
      </c>
      <c r="I187" s="2">
        <f>+I186+H187</f>
        <v>-372674.2343200522</v>
      </c>
      <c r="J187" s="2">
        <f t="shared" ref="J187:S187" si="115">+J186+I187</f>
        <v>-152411.00372077455</v>
      </c>
      <c r="K187" s="2">
        <f t="shared" si="115"/>
        <v>145686.89606047526</v>
      </c>
      <c r="L187" s="2">
        <f t="shared" si="115"/>
        <v>599132.83446919837</v>
      </c>
      <c r="M187" s="2">
        <f t="shared" si="115"/>
        <v>775273.41453760851</v>
      </c>
      <c r="N187" s="2">
        <f t="shared" si="115"/>
        <v>1073867.123925583</v>
      </c>
      <c r="O187" s="2">
        <f t="shared" si="115"/>
        <v>1549469.8944762247</v>
      </c>
      <c r="P187" s="2">
        <f t="shared" si="115"/>
        <v>1845859.0266345176</v>
      </c>
      <c r="Q187" s="2">
        <f t="shared" si="115"/>
        <v>1955663.7148581748</v>
      </c>
      <c r="R187" s="2">
        <f t="shared" si="115"/>
        <v>2099053.6101988549</v>
      </c>
      <c r="S187" s="2">
        <f t="shared" si="115"/>
        <v>2354633.421938072</v>
      </c>
      <c r="W187" s="2">
        <f>+W186</f>
        <v>234847.41666666663</v>
      </c>
      <c r="X187" s="2">
        <f>+X186+W187</f>
        <v>293513.75566666661</v>
      </c>
      <c r="Y187" s="2">
        <f t="shared" ref="Y187:AH187" si="116">+Y186+X187</f>
        <v>379013.42799999996</v>
      </c>
      <c r="Z187" s="2">
        <f t="shared" si="116"/>
        <v>464513.10033333325</v>
      </c>
      <c r="AA187" s="2">
        <f t="shared" si="116"/>
        <v>550012.77266666654</v>
      </c>
      <c r="AB187" s="2">
        <f t="shared" si="116"/>
        <v>635512.44499999983</v>
      </c>
      <c r="AC187" s="2">
        <f t="shared" si="116"/>
        <v>721012.11733333312</v>
      </c>
      <c r="AD187" s="2">
        <f t="shared" si="116"/>
        <v>806511.78966666642</v>
      </c>
      <c r="AE187" s="2">
        <f t="shared" si="116"/>
        <v>892011.46199999971</v>
      </c>
      <c r="AF187" s="2">
        <f t="shared" si="116"/>
        <v>977511.134333333</v>
      </c>
      <c r="AG187" s="2">
        <f t="shared" si="116"/>
        <v>1063010.8066666664</v>
      </c>
      <c r="AH187" s="2">
        <f t="shared" si="116"/>
        <v>1148510.4789999998</v>
      </c>
    </row>
  </sheetData>
  <pageMargins left="0.7" right="0.7" top="0.75" bottom="0.75" header="0.511811023622047" footer="0.511811023622047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188"/>
  <sheetViews>
    <sheetView zoomScaleNormal="100" workbookViewId="0">
      <pane xSplit="1" ySplit="1" topLeftCell="B12" activePane="bottomRight" state="frozen"/>
      <selection pane="topRight" activeCell="B1" sqref="B1"/>
      <selection pane="bottomLeft" activeCell="A2" sqref="A2"/>
      <selection pane="bottomRight" activeCell="H14" sqref="H14"/>
    </sheetView>
  </sheetViews>
  <sheetFormatPr baseColWidth="10" defaultColWidth="10.42578125" defaultRowHeight="15" outlineLevelRow="1" x14ac:dyDescent="0.25"/>
  <cols>
    <col min="1" max="1" width="73.140625" customWidth="1"/>
    <col min="2" max="2" width="20.42578125" customWidth="1"/>
    <col min="3" max="3" width="24.42578125" customWidth="1"/>
    <col min="4" max="4" width="20.42578125" customWidth="1"/>
    <col min="5" max="5" width="24.42578125" customWidth="1"/>
    <col min="6" max="6" width="18.42578125" customWidth="1"/>
    <col min="7" max="19" width="20.7109375" customWidth="1"/>
    <col min="20" max="20" width="20.42578125" customWidth="1"/>
    <col min="21" max="21" width="18.42578125" customWidth="1"/>
    <col min="22" max="34" width="20.7109375" customWidth="1"/>
    <col min="35" max="35" width="20.42578125" customWidth="1"/>
  </cols>
  <sheetData>
    <row r="1" spans="1:35" ht="31.5" x14ac:dyDescent="0.25">
      <c r="A1" s="3" t="s">
        <v>0</v>
      </c>
      <c r="B1" s="4"/>
      <c r="C1" s="11" t="s">
        <v>2</v>
      </c>
      <c r="D1" s="4" t="s">
        <v>3</v>
      </c>
      <c r="E1" s="11" t="s">
        <v>4</v>
      </c>
      <c r="F1" s="43" t="s">
        <v>1237</v>
      </c>
      <c r="G1" s="44" t="s">
        <v>1238</v>
      </c>
      <c r="H1" s="16" t="s">
        <v>187</v>
      </c>
      <c r="I1" s="16" t="s">
        <v>188</v>
      </c>
      <c r="J1" s="16" t="s">
        <v>189</v>
      </c>
      <c r="K1" s="16" t="s">
        <v>190</v>
      </c>
      <c r="L1" s="16" t="s">
        <v>191</v>
      </c>
      <c r="M1" s="16" t="s">
        <v>192</v>
      </c>
      <c r="N1" s="16" t="s">
        <v>193</v>
      </c>
      <c r="O1" s="16" t="s">
        <v>194</v>
      </c>
      <c r="P1" s="16" t="s">
        <v>195</v>
      </c>
      <c r="Q1" s="16" t="s">
        <v>196</v>
      </c>
      <c r="R1" s="16" t="s">
        <v>197</v>
      </c>
      <c r="S1" s="16" t="s">
        <v>198</v>
      </c>
      <c r="T1" s="44" t="s">
        <v>1239</v>
      </c>
      <c r="U1" s="43" t="s">
        <v>1303</v>
      </c>
      <c r="V1" s="44" t="s">
        <v>1304</v>
      </c>
      <c r="W1" s="16" t="s">
        <v>187</v>
      </c>
      <c r="X1" s="16" t="s">
        <v>188</v>
      </c>
      <c r="Y1" s="16" t="s">
        <v>189</v>
      </c>
      <c r="Z1" s="16" t="s">
        <v>190</v>
      </c>
      <c r="AA1" s="16" t="s">
        <v>191</v>
      </c>
      <c r="AB1" s="16" t="s">
        <v>192</v>
      </c>
      <c r="AC1" s="16" t="s">
        <v>193</v>
      </c>
      <c r="AD1" s="16" t="s">
        <v>194</v>
      </c>
      <c r="AE1" s="16" t="s">
        <v>195</v>
      </c>
      <c r="AF1" s="16" t="s">
        <v>196</v>
      </c>
      <c r="AG1" s="16" t="s">
        <v>197</v>
      </c>
      <c r="AH1" s="16" t="s">
        <v>198</v>
      </c>
      <c r="AI1" s="44" t="s">
        <v>1305</v>
      </c>
    </row>
    <row r="2" spans="1:35" ht="16.5" thickBot="1" x14ac:dyDescent="0.3">
      <c r="A2" s="5" t="s">
        <v>5</v>
      </c>
      <c r="B2" s="6">
        <f>SUM(B3:B8)</f>
        <v>0</v>
      </c>
      <c r="C2" s="7" t="e">
        <f t="shared" ref="C2:C33" si="0">+B2/$B$2</f>
        <v>#DIV/0!</v>
      </c>
      <c r="D2" s="6">
        <f>SUM(D3:D8)</f>
        <v>1238712.21</v>
      </c>
      <c r="E2" s="7">
        <f>SUM(E3:E8)</f>
        <v>1</v>
      </c>
      <c r="F2" s="6">
        <f>SUM(F3:F8)</f>
        <v>1790000</v>
      </c>
      <c r="G2" s="7">
        <f>SUM(G3:G8)</f>
        <v>1</v>
      </c>
      <c r="H2" s="6">
        <f>SUM(H3:H8)</f>
        <v>66000</v>
      </c>
      <c r="I2" s="6">
        <f t="shared" ref="I2:S2" si="1">SUM(I3:I8)</f>
        <v>101000</v>
      </c>
      <c r="J2" s="6">
        <f t="shared" si="1"/>
        <v>110000</v>
      </c>
      <c r="K2" s="6">
        <f t="shared" si="1"/>
        <v>140000</v>
      </c>
      <c r="L2" s="6">
        <f t="shared" si="1"/>
        <v>189000</v>
      </c>
      <c r="M2" s="6">
        <f t="shared" si="1"/>
        <v>233000</v>
      </c>
      <c r="N2" s="6">
        <f t="shared" si="1"/>
        <v>227500</v>
      </c>
      <c r="O2" s="6">
        <f t="shared" si="1"/>
        <v>119000</v>
      </c>
      <c r="P2" s="6">
        <f t="shared" si="1"/>
        <v>185000</v>
      </c>
      <c r="Q2" s="6">
        <f t="shared" si="1"/>
        <v>150000</v>
      </c>
      <c r="R2" s="6">
        <f t="shared" si="1"/>
        <v>120000</v>
      </c>
      <c r="S2" s="6">
        <f t="shared" si="1"/>
        <v>149500</v>
      </c>
      <c r="U2" s="6">
        <f>SUM(W2:AH2)</f>
        <v>1971818.1818181814</v>
      </c>
      <c r="V2" s="7">
        <f>SUM(V3:V8)</f>
        <v>0</v>
      </c>
      <c r="W2" s="6">
        <f>SUM(W3:W8)</f>
        <v>113636.36363636363</v>
      </c>
      <c r="X2" s="6">
        <f t="shared" ref="X2:AH2" si="2">SUM(X3:X8)</f>
        <v>113636.36363636363</v>
      </c>
      <c r="Y2" s="6">
        <f t="shared" si="2"/>
        <v>131818.18181818179</v>
      </c>
      <c r="Z2" s="6">
        <f t="shared" si="2"/>
        <v>179090.90909090909</v>
      </c>
      <c r="AA2" s="6">
        <f t="shared" si="2"/>
        <v>220909.09090909088</v>
      </c>
      <c r="AB2" s="6">
        <f t="shared" si="2"/>
        <v>267272.72727272724</v>
      </c>
      <c r="AC2" s="6">
        <f t="shared" si="2"/>
        <v>236363.63636363635</v>
      </c>
      <c r="AD2" s="6">
        <f t="shared" si="2"/>
        <v>102727.27272727272</v>
      </c>
      <c r="AE2" s="6">
        <f t="shared" si="2"/>
        <v>159090.90909090909</v>
      </c>
      <c r="AF2" s="6">
        <f t="shared" si="2"/>
        <v>133636.36363636362</v>
      </c>
      <c r="AG2" s="6">
        <f t="shared" si="2"/>
        <v>113636.36363636363</v>
      </c>
      <c r="AH2" s="6">
        <f t="shared" si="2"/>
        <v>199999.99999999997</v>
      </c>
      <c r="AI2" s="45">
        <f>SUM(U2:AH2)</f>
        <v>3943636.3636363633</v>
      </c>
    </row>
    <row r="3" spans="1:35" ht="15.75" outlineLevel="1" x14ac:dyDescent="0.25">
      <c r="A3" s="1" t="s">
        <v>6</v>
      </c>
      <c r="B3" s="2"/>
      <c r="C3" s="8" t="e">
        <f t="shared" si="0"/>
        <v>#DIV/0!</v>
      </c>
      <c r="D3" s="2"/>
      <c r="E3" s="8">
        <f t="shared" ref="E3:E34" si="3">+D3/$D$2</f>
        <v>0</v>
      </c>
      <c r="F3" s="2"/>
      <c r="U3" s="2"/>
      <c r="W3" s="126">
        <v>113636.36363636363</v>
      </c>
      <c r="X3" s="126">
        <v>113636.36363636363</v>
      </c>
      <c r="Y3" s="126">
        <v>131818.18181818179</v>
      </c>
      <c r="Z3" s="126">
        <v>179090.90909090909</v>
      </c>
      <c r="AA3" s="126">
        <v>220909.09090909088</v>
      </c>
      <c r="AB3" s="126">
        <v>267272.72727272724</v>
      </c>
      <c r="AC3" s="126">
        <v>236363.63636363635</v>
      </c>
      <c r="AD3" s="126">
        <v>102727.27272727272</v>
      </c>
      <c r="AE3" s="126">
        <v>159090.90909090909</v>
      </c>
      <c r="AF3" s="126">
        <v>133636.36363636362</v>
      </c>
      <c r="AG3" s="126">
        <v>113636.36363636363</v>
      </c>
      <c r="AH3" s="126">
        <v>199999.99999999997</v>
      </c>
      <c r="AI3" s="45">
        <f>SUM(U3:AH3)</f>
        <v>1971818.1818181814</v>
      </c>
    </row>
    <row r="4" spans="1:35" ht="15.75" outlineLevel="1" x14ac:dyDescent="0.25">
      <c r="A4" s="1" t="s">
        <v>178</v>
      </c>
      <c r="B4" s="2"/>
      <c r="C4" s="8" t="e">
        <f t="shared" si="0"/>
        <v>#DIV/0!</v>
      </c>
      <c r="D4" s="2"/>
      <c r="E4" s="8">
        <f t="shared" si="3"/>
        <v>0</v>
      </c>
      <c r="F4" s="2"/>
      <c r="U4" s="2"/>
    </row>
    <row r="5" spans="1:35" ht="15.75" outlineLevel="1" x14ac:dyDescent="0.25">
      <c r="A5" s="1" t="s">
        <v>179</v>
      </c>
      <c r="B5" s="2"/>
      <c r="C5" s="8" t="e">
        <f t="shared" si="0"/>
        <v>#DIV/0!</v>
      </c>
      <c r="D5" s="2"/>
      <c r="E5" s="8">
        <f t="shared" si="3"/>
        <v>0</v>
      </c>
      <c r="F5" s="2"/>
      <c r="U5" s="2"/>
    </row>
    <row r="6" spans="1:35" ht="15.75" outlineLevel="1" x14ac:dyDescent="0.25">
      <c r="A6" s="1" t="s">
        <v>180</v>
      </c>
      <c r="B6" s="2"/>
      <c r="C6" s="8" t="e">
        <f t="shared" si="0"/>
        <v>#DIV/0!</v>
      </c>
      <c r="D6" s="2"/>
      <c r="E6" s="8">
        <f t="shared" si="3"/>
        <v>0</v>
      </c>
      <c r="F6" s="2"/>
      <c r="U6" s="2"/>
    </row>
    <row r="7" spans="1:35" ht="15.75" outlineLevel="1" x14ac:dyDescent="0.25">
      <c r="A7" s="9" t="s">
        <v>10</v>
      </c>
      <c r="B7" s="2"/>
      <c r="C7" s="8" t="e">
        <f t="shared" si="0"/>
        <v>#DIV/0!</v>
      </c>
      <c r="D7" s="2">
        <v>895616.32</v>
      </c>
      <c r="E7" s="8">
        <f t="shared" si="3"/>
        <v>0.72302211342536127</v>
      </c>
      <c r="F7" s="2">
        <f>+'PYG CONSOLIDADO D&amp;M'!B7</f>
        <v>1790000</v>
      </c>
      <c r="G7" s="8">
        <f>+F7/$F$2</f>
        <v>1</v>
      </c>
      <c r="H7" s="2">
        <f>+'PYG CONSOLIDADO D&amp;M'!C7</f>
        <v>66000</v>
      </c>
      <c r="I7" s="2">
        <f>+'PYG CONSOLIDADO D&amp;M'!D7</f>
        <v>101000</v>
      </c>
      <c r="J7" s="2">
        <f>+'PYG CONSOLIDADO D&amp;M'!E7</f>
        <v>110000</v>
      </c>
      <c r="K7" s="2">
        <f>+'PYG CONSOLIDADO D&amp;M'!F7</f>
        <v>140000</v>
      </c>
      <c r="L7" s="2">
        <f>+'PYG CONSOLIDADO D&amp;M'!G7</f>
        <v>189000</v>
      </c>
      <c r="M7" s="2">
        <f>+'PYG CONSOLIDADO D&amp;M'!H7</f>
        <v>233000</v>
      </c>
      <c r="N7" s="2">
        <f>+'PYG CONSOLIDADO D&amp;M'!I7</f>
        <v>227500</v>
      </c>
      <c r="O7" s="2">
        <f>+'PYG CONSOLIDADO D&amp;M'!J7</f>
        <v>119000</v>
      </c>
      <c r="P7" s="2">
        <f>+'PYG CONSOLIDADO D&amp;M'!K7</f>
        <v>185000</v>
      </c>
      <c r="Q7" s="2">
        <f>+'PYG CONSOLIDADO D&amp;M'!L7</f>
        <v>150000</v>
      </c>
      <c r="R7" s="2">
        <f>+'PYG CONSOLIDADO D&amp;M'!M7</f>
        <v>120000</v>
      </c>
      <c r="S7" s="2">
        <f>+'PYG CONSOLIDADO D&amp;M'!N7</f>
        <v>149500</v>
      </c>
      <c r="U7" s="2">
        <f>+'PYG CONSOLIDADO D&amp;M'!Q7</f>
        <v>0</v>
      </c>
      <c r="V7" s="8">
        <f>+U7/$F$2</f>
        <v>0</v>
      </c>
      <c r="W7" s="2">
        <f>+'PYG CONSOLIDADO D&amp;M'!R7</f>
        <v>0</v>
      </c>
      <c r="X7" s="2">
        <f>+'PYG CONSOLIDADO D&amp;M'!S7</f>
        <v>0</v>
      </c>
      <c r="Y7" s="2">
        <f>+'PYG CONSOLIDADO D&amp;M'!T7</f>
        <v>0</v>
      </c>
      <c r="Z7" s="2">
        <f>+'PYG CONSOLIDADO D&amp;M'!U7</f>
        <v>0</v>
      </c>
      <c r="AA7" s="2">
        <f>+'PYG CONSOLIDADO D&amp;M'!V7</f>
        <v>0</v>
      </c>
      <c r="AB7" s="2">
        <f>+'PYG CONSOLIDADO D&amp;M'!W7</f>
        <v>0</v>
      </c>
      <c r="AC7" s="2">
        <f>+'PYG CONSOLIDADO D&amp;M'!X7</f>
        <v>0</v>
      </c>
      <c r="AD7" s="2">
        <f>+'PYG CONSOLIDADO D&amp;M'!Y7</f>
        <v>0</v>
      </c>
      <c r="AE7" s="2">
        <f>+'PYG CONSOLIDADO D&amp;M'!Z7</f>
        <v>0</v>
      </c>
      <c r="AF7" s="2">
        <f>+'PYG CONSOLIDADO D&amp;M'!AA7</f>
        <v>0</v>
      </c>
      <c r="AG7" s="2">
        <f>+'PYG CONSOLIDADO D&amp;M'!AB7</f>
        <v>0</v>
      </c>
      <c r="AH7" s="2">
        <f>+'PYG CONSOLIDADO D&amp;M'!AC7</f>
        <v>0</v>
      </c>
    </row>
    <row r="8" spans="1:35" ht="15.75" outlineLevel="1" x14ac:dyDescent="0.25">
      <c r="A8" s="9" t="s">
        <v>11</v>
      </c>
      <c r="B8" s="2"/>
      <c r="C8" s="8" t="e">
        <f t="shared" si="0"/>
        <v>#DIV/0!</v>
      </c>
      <c r="D8" s="2">
        <v>343095.89</v>
      </c>
      <c r="E8" s="8">
        <f t="shared" si="3"/>
        <v>0.27697788657463868</v>
      </c>
      <c r="F8" s="2"/>
      <c r="G8" s="8">
        <f t="shared" ref="G8:G27" si="4">+F8/$F$2</f>
        <v>0</v>
      </c>
      <c r="U8" s="2"/>
      <c r="V8" s="8">
        <f t="shared" ref="V8:V12" si="5">+U8/$F$2</f>
        <v>0</v>
      </c>
    </row>
    <row r="9" spans="1:35" ht="15.75" x14ac:dyDescent="0.25">
      <c r="A9" s="5" t="s">
        <v>12</v>
      </c>
      <c r="B9" s="6">
        <f>SUM(B10:B11)</f>
        <v>0</v>
      </c>
      <c r="C9" s="7" t="e">
        <f t="shared" si="0"/>
        <v>#DIV/0!</v>
      </c>
      <c r="D9" s="6">
        <f>SUM(D10:D11)</f>
        <v>0</v>
      </c>
      <c r="E9" s="7">
        <f t="shared" si="3"/>
        <v>0</v>
      </c>
      <c r="F9" s="6">
        <f>SUM(F10:F11)</f>
        <v>0</v>
      </c>
      <c r="G9" s="8">
        <f t="shared" si="4"/>
        <v>0</v>
      </c>
      <c r="H9" s="6">
        <f>SUM(H10:H11)</f>
        <v>0</v>
      </c>
      <c r="I9" s="6">
        <f t="shared" ref="I9:S9" si="6">SUM(I10:I11)</f>
        <v>0</v>
      </c>
      <c r="J9" s="6">
        <f t="shared" si="6"/>
        <v>0</v>
      </c>
      <c r="K9" s="6">
        <f t="shared" si="6"/>
        <v>0</v>
      </c>
      <c r="L9" s="6">
        <f t="shared" si="6"/>
        <v>0</v>
      </c>
      <c r="M9" s="6">
        <f t="shared" si="6"/>
        <v>0</v>
      </c>
      <c r="N9" s="6">
        <f t="shared" si="6"/>
        <v>0</v>
      </c>
      <c r="O9" s="6">
        <f t="shared" si="6"/>
        <v>0</v>
      </c>
      <c r="P9" s="6">
        <f t="shared" si="6"/>
        <v>0</v>
      </c>
      <c r="Q9" s="6">
        <f t="shared" si="6"/>
        <v>0</v>
      </c>
      <c r="R9" s="6">
        <f t="shared" si="6"/>
        <v>0</v>
      </c>
      <c r="S9" s="6">
        <f t="shared" si="6"/>
        <v>0</v>
      </c>
      <c r="U9" s="6">
        <f>SUM(U10:U11)</f>
        <v>0</v>
      </c>
      <c r="V9" s="8">
        <f t="shared" si="5"/>
        <v>0</v>
      </c>
      <c r="W9" s="6">
        <f>SUM(W10:W11)</f>
        <v>0</v>
      </c>
      <c r="X9" s="6">
        <f t="shared" ref="X9:AH9" si="7">SUM(X10:X11)</f>
        <v>0</v>
      </c>
      <c r="Y9" s="6">
        <f t="shared" si="7"/>
        <v>0</v>
      </c>
      <c r="Z9" s="6">
        <f t="shared" si="7"/>
        <v>0</v>
      </c>
      <c r="AA9" s="6">
        <f t="shared" si="7"/>
        <v>0</v>
      </c>
      <c r="AB9" s="6">
        <f t="shared" si="7"/>
        <v>0</v>
      </c>
      <c r="AC9" s="6">
        <f t="shared" si="7"/>
        <v>0</v>
      </c>
      <c r="AD9" s="6">
        <f t="shared" si="7"/>
        <v>0</v>
      </c>
      <c r="AE9" s="6">
        <f t="shared" si="7"/>
        <v>0</v>
      </c>
      <c r="AF9" s="6">
        <f t="shared" si="7"/>
        <v>0</v>
      </c>
      <c r="AG9" s="6">
        <f t="shared" si="7"/>
        <v>0</v>
      </c>
      <c r="AH9" s="6">
        <f t="shared" si="7"/>
        <v>0</v>
      </c>
    </row>
    <row r="10" spans="1:35" ht="15.75" outlineLevel="1" x14ac:dyDescent="0.25">
      <c r="A10" s="1" t="s">
        <v>13</v>
      </c>
      <c r="B10" s="2"/>
      <c r="C10" s="8" t="e">
        <f t="shared" si="0"/>
        <v>#DIV/0!</v>
      </c>
      <c r="D10" s="2"/>
      <c r="E10" s="8">
        <f t="shared" si="3"/>
        <v>0</v>
      </c>
      <c r="F10" s="2"/>
      <c r="G10" s="8">
        <f t="shared" si="4"/>
        <v>0</v>
      </c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U10" s="2"/>
      <c r="V10" s="8">
        <f t="shared" si="5"/>
        <v>0</v>
      </c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</row>
    <row r="11" spans="1:35" ht="15.75" outlineLevel="1" x14ac:dyDescent="0.25">
      <c r="A11" s="1" t="s">
        <v>14</v>
      </c>
      <c r="B11" s="2"/>
      <c r="C11" s="8" t="e">
        <f t="shared" si="0"/>
        <v>#DIV/0!</v>
      </c>
      <c r="D11" s="2"/>
      <c r="E11" s="8">
        <f t="shared" si="3"/>
        <v>0</v>
      </c>
      <c r="F11" s="2"/>
      <c r="G11" s="8">
        <f t="shared" si="4"/>
        <v>0</v>
      </c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8">
        <f t="shared" si="5"/>
        <v>0</v>
      </c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</row>
    <row r="12" spans="1:35" ht="15.75" x14ac:dyDescent="0.25">
      <c r="A12" s="5" t="s">
        <v>15</v>
      </c>
      <c r="B12" s="6"/>
      <c r="C12" s="7" t="e">
        <f t="shared" si="0"/>
        <v>#DIV/0!</v>
      </c>
      <c r="D12" s="6">
        <v>0</v>
      </c>
      <c r="E12" s="7">
        <f t="shared" si="3"/>
        <v>0</v>
      </c>
      <c r="F12" s="6">
        <v>0</v>
      </c>
      <c r="G12" s="8">
        <f t="shared" si="4"/>
        <v>0</v>
      </c>
      <c r="H12" s="6">
        <v>0</v>
      </c>
      <c r="I12" s="6">
        <v>1</v>
      </c>
      <c r="J12" s="6">
        <v>2</v>
      </c>
      <c r="K12" s="6">
        <v>3</v>
      </c>
      <c r="L12" s="6">
        <v>4</v>
      </c>
      <c r="M12" s="6">
        <v>5</v>
      </c>
      <c r="N12" s="6">
        <v>6</v>
      </c>
      <c r="O12" s="6">
        <v>7</v>
      </c>
      <c r="P12" s="6">
        <v>8</v>
      </c>
      <c r="Q12" s="6">
        <v>9</v>
      </c>
      <c r="R12" s="6">
        <v>10</v>
      </c>
      <c r="S12" s="6">
        <v>11</v>
      </c>
      <c r="U12" s="6">
        <v>0</v>
      </c>
      <c r="V12" s="8">
        <f t="shared" si="5"/>
        <v>0</v>
      </c>
      <c r="W12" s="6">
        <v>0</v>
      </c>
      <c r="X12" s="6">
        <v>1</v>
      </c>
      <c r="Y12" s="6">
        <v>2</v>
      </c>
      <c r="Z12" s="6">
        <v>3</v>
      </c>
      <c r="AA12" s="6">
        <v>4</v>
      </c>
      <c r="AB12" s="6">
        <v>5</v>
      </c>
      <c r="AC12" s="6">
        <v>6</v>
      </c>
      <c r="AD12" s="6">
        <v>7</v>
      </c>
      <c r="AE12" s="6">
        <v>8</v>
      </c>
      <c r="AF12" s="6">
        <v>9</v>
      </c>
      <c r="AG12" s="6">
        <v>10</v>
      </c>
      <c r="AH12" s="6">
        <v>11</v>
      </c>
    </row>
    <row r="13" spans="1:35" ht="15.75" x14ac:dyDescent="0.25">
      <c r="A13" s="5" t="s">
        <v>16</v>
      </c>
      <c r="B13" s="6">
        <f>SUM(B14:B21)</f>
        <v>0</v>
      </c>
      <c r="C13" s="7" t="e">
        <f t="shared" si="0"/>
        <v>#DIV/0!</v>
      </c>
      <c r="D13" s="6">
        <f>SUM(D14:D21)</f>
        <v>-388620.74</v>
      </c>
      <c r="E13" s="7">
        <f t="shared" si="3"/>
        <v>-0.3137296434657732</v>
      </c>
      <c r="F13" s="6">
        <f>SUM(F14:F21)</f>
        <v>-475000</v>
      </c>
      <c r="G13" s="8">
        <f t="shared" si="4"/>
        <v>-0.26536312849162014</v>
      </c>
      <c r="H13" s="6">
        <f>SUM(H14:H21)</f>
        <v>-16500</v>
      </c>
      <c r="I13" s="6">
        <f t="shared" ref="I13:S13" si="8">SUM(I14:I21)</f>
        <v>-25250</v>
      </c>
      <c r="J13" s="6">
        <f t="shared" si="8"/>
        <v>-27500</v>
      </c>
      <c r="K13" s="6">
        <f t="shared" si="8"/>
        <v>-35000</v>
      </c>
      <c r="L13" s="6">
        <f t="shared" si="8"/>
        <v>-47250</v>
      </c>
      <c r="M13" s="6">
        <f t="shared" si="8"/>
        <v>-58250</v>
      </c>
      <c r="N13" s="6">
        <f t="shared" si="8"/>
        <v>-54750</v>
      </c>
      <c r="O13" s="6">
        <f t="shared" si="8"/>
        <v>-29750</v>
      </c>
      <c r="P13" s="6">
        <f t="shared" si="8"/>
        <v>-46250</v>
      </c>
      <c r="Q13" s="6">
        <f t="shared" si="8"/>
        <v>-37500</v>
      </c>
      <c r="R13" s="6">
        <f t="shared" si="8"/>
        <v>-30000</v>
      </c>
      <c r="S13" s="6">
        <f t="shared" si="8"/>
        <v>-37375</v>
      </c>
      <c r="U13" s="6">
        <f>SUM(U14:U21)</f>
        <v>-558490.90909090906</v>
      </c>
      <c r="V13" s="8">
        <f>+U13/$U$2</f>
        <v>-0.28323651452282161</v>
      </c>
      <c r="W13" s="6">
        <f>SUM(W14:W21)</f>
        <v>-32090.909090909088</v>
      </c>
      <c r="X13" s="6">
        <f t="shared" ref="X13:AH13" si="9">SUM(X14:X21)</f>
        <v>-32090.909090909088</v>
      </c>
      <c r="Y13" s="6">
        <f t="shared" si="9"/>
        <v>-37545.454545454537</v>
      </c>
      <c r="Z13" s="6">
        <f t="shared" si="9"/>
        <v>-50563.636363636353</v>
      </c>
      <c r="AA13" s="6">
        <f t="shared" si="9"/>
        <v>-62890.909090909088</v>
      </c>
      <c r="AB13" s="6">
        <f t="shared" si="9"/>
        <v>-76400</v>
      </c>
      <c r="AC13" s="6">
        <f t="shared" si="9"/>
        <v>-66909.090909090897</v>
      </c>
      <c r="AD13" s="6">
        <f t="shared" si="9"/>
        <v>-29254.545454545452</v>
      </c>
      <c r="AE13" s="6">
        <f t="shared" si="9"/>
        <v>-44636.363636363632</v>
      </c>
      <c r="AF13" s="6">
        <f t="shared" si="9"/>
        <v>-38018.181818181809</v>
      </c>
      <c r="AG13" s="6">
        <f t="shared" si="9"/>
        <v>-32090.909090909088</v>
      </c>
      <c r="AH13" s="6">
        <f t="shared" si="9"/>
        <v>-55999.999999999985</v>
      </c>
    </row>
    <row r="14" spans="1:35" ht="15.75" outlineLevel="1" x14ac:dyDescent="0.25">
      <c r="A14" s="9" t="s">
        <v>17</v>
      </c>
      <c r="B14" s="2"/>
      <c r="C14" s="8" t="e">
        <f t="shared" si="0"/>
        <v>#DIV/0!</v>
      </c>
      <c r="D14" s="2">
        <v>-388620.74</v>
      </c>
      <c r="E14" s="8">
        <f t="shared" si="3"/>
        <v>-0.3137296434657732</v>
      </c>
      <c r="F14" s="2">
        <f>-'PYG CONSOLIDADO D&amp;M'!B15</f>
        <v>-475000</v>
      </c>
      <c r="G14" s="8">
        <f t="shared" si="4"/>
        <v>-0.26536312849162014</v>
      </c>
      <c r="H14" s="2">
        <f>-'PYG CONSOLIDADO D&amp;M'!C15</f>
        <v>-16500</v>
      </c>
      <c r="I14" s="2">
        <f>-'PYG CONSOLIDADO D&amp;M'!D15</f>
        <v>-25250</v>
      </c>
      <c r="J14" s="2">
        <f>-'PYG CONSOLIDADO D&amp;M'!E15</f>
        <v>-27500</v>
      </c>
      <c r="K14" s="2">
        <f>-'PYG CONSOLIDADO D&amp;M'!F15</f>
        <v>-35000</v>
      </c>
      <c r="L14" s="2">
        <f>-'PYG CONSOLIDADO D&amp;M'!G15</f>
        <v>-47250</v>
      </c>
      <c r="M14" s="2">
        <f>-'PYG CONSOLIDADO D&amp;M'!H15</f>
        <v>-58250</v>
      </c>
      <c r="N14" s="2">
        <f>-'PYG CONSOLIDADO D&amp;M'!I15</f>
        <v>-54750</v>
      </c>
      <c r="O14" s="2">
        <f>-'PYG CONSOLIDADO D&amp;M'!J15</f>
        <v>-29750</v>
      </c>
      <c r="P14" s="2">
        <f>-'PYG CONSOLIDADO D&amp;M'!K15</f>
        <v>-46250</v>
      </c>
      <c r="Q14" s="2">
        <f>-'PYG CONSOLIDADO D&amp;M'!L15</f>
        <v>-37500</v>
      </c>
      <c r="R14" s="2">
        <f>-'PYG CONSOLIDADO D&amp;M'!M15</f>
        <v>-30000</v>
      </c>
      <c r="S14" s="2">
        <f>-'PYG CONSOLIDADO D&amp;M'!N15</f>
        <v>-37375</v>
      </c>
      <c r="U14" s="2">
        <f>SUM(W14:AH14)</f>
        <v>-558490.90909090906</v>
      </c>
      <c r="V14" s="8">
        <f t="shared" ref="V14:V77" si="10">+U14/$U$2</f>
        <v>-0.28323651452282161</v>
      </c>
      <c r="W14" s="2">
        <f>-'consolidado DM'!C23</f>
        <v>-32090.909090909088</v>
      </c>
      <c r="X14" s="2">
        <f>-'consolidado DM'!D23</f>
        <v>-32090.909090909088</v>
      </c>
      <c r="Y14" s="2">
        <f>-'consolidado DM'!E23</f>
        <v>-37545.454545454537</v>
      </c>
      <c r="Z14" s="2">
        <f>-'consolidado DM'!F23</f>
        <v>-50563.636363636353</v>
      </c>
      <c r="AA14" s="2">
        <f>-'consolidado DM'!G23</f>
        <v>-62890.909090909088</v>
      </c>
      <c r="AB14" s="2">
        <f>-'consolidado DM'!H23</f>
        <v>-76400</v>
      </c>
      <c r="AC14" s="2">
        <f>-'consolidado DM'!I23</f>
        <v>-66909.090909090897</v>
      </c>
      <c r="AD14" s="2">
        <f>-'consolidado DM'!J23</f>
        <v>-29254.545454545452</v>
      </c>
      <c r="AE14" s="2">
        <f>-'consolidado DM'!K23</f>
        <v>-44636.363636363632</v>
      </c>
      <c r="AF14" s="2">
        <f>-'consolidado DM'!L23</f>
        <v>-38018.181818181809</v>
      </c>
      <c r="AG14" s="2">
        <f>-'consolidado DM'!M23</f>
        <v>-32090.909090909088</v>
      </c>
      <c r="AH14" s="2">
        <f>-'consolidado DM'!N23</f>
        <v>-55999.999999999985</v>
      </c>
    </row>
    <row r="15" spans="1:35" ht="15.75" outlineLevel="1" x14ac:dyDescent="0.25">
      <c r="A15" s="1" t="s">
        <v>18</v>
      </c>
      <c r="B15" s="2"/>
      <c r="C15" s="8" t="e">
        <f t="shared" si="0"/>
        <v>#DIV/0!</v>
      </c>
      <c r="D15" s="2"/>
      <c r="E15" s="8">
        <f t="shared" si="3"/>
        <v>0</v>
      </c>
      <c r="F15" s="2"/>
      <c r="G15" s="8">
        <f t="shared" si="4"/>
        <v>0</v>
      </c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U15" s="2"/>
      <c r="V15" s="8">
        <f t="shared" si="10"/>
        <v>0</v>
      </c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</row>
    <row r="16" spans="1:35" ht="15.75" outlineLevel="1" x14ac:dyDescent="0.25">
      <c r="A16" s="1" t="s">
        <v>19</v>
      </c>
      <c r="B16" s="2"/>
      <c r="C16" s="8" t="e">
        <f t="shared" si="0"/>
        <v>#DIV/0!</v>
      </c>
      <c r="D16" s="2"/>
      <c r="E16" s="8">
        <f t="shared" si="3"/>
        <v>0</v>
      </c>
      <c r="F16" s="2"/>
      <c r="G16" s="8">
        <f t="shared" si="4"/>
        <v>0</v>
      </c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U16" s="2"/>
      <c r="V16" s="8">
        <f t="shared" si="10"/>
        <v>0</v>
      </c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</row>
    <row r="17" spans="1:34" ht="15.75" outlineLevel="1" x14ac:dyDescent="0.25">
      <c r="A17" s="1" t="s">
        <v>20</v>
      </c>
      <c r="B17" s="2"/>
      <c r="C17" s="8" t="e">
        <f t="shared" si="0"/>
        <v>#DIV/0!</v>
      </c>
      <c r="D17" s="2"/>
      <c r="E17" s="8">
        <f t="shared" si="3"/>
        <v>0</v>
      </c>
      <c r="F17" s="2"/>
      <c r="G17" s="8">
        <f t="shared" si="4"/>
        <v>0</v>
      </c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U17" s="2"/>
      <c r="V17" s="8">
        <f t="shared" si="10"/>
        <v>0</v>
      </c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</row>
    <row r="18" spans="1:34" ht="15.75" outlineLevel="1" x14ac:dyDescent="0.25">
      <c r="A18" s="1" t="s">
        <v>21</v>
      </c>
      <c r="B18" s="2"/>
      <c r="C18" s="8" t="e">
        <f t="shared" si="0"/>
        <v>#DIV/0!</v>
      </c>
      <c r="D18" s="2"/>
      <c r="E18" s="8">
        <f t="shared" si="3"/>
        <v>0</v>
      </c>
      <c r="F18" s="2"/>
      <c r="G18" s="8">
        <f t="shared" si="4"/>
        <v>0</v>
      </c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U18" s="2"/>
      <c r="V18" s="8">
        <f t="shared" si="10"/>
        <v>0</v>
      </c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</row>
    <row r="19" spans="1:34" ht="15.75" outlineLevel="1" x14ac:dyDescent="0.25">
      <c r="A19" s="1" t="s">
        <v>22</v>
      </c>
      <c r="B19" s="2"/>
      <c r="C19" s="8" t="e">
        <f t="shared" si="0"/>
        <v>#DIV/0!</v>
      </c>
      <c r="D19" s="2"/>
      <c r="E19" s="8">
        <f t="shared" si="3"/>
        <v>0</v>
      </c>
      <c r="F19" s="2"/>
      <c r="G19" s="8">
        <f t="shared" si="4"/>
        <v>0</v>
      </c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8">
        <f t="shared" si="10"/>
        <v>0</v>
      </c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</row>
    <row r="20" spans="1:34" ht="15.75" outlineLevel="1" x14ac:dyDescent="0.25">
      <c r="A20" s="1" t="s">
        <v>23</v>
      </c>
      <c r="B20" s="2"/>
      <c r="C20" s="8" t="e">
        <f t="shared" si="0"/>
        <v>#DIV/0!</v>
      </c>
      <c r="D20" s="2"/>
      <c r="E20" s="8">
        <f t="shared" si="3"/>
        <v>0</v>
      </c>
      <c r="F20" s="2"/>
      <c r="G20" s="8">
        <f t="shared" si="4"/>
        <v>0</v>
      </c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U20" s="2"/>
      <c r="V20" s="8">
        <f t="shared" si="10"/>
        <v>0</v>
      </c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</row>
    <row r="21" spans="1:34" ht="15.75" outlineLevel="1" x14ac:dyDescent="0.25">
      <c r="A21" s="1" t="s">
        <v>24</v>
      </c>
      <c r="B21" s="2"/>
      <c r="C21" s="8" t="e">
        <f t="shared" si="0"/>
        <v>#DIV/0!</v>
      </c>
      <c r="D21" s="2"/>
      <c r="E21" s="8">
        <f t="shared" si="3"/>
        <v>0</v>
      </c>
      <c r="F21" s="2"/>
      <c r="G21" s="8">
        <f t="shared" si="4"/>
        <v>0</v>
      </c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U21" s="2"/>
      <c r="V21" s="8">
        <f t="shared" si="10"/>
        <v>0</v>
      </c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</row>
    <row r="22" spans="1:34" ht="15.75" x14ac:dyDescent="0.25">
      <c r="A22" s="5" t="s">
        <v>25</v>
      </c>
      <c r="B22" s="6">
        <f>SUM(B23:B26)</f>
        <v>0</v>
      </c>
      <c r="C22" s="7" t="e">
        <f t="shared" si="0"/>
        <v>#DIV/0!</v>
      </c>
      <c r="D22" s="6">
        <f>SUM(D23:D26)</f>
        <v>3.9</v>
      </c>
      <c r="E22" s="7">
        <f t="shared" si="3"/>
        <v>3.1484310629343032E-6</v>
      </c>
      <c r="F22" s="6">
        <f>SUM(F23:F26)</f>
        <v>0</v>
      </c>
      <c r="G22" s="8">
        <f t="shared" si="4"/>
        <v>0</v>
      </c>
      <c r="H22" s="6">
        <f>SUM(H23:H26)</f>
        <v>0</v>
      </c>
      <c r="I22" s="6">
        <f t="shared" ref="I22:S22" si="11">SUM(I23:I26)</f>
        <v>0</v>
      </c>
      <c r="J22" s="6">
        <f t="shared" si="11"/>
        <v>0</v>
      </c>
      <c r="K22" s="6">
        <f t="shared" si="11"/>
        <v>0</v>
      </c>
      <c r="L22" s="6">
        <f t="shared" si="11"/>
        <v>0</v>
      </c>
      <c r="M22" s="6">
        <f t="shared" si="11"/>
        <v>0</v>
      </c>
      <c r="N22" s="6">
        <f t="shared" si="11"/>
        <v>0</v>
      </c>
      <c r="O22" s="6">
        <f t="shared" si="11"/>
        <v>0</v>
      </c>
      <c r="P22" s="6">
        <f t="shared" si="11"/>
        <v>0</v>
      </c>
      <c r="Q22" s="6">
        <f t="shared" si="11"/>
        <v>0</v>
      </c>
      <c r="R22" s="6">
        <f t="shared" si="11"/>
        <v>0</v>
      </c>
      <c r="S22" s="6">
        <f t="shared" si="11"/>
        <v>0</v>
      </c>
      <c r="U22" s="6">
        <f>SUM(U23:U26)</f>
        <v>0</v>
      </c>
      <c r="V22" s="8">
        <f t="shared" si="10"/>
        <v>0</v>
      </c>
      <c r="W22" s="6">
        <f>SUM(W23:W26)</f>
        <v>0</v>
      </c>
      <c r="X22" s="6">
        <f t="shared" ref="X22:AH22" si="12">SUM(X23:X26)</f>
        <v>0</v>
      </c>
      <c r="Y22" s="6">
        <f t="shared" si="12"/>
        <v>0</v>
      </c>
      <c r="Z22" s="6">
        <f t="shared" si="12"/>
        <v>0</v>
      </c>
      <c r="AA22" s="6">
        <f t="shared" si="12"/>
        <v>0</v>
      </c>
      <c r="AB22" s="6">
        <f t="shared" si="12"/>
        <v>0</v>
      </c>
      <c r="AC22" s="6">
        <f t="shared" si="12"/>
        <v>0</v>
      </c>
      <c r="AD22" s="6">
        <f t="shared" si="12"/>
        <v>0</v>
      </c>
      <c r="AE22" s="6">
        <f t="shared" si="12"/>
        <v>0</v>
      </c>
      <c r="AF22" s="6">
        <f t="shared" si="12"/>
        <v>0</v>
      </c>
      <c r="AG22" s="6">
        <f t="shared" si="12"/>
        <v>0</v>
      </c>
      <c r="AH22" s="6">
        <f t="shared" si="12"/>
        <v>0</v>
      </c>
    </row>
    <row r="23" spans="1:34" ht="15.75" outlineLevel="1" x14ac:dyDescent="0.25">
      <c r="A23" s="1" t="s">
        <v>26</v>
      </c>
      <c r="B23" s="2"/>
      <c r="C23" s="8" t="e">
        <f t="shared" si="0"/>
        <v>#DIV/0!</v>
      </c>
      <c r="D23" s="2"/>
      <c r="E23" s="8">
        <f t="shared" si="3"/>
        <v>0</v>
      </c>
      <c r="F23" s="2"/>
      <c r="G23" s="8">
        <f t="shared" si="4"/>
        <v>0</v>
      </c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U23" s="2"/>
      <c r="V23" s="8">
        <f t="shared" si="10"/>
        <v>0</v>
      </c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</row>
    <row r="24" spans="1:34" ht="15.75" outlineLevel="1" x14ac:dyDescent="0.25">
      <c r="A24" s="1" t="s">
        <v>27</v>
      </c>
      <c r="B24" s="2"/>
      <c r="C24" s="8" t="e">
        <f t="shared" si="0"/>
        <v>#DIV/0!</v>
      </c>
      <c r="D24" s="2"/>
      <c r="E24" s="8">
        <f t="shared" si="3"/>
        <v>0</v>
      </c>
      <c r="F24" s="2"/>
      <c r="G24" s="8">
        <f t="shared" si="4"/>
        <v>0</v>
      </c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U24" s="2"/>
      <c r="V24" s="8">
        <f t="shared" si="10"/>
        <v>0</v>
      </c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</row>
    <row r="25" spans="1:34" ht="15.75" outlineLevel="1" x14ac:dyDescent="0.25">
      <c r="A25" s="1" t="s">
        <v>28</v>
      </c>
      <c r="B25" s="2"/>
      <c r="C25" s="8" t="e">
        <f t="shared" si="0"/>
        <v>#DIV/0!</v>
      </c>
      <c r="D25" s="2"/>
      <c r="E25" s="8">
        <f t="shared" si="3"/>
        <v>0</v>
      </c>
      <c r="F25" s="2"/>
      <c r="G25" s="8">
        <f t="shared" si="4"/>
        <v>0</v>
      </c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U25" s="2"/>
      <c r="V25" s="8">
        <f t="shared" si="10"/>
        <v>0</v>
      </c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</row>
    <row r="26" spans="1:34" ht="15.75" outlineLevel="1" x14ac:dyDescent="0.25">
      <c r="A26" s="1" t="s">
        <v>29</v>
      </c>
      <c r="B26" s="2"/>
      <c r="C26" s="8" t="e">
        <f t="shared" si="0"/>
        <v>#DIV/0!</v>
      </c>
      <c r="D26" s="2">
        <v>3.9</v>
      </c>
      <c r="E26" s="8">
        <f t="shared" si="3"/>
        <v>3.1484310629343032E-6</v>
      </c>
      <c r="F26" s="2"/>
      <c r="G26" s="8">
        <f t="shared" si="4"/>
        <v>0</v>
      </c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U26" s="2"/>
      <c r="V26" s="8">
        <f t="shared" si="10"/>
        <v>0</v>
      </c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</row>
    <row r="27" spans="1:34" ht="15.75" x14ac:dyDescent="0.25">
      <c r="A27" s="5" t="s">
        <v>30</v>
      </c>
      <c r="B27" s="6">
        <f>SUM(B28:B36)</f>
        <v>0</v>
      </c>
      <c r="C27" s="7" t="e">
        <f t="shared" si="0"/>
        <v>#DIV/0!</v>
      </c>
      <c r="D27" s="6">
        <f>SUM(D28:D36)</f>
        <v>-489663.01000000007</v>
      </c>
      <c r="E27" s="7">
        <f t="shared" si="3"/>
        <v>-0.39530005924459249</v>
      </c>
      <c r="F27" s="6">
        <f>SUM(F28:F36)</f>
        <v>-694172.51757999999</v>
      </c>
      <c r="G27" s="8">
        <f t="shared" si="4"/>
        <v>-0.38780587574301673</v>
      </c>
      <c r="H27" s="6">
        <f>SUM(H28:H36)</f>
        <v>-41764.376465000001</v>
      </c>
      <c r="I27" s="6">
        <f t="shared" ref="I27:S27" si="13">SUM(I28:I36)</f>
        <v>-57847.709798333337</v>
      </c>
      <c r="J27" s="6">
        <f t="shared" si="13"/>
        <v>-57847.709798333337</v>
      </c>
      <c r="K27" s="6">
        <f t="shared" si="13"/>
        <v>-57847.709798333337</v>
      </c>
      <c r="L27" s="6">
        <f t="shared" si="13"/>
        <v>-57847.709798333337</v>
      </c>
      <c r="M27" s="6">
        <f t="shared" si="13"/>
        <v>-57847.709798333337</v>
      </c>
      <c r="N27" s="6">
        <f t="shared" si="13"/>
        <v>-57847.709798333337</v>
      </c>
      <c r="O27" s="6">
        <f t="shared" si="13"/>
        <v>-57847.709798333337</v>
      </c>
      <c r="P27" s="6">
        <f t="shared" si="13"/>
        <v>-57847.709798333337</v>
      </c>
      <c r="Q27" s="6">
        <f t="shared" si="13"/>
        <v>-57847.709798333337</v>
      </c>
      <c r="R27" s="6">
        <f t="shared" si="13"/>
        <v>-57847.709798333337</v>
      </c>
      <c r="S27" s="6">
        <f t="shared" si="13"/>
        <v>-57847.709798333337</v>
      </c>
      <c r="U27" s="6">
        <f>SUM(W27:AG27)</f>
        <v>-666925.61118999985</v>
      </c>
      <c r="V27" s="8">
        <f t="shared" si="10"/>
        <v>-0.33822875625126786</v>
      </c>
      <c r="W27" s="6">
        <f>SUM(W28:W36)</f>
        <v>-57902.328290000005</v>
      </c>
      <c r="X27" s="6">
        <f t="shared" ref="X27:AH27" si="14">SUM(X28:X36)</f>
        <v>-57902.328290000005</v>
      </c>
      <c r="Y27" s="6">
        <f t="shared" si="14"/>
        <v>-57902.328290000005</v>
      </c>
      <c r="Z27" s="6">
        <f t="shared" si="14"/>
        <v>-60902.328290000005</v>
      </c>
      <c r="AA27" s="6">
        <f t="shared" si="14"/>
        <v>-62902.328290000005</v>
      </c>
      <c r="AB27" s="6">
        <f t="shared" si="14"/>
        <v>-65902.328290000005</v>
      </c>
      <c r="AC27" s="6">
        <f t="shared" si="14"/>
        <v>-65902.328290000005</v>
      </c>
      <c r="AD27" s="6">
        <f t="shared" si="14"/>
        <v>-60902.328290000005</v>
      </c>
      <c r="AE27" s="6">
        <f t="shared" si="14"/>
        <v>-60902.328290000005</v>
      </c>
      <c r="AF27" s="6">
        <f t="shared" si="14"/>
        <v>-57902.328290000005</v>
      </c>
      <c r="AG27" s="6">
        <f t="shared" si="14"/>
        <v>-57902.328290000005</v>
      </c>
      <c r="AH27" s="6">
        <f t="shared" si="14"/>
        <v>-57902.328290000005</v>
      </c>
    </row>
    <row r="28" spans="1:34" ht="15.75" outlineLevel="1" x14ac:dyDescent="0.25">
      <c r="A28" s="1" t="s">
        <v>31</v>
      </c>
      <c r="B28" s="2"/>
      <c r="C28" s="8" t="e">
        <f t="shared" si="0"/>
        <v>#DIV/0!</v>
      </c>
      <c r="D28" s="2">
        <v>-359435.21</v>
      </c>
      <c r="E28" s="8">
        <f t="shared" si="3"/>
        <v>-0.29016845648110634</v>
      </c>
      <c r="F28" s="2">
        <f>-'PYG CONSOLIDADO D&amp;M'!B20</f>
        <v>-509127.79080000002</v>
      </c>
      <c r="G28" s="8">
        <f t="shared" ref="G28:G34" si="15">+F28/$F$2</f>
        <v>-0.28442893340782122</v>
      </c>
      <c r="H28" s="2">
        <f>-'PYG CONSOLIDADO D&amp;M'!C20</f>
        <v>-30010.649233333334</v>
      </c>
      <c r="I28" s="2">
        <f>-'PYG CONSOLIDADO D&amp;M'!D20</f>
        <v>-42427.315900000001</v>
      </c>
      <c r="J28" s="2">
        <f>-'PYG CONSOLIDADO D&amp;M'!E20</f>
        <v>-42427.315900000001</v>
      </c>
      <c r="K28" s="2">
        <f>-'PYG CONSOLIDADO D&amp;M'!F20</f>
        <v>-42427.315900000001</v>
      </c>
      <c r="L28" s="2">
        <f>-'PYG CONSOLIDADO D&amp;M'!G20</f>
        <v>-42427.315900000001</v>
      </c>
      <c r="M28" s="2">
        <f>-'PYG CONSOLIDADO D&amp;M'!H20</f>
        <v>-42427.315900000001</v>
      </c>
      <c r="N28" s="2">
        <f>-'PYG CONSOLIDADO D&amp;M'!I20</f>
        <v>-42427.315900000001</v>
      </c>
      <c r="O28" s="2">
        <f>-'PYG CONSOLIDADO D&amp;M'!J20</f>
        <v>-42427.315900000001</v>
      </c>
      <c r="P28" s="2">
        <f>-'PYG CONSOLIDADO D&amp;M'!K20</f>
        <v>-42427.315900000001</v>
      </c>
      <c r="Q28" s="2">
        <f>-'PYG CONSOLIDADO D&amp;M'!L20</f>
        <v>-42427.315900000001</v>
      </c>
      <c r="R28" s="2">
        <f>-'PYG CONSOLIDADO D&amp;M'!M20</f>
        <v>-42427.315900000001</v>
      </c>
      <c r="S28" s="2">
        <f>-'PYG CONSOLIDADO D&amp;M'!N20</f>
        <v>-42427.315900000001</v>
      </c>
      <c r="U28" s="6">
        <f>SUM(W28:AG28)</f>
        <v>-653175.61118999985</v>
      </c>
      <c r="V28" s="8">
        <f t="shared" si="10"/>
        <v>-0.33125549668464732</v>
      </c>
      <c r="W28" s="2">
        <f>-'consolidado DM'!C5-'consolidado DM'!C34</f>
        <v>-56652.328290000005</v>
      </c>
      <c r="X28" s="2">
        <f>-'consolidado DM'!D5-'consolidado DM'!D34</f>
        <v>-56652.328290000005</v>
      </c>
      <c r="Y28" s="2">
        <f>-'consolidado DM'!E5-'consolidado DM'!E34</f>
        <v>-56652.328290000005</v>
      </c>
      <c r="Z28" s="2">
        <f>-'consolidado DM'!F5-'consolidado DM'!F34</f>
        <v>-59652.328290000005</v>
      </c>
      <c r="AA28" s="2">
        <f>-'consolidado DM'!G5-'consolidado DM'!G34</f>
        <v>-61652.328290000005</v>
      </c>
      <c r="AB28" s="2">
        <f>-'consolidado DM'!H5-'consolidado DM'!H34</f>
        <v>-64652.328290000005</v>
      </c>
      <c r="AC28" s="2">
        <f>-'consolidado DM'!I5-'consolidado DM'!I34</f>
        <v>-64652.328290000005</v>
      </c>
      <c r="AD28" s="2">
        <f>-'consolidado DM'!J5-'consolidado DM'!J34</f>
        <v>-59652.328290000005</v>
      </c>
      <c r="AE28" s="2">
        <f>-'consolidado DM'!K5-'consolidado DM'!K34</f>
        <v>-59652.328290000005</v>
      </c>
      <c r="AF28" s="2">
        <f>-'consolidado DM'!L5-'consolidado DM'!L34</f>
        <v>-56652.328290000005</v>
      </c>
      <c r="AG28" s="2">
        <f>-'consolidado DM'!M5-'consolidado DM'!M34</f>
        <v>-56652.328290000005</v>
      </c>
      <c r="AH28" s="2">
        <f>-'consolidado DM'!N5-'consolidado DM'!N34</f>
        <v>-56652.328290000005</v>
      </c>
    </row>
    <row r="29" spans="1:34" ht="15.75" outlineLevel="1" x14ac:dyDescent="0.25">
      <c r="A29" s="1" t="s">
        <v>32</v>
      </c>
      <c r="B29" s="2"/>
      <c r="C29" s="8" t="e">
        <f t="shared" si="0"/>
        <v>#DIV/0!</v>
      </c>
      <c r="D29" s="2"/>
      <c r="E29" s="8">
        <f t="shared" si="3"/>
        <v>0</v>
      </c>
      <c r="F29" s="2"/>
      <c r="G29" s="8">
        <f t="shared" si="15"/>
        <v>0</v>
      </c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U29" s="2"/>
      <c r="V29" s="8">
        <f t="shared" si="10"/>
        <v>0</v>
      </c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</row>
    <row r="30" spans="1:34" ht="15.75" outlineLevel="1" x14ac:dyDescent="0.25">
      <c r="A30" s="1" t="s">
        <v>33</v>
      </c>
      <c r="B30" s="2"/>
      <c r="C30" s="8" t="e">
        <f t="shared" si="0"/>
        <v>#DIV/0!</v>
      </c>
      <c r="D30" s="2"/>
      <c r="E30" s="8">
        <f t="shared" si="3"/>
        <v>0</v>
      </c>
      <c r="F30" s="2"/>
      <c r="G30" s="8">
        <f t="shared" si="15"/>
        <v>0</v>
      </c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U30" s="2"/>
      <c r="V30" s="8">
        <f t="shared" si="10"/>
        <v>0</v>
      </c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</row>
    <row r="31" spans="1:34" ht="15.75" outlineLevel="1" x14ac:dyDescent="0.25">
      <c r="A31" s="1" t="s">
        <v>34</v>
      </c>
      <c r="B31" s="2"/>
      <c r="C31" s="8" t="e">
        <f t="shared" si="0"/>
        <v>#DIV/0!</v>
      </c>
      <c r="D31" s="2"/>
      <c r="E31" s="8">
        <f t="shared" si="3"/>
        <v>0</v>
      </c>
      <c r="F31" s="2"/>
      <c r="G31" s="8">
        <f t="shared" si="15"/>
        <v>0</v>
      </c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U31" s="2"/>
      <c r="V31" s="8">
        <f t="shared" si="10"/>
        <v>0</v>
      </c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</row>
    <row r="32" spans="1:34" ht="15.75" outlineLevel="1" x14ac:dyDescent="0.25">
      <c r="A32" s="1" t="s">
        <v>35</v>
      </c>
      <c r="B32" s="2"/>
      <c r="C32" s="8" t="e">
        <f t="shared" si="0"/>
        <v>#DIV/0!</v>
      </c>
      <c r="D32" s="2">
        <v>-4718.71</v>
      </c>
      <c r="E32" s="8">
        <f t="shared" si="3"/>
        <v>-3.8093674720458275E-3</v>
      </c>
      <c r="G32" s="8">
        <f t="shared" si="15"/>
        <v>0</v>
      </c>
      <c r="V32" s="8">
        <f t="shared" si="10"/>
        <v>0</v>
      </c>
    </row>
    <row r="33" spans="1:34" ht="15.75" outlineLevel="1" x14ac:dyDescent="0.25">
      <c r="A33" s="1" t="s">
        <v>36</v>
      </c>
      <c r="B33" s="2"/>
      <c r="C33" s="8" t="e">
        <f t="shared" si="0"/>
        <v>#DIV/0!</v>
      </c>
      <c r="D33" s="2">
        <v>-118745.63</v>
      </c>
      <c r="E33" s="8">
        <f t="shared" si="3"/>
        <v>-9.5862161558898346E-2</v>
      </c>
      <c r="F33" s="2">
        <f>-'PYG CONSOLIDADO D&amp;M'!B21</f>
        <v>-170044.72678</v>
      </c>
      <c r="G33" s="8">
        <f t="shared" si="15"/>
        <v>-9.4997054067039108E-2</v>
      </c>
      <c r="H33" s="2">
        <f>-'PYG CONSOLIDADO D&amp;M'!C21</f>
        <v>-10503.727231666666</v>
      </c>
      <c r="I33" s="2">
        <f>-'PYG CONSOLIDADO D&amp;M'!D21</f>
        <v>-14170.393898333332</v>
      </c>
      <c r="J33" s="2">
        <f>-'PYG CONSOLIDADO D&amp;M'!E21</f>
        <v>-14170.393898333332</v>
      </c>
      <c r="K33" s="2">
        <f>-'PYG CONSOLIDADO D&amp;M'!F21</f>
        <v>-14170.393898333332</v>
      </c>
      <c r="L33" s="2">
        <f>-'PYG CONSOLIDADO D&amp;M'!G21</f>
        <v>-14170.393898333332</v>
      </c>
      <c r="M33" s="2">
        <f>-'PYG CONSOLIDADO D&amp;M'!H21</f>
        <v>-14170.393898333332</v>
      </c>
      <c r="N33" s="2">
        <f>-'PYG CONSOLIDADO D&amp;M'!I21</f>
        <v>-14170.393898333332</v>
      </c>
      <c r="O33" s="2">
        <f>-'PYG CONSOLIDADO D&amp;M'!J21</f>
        <v>-14170.393898333332</v>
      </c>
      <c r="P33" s="2">
        <f>-'PYG CONSOLIDADO D&amp;M'!K21</f>
        <v>-14170.393898333332</v>
      </c>
      <c r="Q33" s="2">
        <f>-'PYG CONSOLIDADO D&amp;M'!L21</f>
        <v>-14170.393898333332</v>
      </c>
      <c r="R33" s="2">
        <f>-'PYG CONSOLIDADO D&amp;M'!M21</f>
        <v>-14170.393898333332</v>
      </c>
      <c r="S33" s="2">
        <f>-'PYG CONSOLIDADO D&amp;M'!N21</f>
        <v>-14170.393898333332</v>
      </c>
      <c r="U33" s="2">
        <f>-'PYG CONSOLIDADO D&amp;M'!Q21</f>
        <v>0</v>
      </c>
      <c r="V33" s="8">
        <f t="shared" si="10"/>
        <v>0</v>
      </c>
      <c r="W33" s="2">
        <f>-'PYG CONSOLIDADO D&amp;M'!R21</f>
        <v>0</v>
      </c>
      <c r="X33" s="2">
        <f>-'PYG CONSOLIDADO D&amp;M'!S21</f>
        <v>0</v>
      </c>
      <c r="Y33" s="2">
        <f>-'PYG CONSOLIDADO D&amp;M'!T21</f>
        <v>0</v>
      </c>
      <c r="Z33" s="2">
        <f>-'PYG CONSOLIDADO D&amp;M'!U21</f>
        <v>0</v>
      </c>
      <c r="AA33" s="2">
        <f>-'PYG CONSOLIDADO D&amp;M'!V21</f>
        <v>0</v>
      </c>
      <c r="AB33" s="2">
        <f>-'PYG CONSOLIDADO D&amp;M'!W21</f>
        <v>0</v>
      </c>
      <c r="AC33" s="2">
        <f>-'PYG CONSOLIDADO D&amp;M'!X21</f>
        <v>0</v>
      </c>
      <c r="AD33" s="2">
        <f>-'PYG CONSOLIDADO D&amp;M'!Y21</f>
        <v>0</v>
      </c>
      <c r="AE33" s="2">
        <f>-'PYG CONSOLIDADO D&amp;M'!Z21</f>
        <v>0</v>
      </c>
      <c r="AF33" s="2">
        <f>-'PYG CONSOLIDADO D&amp;M'!AA21</f>
        <v>0</v>
      </c>
      <c r="AG33" s="2">
        <f>-'PYG CONSOLIDADO D&amp;M'!AB21</f>
        <v>0</v>
      </c>
      <c r="AH33" s="2">
        <f>-'PYG CONSOLIDADO D&amp;M'!AC21</f>
        <v>0</v>
      </c>
    </row>
    <row r="34" spans="1:34" ht="15.75" outlineLevel="1" x14ac:dyDescent="0.25">
      <c r="A34" s="1" t="s">
        <v>37</v>
      </c>
      <c r="B34" s="2"/>
      <c r="C34" s="8" t="e">
        <f t="shared" ref="C34:C65" si="16">+B34/$B$2</f>
        <v>#DIV/0!</v>
      </c>
      <c r="D34" s="2"/>
      <c r="E34" s="8">
        <f t="shared" si="3"/>
        <v>0</v>
      </c>
      <c r="F34" s="2"/>
      <c r="G34" s="8">
        <f t="shared" si="15"/>
        <v>0</v>
      </c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U34" s="2"/>
      <c r="V34" s="8">
        <f t="shared" si="10"/>
        <v>0</v>
      </c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</row>
    <row r="35" spans="1:34" ht="15.75" outlineLevel="1" x14ac:dyDescent="0.25">
      <c r="A35" s="1" t="s">
        <v>38</v>
      </c>
      <c r="B35" s="2"/>
      <c r="C35" s="8" t="e">
        <f t="shared" si="16"/>
        <v>#DIV/0!</v>
      </c>
      <c r="D35" s="2"/>
      <c r="E35" s="8">
        <f t="shared" ref="E35:E66" si="17">+D35/$D$2</f>
        <v>0</v>
      </c>
      <c r="F35" s="2"/>
      <c r="G35" s="8">
        <f t="shared" ref="G35:G98" si="18">+F35/$F$2</f>
        <v>0</v>
      </c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8">
        <f t="shared" si="10"/>
        <v>0</v>
      </c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</row>
    <row r="36" spans="1:34" ht="15.75" outlineLevel="1" x14ac:dyDescent="0.25">
      <c r="A36" s="1" t="s">
        <v>39</v>
      </c>
      <c r="B36" s="2"/>
      <c r="C36" s="8" t="e">
        <f t="shared" si="16"/>
        <v>#DIV/0!</v>
      </c>
      <c r="D36" s="2">
        <v>-6763.46</v>
      </c>
      <c r="E36" s="8">
        <f t="shared" si="17"/>
        <v>-5.4600737325419604E-3</v>
      </c>
      <c r="F36" s="2">
        <f>-'PYG CONSOLIDADO D&amp;M'!B22</f>
        <v>-15000</v>
      </c>
      <c r="G36" s="8">
        <f t="shared" si="18"/>
        <v>-8.3798882681564244E-3</v>
      </c>
      <c r="H36" s="2">
        <f>+$F36/12</f>
        <v>-1250</v>
      </c>
      <c r="I36" s="2">
        <f t="shared" ref="I36:S36" si="19">+$F36/12</f>
        <v>-1250</v>
      </c>
      <c r="J36" s="2">
        <f t="shared" si="19"/>
        <v>-1250</v>
      </c>
      <c r="K36" s="2">
        <f t="shared" si="19"/>
        <v>-1250</v>
      </c>
      <c r="L36" s="2">
        <f t="shared" si="19"/>
        <v>-1250</v>
      </c>
      <c r="M36" s="2">
        <f t="shared" si="19"/>
        <v>-1250</v>
      </c>
      <c r="N36" s="2">
        <f t="shared" si="19"/>
        <v>-1250</v>
      </c>
      <c r="O36" s="2">
        <f t="shared" si="19"/>
        <v>-1250</v>
      </c>
      <c r="P36" s="2">
        <f t="shared" si="19"/>
        <v>-1250</v>
      </c>
      <c r="Q36" s="2">
        <f t="shared" si="19"/>
        <v>-1250</v>
      </c>
      <c r="R36" s="2">
        <f t="shared" si="19"/>
        <v>-1250</v>
      </c>
      <c r="S36" s="2">
        <f t="shared" si="19"/>
        <v>-1250</v>
      </c>
      <c r="U36" s="2">
        <f>-'PYG CONSOLIDADO D&amp;M'!Q22</f>
        <v>0</v>
      </c>
      <c r="V36" s="8">
        <f t="shared" si="10"/>
        <v>0</v>
      </c>
      <c r="W36" s="2">
        <f>+$F36/12</f>
        <v>-1250</v>
      </c>
      <c r="X36" s="2">
        <f t="shared" ref="X36:AH36" si="20">+$F36/12</f>
        <v>-1250</v>
      </c>
      <c r="Y36" s="2">
        <f t="shared" si="20"/>
        <v>-1250</v>
      </c>
      <c r="Z36" s="2">
        <f t="shared" si="20"/>
        <v>-1250</v>
      </c>
      <c r="AA36" s="2">
        <f t="shared" si="20"/>
        <v>-1250</v>
      </c>
      <c r="AB36" s="2">
        <f t="shared" si="20"/>
        <v>-1250</v>
      </c>
      <c r="AC36" s="2">
        <f t="shared" si="20"/>
        <v>-1250</v>
      </c>
      <c r="AD36" s="2">
        <f t="shared" si="20"/>
        <v>-1250</v>
      </c>
      <c r="AE36" s="2">
        <f t="shared" si="20"/>
        <v>-1250</v>
      </c>
      <c r="AF36" s="2">
        <f t="shared" si="20"/>
        <v>-1250</v>
      </c>
      <c r="AG36" s="2">
        <f t="shared" si="20"/>
        <v>-1250</v>
      </c>
      <c r="AH36" s="2">
        <f t="shared" si="20"/>
        <v>-1250</v>
      </c>
    </row>
    <row r="37" spans="1:34" ht="15.75" x14ac:dyDescent="0.25">
      <c r="A37" s="5" t="s">
        <v>40</v>
      </c>
      <c r="B37" s="6">
        <f>SUM(B38:B121)</f>
        <v>0</v>
      </c>
      <c r="C37" s="7" t="e">
        <f t="shared" si="16"/>
        <v>#DIV/0!</v>
      </c>
      <c r="D37" s="6">
        <f>SUM(D38:D121)</f>
        <v>-305913.98</v>
      </c>
      <c r="E37" s="7">
        <f t="shared" si="17"/>
        <v>-0.24696130185073414</v>
      </c>
      <c r="F37" s="6">
        <f>SUM(F38:F121)</f>
        <v>-430725</v>
      </c>
      <c r="G37" s="8">
        <f t="shared" si="18"/>
        <v>-0.24062849162011174</v>
      </c>
      <c r="H37" s="6">
        <f>SUM(H38:H121)</f>
        <v>-21981.25</v>
      </c>
      <c r="I37" s="6">
        <f t="shared" ref="I37:S37" si="21">SUM(I38:I121)</f>
        <v>-35893.749999999993</v>
      </c>
      <c r="J37" s="6">
        <f t="shared" si="21"/>
        <v>-35893.749999999993</v>
      </c>
      <c r="K37" s="6">
        <f t="shared" si="21"/>
        <v>-35893.749999999993</v>
      </c>
      <c r="L37" s="6">
        <f t="shared" si="21"/>
        <v>-35893.749999999993</v>
      </c>
      <c r="M37" s="6">
        <f t="shared" si="21"/>
        <v>-35893.749999999993</v>
      </c>
      <c r="N37" s="6">
        <f t="shared" si="21"/>
        <v>-35893.749999999993</v>
      </c>
      <c r="O37" s="6">
        <f t="shared" si="21"/>
        <v>-35893.749999999993</v>
      </c>
      <c r="P37" s="6">
        <f t="shared" si="21"/>
        <v>-35893.749999999993</v>
      </c>
      <c r="Q37" s="6">
        <f t="shared" si="21"/>
        <v>-35893.749999999993</v>
      </c>
      <c r="R37" s="6">
        <f t="shared" si="21"/>
        <v>-35893.749999999993</v>
      </c>
      <c r="S37" s="6">
        <f t="shared" si="21"/>
        <v>-35893.749999999993</v>
      </c>
      <c r="U37" s="6">
        <f>SUM(W37:AH37)</f>
        <v>-376670</v>
      </c>
      <c r="V37" s="8">
        <f t="shared" si="10"/>
        <v>-0.19102674043337947</v>
      </c>
      <c r="W37" s="6">
        <f>SUM(W38:W121)</f>
        <v>-30100</v>
      </c>
      <c r="X37" s="6">
        <f t="shared" ref="X37:AH37" si="22">SUM(X38:X121)</f>
        <v>-30100</v>
      </c>
      <c r="Y37" s="6">
        <f t="shared" si="22"/>
        <v>-32600</v>
      </c>
      <c r="Z37" s="6">
        <f t="shared" si="22"/>
        <v>-31060</v>
      </c>
      <c r="AA37" s="6">
        <f t="shared" si="22"/>
        <v>-31240</v>
      </c>
      <c r="AB37" s="6">
        <f t="shared" si="22"/>
        <v>-34570</v>
      </c>
      <c r="AC37" s="6">
        <f t="shared" si="22"/>
        <v>-31750</v>
      </c>
      <c r="AD37" s="6">
        <f t="shared" si="22"/>
        <v>-29240</v>
      </c>
      <c r="AE37" s="6">
        <f t="shared" si="22"/>
        <v>-31000</v>
      </c>
      <c r="AF37" s="6">
        <f t="shared" si="22"/>
        <v>-33160</v>
      </c>
      <c r="AG37" s="6">
        <f t="shared" si="22"/>
        <v>-30100</v>
      </c>
      <c r="AH37" s="6">
        <f t="shared" si="22"/>
        <v>-31750</v>
      </c>
    </row>
    <row r="38" spans="1:34" ht="15.75" outlineLevel="1" x14ac:dyDescent="0.25">
      <c r="A38" s="10" t="s">
        <v>41</v>
      </c>
      <c r="B38" s="2"/>
      <c r="C38" s="8" t="e">
        <f t="shared" si="16"/>
        <v>#DIV/0!</v>
      </c>
      <c r="D38" s="2">
        <v>-102907.11</v>
      </c>
      <c r="E38" s="8">
        <f t="shared" si="17"/>
        <v>-8.3075882492512132E-2</v>
      </c>
      <c r="F38" s="2">
        <f>-'PYG CONSOLIDADO D&amp;M'!B25</f>
        <v>-236400</v>
      </c>
      <c r="G38" s="8">
        <f t="shared" si="18"/>
        <v>-0.13206703910614526</v>
      </c>
      <c r="H38" s="2">
        <f>-'PYG CONSOLIDADO D&amp;M'!C25</f>
        <v>-19700</v>
      </c>
      <c r="I38" s="2">
        <f>-'PYG CONSOLIDADO D&amp;M'!D25</f>
        <v>-19700</v>
      </c>
      <c r="J38" s="2">
        <f>-'PYG CONSOLIDADO D&amp;M'!E25</f>
        <v>-19700</v>
      </c>
      <c r="K38" s="2">
        <f>-'PYG CONSOLIDADO D&amp;M'!F25</f>
        <v>-19700</v>
      </c>
      <c r="L38" s="2">
        <f>-'PYG CONSOLIDADO D&amp;M'!G25</f>
        <v>-19700</v>
      </c>
      <c r="M38" s="2">
        <f>-'PYG CONSOLIDADO D&amp;M'!H25</f>
        <v>-19700</v>
      </c>
      <c r="N38" s="2">
        <f>-'PYG CONSOLIDADO D&amp;M'!I25</f>
        <v>-19700</v>
      </c>
      <c r="O38" s="2">
        <f>-'PYG CONSOLIDADO D&amp;M'!J25</f>
        <v>-19700</v>
      </c>
      <c r="P38" s="2">
        <f>-'PYG CONSOLIDADO D&amp;M'!K25</f>
        <v>-19700</v>
      </c>
      <c r="Q38" s="2">
        <f>-'PYG CONSOLIDADO D&amp;M'!L25</f>
        <v>-19700</v>
      </c>
      <c r="R38" s="2">
        <f>-'PYG CONSOLIDADO D&amp;M'!M25</f>
        <v>-19700</v>
      </c>
      <c r="S38" s="2">
        <f>-'PYG CONSOLIDADO D&amp;M'!N25</f>
        <v>-19700</v>
      </c>
      <c r="U38" s="56">
        <f>SUM(W38:AH38)</f>
        <v>-208800</v>
      </c>
      <c r="V38" s="8">
        <f t="shared" si="10"/>
        <v>-0.10589211618257263</v>
      </c>
      <c r="W38" s="2">
        <f>-'consolidado DM'!C8-'consolidado DM'!C9</f>
        <v>-17400</v>
      </c>
      <c r="X38" s="2">
        <f>-'consolidado DM'!D8-'consolidado DM'!D9</f>
        <v>-17400</v>
      </c>
      <c r="Y38" s="2">
        <f>-'consolidado DM'!E8-'consolidado DM'!E9</f>
        <v>-17400</v>
      </c>
      <c r="Z38" s="2">
        <f>-'consolidado DM'!F8-'consolidado DM'!F9</f>
        <v>-17400</v>
      </c>
      <c r="AA38" s="2">
        <f>-'consolidado DM'!G8-'consolidado DM'!G9</f>
        <v>-17400</v>
      </c>
      <c r="AB38" s="2">
        <f>-'consolidado DM'!H8-'consolidado DM'!H9</f>
        <v>-17400</v>
      </c>
      <c r="AC38" s="2">
        <f>-'consolidado DM'!I8-'consolidado DM'!I9</f>
        <v>-17400</v>
      </c>
      <c r="AD38" s="2">
        <f>-'consolidado DM'!J8-'consolidado DM'!J9</f>
        <v>-17400</v>
      </c>
      <c r="AE38" s="2">
        <f>-'consolidado DM'!K8-'consolidado DM'!K9</f>
        <v>-17400</v>
      </c>
      <c r="AF38" s="2">
        <f>-'consolidado DM'!L8-'consolidado DM'!L9</f>
        <v>-17400</v>
      </c>
      <c r="AG38" s="2">
        <f>-'consolidado DM'!M8-'consolidado DM'!M9</f>
        <v>-17400</v>
      </c>
      <c r="AH38" s="2">
        <f>-'consolidado DM'!N8-'consolidado DM'!N9</f>
        <v>-17400</v>
      </c>
    </row>
    <row r="39" spans="1:34" ht="15.75" outlineLevel="1" x14ac:dyDescent="0.25">
      <c r="A39" s="1" t="s">
        <v>42</v>
      </c>
      <c r="B39" s="2"/>
      <c r="C39" s="8" t="e">
        <f t="shared" si="16"/>
        <v>#DIV/0!</v>
      </c>
      <c r="D39" s="2"/>
      <c r="E39" s="8">
        <f t="shared" si="17"/>
        <v>0</v>
      </c>
      <c r="F39" s="2"/>
      <c r="G39" s="8">
        <f t="shared" si="18"/>
        <v>0</v>
      </c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U39" s="2"/>
      <c r="V39" s="8">
        <f t="shared" si="10"/>
        <v>0</v>
      </c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</row>
    <row r="40" spans="1:34" ht="15.75" outlineLevel="1" x14ac:dyDescent="0.25">
      <c r="A40" s="1" t="s">
        <v>43</v>
      </c>
      <c r="B40" s="2"/>
      <c r="C40" s="8" t="e">
        <f t="shared" si="16"/>
        <v>#DIV/0!</v>
      </c>
      <c r="D40" s="2"/>
      <c r="E40" s="8">
        <f t="shared" si="17"/>
        <v>0</v>
      </c>
      <c r="F40" s="2"/>
      <c r="G40" s="8">
        <f t="shared" si="18"/>
        <v>0</v>
      </c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U40" s="2"/>
      <c r="V40" s="8">
        <f t="shared" si="10"/>
        <v>0</v>
      </c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</row>
    <row r="41" spans="1:34" ht="15.75" outlineLevel="1" x14ac:dyDescent="0.25">
      <c r="A41" s="1" t="s">
        <v>44</v>
      </c>
      <c r="B41" s="2"/>
      <c r="C41" s="8" t="e">
        <f t="shared" si="16"/>
        <v>#DIV/0!</v>
      </c>
      <c r="D41" s="2">
        <v>-2915.38</v>
      </c>
      <c r="E41" s="8">
        <f t="shared" si="17"/>
        <v>-2.3535571672454896E-3</v>
      </c>
      <c r="F41" s="2"/>
      <c r="G41" s="8">
        <f t="shared" si="18"/>
        <v>0</v>
      </c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U41" s="2"/>
      <c r="V41" s="8">
        <f t="shared" si="10"/>
        <v>0</v>
      </c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</row>
    <row r="42" spans="1:34" ht="15.75" outlineLevel="1" x14ac:dyDescent="0.25">
      <c r="A42" s="1" t="s">
        <v>45</v>
      </c>
      <c r="B42" s="2"/>
      <c r="C42" s="8" t="e">
        <f t="shared" si="16"/>
        <v>#DIV/0!</v>
      </c>
      <c r="D42" s="2"/>
      <c r="E42" s="8">
        <f t="shared" si="17"/>
        <v>0</v>
      </c>
      <c r="F42" s="2"/>
      <c r="G42" s="8">
        <f t="shared" si="18"/>
        <v>0</v>
      </c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U42" s="2"/>
      <c r="V42" s="8">
        <f t="shared" si="10"/>
        <v>0</v>
      </c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</row>
    <row r="43" spans="1:34" ht="15.75" outlineLevel="1" x14ac:dyDescent="0.25">
      <c r="A43" s="1" t="s">
        <v>46</v>
      </c>
      <c r="B43" s="2"/>
      <c r="C43" s="8" t="e">
        <f t="shared" si="16"/>
        <v>#DIV/0!</v>
      </c>
      <c r="D43" s="2"/>
      <c r="E43" s="8">
        <f t="shared" si="17"/>
        <v>0</v>
      </c>
      <c r="F43" s="2"/>
      <c r="G43" s="8">
        <f t="shared" si="18"/>
        <v>0</v>
      </c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8">
        <f t="shared" si="10"/>
        <v>0</v>
      </c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</row>
    <row r="44" spans="1:34" ht="15.75" outlineLevel="1" x14ac:dyDescent="0.25">
      <c r="A44" s="9" t="s">
        <v>47</v>
      </c>
      <c r="B44" s="2"/>
      <c r="C44" s="8" t="e">
        <f t="shared" si="16"/>
        <v>#DIV/0!</v>
      </c>
      <c r="D44" s="2">
        <v>-6589.11</v>
      </c>
      <c r="E44" s="8">
        <f t="shared" si="17"/>
        <v>-5.3193227182284737E-3</v>
      </c>
      <c r="F44" s="2"/>
      <c r="G44" s="8">
        <f t="shared" si="18"/>
        <v>0</v>
      </c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U44" s="2"/>
      <c r="V44" s="8">
        <f t="shared" si="10"/>
        <v>0</v>
      </c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</row>
    <row r="45" spans="1:34" ht="15.75" outlineLevel="1" x14ac:dyDescent="0.25">
      <c r="A45" s="9" t="s">
        <v>48</v>
      </c>
      <c r="B45" s="2"/>
      <c r="C45" s="8" t="e">
        <f t="shared" si="16"/>
        <v>#DIV/0!</v>
      </c>
      <c r="D45" s="2">
        <v>-1178.3499999999999</v>
      </c>
      <c r="E45" s="8">
        <f t="shared" si="17"/>
        <v>-9.5127019051503489E-4</v>
      </c>
      <c r="F45" s="2"/>
      <c r="G45" s="8">
        <f t="shared" si="18"/>
        <v>0</v>
      </c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U45" s="2"/>
      <c r="V45" s="8">
        <f t="shared" si="10"/>
        <v>0</v>
      </c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</row>
    <row r="46" spans="1:34" ht="15.75" outlineLevel="1" x14ac:dyDescent="0.25">
      <c r="A46" s="9" t="s">
        <v>49</v>
      </c>
      <c r="B46" s="2"/>
      <c r="C46" s="8" t="e">
        <f t="shared" si="16"/>
        <v>#DIV/0!</v>
      </c>
      <c r="D46" s="2">
        <v>-7816.33</v>
      </c>
      <c r="E46" s="8">
        <f t="shared" si="17"/>
        <v>-6.3100451718321243E-3</v>
      </c>
      <c r="F46" s="2">
        <f>-'PYG CONSOLIDADO D&amp;M'!B26</f>
        <v>-25600</v>
      </c>
      <c r="G46" s="8">
        <f t="shared" si="18"/>
        <v>-1.4301675977653631E-2</v>
      </c>
      <c r="H46" s="2">
        <f>-'PYG CONSOLIDADO D&amp;M'!C26</f>
        <v>-1250</v>
      </c>
      <c r="I46" s="2">
        <f>-'PYG CONSOLIDADO D&amp;M'!D26</f>
        <v>-2133.3333333333335</v>
      </c>
      <c r="J46" s="2">
        <f>-'PYG CONSOLIDADO D&amp;M'!E26</f>
        <v>-2133.3333333333335</v>
      </c>
      <c r="K46" s="2">
        <f>-'PYG CONSOLIDADO D&amp;M'!F26</f>
        <v>-2133.3333333333335</v>
      </c>
      <c r="L46" s="2">
        <f>-'PYG CONSOLIDADO D&amp;M'!G26</f>
        <v>-2133.3333333333335</v>
      </c>
      <c r="M46" s="2">
        <f>-'PYG CONSOLIDADO D&amp;M'!H26</f>
        <v>-2133.3333333333335</v>
      </c>
      <c r="N46" s="2">
        <f>-'PYG CONSOLIDADO D&amp;M'!I26</f>
        <v>-2133.3333333333335</v>
      </c>
      <c r="O46" s="2">
        <f>-'PYG CONSOLIDADO D&amp;M'!J26</f>
        <v>-2133.3333333333335</v>
      </c>
      <c r="P46" s="2">
        <f>-'PYG CONSOLIDADO D&amp;M'!K26</f>
        <v>-2133.3333333333335</v>
      </c>
      <c r="Q46" s="2">
        <f>-'PYG CONSOLIDADO D&amp;M'!L26</f>
        <v>-2133.3333333333335</v>
      </c>
      <c r="R46" s="2">
        <f>-'PYG CONSOLIDADO D&amp;M'!M26</f>
        <v>-2133.3333333333335</v>
      </c>
      <c r="S46" s="2">
        <f>-'PYG CONSOLIDADO D&amp;M'!N26</f>
        <v>-2133.3333333333335</v>
      </c>
      <c r="U46" s="2">
        <f>-'PYG CONSOLIDADO D&amp;M'!Q26</f>
        <v>0</v>
      </c>
      <c r="V46" s="8">
        <f t="shared" si="10"/>
        <v>0</v>
      </c>
      <c r="W46" s="2"/>
      <c r="X46" s="2"/>
      <c r="Y46" s="2"/>
      <c r="Z46" s="2"/>
      <c r="AA46" s="2"/>
      <c r="AB46" s="2">
        <f>-'PYG CONSOLIDADO D&amp;M'!W26</f>
        <v>0</v>
      </c>
      <c r="AC46" s="2">
        <f>-'PYG CONSOLIDADO D&amp;M'!X26</f>
        <v>0</v>
      </c>
      <c r="AD46" s="2">
        <f>-'PYG CONSOLIDADO D&amp;M'!Y26</f>
        <v>0</v>
      </c>
      <c r="AE46" s="2">
        <f>-'PYG CONSOLIDADO D&amp;M'!Z26</f>
        <v>0</v>
      </c>
      <c r="AF46" s="2">
        <f>-'PYG CONSOLIDADO D&amp;M'!AA26</f>
        <v>0</v>
      </c>
      <c r="AG46" s="2">
        <f>-'PYG CONSOLIDADO D&amp;M'!AB26</f>
        <v>0</v>
      </c>
      <c r="AH46" s="2">
        <f>-'PYG CONSOLIDADO D&amp;M'!AC26</f>
        <v>0</v>
      </c>
    </row>
    <row r="47" spans="1:34" ht="15.75" outlineLevel="1" x14ac:dyDescent="0.25">
      <c r="A47" s="9" t="s">
        <v>50</v>
      </c>
      <c r="B47" s="2"/>
      <c r="C47" s="8" t="e">
        <f t="shared" si="16"/>
        <v>#DIV/0!</v>
      </c>
      <c r="D47" s="2">
        <v>-2210</v>
      </c>
      <c r="E47" s="8">
        <f t="shared" si="17"/>
        <v>-1.7841109356627719E-3</v>
      </c>
      <c r="F47" s="2"/>
      <c r="G47" s="8">
        <f t="shared" si="18"/>
        <v>0</v>
      </c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U47" s="2"/>
      <c r="V47" s="8">
        <f t="shared" si="10"/>
        <v>0</v>
      </c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</row>
    <row r="48" spans="1:34" ht="15.75" outlineLevel="1" x14ac:dyDescent="0.25">
      <c r="A48" s="9" t="s">
        <v>51</v>
      </c>
      <c r="B48" s="2"/>
      <c r="C48" s="8" t="e">
        <f t="shared" si="16"/>
        <v>#DIV/0!</v>
      </c>
      <c r="D48" s="2">
        <v>-397</v>
      </c>
      <c r="E48" s="8">
        <f t="shared" si="17"/>
        <v>-3.2049413640638933E-4</v>
      </c>
      <c r="F48" s="2"/>
      <c r="G48" s="8">
        <f t="shared" si="18"/>
        <v>0</v>
      </c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U48" s="2"/>
      <c r="V48" s="8">
        <f t="shared" si="10"/>
        <v>0</v>
      </c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</row>
    <row r="49" spans="1:34" ht="15.75" outlineLevel="1" x14ac:dyDescent="0.25">
      <c r="A49" s="10" t="s">
        <v>52</v>
      </c>
      <c r="B49" s="2"/>
      <c r="C49" s="8" t="e">
        <f t="shared" si="16"/>
        <v>#DIV/0!</v>
      </c>
      <c r="D49" s="2"/>
      <c r="E49" s="8">
        <f t="shared" si="17"/>
        <v>0</v>
      </c>
      <c r="F49" s="2"/>
      <c r="G49" s="8">
        <f t="shared" si="18"/>
        <v>0</v>
      </c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U49" s="2"/>
      <c r="V49" s="8">
        <f t="shared" si="10"/>
        <v>0</v>
      </c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</row>
    <row r="50" spans="1:34" ht="15.75" outlineLevel="1" x14ac:dyDescent="0.25">
      <c r="A50" s="1" t="s">
        <v>53</v>
      </c>
      <c r="B50" s="2"/>
      <c r="C50" s="8" t="e">
        <f t="shared" si="16"/>
        <v>#DIV/0!</v>
      </c>
      <c r="D50" s="2"/>
      <c r="E50" s="8">
        <f t="shared" si="17"/>
        <v>0</v>
      </c>
      <c r="F50" s="2"/>
      <c r="G50" s="8">
        <f t="shared" si="18"/>
        <v>0</v>
      </c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U50" s="2"/>
      <c r="V50" s="8">
        <f t="shared" si="10"/>
        <v>0</v>
      </c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</row>
    <row r="51" spans="1:34" ht="15.75" outlineLevel="1" x14ac:dyDescent="0.25">
      <c r="A51" s="1" t="s">
        <v>54</v>
      </c>
      <c r="B51" s="2"/>
      <c r="C51" s="8" t="e">
        <f t="shared" si="16"/>
        <v>#DIV/0!</v>
      </c>
      <c r="D51" s="2"/>
      <c r="E51" s="8">
        <f t="shared" si="17"/>
        <v>0</v>
      </c>
      <c r="F51" s="2"/>
      <c r="G51" s="8">
        <f t="shared" si="18"/>
        <v>0</v>
      </c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8">
        <f t="shared" si="10"/>
        <v>0</v>
      </c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</row>
    <row r="52" spans="1:34" ht="15.75" outlineLevel="1" x14ac:dyDescent="0.25">
      <c r="A52" s="1" t="s">
        <v>55</v>
      </c>
      <c r="B52" s="2"/>
      <c r="C52" s="8" t="e">
        <f t="shared" si="16"/>
        <v>#DIV/0!</v>
      </c>
      <c r="D52" s="2"/>
      <c r="E52" s="8">
        <f t="shared" si="17"/>
        <v>0</v>
      </c>
      <c r="F52" s="2"/>
      <c r="G52" s="8">
        <f t="shared" si="18"/>
        <v>0</v>
      </c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U52" s="2"/>
      <c r="V52" s="8">
        <f t="shared" si="10"/>
        <v>0</v>
      </c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</row>
    <row r="53" spans="1:34" ht="15.75" outlineLevel="1" x14ac:dyDescent="0.25">
      <c r="A53" s="1" t="s">
        <v>56</v>
      </c>
      <c r="B53" s="2"/>
      <c r="C53" s="8" t="e">
        <f t="shared" si="16"/>
        <v>#DIV/0!</v>
      </c>
      <c r="D53" s="2"/>
      <c r="E53" s="8">
        <f t="shared" si="17"/>
        <v>0</v>
      </c>
      <c r="F53" s="2"/>
      <c r="G53" s="8">
        <f t="shared" si="18"/>
        <v>0</v>
      </c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U53" s="2"/>
      <c r="V53" s="8">
        <f t="shared" si="10"/>
        <v>0</v>
      </c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</row>
    <row r="54" spans="1:34" ht="15.75" outlineLevel="1" x14ac:dyDescent="0.25">
      <c r="A54" s="1" t="s">
        <v>57</v>
      </c>
      <c r="B54" s="2"/>
      <c r="C54" s="8" t="e">
        <f t="shared" si="16"/>
        <v>#DIV/0!</v>
      </c>
      <c r="D54" s="2"/>
      <c r="E54" s="8">
        <f t="shared" si="17"/>
        <v>0</v>
      </c>
      <c r="F54" s="2"/>
      <c r="G54" s="8">
        <f t="shared" si="18"/>
        <v>0</v>
      </c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U54" s="2"/>
      <c r="V54" s="8">
        <f t="shared" si="10"/>
        <v>0</v>
      </c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</row>
    <row r="55" spans="1:34" ht="15.75" outlineLevel="1" x14ac:dyDescent="0.25">
      <c r="A55" s="1" t="s">
        <v>58</v>
      </c>
      <c r="B55" s="2"/>
      <c r="C55" s="8" t="e">
        <f t="shared" si="16"/>
        <v>#DIV/0!</v>
      </c>
      <c r="D55" s="2"/>
      <c r="E55" s="8">
        <f t="shared" si="17"/>
        <v>0</v>
      </c>
      <c r="F55" s="2"/>
      <c r="G55" s="8">
        <f t="shared" si="18"/>
        <v>0</v>
      </c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U55" s="2"/>
      <c r="V55" s="8">
        <f t="shared" si="10"/>
        <v>0</v>
      </c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</row>
    <row r="56" spans="1:34" ht="15.75" outlineLevel="1" x14ac:dyDescent="0.25">
      <c r="A56" s="1" t="s">
        <v>59</v>
      </c>
      <c r="B56" s="2"/>
      <c r="C56" s="8" t="e">
        <f t="shared" si="16"/>
        <v>#DIV/0!</v>
      </c>
      <c r="D56" s="2"/>
      <c r="E56" s="8">
        <f t="shared" si="17"/>
        <v>0</v>
      </c>
      <c r="F56" s="2"/>
      <c r="G56" s="8">
        <f t="shared" si="18"/>
        <v>0</v>
      </c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U56" s="2"/>
      <c r="V56" s="8">
        <f t="shared" si="10"/>
        <v>0</v>
      </c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</row>
    <row r="57" spans="1:34" ht="15.75" outlineLevel="1" x14ac:dyDescent="0.25">
      <c r="A57" s="1" t="s">
        <v>60</v>
      </c>
      <c r="B57" s="2"/>
      <c r="C57" s="8" t="e">
        <f t="shared" si="16"/>
        <v>#DIV/0!</v>
      </c>
      <c r="D57" s="2"/>
      <c r="E57" s="8">
        <f t="shared" si="17"/>
        <v>0</v>
      </c>
      <c r="F57" s="2"/>
      <c r="G57" s="8">
        <f t="shared" si="18"/>
        <v>0</v>
      </c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U57" s="2"/>
      <c r="V57" s="8">
        <f t="shared" si="10"/>
        <v>0</v>
      </c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</row>
    <row r="58" spans="1:34" ht="15.75" outlineLevel="1" x14ac:dyDescent="0.25">
      <c r="A58" s="1" t="s">
        <v>61</v>
      </c>
      <c r="B58" s="2"/>
      <c r="C58" s="8" t="e">
        <f t="shared" si="16"/>
        <v>#DIV/0!</v>
      </c>
      <c r="D58" s="2"/>
      <c r="E58" s="8">
        <f t="shared" si="17"/>
        <v>0</v>
      </c>
      <c r="F58" s="2"/>
      <c r="G58" s="8">
        <f t="shared" si="18"/>
        <v>0</v>
      </c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U58" s="2"/>
      <c r="V58" s="8">
        <f t="shared" si="10"/>
        <v>0</v>
      </c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</row>
    <row r="59" spans="1:34" ht="15.75" outlineLevel="1" x14ac:dyDescent="0.25">
      <c r="A59" s="1" t="s">
        <v>62</v>
      </c>
      <c r="B59" s="2"/>
      <c r="C59" s="8" t="e">
        <f t="shared" si="16"/>
        <v>#DIV/0!</v>
      </c>
      <c r="D59" s="2"/>
      <c r="E59" s="8">
        <f t="shared" si="17"/>
        <v>0</v>
      </c>
      <c r="F59" s="2"/>
      <c r="G59" s="8">
        <f t="shared" si="18"/>
        <v>0</v>
      </c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8">
        <f t="shared" si="10"/>
        <v>0</v>
      </c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</row>
    <row r="60" spans="1:34" ht="15.75" outlineLevel="1" x14ac:dyDescent="0.25">
      <c r="A60" s="1" t="s">
        <v>63</v>
      </c>
      <c r="B60" s="2"/>
      <c r="C60" s="8" t="e">
        <f t="shared" si="16"/>
        <v>#DIV/0!</v>
      </c>
      <c r="D60" s="2"/>
      <c r="E60" s="8">
        <f t="shared" si="17"/>
        <v>0</v>
      </c>
      <c r="F60" s="2"/>
      <c r="G60" s="8">
        <f t="shared" si="18"/>
        <v>0</v>
      </c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U60" s="2"/>
      <c r="V60" s="8">
        <f t="shared" si="10"/>
        <v>0</v>
      </c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</row>
    <row r="61" spans="1:34" ht="15.75" outlineLevel="1" x14ac:dyDescent="0.25">
      <c r="A61" s="10" t="s">
        <v>64</v>
      </c>
      <c r="B61" s="2"/>
      <c r="C61" s="8" t="e">
        <f t="shared" si="16"/>
        <v>#DIV/0!</v>
      </c>
      <c r="D61" s="2">
        <v>-49355.3</v>
      </c>
      <c r="E61" s="8">
        <f t="shared" si="17"/>
        <v>-3.9844040933446519E-2</v>
      </c>
      <c r="F61" s="2">
        <f>-'PYG CONSOLIDADO D&amp;M'!B27</f>
        <v>-3000</v>
      </c>
      <c r="G61" s="8">
        <f t="shared" si="18"/>
        <v>-1.6759776536312849E-3</v>
      </c>
      <c r="H61" s="2">
        <f>+$F61/12</f>
        <v>-250</v>
      </c>
      <c r="I61" s="2">
        <f t="shared" ref="I61:S61" si="23">+$F61/12</f>
        <v>-250</v>
      </c>
      <c r="J61" s="2">
        <f t="shared" si="23"/>
        <v>-250</v>
      </c>
      <c r="K61" s="2">
        <f t="shared" si="23"/>
        <v>-250</v>
      </c>
      <c r="L61" s="2">
        <f t="shared" si="23"/>
        <v>-250</v>
      </c>
      <c r="M61" s="2">
        <f t="shared" si="23"/>
        <v>-250</v>
      </c>
      <c r="N61" s="2">
        <f t="shared" si="23"/>
        <v>-250</v>
      </c>
      <c r="O61" s="2">
        <f t="shared" si="23"/>
        <v>-250</v>
      </c>
      <c r="P61" s="2">
        <f t="shared" si="23"/>
        <v>-250</v>
      </c>
      <c r="Q61" s="2">
        <f t="shared" si="23"/>
        <v>-250</v>
      </c>
      <c r="R61" s="2">
        <f t="shared" si="23"/>
        <v>-250</v>
      </c>
      <c r="S61" s="2">
        <f t="shared" si="23"/>
        <v>-250</v>
      </c>
      <c r="U61" s="56">
        <f>SUM(W61:AH61)</f>
        <v>-167870</v>
      </c>
      <c r="V61" s="8">
        <f t="shared" si="10"/>
        <v>-8.513462425080684E-2</v>
      </c>
      <c r="W61" s="2">
        <f>-'consolidado DM'!C21</f>
        <v>-12700</v>
      </c>
      <c r="X61" s="2">
        <f>-'consolidado DM'!D21</f>
        <v>-12700</v>
      </c>
      <c r="Y61" s="2">
        <f>-'consolidado DM'!E21</f>
        <v>-15200</v>
      </c>
      <c r="Z61" s="2">
        <f>-'consolidado DM'!F21</f>
        <v>-13660</v>
      </c>
      <c r="AA61" s="2">
        <f>-'consolidado DM'!G21</f>
        <v>-13840</v>
      </c>
      <c r="AB61" s="2">
        <f>-'consolidado DM'!H21</f>
        <v>-17170</v>
      </c>
      <c r="AC61" s="2">
        <f>-'consolidado DM'!I21</f>
        <v>-14350</v>
      </c>
      <c r="AD61" s="2">
        <f>-'consolidado DM'!J21</f>
        <v>-11840</v>
      </c>
      <c r="AE61" s="2">
        <f>-'consolidado DM'!K21</f>
        <v>-13600</v>
      </c>
      <c r="AF61" s="2">
        <f>-'consolidado DM'!L21</f>
        <v>-15760</v>
      </c>
      <c r="AG61" s="2">
        <f>-'consolidado DM'!M21</f>
        <v>-12700</v>
      </c>
      <c r="AH61" s="2">
        <f>-'consolidado DM'!N21</f>
        <v>-14350</v>
      </c>
    </row>
    <row r="62" spans="1:34" ht="15.75" outlineLevel="1" x14ac:dyDescent="0.25">
      <c r="A62" s="1" t="s">
        <v>65</v>
      </c>
      <c r="B62" s="2"/>
      <c r="C62" s="8" t="e">
        <f t="shared" si="16"/>
        <v>#DIV/0!</v>
      </c>
      <c r="D62" s="2"/>
      <c r="E62" s="8">
        <f t="shared" si="17"/>
        <v>0</v>
      </c>
      <c r="F62" s="2"/>
      <c r="G62" s="8">
        <f t="shared" si="18"/>
        <v>0</v>
      </c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U62" s="2"/>
      <c r="V62" s="8">
        <f t="shared" si="10"/>
        <v>0</v>
      </c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</row>
    <row r="63" spans="1:34" ht="15.75" outlineLevel="1" x14ac:dyDescent="0.25">
      <c r="A63" s="1" t="s">
        <v>66</v>
      </c>
      <c r="B63" s="2"/>
      <c r="C63" s="8" t="e">
        <f t="shared" si="16"/>
        <v>#DIV/0!</v>
      </c>
      <c r="D63" s="2"/>
      <c r="E63" s="8">
        <f t="shared" si="17"/>
        <v>0</v>
      </c>
      <c r="F63" s="2"/>
      <c r="G63" s="8">
        <f t="shared" si="18"/>
        <v>0</v>
      </c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U63" s="2"/>
      <c r="V63" s="8">
        <f t="shared" si="10"/>
        <v>0</v>
      </c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</row>
    <row r="64" spans="1:34" ht="15.75" outlineLevel="1" x14ac:dyDescent="0.25">
      <c r="A64" s="1" t="s">
        <v>67</v>
      </c>
      <c r="B64" s="2"/>
      <c r="C64" s="8" t="e">
        <f t="shared" si="16"/>
        <v>#DIV/0!</v>
      </c>
      <c r="D64" s="2"/>
      <c r="E64" s="8">
        <f t="shared" si="17"/>
        <v>0</v>
      </c>
      <c r="F64" s="2"/>
      <c r="G64" s="8">
        <f t="shared" si="18"/>
        <v>0</v>
      </c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U64" s="2"/>
      <c r="V64" s="8">
        <f t="shared" si="10"/>
        <v>0</v>
      </c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</row>
    <row r="65" spans="1:34" ht="15.75" outlineLevel="1" x14ac:dyDescent="0.25">
      <c r="A65" s="1" t="s">
        <v>68</v>
      </c>
      <c r="B65" s="2"/>
      <c r="C65" s="8" t="e">
        <f t="shared" si="16"/>
        <v>#DIV/0!</v>
      </c>
      <c r="D65" s="2"/>
      <c r="E65" s="8">
        <f t="shared" si="17"/>
        <v>0</v>
      </c>
      <c r="F65" s="2"/>
      <c r="G65" s="8">
        <f t="shared" si="18"/>
        <v>0</v>
      </c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U65" s="2"/>
      <c r="V65" s="8">
        <f t="shared" si="10"/>
        <v>0</v>
      </c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</row>
    <row r="66" spans="1:34" ht="15.75" outlineLevel="1" x14ac:dyDescent="0.25">
      <c r="A66" s="1" t="s">
        <v>69</v>
      </c>
      <c r="B66" s="2"/>
      <c r="C66" s="8" t="e">
        <f t="shared" ref="C66:C97" si="24">+B66/$B$2</f>
        <v>#DIV/0!</v>
      </c>
      <c r="D66" s="2"/>
      <c r="E66" s="8">
        <f t="shared" si="17"/>
        <v>0</v>
      </c>
      <c r="F66" s="2"/>
      <c r="G66" s="8">
        <f t="shared" si="18"/>
        <v>0</v>
      </c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U66" s="2"/>
      <c r="V66" s="8">
        <f t="shared" si="10"/>
        <v>0</v>
      </c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</row>
    <row r="67" spans="1:34" ht="15.75" outlineLevel="1" x14ac:dyDescent="0.25">
      <c r="A67" s="1" t="s">
        <v>70</v>
      </c>
      <c r="B67" s="2"/>
      <c r="C67" s="8" t="e">
        <f t="shared" si="24"/>
        <v>#DIV/0!</v>
      </c>
      <c r="D67" s="2"/>
      <c r="E67" s="8">
        <f t="shared" ref="E67:E98" si="25">+D67/$D$2</f>
        <v>0</v>
      </c>
      <c r="F67" s="2"/>
      <c r="G67" s="8">
        <f t="shared" si="18"/>
        <v>0</v>
      </c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U67" s="2"/>
      <c r="V67" s="8">
        <f t="shared" si="10"/>
        <v>0</v>
      </c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</row>
    <row r="68" spans="1:34" ht="15.75" outlineLevel="1" x14ac:dyDescent="0.25">
      <c r="A68" s="1" t="s">
        <v>71</v>
      </c>
      <c r="B68" s="2"/>
      <c r="C68" s="8" t="e">
        <f t="shared" si="24"/>
        <v>#DIV/0!</v>
      </c>
      <c r="D68" s="2"/>
      <c r="E68" s="8">
        <f t="shared" si="25"/>
        <v>0</v>
      </c>
      <c r="F68" s="2"/>
      <c r="G68" s="8">
        <f t="shared" si="18"/>
        <v>0</v>
      </c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U68" s="2"/>
      <c r="V68" s="8">
        <f t="shared" si="10"/>
        <v>0</v>
      </c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</row>
    <row r="69" spans="1:34" ht="15.75" outlineLevel="1" x14ac:dyDescent="0.25">
      <c r="A69" s="1" t="s">
        <v>72</v>
      </c>
      <c r="B69" s="2"/>
      <c r="C69" s="8" t="e">
        <f t="shared" si="24"/>
        <v>#DIV/0!</v>
      </c>
      <c r="D69" s="2"/>
      <c r="E69" s="8">
        <f t="shared" si="25"/>
        <v>0</v>
      </c>
      <c r="F69" s="2"/>
      <c r="G69" s="8">
        <f t="shared" si="18"/>
        <v>0</v>
      </c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U69" s="2"/>
      <c r="V69" s="8">
        <f t="shared" si="10"/>
        <v>0</v>
      </c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</row>
    <row r="70" spans="1:34" ht="15.75" outlineLevel="1" x14ac:dyDescent="0.25">
      <c r="A70" s="1" t="s">
        <v>73</v>
      </c>
      <c r="B70" s="2"/>
      <c r="C70" s="8" t="e">
        <f t="shared" si="24"/>
        <v>#DIV/0!</v>
      </c>
      <c r="D70" s="2"/>
      <c r="E70" s="8">
        <f t="shared" si="25"/>
        <v>0</v>
      </c>
      <c r="F70" s="2"/>
      <c r="G70" s="8">
        <f t="shared" si="18"/>
        <v>0</v>
      </c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U70" s="2"/>
      <c r="V70" s="8">
        <f t="shared" si="10"/>
        <v>0</v>
      </c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</row>
    <row r="71" spans="1:34" ht="15.75" outlineLevel="1" x14ac:dyDescent="0.25">
      <c r="A71" s="1" t="s">
        <v>74</v>
      </c>
      <c r="B71" s="2"/>
      <c r="C71" s="8" t="e">
        <f t="shared" si="24"/>
        <v>#DIV/0!</v>
      </c>
      <c r="D71" s="2">
        <v>-118.6</v>
      </c>
      <c r="E71" s="8">
        <f t="shared" si="25"/>
        <v>-9.5744595913848307E-5</v>
      </c>
      <c r="F71" s="2"/>
      <c r="G71" s="8">
        <f t="shared" si="18"/>
        <v>0</v>
      </c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U71" s="2"/>
      <c r="V71" s="8">
        <f t="shared" si="10"/>
        <v>0</v>
      </c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</row>
    <row r="72" spans="1:34" ht="15.75" outlineLevel="1" x14ac:dyDescent="0.25">
      <c r="A72" s="1" t="s">
        <v>75</v>
      </c>
      <c r="B72" s="2"/>
      <c r="C72" s="8" t="e">
        <f t="shared" si="24"/>
        <v>#DIV/0!</v>
      </c>
      <c r="D72" s="2">
        <v>-3536.38</v>
      </c>
      <c r="E72" s="8">
        <f t="shared" si="25"/>
        <v>-2.8548842672665672E-3</v>
      </c>
      <c r="F72" s="2">
        <f>-'PYG CONSOLIDADO D&amp;M'!B28</f>
        <v>-3375</v>
      </c>
      <c r="G72" s="8">
        <f t="shared" si="18"/>
        <v>-1.8854748603351955E-3</v>
      </c>
      <c r="H72" s="2">
        <f>+$F72/12</f>
        <v>-281.25</v>
      </c>
      <c r="I72" s="2">
        <f t="shared" ref="I72:S72" si="26">+$F72/12</f>
        <v>-281.25</v>
      </c>
      <c r="J72" s="2">
        <f t="shared" si="26"/>
        <v>-281.25</v>
      </c>
      <c r="K72" s="2">
        <f t="shared" si="26"/>
        <v>-281.25</v>
      </c>
      <c r="L72" s="2">
        <f t="shared" si="26"/>
        <v>-281.25</v>
      </c>
      <c r="M72" s="2">
        <f t="shared" si="26"/>
        <v>-281.25</v>
      </c>
      <c r="N72" s="2">
        <f t="shared" si="26"/>
        <v>-281.25</v>
      </c>
      <c r="O72" s="2">
        <f t="shared" si="26"/>
        <v>-281.25</v>
      </c>
      <c r="P72" s="2">
        <f t="shared" si="26"/>
        <v>-281.25</v>
      </c>
      <c r="Q72" s="2">
        <f t="shared" si="26"/>
        <v>-281.25</v>
      </c>
      <c r="R72" s="2">
        <f t="shared" si="26"/>
        <v>-281.25</v>
      </c>
      <c r="S72" s="2">
        <f t="shared" si="26"/>
        <v>-281.25</v>
      </c>
      <c r="U72" s="2">
        <f>-'PYG CONSOLIDADO D&amp;M'!Q28</f>
        <v>0</v>
      </c>
      <c r="V72" s="8">
        <f t="shared" si="10"/>
        <v>0</v>
      </c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</row>
    <row r="73" spans="1:34" ht="15.75" outlineLevel="1" x14ac:dyDescent="0.25">
      <c r="A73" s="1" t="s">
        <v>76</v>
      </c>
      <c r="B73" s="2"/>
      <c r="C73" s="8" t="e">
        <f t="shared" si="24"/>
        <v>#DIV/0!</v>
      </c>
      <c r="D73" s="2"/>
      <c r="E73" s="8">
        <f t="shared" si="25"/>
        <v>0</v>
      </c>
      <c r="F73" s="2"/>
      <c r="G73" s="8">
        <f t="shared" si="18"/>
        <v>0</v>
      </c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U73" s="2"/>
      <c r="V73" s="8">
        <f t="shared" si="10"/>
        <v>0</v>
      </c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</row>
    <row r="74" spans="1:34" ht="15.75" outlineLevel="1" x14ac:dyDescent="0.25">
      <c r="A74" s="1" t="s">
        <v>77</v>
      </c>
      <c r="B74" s="2"/>
      <c r="C74" s="8" t="e">
        <f t="shared" si="24"/>
        <v>#DIV/0!</v>
      </c>
      <c r="D74" s="2"/>
      <c r="E74" s="8">
        <f t="shared" si="25"/>
        <v>0</v>
      </c>
      <c r="F74" s="2"/>
      <c r="G74" s="8">
        <f t="shared" si="18"/>
        <v>0</v>
      </c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U74" s="2"/>
      <c r="V74" s="8">
        <f t="shared" si="10"/>
        <v>0</v>
      </c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</row>
    <row r="75" spans="1:34" ht="15.75" outlineLevel="1" x14ac:dyDescent="0.25">
      <c r="A75" s="1" t="s">
        <v>78</v>
      </c>
      <c r="B75" s="2"/>
      <c r="C75" s="8" t="e">
        <f t="shared" si="24"/>
        <v>#DIV/0!</v>
      </c>
      <c r="D75" s="2">
        <f>-5005.44-57.66</f>
        <v>-5063.0999999999995</v>
      </c>
      <c r="E75" s="8">
        <f t="shared" si="25"/>
        <v>-4.0873900807032485E-3</v>
      </c>
      <c r="F75" s="2"/>
      <c r="G75" s="8">
        <f t="shared" si="18"/>
        <v>0</v>
      </c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8">
        <f t="shared" si="10"/>
        <v>0</v>
      </c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</row>
    <row r="76" spans="1:34" ht="15.75" outlineLevel="1" x14ac:dyDescent="0.25">
      <c r="A76" s="1" t="s">
        <v>79</v>
      </c>
      <c r="B76" s="2"/>
      <c r="C76" s="8" t="e">
        <f t="shared" si="24"/>
        <v>#DIV/0!</v>
      </c>
      <c r="D76" s="2"/>
      <c r="E76" s="8">
        <f t="shared" si="25"/>
        <v>0</v>
      </c>
      <c r="F76" s="2"/>
      <c r="G76" s="8">
        <f t="shared" si="18"/>
        <v>0</v>
      </c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U76" s="2"/>
      <c r="V76" s="8">
        <f t="shared" si="10"/>
        <v>0</v>
      </c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</row>
    <row r="77" spans="1:34" ht="15.75" outlineLevel="1" x14ac:dyDescent="0.25">
      <c r="A77" s="1" t="s">
        <v>80</v>
      </c>
      <c r="B77" s="2"/>
      <c r="C77" s="8" t="e">
        <f t="shared" si="24"/>
        <v>#DIV/0!</v>
      </c>
      <c r="D77" s="2">
        <f>-1701.23-101.64</f>
        <v>-1802.8700000000001</v>
      </c>
      <c r="E77" s="8">
        <f t="shared" si="25"/>
        <v>-1.4554389513929148E-3</v>
      </c>
      <c r="F77" s="2">
        <f>-'PYG CONSOLIDADO D&amp;M'!B29</f>
        <v>-6000</v>
      </c>
      <c r="G77" s="8">
        <f t="shared" si="18"/>
        <v>-3.3519553072625698E-3</v>
      </c>
      <c r="H77" s="2">
        <f>+$F77/12</f>
        <v>-500</v>
      </c>
      <c r="I77" s="2">
        <f t="shared" ref="I77:S77" si="27">+$F77/12</f>
        <v>-500</v>
      </c>
      <c r="J77" s="2">
        <f t="shared" si="27"/>
        <v>-500</v>
      </c>
      <c r="K77" s="2">
        <f t="shared" si="27"/>
        <v>-500</v>
      </c>
      <c r="L77" s="2">
        <f t="shared" si="27"/>
        <v>-500</v>
      </c>
      <c r="M77" s="2">
        <f t="shared" si="27"/>
        <v>-500</v>
      </c>
      <c r="N77" s="2">
        <f t="shared" si="27"/>
        <v>-500</v>
      </c>
      <c r="O77" s="2">
        <f t="shared" si="27"/>
        <v>-500</v>
      </c>
      <c r="P77" s="2">
        <f t="shared" si="27"/>
        <v>-500</v>
      </c>
      <c r="Q77" s="2">
        <f t="shared" si="27"/>
        <v>-500</v>
      </c>
      <c r="R77" s="2">
        <f t="shared" si="27"/>
        <v>-500</v>
      </c>
      <c r="S77" s="2">
        <f t="shared" si="27"/>
        <v>-500</v>
      </c>
      <c r="U77" s="2">
        <f>-'PYG CONSOLIDADO D&amp;M'!Q29</f>
        <v>0</v>
      </c>
      <c r="V77" s="8">
        <f t="shared" si="10"/>
        <v>0</v>
      </c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</row>
    <row r="78" spans="1:34" ht="15.75" outlineLevel="1" x14ac:dyDescent="0.25">
      <c r="A78" s="10" t="s">
        <v>81</v>
      </c>
      <c r="B78" s="2"/>
      <c r="C78" s="8" t="e">
        <f t="shared" si="24"/>
        <v>#DIV/0!</v>
      </c>
      <c r="D78" s="2">
        <v>-30369.1</v>
      </c>
      <c r="E78" s="8">
        <f t="shared" si="25"/>
        <v>-2.4516671229066193E-2</v>
      </c>
      <c r="F78" s="2">
        <f>-'PYG CONSOLIDADO D&amp;M'!B30</f>
        <v>-56500</v>
      </c>
      <c r="G78" s="8">
        <f t="shared" si="18"/>
        <v>-3.1564245810055867E-2</v>
      </c>
      <c r="H78" s="2">
        <f>-'PYG CONSOLIDADO D&amp;M'!C30</f>
        <v>0</v>
      </c>
      <c r="I78" s="2">
        <f>-'PYG CONSOLIDADO D&amp;M'!D30</f>
        <v>-4708.3333333333339</v>
      </c>
      <c r="J78" s="2">
        <f>-'PYG CONSOLIDADO D&amp;M'!E30</f>
        <v>-4708.3333333333339</v>
      </c>
      <c r="K78" s="2">
        <f>-'PYG CONSOLIDADO D&amp;M'!F30</f>
        <v>-4708.3333333333339</v>
      </c>
      <c r="L78" s="2">
        <f>-'PYG CONSOLIDADO D&amp;M'!G30</f>
        <v>-4708.3333333333339</v>
      </c>
      <c r="M78" s="2">
        <f>-'PYG CONSOLIDADO D&amp;M'!H30</f>
        <v>-4708.3333333333339</v>
      </c>
      <c r="N78" s="2">
        <f>-'PYG CONSOLIDADO D&amp;M'!I30</f>
        <v>-4708.3333333333339</v>
      </c>
      <c r="O78" s="2">
        <f>-'PYG CONSOLIDADO D&amp;M'!J30</f>
        <v>-4708.3333333333339</v>
      </c>
      <c r="P78" s="2">
        <f>-'PYG CONSOLIDADO D&amp;M'!K30</f>
        <v>-4708.3333333333339</v>
      </c>
      <c r="Q78" s="2">
        <f>-'PYG CONSOLIDADO D&amp;M'!L30</f>
        <v>-4708.3333333333339</v>
      </c>
      <c r="R78" s="2">
        <f>-'PYG CONSOLIDADO D&amp;M'!M30</f>
        <v>-4708.3333333333339</v>
      </c>
      <c r="S78" s="2">
        <f>-'PYG CONSOLIDADO D&amp;M'!N30</f>
        <v>-4708.3333333333339</v>
      </c>
      <c r="U78" s="2">
        <f>-'PYG CONSOLIDADO D&amp;M'!Q30</f>
        <v>0</v>
      </c>
      <c r="V78" s="8">
        <f t="shared" ref="V78:V136" si="28">+U78/$U$2</f>
        <v>0</v>
      </c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</row>
    <row r="79" spans="1:34" ht="15.75" outlineLevel="1" x14ac:dyDescent="0.25">
      <c r="A79" s="1" t="s">
        <v>82</v>
      </c>
      <c r="B79" s="2"/>
      <c r="C79" s="8" t="e">
        <f t="shared" si="24"/>
        <v>#DIV/0!</v>
      </c>
      <c r="D79" s="2"/>
      <c r="E79" s="8">
        <f t="shared" si="25"/>
        <v>0</v>
      </c>
      <c r="F79" s="2"/>
      <c r="G79" s="8">
        <f t="shared" si="18"/>
        <v>0</v>
      </c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U79" s="2"/>
      <c r="V79" s="8">
        <f t="shared" si="28"/>
        <v>0</v>
      </c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</row>
    <row r="80" spans="1:34" ht="15.75" outlineLevel="1" x14ac:dyDescent="0.25">
      <c r="A80" s="1" t="s">
        <v>83</v>
      </c>
      <c r="B80" s="2"/>
      <c r="C80" s="8" t="e">
        <f t="shared" si="24"/>
        <v>#DIV/0!</v>
      </c>
      <c r="D80" s="2"/>
      <c r="E80" s="8">
        <f t="shared" si="25"/>
        <v>0</v>
      </c>
      <c r="F80" s="2"/>
      <c r="G80" s="8">
        <f t="shared" si="18"/>
        <v>0</v>
      </c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U80" s="2"/>
      <c r="V80" s="8">
        <f t="shared" si="28"/>
        <v>0</v>
      </c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</row>
    <row r="81" spans="1:34" ht="15.75" outlineLevel="1" x14ac:dyDescent="0.25">
      <c r="A81" s="1" t="s">
        <v>84</v>
      </c>
      <c r="B81" s="2"/>
      <c r="C81" s="8" t="e">
        <f t="shared" si="24"/>
        <v>#DIV/0!</v>
      </c>
      <c r="D81" s="2"/>
      <c r="E81" s="8">
        <f t="shared" si="25"/>
        <v>0</v>
      </c>
      <c r="F81" s="2"/>
      <c r="G81" s="8">
        <f t="shared" si="18"/>
        <v>0</v>
      </c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U81" s="2"/>
      <c r="V81" s="8">
        <f t="shared" si="28"/>
        <v>0</v>
      </c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</row>
    <row r="82" spans="1:34" ht="15.75" outlineLevel="1" x14ac:dyDescent="0.25">
      <c r="A82" s="1" t="s">
        <v>85</v>
      </c>
      <c r="B82" s="2"/>
      <c r="C82" s="8" t="e">
        <f t="shared" si="24"/>
        <v>#DIV/0!</v>
      </c>
      <c r="D82" s="2"/>
      <c r="E82" s="8">
        <f t="shared" si="25"/>
        <v>0</v>
      </c>
      <c r="F82" s="2"/>
      <c r="G82" s="8">
        <f t="shared" si="18"/>
        <v>0</v>
      </c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U82" s="2"/>
      <c r="V82" s="8">
        <f t="shared" si="28"/>
        <v>0</v>
      </c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</row>
    <row r="83" spans="1:34" ht="15.75" outlineLevel="1" x14ac:dyDescent="0.25">
      <c r="A83" s="1" t="s">
        <v>86</v>
      </c>
      <c r="B83" s="2"/>
      <c r="C83" s="8" t="e">
        <f t="shared" si="24"/>
        <v>#DIV/0!</v>
      </c>
      <c r="D83" s="2"/>
      <c r="E83" s="8">
        <f t="shared" si="25"/>
        <v>0</v>
      </c>
      <c r="F83" s="2"/>
      <c r="G83" s="8">
        <f t="shared" si="18"/>
        <v>0</v>
      </c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8">
        <f t="shared" si="28"/>
        <v>0</v>
      </c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</row>
    <row r="84" spans="1:34" ht="15.75" outlineLevel="1" x14ac:dyDescent="0.25">
      <c r="A84" s="1" t="s">
        <v>87</v>
      </c>
      <c r="B84" s="2"/>
      <c r="C84" s="8" t="e">
        <f t="shared" si="24"/>
        <v>#DIV/0!</v>
      </c>
      <c r="D84" s="2"/>
      <c r="E84" s="8">
        <f t="shared" si="25"/>
        <v>0</v>
      </c>
      <c r="F84" s="2"/>
      <c r="G84" s="8">
        <f t="shared" si="18"/>
        <v>0</v>
      </c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U84" s="2"/>
      <c r="V84" s="8">
        <f t="shared" si="28"/>
        <v>0</v>
      </c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</row>
    <row r="85" spans="1:34" ht="15.75" outlineLevel="1" x14ac:dyDescent="0.25">
      <c r="A85" s="1" t="s">
        <v>88</v>
      </c>
      <c r="B85" s="2"/>
      <c r="C85" s="8" t="e">
        <f t="shared" si="24"/>
        <v>#DIV/0!</v>
      </c>
      <c r="D85" s="2"/>
      <c r="E85" s="8">
        <f t="shared" si="25"/>
        <v>0</v>
      </c>
      <c r="F85" s="2"/>
      <c r="G85" s="8">
        <f t="shared" si="18"/>
        <v>0</v>
      </c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U85" s="2"/>
      <c r="V85" s="8">
        <f t="shared" si="28"/>
        <v>0</v>
      </c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</row>
    <row r="86" spans="1:34" ht="15.75" outlineLevel="1" x14ac:dyDescent="0.25">
      <c r="A86" s="1" t="s">
        <v>89</v>
      </c>
      <c r="B86" s="2"/>
      <c r="C86" s="8" t="e">
        <f t="shared" si="24"/>
        <v>#DIV/0!</v>
      </c>
      <c r="D86" s="2"/>
      <c r="E86" s="8">
        <f t="shared" si="25"/>
        <v>0</v>
      </c>
      <c r="F86" s="2"/>
      <c r="G86" s="8">
        <f t="shared" si="18"/>
        <v>0</v>
      </c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U86" s="2"/>
      <c r="V86" s="8">
        <f t="shared" si="28"/>
        <v>0</v>
      </c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</row>
    <row r="87" spans="1:34" ht="15.75" outlineLevel="1" x14ac:dyDescent="0.25">
      <c r="A87" s="1" t="s">
        <v>90</v>
      </c>
      <c r="B87" s="2"/>
      <c r="C87" s="8" t="e">
        <f t="shared" si="24"/>
        <v>#DIV/0!</v>
      </c>
      <c r="D87" s="2"/>
      <c r="E87" s="8">
        <f t="shared" si="25"/>
        <v>0</v>
      </c>
      <c r="F87" s="2"/>
      <c r="G87" s="8">
        <f t="shared" si="18"/>
        <v>0</v>
      </c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U87" s="2"/>
      <c r="V87" s="8">
        <f t="shared" si="28"/>
        <v>0</v>
      </c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</row>
    <row r="88" spans="1:34" ht="15.75" outlineLevel="1" x14ac:dyDescent="0.25">
      <c r="A88" s="1" t="s">
        <v>91</v>
      </c>
      <c r="B88" s="2"/>
      <c r="C88" s="8" t="e">
        <f t="shared" si="24"/>
        <v>#DIV/0!</v>
      </c>
      <c r="D88" s="2"/>
      <c r="E88" s="8">
        <f t="shared" si="25"/>
        <v>0</v>
      </c>
      <c r="F88" s="2"/>
      <c r="G88" s="8">
        <f t="shared" si="18"/>
        <v>0</v>
      </c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U88" s="2"/>
      <c r="V88" s="8">
        <f t="shared" si="28"/>
        <v>0</v>
      </c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</row>
    <row r="89" spans="1:34" ht="15.75" outlineLevel="1" x14ac:dyDescent="0.25">
      <c r="A89" s="10" t="s">
        <v>92</v>
      </c>
      <c r="B89" s="2"/>
      <c r="C89" s="8" t="e">
        <f t="shared" si="24"/>
        <v>#DIV/0!</v>
      </c>
      <c r="D89" s="2">
        <v>-6607.15</v>
      </c>
      <c r="E89" s="8">
        <f t="shared" si="25"/>
        <v>-5.3338862301195852E-3</v>
      </c>
      <c r="F89" s="2">
        <f>-'PYG CONSOLIDADO D&amp;M'!B31</f>
        <v>-56000</v>
      </c>
      <c r="G89" s="8">
        <f t="shared" si="18"/>
        <v>-3.128491620111732E-2</v>
      </c>
      <c r="H89" s="2">
        <f>-'PYG CONSOLIDADO D&amp;M'!C31</f>
        <v>0</v>
      </c>
      <c r="I89" s="2">
        <f>-'PYG CONSOLIDADO D&amp;M'!D31</f>
        <v>-4666.6666666666661</v>
      </c>
      <c r="J89" s="2">
        <f>-'PYG CONSOLIDADO D&amp;M'!E31</f>
        <v>-4666.6666666666661</v>
      </c>
      <c r="K89" s="2">
        <f>-'PYG CONSOLIDADO D&amp;M'!F31</f>
        <v>-4666.6666666666661</v>
      </c>
      <c r="L89" s="2">
        <f>-'PYG CONSOLIDADO D&amp;M'!G31</f>
        <v>-4666.6666666666661</v>
      </c>
      <c r="M89" s="2">
        <f>-'PYG CONSOLIDADO D&amp;M'!H31</f>
        <v>-4666.6666666666661</v>
      </c>
      <c r="N89" s="2">
        <f>-'PYG CONSOLIDADO D&amp;M'!I31</f>
        <v>-4666.6666666666661</v>
      </c>
      <c r="O89" s="2">
        <f>-'PYG CONSOLIDADO D&amp;M'!J31</f>
        <v>-4666.6666666666661</v>
      </c>
      <c r="P89" s="2">
        <f>-'PYG CONSOLIDADO D&amp;M'!K31</f>
        <v>-4666.6666666666661</v>
      </c>
      <c r="Q89" s="2">
        <f>-'PYG CONSOLIDADO D&amp;M'!L31</f>
        <v>-4666.6666666666661</v>
      </c>
      <c r="R89" s="2">
        <f>-'PYG CONSOLIDADO D&amp;M'!M31</f>
        <v>-4666.6666666666661</v>
      </c>
      <c r="S89" s="2">
        <f>-'PYG CONSOLIDADO D&amp;M'!N31</f>
        <v>-4666.6666666666661</v>
      </c>
      <c r="U89" s="2">
        <f>-'PYG CONSOLIDADO D&amp;M'!Q31</f>
        <v>0</v>
      </c>
      <c r="V89" s="8">
        <f t="shared" si="28"/>
        <v>0</v>
      </c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</row>
    <row r="90" spans="1:34" ht="15.75" outlineLevel="1" x14ac:dyDescent="0.25">
      <c r="A90" s="1" t="s">
        <v>93</v>
      </c>
      <c r="B90" s="2"/>
      <c r="C90" s="8" t="e">
        <f t="shared" si="24"/>
        <v>#DIV/0!</v>
      </c>
      <c r="D90" s="2">
        <v>-16966.259999999998</v>
      </c>
      <c r="E90" s="8">
        <f t="shared" si="25"/>
        <v>-1.3696692309184551E-2</v>
      </c>
      <c r="F90" s="2"/>
      <c r="G90" s="8">
        <f t="shared" si="18"/>
        <v>0</v>
      </c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U90" s="2"/>
      <c r="V90" s="8">
        <f t="shared" si="28"/>
        <v>0</v>
      </c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</row>
    <row r="91" spans="1:34" ht="15.75" outlineLevel="1" x14ac:dyDescent="0.25">
      <c r="A91" s="1" t="s">
        <v>94</v>
      </c>
      <c r="B91" s="2"/>
      <c r="C91" s="8" t="e">
        <f t="shared" si="24"/>
        <v>#DIV/0!</v>
      </c>
      <c r="D91" s="2">
        <v>-5361.89</v>
      </c>
      <c r="E91" s="8">
        <f t="shared" si="25"/>
        <v>-4.3286002646248239E-3</v>
      </c>
      <c r="F91" s="2"/>
      <c r="G91" s="8">
        <f t="shared" si="18"/>
        <v>0</v>
      </c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8">
        <f t="shared" si="28"/>
        <v>0</v>
      </c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</row>
    <row r="92" spans="1:34" ht="15.75" outlineLevel="1" x14ac:dyDescent="0.25">
      <c r="A92" s="10" t="s">
        <v>95</v>
      </c>
      <c r="B92" s="2"/>
      <c r="C92" s="8" t="e">
        <f t="shared" si="24"/>
        <v>#DIV/0!</v>
      </c>
      <c r="D92" s="2">
        <f>-4456.3-1235.74</f>
        <v>-5692.04</v>
      </c>
      <c r="E92" s="8">
        <f t="shared" si="25"/>
        <v>-4.5951270634524543E-3</v>
      </c>
      <c r="F92" s="2"/>
      <c r="G92" s="8">
        <f t="shared" si="18"/>
        <v>0</v>
      </c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U92" s="2"/>
      <c r="V92" s="8">
        <f t="shared" si="28"/>
        <v>0</v>
      </c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</row>
    <row r="93" spans="1:34" ht="15.75" outlineLevel="1" x14ac:dyDescent="0.25">
      <c r="A93" s="9" t="s">
        <v>96</v>
      </c>
      <c r="B93" s="2"/>
      <c r="C93" s="8" t="e">
        <f t="shared" si="24"/>
        <v>#DIV/0!</v>
      </c>
      <c r="D93" s="2">
        <v>-2616.3000000000002</v>
      </c>
      <c r="E93" s="8">
        <f t="shared" si="25"/>
        <v>-2.1121128692192354E-3</v>
      </c>
      <c r="F93" s="2"/>
      <c r="G93" s="8">
        <f t="shared" si="18"/>
        <v>0</v>
      </c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U93" s="2"/>
      <c r="V93" s="8">
        <f t="shared" si="28"/>
        <v>0</v>
      </c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</row>
    <row r="94" spans="1:34" ht="15.75" outlineLevel="1" x14ac:dyDescent="0.25">
      <c r="A94" s="1" t="s">
        <v>97</v>
      </c>
      <c r="B94" s="2"/>
      <c r="C94" s="8" t="e">
        <f t="shared" si="24"/>
        <v>#DIV/0!</v>
      </c>
      <c r="D94" s="2"/>
      <c r="E94" s="8">
        <f t="shared" si="25"/>
        <v>0</v>
      </c>
      <c r="F94" s="2"/>
      <c r="G94" s="8">
        <f t="shared" si="18"/>
        <v>0</v>
      </c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U94" s="2"/>
      <c r="V94" s="8">
        <f t="shared" si="28"/>
        <v>0</v>
      </c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</row>
    <row r="95" spans="1:34" ht="15.75" outlineLevel="1" x14ac:dyDescent="0.25">
      <c r="A95" s="1" t="s">
        <v>98</v>
      </c>
      <c r="B95" s="2"/>
      <c r="C95" s="8" t="e">
        <f t="shared" si="24"/>
        <v>#DIV/0!</v>
      </c>
      <c r="D95" s="2">
        <v>-6750.11</v>
      </c>
      <c r="E95" s="8">
        <f t="shared" si="25"/>
        <v>-5.449296410826531E-3</v>
      </c>
      <c r="F95" s="2"/>
      <c r="G95" s="8">
        <f t="shared" si="18"/>
        <v>0</v>
      </c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U95" s="2"/>
      <c r="V95" s="8">
        <f t="shared" si="28"/>
        <v>0</v>
      </c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</row>
    <row r="96" spans="1:34" ht="15.75" outlineLevel="1" x14ac:dyDescent="0.25">
      <c r="A96" s="1" t="s">
        <v>99</v>
      </c>
      <c r="B96" s="2"/>
      <c r="C96" s="8" t="e">
        <f t="shared" si="24"/>
        <v>#DIV/0!</v>
      </c>
      <c r="D96" s="2"/>
      <c r="E96" s="8">
        <f t="shared" si="25"/>
        <v>0</v>
      </c>
      <c r="F96" s="2"/>
      <c r="G96" s="8">
        <f t="shared" si="18"/>
        <v>0</v>
      </c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U96" s="2"/>
      <c r="V96" s="8">
        <f t="shared" si="28"/>
        <v>0</v>
      </c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</row>
    <row r="97" spans="1:34" ht="15.75" outlineLevel="1" x14ac:dyDescent="0.25">
      <c r="A97" s="10" t="s">
        <v>100</v>
      </c>
      <c r="B97" s="2"/>
      <c r="C97" s="8" t="e">
        <f t="shared" si="24"/>
        <v>#DIV/0!</v>
      </c>
      <c r="D97" s="2">
        <v>-4182.33</v>
      </c>
      <c r="E97" s="8">
        <f t="shared" si="25"/>
        <v>-3.3763532531902629E-3</v>
      </c>
      <c r="F97" s="2"/>
      <c r="G97" s="8">
        <f t="shared" si="18"/>
        <v>0</v>
      </c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U97" s="2"/>
      <c r="V97" s="8">
        <f t="shared" si="28"/>
        <v>0</v>
      </c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</row>
    <row r="98" spans="1:34" ht="15.75" outlineLevel="1" x14ac:dyDescent="0.25">
      <c r="A98" s="1" t="s">
        <v>101</v>
      </c>
      <c r="B98" s="2"/>
      <c r="C98" s="8" t="e">
        <f t="shared" ref="C98:C129" si="29">+B98/$B$2</f>
        <v>#DIV/0!</v>
      </c>
      <c r="D98" s="2"/>
      <c r="E98" s="8">
        <f t="shared" si="25"/>
        <v>0</v>
      </c>
      <c r="F98" s="2"/>
      <c r="G98" s="8">
        <f t="shared" si="18"/>
        <v>0</v>
      </c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U98" s="2"/>
      <c r="V98" s="8">
        <f t="shared" si="28"/>
        <v>0</v>
      </c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</row>
    <row r="99" spans="1:34" ht="15.75" outlineLevel="1" x14ac:dyDescent="0.25">
      <c r="A99" s="1" t="s">
        <v>102</v>
      </c>
      <c r="B99" s="2"/>
      <c r="C99" s="8" t="e">
        <f t="shared" si="29"/>
        <v>#DIV/0!</v>
      </c>
      <c r="D99" s="2">
        <v>-7310.97</v>
      </c>
      <c r="E99" s="8">
        <f t="shared" ref="E99:E130" si="30">+D99/$D$2</f>
        <v>-5.9020730892771298E-3</v>
      </c>
      <c r="F99" s="2"/>
      <c r="G99" s="8">
        <f t="shared" ref="G99:G136" si="31">+F99/$F$2</f>
        <v>0</v>
      </c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U99" s="2"/>
      <c r="V99" s="8">
        <f t="shared" si="28"/>
        <v>0</v>
      </c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</row>
    <row r="100" spans="1:34" ht="15.75" outlineLevel="1" x14ac:dyDescent="0.25">
      <c r="A100" s="1" t="s">
        <v>103</v>
      </c>
      <c r="B100" s="2"/>
      <c r="C100" s="8" t="e">
        <f t="shared" si="29"/>
        <v>#DIV/0!</v>
      </c>
      <c r="D100" s="2"/>
      <c r="E100" s="8">
        <f t="shared" si="30"/>
        <v>0</v>
      </c>
      <c r="F100" s="2"/>
      <c r="G100" s="8">
        <f t="shared" si="31"/>
        <v>0</v>
      </c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U100" s="2"/>
      <c r="V100" s="8">
        <f t="shared" si="28"/>
        <v>0</v>
      </c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</row>
    <row r="101" spans="1:34" ht="15.75" outlineLevel="1" x14ac:dyDescent="0.25">
      <c r="A101" s="1" t="s">
        <v>104</v>
      </c>
      <c r="B101" s="2"/>
      <c r="C101" s="8" t="e">
        <f t="shared" si="29"/>
        <v>#DIV/0!</v>
      </c>
      <c r="D101" s="2">
        <v>-1757.47</v>
      </c>
      <c r="E101" s="8">
        <f t="shared" si="30"/>
        <v>-1.4187879846602951E-3</v>
      </c>
      <c r="F101" s="2"/>
      <c r="G101" s="8">
        <f t="shared" si="31"/>
        <v>0</v>
      </c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U101" s="2"/>
      <c r="V101" s="8">
        <f t="shared" si="28"/>
        <v>0</v>
      </c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</row>
    <row r="102" spans="1:34" ht="15.75" outlineLevel="1" x14ac:dyDescent="0.25">
      <c r="A102" s="10" t="s">
        <v>105</v>
      </c>
      <c r="B102" s="2"/>
      <c r="C102" s="8" t="e">
        <f t="shared" si="29"/>
        <v>#DIV/0!</v>
      </c>
      <c r="D102" s="2"/>
      <c r="E102" s="8">
        <f t="shared" si="30"/>
        <v>0</v>
      </c>
      <c r="F102" s="2"/>
      <c r="G102" s="8">
        <f t="shared" si="31"/>
        <v>0</v>
      </c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U102" s="2"/>
      <c r="V102" s="8">
        <f t="shared" si="28"/>
        <v>0</v>
      </c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</row>
    <row r="103" spans="1:34" ht="15.75" outlineLevel="1" x14ac:dyDescent="0.25">
      <c r="A103" s="1" t="s">
        <v>106</v>
      </c>
      <c r="B103" s="2"/>
      <c r="C103" s="8" t="e">
        <f t="shared" si="29"/>
        <v>#DIV/0!</v>
      </c>
      <c r="D103" s="2"/>
      <c r="E103" s="8">
        <f t="shared" si="30"/>
        <v>0</v>
      </c>
      <c r="F103" s="2"/>
      <c r="G103" s="8">
        <f t="shared" si="31"/>
        <v>0</v>
      </c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U103" s="2"/>
      <c r="V103" s="8">
        <f t="shared" si="28"/>
        <v>0</v>
      </c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</row>
    <row r="104" spans="1:34" ht="15.75" outlineLevel="1" x14ac:dyDescent="0.25">
      <c r="A104" s="1" t="s">
        <v>107</v>
      </c>
      <c r="B104" s="2"/>
      <c r="C104" s="8" t="e">
        <f t="shared" si="29"/>
        <v>#DIV/0!</v>
      </c>
      <c r="D104" s="2"/>
      <c r="E104" s="8">
        <f t="shared" si="30"/>
        <v>0</v>
      </c>
      <c r="F104" s="2"/>
      <c r="G104" s="8">
        <f t="shared" si="31"/>
        <v>0</v>
      </c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U104" s="2"/>
      <c r="V104" s="8">
        <f t="shared" si="28"/>
        <v>0</v>
      </c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</row>
    <row r="105" spans="1:34" ht="15.75" outlineLevel="1" x14ac:dyDescent="0.25">
      <c r="A105" s="1" t="s">
        <v>108</v>
      </c>
      <c r="B105" s="2"/>
      <c r="C105" s="8" t="e">
        <f t="shared" si="29"/>
        <v>#DIV/0!</v>
      </c>
      <c r="D105" s="2"/>
      <c r="E105" s="8">
        <f t="shared" si="30"/>
        <v>0</v>
      </c>
      <c r="F105" s="2"/>
      <c r="G105" s="8">
        <f t="shared" si="31"/>
        <v>0</v>
      </c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U105" s="2"/>
      <c r="V105" s="8">
        <f t="shared" si="28"/>
        <v>0</v>
      </c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</row>
    <row r="106" spans="1:34" ht="15.75" outlineLevel="1" x14ac:dyDescent="0.25">
      <c r="A106" s="1" t="s">
        <v>109</v>
      </c>
      <c r="B106" s="2"/>
      <c r="C106" s="8" t="e">
        <f t="shared" si="29"/>
        <v>#DIV/0!</v>
      </c>
      <c r="D106" s="2"/>
      <c r="E106" s="8">
        <f t="shared" si="30"/>
        <v>0</v>
      </c>
      <c r="F106" s="2"/>
      <c r="G106" s="8">
        <f t="shared" si="31"/>
        <v>0</v>
      </c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U106" s="2"/>
      <c r="V106" s="8">
        <f t="shared" si="28"/>
        <v>0</v>
      </c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</row>
    <row r="107" spans="1:34" ht="15.75" outlineLevel="1" x14ac:dyDescent="0.25">
      <c r="A107" s="1" t="s">
        <v>110</v>
      </c>
      <c r="B107" s="2"/>
      <c r="C107" s="8" t="e">
        <f t="shared" si="29"/>
        <v>#DIV/0!</v>
      </c>
      <c r="D107" s="2"/>
      <c r="E107" s="8">
        <f t="shared" si="30"/>
        <v>0</v>
      </c>
      <c r="F107" s="2"/>
      <c r="G107" s="8">
        <f t="shared" si="31"/>
        <v>0</v>
      </c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U107" s="2"/>
      <c r="V107" s="8">
        <f t="shared" si="28"/>
        <v>0</v>
      </c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</row>
    <row r="108" spans="1:34" ht="15.75" outlineLevel="1" x14ac:dyDescent="0.25">
      <c r="A108" s="1" t="s">
        <v>111</v>
      </c>
      <c r="B108" s="2"/>
      <c r="C108" s="8" t="e">
        <f t="shared" si="29"/>
        <v>#DIV/0!</v>
      </c>
      <c r="D108" s="2"/>
      <c r="E108" s="8">
        <f t="shared" si="30"/>
        <v>0</v>
      </c>
      <c r="F108" s="2">
        <f>-'PYG CONSOLIDADO D&amp;M'!B32</f>
        <v>-43850</v>
      </c>
      <c r="G108" s="8">
        <f t="shared" si="31"/>
        <v>-2.4497206703910614E-2</v>
      </c>
      <c r="H108" s="2">
        <f>-'PYG CONSOLIDADO D&amp;M'!C32</f>
        <v>0</v>
      </c>
      <c r="I108" s="2">
        <f>-'PYG CONSOLIDADO D&amp;M'!D32</f>
        <v>-3654.166666666667</v>
      </c>
      <c r="J108" s="2">
        <f>-'PYG CONSOLIDADO D&amp;M'!E32</f>
        <v>-3654.166666666667</v>
      </c>
      <c r="K108" s="2">
        <f>-'PYG CONSOLIDADO D&amp;M'!F32</f>
        <v>-3654.166666666667</v>
      </c>
      <c r="L108" s="2">
        <f>-'PYG CONSOLIDADO D&amp;M'!G32</f>
        <v>-3654.166666666667</v>
      </c>
      <c r="M108" s="2">
        <f>-'PYG CONSOLIDADO D&amp;M'!H32</f>
        <v>-3654.166666666667</v>
      </c>
      <c r="N108" s="2">
        <f>-'PYG CONSOLIDADO D&amp;M'!I32</f>
        <v>-3654.166666666667</v>
      </c>
      <c r="O108" s="2">
        <f>-'PYG CONSOLIDADO D&amp;M'!J32</f>
        <v>-3654.166666666667</v>
      </c>
      <c r="P108" s="2">
        <f>-'PYG CONSOLIDADO D&amp;M'!K32</f>
        <v>-3654.166666666667</v>
      </c>
      <c r="Q108" s="2">
        <f>-'PYG CONSOLIDADO D&amp;M'!L32</f>
        <v>-3654.166666666667</v>
      </c>
      <c r="R108" s="2">
        <f>-'PYG CONSOLIDADO D&amp;M'!M32</f>
        <v>-3654.166666666667</v>
      </c>
      <c r="S108" s="2">
        <f>-'PYG CONSOLIDADO D&amp;M'!N32</f>
        <v>-3654.166666666667</v>
      </c>
      <c r="U108" s="2">
        <f>-'PYG CONSOLIDADO D&amp;M'!Q32</f>
        <v>0</v>
      </c>
      <c r="V108" s="8">
        <f t="shared" si="28"/>
        <v>0</v>
      </c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</row>
    <row r="109" spans="1:34" ht="15.75" outlineLevel="1" x14ac:dyDescent="0.25">
      <c r="A109" s="1" t="s">
        <v>112</v>
      </c>
      <c r="B109" s="2"/>
      <c r="C109" s="8" t="e">
        <f t="shared" si="29"/>
        <v>#DIV/0!</v>
      </c>
      <c r="D109" s="2">
        <v>-27433.47</v>
      </c>
      <c r="E109" s="8">
        <f t="shared" si="30"/>
        <v>-2.214676643899393E-2</v>
      </c>
      <c r="F109" s="2"/>
      <c r="G109" s="8">
        <f t="shared" si="31"/>
        <v>0</v>
      </c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U109" s="2"/>
      <c r="V109" s="8">
        <f t="shared" si="28"/>
        <v>0</v>
      </c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</row>
    <row r="110" spans="1:34" ht="15.75" outlineLevel="1" x14ac:dyDescent="0.25">
      <c r="A110" s="1" t="s">
        <v>113</v>
      </c>
      <c r="B110" s="2"/>
      <c r="C110" s="8" t="e">
        <f t="shared" si="29"/>
        <v>#DIV/0!</v>
      </c>
      <c r="D110" s="2"/>
      <c r="E110" s="8">
        <f t="shared" si="30"/>
        <v>0</v>
      </c>
      <c r="F110" s="2"/>
      <c r="G110" s="8">
        <f t="shared" si="31"/>
        <v>0</v>
      </c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U110" s="2"/>
      <c r="V110" s="8">
        <f t="shared" si="28"/>
        <v>0</v>
      </c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</row>
    <row r="111" spans="1:34" ht="15.75" outlineLevel="1" x14ac:dyDescent="0.25">
      <c r="A111" s="1" t="s">
        <v>114</v>
      </c>
      <c r="B111" s="2"/>
      <c r="C111" s="8" t="e">
        <f t="shared" si="29"/>
        <v>#DIV/0!</v>
      </c>
      <c r="D111" s="2"/>
      <c r="E111" s="8">
        <f t="shared" si="30"/>
        <v>0</v>
      </c>
      <c r="F111" s="2"/>
      <c r="G111" s="8">
        <f t="shared" si="31"/>
        <v>0</v>
      </c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U111" s="2"/>
      <c r="V111" s="8">
        <f t="shared" si="28"/>
        <v>0</v>
      </c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</row>
    <row r="112" spans="1:34" ht="15.75" outlineLevel="1" x14ac:dyDescent="0.25">
      <c r="A112" s="1" t="s">
        <v>115</v>
      </c>
      <c r="B112" s="2"/>
      <c r="C112" s="8" t="e">
        <f t="shared" si="29"/>
        <v>#DIV/0!</v>
      </c>
      <c r="D112" s="2"/>
      <c r="E112" s="8">
        <f t="shared" si="30"/>
        <v>0</v>
      </c>
      <c r="F112" s="2"/>
      <c r="G112" s="8">
        <f t="shared" si="31"/>
        <v>0</v>
      </c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U112" s="2"/>
      <c r="V112" s="8">
        <f t="shared" si="28"/>
        <v>0</v>
      </c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</row>
    <row r="113" spans="1:34" ht="15.75" outlineLevel="1" x14ac:dyDescent="0.25">
      <c r="A113" s="1" t="s">
        <v>116</v>
      </c>
      <c r="B113" s="2"/>
      <c r="C113" s="8" t="e">
        <f t="shared" si="29"/>
        <v>#DIV/0!</v>
      </c>
      <c r="D113" s="2">
        <f>-6072.72-579.76</f>
        <v>-6652.4800000000005</v>
      </c>
      <c r="E113" s="8">
        <f t="shared" si="30"/>
        <v>-5.3704806865510759E-3</v>
      </c>
      <c r="F113" s="2"/>
      <c r="G113" s="8">
        <f t="shared" si="31"/>
        <v>0</v>
      </c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U113" s="2"/>
      <c r="V113" s="8">
        <f t="shared" si="28"/>
        <v>0</v>
      </c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</row>
    <row r="114" spans="1:34" ht="15.75" outlineLevel="1" x14ac:dyDescent="0.25">
      <c r="A114" s="1" t="s">
        <v>117</v>
      </c>
      <c r="B114" s="2"/>
      <c r="C114" s="8" t="e">
        <f t="shared" si="29"/>
        <v>#DIV/0!</v>
      </c>
      <c r="D114" s="2"/>
      <c r="E114" s="8">
        <f t="shared" si="30"/>
        <v>0</v>
      </c>
      <c r="F114" s="2"/>
      <c r="G114" s="8">
        <f t="shared" si="31"/>
        <v>0</v>
      </c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U114" s="2"/>
      <c r="V114" s="8">
        <f t="shared" si="28"/>
        <v>0</v>
      </c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</row>
    <row r="115" spans="1:34" ht="15.75" outlineLevel="1" x14ac:dyDescent="0.25">
      <c r="A115" s="1" t="s">
        <v>118</v>
      </c>
      <c r="B115" s="2"/>
      <c r="C115" s="8" t="e">
        <f t="shared" si="29"/>
        <v>#DIV/0!</v>
      </c>
      <c r="D115" s="2"/>
      <c r="E115" s="8">
        <f t="shared" si="30"/>
        <v>0</v>
      </c>
      <c r="F115" s="2"/>
      <c r="G115" s="8">
        <f t="shared" si="31"/>
        <v>0</v>
      </c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U115" s="2"/>
      <c r="V115" s="8">
        <f t="shared" si="28"/>
        <v>0</v>
      </c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</row>
    <row r="116" spans="1:34" ht="15.75" outlineLevel="1" x14ac:dyDescent="0.25">
      <c r="A116" s="1" t="s">
        <v>119</v>
      </c>
      <c r="B116" s="2"/>
      <c r="C116" s="8" t="e">
        <f t="shared" si="29"/>
        <v>#DIV/0!</v>
      </c>
      <c r="D116" s="2"/>
      <c r="E116" s="8">
        <f t="shared" si="30"/>
        <v>0</v>
      </c>
      <c r="F116" s="2"/>
      <c r="G116" s="8">
        <f t="shared" si="31"/>
        <v>0</v>
      </c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U116" s="2"/>
      <c r="V116" s="8">
        <f t="shared" si="28"/>
        <v>0</v>
      </c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</row>
    <row r="117" spans="1:34" ht="15.75" outlineLevel="1" x14ac:dyDescent="0.25">
      <c r="A117" s="1" t="s">
        <v>120</v>
      </c>
      <c r="B117" s="2"/>
      <c r="C117" s="8" t="e">
        <f t="shared" si="29"/>
        <v>#DIV/0!</v>
      </c>
      <c r="D117" s="2">
        <v>-127.88</v>
      </c>
      <c r="E117" s="8">
        <f t="shared" si="30"/>
        <v>-1.0323624726359966E-4</v>
      </c>
      <c r="F117" s="2"/>
      <c r="G117" s="8">
        <f t="shared" si="31"/>
        <v>0</v>
      </c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U117" s="2"/>
      <c r="V117" s="8">
        <f t="shared" si="28"/>
        <v>0</v>
      </c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</row>
    <row r="118" spans="1:34" ht="15.75" outlineLevel="1" x14ac:dyDescent="0.25">
      <c r="A118" s="1" t="s">
        <v>121</v>
      </c>
      <c r="B118" s="2"/>
      <c r="C118" s="8" t="e">
        <f t="shared" si="29"/>
        <v>#DIV/0!</v>
      </c>
      <c r="D118" s="2"/>
      <c r="E118" s="8">
        <f t="shared" si="30"/>
        <v>0</v>
      </c>
      <c r="F118" s="2"/>
      <c r="G118" s="8">
        <f t="shared" si="31"/>
        <v>0</v>
      </c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U118" s="2"/>
      <c r="V118" s="8">
        <f t="shared" si="28"/>
        <v>0</v>
      </c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</row>
    <row r="119" spans="1:34" ht="15.75" outlineLevel="1" x14ac:dyDescent="0.25">
      <c r="A119" s="1" t="s">
        <v>122</v>
      </c>
      <c r="B119" s="2"/>
      <c r="C119" s="8" t="e">
        <f t="shared" si="29"/>
        <v>#DIV/0!</v>
      </c>
      <c r="D119" s="2"/>
      <c r="E119" s="8">
        <f t="shared" si="30"/>
        <v>0</v>
      </c>
      <c r="F119" s="2"/>
      <c r="G119" s="8">
        <f t="shared" si="31"/>
        <v>0</v>
      </c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U119" s="2"/>
      <c r="V119" s="8">
        <f t="shared" si="28"/>
        <v>0</v>
      </c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</row>
    <row r="120" spans="1:34" ht="15.75" outlineLevel="1" x14ac:dyDescent="0.25">
      <c r="A120" s="9" t="s">
        <v>123</v>
      </c>
      <c r="B120" s="2"/>
      <c r="C120" s="8" t="e">
        <f t="shared" si="29"/>
        <v>#DIV/0!</v>
      </c>
      <c r="D120" s="2">
        <v>-197</v>
      </c>
      <c r="E120" s="8">
        <f t="shared" si="30"/>
        <v>-1.5903613317898917E-4</v>
      </c>
      <c r="F120" s="2"/>
      <c r="G120" s="8">
        <f t="shared" si="31"/>
        <v>0</v>
      </c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U120" s="2"/>
      <c r="V120" s="8">
        <f t="shared" si="28"/>
        <v>0</v>
      </c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</row>
    <row r="121" spans="1:34" ht="15.75" outlineLevel="1" x14ac:dyDescent="0.25">
      <c r="A121" s="1" t="s">
        <v>124</v>
      </c>
      <c r="B121" s="2"/>
      <c r="C121" s="8" t="e">
        <f t="shared" si="29"/>
        <v>#DIV/0!</v>
      </c>
      <c r="D121" s="2"/>
      <c r="E121" s="8">
        <f t="shared" si="30"/>
        <v>0</v>
      </c>
      <c r="F121" s="2"/>
      <c r="G121" s="8">
        <f t="shared" si="31"/>
        <v>0</v>
      </c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U121" s="2"/>
      <c r="V121" s="8">
        <f t="shared" si="28"/>
        <v>0</v>
      </c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</row>
    <row r="122" spans="1:34" ht="15.75" x14ac:dyDescent="0.25">
      <c r="A122" s="5" t="s">
        <v>125</v>
      </c>
      <c r="B122" s="6">
        <f>SUM(B123:B125)</f>
        <v>0</v>
      </c>
      <c r="C122" s="7" t="e">
        <f t="shared" si="29"/>
        <v>#DIV/0!</v>
      </c>
      <c r="D122" s="6">
        <f>SUM(D123:D125)</f>
        <v>0</v>
      </c>
      <c r="E122" s="7">
        <f t="shared" si="30"/>
        <v>0</v>
      </c>
      <c r="F122" s="6">
        <f>SUM(F123:F125)</f>
        <v>-100000</v>
      </c>
      <c r="G122" s="8">
        <f t="shared" si="31"/>
        <v>-5.5865921787709494E-2</v>
      </c>
      <c r="H122" s="6">
        <f>SUM(H123:H125)</f>
        <v>-8333.3333333333339</v>
      </c>
      <c r="I122" s="6">
        <f t="shared" ref="I122:S122" si="32">SUM(I123:I125)</f>
        <v>-8333.3333333333339</v>
      </c>
      <c r="J122" s="6">
        <f t="shared" si="32"/>
        <v>-8333.3333333333339</v>
      </c>
      <c r="K122" s="6">
        <f t="shared" si="32"/>
        <v>-8333.3333333333339</v>
      </c>
      <c r="L122" s="6">
        <f t="shared" si="32"/>
        <v>-8333.3333333333339</v>
      </c>
      <c r="M122" s="6">
        <f t="shared" si="32"/>
        <v>-8333.3333333333339</v>
      </c>
      <c r="N122" s="6">
        <f t="shared" si="32"/>
        <v>-8333.3333333333339</v>
      </c>
      <c r="O122" s="6">
        <f t="shared" si="32"/>
        <v>-8333.3333333333339</v>
      </c>
      <c r="P122" s="6">
        <f t="shared" si="32"/>
        <v>-8333.3333333333339</v>
      </c>
      <c r="Q122" s="6">
        <f t="shared" si="32"/>
        <v>-8333.3333333333339</v>
      </c>
      <c r="R122" s="6">
        <f t="shared" si="32"/>
        <v>-8333.3333333333339</v>
      </c>
      <c r="S122" s="6">
        <f t="shared" si="32"/>
        <v>-8333.3333333333339</v>
      </c>
      <c r="U122" s="6">
        <f>SUM(U123:U125)</f>
        <v>0</v>
      </c>
      <c r="V122" s="8">
        <f t="shared" si="28"/>
        <v>0</v>
      </c>
      <c r="W122" s="6">
        <f>SUM(W123:W125)</f>
        <v>-8333.3333333333339</v>
      </c>
      <c r="X122" s="6">
        <f t="shared" ref="X122:AH122" si="33">SUM(X123:X125)</f>
        <v>-8333.3333333333339</v>
      </c>
      <c r="Y122" s="6">
        <f t="shared" si="33"/>
        <v>-8333.3333333333339</v>
      </c>
      <c r="Z122" s="6">
        <f t="shared" si="33"/>
        <v>-8333.3333333333339</v>
      </c>
      <c r="AA122" s="6">
        <f t="shared" si="33"/>
        <v>-8333.3333333333339</v>
      </c>
      <c r="AB122" s="6">
        <f t="shared" si="33"/>
        <v>-8333.3333333333339</v>
      </c>
      <c r="AC122" s="6">
        <f t="shared" si="33"/>
        <v>-8333.3333333333339</v>
      </c>
      <c r="AD122" s="6">
        <f t="shared" si="33"/>
        <v>-8333.3333333333339</v>
      </c>
      <c r="AE122" s="6">
        <f t="shared" si="33"/>
        <v>-8333.3333333333339</v>
      </c>
      <c r="AF122" s="6">
        <f t="shared" si="33"/>
        <v>-8333.3333333333339</v>
      </c>
      <c r="AG122" s="6">
        <f t="shared" si="33"/>
        <v>-8333.3333333333339</v>
      </c>
      <c r="AH122" s="6">
        <f t="shared" si="33"/>
        <v>-8333.3333333333339</v>
      </c>
    </row>
    <row r="123" spans="1:34" ht="15.75" outlineLevel="1" x14ac:dyDescent="0.25">
      <c r="A123" s="1" t="s">
        <v>126</v>
      </c>
      <c r="B123" s="2"/>
      <c r="C123" s="8" t="e">
        <f t="shared" si="29"/>
        <v>#DIV/0!</v>
      </c>
      <c r="D123" s="2"/>
      <c r="E123" s="8">
        <f t="shared" si="30"/>
        <v>0</v>
      </c>
      <c r="F123" s="2"/>
      <c r="G123" s="8">
        <f t="shared" si="31"/>
        <v>0</v>
      </c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U123" s="2"/>
      <c r="V123" s="8">
        <f t="shared" si="28"/>
        <v>0</v>
      </c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</row>
    <row r="124" spans="1:34" ht="15.75" outlineLevel="1" x14ac:dyDescent="0.25">
      <c r="A124" s="1" t="s">
        <v>127</v>
      </c>
      <c r="B124" s="2"/>
      <c r="C124" s="8" t="e">
        <f t="shared" si="29"/>
        <v>#DIV/0!</v>
      </c>
      <c r="D124" s="2"/>
      <c r="E124" s="8">
        <f t="shared" si="30"/>
        <v>0</v>
      </c>
      <c r="F124" s="2">
        <f>-'PYG CONSOLIDADO D&amp;M'!B35</f>
        <v>-100000</v>
      </c>
      <c r="G124" s="8">
        <f t="shared" si="31"/>
        <v>-5.5865921787709494E-2</v>
      </c>
      <c r="H124" s="2">
        <f>+$F124/12</f>
        <v>-8333.3333333333339</v>
      </c>
      <c r="I124" s="2">
        <f t="shared" ref="I124:S124" si="34">+$F124/12</f>
        <v>-8333.3333333333339</v>
      </c>
      <c r="J124" s="2">
        <f t="shared" si="34"/>
        <v>-8333.3333333333339</v>
      </c>
      <c r="K124" s="2">
        <f t="shared" si="34"/>
        <v>-8333.3333333333339</v>
      </c>
      <c r="L124" s="2">
        <f t="shared" si="34"/>
        <v>-8333.3333333333339</v>
      </c>
      <c r="M124" s="2">
        <f t="shared" si="34"/>
        <v>-8333.3333333333339</v>
      </c>
      <c r="N124" s="2">
        <f t="shared" si="34"/>
        <v>-8333.3333333333339</v>
      </c>
      <c r="O124" s="2">
        <f t="shared" si="34"/>
        <v>-8333.3333333333339</v>
      </c>
      <c r="P124" s="2">
        <f t="shared" si="34"/>
        <v>-8333.3333333333339</v>
      </c>
      <c r="Q124" s="2">
        <f t="shared" si="34"/>
        <v>-8333.3333333333339</v>
      </c>
      <c r="R124" s="2">
        <f t="shared" si="34"/>
        <v>-8333.3333333333339</v>
      </c>
      <c r="S124" s="2">
        <f t="shared" si="34"/>
        <v>-8333.3333333333339</v>
      </c>
      <c r="U124" s="2">
        <f>-'PYG CONSOLIDADO D&amp;M'!Q35</f>
        <v>0</v>
      </c>
      <c r="V124" s="8">
        <f t="shared" si="28"/>
        <v>0</v>
      </c>
      <c r="W124" s="2">
        <f>+$F124/12</f>
        <v>-8333.3333333333339</v>
      </c>
      <c r="X124" s="2">
        <f t="shared" ref="X124:AH124" si="35">+$F124/12</f>
        <v>-8333.3333333333339</v>
      </c>
      <c r="Y124" s="2">
        <f t="shared" si="35"/>
        <v>-8333.3333333333339</v>
      </c>
      <c r="Z124" s="2">
        <f t="shared" si="35"/>
        <v>-8333.3333333333339</v>
      </c>
      <c r="AA124" s="2">
        <f t="shared" si="35"/>
        <v>-8333.3333333333339</v>
      </c>
      <c r="AB124" s="2">
        <f t="shared" si="35"/>
        <v>-8333.3333333333339</v>
      </c>
      <c r="AC124" s="2">
        <f t="shared" si="35"/>
        <v>-8333.3333333333339</v>
      </c>
      <c r="AD124" s="2">
        <f t="shared" si="35"/>
        <v>-8333.3333333333339</v>
      </c>
      <c r="AE124" s="2">
        <f t="shared" si="35"/>
        <v>-8333.3333333333339</v>
      </c>
      <c r="AF124" s="2">
        <f t="shared" si="35"/>
        <v>-8333.3333333333339</v>
      </c>
      <c r="AG124" s="2">
        <f t="shared" si="35"/>
        <v>-8333.3333333333339</v>
      </c>
      <c r="AH124" s="2">
        <f t="shared" si="35"/>
        <v>-8333.3333333333339</v>
      </c>
    </row>
    <row r="125" spans="1:34" ht="15.75" outlineLevel="1" x14ac:dyDescent="0.25">
      <c r="A125" s="1" t="s">
        <v>128</v>
      </c>
      <c r="B125" s="2"/>
      <c r="C125" s="8" t="e">
        <f t="shared" si="29"/>
        <v>#DIV/0!</v>
      </c>
      <c r="D125" s="2"/>
      <c r="E125" s="8">
        <f t="shared" si="30"/>
        <v>0</v>
      </c>
      <c r="F125" s="2"/>
      <c r="G125" s="8">
        <f t="shared" si="31"/>
        <v>0</v>
      </c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U125" s="2"/>
      <c r="V125" s="8">
        <f t="shared" si="28"/>
        <v>0</v>
      </c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</row>
    <row r="126" spans="1:34" ht="15.75" x14ac:dyDescent="0.25">
      <c r="A126" s="5" t="s">
        <v>129</v>
      </c>
      <c r="B126" s="6"/>
      <c r="C126" s="7" t="e">
        <f t="shared" si="29"/>
        <v>#DIV/0!</v>
      </c>
      <c r="D126" s="6">
        <v>0</v>
      </c>
      <c r="E126" s="7">
        <f t="shared" si="30"/>
        <v>0</v>
      </c>
      <c r="F126" s="6">
        <v>0</v>
      </c>
      <c r="G126" s="8">
        <f t="shared" si="31"/>
        <v>0</v>
      </c>
      <c r="H126" s="6">
        <v>0</v>
      </c>
      <c r="I126" s="6">
        <v>0</v>
      </c>
      <c r="J126" s="6">
        <v>0</v>
      </c>
      <c r="K126" s="6">
        <v>0</v>
      </c>
      <c r="L126" s="6">
        <v>0</v>
      </c>
      <c r="M126" s="6">
        <v>0</v>
      </c>
      <c r="N126" s="6">
        <v>0</v>
      </c>
      <c r="O126" s="6">
        <v>0</v>
      </c>
      <c r="P126" s="6">
        <v>0</v>
      </c>
      <c r="Q126" s="6">
        <v>0</v>
      </c>
      <c r="R126" s="6">
        <v>0</v>
      </c>
      <c r="S126" s="6">
        <v>0</v>
      </c>
      <c r="U126" s="6">
        <v>0</v>
      </c>
      <c r="V126" s="8">
        <f t="shared" si="28"/>
        <v>0</v>
      </c>
      <c r="W126" s="6">
        <v>0</v>
      </c>
      <c r="X126" s="6">
        <v>0</v>
      </c>
      <c r="Y126" s="6">
        <v>0</v>
      </c>
      <c r="Z126" s="6">
        <v>0</v>
      </c>
      <c r="AA126" s="6">
        <v>0</v>
      </c>
      <c r="AB126" s="6">
        <v>0</v>
      </c>
      <c r="AC126" s="6">
        <v>0</v>
      </c>
      <c r="AD126" s="6">
        <v>0</v>
      </c>
      <c r="AE126" s="6">
        <v>0</v>
      </c>
      <c r="AF126" s="6">
        <v>0</v>
      </c>
      <c r="AG126" s="6">
        <v>0</v>
      </c>
      <c r="AH126" s="6">
        <v>0</v>
      </c>
    </row>
    <row r="127" spans="1:34" ht="15.75" x14ac:dyDescent="0.25">
      <c r="A127" s="5" t="s">
        <v>130</v>
      </c>
      <c r="B127" s="6"/>
      <c r="C127" s="7" t="e">
        <f t="shared" si="29"/>
        <v>#DIV/0!</v>
      </c>
      <c r="D127" s="6">
        <v>0</v>
      </c>
      <c r="E127" s="7">
        <f t="shared" si="30"/>
        <v>0</v>
      </c>
      <c r="F127" s="6">
        <v>0</v>
      </c>
      <c r="G127" s="8">
        <f t="shared" si="31"/>
        <v>0</v>
      </c>
      <c r="H127" s="6">
        <v>0</v>
      </c>
      <c r="I127" s="6">
        <v>0</v>
      </c>
      <c r="J127" s="6">
        <v>0</v>
      </c>
      <c r="K127" s="6">
        <v>0</v>
      </c>
      <c r="L127" s="6">
        <v>0</v>
      </c>
      <c r="M127" s="6">
        <v>0</v>
      </c>
      <c r="N127" s="6">
        <v>0</v>
      </c>
      <c r="O127" s="6">
        <v>0</v>
      </c>
      <c r="P127" s="6">
        <v>0</v>
      </c>
      <c r="Q127" s="6">
        <v>0</v>
      </c>
      <c r="R127" s="6">
        <v>0</v>
      </c>
      <c r="S127" s="6">
        <v>0</v>
      </c>
      <c r="U127" s="6">
        <v>0</v>
      </c>
      <c r="V127" s="8">
        <f t="shared" si="28"/>
        <v>0</v>
      </c>
      <c r="W127" s="6">
        <v>0</v>
      </c>
      <c r="X127" s="6">
        <v>0</v>
      </c>
      <c r="Y127" s="6">
        <v>0</v>
      </c>
      <c r="Z127" s="6">
        <v>0</v>
      </c>
      <c r="AA127" s="6">
        <v>0</v>
      </c>
      <c r="AB127" s="6">
        <v>0</v>
      </c>
      <c r="AC127" s="6">
        <v>0</v>
      </c>
      <c r="AD127" s="6">
        <v>0</v>
      </c>
      <c r="AE127" s="6">
        <v>0</v>
      </c>
      <c r="AF127" s="6">
        <v>0</v>
      </c>
      <c r="AG127" s="6">
        <v>0</v>
      </c>
      <c r="AH127" s="6">
        <v>0</v>
      </c>
    </row>
    <row r="128" spans="1:34" ht="15.75" x14ac:dyDescent="0.25">
      <c r="A128" s="5" t="s">
        <v>131</v>
      </c>
      <c r="B128" s="6">
        <f>SUM(B129:B130)</f>
        <v>0</v>
      </c>
      <c r="C128" s="7" t="e">
        <f t="shared" si="29"/>
        <v>#DIV/0!</v>
      </c>
      <c r="D128" s="6">
        <f>SUM(D129:D130)</f>
        <v>0</v>
      </c>
      <c r="E128" s="7">
        <f t="shared" si="30"/>
        <v>0</v>
      </c>
      <c r="F128" s="6">
        <f>SUM(F129:F130)</f>
        <v>0</v>
      </c>
      <c r="G128" s="8">
        <f t="shared" si="31"/>
        <v>0</v>
      </c>
      <c r="H128" s="6">
        <f>SUM(H129:H130)</f>
        <v>0</v>
      </c>
      <c r="I128" s="6">
        <f t="shared" ref="I128:S128" si="36">SUM(I129:I130)</f>
        <v>0</v>
      </c>
      <c r="J128" s="6">
        <f t="shared" si="36"/>
        <v>0</v>
      </c>
      <c r="K128" s="6">
        <f t="shared" si="36"/>
        <v>0</v>
      </c>
      <c r="L128" s="6">
        <f t="shared" si="36"/>
        <v>0</v>
      </c>
      <c r="M128" s="6">
        <f t="shared" si="36"/>
        <v>0</v>
      </c>
      <c r="N128" s="6">
        <f t="shared" si="36"/>
        <v>0</v>
      </c>
      <c r="O128" s="6">
        <f t="shared" si="36"/>
        <v>0</v>
      </c>
      <c r="P128" s="6">
        <f t="shared" si="36"/>
        <v>0</v>
      </c>
      <c r="Q128" s="6">
        <f t="shared" si="36"/>
        <v>0</v>
      </c>
      <c r="R128" s="6">
        <f t="shared" si="36"/>
        <v>0</v>
      </c>
      <c r="S128" s="6">
        <f t="shared" si="36"/>
        <v>0</v>
      </c>
      <c r="U128" s="6">
        <f>SUM(U129:U130)</f>
        <v>0</v>
      </c>
      <c r="V128" s="8">
        <f t="shared" si="28"/>
        <v>0</v>
      </c>
      <c r="W128" s="6">
        <f>SUM(W129:W130)</f>
        <v>0</v>
      </c>
      <c r="X128" s="6">
        <f t="shared" ref="X128:AH128" si="37">SUM(X129:X130)</f>
        <v>0</v>
      </c>
      <c r="Y128" s="6">
        <f t="shared" si="37"/>
        <v>0</v>
      </c>
      <c r="Z128" s="6">
        <f t="shared" si="37"/>
        <v>0</v>
      </c>
      <c r="AA128" s="6">
        <f t="shared" si="37"/>
        <v>0</v>
      </c>
      <c r="AB128" s="6">
        <f t="shared" si="37"/>
        <v>0</v>
      </c>
      <c r="AC128" s="6">
        <f t="shared" si="37"/>
        <v>0</v>
      </c>
      <c r="AD128" s="6">
        <f t="shared" si="37"/>
        <v>0</v>
      </c>
      <c r="AE128" s="6">
        <f t="shared" si="37"/>
        <v>0</v>
      </c>
      <c r="AF128" s="6">
        <f t="shared" si="37"/>
        <v>0</v>
      </c>
      <c r="AG128" s="6">
        <f t="shared" si="37"/>
        <v>0</v>
      </c>
      <c r="AH128" s="6">
        <f t="shared" si="37"/>
        <v>0</v>
      </c>
    </row>
    <row r="129" spans="1:34" ht="15.75" hidden="1" outlineLevel="1" x14ac:dyDescent="0.25">
      <c r="A129" s="1" t="s">
        <v>132</v>
      </c>
      <c r="B129" s="2"/>
      <c r="C129" s="8" t="e">
        <f t="shared" si="29"/>
        <v>#DIV/0!</v>
      </c>
      <c r="D129" s="2"/>
      <c r="E129" s="8">
        <f t="shared" si="30"/>
        <v>0</v>
      </c>
      <c r="F129" s="2"/>
      <c r="G129" s="8">
        <f t="shared" si="31"/>
        <v>0</v>
      </c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U129" s="2"/>
      <c r="V129" s="8">
        <f t="shared" si="28"/>
        <v>0</v>
      </c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</row>
    <row r="130" spans="1:34" ht="15.75" hidden="1" outlineLevel="1" x14ac:dyDescent="0.25">
      <c r="A130" s="1" t="s">
        <v>133</v>
      </c>
      <c r="B130" s="2"/>
      <c r="C130" s="8" t="e">
        <f t="shared" ref="C130:C161" si="38">+B130/$B$2</f>
        <v>#DIV/0!</v>
      </c>
      <c r="D130" s="2"/>
      <c r="E130" s="8">
        <f t="shared" si="30"/>
        <v>0</v>
      </c>
      <c r="F130" s="2"/>
      <c r="G130" s="8">
        <f t="shared" si="31"/>
        <v>0</v>
      </c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U130" s="2"/>
      <c r="V130" s="8">
        <f t="shared" si="28"/>
        <v>0</v>
      </c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</row>
    <row r="131" spans="1:34" ht="15.75" collapsed="1" x14ac:dyDescent="0.25">
      <c r="A131" s="5" t="s">
        <v>134</v>
      </c>
      <c r="B131" s="6"/>
      <c r="C131" s="7" t="e">
        <f t="shared" si="38"/>
        <v>#DIV/0!</v>
      </c>
      <c r="D131" s="6">
        <v>0</v>
      </c>
      <c r="E131" s="7">
        <f t="shared" ref="E131:E162" si="39">+D131/$D$2</f>
        <v>0</v>
      </c>
      <c r="F131" s="6">
        <v>0</v>
      </c>
      <c r="G131" s="8">
        <f t="shared" si="31"/>
        <v>0</v>
      </c>
      <c r="H131" s="6">
        <v>0</v>
      </c>
      <c r="I131" s="6">
        <v>1</v>
      </c>
      <c r="J131" s="6">
        <v>2</v>
      </c>
      <c r="K131" s="6">
        <v>3</v>
      </c>
      <c r="L131" s="6">
        <v>4</v>
      </c>
      <c r="M131" s="6">
        <v>5</v>
      </c>
      <c r="N131" s="6">
        <v>6</v>
      </c>
      <c r="O131" s="6">
        <v>7</v>
      </c>
      <c r="P131" s="6">
        <v>8</v>
      </c>
      <c r="Q131" s="6">
        <v>9</v>
      </c>
      <c r="R131" s="6">
        <v>10</v>
      </c>
      <c r="S131" s="6">
        <v>11</v>
      </c>
      <c r="U131" s="6">
        <v>0</v>
      </c>
      <c r="V131" s="8">
        <f t="shared" si="28"/>
        <v>0</v>
      </c>
      <c r="W131" s="6">
        <v>0</v>
      </c>
      <c r="X131" s="6">
        <v>1</v>
      </c>
      <c r="Y131" s="6">
        <v>2</v>
      </c>
      <c r="Z131" s="6">
        <v>3</v>
      </c>
      <c r="AA131" s="6">
        <v>4</v>
      </c>
      <c r="AB131" s="6">
        <v>5</v>
      </c>
      <c r="AC131" s="6">
        <v>6</v>
      </c>
      <c r="AD131" s="6">
        <v>7</v>
      </c>
      <c r="AE131" s="6">
        <v>8</v>
      </c>
      <c r="AF131" s="6">
        <v>9</v>
      </c>
      <c r="AG131" s="6">
        <v>10</v>
      </c>
      <c r="AH131" s="6">
        <v>11</v>
      </c>
    </row>
    <row r="132" spans="1:34" ht="15.75" x14ac:dyDescent="0.25">
      <c r="A132" s="5" t="s">
        <v>135</v>
      </c>
      <c r="B132" s="6">
        <f>SUM(B133:B135)</f>
        <v>0</v>
      </c>
      <c r="C132" s="7" t="e">
        <f t="shared" si="38"/>
        <v>#DIV/0!</v>
      </c>
      <c r="D132" s="6">
        <f>SUM(D133:D135)</f>
        <v>-18587.09</v>
      </c>
      <c r="E132" s="7">
        <f t="shared" si="39"/>
        <v>-1.5005172186039887E-2</v>
      </c>
      <c r="F132" s="6">
        <f>SUM(F133:F135)</f>
        <v>-10000</v>
      </c>
      <c r="G132" s="8">
        <f t="shared" si="31"/>
        <v>-5.5865921787709499E-3</v>
      </c>
      <c r="H132" s="6">
        <f>SUM(H133:H135)</f>
        <v>-833.33333333333337</v>
      </c>
      <c r="I132" s="6">
        <f t="shared" ref="I132:S132" si="40">SUM(I133:I135)</f>
        <v>-833.33333333333337</v>
      </c>
      <c r="J132" s="6">
        <f t="shared" si="40"/>
        <v>-833.33333333333337</v>
      </c>
      <c r="K132" s="6">
        <f t="shared" si="40"/>
        <v>-833.33333333333337</v>
      </c>
      <c r="L132" s="6">
        <f t="shared" si="40"/>
        <v>-833.33333333333337</v>
      </c>
      <c r="M132" s="6">
        <f t="shared" si="40"/>
        <v>-833.33333333333337</v>
      </c>
      <c r="N132" s="6">
        <f t="shared" si="40"/>
        <v>-833.33333333333337</v>
      </c>
      <c r="O132" s="6">
        <f t="shared" si="40"/>
        <v>-833.33333333333337</v>
      </c>
      <c r="P132" s="6">
        <f t="shared" si="40"/>
        <v>-833.33333333333337</v>
      </c>
      <c r="Q132" s="6">
        <f t="shared" si="40"/>
        <v>-833.33333333333337</v>
      </c>
      <c r="R132" s="6">
        <f t="shared" si="40"/>
        <v>-833.33333333333337</v>
      </c>
      <c r="S132" s="6">
        <f t="shared" si="40"/>
        <v>-833.33333333333337</v>
      </c>
      <c r="U132" s="6">
        <f>SUM(U133:U135)</f>
        <v>0</v>
      </c>
      <c r="V132" s="8">
        <f t="shared" si="28"/>
        <v>0</v>
      </c>
      <c r="W132" s="6">
        <f>SUM(W133:W135)</f>
        <v>-833.33333333333337</v>
      </c>
      <c r="X132" s="6">
        <f t="shared" ref="X132:AH132" si="41">SUM(X133:X135)</f>
        <v>-833.33333333333337</v>
      </c>
      <c r="Y132" s="6">
        <f t="shared" si="41"/>
        <v>-833.33333333333337</v>
      </c>
      <c r="Z132" s="6">
        <f t="shared" si="41"/>
        <v>-833.33333333333337</v>
      </c>
      <c r="AA132" s="6">
        <f t="shared" si="41"/>
        <v>-833.33333333333337</v>
      </c>
      <c r="AB132" s="6">
        <f t="shared" si="41"/>
        <v>-833.33333333333337</v>
      </c>
      <c r="AC132" s="6">
        <f t="shared" si="41"/>
        <v>-833.33333333333337</v>
      </c>
      <c r="AD132" s="6">
        <f t="shared" si="41"/>
        <v>-833.33333333333337</v>
      </c>
      <c r="AE132" s="6">
        <f t="shared" si="41"/>
        <v>-833.33333333333337</v>
      </c>
      <c r="AF132" s="6">
        <f t="shared" si="41"/>
        <v>-833.33333333333337</v>
      </c>
      <c r="AG132" s="6">
        <f t="shared" si="41"/>
        <v>-833.33333333333337</v>
      </c>
      <c r="AH132" s="6">
        <f t="shared" si="41"/>
        <v>-833.33333333333337</v>
      </c>
    </row>
    <row r="133" spans="1:34" ht="15.75" hidden="1" outlineLevel="1" x14ac:dyDescent="0.25">
      <c r="A133" s="1" t="s">
        <v>136</v>
      </c>
      <c r="B133" s="2"/>
      <c r="C133" s="8" t="e">
        <f t="shared" si="38"/>
        <v>#DIV/0!</v>
      </c>
      <c r="D133" s="2">
        <v>-17976.41</v>
      </c>
      <c r="E133" s="8">
        <f t="shared" si="39"/>
        <v>-1.4512176318985343E-2</v>
      </c>
      <c r="F133" s="2">
        <f>-'PYG CONSOLIDADO D&amp;M'!B44</f>
        <v>-10000</v>
      </c>
      <c r="G133" s="8">
        <f t="shared" si="31"/>
        <v>-5.5865921787709499E-3</v>
      </c>
      <c r="H133" s="2">
        <f>+$F133/12</f>
        <v>-833.33333333333337</v>
      </c>
      <c r="I133" s="2">
        <f t="shared" ref="I133:S133" si="42">+$F133/12</f>
        <v>-833.33333333333337</v>
      </c>
      <c r="J133" s="2">
        <f t="shared" si="42"/>
        <v>-833.33333333333337</v>
      </c>
      <c r="K133" s="2">
        <f t="shared" si="42"/>
        <v>-833.33333333333337</v>
      </c>
      <c r="L133" s="2">
        <f t="shared" si="42"/>
        <v>-833.33333333333337</v>
      </c>
      <c r="M133" s="2">
        <f t="shared" si="42"/>
        <v>-833.33333333333337</v>
      </c>
      <c r="N133" s="2">
        <f t="shared" si="42"/>
        <v>-833.33333333333337</v>
      </c>
      <c r="O133" s="2">
        <f t="shared" si="42"/>
        <v>-833.33333333333337</v>
      </c>
      <c r="P133" s="2">
        <f t="shared" si="42"/>
        <v>-833.33333333333337</v>
      </c>
      <c r="Q133" s="2">
        <f t="shared" si="42"/>
        <v>-833.33333333333337</v>
      </c>
      <c r="R133" s="2">
        <f t="shared" si="42"/>
        <v>-833.33333333333337</v>
      </c>
      <c r="S133" s="2">
        <f t="shared" si="42"/>
        <v>-833.33333333333337</v>
      </c>
      <c r="U133" s="2">
        <f>-'PYG CONSOLIDADO D&amp;M'!Q44</f>
        <v>0</v>
      </c>
      <c r="V133" s="8">
        <f t="shared" si="28"/>
        <v>0</v>
      </c>
      <c r="W133" s="2">
        <f>+$F133/12</f>
        <v>-833.33333333333337</v>
      </c>
      <c r="X133" s="2">
        <f t="shared" ref="X133:AH133" si="43">+$F133/12</f>
        <v>-833.33333333333337</v>
      </c>
      <c r="Y133" s="2">
        <f t="shared" si="43"/>
        <v>-833.33333333333337</v>
      </c>
      <c r="Z133" s="2">
        <f t="shared" si="43"/>
        <v>-833.33333333333337</v>
      </c>
      <c r="AA133" s="2">
        <f t="shared" si="43"/>
        <v>-833.33333333333337</v>
      </c>
      <c r="AB133" s="2">
        <f t="shared" si="43"/>
        <v>-833.33333333333337</v>
      </c>
      <c r="AC133" s="2">
        <f t="shared" si="43"/>
        <v>-833.33333333333337</v>
      </c>
      <c r="AD133" s="2">
        <f t="shared" si="43"/>
        <v>-833.33333333333337</v>
      </c>
      <c r="AE133" s="2">
        <f t="shared" si="43"/>
        <v>-833.33333333333337</v>
      </c>
      <c r="AF133" s="2">
        <f t="shared" si="43"/>
        <v>-833.33333333333337</v>
      </c>
      <c r="AG133" s="2">
        <f t="shared" si="43"/>
        <v>-833.33333333333337</v>
      </c>
      <c r="AH133" s="2">
        <f t="shared" si="43"/>
        <v>-833.33333333333337</v>
      </c>
    </row>
    <row r="134" spans="1:34" ht="15.75" hidden="1" outlineLevel="1" x14ac:dyDescent="0.25">
      <c r="A134" s="1" t="s">
        <v>137</v>
      </c>
      <c r="B134" s="2"/>
      <c r="C134" s="8" t="e">
        <f t="shared" si="38"/>
        <v>#DIV/0!</v>
      </c>
      <c r="D134" s="2">
        <v>-1350</v>
      </c>
      <c r="E134" s="8">
        <f t="shared" si="39"/>
        <v>-1.0898415217849512E-3</v>
      </c>
      <c r="F134" s="2"/>
      <c r="G134" s="8">
        <f t="shared" si="31"/>
        <v>0</v>
      </c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U134" s="2"/>
      <c r="V134" s="8">
        <f t="shared" si="28"/>
        <v>0</v>
      </c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</row>
    <row r="135" spans="1:34" ht="15.75" hidden="1" outlineLevel="1" x14ac:dyDescent="0.25">
      <c r="A135" s="1" t="s">
        <v>138</v>
      </c>
      <c r="B135" s="2"/>
      <c r="C135" s="8" t="e">
        <f t="shared" si="38"/>
        <v>#DIV/0!</v>
      </c>
      <c r="D135" s="2">
        <v>739.32</v>
      </c>
      <c r="E135" s="8">
        <f t="shared" si="39"/>
        <v>5.9684565473040751E-4</v>
      </c>
      <c r="F135" s="2"/>
      <c r="G135" s="8">
        <f t="shared" si="31"/>
        <v>0</v>
      </c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U135" s="2"/>
      <c r="V135" s="8">
        <f t="shared" si="28"/>
        <v>0</v>
      </c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</row>
    <row r="136" spans="1:34" ht="15.75" collapsed="1" x14ac:dyDescent="0.25">
      <c r="A136" s="3" t="s">
        <v>139</v>
      </c>
      <c r="B136" s="4">
        <f>+B2+B9+B12+B13+B22+B27+B37+B122+B126+B127+B128+B131+B132</f>
        <v>0</v>
      </c>
      <c r="C136" s="11" t="e">
        <f t="shared" si="38"/>
        <v>#DIV/0!</v>
      </c>
      <c r="D136" s="4">
        <f>+D2+D9+D12+D13+D22+D27+D37+D122+D126+D127+D128+D131+D132</f>
        <v>35931.28999999995</v>
      </c>
      <c r="E136" s="11">
        <f t="shared" si="39"/>
        <v>2.900697168392322E-2</v>
      </c>
      <c r="F136" s="4">
        <f>+F2+F9+F12+F13+F22+F27+F37+F122+F126+F127+F128+F131+F132</f>
        <v>80102.482420000015</v>
      </c>
      <c r="G136" s="8">
        <f t="shared" si="31"/>
        <v>4.474999017877096E-2</v>
      </c>
      <c r="H136" s="4">
        <f>+H2+H9+H12+H13+H22+H27+H37+H122+H126+H127+H128+H131+H132</f>
        <v>-23412.293131666669</v>
      </c>
      <c r="I136" s="4">
        <f t="shared" ref="I136:S136" si="44">+I2+I9+I12+I13+I22+I27+I37+I122+I126+I127+I128+I131+I132</f>
        <v>-27156.126464999998</v>
      </c>
      <c r="J136" s="4">
        <f t="shared" si="44"/>
        <v>-20404.126464999998</v>
      </c>
      <c r="K136" s="4">
        <f t="shared" si="44"/>
        <v>2097.8735350000029</v>
      </c>
      <c r="L136" s="4">
        <f t="shared" si="44"/>
        <v>38849.873534999999</v>
      </c>
      <c r="M136" s="4">
        <f t="shared" si="44"/>
        <v>71851.873535000021</v>
      </c>
      <c r="N136" s="4">
        <f t="shared" si="44"/>
        <v>69853.873535000021</v>
      </c>
      <c r="O136" s="4">
        <f t="shared" si="44"/>
        <v>-13644.126464999998</v>
      </c>
      <c r="P136" s="4">
        <f t="shared" si="44"/>
        <v>35857.873534999999</v>
      </c>
      <c r="Q136" s="4">
        <f t="shared" si="44"/>
        <v>9609.8735350000024</v>
      </c>
      <c r="R136" s="4">
        <f t="shared" si="44"/>
        <v>-12888.126464999998</v>
      </c>
      <c r="S136" s="4">
        <f t="shared" si="44"/>
        <v>9238.8735350000024</v>
      </c>
      <c r="U136" s="4">
        <f>+U2+U9+U12+U13+U22+U27+U37+U122+U126+U127+U128+U131+U132</f>
        <v>369731.66153727262</v>
      </c>
      <c r="V136" s="8">
        <f t="shared" si="28"/>
        <v>0.18750798879253111</v>
      </c>
      <c r="W136" s="4">
        <f>+W2+W9+W12+W13+W22+W27+W37+W122+W126+W127+W128+W131+W132</f>
        <v>-15623.540411212129</v>
      </c>
      <c r="X136" s="4">
        <f t="shared" ref="X136:AH136" si="45">+X2+X9+X12+X13+X22+X27+X37+X122+X126+X127+X128+X131+X132</f>
        <v>-15621.540411212129</v>
      </c>
      <c r="Y136" s="4">
        <f t="shared" si="45"/>
        <v>-5392.2676839394071</v>
      </c>
      <c r="Z136" s="4">
        <f t="shared" si="45"/>
        <v>27404.277770606062</v>
      </c>
      <c r="AA136" s="4">
        <f t="shared" si="45"/>
        <v>54717.186861515118</v>
      </c>
      <c r="AB136" s="4">
        <f t="shared" si="45"/>
        <v>81243.732316060574</v>
      </c>
      <c r="AC136" s="4">
        <f t="shared" si="45"/>
        <v>62647.550497878794</v>
      </c>
      <c r="AD136" s="4">
        <f t="shared" si="45"/>
        <v>-25822.267683939408</v>
      </c>
      <c r="AE136" s="4">
        <f t="shared" si="45"/>
        <v>13401.550497878783</v>
      </c>
      <c r="AF136" s="4">
        <f t="shared" si="45"/>
        <v>-4592.813138484863</v>
      </c>
      <c r="AG136" s="4">
        <f t="shared" si="45"/>
        <v>-15603.540411212129</v>
      </c>
      <c r="AH136" s="4">
        <f t="shared" si="45"/>
        <v>45203.005043333324</v>
      </c>
    </row>
    <row r="137" spans="1:34" ht="15.75" x14ac:dyDescent="0.25">
      <c r="A137" s="5" t="s">
        <v>140</v>
      </c>
      <c r="B137" s="6">
        <f>SUM(B138+B139)</f>
        <v>0</v>
      </c>
      <c r="C137" s="7" t="e">
        <f t="shared" si="38"/>
        <v>#DIV/0!</v>
      </c>
      <c r="D137" s="6">
        <f>SUM(D138+D139)</f>
        <v>0</v>
      </c>
      <c r="E137" s="7">
        <f t="shared" si="39"/>
        <v>0</v>
      </c>
      <c r="F137" s="6">
        <f>SUM(F138+F139)</f>
        <v>0</v>
      </c>
      <c r="H137" s="6">
        <f>SUM(H138+H139)</f>
        <v>0</v>
      </c>
      <c r="I137" s="6">
        <f t="shared" ref="I137:S137" si="46">SUM(I138+I139)</f>
        <v>1</v>
      </c>
      <c r="J137" s="6">
        <f t="shared" si="46"/>
        <v>2</v>
      </c>
      <c r="K137" s="6">
        <f t="shared" si="46"/>
        <v>3</v>
      </c>
      <c r="L137" s="6">
        <f t="shared" si="46"/>
        <v>4</v>
      </c>
      <c r="M137" s="6">
        <f t="shared" si="46"/>
        <v>5</v>
      </c>
      <c r="N137" s="6">
        <f t="shared" si="46"/>
        <v>6</v>
      </c>
      <c r="O137" s="6">
        <f t="shared" si="46"/>
        <v>7</v>
      </c>
      <c r="P137" s="6">
        <f t="shared" si="46"/>
        <v>8</v>
      </c>
      <c r="Q137" s="6">
        <f t="shared" si="46"/>
        <v>9</v>
      </c>
      <c r="R137" s="6">
        <f t="shared" si="46"/>
        <v>10</v>
      </c>
      <c r="S137" s="6">
        <f t="shared" si="46"/>
        <v>11</v>
      </c>
      <c r="U137" s="6">
        <f>SUM(U138+U139)</f>
        <v>0</v>
      </c>
      <c r="W137" s="6">
        <f>SUM(W138+W139)</f>
        <v>0</v>
      </c>
      <c r="X137" s="6">
        <f t="shared" ref="X137:AH137" si="47">SUM(X138+X139)</f>
        <v>1</v>
      </c>
      <c r="Y137" s="6">
        <f t="shared" si="47"/>
        <v>2</v>
      </c>
      <c r="Z137" s="6">
        <f t="shared" si="47"/>
        <v>3</v>
      </c>
      <c r="AA137" s="6">
        <f t="shared" si="47"/>
        <v>4</v>
      </c>
      <c r="AB137" s="6">
        <f t="shared" si="47"/>
        <v>5</v>
      </c>
      <c r="AC137" s="6">
        <f t="shared" si="47"/>
        <v>6</v>
      </c>
      <c r="AD137" s="6">
        <f t="shared" si="47"/>
        <v>7</v>
      </c>
      <c r="AE137" s="6">
        <f t="shared" si="47"/>
        <v>8</v>
      </c>
      <c r="AF137" s="6">
        <f t="shared" si="47"/>
        <v>9</v>
      </c>
      <c r="AG137" s="6">
        <f t="shared" si="47"/>
        <v>10</v>
      </c>
      <c r="AH137" s="6">
        <f t="shared" si="47"/>
        <v>11</v>
      </c>
    </row>
    <row r="138" spans="1:34" ht="15.75" hidden="1" outlineLevel="1" x14ac:dyDescent="0.25">
      <c r="A138" s="13" t="s">
        <v>141</v>
      </c>
      <c r="B138" s="14"/>
      <c r="C138" s="15" t="e">
        <f t="shared" si="38"/>
        <v>#DIV/0!</v>
      </c>
      <c r="D138" s="14">
        <v>0</v>
      </c>
      <c r="E138" s="15">
        <f t="shared" si="39"/>
        <v>0</v>
      </c>
      <c r="F138" s="14">
        <v>0</v>
      </c>
      <c r="H138" s="14">
        <v>0</v>
      </c>
      <c r="I138" s="14">
        <v>1</v>
      </c>
      <c r="J138" s="14">
        <v>2</v>
      </c>
      <c r="K138" s="14">
        <v>3</v>
      </c>
      <c r="L138" s="14">
        <v>4</v>
      </c>
      <c r="M138" s="14">
        <v>5</v>
      </c>
      <c r="N138" s="14">
        <v>6</v>
      </c>
      <c r="O138" s="14">
        <v>7</v>
      </c>
      <c r="P138" s="14">
        <v>8</v>
      </c>
      <c r="Q138" s="14">
        <v>9</v>
      </c>
      <c r="R138" s="14">
        <v>10</v>
      </c>
      <c r="S138" s="14">
        <v>11</v>
      </c>
      <c r="U138" s="14">
        <v>0</v>
      </c>
      <c r="W138" s="14">
        <v>0</v>
      </c>
      <c r="X138" s="14">
        <v>1</v>
      </c>
      <c r="Y138" s="14">
        <v>2</v>
      </c>
      <c r="Z138" s="14">
        <v>3</v>
      </c>
      <c r="AA138" s="14">
        <v>4</v>
      </c>
      <c r="AB138" s="14">
        <v>5</v>
      </c>
      <c r="AC138" s="14">
        <v>6</v>
      </c>
      <c r="AD138" s="14">
        <v>7</v>
      </c>
      <c r="AE138" s="14">
        <v>8</v>
      </c>
      <c r="AF138" s="14">
        <v>9</v>
      </c>
      <c r="AG138" s="14">
        <v>10</v>
      </c>
      <c r="AH138" s="14">
        <v>11</v>
      </c>
    </row>
    <row r="139" spans="1:34" ht="15.75" hidden="1" outlineLevel="1" x14ac:dyDescent="0.25">
      <c r="A139" s="13" t="s">
        <v>142</v>
      </c>
      <c r="B139" s="14">
        <f>SUM(B140:B145)</f>
        <v>0</v>
      </c>
      <c r="C139" s="15" t="e">
        <f t="shared" si="38"/>
        <v>#DIV/0!</v>
      </c>
      <c r="D139" s="14">
        <f>SUM(D140:D145)</f>
        <v>0</v>
      </c>
      <c r="E139" s="15">
        <f t="shared" si="39"/>
        <v>0</v>
      </c>
      <c r="F139" s="14">
        <f>SUM(F140:F145)</f>
        <v>0</v>
      </c>
      <c r="H139" s="14">
        <f>SUM(H140:H145)</f>
        <v>0</v>
      </c>
      <c r="I139" s="14">
        <f t="shared" ref="I139:S139" si="48">SUM(I140:I145)</f>
        <v>0</v>
      </c>
      <c r="J139" s="14">
        <f t="shared" si="48"/>
        <v>0</v>
      </c>
      <c r="K139" s="14">
        <f t="shared" si="48"/>
        <v>0</v>
      </c>
      <c r="L139" s="14">
        <f t="shared" si="48"/>
        <v>0</v>
      </c>
      <c r="M139" s="14">
        <f t="shared" si="48"/>
        <v>0</v>
      </c>
      <c r="N139" s="14">
        <f t="shared" si="48"/>
        <v>0</v>
      </c>
      <c r="O139" s="14">
        <f t="shared" si="48"/>
        <v>0</v>
      </c>
      <c r="P139" s="14">
        <f t="shared" si="48"/>
        <v>0</v>
      </c>
      <c r="Q139" s="14">
        <f t="shared" si="48"/>
        <v>0</v>
      </c>
      <c r="R139" s="14">
        <f t="shared" si="48"/>
        <v>0</v>
      </c>
      <c r="S139" s="14">
        <f t="shared" si="48"/>
        <v>0</v>
      </c>
      <c r="U139" s="14">
        <f>SUM(U140:U145)</f>
        <v>0</v>
      </c>
      <c r="W139" s="14">
        <f>SUM(W140:W145)</f>
        <v>0</v>
      </c>
      <c r="X139" s="14">
        <f t="shared" ref="X139:AH139" si="49">SUM(X140:X145)</f>
        <v>0</v>
      </c>
      <c r="Y139" s="14">
        <f t="shared" si="49"/>
        <v>0</v>
      </c>
      <c r="Z139" s="14">
        <f t="shared" si="49"/>
        <v>0</v>
      </c>
      <c r="AA139" s="14">
        <f t="shared" si="49"/>
        <v>0</v>
      </c>
      <c r="AB139" s="14">
        <f t="shared" si="49"/>
        <v>0</v>
      </c>
      <c r="AC139" s="14">
        <f t="shared" si="49"/>
        <v>0</v>
      </c>
      <c r="AD139" s="14">
        <f t="shared" si="49"/>
        <v>0</v>
      </c>
      <c r="AE139" s="14">
        <f t="shared" si="49"/>
        <v>0</v>
      </c>
      <c r="AF139" s="14">
        <f t="shared" si="49"/>
        <v>0</v>
      </c>
      <c r="AG139" s="14">
        <f t="shared" si="49"/>
        <v>0</v>
      </c>
      <c r="AH139" s="14">
        <f t="shared" si="49"/>
        <v>0</v>
      </c>
    </row>
    <row r="140" spans="1:34" ht="15.75" hidden="1" outlineLevel="1" x14ac:dyDescent="0.25">
      <c r="A140" s="1" t="s">
        <v>143</v>
      </c>
      <c r="B140" s="2"/>
      <c r="C140" s="8" t="e">
        <f t="shared" si="38"/>
        <v>#DIV/0!</v>
      </c>
      <c r="D140" s="2"/>
      <c r="E140" s="8">
        <f t="shared" si="39"/>
        <v>0</v>
      </c>
      <c r="F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U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</row>
    <row r="141" spans="1:34" ht="15.75" hidden="1" outlineLevel="1" x14ac:dyDescent="0.25">
      <c r="A141" s="1" t="s">
        <v>144</v>
      </c>
      <c r="B141" s="2"/>
      <c r="C141" s="8" t="e">
        <f t="shared" si="38"/>
        <v>#DIV/0!</v>
      </c>
      <c r="D141" s="2"/>
      <c r="E141" s="8">
        <f t="shared" si="39"/>
        <v>0</v>
      </c>
      <c r="F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U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</row>
    <row r="142" spans="1:34" ht="15.75" hidden="1" outlineLevel="1" x14ac:dyDescent="0.25">
      <c r="A142" s="1" t="s">
        <v>145</v>
      </c>
      <c r="B142" s="2"/>
      <c r="C142" s="8" t="e">
        <f t="shared" si="38"/>
        <v>#DIV/0!</v>
      </c>
      <c r="D142" s="2"/>
      <c r="E142" s="8">
        <f t="shared" si="39"/>
        <v>0</v>
      </c>
      <c r="F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U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</row>
    <row r="143" spans="1:34" ht="15.75" hidden="1" outlineLevel="1" x14ac:dyDescent="0.25">
      <c r="A143" s="1" t="s">
        <v>146</v>
      </c>
      <c r="B143" s="2"/>
      <c r="C143" s="8" t="e">
        <f t="shared" si="38"/>
        <v>#DIV/0!</v>
      </c>
      <c r="D143" s="2"/>
      <c r="E143" s="8">
        <f t="shared" si="39"/>
        <v>0</v>
      </c>
      <c r="F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U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</row>
    <row r="144" spans="1:34" ht="15.75" hidden="1" outlineLevel="1" x14ac:dyDescent="0.25">
      <c r="A144" s="1" t="s">
        <v>147</v>
      </c>
      <c r="B144" s="2"/>
      <c r="C144" s="8" t="e">
        <f t="shared" si="38"/>
        <v>#DIV/0!</v>
      </c>
      <c r="D144" s="2"/>
      <c r="E144" s="8">
        <f t="shared" si="39"/>
        <v>0</v>
      </c>
      <c r="F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U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</row>
    <row r="145" spans="1:34" ht="15.75" hidden="1" outlineLevel="1" x14ac:dyDescent="0.25">
      <c r="A145" s="1" t="s">
        <v>148</v>
      </c>
      <c r="B145" s="2"/>
      <c r="C145" s="8" t="e">
        <f t="shared" si="38"/>
        <v>#DIV/0!</v>
      </c>
      <c r="D145" s="2"/>
      <c r="E145" s="8">
        <f t="shared" si="39"/>
        <v>0</v>
      </c>
      <c r="F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U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</row>
    <row r="146" spans="1:34" ht="15.75" collapsed="1" x14ac:dyDescent="0.25">
      <c r="A146" s="5" t="s">
        <v>149</v>
      </c>
      <c r="B146" s="6">
        <f>SUM(B147:B152)</f>
        <v>0</v>
      </c>
      <c r="C146" s="7" t="e">
        <f t="shared" si="38"/>
        <v>#DIV/0!</v>
      </c>
      <c r="D146" s="6">
        <f>SUM(D147:D152)</f>
        <v>-5947.8</v>
      </c>
      <c r="E146" s="7">
        <f t="shared" si="39"/>
        <v>-4.8015995579796539E-3</v>
      </c>
      <c r="F146" s="6">
        <f>SUM(F147:F152)</f>
        <v>-5947.8</v>
      </c>
      <c r="H146" s="6">
        <f>SUM(H147:H152)</f>
        <v>495.65000000000003</v>
      </c>
      <c r="I146" s="6">
        <f t="shared" ref="I146:S146" si="50">SUM(I147:I152)</f>
        <v>495.65000000000003</v>
      </c>
      <c r="J146" s="6">
        <f t="shared" si="50"/>
        <v>495.65000000000003</v>
      </c>
      <c r="K146" s="6">
        <f t="shared" si="50"/>
        <v>495.65000000000003</v>
      </c>
      <c r="L146" s="6">
        <f t="shared" si="50"/>
        <v>495.65000000000003</v>
      </c>
      <c r="M146" s="6">
        <f t="shared" si="50"/>
        <v>495.65000000000003</v>
      </c>
      <c r="N146" s="6">
        <f t="shared" si="50"/>
        <v>495.65000000000003</v>
      </c>
      <c r="O146" s="6">
        <f t="shared" si="50"/>
        <v>495.65000000000003</v>
      </c>
      <c r="P146" s="6">
        <f t="shared" si="50"/>
        <v>495.65000000000003</v>
      </c>
      <c r="Q146" s="6">
        <f t="shared" si="50"/>
        <v>495.65000000000003</v>
      </c>
      <c r="R146" s="6">
        <f t="shared" si="50"/>
        <v>495.65000000000003</v>
      </c>
      <c r="S146" s="6">
        <f t="shared" si="50"/>
        <v>495.65000000000003</v>
      </c>
      <c r="U146" s="6">
        <f>SUM(U147:U152)</f>
        <v>-5947.8</v>
      </c>
      <c r="W146" s="6">
        <f>SUM(W147:W152)</f>
        <v>495.65000000000003</v>
      </c>
      <c r="X146" s="6">
        <f t="shared" ref="X146:AH146" si="51">SUM(X147:X152)</f>
        <v>495.65000000000003</v>
      </c>
      <c r="Y146" s="6">
        <f t="shared" si="51"/>
        <v>495.65000000000003</v>
      </c>
      <c r="Z146" s="6">
        <f t="shared" si="51"/>
        <v>495.65000000000003</v>
      </c>
      <c r="AA146" s="6">
        <f t="shared" si="51"/>
        <v>495.65000000000003</v>
      </c>
      <c r="AB146" s="6">
        <f t="shared" si="51"/>
        <v>495.65000000000003</v>
      </c>
      <c r="AC146" s="6">
        <f t="shared" si="51"/>
        <v>495.65000000000003</v>
      </c>
      <c r="AD146" s="6">
        <f t="shared" si="51"/>
        <v>495.65000000000003</v>
      </c>
      <c r="AE146" s="6">
        <f t="shared" si="51"/>
        <v>495.65000000000003</v>
      </c>
      <c r="AF146" s="6">
        <f t="shared" si="51"/>
        <v>495.65000000000003</v>
      </c>
      <c r="AG146" s="6">
        <f t="shared" si="51"/>
        <v>495.65000000000003</v>
      </c>
      <c r="AH146" s="6">
        <f t="shared" si="51"/>
        <v>495.65000000000003</v>
      </c>
    </row>
    <row r="147" spans="1:34" ht="15.75" hidden="1" outlineLevel="1" x14ac:dyDescent="0.25">
      <c r="A147" s="10" t="s">
        <v>150</v>
      </c>
      <c r="B147" s="2"/>
      <c r="C147" s="8" t="e">
        <f t="shared" si="38"/>
        <v>#DIV/0!</v>
      </c>
      <c r="D147" s="2">
        <v>-5947.8</v>
      </c>
      <c r="E147" s="8">
        <f t="shared" si="39"/>
        <v>-4.8015995579796539E-3</v>
      </c>
      <c r="F147" s="2">
        <v>-5947.8</v>
      </c>
      <c r="H147" s="2">
        <f>-$F147/12</f>
        <v>495.65000000000003</v>
      </c>
      <c r="I147" s="2">
        <f t="shared" ref="I147:S147" si="52">-$F147/12</f>
        <v>495.65000000000003</v>
      </c>
      <c r="J147" s="2">
        <f t="shared" si="52"/>
        <v>495.65000000000003</v>
      </c>
      <c r="K147" s="2">
        <f t="shared" si="52"/>
        <v>495.65000000000003</v>
      </c>
      <c r="L147" s="2">
        <f t="shared" si="52"/>
        <v>495.65000000000003</v>
      </c>
      <c r="M147" s="2">
        <f t="shared" si="52"/>
        <v>495.65000000000003</v>
      </c>
      <c r="N147" s="2">
        <f t="shared" si="52"/>
        <v>495.65000000000003</v>
      </c>
      <c r="O147" s="2">
        <f t="shared" si="52"/>
        <v>495.65000000000003</v>
      </c>
      <c r="P147" s="2">
        <f t="shared" si="52"/>
        <v>495.65000000000003</v>
      </c>
      <c r="Q147" s="2">
        <f t="shared" si="52"/>
        <v>495.65000000000003</v>
      </c>
      <c r="R147" s="2">
        <f t="shared" si="52"/>
        <v>495.65000000000003</v>
      </c>
      <c r="S147" s="2">
        <f t="shared" si="52"/>
        <v>495.65000000000003</v>
      </c>
      <c r="U147" s="2">
        <v>-5947.8</v>
      </c>
      <c r="W147" s="2">
        <f>-$F147/12</f>
        <v>495.65000000000003</v>
      </c>
      <c r="X147" s="2">
        <f t="shared" ref="X147:AH147" si="53">-$F147/12</f>
        <v>495.65000000000003</v>
      </c>
      <c r="Y147" s="2">
        <f t="shared" si="53"/>
        <v>495.65000000000003</v>
      </c>
      <c r="Z147" s="2">
        <f t="shared" si="53"/>
        <v>495.65000000000003</v>
      </c>
      <c r="AA147" s="2">
        <f t="shared" si="53"/>
        <v>495.65000000000003</v>
      </c>
      <c r="AB147" s="2">
        <f t="shared" si="53"/>
        <v>495.65000000000003</v>
      </c>
      <c r="AC147" s="2">
        <f t="shared" si="53"/>
        <v>495.65000000000003</v>
      </c>
      <c r="AD147" s="2">
        <f t="shared" si="53"/>
        <v>495.65000000000003</v>
      </c>
      <c r="AE147" s="2">
        <f t="shared" si="53"/>
        <v>495.65000000000003</v>
      </c>
      <c r="AF147" s="2">
        <f t="shared" si="53"/>
        <v>495.65000000000003</v>
      </c>
      <c r="AG147" s="2">
        <f t="shared" si="53"/>
        <v>495.65000000000003</v>
      </c>
      <c r="AH147" s="2">
        <f t="shared" si="53"/>
        <v>495.65000000000003</v>
      </c>
    </row>
    <row r="148" spans="1:34" ht="15.75" hidden="1" outlineLevel="1" x14ac:dyDescent="0.25">
      <c r="A148" s="1" t="s">
        <v>151</v>
      </c>
      <c r="B148" s="2"/>
      <c r="C148" s="8" t="e">
        <f t="shared" si="38"/>
        <v>#DIV/0!</v>
      </c>
      <c r="D148" s="2"/>
      <c r="E148" s="8">
        <f t="shared" si="39"/>
        <v>0</v>
      </c>
      <c r="F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U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</row>
    <row r="149" spans="1:34" ht="15.75" hidden="1" outlineLevel="1" x14ac:dyDescent="0.25">
      <c r="A149" s="1" t="s">
        <v>152</v>
      </c>
      <c r="B149" s="2"/>
      <c r="C149" s="8" t="e">
        <f t="shared" si="38"/>
        <v>#DIV/0!</v>
      </c>
      <c r="D149" s="2"/>
      <c r="E149" s="8">
        <f t="shared" si="39"/>
        <v>0</v>
      </c>
      <c r="F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U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</row>
    <row r="150" spans="1:34" ht="15.75" hidden="1" outlineLevel="1" x14ac:dyDescent="0.25">
      <c r="A150" s="1" t="s">
        <v>153</v>
      </c>
      <c r="B150" s="2"/>
      <c r="C150" s="8" t="e">
        <f t="shared" si="38"/>
        <v>#DIV/0!</v>
      </c>
      <c r="D150" s="2"/>
      <c r="E150" s="8">
        <f t="shared" si="39"/>
        <v>0</v>
      </c>
      <c r="F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U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</row>
    <row r="151" spans="1:34" ht="15.75" hidden="1" outlineLevel="1" x14ac:dyDescent="0.25">
      <c r="A151" s="1" t="s">
        <v>154</v>
      </c>
      <c r="B151" s="2"/>
      <c r="C151" s="8" t="e">
        <f t="shared" si="38"/>
        <v>#DIV/0!</v>
      </c>
      <c r="D151" s="2"/>
      <c r="E151" s="8">
        <f t="shared" si="39"/>
        <v>0</v>
      </c>
      <c r="F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U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</row>
    <row r="152" spans="1:34" ht="15.75" hidden="1" outlineLevel="1" x14ac:dyDescent="0.25">
      <c r="A152" s="10" t="s">
        <v>155</v>
      </c>
      <c r="B152" s="2"/>
      <c r="C152" s="8" t="e">
        <f t="shared" si="38"/>
        <v>#DIV/0!</v>
      </c>
      <c r="D152" s="2"/>
      <c r="E152" s="8">
        <f t="shared" si="39"/>
        <v>0</v>
      </c>
      <c r="F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U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</row>
    <row r="153" spans="1:34" ht="15.75" collapsed="1" x14ac:dyDescent="0.25">
      <c r="A153" s="5" t="s">
        <v>156</v>
      </c>
      <c r="B153" s="6">
        <f>SUM(B154:B159)</f>
        <v>0</v>
      </c>
      <c r="C153" s="7" t="e">
        <f t="shared" si="38"/>
        <v>#DIV/0!</v>
      </c>
      <c r="D153" s="6">
        <f>SUM(D154:D159)</f>
        <v>0</v>
      </c>
      <c r="E153" s="7">
        <f t="shared" si="39"/>
        <v>0</v>
      </c>
      <c r="F153" s="6">
        <f>SUM(F154:F159)</f>
        <v>0</v>
      </c>
      <c r="H153" s="6">
        <f>SUM(H154:H159)</f>
        <v>0</v>
      </c>
      <c r="I153" s="6">
        <f t="shared" ref="I153:S153" si="54">SUM(I154:I159)</f>
        <v>0</v>
      </c>
      <c r="J153" s="6">
        <f t="shared" si="54"/>
        <v>0</v>
      </c>
      <c r="K153" s="6">
        <f t="shared" si="54"/>
        <v>0</v>
      </c>
      <c r="L153" s="6">
        <f t="shared" si="54"/>
        <v>0</v>
      </c>
      <c r="M153" s="6">
        <f t="shared" si="54"/>
        <v>0</v>
      </c>
      <c r="N153" s="6">
        <f t="shared" si="54"/>
        <v>0</v>
      </c>
      <c r="O153" s="6">
        <f t="shared" si="54"/>
        <v>0</v>
      </c>
      <c r="P153" s="6">
        <f t="shared" si="54"/>
        <v>0</v>
      </c>
      <c r="Q153" s="6">
        <f t="shared" si="54"/>
        <v>0</v>
      </c>
      <c r="R153" s="6">
        <f t="shared" si="54"/>
        <v>0</v>
      </c>
      <c r="S153" s="6">
        <f t="shared" si="54"/>
        <v>0</v>
      </c>
      <c r="U153" s="6">
        <f>SUM(U154:U159)</f>
        <v>0</v>
      </c>
      <c r="W153" s="6">
        <f>SUM(W154:W159)</f>
        <v>0</v>
      </c>
      <c r="X153" s="6">
        <f t="shared" ref="X153:AH153" si="55">SUM(X154:X159)</f>
        <v>0</v>
      </c>
      <c r="Y153" s="6">
        <f t="shared" si="55"/>
        <v>0</v>
      </c>
      <c r="Z153" s="6">
        <f t="shared" si="55"/>
        <v>0</v>
      </c>
      <c r="AA153" s="6">
        <f t="shared" si="55"/>
        <v>0</v>
      </c>
      <c r="AB153" s="6">
        <f t="shared" si="55"/>
        <v>0</v>
      </c>
      <c r="AC153" s="6">
        <f t="shared" si="55"/>
        <v>0</v>
      </c>
      <c r="AD153" s="6">
        <f t="shared" si="55"/>
        <v>0</v>
      </c>
      <c r="AE153" s="6">
        <f t="shared" si="55"/>
        <v>0</v>
      </c>
      <c r="AF153" s="6">
        <f t="shared" si="55"/>
        <v>0</v>
      </c>
      <c r="AG153" s="6">
        <f t="shared" si="55"/>
        <v>0</v>
      </c>
      <c r="AH153" s="6">
        <f t="shared" si="55"/>
        <v>0</v>
      </c>
    </row>
    <row r="154" spans="1:34" ht="15.75" hidden="1" outlineLevel="1" x14ac:dyDescent="0.25">
      <c r="A154" s="1" t="s">
        <v>157</v>
      </c>
      <c r="B154" s="2"/>
      <c r="C154" s="8" t="e">
        <f t="shared" si="38"/>
        <v>#DIV/0!</v>
      </c>
      <c r="D154" s="2"/>
      <c r="E154" s="8">
        <f t="shared" si="39"/>
        <v>0</v>
      </c>
      <c r="F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U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</row>
    <row r="155" spans="1:34" ht="15.75" hidden="1" outlineLevel="1" x14ac:dyDescent="0.25">
      <c r="A155" s="1" t="s">
        <v>158</v>
      </c>
      <c r="B155" s="2"/>
      <c r="C155" s="8" t="e">
        <f t="shared" si="38"/>
        <v>#DIV/0!</v>
      </c>
      <c r="D155" s="2"/>
      <c r="E155" s="8">
        <f t="shared" si="39"/>
        <v>0</v>
      </c>
      <c r="F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U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</row>
    <row r="156" spans="1:34" ht="15.75" hidden="1" outlineLevel="1" x14ac:dyDescent="0.25">
      <c r="A156" s="1" t="s">
        <v>159</v>
      </c>
      <c r="B156" s="2"/>
      <c r="C156" s="8" t="e">
        <f t="shared" si="38"/>
        <v>#DIV/0!</v>
      </c>
      <c r="D156" s="2"/>
      <c r="E156" s="8">
        <f t="shared" si="39"/>
        <v>0</v>
      </c>
      <c r="F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U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</row>
    <row r="157" spans="1:34" ht="15.75" hidden="1" outlineLevel="1" x14ac:dyDescent="0.25">
      <c r="A157" s="1" t="s">
        <v>160</v>
      </c>
      <c r="B157" s="2"/>
      <c r="C157" s="8" t="e">
        <f t="shared" si="38"/>
        <v>#DIV/0!</v>
      </c>
      <c r="D157" s="2"/>
      <c r="E157" s="8">
        <f t="shared" si="39"/>
        <v>0</v>
      </c>
      <c r="F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U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</row>
    <row r="158" spans="1:34" ht="15.75" hidden="1" outlineLevel="1" x14ac:dyDescent="0.25">
      <c r="A158" s="1" t="s">
        <v>161</v>
      </c>
      <c r="B158" s="2"/>
      <c r="C158" s="8" t="e">
        <f t="shared" si="38"/>
        <v>#DIV/0!</v>
      </c>
      <c r="D158" s="2"/>
      <c r="E158" s="8">
        <f t="shared" si="39"/>
        <v>0</v>
      </c>
      <c r="F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U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</row>
    <row r="159" spans="1:34" ht="15.75" hidden="1" outlineLevel="1" x14ac:dyDescent="0.25">
      <c r="A159" s="1" t="s">
        <v>162</v>
      </c>
      <c r="B159" s="2"/>
      <c r="C159" s="8" t="e">
        <f t="shared" si="38"/>
        <v>#DIV/0!</v>
      </c>
      <c r="D159" s="2"/>
      <c r="E159" s="8">
        <f t="shared" si="39"/>
        <v>0</v>
      </c>
      <c r="F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U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</row>
    <row r="160" spans="1:34" ht="15.75" collapsed="1" x14ac:dyDescent="0.25">
      <c r="A160" s="5" t="s">
        <v>163</v>
      </c>
      <c r="B160" s="6">
        <f>SUM(B161:B162)</f>
        <v>0</v>
      </c>
      <c r="C160" s="7" t="e">
        <f t="shared" si="38"/>
        <v>#DIV/0!</v>
      </c>
      <c r="D160" s="6">
        <f>SUM(D161:D162)</f>
        <v>0</v>
      </c>
      <c r="E160" s="7">
        <f t="shared" si="39"/>
        <v>0</v>
      </c>
      <c r="F160" s="6">
        <f>SUM(F161:F162)</f>
        <v>0</v>
      </c>
      <c r="H160" s="6">
        <f>SUM(H161:H162)</f>
        <v>0</v>
      </c>
      <c r="I160" s="6">
        <f t="shared" ref="I160:S160" si="56">SUM(I161:I162)</f>
        <v>0</v>
      </c>
      <c r="J160" s="6">
        <f t="shared" si="56"/>
        <v>0</v>
      </c>
      <c r="K160" s="6">
        <f t="shared" si="56"/>
        <v>0</v>
      </c>
      <c r="L160" s="6">
        <f t="shared" si="56"/>
        <v>0</v>
      </c>
      <c r="M160" s="6">
        <f t="shared" si="56"/>
        <v>0</v>
      </c>
      <c r="N160" s="6">
        <f t="shared" si="56"/>
        <v>0</v>
      </c>
      <c r="O160" s="6">
        <f t="shared" si="56"/>
        <v>0</v>
      </c>
      <c r="P160" s="6">
        <f t="shared" si="56"/>
        <v>0</v>
      </c>
      <c r="Q160" s="6">
        <f t="shared" si="56"/>
        <v>0</v>
      </c>
      <c r="R160" s="6">
        <f t="shared" si="56"/>
        <v>0</v>
      </c>
      <c r="S160" s="6">
        <f t="shared" si="56"/>
        <v>0</v>
      </c>
      <c r="U160" s="6">
        <f>SUM(U161:U162)</f>
        <v>0</v>
      </c>
      <c r="W160" s="6">
        <f>SUM(W161:W162)</f>
        <v>0</v>
      </c>
      <c r="X160" s="6">
        <f t="shared" ref="X160:AH160" si="57">SUM(X161:X162)</f>
        <v>0</v>
      </c>
      <c r="Y160" s="6">
        <f t="shared" si="57"/>
        <v>0</v>
      </c>
      <c r="Z160" s="6">
        <f t="shared" si="57"/>
        <v>0</v>
      </c>
      <c r="AA160" s="6">
        <f t="shared" si="57"/>
        <v>0</v>
      </c>
      <c r="AB160" s="6">
        <f t="shared" si="57"/>
        <v>0</v>
      </c>
      <c r="AC160" s="6">
        <f t="shared" si="57"/>
        <v>0</v>
      </c>
      <c r="AD160" s="6">
        <f t="shared" si="57"/>
        <v>0</v>
      </c>
      <c r="AE160" s="6">
        <f t="shared" si="57"/>
        <v>0</v>
      </c>
      <c r="AF160" s="6">
        <f t="shared" si="57"/>
        <v>0</v>
      </c>
      <c r="AG160" s="6">
        <f t="shared" si="57"/>
        <v>0</v>
      </c>
      <c r="AH160" s="6">
        <f t="shared" si="57"/>
        <v>0</v>
      </c>
    </row>
    <row r="161" spans="1:34" ht="15.75" hidden="1" outlineLevel="1" x14ac:dyDescent="0.25">
      <c r="A161" s="1" t="s">
        <v>164</v>
      </c>
      <c r="B161" s="2"/>
      <c r="C161" s="8" t="e">
        <f t="shared" si="38"/>
        <v>#DIV/0!</v>
      </c>
      <c r="D161" s="2"/>
      <c r="E161" s="8">
        <f t="shared" si="39"/>
        <v>0</v>
      </c>
      <c r="F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U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</row>
    <row r="162" spans="1:34" ht="15.75" hidden="1" outlineLevel="1" x14ac:dyDescent="0.25">
      <c r="A162" s="1" t="s">
        <v>165</v>
      </c>
      <c r="B162" s="2"/>
      <c r="C162" s="8" t="e">
        <f t="shared" ref="C162:C174" si="58">+B162/$B$2</f>
        <v>#DIV/0!</v>
      </c>
      <c r="D162" s="2"/>
      <c r="E162" s="8">
        <f t="shared" si="39"/>
        <v>0</v>
      </c>
      <c r="F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U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</row>
    <row r="163" spans="1:34" ht="15.75" collapsed="1" x14ac:dyDescent="0.25">
      <c r="A163" s="5" t="s">
        <v>166</v>
      </c>
      <c r="B163" s="6">
        <f>SUM(B164)</f>
        <v>0</v>
      </c>
      <c r="C163" s="7" t="e">
        <f t="shared" si="58"/>
        <v>#DIV/0!</v>
      </c>
      <c r="D163" s="6">
        <f>SUM(D164)</f>
        <v>0</v>
      </c>
      <c r="E163" s="7">
        <f t="shared" ref="E163:E174" si="59">+D163/$D$2</f>
        <v>0</v>
      </c>
      <c r="F163" s="6">
        <f>SUM(F164)</f>
        <v>0</v>
      </c>
      <c r="H163" s="6">
        <f>SUM(H164)</f>
        <v>0</v>
      </c>
      <c r="I163" s="6">
        <f t="shared" ref="I163:S163" si="60">SUM(I164)</f>
        <v>1</v>
      </c>
      <c r="J163" s="6">
        <f t="shared" si="60"/>
        <v>2</v>
      </c>
      <c r="K163" s="6">
        <f t="shared" si="60"/>
        <v>3</v>
      </c>
      <c r="L163" s="6">
        <f t="shared" si="60"/>
        <v>4</v>
      </c>
      <c r="M163" s="6">
        <f t="shared" si="60"/>
        <v>5</v>
      </c>
      <c r="N163" s="6">
        <f t="shared" si="60"/>
        <v>6</v>
      </c>
      <c r="O163" s="6">
        <f t="shared" si="60"/>
        <v>7</v>
      </c>
      <c r="P163" s="6">
        <f t="shared" si="60"/>
        <v>8</v>
      </c>
      <c r="Q163" s="6">
        <f t="shared" si="60"/>
        <v>9</v>
      </c>
      <c r="R163" s="6">
        <f t="shared" si="60"/>
        <v>10</v>
      </c>
      <c r="S163" s="6">
        <f t="shared" si="60"/>
        <v>11</v>
      </c>
      <c r="U163" s="6">
        <f>SUM(U164)</f>
        <v>0</v>
      </c>
      <c r="W163" s="6">
        <f>SUM(W164)</f>
        <v>0</v>
      </c>
      <c r="X163" s="6">
        <f t="shared" ref="X163:AH163" si="61">SUM(X164)</f>
        <v>1</v>
      </c>
      <c r="Y163" s="6">
        <f t="shared" si="61"/>
        <v>2</v>
      </c>
      <c r="Z163" s="6">
        <f t="shared" si="61"/>
        <v>3</v>
      </c>
      <c r="AA163" s="6">
        <f t="shared" si="61"/>
        <v>4</v>
      </c>
      <c r="AB163" s="6">
        <f t="shared" si="61"/>
        <v>5</v>
      </c>
      <c r="AC163" s="6">
        <f t="shared" si="61"/>
        <v>6</v>
      </c>
      <c r="AD163" s="6">
        <f t="shared" si="61"/>
        <v>7</v>
      </c>
      <c r="AE163" s="6">
        <f t="shared" si="61"/>
        <v>8</v>
      </c>
      <c r="AF163" s="6">
        <f t="shared" si="61"/>
        <v>9</v>
      </c>
      <c r="AG163" s="6">
        <f t="shared" si="61"/>
        <v>10</v>
      </c>
      <c r="AH163" s="6">
        <f t="shared" si="61"/>
        <v>11</v>
      </c>
    </row>
    <row r="164" spans="1:34" ht="15.75" hidden="1" outlineLevel="1" x14ac:dyDescent="0.25">
      <c r="A164" s="1" t="s">
        <v>167</v>
      </c>
      <c r="B164" s="2"/>
      <c r="C164" s="8" t="e">
        <f t="shared" si="58"/>
        <v>#DIV/0!</v>
      </c>
      <c r="D164" s="2">
        <v>0</v>
      </c>
      <c r="E164" s="8">
        <f t="shared" si="59"/>
        <v>0</v>
      </c>
      <c r="F164" s="2">
        <v>0</v>
      </c>
      <c r="H164" s="2">
        <v>0</v>
      </c>
      <c r="I164" s="2">
        <v>1</v>
      </c>
      <c r="J164" s="2">
        <v>2</v>
      </c>
      <c r="K164" s="2">
        <v>3</v>
      </c>
      <c r="L164" s="2">
        <v>4</v>
      </c>
      <c r="M164" s="2">
        <v>5</v>
      </c>
      <c r="N164" s="2">
        <v>6</v>
      </c>
      <c r="O164" s="2">
        <v>7</v>
      </c>
      <c r="P164" s="2">
        <v>8</v>
      </c>
      <c r="Q164" s="2">
        <v>9</v>
      </c>
      <c r="R164" s="2">
        <v>10</v>
      </c>
      <c r="S164" s="2">
        <v>11</v>
      </c>
      <c r="U164" s="2">
        <v>0</v>
      </c>
      <c r="W164" s="2">
        <v>0</v>
      </c>
      <c r="X164" s="2">
        <v>1</v>
      </c>
      <c r="Y164" s="2">
        <v>2</v>
      </c>
      <c r="Z164" s="2">
        <v>3</v>
      </c>
      <c r="AA164" s="2">
        <v>4</v>
      </c>
      <c r="AB164" s="2">
        <v>5</v>
      </c>
      <c r="AC164" s="2">
        <v>6</v>
      </c>
      <c r="AD164" s="2">
        <v>7</v>
      </c>
      <c r="AE164" s="2">
        <v>8</v>
      </c>
      <c r="AF164" s="2">
        <v>9</v>
      </c>
      <c r="AG164" s="2">
        <v>10</v>
      </c>
      <c r="AH164" s="2">
        <v>11</v>
      </c>
    </row>
    <row r="165" spans="1:34" ht="15.75" collapsed="1" x14ac:dyDescent="0.25">
      <c r="A165" s="5" t="s">
        <v>168</v>
      </c>
      <c r="B165" s="6">
        <f>SUM(B166:B168)</f>
        <v>0</v>
      </c>
      <c r="C165" s="7" t="e">
        <f t="shared" si="58"/>
        <v>#DIV/0!</v>
      </c>
      <c r="D165" s="6">
        <f>SUM(D166:D168)</f>
        <v>0</v>
      </c>
      <c r="E165" s="7">
        <f t="shared" si="59"/>
        <v>0</v>
      </c>
      <c r="F165" s="6">
        <f>SUM(F166:F168)</f>
        <v>0</v>
      </c>
      <c r="H165" s="6">
        <f>SUM(H166:H168)</f>
        <v>0</v>
      </c>
      <c r="I165" s="6">
        <f t="shared" ref="I165:S165" si="62">SUM(I166:I168)</f>
        <v>0</v>
      </c>
      <c r="J165" s="6">
        <f t="shared" si="62"/>
        <v>0</v>
      </c>
      <c r="K165" s="6">
        <f t="shared" si="62"/>
        <v>0</v>
      </c>
      <c r="L165" s="6">
        <f t="shared" si="62"/>
        <v>0</v>
      </c>
      <c r="M165" s="6">
        <f t="shared" si="62"/>
        <v>0</v>
      </c>
      <c r="N165" s="6">
        <f t="shared" si="62"/>
        <v>0</v>
      </c>
      <c r="O165" s="6">
        <f t="shared" si="62"/>
        <v>0</v>
      </c>
      <c r="P165" s="6">
        <f t="shared" si="62"/>
        <v>0</v>
      </c>
      <c r="Q165" s="6">
        <f t="shared" si="62"/>
        <v>0</v>
      </c>
      <c r="R165" s="6">
        <f t="shared" si="62"/>
        <v>0</v>
      </c>
      <c r="S165" s="6">
        <f t="shared" si="62"/>
        <v>0</v>
      </c>
      <c r="U165" s="6">
        <f>SUM(U166:U168)</f>
        <v>0</v>
      </c>
      <c r="W165" s="6">
        <f>SUM(W166:W168)</f>
        <v>0</v>
      </c>
      <c r="X165" s="6">
        <f t="shared" ref="X165:AH165" si="63">SUM(X166:X168)</f>
        <v>0</v>
      </c>
      <c r="Y165" s="6">
        <f t="shared" si="63"/>
        <v>0</v>
      </c>
      <c r="Z165" s="6">
        <f t="shared" si="63"/>
        <v>0</v>
      </c>
      <c r="AA165" s="6">
        <f t="shared" si="63"/>
        <v>0</v>
      </c>
      <c r="AB165" s="6">
        <f t="shared" si="63"/>
        <v>0</v>
      </c>
      <c r="AC165" s="6">
        <f t="shared" si="63"/>
        <v>0</v>
      </c>
      <c r="AD165" s="6">
        <f t="shared" si="63"/>
        <v>0</v>
      </c>
      <c r="AE165" s="6">
        <f t="shared" si="63"/>
        <v>0</v>
      </c>
      <c r="AF165" s="6">
        <f t="shared" si="63"/>
        <v>0</v>
      </c>
      <c r="AG165" s="6">
        <f t="shared" si="63"/>
        <v>0</v>
      </c>
      <c r="AH165" s="6">
        <f t="shared" si="63"/>
        <v>0</v>
      </c>
    </row>
    <row r="166" spans="1:34" ht="15.75" hidden="1" outlineLevel="1" x14ac:dyDescent="0.25">
      <c r="A166" s="1" t="s">
        <v>169</v>
      </c>
      <c r="B166" s="2"/>
      <c r="C166" s="8" t="e">
        <f t="shared" si="58"/>
        <v>#DIV/0!</v>
      </c>
      <c r="D166" s="2"/>
      <c r="E166" s="8">
        <f t="shared" si="59"/>
        <v>0</v>
      </c>
      <c r="F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U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</row>
    <row r="167" spans="1:34" ht="15.75" hidden="1" outlineLevel="1" x14ac:dyDescent="0.25">
      <c r="A167" s="1" t="s">
        <v>170</v>
      </c>
      <c r="B167" s="2"/>
      <c r="C167" s="8" t="e">
        <f t="shared" si="58"/>
        <v>#DIV/0!</v>
      </c>
      <c r="D167" s="2"/>
      <c r="E167" s="8">
        <f t="shared" si="59"/>
        <v>0</v>
      </c>
      <c r="F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U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</row>
    <row r="168" spans="1:34" ht="15.75" hidden="1" outlineLevel="1" x14ac:dyDescent="0.25">
      <c r="A168" s="1" t="s">
        <v>171</v>
      </c>
      <c r="B168" s="2"/>
      <c r="C168" s="8" t="e">
        <f t="shared" si="58"/>
        <v>#DIV/0!</v>
      </c>
      <c r="D168" s="2"/>
      <c r="E168" s="8">
        <f t="shared" si="59"/>
        <v>0</v>
      </c>
      <c r="F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U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</row>
    <row r="169" spans="1:34" ht="15.75" collapsed="1" x14ac:dyDescent="0.25">
      <c r="A169" s="3" t="s">
        <v>172</v>
      </c>
      <c r="B169" s="4">
        <f>+B137+B146+B153+B160+B163+B165</f>
        <v>0</v>
      </c>
      <c r="C169" s="11" t="e">
        <f t="shared" si="58"/>
        <v>#DIV/0!</v>
      </c>
      <c r="D169" s="4">
        <f>+D137+D146+D153+D160+D163+D165</f>
        <v>-5947.8</v>
      </c>
      <c r="E169" s="11">
        <f t="shared" si="59"/>
        <v>-4.8015995579796539E-3</v>
      </c>
      <c r="F169" s="4">
        <f>+F137+F146+F153+F160+F163+F165</f>
        <v>-5947.8</v>
      </c>
      <c r="H169" s="4">
        <f>+H137+H146+H153+H160+H163+H165</f>
        <v>495.65000000000003</v>
      </c>
      <c r="I169" s="4">
        <f t="shared" ref="I169:S169" si="64">+I137+I146+I153+I160+I163+I165</f>
        <v>497.65000000000003</v>
      </c>
      <c r="J169" s="4">
        <f t="shared" si="64"/>
        <v>499.65000000000003</v>
      </c>
      <c r="K169" s="4">
        <f t="shared" si="64"/>
        <v>501.65000000000003</v>
      </c>
      <c r="L169" s="4">
        <f t="shared" si="64"/>
        <v>503.65000000000003</v>
      </c>
      <c r="M169" s="4">
        <f t="shared" si="64"/>
        <v>505.65000000000003</v>
      </c>
      <c r="N169" s="4">
        <f t="shared" si="64"/>
        <v>507.65000000000003</v>
      </c>
      <c r="O169" s="4">
        <f t="shared" si="64"/>
        <v>509.65000000000003</v>
      </c>
      <c r="P169" s="4">
        <f t="shared" si="64"/>
        <v>511.65000000000003</v>
      </c>
      <c r="Q169" s="4">
        <f t="shared" si="64"/>
        <v>513.65000000000009</v>
      </c>
      <c r="R169" s="4">
        <f t="shared" si="64"/>
        <v>515.65000000000009</v>
      </c>
      <c r="S169" s="4">
        <f t="shared" si="64"/>
        <v>517.65000000000009</v>
      </c>
      <c r="U169" s="4">
        <f>+U137+U146+U153+U160+U163+U165</f>
        <v>-5947.8</v>
      </c>
      <c r="W169" s="4">
        <f>+W137+W146+W153+W160+W163+W165</f>
        <v>495.65000000000003</v>
      </c>
      <c r="X169" s="4">
        <f t="shared" ref="X169:AH169" si="65">+X137+X146+X153+X160+X163+X165</f>
        <v>497.65000000000003</v>
      </c>
      <c r="Y169" s="4">
        <f t="shared" si="65"/>
        <v>499.65000000000003</v>
      </c>
      <c r="Z169" s="4">
        <f t="shared" si="65"/>
        <v>501.65000000000003</v>
      </c>
      <c r="AA169" s="4">
        <f t="shared" si="65"/>
        <v>503.65000000000003</v>
      </c>
      <c r="AB169" s="4">
        <f t="shared" si="65"/>
        <v>505.65000000000003</v>
      </c>
      <c r="AC169" s="4">
        <f t="shared" si="65"/>
        <v>507.65000000000003</v>
      </c>
      <c r="AD169" s="4">
        <f t="shared" si="65"/>
        <v>509.65000000000003</v>
      </c>
      <c r="AE169" s="4">
        <f t="shared" si="65"/>
        <v>511.65000000000003</v>
      </c>
      <c r="AF169" s="4">
        <f t="shared" si="65"/>
        <v>513.65000000000009</v>
      </c>
      <c r="AG169" s="4">
        <f t="shared" si="65"/>
        <v>515.65000000000009</v>
      </c>
      <c r="AH169" s="4">
        <f t="shared" si="65"/>
        <v>517.65000000000009</v>
      </c>
    </row>
    <row r="170" spans="1:34" ht="15.75" x14ac:dyDescent="0.25">
      <c r="A170" s="3" t="s">
        <v>173</v>
      </c>
      <c r="B170" s="4">
        <f>+B136+B169</f>
        <v>0</v>
      </c>
      <c r="C170" s="11" t="e">
        <f t="shared" si="58"/>
        <v>#DIV/0!</v>
      </c>
      <c r="D170" s="4">
        <f>+D136+D169</f>
        <v>29983.489999999951</v>
      </c>
      <c r="E170" s="11">
        <f t="shared" si="59"/>
        <v>2.4205372125943564E-2</v>
      </c>
      <c r="F170" s="4">
        <f>+F136+F169</f>
        <v>74154.682420000012</v>
      </c>
      <c r="H170" s="4">
        <f>+H136+H169</f>
        <v>-22916.643131666668</v>
      </c>
      <c r="I170" s="4">
        <f t="shared" ref="I170:S170" si="66">+I136+I169</f>
        <v>-26658.476464999996</v>
      </c>
      <c r="J170" s="4">
        <f t="shared" si="66"/>
        <v>-19904.476464999996</v>
      </c>
      <c r="K170" s="4">
        <f t="shared" si="66"/>
        <v>2599.523535000003</v>
      </c>
      <c r="L170" s="4">
        <f t="shared" si="66"/>
        <v>39353.523535</v>
      </c>
      <c r="M170" s="4">
        <f t="shared" si="66"/>
        <v>72357.523535000015</v>
      </c>
      <c r="N170" s="4">
        <f t="shared" si="66"/>
        <v>70361.523535000015</v>
      </c>
      <c r="O170" s="4">
        <f t="shared" si="66"/>
        <v>-13134.476464999998</v>
      </c>
      <c r="P170" s="4">
        <f t="shared" si="66"/>
        <v>36369.523535</v>
      </c>
      <c r="Q170" s="4">
        <f t="shared" si="66"/>
        <v>10123.523535000002</v>
      </c>
      <c r="R170" s="4">
        <f t="shared" si="66"/>
        <v>-12372.476464999998</v>
      </c>
      <c r="S170" s="4">
        <f t="shared" si="66"/>
        <v>9756.5235350000021</v>
      </c>
      <c r="U170" s="4">
        <f>+U136+U169</f>
        <v>363783.86153727263</v>
      </c>
      <c r="W170" s="4">
        <f>+W136+W169</f>
        <v>-15127.890411212129</v>
      </c>
      <c r="X170" s="4">
        <f t="shared" ref="X170:AH170" si="67">+X136+X169</f>
        <v>-15123.890411212129</v>
      </c>
      <c r="Y170" s="4">
        <f t="shared" si="67"/>
        <v>-4892.6176839394075</v>
      </c>
      <c r="Z170" s="4">
        <f t="shared" si="67"/>
        <v>27905.927770606064</v>
      </c>
      <c r="AA170" s="4">
        <f t="shared" si="67"/>
        <v>55220.836861515119</v>
      </c>
      <c r="AB170" s="4">
        <f t="shared" si="67"/>
        <v>81749.382316060568</v>
      </c>
      <c r="AC170" s="4">
        <f t="shared" si="67"/>
        <v>63155.200497878795</v>
      </c>
      <c r="AD170" s="4">
        <f t="shared" si="67"/>
        <v>-25312.617683939407</v>
      </c>
      <c r="AE170" s="4">
        <f t="shared" si="67"/>
        <v>13913.200497878783</v>
      </c>
      <c r="AF170" s="4">
        <f t="shared" si="67"/>
        <v>-4079.1631384848629</v>
      </c>
      <c r="AG170" s="4">
        <f t="shared" si="67"/>
        <v>-15087.890411212129</v>
      </c>
      <c r="AH170" s="4">
        <f t="shared" si="67"/>
        <v>45720.655043333325</v>
      </c>
    </row>
    <row r="171" spans="1:34" ht="15.75" x14ac:dyDescent="0.25">
      <c r="A171" s="5" t="s">
        <v>174</v>
      </c>
      <c r="B171" s="6">
        <f>SUM(B172:B173)</f>
        <v>0</v>
      </c>
      <c r="C171" s="7" t="e">
        <f t="shared" si="58"/>
        <v>#DIV/0!</v>
      </c>
      <c r="D171" s="6">
        <f>SUM(D172:D173)</f>
        <v>0</v>
      </c>
      <c r="E171" s="7">
        <f t="shared" si="59"/>
        <v>0</v>
      </c>
      <c r="F171" s="6">
        <f>SUM(F172:F173)</f>
        <v>0</v>
      </c>
      <c r="H171" s="6">
        <f>SUM(H172:H173)</f>
        <v>0</v>
      </c>
      <c r="I171" s="6">
        <f t="shared" ref="I171:S171" si="68">SUM(I172:I173)</f>
        <v>0</v>
      </c>
      <c r="J171" s="6">
        <f t="shared" si="68"/>
        <v>0</v>
      </c>
      <c r="K171" s="6">
        <f t="shared" si="68"/>
        <v>0</v>
      </c>
      <c r="L171" s="6">
        <f t="shared" si="68"/>
        <v>0</v>
      </c>
      <c r="M171" s="6">
        <f t="shared" si="68"/>
        <v>0</v>
      </c>
      <c r="N171" s="6">
        <f t="shared" si="68"/>
        <v>0</v>
      </c>
      <c r="O171" s="6">
        <f t="shared" si="68"/>
        <v>0</v>
      </c>
      <c r="P171" s="6">
        <f t="shared" si="68"/>
        <v>0</v>
      </c>
      <c r="Q171" s="6">
        <f t="shared" si="68"/>
        <v>0</v>
      </c>
      <c r="R171" s="6">
        <f t="shared" si="68"/>
        <v>0</v>
      </c>
      <c r="S171" s="6">
        <f t="shared" si="68"/>
        <v>0</v>
      </c>
      <c r="U171" s="6">
        <f>SUM(U172:U173)</f>
        <v>0</v>
      </c>
      <c r="W171" s="6">
        <f>SUM(W172:W173)</f>
        <v>0</v>
      </c>
      <c r="X171" s="6">
        <f t="shared" ref="X171:AH171" si="69">SUM(X172:X173)</f>
        <v>0</v>
      </c>
      <c r="Y171" s="6">
        <f t="shared" si="69"/>
        <v>0</v>
      </c>
      <c r="Z171" s="6">
        <f t="shared" si="69"/>
        <v>0</v>
      </c>
      <c r="AA171" s="6">
        <f t="shared" si="69"/>
        <v>0</v>
      </c>
      <c r="AB171" s="6">
        <f t="shared" si="69"/>
        <v>0</v>
      </c>
      <c r="AC171" s="6">
        <f t="shared" si="69"/>
        <v>0</v>
      </c>
      <c r="AD171" s="6">
        <f t="shared" si="69"/>
        <v>0</v>
      </c>
      <c r="AE171" s="6">
        <f t="shared" si="69"/>
        <v>0</v>
      </c>
      <c r="AF171" s="6">
        <f t="shared" si="69"/>
        <v>0</v>
      </c>
      <c r="AG171" s="6">
        <f t="shared" si="69"/>
        <v>0</v>
      </c>
      <c r="AH171" s="6">
        <f t="shared" si="69"/>
        <v>0</v>
      </c>
    </row>
    <row r="172" spans="1:34" ht="15.75" hidden="1" outlineLevel="1" x14ac:dyDescent="0.25">
      <c r="A172" s="1" t="s">
        <v>175</v>
      </c>
      <c r="B172" s="2"/>
      <c r="C172" s="8" t="e">
        <f t="shared" si="58"/>
        <v>#DIV/0!</v>
      </c>
      <c r="D172" s="2"/>
      <c r="E172" s="8">
        <f t="shared" si="59"/>
        <v>0</v>
      </c>
      <c r="F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U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</row>
    <row r="173" spans="1:34" ht="15.75" hidden="1" outlineLevel="1" x14ac:dyDescent="0.25">
      <c r="A173" s="1" t="s">
        <v>176</v>
      </c>
      <c r="B173" s="2"/>
      <c r="C173" s="8" t="e">
        <f t="shared" si="58"/>
        <v>#DIV/0!</v>
      </c>
      <c r="D173" s="2"/>
      <c r="E173" s="8">
        <f t="shared" si="59"/>
        <v>0</v>
      </c>
      <c r="F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U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</row>
    <row r="174" spans="1:34" ht="15.75" collapsed="1" x14ac:dyDescent="0.25">
      <c r="A174" s="3" t="s">
        <v>177</v>
      </c>
      <c r="B174" s="4">
        <f>+B170+B171</f>
        <v>0</v>
      </c>
      <c r="C174" s="11" t="e">
        <f t="shared" si="58"/>
        <v>#DIV/0!</v>
      </c>
      <c r="D174" s="4">
        <f>+D170+D171</f>
        <v>29983.489999999951</v>
      </c>
      <c r="E174" s="11">
        <f t="shared" si="59"/>
        <v>2.4205372125943564E-2</v>
      </c>
      <c r="F174" s="4">
        <f>+F170+F171</f>
        <v>74154.682420000012</v>
      </c>
      <c r="H174" s="4">
        <f>+H170+H171</f>
        <v>-22916.643131666668</v>
      </c>
      <c r="I174" s="4">
        <f t="shared" ref="I174:S174" si="70">+I170+I171</f>
        <v>-26658.476464999996</v>
      </c>
      <c r="J174" s="4">
        <f t="shared" si="70"/>
        <v>-19904.476464999996</v>
      </c>
      <c r="K174" s="4">
        <f t="shared" si="70"/>
        <v>2599.523535000003</v>
      </c>
      <c r="L174" s="4">
        <f t="shared" si="70"/>
        <v>39353.523535</v>
      </c>
      <c r="M174" s="4">
        <f t="shared" si="70"/>
        <v>72357.523535000015</v>
      </c>
      <c r="N174" s="4">
        <f t="shared" si="70"/>
        <v>70361.523535000015</v>
      </c>
      <c r="O174" s="4">
        <f t="shared" si="70"/>
        <v>-13134.476464999998</v>
      </c>
      <c r="P174" s="4">
        <f t="shared" si="70"/>
        <v>36369.523535</v>
      </c>
      <c r="Q174" s="4">
        <f t="shared" si="70"/>
        <v>10123.523535000002</v>
      </c>
      <c r="R174" s="4">
        <f t="shared" si="70"/>
        <v>-12372.476464999998</v>
      </c>
      <c r="S174" s="4">
        <f t="shared" si="70"/>
        <v>9756.5235350000021</v>
      </c>
      <c r="U174" s="4">
        <f>+U170+U171</f>
        <v>363783.86153727263</v>
      </c>
      <c r="W174" s="4">
        <f>+W170+W171</f>
        <v>-15127.890411212129</v>
      </c>
      <c r="X174" s="4">
        <f t="shared" ref="X174:AH174" si="71">+X170+X171</f>
        <v>-15123.890411212129</v>
      </c>
      <c r="Y174" s="4">
        <f t="shared" si="71"/>
        <v>-4892.6176839394075</v>
      </c>
      <c r="Z174" s="4">
        <f t="shared" si="71"/>
        <v>27905.927770606064</v>
      </c>
      <c r="AA174" s="4">
        <f t="shared" si="71"/>
        <v>55220.836861515119</v>
      </c>
      <c r="AB174" s="4">
        <f t="shared" si="71"/>
        <v>81749.382316060568</v>
      </c>
      <c r="AC174" s="4">
        <f t="shared" si="71"/>
        <v>63155.200497878795</v>
      </c>
      <c r="AD174" s="4">
        <f t="shared" si="71"/>
        <v>-25312.617683939407</v>
      </c>
      <c r="AE174" s="4">
        <f t="shared" si="71"/>
        <v>13913.200497878783</v>
      </c>
      <c r="AF174" s="4">
        <f t="shared" si="71"/>
        <v>-4079.1631384848629</v>
      </c>
      <c r="AG174" s="4">
        <f t="shared" si="71"/>
        <v>-15087.890411212129</v>
      </c>
      <c r="AH174" s="4">
        <f t="shared" si="71"/>
        <v>45720.655043333325</v>
      </c>
    </row>
    <row r="176" spans="1:34" s="47" customFormat="1" ht="15.75" x14ac:dyDescent="0.25">
      <c r="A176" s="47" t="s">
        <v>1253</v>
      </c>
      <c r="B176" s="53"/>
      <c r="C176" s="53"/>
      <c r="D176" s="53"/>
      <c r="E176" s="53"/>
      <c r="F176" s="53"/>
      <c r="G176" s="53"/>
      <c r="H176" s="54">
        <f>SUM(H177:H180)</f>
        <v>66000</v>
      </c>
      <c r="I176" s="54">
        <f t="shared" ref="I176:S176" si="72">SUM(I177:I180)</f>
        <v>101000</v>
      </c>
      <c r="J176" s="54">
        <f t="shared" si="72"/>
        <v>110000</v>
      </c>
      <c r="K176" s="54">
        <f t="shared" si="72"/>
        <v>140000</v>
      </c>
      <c r="L176" s="54">
        <f t="shared" si="72"/>
        <v>189000</v>
      </c>
      <c r="M176" s="54">
        <f t="shared" si="72"/>
        <v>233000</v>
      </c>
      <c r="N176" s="54">
        <f t="shared" si="72"/>
        <v>227500</v>
      </c>
      <c r="O176" s="54">
        <f t="shared" si="72"/>
        <v>119000</v>
      </c>
      <c r="P176" s="54">
        <f t="shared" si="72"/>
        <v>185000</v>
      </c>
      <c r="Q176" s="54">
        <f t="shared" si="72"/>
        <v>150000</v>
      </c>
      <c r="R176" s="54">
        <f t="shared" si="72"/>
        <v>120000</v>
      </c>
      <c r="S176" s="54">
        <f t="shared" si="72"/>
        <v>149500</v>
      </c>
      <c r="U176" s="53"/>
      <c r="V176" s="53"/>
      <c r="W176" s="54">
        <f>SUM(W177:W180)</f>
        <v>113636.36363636363</v>
      </c>
      <c r="X176" s="54">
        <f t="shared" ref="X176:AH176" si="73">SUM(X177:X180)</f>
        <v>113636.36363636363</v>
      </c>
      <c r="Y176" s="54">
        <f t="shared" si="73"/>
        <v>131818.18181818179</v>
      </c>
      <c r="Z176" s="54">
        <f t="shared" si="73"/>
        <v>179090.90909090909</v>
      </c>
      <c r="AA176" s="54">
        <f t="shared" si="73"/>
        <v>220909.09090909088</v>
      </c>
      <c r="AB176" s="54">
        <f t="shared" si="73"/>
        <v>267272.72727272724</v>
      </c>
      <c r="AC176" s="54">
        <f t="shared" si="73"/>
        <v>236363.63636363635</v>
      </c>
      <c r="AD176" s="54">
        <f t="shared" si="73"/>
        <v>102727.27272727272</v>
      </c>
      <c r="AE176" s="54">
        <f t="shared" si="73"/>
        <v>159090.90909090909</v>
      </c>
      <c r="AF176" s="54">
        <f t="shared" si="73"/>
        <v>133636.36363636362</v>
      </c>
      <c r="AG176" s="54">
        <f t="shared" si="73"/>
        <v>113636.36363636363</v>
      </c>
      <c r="AH176" s="54">
        <f t="shared" si="73"/>
        <v>199999.99999999997</v>
      </c>
    </row>
    <row r="177" spans="1:34" ht="15.75" x14ac:dyDescent="0.25">
      <c r="A177" s="1" t="s">
        <v>1254</v>
      </c>
      <c r="B177" s="2"/>
      <c r="C177" s="8"/>
      <c r="D177" s="2"/>
      <c r="E177" s="8"/>
      <c r="G177" s="8"/>
      <c r="H177" s="45">
        <f>+H2</f>
        <v>66000</v>
      </c>
      <c r="I177" s="45">
        <f t="shared" ref="I177:S177" si="74">+I2</f>
        <v>101000</v>
      </c>
      <c r="J177" s="45">
        <f t="shared" si="74"/>
        <v>110000</v>
      </c>
      <c r="K177" s="45">
        <f t="shared" si="74"/>
        <v>140000</v>
      </c>
      <c r="L177" s="45">
        <f t="shared" si="74"/>
        <v>189000</v>
      </c>
      <c r="M177" s="45">
        <f t="shared" si="74"/>
        <v>233000</v>
      </c>
      <c r="N177" s="45">
        <f t="shared" si="74"/>
        <v>227500</v>
      </c>
      <c r="O177" s="45">
        <f t="shared" si="74"/>
        <v>119000</v>
      </c>
      <c r="P177" s="45">
        <f t="shared" si="74"/>
        <v>185000</v>
      </c>
      <c r="Q177" s="45">
        <f t="shared" si="74"/>
        <v>150000</v>
      </c>
      <c r="R177" s="45">
        <f t="shared" si="74"/>
        <v>120000</v>
      </c>
      <c r="S177" s="45">
        <f t="shared" si="74"/>
        <v>149500</v>
      </c>
      <c r="V177" s="8"/>
      <c r="W177" s="45">
        <f>+W2</f>
        <v>113636.36363636363</v>
      </c>
      <c r="X177" s="45">
        <f t="shared" ref="X177:AH177" si="75">+X2</f>
        <v>113636.36363636363</v>
      </c>
      <c r="Y177" s="45">
        <f t="shared" si="75"/>
        <v>131818.18181818179</v>
      </c>
      <c r="Z177" s="45">
        <f t="shared" si="75"/>
        <v>179090.90909090909</v>
      </c>
      <c r="AA177" s="45">
        <f t="shared" si="75"/>
        <v>220909.09090909088</v>
      </c>
      <c r="AB177" s="45">
        <f t="shared" si="75"/>
        <v>267272.72727272724</v>
      </c>
      <c r="AC177" s="45">
        <f t="shared" si="75"/>
        <v>236363.63636363635</v>
      </c>
      <c r="AD177" s="45">
        <f t="shared" si="75"/>
        <v>102727.27272727272</v>
      </c>
      <c r="AE177" s="45">
        <f t="shared" si="75"/>
        <v>159090.90909090909</v>
      </c>
      <c r="AF177" s="45">
        <f t="shared" si="75"/>
        <v>133636.36363636362</v>
      </c>
      <c r="AG177" s="45">
        <f t="shared" si="75"/>
        <v>113636.36363636363</v>
      </c>
      <c r="AH177" s="45">
        <f t="shared" si="75"/>
        <v>199999.99999999997</v>
      </c>
    </row>
    <row r="178" spans="1:34" ht="15.75" x14ac:dyDescent="0.25">
      <c r="A178" s="1" t="s">
        <v>1255</v>
      </c>
      <c r="B178" s="2"/>
      <c r="C178" s="8"/>
      <c r="D178" s="2"/>
      <c r="E178" s="8"/>
      <c r="G178" s="8"/>
      <c r="I178" s="8"/>
      <c r="J178" s="8"/>
      <c r="K178" s="8"/>
      <c r="L178" s="8"/>
      <c r="M178" s="8"/>
      <c r="N178" s="8"/>
      <c r="O178" s="8"/>
      <c r="P178" s="8"/>
      <c r="Q178" s="8"/>
      <c r="V178" s="8"/>
      <c r="X178" s="8"/>
      <c r="Y178" s="8"/>
      <c r="Z178" s="8"/>
      <c r="AA178" s="8"/>
      <c r="AB178" s="8"/>
      <c r="AC178" s="8"/>
      <c r="AD178" s="8"/>
      <c r="AE178" s="8"/>
      <c r="AF178" s="8"/>
    </row>
    <row r="179" spans="1:34" ht="15.75" x14ac:dyDescent="0.25">
      <c r="A179" s="1" t="s">
        <v>1256</v>
      </c>
      <c r="B179" s="2"/>
      <c r="C179" s="8"/>
      <c r="D179" s="2"/>
      <c r="E179" s="8"/>
      <c r="G179" s="8"/>
      <c r="I179" s="8"/>
      <c r="J179" s="8"/>
      <c r="K179" s="8"/>
      <c r="L179" s="8"/>
      <c r="M179" s="8"/>
      <c r="N179" s="8"/>
      <c r="O179" s="8"/>
      <c r="P179" s="8"/>
      <c r="Q179" s="8"/>
      <c r="V179" s="8"/>
      <c r="X179" s="8"/>
      <c r="Y179" s="8"/>
      <c r="Z179" s="8"/>
      <c r="AA179" s="8"/>
      <c r="AB179" s="8"/>
      <c r="AC179" s="8"/>
      <c r="AD179" s="8"/>
      <c r="AE179" s="8"/>
      <c r="AF179" s="8"/>
    </row>
    <row r="180" spans="1:34" ht="15.75" x14ac:dyDescent="0.25">
      <c r="A180" s="1" t="s">
        <v>1261</v>
      </c>
      <c r="B180" s="2"/>
      <c r="C180" s="8"/>
      <c r="D180" s="2"/>
      <c r="E180" s="8"/>
      <c r="G180" s="8"/>
      <c r="I180" s="8"/>
      <c r="J180" s="8"/>
      <c r="K180" s="8"/>
      <c r="L180" s="8"/>
      <c r="M180" s="8"/>
      <c r="N180" s="8"/>
      <c r="O180" s="8"/>
      <c r="P180" s="8"/>
      <c r="Q180" s="8"/>
      <c r="V180" s="8"/>
      <c r="X180" s="8"/>
      <c r="Y180" s="8"/>
      <c r="Z180" s="8"/>
      <c r="AA180" s="8"/>
      <c r="AB180" s="8"/>
      <c r="AC180" s="8"/>
      <c r="AD180" s="8"/>
      <c r="AE180" s="8"/>
      <c r="AF180" s="8"/>
    </row>
    <row r="181" spans="1:34" s="47" customFormat="1" ht="15.75" x14ac:dyDescent="0.25">
      <c r="A181" s="47" t="s">
        <v>1260</v>
      </c>
      <c r="B181" s="53"/>
      <c r="C181" s="53"/>
      <c r="D181" s="53"/>
      <c r="E181" s="53"/>
      <c r="F181" s="53"/>
      <c r="G181" s="53"/>
      <c r="H181" s="53">
        <f>SUM(H182:H185)</f>
        <v>-80245.626465000008</v>
      </c>
      <c r="I181" s="53">
        <f t="shared" ref="I181:S181" si="76">SUM(I182:I185)</f>
        <v>-118991.45979833332</v>
      </c>
      <c r="J181" s="53">
        <f t="shared" si="76"/>
        <v>-121241.45979833332</v>
      </c>
      <c r="K181" s="53">
        <f t="shared" si="76"/>
        <v>-128741.45979833332</v>
      </c>
      <c r="L181" s="53">
        <f t="shared" si="76"/>
        <v>-140991.45979833332</v>
      </c>
      <c r="M181" s="53">
        <f t="shared" si="76"/>
        <v>-151991.45979833332</v>
      </c>
      <c r="N181" s="53">
        <f t="shared" si="76"/>
        <v>-148491.45979833332</v>
      </c>
      <c r="O181" s="53">
        <f t="shared" si="76"/>
        <v>-123491.45979833332</v>
      </c>
      <c r="P181" s="53">
        <f t="shared" si="76"/>
        <v>-139991.45979833332</v>
      </c>
      <c r="Q181" s="53">
        <f t="shared" si="76"/>
        <v>-131241.45979833332</v>
      </c>
      <c r="R181" s="53">
        <f t="shared" si="76"/>
        <v>-123741.45979833332</v>
      </c>
      <c r="S181" s="53">
        <f t="shared" si="76"/>
        <v>-131116.45979833332</v>
      </c>
      <c r="U181" s="53"/>
      <c r="V181" s="53"/>
      <c r="W181" s="53">
        <f>SUM(W182:W185)</f>
        <v>-120093.23738090909</v>
      </c>
      <c r="X181" s="53">
        <f t="shared" ref="X181:AH181" si="77">SUM(X182:X185)</f>
        <v>-120093.23738090909</v>
      </c>
      <c r="Y181" s="53">
        <f t="shared" si="77"/>
        <v>-128047.78283545453</v>
      </c>
      <c r="Z181" s="53">
        <f t="shared" si="77"/>
        <v>-142525.96465363636</v>
      </c>
      <c r="AA181" s="53">
        <f t="shared" si="77"/>
        <v>-157033.23738090909</v>
      </c>
      <c r="AB181" s="53">
        <f t="shared" si="77"/>
        <v>-176872.32829</v>
      </c>
      <c r="AC181" s="53">
        <f t="shared" si="77"/>
        <v>-164561.41919909092</v>
      </c>
      <c r="AD181" s="53">
        <f t="shared" si="77"/>
        <v>-119396.87374454546</v>
      </c>
      <c r="AE181" s="53">
        <f t="shared" si="77"/>
        <v>-136538.69192636362</v>
      </c>
      <c r="AF181" s="53">
        <f t="shared" si="77"/>
        <v>-129080.51010818181</v>
      </c>
      <c r="AG181" s="53">
        <f t="shared" si="77"/>
        <v>-120093.23738090909</v>
      </c>
      <c r="AH181" s="53">
        <f t="shared" si="77"/>
        <v>-145652.32828999998</v>
      </c>
    </row>
    <row r="182" spans="1:34" ht="15.75" x14ac:dyDescent="0.25">
      <c r="A182" s="1" t="s">
        <v>1257</v>
      </c>
      <c r="B182" s="2"/>
      <c r="C182" s="8"/>
      <c r="D182" s="2"/>
      <c r="E182" s="8"/>
      <c r="G182" s="8"/>
      <c r="H182" s="45">
        <f>+H13</f>
        <v>-16500</v>
      </c>
      <c r="I182" s="45">
        <f t="shared" ref="I182:S182" si="78">+I13</f>
        <v>-25250</v>
      </c>
      <c r="J182" s="45">
        <f t="shared" si="78"/>
        <v>-27500</v>
      </c>
      <c r="K182" s="45">
        <f t="shared" si="78"/>
        <v>-35000</v>
      </c>
      <c r="L182" s="45">
        <f t="shared" si="78"/>
        <v>-47250</v>
      </c>
      <c r="M182" s="45">
        <f t="shared" si="78"/>
        <v>-58250</v>
      </c>
      <c r="N182" s="45">
        <f t="shared" si="78"/>
        <v>-54750</v>
      </c>
      <c r="O182" s="45">
        <f t="shared" si="78"/>
        <v>-29750</v>
      </c>
      <c r="P182" s="45">
        <f t="shared" si="78"/>
        <v>-46250</v>
      </c>
      <c r="Q182" s="45">
        <f t="shared" si="78"/>
        <v>-37500</v>
      </c>
      <c r="R182" s="45">
        <f t="shared" si="78"/>
        <v>-30000</v>
      </c>
      <c r="S182" s="45">
        <f t="shared" si="78"/>
        <v>-37375</v>
      </c>
      <c r="V182" s="8"/>
      <c r="W182" s="45">
        <f>+W13</f>
        <v>-32090.909090909088</v>
      </c>
      <c r="X182" s="45">
        <f t="shared" ref="X182:AH182" si="79">+X13</f>
        <v>-32090.909090909088</v>
      </c>
      <c r="Y182" s="45">
        <f t="shared" si="79"/>
        <v>-37545.454545454537</v>
      </c>
      <c r="Z182" s="45">
        <f t="shared" si="79"/>
        <v>-50563.636363636353</v>
      </c>
      <c r="AA182" s="45">
        <f t="shared" si="79"/>
        <v>-62890.909090909088</v>
      </c>
      <c r="AB182" s="45">
        <f t="shared" si="79"/>
        <v>-76400</v>
      </c>
      <c r="AC182" s="45">
        <f t="shared" si="79"/>
        <v>-66909.090909090897</v>
      </c>
      <c r="AD182" s="45">
        <f t="shared" si="79"/>
        <v>-29254.545454545452</v>
      </c>
      <c r="AE182" s="45">
        <f t="shared" si="79"/>
        <v>-44636.363636363632</v>
      </c>
      <c r="AF182" s="45">
        <f t="shared" si="79"/>
        <v>-38018.181818181809</v>
      </c>
      <c r="AG182" s="45">
        <f t="shared" si="79"/>
        <v>-32090.909090909088</v>
      </c>
      <c r="AH182" s="45">
        <f t="shared" si="79"/>
        <v>-55999.999999999985</v>
      </c>
    </row>
    <row r="183" spans="1:34" ht="15.75" x14ac:dyDescent="0.25">
      <c r="A183" s="1" t="s">
        <v>1258</v>
      </c>
      <c r="B183" s="2"/>
      <c r="C183" s="8"/>
      <c r="D183" s="2"/>
      <c r="E183" s="8"/>
      <c r="G183" s="8"/>
      <c r="H183" s="45">
        <f>+H27</f>
        <v>-41764.376465000001</v>
      </c>
      <c r="I183" s="45">
        <f t="shared" ref="I183:S183" si="80">+I27</f>
        <v>-57847.709798333337</v>
      </c>
      <c r="J183" s="45">
        <f t="shared" si="80"/>
        <v>-57847.709798333337</v>
      </c>
      <c r="K183" s="45">
        <f t="shared" si="80"/>
        <v>-57847.709798333337</v>
      </c>
      <c r="L183" s="45">
        <f t="shared" si="80"/>
        <v>-57847.709798333337</v>
      </c>
      <c r="M183" s="45">
        <f t="shared" si="80"/>
        <v>-57847.709798333337</v>
      </c>
      <c r="N183" s="45">
        <f t="shared" si="80"/>
        <v>-57847.709798333337</v>
      </c>
      <c r="O183" s="45">
        <f t="shared" si="80"/>
        <v>-57847.709798333337</v>
      </c>
      <c r="P183" s="45">
        <f t="shared" si="80"/>
        <v>-57847.709798333337</v>
      </c>
      <c r="Q183" s="45">
        <f t="shared" si="80"/>
        <v>-57847.709798333337</v>
      </c>
      <c r="R183" s="45">
        <f t="shared" si="80"/>
        <v>-57847.709798333337</v>
      </c>
      <c r="S183" s="45">
        <f t="shared" si="80"/>
        <v>-57847.709798333337</v>
      </c>
      <c r="V183" s="8"/>
      <c r="W183" s="45">
        <f>+W27</f>
        <v>-57902.328290000005</v>
      </c>
      <c r="X183" s="45">
        <f t="shared" ref="X183:AH183" si="81">+X27</f>
        <v>-57902.328290000005</v>
      </c>
      <c r="Y183" s="45">
        <f t="shared" si="81"/>
        <v>-57902.328290000005</v>
      </c>
      <c r="Z183" s="45">
        <f t="shared" si="81"/>
        <v>-60902.328290000005</v>
      </c>
      <c r="AA183" s="45">
        <f t="shared" si="81"/>
        <v>-62902.328290000005</v>
      </c>
      <c r="AB183" s="45">
        <f t="shared" si="81"/>
        <v>-65902.328290000005</v>
      </c>
      <c r="AC183" s="45">
        <f t="shared" si="81"/>
        <v>-65902.328290000005</v>
      </c>
      <c r="AD183" s="45">
        <f t="shared" si="81"/>
        <v>-60902.328290000005</v>
      </c>
      <c r="AE183" s="45">
        <f t="shared" si="81"/>
        <v>-60902.328290000005</v>
      </c>
      <c r="AF183" s="45">
        <f t="shared" si="81"/>
        <v>-57902.328290000005</v>
      </c>
      <c r="AG183" s="45">
        <f t="shared" si="81"/>
        <v>-57902.328290000005</v>
      </c>
      <c r="AH183" s="45">
        <f t="shared" si="81"/>
        <v>-57902.328290000005</v>
      </c>
    </row>
    <row r="184" spans="1:34" ht="15.75" x14ac:dyDescent="0.25">
      <c r="A184" s="1" t="s">
        <v>1259</v>
      </c>
      <c r="B184" s="2"/>
      <c r="C184" s="8"/>
      <c r="D184" s="2"/>
      <c r="E184" s="8"/>
      <c r="G184" s="8"/>
      <c r="H184" s="45">
        <f>+H37</f>
        <v>-21981.25</v>
      </c>
      <c r="I184" s="45">
        <f t="shared" ref="I184:S184" si="82">+I37</f>
        <v>-35893.749999999993</v>
      </c>
      <c r="J184" s="45">
        <f t="shared" si="82"/>
        <v>-35893.749999999993</v>
      </c>
      <c r="K184" s="45">
        <f t="shared" si="82"/>
        <v>-35893.749999999993</v>
      </c>
      <c r="L184" s="45">
        <f t="shared" si="82"/>
        <v>-35893.749999999993</v>
      </c>
      <c r="M184" s="45">
        <f t="shared" si="82"/>
        <v>-35893.749999999993</v>
      </c>
      <c r="N184" s="45">
        <f t="shared" si="82"/>
        <v>-35893.749999999993</v>
      </c>
      <c r="O184" s="45">
        <f t="shared" si="82"/>
        <v>-35893.749999999993</v>
      </c>
      <c r="P184" s="45">
        <f t="shared" si="82"/>
        <v>-35893.749999999993</v>
      </c>
      <c r="Q184" s="45">
        <f t="shared" si="82"/>
        <v>-35893.749999999993</v>
      </c>
      <c r="R184" s="45">
        <f t="shared" si="82"/>
        <v>-35893.749999999993</v>
      </c>
      <c r="S184" s="45">
        <f t="shared" si="82"/>
        <v>-35893.749999999993</v>
      </c>
      <c r="V184" s="8"/>
      <c r="W184" s="45">
        <f>+W37</f>
        <v>-30100</v>
      </c>
      <c r="X184" s="45">
        <f t="shared" ref="X184:AH184" si="83">+X37</f>
        <v>-30100</v>
      </c>
      <c r="Y184" s="45">
        <f t="shared" si="83"/>
        <v>-32600</v>
      </c>
      <c r="Z184" s="45">
        <f t="shared" si="83"/>
        <v>-31060</v>
      </c>
      <c r="AA184" s="45">
        <f t="shared" si="83"/>
        <v>-31240</v>
      </c>
      <c r="AB184" s="45">
        <f t="shared" si="83"/>
        <v>-34570</v>
      </c>
      <c r="AC184" s="45">
        <f t="shared" si="83"/>
        <v>-31750</v>
      </c>
      <c r="AD184" s="45">
        <f t="shared" si="83"/>
        <v>-29240</v>
      </c>
      <c r="AE184" s="45">
        <f t="shared" si="83"/>
        <v>-31000</v>
      </c>
      <c r="AF184" s="45">
        <f t="shared" si="83"/>
        <v>-33160</v>
      </c>
      <c r="AG184" s="45">
        <f t="shared" si="83"/>
        <v>-30100</v>
      </c>
      <c r="AH184" s="45">
        <f t="shared" si="83"/>
        <v>-31750</v>
      </c>
    </row>
    <row r="185" spans="1:34" s="1" customFormat="1" ht="15.75" x14ac:dyDescent="0.25">
      <c r="A185" s="1" t="s">
        <v>1264</v>
      </c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</row>
    <row r="186" spans="1:34" s="1" customFormat="1" ht="15.75" x14ac:dyDescent="0.25"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</row>
    <row r="187" spans="1:34" s="1" customFormat="1" ht="15.75" x14ac:dyDescent="0.25">
      <c r="A187" s="1" t="s">
        <v>1262</v>
      </c>
      <c r="B187" s="2"/>
      <c r="C187" s="2"/>
      <c r="D187" s="2"/>
      <c r="E187" s="2"/>
      <c r="F187" s="2"/>
      <c r="G187" s="2"/>
      <c r="H187" s="2">
        <f>+H176+H181</f>
        <v>-14245.626465000008</v>
      </c>
      <c r="I187" s="2">
        <f t="shared" ref="I187:S187" si="84">+I176+I181</f>
        <v>-17991.459798333322</v>
      </c>
      <c r="J187" s="2">
        <f t="shared" si="84"/>
        <v>-11241.459798333322</v>
      </c>
      <c r="K187" s="2">
        <f t="shared" si="84"/>
        <v>11258.540201666678</v>
      </c>
      <c r="L187" s="2">
        <f t="shared" si="84"/>
        <v>48008.540201666678</v>
      </c>
      <c r="M187" s="2">
        <f t="shared" si="84"/>
        <v>81008.540201666678</v>
      </c>
      <c r="N187" s="2">
        <f t="shared" si="84"/>
        <v>79008.540201666678</v>
      </c>
      <c r="O187" s="2">
        <f t="shared" si="84"/>
        <v>-4491.4597983333224</v>
      </c>
      <c r="P187" s="2">
        <f t="shared" si="84"/>
        <v>45008.540201666678</v>
      </c>
      <c r="Q187" s="2">
        <f t="shared" si="84"/>
        <v>18758.540201666678</v>
      </c>
      <c r="R187" s="2">
        <f t="shared" si="84"/>
        <v>-3741.4597983333224</v>
      </c>
      <c r="S187" s="2">
        <f t="shared" si="84"/>
        <v>18383.540201666678</v>
      </c>
      <c r="U187" s="2"/>
      <c r="V187" s="2"/>
      <c r="W187" s="2">
        <f>+W176+W181</f>
        <v>-6456.8737445454608</v>
      </c>
      <c r="X187" s="2">
        <f t="shared" ref="X187:AH187" si="85">+X176+X181</f>
        <v>-6456.8737445454608</v>
      </c>
      <c r="Y187" s="2">
        <f t="shared" si="85"/>
        <v>3770.3989827272599</v>
      </c>
      <c r="Z187" s="2">
        <f t="shared" si="85"/>
        <v>36564.94443727273</v>
      </c>
      <c r="AA187" s="2">
        <f t="shared" si="85"/>
        <v>63875.853528181789</v>
      </c>
      <c r="AB187" s="2">
        <f t="shared" si="85"/>
        <v>90400.398982727231</v>
      </c>
      <c r="AC187" s="2">
        <f t="shared" si="85"/>
        <v>71802.217164545436</v>
      </c>
      <c r="AD187" s="2">
        <f t="shared" si="85"/>
        <v>-16669.60101727274</v>
      </c>
      <c r="AE187" s="2">
        <f t="shared" si="85"/>
        <v>22552.217164545465</v>
      </c>
      <c r="AF187" s="2">
        <f t="shared" si="85"/>
        <v>4555.853528181804</v>
      </c>
      <c r="AG187" s="2">
        <f t="shared" si="85"/>
        <v>-6456.8737445454608</v>
      </c>
      <c r="AH187" s="2">
        <f t="shared" si="85"/>
        <v>54347.671709999995</v>
      </c>
    </row>
    <row r="188" spans="1:34" s="1" customFormat="1" ht="15.75" x14ac:dyDescent="0.25">
      <c r="A188" s="1" t="s">
        <v>1263</v>
      </c>
      <c r="B188" s="2"/>
      <c r="C188" s="2"/>
      <c r="D188" s="2"/>
      <c r="E188" s="2"/>
      <c r="F188" s="2"/>
      <c r="G188" s="2"/>
      <c r="H188" s="2">
        <f>+H187</f>
        <v>-14245.626465000008</v>
      </c>
      <c r="I188" s="2">
        <f>+I187+H188</f>
        <v>-32237.086263333331</v>
      </c>
      <c r="J188" s="2">
        <f t="shared" ref="J188:S188" si="86">+J187+I188</f>
        <v>-43478.546061666653</v>
      </c>
      <c r="K188" s="2">
        <f t="shared" si="86"/>
        <v>-32220.005859999976</v>
      </c>
      <c r="L188" s="2">
        <f t="shared" si="86"/>
        <v>15788.534341666702</v>
      </c>
      <c r="M188" s="2">
        <f t="shared" si="86"/>
        <v>96797.07454333338</v>
      </c>
      <c r="N188" s="2">
        <f t="shared" si="86"/>
        <v>175805.61474500006</v>
      </c>
      <c r="O188" s="2">
        <f t="shared" si="86"/>
        <v>171314.15494666673</v>
      </c>
      <c r="P188" s="2">
        <f t="shared" si="86"/>
        <v>216322.69514833341</v>
      </c>
      <c r="Q188" s="2">
        <f t="shared" si="86"/>
        <v>235081.23535000009</v>
      </c>
      <c r="R188" s="2">
        <f t="shared" si="86"/>
        <v>231339.77555166677</v>
      </c>
      <c r="S188" s="2">
        <f t="shared" si="86"/>
        <v>249723.31575333345</v>
      </c>
      <c r="U188" s="2"/>
      <c r="V188" s="2"/>
      <c r="W188" s="2">
        <f>+W187</f>
        <v>-6456.8737445454608</v>
      </c>
      <c r="X188" s="2">
        <f>+X187+W188</f>
        <v>-12913.747489090922</v>
      </c>
      <c r="Y188" s="2">
        <f t="shared" ref="Y188" si="87">+Y187+X188</f>
        <v>-9143.3485063636617</v>
      </c>
      <c r="Z188" s="2">
        <f t="shared" ref="Z188" si="88">+Z187+Y188</f>
        <v>27421.595930909069</v>
      </c>
      <c r="AA188" s="2">
        <f t="shared" ref="AA188" si="89">+AA187+Z188</f>
        <v>91297.449459090858</v>
      </c>
      <c r="AB188" s="2">
        <f t="shared" ref="AB188" si="90">+AB187+AA188</f>
        <v>181697.84844181809</v>
      </c>
      <c r="AC188" s="2">
        <f t="shared" ref="AC188" si="91">+AC187+AB188</f>
        <v>253500.06560636353</v>
      </c>
      <c r="AD188" s="2">
        <f t="shared" ref="AD188" si="92">+AD187+AC188</f>
        <v>236830.46458909079</v>
      </c>
      <c r="AE188" s="2">
        <f t="shared" ref="AE188" si="93">+AE187+AD188</f>
        <v>259382.68175363625</v>
      </c>
      <c r="AF188" s="2">
        <f t="shared" ref="AF188" si="94">+AF187+AE188</f>
        <v>263938.53528181807</v>
      </c>
      <c r="AG188" s="2">
        <f t="shared" ref="AG188" si="95">+AG187+AF188</f>
        <v>257481.66153727262</v>
      </c>
      <c r="AH188" s="2">
        <f t="shared" ref="AH188" si="96">+AH187+AG188</f>
        <v>311829.33324727265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88"/>
  <sheetViews>
    <sheetView zoomScaleNormal="100" workbookViewId="0">
      <pane xSplit="1" ySplit="1" topLeftCell="D13" activePane="bottomRight" state="frozen"/>
      <selection pane="topRight" activeCell="B1" sqref="B1"/>
      <selection pane="bottomLeft" activeCell="A2" sqref="A2"/>
      <selection pane="bottomRight" activeCell="H14" sqref="H14"/>
    </sheetView>
  </sheetViews>
  <sheetFormatPr baseColWidth="10" defaultColWidth="12.7109375" defaultRowHeight="15.75" outlineLevelRow="1" x14ac:dyDescent="0.25"/>
  <cols>
    <col min="1" max="1" width="73.140625" style="1" customWidth="1"/>
    <col min="2" max="2" width="20.42578125" style="2" customWidth="1"/>
    <col min="3" max="3" width="24.42578125" style="8" customWidth="1"/>
    <col min="4" max="4" width="20.42578125" style="2" customWidth="1"/>
    <col min="5" max="5" width="24.42578125" style="8" customWidth="1"/>
    <col min="6" max="6" width="20" customWidth="1"/>
    <col min="7" max="7" width="24.42578125" style="8" customWidth="1"/>
    <col min="8" max="8" width="20" customWidth="1"/>
    <col min="9" max="17" width="24.42578125" style="8" customWidth="1"/>
    <col min="18" max="18" width="21" customWidth="1"/>
    <col min="19" max="19" width="18" customWidth="1"/>
  </cols>
  <sheetData>
    <row r="1" spans="1:20" ht="20.65" customHeight="1" x14ac:dyDescent="0.25">
      <c r="A1" s="3" t="s">
        <v>0</v>
      </c>
      <c r="B1" s="4" t="s">
        <v>1</v>
      </c>
      <c r="C1" s="11" t="s">
        <v>2</v>
      </c>
      <c r="D1" s="4" t="s">
        <v>3</v>
      </c>
      <c r="E1" s="11" t="s">
        <v>4</v>
      </c>
      <c r="F1" s="43" t="s">
        <v>1237</v>
      </c>
      <c r="G1" s="11" t="s">
        <v>1193</v>
      </c>
      <c r="H1" s="16" t="s">
        <v>187</v>
      </c>
      <c r="I1" s="16" t="s">
        <v>188</v>
      </c>
      <c r="J1" s="16" t="s">
        <v>189</v>
      </c>
      <c r="K1" s="16" t="s">
        <v>190</v>
      </c>
      <c r="L1" s="16" t="s">
        <v>191</v>
      </c>
      <c r="M1" s="16" t="s">
        <v>192</v>
      </c>
      <c r="N1" s="16" t="s">
        <v>193</v>
      </c>
      <c r="O1" s="16" t="s">
        <v>194</v>
      </c>
      <c r="P1" s="16" t="s">
        <v>195</v>
      </c>
      <c r="Q1" s="16" t="s">
        <v>196</v>
      </c>
      <c r="R1" s="16" t="s">
        <v>197</v>
      </c>
      <c r="S1" s="16" t="s">
        <v>198</v>
      </c>
      <c r="T1" s="3" t="s">
        <v>186</v>
      </c>
    </row>
    <row r="2" spans="1:20" x14ac:dyDescent="0.25">
      <c r="A2" s="5" t="s">
        <v>5</v>
      </c>
      <c r="B2" s="6">
        <f t="shared" ref="B2:H2" si="0">SUM(B3:B8)</f>
        <v>194098.19</v>
      </c>
      <c r="C2" s="7">
        <f t="shared" si="0"/>
        <v>1</v>
      </c>
      <c r="D2" s="6">
        <f t="shared" si="0"/>
        <v>194001.32</v>
      </c>
      <c r="E2" s="7">
        <f t="shared" si="0"/>
        <v>1</v>
      </c>
      <c r="F2" s="6">
        <f t="shared" si="0"/>
        <v>340000</v>
      </c>
      <c r="G2" s="7">
        <f t="shared" si="0"/>
        <v>1</v>
      </c>
      <c r="H2" s="6">
        <f t="shared" si="0"/>
        <v>28333.333333333332</v>
      </c>
      <c r="I2" s="6">
        <f t="shared" ref="I2:S2" si="1">SUM(I3:I8)</f>
        <v>28333.333333333332</v>
      </c>
      <c r="J2" s="6">
        <f t="shared" si="1"/>
        <v>28333.333333333332</v>
      </c>
      <c r="K2" s="6">
        <f t="shared" si="1"/>
        <v>28333.333333333332</v>
      </c>
      <c r="L2" s="6">
        <f t="shared" si="1"/>
        <v>28333.333333333332</v>
      </c>
      <c r="M2" s="6">
        <f t="shared" si="1"/>
        <v>28333.333333333332</v>
      </c>
      <c r="N2" s="6">
        <f t="shared" si="1"/>
        <v>28333.333333333332</v>
      </c>
      <c r="O2" s="6">
        <f t="shared" si="1"/>
        <v>28333.333333333332</v>
      </c>
      <c r="P2" s="6">
        <f t="shared" si="1"/>
        <v>28333.333333333332</v>
      </c>
      <c r="Q2" s="6">
        <f t="shared" si="1"/>
        <v>28333.333333333332</v>
      </c>
      <c r="R2" s="6">
        <f t="shared" si="1"/>
        <v>28333.333333333332</v>
      </c>
      <c r="S2" s="6">
        <f t="shared" si="1"/>
        <v>28333.333333333332</v>
      </c>
      <c r="T2" s="45">
        <f t="shared" ref="T2:T65" si="2">SUM(H2:S2)</f>
        <v>340000</v>
      </c>
    </row>
    <row r="3" spans="1:20" outlineLevel="1" x14ac:dyDescent="0.25">
      <c r="A3" s="1" t="s">
        <v>6</v>
      </c>
      <c r="B3" s="2">
        <v>194098.19</v>
      </c>
      <c r="C3" s="8">
        <f t="shared" ref="C3:C8" si="3">+B3/$B$2</f>
        <v>1</v>
      </c>
      <c r="D3" s="2">
        <v>194001.32</v>
      </c>
      <c r="E3" s="8">
        <f t="shared" ref="E3:E8" si="4">+D3/$D$2</f>
        <v>1</v>
      </c>
      <c r="F3" s="2">
        <v>340000</v>
      </c>
      <c r="G3" s="8">
        <f>+F3/$F$2</f>
        <v>1</v>
      </c>
      <c r="H3" s="2">
        <f>+$F3/12</f>
        <v>28333.333333333332</v>
      </c>
      <c r="I3" s="2">
        <f t="shared" ref="I3:S3" si="5">+$F3/12</f>
        <v>28333.333333333332</v>
      </c>
      <c r="J3" s="2">
        <f t="shared" si="5"/>
        <v>28333.333333333332</v>
      </c>
      <c r="K3" s="2">
        <f t="shared" si="5"/>
        <v>28333.333333333332</v>
      </c>
      <c r="L3" s="2">
        <f t="shared" si="5"/>
        <v>28333.333333333332</v>
      </c>
      <c r="M3" s="2">
        <f t="shared" si="5"/>
        <v>28333.333333333332</v>
      </c>
      <c r="N3" s="2">
        <f t="shared" si="5"/>
        <v>28333.333333333332</v>
      </c>
      <c r="O3" s="2">
        <f t="shared" si="5"/>
        <v>28333.333333333332</v>
      </c>
      <c r="P3" s="2">
        <f t="shared" si="5"/>
        <v>28333.333333333332</v>
      </c>
      <c r="Q3" s="2">
        <f t="shared" si="5"/>
        <v>28333.333333333332</v>
      </c>
      <c r="R3" s="2">
        <f t="shared" si="5"/>
        <v>28333.333333333332</v>
      </c>
      <c r="S3" s="2">
        <f t="shared" si="5"/>
        <v>28333.333333333332</v>
      </c>
      <c r="T3" s="45">
        <f t="shared" si="2"/>
        <v>340000</v>
      </c>
    </row>
    <row r="4" spans="1:20" outlineLevel="1" x14ac:dyDescent="0.25">
      <c r="A4" s="1" t="s">
        <v>178</v>
      </c>
      <c r="C4" s="8">
        <f t="shared" si="3"/>
        <v>0</v>
      </c>
      <c r="E4" s="8">
        <f t="shared" si="4"/>
        <v>0</v>
      </c>
      <c r="F4" s="2"/>
      <c r="G4" s="8">
        <f t="shared" ref="G4:G67" si="6">+F4/$F$2</f>
        <v>0</v>
      </c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45">
        <f t="shared" si="2"/>
        <v>0</v>
      </c>
    </row>
    <row r="5" spans="1:20" outlineLevel="1" x14ac:dyDescent="0.25">
      <c r="A5" s="1" t="s">
        <v>179</v>
      </c>
      <c r="C5" s="8">
        <f t="shared" si="3"/>
        <v>0</v>
      </c>
      <c r="E5" s="8">
        <f t="shared" si="4"/>
        <v>0</v>
      </c>
      <c r="F5" s="2"/>
      <c r="G5" s="8">
        <f t="shared" si="6"/>
        <v>0</v>
      </c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45">
        <f t="shared" si="2"/>
        <v>0</v>
      </c>
    </row>
    <row r="6" spans="1:20" outlineLevel="1" x14ac:dyDescent="0.25">
      <c r="A6" s="1" t="s">
        <v>180</v>
      </c>
      <c r="C6" s="8">
        <f t="shared" si="3"/>
        <v>0</v>
      </c>
      <c r="E6" s="8">
        <f t="shared" si="4"/>
        <v>0</v>
      </c>
      <c r="F6" s="2"/>
      <c r="G6" s="8">
        <f t="shared" si="6"/>
        <v>0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45">
        <f t="shared" si="2"/>
        <v>0</v>
      </c>
    </row>
    <row r="7" spans="1:20" outlineLevel="1" x14ac:dyDescent="0.25">
      <c r="A7" s="9" t="s">
        <v>10</v>
      </c>
      <c r="C7" s="8">
        <f t="shared" si="3"/>
        <v>0</v>
      </c>
      <c r="E7" s="8">
        <f t="shared" si="4"/>
        <v>0</v>
      </c>
      <c r="F7" s="2"/>
      <c r="G7" s="8">
        <f t="shared" si="6"/>
        <v>0</v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45">
        <f t="shared" si="2"/>
        <v>0</v>
      </c>
    </row>
    <row r="8" spans="1:20" outlineLevel="1" x14ac:dyDescent="0.25">
      <c r="A8" s="9" t="s">
        <v>11</v>
      </c>
      <c r="C8" s="8">
        <f t="shared" si="3"/>
        <v>0</v>
      </c>
      <c r="E8" s="8">
        <f t="shared" si="4"/>
        <v>0</v>
      </c>
      <c r="F8" s="2"/>
      <c r="G8" s="8">
        <f t="shared" si="6"/>
        <v>0</v>
      </c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45">
        <f t="shared" si="2"/>
        <v>0</v>
      </c>
    </row>
    <row r="9" spans="1:20" x14ac:dyDescent="0.25">
      <c r="A9" s="5" t="s">
        <v>12</v>
      </c>
      <c r="B9" s="6">
        <f>SUM(B10:B11)</f>
        <v>0</v>
      </c>
      <c r="C9" s="7">
        <f>SUM(C10:C11)</f>
        <v>0</v>
      </c>
      <c r="D9" s="6">
        <f>SUM(D10:D11)</f>
        <v>0</v>
      </c>
      <c r="E9" s="7">
        <f>SUM(E10:E11)</f>
        <v>0</v>
      </c>
      <c r="F9" s="6">
        <f>SUM(F10:F11)</f>
        <v>0</v>
      </c>
      <c r="G9" s="8">
        <f t="shared" si="6"/>
        <v>0</v>
      </c>
      <c r="H9" s="6">
        <f>SUM(H10:H11)</f>
        <v>0</v>
      </c>
      <c r="I9" s="6">
        <f t="shared" ref="I9:S9" si="7">SUM(I10:I11)</f>
        <v>0</v>
      </c>
      <c r="J9" s="6">
        <f t="shared" si="7"/>
        <v>0</v>
      </c>
      <c r="K9" s="6">
        <f t="shared" si="7"/>
        <v>0</v>
      </c>
      <c r="L9" s="6">
        <f t="shared" si="7"/>
        <v>0</v>
      </c>
      <c r="M9" s="6">
        <f t="shared" si="7"/>
        <v>0</v>
      </c>
      <c r="N9" s="6">
        <f t="shared" si="7"/>
        <v>0</v>
      </c>
      <c r="O9" s="6">
        <f t="shared" si="7"/>
        <v>0</v>
      </c>
      <c r="P9" s="6">
        <f t="shared" si="7"/>
        <v>0</v>
      </c>
      <c r="Q9" s="6">
        <f t="shared" si="7"/>
        <v>0</v>
      </c>
      <c r="R9" s="6">
        <f t="shared" si="7"/>
        <v>0</v>
      </c>
      <c r="S9" s="6">
        <f t="shared" si="7"/>
        <v>0</v>
      </c>
      <c r="T9" s="45">
        <f t="shared" si="2"/>
        <v>0</v>
      </c>
    </row>
    <row r="10" spans="1:20" outlineLevel="1" x14ac:dyDescent="0.25">
      <c r="A10" s="1" t="s">
        <v>13</v>
      </c>
      <c r="C10" s="8">
        <f t="shared" ref="C10:C41" si="8">+B10/$B$2</f>
        <v>0</v>
      </c>
      <c r="E10" s="8">
        <f t="shared" ref="E10:E41" si="9">+D10/$D$2</f>
        <v>0</v>
      </c>
      <c r="F10" s="2"/>
      <c r="G10" s="8">
        <f t="shared" si="6"/>
        <v>0</v>
      </c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45">
        <f t="shared" si="2"/>
        <v>0</v>
      </c>
    </row>
    <row r="11" spans="1:20" outlineLevel="1" x14ac:dyDescent="0.25">
      <c r="A11" s="1" t="s">
        <v>14</v>
      </c>
      <c r="C11" s="8">
        <f t="shared" si="8"/>
        <v>0</v>
      </c>
      <c r="E11" s="8">
        <f t="shared" si="9"/>
        <v>0</v>
      </c>
      <c r="F11" s="2"/>
      <c r="G11" s="8">
        <f t="shared" si="6"/>
        <v>0</v>
      </c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45">
        <f t="shared" si="2"/>
        <v>0</v>
      </c>
    </row>
    <row r="12" spans="1:20" x14ac:dyDescent="0.25">
      <c r="A12" s="5" t="s">
        <v>15</v>
      </c>
      <c r="B12" s="6">
        <v>0</v>
      </c>
      <c r="C12" s="7">
        <f t="shared" si="8"/>
        <v>0</v>
      </c>
      <c r="D12" s="6">
        <v>0</v>
      </c>
      <c r="E12" s="7">
        <f t="shared" si="9"/>
        <v>0</v>
      </c>
      <c r="F12" s="6"/>
      <c r="G12" s="8">
        <f t="shared" si="6"/>
        <v>0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45">
        <f t="shared" si="2"/>
        <v>0</v>
      </c>
    </row>
    <row r="13" spans="1:20" x14ac:dyDescent="0.25">
      <c r="A13" s="5" t="s">
        <v>16</v>
      </c>
      <c r="B13" s="6">
        <f>SUM(B14:B21)</f>
        <v>0</v>
      </c>
      <c r="C13" s="7">
        <f t="shared" si="8"/>
        <v>0</v>
      </c>
      <c r="D13" s="6">
        <f>SUM(D14:D21)</f>
        <v>0</v>
      </c>
      <c r="E13" s="7">
        <f t="shared" si="9"/>
        <v>0</v>
      </c>
      <c r="F13" s="6">
        <v>0</v>
      </c>
      <c r="G13" s="8">
        <f t="shared" si="6"/>
        <v>0</v>
      </c>
      <c r="H13" s="6">
        <v>0</v>
      </c>
      <c r="I13" s="6">
        <v>0</v>
      </c>
      <c r="J13" s="6">
        <v>0</v>
      </c>
      <c r="K13" s="6">
        <v>0</v>
      </c>
      <c r="L13" s="6">
        <v>0</v>
      </c>
      <c r="M13" s="6">
        <v>0</v>
      </c>
      <c r="N13" s="6">
        <v>0</v>
      </c>
      <c r="O13" s="6">
        <v>0</v>
      </c>
      <c r="P13" s="6">
        <v>0</v>
      </c>
      <c r="Q13" s="6">
        <v>0</v>
      </c>
      <c r="R13" s="6">
        <v>0</v>
      </c>
      <c r="S13" s="6">
        <v>0</v>
      </c>
      <c r="T13" s="45">
        <f t="shared" si="2"/>
        <v>0</v>
      </c>
    </row>
    <row r="14" spans="1:20" outlineLevel="1" x14ac:dyDescent="0.25">
      <c r="A14" s="9" t="s">
        <v>17</v>
      </c>
      <c r="B14" s="6"/>
      <c r="C14" s="8">
        <f t="shared" si="8"/>
        <v>0</v>
      </c>
      <c r="D14" s="6"/>
      <c r="E14" s="8">
        <f t="shared" si="9"/>
        <v>0</v>
      </c>
      <c r="F14" s="6"/>
      <c r="G14" s="8">
        <f t="shared" si="6"/>
        <v>0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45">
        <f t="shared" si="2"/>
        <v>0</v>
      </c>
    </row>
    <row r="15" spans="1:20" outlineLevel="1" x14ac:dyDescent="0.25">
      <c r="A15" s="1" t="s">
        <v>18</v>
      </c>
      <c r="C15" s="8">
        <f t="shared" si="8"/>
        <v>0</v>
      </c>
      <c r="E15" s="8">
        <f t="shared" si="9"/>
        <v>0</v>
      </c>
      <c r="F15" s="2"/>
      <c r="G15" s="8">
        <f t="shared" si="6"/>
        <v>0</v>
      </c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45">
        <f t="shared" si="2"/>
        <v>0</v>
      </c>
    </row>
    <row r="16" spans="1:20" outlineLevel="1" x14ac:dyDescent="0.25">
      <c r="A16" s="1" t="s">
        <v>19</v>
      </c>
      <c r="C16" s="8">
        <f t="shared" si="8"/>
        <v>0</v>
      </c>
      <c r="E16" s="8">
        <f t="shared" si="9"/>
        <v>0</v>
      </c>
      <c r="F16" s="2"/>
      <c r="G16" s="8">
        <f t="shared" si="6"/>
        <v>0</v>
      </c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45">
        <f t="shared" si="2"/>
        <v>0</v>
      </c>
    </row>
    <row r="17" spans="1:20" outlineLevel="1" x14ac:dyDescent="0.25">
      <c r="A17" s="1" t="s">
        <v>20</v>
      </c>
      <c r="C17" s="8">
        <f t="shared" si="8"/>
        <v>0</v>
      </c>
      <c r="E17" s="8">
        <f t="shared" si="9"/>
        <v>0</v>
      </c>
      <c r="F17" s="2"/>
      <c r="G17" s="8">
        <f t="shared" si="6"/>
        <v>0</v>
      </c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45">
        <f t="shared" si="2"/>
        <v>0</v>
      </c>
    </row>
    <row r="18" spans="1:20" outlineLevel="1" x14ac:dyDescent="0.25">
      <c r="A18" s="1" t="s">
        <v>21</v>
      </c>
      <c r="C18" s="8">
        <f t="shared" si="8"/>
        <v>0</v>
      </c>
      <c r="E18" s="8">
        <f t="shared" si="9"/>
        <v>0</v>
      </c>
      <c r="F18" s="2"/>
      <c r="G18" s="8">
        <f t="shared" si="6"/>
        <v>0</v>
      </c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45">
        <f t="shared" si="2"/>
        <v>0</v>
      </c>
    </row>
    <row r="19" spans="1:20" outlineLevel="1" x14ac:dyDescent="0.25">
      <c r="A19" s="1" t="s">
        <v>22</v>
      </c>
      <c r="C19" s="8">
        <f t="shared" si="8"/>
        <v>0</v>
      </c>
      <c r="E19" s="8">
        <f t="shared" si="9"/>
        <v>0</v>
      </c>
      <c r="F19" s="2"/>
      <c r="G19" s="8">
        <f t="shared" si="6"/>
        <v>0</v>
      </c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45">
        <f t="shared" si="2"/>
        <v>0</v>
      </c>
    </row>
    <row r="20" spans="1:20" outlineLevel="1" x14ac:dyDescent="0.25">
      <c r="A20" s="1" t="s">
        <v>23</v>
      </c>
      <c r="C20" s="8">
        <f t="shared" si="8"/>
        <v>0</v>
      </c>
      <c r="E20" s="8">
        <f t="shared" si="9"/>
        <v>0</v>
      </c>
      <c r="F20" s="2"/>
      <c r="G20" s="8">
        <f t="shared" si="6"/>
        <v>0</v>
      </c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45">
        <f t="shared" si="2"/>
        <v>0</v>
      </c>
    </row>
    <row r="21" spans="1:20" outlineLevel="1" x14ac:dyDescent="0.25">
      <c r="A21" s="1" t="s">
        <v>24</v>
      </c>
      <c r="C21" s="8">
        <f t="shared" si="8"/>
        <v>0</v>
      </c>
      <c r="E21" s="8">
        <f t="shared" si="9"/>
        <v>0</v>
      </c>
      <c r="F21" s="2"/>
      <c r="G21" s="8">
        <f t="shared" si="6"/>
        <v>0</v>
      </c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45">
        <f t="shared" si="2"/>
        <v>0</v>
      </c>
    </row>
    <row r="22" spans="1:20" x14ac:dyDescent="0.25">
      <c r="A22" s="5" t="s">
        <v>25</v>
      </c>
      <c r="B22" s="6">
        <f>SUM(B23:B26)</f>
        <v>0</v>
      </c>
      <c r="C22" s="7">
        <f t="shared" si="8"/>
        <v>0</v>
      </c>
      <c r="D22" s="6">
        <f>SUM(D23:D26)</f>
        <v>0</v>
      </c>
      <c r="E22" s="7">
        <f t="shared" si="9"/>
        <v>0</v>
      </c>
      <c r="F22" s="6">
        <v>0</v>
      </c>
      <c r="G22" s="8">
        <f t="shared" si="6"/>
        <v>0</v>
      </c>
      <c r="H22" s="6">
        <v>0</v>
      </c>
      <c r="I22" s="6">
        <v>0</v>
      </c>
      <c r="J22" s="6">
        <v>0</v>
      </c>
      <c r="K22" s="6">
        <v>0</v>
      </c>
      <c r="L22" s="6">
        <v>0</v>
      </c>
      <c r="M22" s="6">
        <v>0</v>
      </c>
      <c r="N22" s="6">
        <v>0</v>
      </c>
      <c r="O22" s="6">
        <v>0</v>
      </c>
      <c r="P22" s="6">
        <v>0</v>
      </c>
      <c r="Q22" s="6">
        <v>0</v>
      </c>
      <c r="R22" s="6">
        <v>0</v>
      </c>
      <c r="S22" s="6">
        <v>0</v>
      </c>
      <c r="T22" s="45">
        <f t="shared" si="2"/>
        <v>0</v>
      </c>
    </row>
    <row r="23" spans="1:20" outlineLevel="1" x14ac:dyDescent="0.25">
      <c r="A23" s="1" t="s">
        <v>26</v>
      </c>
      <c r="C23" s="8">
        <f t="shared" si="8"/>
        <v>0</v>
      </c>
      <c r="E23" s="8">
        <f t="shared" si="9"/>
        <v>0</v>
      </c>
      <c r="F23" s="2"/>
      <c r="G23" s="8">
        <f t="shared" si="6"/>
        <v>0</v>
      </c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45">
        <f t="shared" si="2"/>
        <v>0</v>
      </c>
    </row>
    <row r="24" spans="1:20" outlineLevel="1" x14ac:dyDescent="0.25">
      <c r="A24" s="1" t="s">
        <v>27</v>
      </c>
      <c r="C24" s="8">
        <f t="shared" si="8"/>
        <v>0</v>
      </c>
      <c r="E24" s="8">
        <f t="shared" si="9"/>
        <v>0</v>
      </c>
      <c r="F24" s="2"/>
      <c r="G24" s="8">
        <f t="shared" si="6"/>
        <v>0</v>
      </c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45">
        <f t="shared" si="2"/>
        <v>0</v>
      </c>
    </row>
    <row r="25" spans="1:20" outlineLevel="1" x14ac:dyDescent="0.25">
      <c r="A25" s="1" t="s">
        <v>28</v>
      </c>
      <c r="C25" s="8">
        <f t="shared" si="8"/>
        <v>0</v>
      </c>
      <c r="E25" s="8">
        <f t="shared" si="9"/>
        <v>0</v>
      </c>
      <c r="F25" s="2"/>
      <c r="G25" s="8">
        <f t="shared" si="6"/>
        <v>0</v>
      </c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45">
        <f t="shared" si="2"/>
        <v>0</v>
      </c>
    </row>
    <row r="26" spans="1:20" outlineLevel="1" x14ac:dyDescent="0.25">
      <c r="A26" s="1" t="s">
        <v>29</v>
      </c>
      <c r="C26" s="8">
        <f t="shared" si="8"/>
        <v>0</v>
      </c>
      <c r="E26" s="8">
        <f t="shared" si="9"/>
        <v>0</v>
      </c>
      <c r="F26" s="2"/>
      <c r="G26" s="8">
        <f t="shared" si="6"/>
        <v>0</v>
      </c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45">
        <f t="shared" si="2"/>
        <v>0</v>
      </c>
    </row>
    <row r="27" spans="1:20" x14ac:dyDescent="0.25">
      <c r="A27" s="5" t="s">
        <v>30</v>
      </c>
      <c r="B27" s="6">
        <f>SUM(B28:B36)</f>
        <v>-39990.71</v>
      </c>
      <c r="C27" s="7">
        <f t="shared" si="8"/>
        <v>-0.20603339989929839</v>
      </c>
      <c r="D27" s="6">
        <f>SUM(D28:D36)</f>
        <v>-43700.170000000006</v>
      </c>
      <c r="E27" s="7">
        <f t="shared" si="9"/>
        <v>-0.22525707557041366</v>
      </c>
      <c r="F27" s="6">
        <f>SUM(F28:F36)</f>
        <v>-70000</v>
      </c>
      <c r="G27" s="8">
        <f t="shared" si="6"/>
        <v>-0.20588235294117646</v>
      </c>
      <c r="H27" s="6">
        <f>SUM(H28:H36)</f>
        <v>-5833.333333333333</v>
      </c>
      <c r="I27" s="6">
        <f t="shared" ref="I27:S27" si="10">SUM(I28:I36)</f>
        <v>-5833.333333333333</v>
      </c>
      <c r="J27" s="6">
        <f t="shared" si="10"/>
        <v>-5833.333333333333</v>
      </c>
      <c r="K27" s="6">
        <f t="shared" si="10"/>
        <v>-5833.333333333333</v>
      </c>
      <c r="L27" s="6">
        <f t="shared" si="10"/>
        <v>-5833.333333333333</v>
      </c>
      <c r="M27" s="6">
        <f t="shared" si="10"/>
        <v>-5833.333333333333</v>
      </c>
      <c r="N27" s="6">
        <f t="shared" si="10"/>
        <v>-5833.333333333333</v>
      </c>
      <c r="O27" s="6">
        <f t="shared" si="10"/>
        <v>-5833.333333333333</v>
      </c>
      <c r="P27" s="6">
        <f t="shared" si="10"/>
        <v>-5833.333333333333</v>
      </c>
      <c r="Q27" s="6">
        <f t="shared" si="10"/>
        <v>-5833.333333333333</v>
      </c>
      <c r="R27" s="6">
        <f t="shared" si="10"/>
        <v>-5833.333333333333</v>
      </c>
      <c r="S27" s="6">
        <f t="shared" si="10"/>
        <v>-5833.333333333333</v>
      </c>
      <c r="T27" s="45">
        <f t="shared" si="2"/>
        <v>-70000.000000000015</v>
      </c>
    </row>
    <row r="28" spans="1:20" outlineLevel="1" x14ac:dyDescent="0.25">
      <c r="A28" s="1" t="s">
        <v>31</v>
      </c>
      <c r="B28" s="2">
        <v>-29804.27</v>
      </c>
      <c r="C28" s="8">
        <f t="shared" si="8"/>
        <v>-0.15355253956773116</v>
      </c>
      <c r="D28" s="2">
        <v>-32318.2</v>
      </c>
      <c r="E28" s="8">
        <f t="shared" si="9"/>
        <v>-0.16658752631167664</v>
      </c>
      <c r="F28" s="2">
        <v>-70000</v>
      </c>
      <c r="G28" s="8">
        <f t="shared" si="6"/>
        <v>-0.20588235294117646</v>
      </c>
      <c r="H28" s="2">
        <f>+$F28/12</f>
        <v>-5833.333333333333</v>
      </c>
      <c r="I28" s="2">
        <f t="shared" ref="I28:S28" si="11">+$F28/12</f>
        <v>-5833.333333333333</v>
      </c>
      <c r="J28" s="2">
        <f t="shared" si="11"/>
        <v>-5833.333333333333</v>
      </c>
      <c r="K28" s="2">
        <f t="shared" si="11"/>
        <v>-5833.333333333333</v>
      </c>
      <c r="L28" s="2">
        <f t="shared" si="11"/>
        <v>-5833.333333333333</v>
      </c>
      <c r="M28" s="2">
        <f t="shared" si="11"/>
        <v>-5833.333333333333</v>
      </c>
      <c r="N28" s="2">
        <f t="shared" si="11"/>
        <v>-5833.333333333333</v>
      </c>
      <c r="O28" s="2">
        <f t="shared" si="11"/>
        <v>-5833.333333333333</v>
      </c>
      <c r="P28" s="2">
        <f t="shared" si="11"/>
        <v>-5833.333333333333</v>
      </c>
      <c r="Q28" s="2">
        <f t="shared" si="11"/>
        <v>-5833.333333333333</v>
      </c>
      <c r="R28" s="2">
        <f t="shared" si="11"/>
        <v>-5833.333333333333</v>
      </c>
      <c r="S28" s="2">
        <f t="shared" si="11"/>
        <v>-5833.333333333333</v>
      </c>
      <c r="T28" s="45">
        <f t="shared" si="2"/>
        <v>-70000.000000000015</v>
      </c>
    </row>
    <row r="29" spans="1:20" outlineLevel="1" x14ac:dyDescent="0.25">
      <c r="A29" s="1" t="s">
        <v>32</v>
      </c>
      <c r="C29" s="8">
        <f t="shared" si="8"/>
        <v>0</v>
      </c>
      <c r="E29" s="8">
        <f t="shared" si="9"/>
        <v>0</v>
      </c>
      <c r="F29" s="2"/>
      <c r="G29" s="8">
        <f t="shared" si="6"/>
        <v>0</v>
      </c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45">
        <f t="shared" si="2"/>
        <v>0</v>
      </c>
    </row>
    <row r="30" spans="1:20" outlineLevel="1" x14ac:dyDescent="0.25">
      <c r="A30" s="1" t="s">
        <v>33</v>
      </c>
      <c r="C30" s="8">
        <f t="shared" si="8"/>
        <v>0</v>
      </c>
      <c r="E30" s="8">
        <f t="shared" si="9"/>
        <v>0</v>
      </c>
      <c r="F30" s="2"/>
      <c r="G30" s="8">
        <f t="shared" si="6"/>
        <v>0</v>
      </c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45">
        <f t="shared" si="2"/>
        <v>0</v>
      </c>
    </row>
    <row r="31" spans="1:20" outlineLevel="1" x14ac:dyDescent="0.25">
      <c r="A31" s="1" t="s">
        <v>34</v>
      </c>
      <c r="C31" s="8">
        <f t="shared" si="8"/>
        <v>0</v>
      </c>
      <c r="E31" s="8">
        <f t="shared" si="9"/>
        <v>0</v>
      </c>
      <c r="F31" s="2"/>
      <c r="G31" s="8">
        <f t="shared" si="6"/>
        <v>0</v>
      </c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45">
        <f t="shared" si="2"/>
        <v>0</v>
      </c>
    </row>
    <row r="32" spans="1:20" outlineLevel="1" x14ac:dyDescent="0.25">
      <c r="A32" s="1" t="s">
        <v>35</v>
      </c>
      <c r="C32" s="8">
        <f t="shared" si="8"/>
        <v>0</v>
      </c>
      <c r="E32" s="8">
        <f t="shared" si="9"/>
        <v>0</v>
      </c>
      <c r="F32" s="2"/>
      <c r="G32" s="8">
        <f t="shared" si="6"/>
        <v>0</v>
      </c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45">
        <f t="shared" si="2"/>
        <v>0</v>
      </c>
    </row>
    <row r="33" spans="1:20" outlineLevel="1" x14ac:dyDescent="0.25">
      <c r="A33" s="1" t="s">
        <v>36</v>
      </c>
      <c r="B33" s="2">
        <v>-10186.44</v>
      </c>
      <c r="C33" s="8">
        <f t="shared" si="8"/>
        <v>-5.2480860331567236E-2</v>
      </c>
      <c r="D33" s="2">
        <v>-11040.57</v>
      </c>
      <c r="E33" s="8">
        <f t="shared" si="9"/>
        <v>-5.6909767418077357E-2</v>
      </c>
      <c r="F33" s="2"/>
      <c r="G33" s="8">
        <f t="shared" si="6"/>
        <v>0</v>
      </c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45">
        <f t="shared" si="2"/>
        <v>0</v>
      </c>
    </row>
    <row r="34" spans="1:20" outlineLevel="1" x14ac:dyDescent="0.25">
      <c r="A34" s="1" t="s">
        <v>37</v>
      </c>
      <c r="C34" s="8">
        <f t="shared" si="8"/>
        <v>0</v>
      </c>
      <c r="E34" s="8">
        <f t="shared" si="9"/>
        <v>0</v>
      </c>
      <c r="F34" s="2"/>
      <c r="G34" s="8">
        <f t="shared" si="6"/>
        <v>0</v>
      </c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45">
        <f t="shared" si="2"/>
        <v>0</v>
      </c>
    </row>
    <row r="35" spans="1:20" outlineLevel="1" x14ac:dyDescent="0.25">
      <c r="A35" s="1" t="s">
        <v>38</v>
      </c>
      <c r="C35" s="8">
        <f t="shared" si="8"/>
        <v>0</v>
      </c>
      <c r="E35" s="8">
        <f t="shared" si="9"/>
        <v>0</v>
      </c>
      <c r="F35" s="2"/>
      <c r="G35" s="8">
        <f t="shared" si="6"/>
        <v>0</v>
      </c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45">
        <f t="shared" si="2"/>
        <v>0</v>
      </c>
    </row>
    <row r="36" spans="1:20" outlineLevel="1" x14ac:dyDescent="0.25">
      <c r="A36" s="1" t="s">
        <v>39</v>
      </c>
      <c r="C36" s="8">
        <f t="shared" si="8"/>
        <v>0</v>
      </c>
      <c r="D36" s="2">
        <v>-341.4</v>
      </c>
      <c r="E36" s="8">
        <f t="shared" si="9"/>
        <v>-1.7597818406596406E-3</v>
      </c>
      <c r="F36" s="2"/>
      <c r="G36" s="8">
        <f t="shared" si="6"/>
        <v>0</v>
      </c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45">
        <f t="shared" si="2"/>
        <v>0</v>
      </c>
    </row>
    <row r="37" spans="1:20" x14ac:dyDescent="0.25">
      <c r="A37" s="5" t="s">
        <v>40</v>
      </c>
      <c r="B37" s="6">
        <f>SUM(B38:B121)</f>
        <v>-101512.31999999999</v>
      </c>
      <c r="C37" s="7">
        <f t="shared" si="8"/>
        <v>-0.52299467604515004</v>
      </c>
      <c r="D37" s="6">
        <f>SUM(D38:D121)</f>
        <v>-138723.96000000002</v>
      </c>
      <c r="E37" s="7">
        <f t="shared" si="9"/>
        <v>-0.71506709335792151</v>
      </c>
      <c r="F37" s="6">
        <f>SUM(F38:F133)</f>
        <v>-199700.06</v>
      </c>
      <c r="G37" s="8">
        <f t="shared" si="6"/>
        <v>-0.58735311764705878</v>
      </c>
      <c r="H37" s="6">
        <f>SUM(H38:H133)</f>
        <v>-16641.726666666666</v>
      </c>
      <c r="I37" s="6">
        <f t="shared" ref="I37:S37" si="12">SUM(I38:I133)</f>
        <v>-16638.726666666666</v>
      </c>
      <c r="J37" s="6">
        <f t="shared" si="12"/>
        <v>-16635.726666666666</v>
      </c>
      <c r="K37" s="6">
        <f t="shared" si="12"/>
        <v>-16632.726666666666</v>
      </c>
      <c r="L37" s="6">
        <f t="shared" si="12"/>
        <v>-16629.726666666666</v>
      </c>
      <c r="M37" s="6">
        <f t="shared" si="12"/>
        <v>-16626.726666666666</v>
      </c>
      <c r="N37" s="6">
        <f t="shared" si="12"/>
        <v>-16623.726666666666</v>
      </c>
      <c r="O37" s="6">
        <f t="shared" si="12"/>
        <v>-16620.726666666666</v>
      </c>
      <c r="P37" s="6">
        <f t="shared" si="12"/>
        <v>-16617.726666666666</v>
      </c>
      <c r="Q37" s="6">
        <f t="shared" si="12"/>
        <v>-16614.726666666666</v>
      </c>
      <c r="R37" s="6">
        <f t="shared" si="12"/>
        <v>-16611.726666666666</v>
      </c>
      <c r="S37" s="6">
        <f t="shared" si="12"/>
        <v>-16608.726666666666</v>
      </c>
      <c r="T37" s="45">
        <f t="shared" si="2"/>
        <v>-199502.71999999994</v>
      </c>
    </row>
    <row r="38" spans="1:20" outlineLevel="1" x14ac:dyDescent="0.25">
      <c r="A38" s="10" t="s">
        <v>41</v>
      </c>
      <c r="B38" s="2">
        <v>-30907.96</v>
      </c>
      <c r="C38" s="8">
        <f t="shared" si="8"/>
        <v>-0.15923878527666846</v>
      </c>
      <c r="D38" s="2">
        <v>-31197.96</v>
      </c>
      <c r="E38" s="8">
        <f t="shared" si="9"/>
        <v>-0.16081313261167501</v>
      </c>
      <c r="F38" s="2">
        <v>-25000</v>
      </c>
      <c r="G38" s="8">
        <f t="shared" si="6"/>
        <v>-7.3529411764705885E-2</v>
      </c>
      <c r="H38" s="2">
        <f>+$F38/12</f>
        <v>-2083.3333333333335</v>
      </c>
      <c r="I38" s="2">
        <f t="shared" ref="I38:S38" si="13">+$F38/12</f>
        <v>-2083.3333333333335</v>
      </c>
      <c r="J38" s="2">
        <f t="shared" si="13"/>
        <v>-2083.3333333333335</v>
      </c>
      <c r="K38" s="2">
        <f t="shared" si="13"/>
        <v>-2083.3333333333335</v>
      </c>
      <c r="L38" s="2">
        <f t="shared" si="13"/>
        <v>-2083.3333333333335</v>
      </c>
      <c r="M38" s="2">
        <f t="shared" si="13"/>
        <v>-2083.3333333333335</v>
      </c>
      <c r="N38" s="2">
        <f t="shared" si="13"/>
        <v>-2083.3333333333335</v>
      </c>
      <c r="O38" s="2">
        <f t="shared" si="13"/>
        <v>-2083.3333333333335</v>
      </c>
      <c r="P38" s="2">
        <f t="shared" si="13"/>
        <v>-2083.3333333333335</v>
      </c>
      <c r="Q38" s="2">
        <f t="shared" si="13"/>
        <v>-2083.3333333333335</v>
      </c>
      <c r="R38" s="2">
        <f t="shared" si="13"/>
        <v>-2083.3333333333335</v>
      </c>
      <c r="S38" s="2">
        <f t="shared" si="13"/>
        <v>-2083.3333333333335</v>
      </c>
      <c r="T38" s="45">
        <f t="shared" si="2"/>
        <v>-24999.999999999996</v>
      </c>
    </row>
    <row r="39" spans="1:20" outlineLevel="1" x14ac:dyDescent="0.25">
      <c r="A39" s="1" t="s">
        <v>42</v>
      </c>
      <c r="C39" s="8">
        <f t="shared" si="8"/>
        <v>0</v>
      </c>
      <c r="E39" s="8">
        <f t="shared" si="9"/>
        <v>0</v>
      </c>
      <c r="F39" s="2"/>
      <c r="G39" s="8">
        <f t="shared" si="6"/>
        <v>0</v>
      </c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45">
        <f t="shared" si="2"/>
        <v>0</v>
      </c>
    </row>
    <row r="40" spans="1:20" outlineLevel="1" x14ac:dyDescent="0.25">
      <c r="A40" s="1" t="s">
        <v>43</v>
      </c>
      <c r="C40" s="8">
        <f t="shared" si="8"/>
        <v>0</v>
      </c>
      <c r="E40" s="8">
        <f t="shared" si="9"/>
        <v>0</v>
      </c>
      <c r="F40" s="2"/>
      <c r="G40" s="8">
        <f t="shared" si="6"/>
        <v>0</v>
      </c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45">
        <f t="shared" si="2"/>
        <v>0</v>
      </c>
    </row>
    <row r="41" spans="1:20" outlineLevel="1" x14ac:dyDescent="0.25">
      <c r="A41" s="1" t="s">
        <v>44</v>
      </c>
      <c r="C41" s="8">
        <f t="shared" si="8"/>
        <v>0</v>
      </c>
      <c r="E41" s="8">
        <f t="shared" si="9"/>
        <v>0</v>
      </c>
      <c r="F41" s="2"/>
      <c r="G41" s="8">
        <f t="shared" si="6"/>
        <v>0</v>
      </c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45">
        <f t="shared" si="2"/>
        <v>0</v>
      </c>
    </row>
    <row r="42" spans="1:20" outlineLevel="1" x14ac:dyDescent="0.25">
      <c r="A42" s="1" t="s">
        <v>45</v>
      </c>
      <c r="C42" s="8">
        <f t="shared" ref="C42:C73" si="14">+B42/$B$2</f>
        <v>0</v>
      </c>
      <c r="E42" s="8">
        <f t="shared" ref="E42:E73" si="15">+D42/$D$2</f>
        <v>0</v>
      </c>
      <c r="F42" s="2"/>
      <c r="G42" s="8">
        <f t="shared" si="6"/>
        <v>0</v>
      </c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45">
        <f t="shared" si="2"/>
        <v>0</v>
      </c>
    </row>
    <row r="43" spans="1:20" outlineLevel="1" x14ac:dyDescent="0.25">
      <c r="A43" s="1" t="s">
        <v>46</v>
      </c>
      <c r="C43" s="8">
        <f t="shared" si="14"/>
        <v>0</v>
      </c>
      <c r="E43" s="8">
        <f t="shared" si="15"/>
        <v>0</v>
      </c>
      <c r="F43" s="2"/>
      <c r="G43" s="8">
        <f t="shared" si="6"/>
        <v>0</v>
      </c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45">
        <f t="shared" si="2"/>
        <v>0</v>
      </c>
    </row>
    <row r="44" spans="1:20" outlineLevel="1" x14ac:dyDescent="0.25">
      <c r="A44" s="9" t="s">
        <v>47</v>
      </c>
      <c r="C44" s="8">
        <f t="shared" si="14"/>
        <v>0</v>
      </c>
      <c r="E44" s="8">
        <f t="shared" si="15"/>
        <v>0</v>
      </c>
      <c r="F44" s="2"/>
      <c r="G44" s="8">
        <f t="shared" si="6"/>
        <v>0</v>
      </c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45">
        <f t="shared" si="2"/>
        <v>0</v>
      </c>
    </row>
    <row r="45" spans="1:20" outlineLevel="1" x14ac:dyDescent="0.25">
      <c r="A45" s="9" t="s">
        <v>48</v>
      </c>
      <c r="C45" s="8">
        <f t="shared" si="14"/>
        <v>0</v>
      </c>
      <c r="E45" s="8">
        <f t="shared" si="15"/>
        <v>0</v>
      </c>
      <c r="F45" s="2"/>
      <c r="G45" s="8">
        <f t="shared" si="6"/>
        <v>0</v>
      </c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45">
        <f t="shared" si="2"/>
        <v>0</v>
      </c>
    </row>
    <row r="46" spans="1:20" outlineLevel="1" x14ac:dyDescent="0.25">
      <c r="A46" s="9" t="s">
        <v>49</v>
      </c>
      <c r="C46" s="8">
        <f t="shared" si="14"/>
        <v>0</v>
      </c>
      <c r="E46" s="8">
        <f t="shared" si="15"/>
        <v>0</v>
      </c>
      <c r="F46" s="2"/>
      <c r="G46" s="8">
        <f t="shared" si="6"/>
        <v>0</v>
      </c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45">
        <f t="shared" si="2"/>
        <v>0</v>
      </c>
    </row>
    <row r="47" spans="1:20" outlineLevel="1" x14ac:dyDescent="0.25">
      <c r="A47" s="9" t="s">
        <v>50</v>
      </c>
      <c r="C47" s="8">
        <f t="shared" si="14"/>
        <v>0</v>
      </c>
      <c r="E47" s="8">
        <f t="shared" si="15"/>
        <v>0</v>
      </c>
      <c r="F47" s="2"/>
      <c r="G47" s="8">
        <f t="shared" si="6"/>
        <v>0</v>
      </c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45">
        <f t="shared" si="2"/>
        <v>0</v>
      </c>
    </row>
    <row r="48" spans="1:20" outlineLevel="1" x14ac:dyDescent="0.25">
      <c r="A48" s="9" t="s">
        <v>51</v>
      </c>
      <c r="C48" s="8">
        <f t="shared" si="14"/>
        <v>0</v>
      </c>
      <c r="E48" s="8">
        <f t="shared" si="15"/>
        <v>0</v>
      </c>
      <c r="F48" s="2"/>
      <c r="G48" s="8">
        <f t="shared" si="6"/>
        <v>0</v>
      </c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45">
        <f t="shared" si="2"/>
        <v>0</v>
      </c>
    </row>
    <row r="49" spans="1:20" outlineLevel="1" x14ac:dyDescent="0.25">
      <c r="A49" s="10" t="s">
        <v>52</v>
      </c>
      <c r="B49" s="2">
        <v>-11683.66</v>
      </c>
      <c r="C49" s="8">
        <f t="shared" si="14"/>
        <v>-6.0194585019056591E-2</v>
      </c>
      <c r="D49" s="2">
        <v>-10442.08</v>
      </c>
      <c r="E49" s="8">
        <f t="shared" si="15"/>
        <v>-5.3824788408656184E-2</v>
      </c>
      <c r="F49" s="2">
        <v>-60000</v>
      </c>
      <c r="G49" s="8">
        <f t="shared" si="6"/>
        <v>-0.17647058823529413</v>
      </c>
      <c r="H49" s="2">
        <f>+$F49/12</f>
        <v>-5000</v>
      </c>
      <c r="I49" s="2">
        <f t="shared" ref="I49:S49" si="16">+$F49/12</f>
        <v>-5000</v>
      </c>
      <c r="J49" s="2">
        <f t="shared" si="16"/>
        <v>-5000</v>
      </c>
      <c r="K49" s="2">
        <f t="shared" si="16"/>
        <v>-5000</v>
      </c>
      <c r="L49" s="2">
        <f t="shared" si="16"/>
        <v>-5000</v>
      </c>
      <c r="M49" s="2">
        <f t="shared" si="16"/>
        <v>-5000</v>
      </c>
      <c r="N49" s="2">
        <f t="shared" si="16"/>
        <v>-5000</v>
      </c>
      <c r="O49" s="2">
        <f t="shared" si="16"/>
        <v>-5000</v>
      </c>
      <c r="P49" s="2">
        <f t="shared" si="16"/>
        <v>-5000</v>
      </c>
      <c r="Q49" s="2">
        <f t="shared" si="16"/>
        <v>-5000</v>
      </c>
      <c r="R49" s="2">
        <f t="shared" si="16"/>
        <v>-5000</v>
      </c>
      <c r="S49" s="2">
        <f t="shared" si="16"/>
        <v>-5000</v>
      </c>
      <c r="T49" s="45">
        <f t="shared" si="2"/>
        <v>-60000</v>
      </c>
    </row>
    <row r="50" spans="1:20" outlineLevel="1" x14ac:dyDescent="0.25">
      <c r="A50" s="1" t="s">
        <v>53</v>
      </c>
      <c r="C50" s="8">
        <f t="shared" si="14"/>
        <v>0</v>
      </c>
      <c r="E50" s="8">
        <f t="shared" si="15"/>
        <v>0</v>
      </c>
      <c r="F50" s="2"/>
      <c r="G50" s="8">
        <f t="shared" si="6"/>
        <v>0</v>
      </c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45">
        <f t="shared" si="2"/>
        <v>0</v>
      </c>
    </row>
    <row r="51" spans="1:20" outlineLevel="1" x14ac:dyDescent="0.25">
      <c r="A51" s="1" t="s">
        <v>54</v>
      </c>
      <c r="C51" s="8">
        <f t="shared" si="14"/>
        <v>0</v>
      </c>
      <c r="E51" s="8">
        <f t="shared" si="15"/>
        <v>0</v>
      </c>
      <c r="F51" s="2"/>
      <c r="G51" s="8">
        <f t="shared" si="6"/>
        <v>0</v>
      </c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45">
        <f t="shared" si="2"/>
        <v>0</v>
      </c>
    </row>
    <row r="52" spans="1:20" outlineLevel="1" x14ac:dyDescent="0.25">
      <c r="A52" s="1" t="s">
        <v>55</v>
      </c>
      <c r="C52" s="8">
        <f t="shared" si="14"/>
        <v>0</v>
      </c>
      <c r="E52" s="8">
        <f t="shared" si="15"/>
        <v>0</v>
      </c>
      <c r="F52" s="2"/>
      <c r="G52" s="8">
        <f t="shared" si="6"/>
        <v>0</v>
      </c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45">
        <f t="shared" si="2"/>
        <v>0</v>
      </c>
    </row>
    <row r="53" spans="1:20" outlineLevel="1" x14ac:dyDescent="0.25">
      <c r="A53" s="1" t="s">
        <v>56</v>
      </c>
      <c r="C53" s="8">
        <f t="shared" si="14"/>
        <v>0</v>
      </c>
      <c r="E53" s="8">
        <f t="shared" si="15"/>
        <v>0</v>
      </c>
      <c r="F53" s="2"/>
      <c r="G53" s="8">
        <f t="shared" si="6"/>
        <v>0</v>
      </c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45">
        <f t="shared" si="2"/>
        <v>0</v>
      </c>
    </row>
    <row r="54" spans="1:20" outlineLevel="1" x14ac:dyDescent="0.25">
      <c r="A54" s="1" t="s">
        <v>57</v>
      </c>
      <c r="C54" s="8">
        <f t="shared" si="14"/>
        <v>0</v>
      </c>
      <c r="E54" s="8">
        <f t="shared" si="15"/>
        <v>0</v>
      </c>
      <c r="F54" s="2"/>
      <c r="G54" s="8">
        <f t="shared" si="6"/>
        <v>0</v>
      </c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45">
        <f t="shared" si="2"/>
        <v>0</v>
      </c>
    </row>
    <row r="55" spans="1:20" outlineLevel="1" x14ac:dyDescent="0.25">
      <c r="A55" s="1" t="s">
        <v>58</v>
      </c>
      <c r="C55" s="8">
        <f t="shared" si="14"/>
        <v>0</v>
      </c>
      <c r="E55" s="8">
        <f t="shared" si="15"/>
        <v>0</v>
      </c>
      <c r="F55" s="2"/>
      <c r="G55" s="8">
        <f t="shared" si="6"/>
        <v>0</v>
      </c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45">
        <f t="shared" si="2"/>
        <v>0</v>
      </c>
    </row>
    <row r="56" spans="1:20" outlineLevel="1" x14ac:dyDescent="0.25">
      <c r="A56" s="1" t="s">
        <v>59</v>
      </c>
      <c r="C56" s="8">
        <f t="shared" si="14"/>
        <v>0</v>
      </c>
      <c r="E56" s="8">
        <f t="shared" si="15"/>
        <v>0</v>
      </c>
      <c r="F56" s="2"/>
      <c r="G56" s="8">
        <f t="shared" si="6"/>
        <v>0</v>
      </c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45">
        <f t="shared" si="2"/>
        <v>0</v>
      </c>
    </row>
    <row r="57" spans="1:20" outlineLevel="1" x14ac:dyDescent="0.25">
      <c r="A57" s="1" t="s">
        <v>60</v>
      </c>
      <c r="C57" s="8">
        <f t="shared" si="14"/>
        <v>0</v>
      </c>
      <c r="E57" s="8">
        <f t="shared" si="15"/>
        <v>0</v>
      </c>
      <c r="F57" s="2"/>
      <c r="G57" s="8">
        <f t="shared" si="6"/>
        <v>0</v>
      </c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45">
        <f t="shared" si="2"/>
        <v>0</v>
      </c>
    </row>
    <row r="58" spans="1:20" outlineLevel="1" x14ac:dyDescent="0.25">
      <c r="A58" s="1" t="s">
        <v>61</v>
      </c>
      <c r="C58" s="8">
        <f t="shared" si="14"/>
        <v>0</v>
      </c>
      <c r="E58" s="8">
        <f t="shared" si="15"/>
        <v>0</v>
      </c>
      <c r="F58" s="2"/>
      <c r="G58" s="8">
        <f t="shared" si="6"/>
        <v>0</v>
      </c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45">
        <f t="shared" si="2"/>
        <v>0</v>
      </c>
    </row>
    <row r="59" spans="1:20" outlineLevel="1" x14ac:dyDescent="0.25">
      <c r="A59" s="1" t="s">
        <v>62</v>
      </c>
      <c r="C59" s="8">
        <f t="shared" si="14"/>
        <v>0</v>
      </c>
      <c r="E59" s="8">
        <f t="shared" si="15"/>
        <v>0</v>
      </c>
      <c r="F59" s="2"/>
      <c r="G59" s="8">
        <f t="shared" si="6"/>
        <v>0</v>
      </c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45">
        <f t="shared" si="2"/>
        <v>0</v>
      </c>
    </row>
    <row r="60" spans="1:20" outlineLevel="1" x14ac:dyDescent="0.25">
      <c r="A60" s="1" t="s">
        <v>63</v>
      </c>
      <c r="C60" s="8">
        <f t="shared" si="14"/>
        <v>0</v>
      </c>
      <c r="E60" s="8">
        <f t="shared" si="15"/>
        <v>0</v>
      </c>
      <c r="F60" s="2"/>
      <c r="G60" s="8">
        <f t="shared" si="6"/>
        <v>0</v>
      </c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45">
        <f t="shared" si="2"/>
        <v>0</v>
      </c>
    </row>
    <row r="61" spans="1:20" outlineLevel="1" x14ac:dyDescent="0.25">
      <c r="A61" s="10" t="s">
        <v>64</v>
      </c>
      <c r="B61" s="2">
        <v>-1725.3</v>
      </c>
      <c r="C61" s="8">
        <f t="shared" si="14"/>
        <v>-8.8888000449669317E-3</v>
      </c>
      <c r="D61" s="2">
        <v>-1973.26</v>
      </c>
      <c r="E61" s="8">
        <f t="shared" si="15"/>
        <v>-1.0171374091681437E-2</v>
      </c>
      <c r="F61" s="2">
        <v>-2000</v>
      </c>
      <c r="G61" s="8">
        <f t="shared" si="6"/>
        <v>-5.8823529411764705E-3</v>
      </c>
      <c r="H61" s="2">
        <f>+$F61/12</f>
        <v>-166.66666666666666</v>
      </c>
      <c r="I61" s="2">
        <f t="shared" ref="I61:S61" si="17">+$F61/12</f>
        <v>-166.66666666666666</v>
      </c>
      <c r="J61" s="2">
        <f t="shared" si="17"/>
        <v>-166.66666666666666</v>
      </c>
      <c r="K61" s="2">
        <f t="shared" si="17"/>
        <v>-166.66666666666666</v>
      </c>
      <c r="L61" s="2">
        <f t="shared" si="17"/>
        <v>-166.66666666666666</v>
      </c>
      <c r="M61" s="2">
        <f t="shared" si="17"/>
        <v>-166.66666666666666</v>
      </c>
      <c r="N61" s="2">
        <f t="shared" si="17"/>
        <v>-166.66666666666666</v>
      </c>
      <c r="O61" s="2">
        <f t="shared" si="17"/>
        <v>-166.66666666666666</v>
      </c>
      <c r="P61" s="2">
        <f t="shared" si="17"/>
        <v>-166.66666666666666</v>
      </c>
      <c r="Q61" s="2">
        <f t="shared" si="17"/>
        <v>-166.66666666666666</v>
      </c>
      <c r="R61" s="2">
        <f t="shared" si="17"/>
        <v>-166.66666666666666</v>
      </c>
      <c r="S61" s="2">
        <f t="shared" si="17"/>
        <v>-166.66666666666666</v>
      </c>
      <c r="T61" s="45">
        <f t="shared" si="2"/>
        <v>-2000.0000000000002</v>
      </c>
    </row>
    <row r="62" spans="1:20" outlineLevel="1" x14ac:dyDescent="0.25">
      <c r="A62" s="1" t="s">
        <v>65</v>
      </c>
      <c r="C62" s="8">
        <f t="shared" si="14"/>
        <v>0</v>
      </c>
      <c r="E62" s="8">
        <f t="shared" si="15"/>
        <v>0</v>
      </c>
      <c r="F62" s="2"/>
      <c r="G62" s="8">
        <f t="shared" si="6"/>
        <v>0</v>
      </c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45">
        <f t="shared" si="2"/>
        <v>0</v>
      </c>
    </row>
    <row r="63" spans="1:20" outlineLevel="1" x14ac:dyDescent="0.25">
      <c r="A63" s="1" t="s">
        <v>66</v>
      </c>
      <c r="C63" s="8">
        <f t="shared" si="14"/>
        <v>0</v>
      </c>
      <c r="E63" s="8">
        <f t="shared" si="15"/>
        <v>0</v>
      </c>
      <c r="F63" s="2"/>
      <c r="G63" s="8">
        <f t="shared" si="6"/>
        <v>0</v>
      </c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45">
        <f t="shared" si="2"/>
        <v>0</v>
      </c>
    </row>
    <row r="64" spans="1:20" outlineLevel="1" x14ac:dyDescent="0.25">
      <c r="A64" s="1" t="s">
        <v>67</v>
      </c>
      <c r="C64" s="8">
        <f t="shared" si="14"/>
        <v>0</v>
      </c>
      <c r="E64" s="8">
        <f t="shared" si="15"/>
        <v>0</v>
      </c>
      <c r="F64" s="2"/>
      <c r="G64" s="8">
        <f t="shared" si="6"/>
        <v>0</v>
      </c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45">
        <f t="shared" si="2"/>
        <v>0</v>
      </c>
    </row>
    <row r="65" spans="1:20" outlineLevel="1" x14ac:dyDescent="0.25">
      <c r="A65" s="1" t="s">
        <v>68</v>
      </c>
      <c r="C65" s="8">
        <f t="shared" si="14"/>
        <v>0</v>
      </c>
      <c r="E65" s="8">
        <f t="shared" si="15"/>
        <v>0</v>
      </c>
      <c r="F65" s="2"/>
      <c r="G65" s="8">
        <f t="shared" si="6"/>
        <v>0</v>
      </c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45">
        <f t="shared" si="2"/>
        <v>0</v>
      </c>
    </row>
    <row r="66" spans="1:20" outlineLevel="1" x14ac:dyDescent="0.25">
      <c r="A66" s="1" t="s">
        <v>69</v>
      </c>
      <c r="C66" s="8">
        <f t="shared" si="14"/>
        <v>0</v>
      </c>
      <c r="E66" s="8">
        <f t="shared" si="15"/>
        <v>0</v>
      </c>
      <c r="F66" s="2"/>
      <c r="G66" s="8">
        <f t="shared" si="6"/>
        <v>0</v>
      </c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45">
        <f t="shared" ref="T66:T129" si="18">SUM(H66:S66)</f>
        <v>0</v>
      </c>
    </row>
    <row r="67" spans="1:20" outlineLevel="1" x14ac:dyDescent="0.25">
      <c r="A67" s="1" t="s">
        <v>70</v>
      </c>
      <c r="C67" s="8">
        <f t="shared" si="14"/>
        <v>0</v>
      </c>
      <c r="E67" s="8">
        <f t="shared" si="15"/>
        <v>0</v>
      </c>
      <c r="F67" s="2"/>
      <c r="G67" s="8">
        <f t="shared" si="6"/>
        <v>0</v>
      </c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45">
        <f t="shared" si="18"/>
        <v>0</v>
      </c>
    </row>
    <row r="68" spans="1:20" outlineLevel="1" x14ac:dyDescent="0.25">
      <c r="A68" s="1" t="s">
        <v>71</v>
      </c>
      <c r="C68" s="8">
        <f t="shared" si="14"/>
        <v>0</v>
      </c>
      <c r="E68" s="8">
        <f t="shared" si="15"/>
        <v>0</v>
      </c>
      <c r="F68" s="2"/>
      <c r="G68" s="8">
        <f t="shared" ref="G68:G131" si="19">+F68/$F$2</f>
        <v>0</v>
      </c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45">
        <f t="shared" si="18"/>
        <v>0</v>
      </c>
    </row>
    <row r="69" spans="1:20" outlineLevel="1" x14ac:dyDescent="0.25">
      <c r="A69" s="1" t="s">
        <v>72</v>
      </c>
      <c r="C69" s="8">
        <f t="shared" si="14"/>
        <v>0</v>
      </c>
      <c r="E69" s="8">
        <f t="shared" si="15"/>
        <v>0</v>
      </c>
      <c r="F69" s="2"/>
      <c r="G69" s="8">
        <f t="shared" si="19"/>
        <v>0</v>
      </c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45">
        <f t="shared" si="18"/>
        <v>0</v>
      </c>
    </row>
    <row r="70" spans="1:20" outlineLevel="1" x14ac:dyDescent="0.25">
      <c r="A70" s="1" t="s">
        <v>73</v>
      </c>
      <c r="C70" s="8">
        <f t="shared" si="14"/>
        <v>0</v>
      </c>
      <c r="E70" s="8">
        <f t="shared" si="15"/>
        <v>0</v>
      </c>
      <c r="F70" s="2"/>
      <c r="G70" s="8">
        <f t="shared" si="19"/>
        <v>0</v>
      </c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45">
        <f t="shared" si="18"/>
        <v>0</v>
      </c>
    </row>
    <row r="71" spans="1:20" outlineLevel="1" x14ac:dyDescent="0.25">
      <c r="A71" s="1" t="s">
        <v>74</v>
      </c>
      <c r="C71" s="8">
        <f t="shared" si="14"/>
        <v>0</v>
      </c>
      <c r="E71" s="8">
        <f t="shared" si="15"/>
        <v>0</v>
      </c>
      <c r="F71" s="2"/>
      <c r="G71" s="8">
        <f t="shared" si="19"/>
        <v>0</v>
      </c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45">
        <f t="shared" si="18"/>
        <v>0</v>
      </c>
    </row>
    <row r="72" spans="1:20" outlineLevel="1" x14ac:dyDescent="0.25">
      <c r="A72" s="1" t="s">
        <v>75</v>
      </c>
      <c r="B72" s="2">
        <v>-2928.22</v>
      </c>
      <c r="C72" s="8">
        <f t="shared" si="14"/>
        <v>-1.5086281845286655E-2</v>
      </c>
      <c r="D72" s="2">
        <v>-2957.54</v>
      </c>
      <c r="E72" s="8">
        <f t="shared" si="15"/>
        <v>-1.5244947817880826E-2</v>
      </c>
      <c r="F72" s="2">
        <v>-3000</v>
      </c>
      <c r="G72" s="8">
        <f t="shared" si="19"/>
        <v>-8.8235294117647058E-3</v>
      </c>
      <c r="H72" s="2">
        <f>+$F72/12</f>
        <v>-250</v>
      </c>
      <c r="I72" s="2">
        <f t="shared" ref="I72:S72" si="20">+$F72/12</f>
        <v>-250</v>
      </c>
      <c r="J72" s="2">
        <f t="shared" si="20"/>
        <v>-250</v>
      </c>
      <c r="K72" s="2">
        <f t="shared" si="20"/>
        <v>-250</v>
      </c>
      <c r="L72" s="2">
        <f t="shared" si="20"/>
        <v>-250</v>
      </c>
      <c r="M72" s="2">
        <f t="shared" si="20"/>
        <v>-250</v>
      </c>
      <c r="N72" s="2">
        <f t="shared" si="20"/>
        <v>-250</v>
      </c>
      <c r="O72" s="2">
        <f t="shared" si="20"/>
        <v>-250</v>
      </c>
      <c r="P72" s="2">
        <f t="shared" si="20"/>
        <v>-250</v>
      </c>
      <c r="Q72" s="2">
        <f t="shared" si="20"/>
        <v>-250</v>
      </c>
      <c r="R72" s="2">
        <f t="shared" si="20"/>
        <v>-250</v>
      </c>
      <c r="S72" s="2">
        <f t="shared" si="20"/>
        <v>-250</v>
      </c>
      <c r="T72" s="45">
        <f t="shared" si="18"/>
        <v>-3000</v>
      </c>
    </row>
    <row r="73" spans="1:20" outlineLevel="1" x14ac:dyDescent="0.25">
      <c r="A73" s="1" t="s">
        <v>76</v>
      </c>
      <c r="C73" s="8">
        <f t="shared" si="14"/>
        <v>0</v>
      </c>
      <c r="E73" s="8">
        <f t="shared" si="15"/>
        <v>0</v>
      </c>
      <c r="F73" s="2"/>
      <c r="G73" s="8">
        <f t="shared" si="19"/>
        <v>0</v>
      </c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45">
        <f t="shared" si="18"/>
        <v>0</v>
      </c>
    </row>
    <row r="74" spans="1:20" outlineLevel="1" x14ac:dyDescent="0.25">
      <c r="A74" s="1" t="s">
        <v>77</v>
      </c>
      <c r="C74" s="8">
        <f t="shared" ref="C74:C105" si="21">+B74/$B$2</f>
        <v>0</v>
      </c>
      <c r="E74" s="8">
        <f t="shared" ref="E74:E105" si="22">+D74/$D$2</f>
        <v>0</v>
      </c>
      <c r="F74" s="2"/>
      <c r="G74" s="8">
        <f t="shared" si="19"/>
        <v>0</v>
      </c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45">
        <f t="shared" si="18"/>
        <v>0</v>
      </c>
    </row>
    <row r="75" spans="1:20" outlineLevel="1" x14ac:dyDescent="0.25">
      <c r="A75" s="1" t="s">
        <v>78</v>
      </c>
      <c r="C75" s="8">
        <f t="shared" si="21"/>
        <v>0</v>
      </c>
      <c r="E75" s="8">
        <f t="shared" si="22"/>
        <v>0</v>
      </c>
      <c r="F75" s="2"/>
      <c r="G75" s="8">
        <f t="shared" si="19"/>
        <v>0</v>
      </c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45">
        <f t="shared" si="18"/>
        <v>0</v>
      </c>
    </row>
    <row r="76" spans="1:20" outlineLevel="1" x14ac:dyDescent="0.25">
      <c r="A76" s="1" t="s">
        <v>79</v>
      </c>
      <c r="C76" s="8">
        <f t="shared" si="21"/>
        <v>0</v>
      </c>
      <c r="E76" s="8">
        <f t="shared" si="22"/>
        <v>0</v>
      </c>
      <c r="F76" s="2"/>
      <c r="G76" s="8">
        <f t="shared" si="19"/>
        <v>0</v>
      </c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45">
        <f t="shared" si="18"/>
        <v>0</v>
      </c>
    </row>
    <row r="77" spans="1:20" outlineLevel="1" x14ac:dyDescent="0.25">
      <c r="A77" s="1" t="s">
        <v>80</v>
      </c>
      <c r="B77" s="2">
        <v>-372.57</v>
      </c>
      <c r="C77" s="8">
        <f t="shared" si="21"/>
        <v>-1.9194923971212715E-3</v>
      </c>
      <c r="D77" s="2">
        <v>-293.92</v>
      </c>
      <c r="E77" s="8">
        <f t="shared" si="22"/>
        <v>-1.5150412378637423E-3</v>
      </c>
      <c r="F77" s="2">
        <v>-300</v>
      </c>
      <c r="G77" s="8">
        <f t="shared" si="19"/>
        <v>-8.8235294117647062E-4</v>
      </c>
      <c r="H77" s="2">
        <f t="shared" ref="H77:S78" si="23">+$F77/12</f>
        <v>-25</v>
      </c>
      <c r="I77" s="2">
        <f t="shared" si="23"/>
        <v>-25</v>
      </c>
      <c r="J77" s="2">
        <f t="shared" si="23"/>
        <v>-25</v>
      </c>
      <c r="K77" s="2">
        <f t="shared" si="23"/>
        <v>-25</v>
      </c>
      <c r="L77" s="2">
        <f t="shared" si="23"/>
        <v>-25</v>
      </c>
      <c r="M77" s="2">
        <f t="shared" si="23"/>
        <v>-25</v>
      </c>
      <c r="N77" s="2">
        <f t="shared" si="23"/>
        <v>-25</v>
      </c>
      <c r="O77" s="2">
        <f t="shared" si="23"/>
        <v>-25</v>
      </c>
      <c r="P77" s="2">
        <f t="shared" si="23"/>
        <v>-25</v>
      </c>
      <c r="Q77" s="2">
        <f t="shared" si="23"/>
        <v>-25</v>
      </c>
      <c r="R77" s="2">
        <f t="shared" si="23"/>
        <v>-25</v>
      </c>
      <c r="S77" s="2">
        <f t="shared" si="23"/>
        <v>-25</v>
      </c>
      <c r="T77" s="45">
        <f t="shared" si="18"/>
        <v>-300</v>
      </c>
    </row>
    <row r="78" spans="1:20" outlineLevel="1" x14ac:dyDescent="0.25">
      <c r="A78" s="10" t="s">
        <v>81</v>
      </c>
      <c r="C78" s="8">
        <f t="shared" si="21"/>
        <v>0</v>
      </c>
      <c r="D78" s="2">
        <v>-128.72</v>
      </c>
      <c r="E78" s="8">
        <f t="shared" si="22"/>
        <v>-6.635006400987375E-4</v>
      </c>
      <c r="F78" s="2">
        <v>-1500</v>
      </c>
      <c r="G78" s="8">
        <f t="shared" si="19"/>
        <v>-4.4117647058823529E-3</v>
      </c>
      <c r="H78" s="2">
        <f t="shared" si="23"/>
        <v>-125</v>
      </c>
      <c r="I78" s="2">
        <f t="shared" si="23"/>
        <v>-125</v>
      </c>
      <c r="J78" s="2">
        <f t="shared" si="23"/>
        <v>-125</v>
      </c>
      <c r="K78" s="2">
        <f t="shared" si="23"/>
        <v>-125</v>
      </c>
      <c r="L78" s="2">
        <f t="shared" si="23"/>
        <v>-125</v>
      </c>
      <c r="M78" s="2">
        <f t="shared" si="23"/>
        <v>-125</v>
      </c>
      <c r="N78" s="2">
        <f t="shared" si="23"/>
        <v>-125</v>
      </c>
      <c r="O78" s="2">
        <f t="shared" si="23"/>
        <v>-125</v>
      </c>
      <c r="P78" s="2">
        <f t="shared" si="23"/>
        <v>-125</v>
      </c>
      <c r="Q78" s="2">
        <f t="shared" si="23"/>
        <v>-125</v>
      </c>
      <c r="R78" s="2">
        <f t="shared" si="23"/>
        <v>-125</v>
      </c>
      <c r="S78" s="2">
        <f t="shared" si="23"/>
        <v>-125</v>
      </c>
      <c r="T78" s="45">
        <f t="shared" si="18"/>
        <v>-1500</v>
      </c>
    </row>
    <row r="79" spans="1:20" outlineLevel="1" x14ac:dyDescent="0.25">
      <c r="A79" s="1" t="s">
        <v>82</v>
      </c>
      <c r="C79" s="8">
        <f t="shared" si="21"/>
        <v>0</v>
      </c>
      <c r="E79" s="8">
        <f t="shared" si="22"/>
        <v>0</v>
      </c>
      <c r="F79" s="2"/>
      <c r="G79" s="8">
        <f t="shared" si="19"/>
        <v>0</v>
      </c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45">
        <f t="shared" si="18"/>
        <v>0</v>
      </c>
    </row>
    <row r="80" spans="1:20" outlineLevel="1" x14ac:dyDescent="0.25">
      <c r="A80" s="1" t="s">
        <v>83</v>
      </c>
      <c r="C80" s="8">
        <f t="shared" si="21"/>
        <v>0</v>
      </c>
      <c r="E80" s="8">
        <f t="shared" si="22"/>
        <v>0</v>
      </c>
      <c r="F80" s="2"/>
      <c r="G80" s="8">
        <f t="shared" si="19"/>
        <v>0</v>
      </c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45">
        <f t="shared" si="18"/>
        <v>0</v>
      </c>
    </row>
    <row r="81" spans="1:20" outlineLevel="1" x14ac:dyDescent="0.25">
      <c r="A81" s="1" t="s">
        <v>84</v>
      </c>
      <c r="C81" s="8">
        <f t="shared" si="21"/>
        <v>0</v>
      </c>
      <c r="E81" s="8">
        <f t="shared" si="22"/>
        <v>0</v>
      </c>
      <c r="F81" s="2"/>
      <c r="G81" s="8">
        <f t="shared" si="19"/>
        <v>0</v>
      </c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45">
        <f t="shared" si="18"/>
        <v>0</v>
      </c>
    </row>
    <row r="82" spans="1:20" outlineLevel="1" x14ac:dyDescent="0.25">
      <c r="A82" s="1" t="s">
        <v>85</v>
      </c>
      <c r="C82" s="8">
        <f t="shared" si="21"/>
        <v>0</v>
      </c>
      <c r="E82" s="8">
        <f t="shared" si="22"/>
        <v>0</v>
      </c>
      <c r="F82" s="2"/>
      <c r="G82" s="8">
        <f t="shared" si="19"/>
        <v>0</v>
      </c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45">
        <f t="shared" si="18"/>
        <v>0</v>
      </c>
    </row>
    <row r="83" spans="1:20" outlineLevel="1" x14ac:dyDescent="0.25">
      <c r="A83" s="1" t="s">
        <v>86</v>
      </c>
      <c r="C83" s="8">
        <f t="shared" si="21"/>
        <v>0</v>
      </c>
      <c r="E83" s="8">
        <f t="shared" si="22"/>
        <v>0</v>
      </c>
      <c r="F83" s="2"/>
      <c r="G83" s="8">
        <f t="shared" si="19"/>
        <v>0</v>
      </c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45">
        <f t="shared" si="18"/>
        <v>0</v>
      </c>
    </row>
    <row r="84" spans="1:20" outlineLevel="1" x14ac:dyDescent="0.25">
      <c r="A84" s="1" t="s">
        <v>87</v>
      </c>
      <c r="C84" s="8">
        <f t="shared" si="21"/>
        <v>0</v>
      </c>
      <c r="E84" s="8">
        <f t="shared" si="22"/>
        <v>0</v>
      </c>
      <c r="F84" s="2"/>
      <c r="G84" s="8">
        <f t="shared" si="19"/>
        <v>0</v>
      </c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45">
        <f t="shared" si="18"/>
        <v>0</v>
      </c>
    </row>
    <row r="85" spans="1:20" outlineLevel="1" x14ac:dyDescent="0.25">
      <c r="A85" s="1" t="s">
        <v>88</v>
      </c>
      <c r="C85" s="8">
        <f t="shared" si="21"/>
        <v>0</v>
      </c>
      <c r="E85" s="8">
        <f t="shared" si="22"/>
        <v>0</v>
      </c>
      <c r="F85" s="2"/>
      <c r="G85" s="8">
        <f t="shared" si="19"/>
        <v>0</v>
      </c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45">
        <f t="shared" si="18"/>
        <v>0</v>
      </c>
    </row>
    <row r="86" spans="1:20" outlineLevel="1" x14ac:dyDescent="0.25">
      <c r="A86" s="1" t="s">
        <v>89</v>
      </c>
      <c r="C86" s="8">
        <f t="shared" si="21"/>
        <v>0</v>
      </c>
      <c r="E86" s="8">
        <f t="shared" si="22"/>
        <v>0</v>
      </c>
      <c r="F86" s="2"/>
      <c r="G86" s="8">
        <f t="shared" si="19"/>
        <v>0</v>
      </c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45">
        <f t="shared" si="18"/>
        <v>0</v>
      </c>
    </row>
    <row r="87" spans="1:20" outlineLevel="1" x14ac:dyDescent="0.25">
      <c r="A87" s="1" t="s">
        <v>90</v>
      </c>
      <c r="C87" s="8">
        <f t="shared" si="21"/>
        <v>0</v>
      </c>
      <c r="E87" s="8">
        <f t="shared" si="22"/>
        <v>0</v>
      </c>
      <c r="F87" s="2"/>
      <c r="G87" s="8">
        <f t="shared" si="19"/>
        <v>0</v>
      </c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45">
        <f t="shared" si="18"/>
        <v>0</v>
      </c>
    </row>
    <row r="88" spans="1:20" outlineLevel="1" x14ac:dyDescent="0.25">
      <c r="A88" s="1" t="s">
        <v>91</v>
      </c>
      <c r="C88" s="8">
        <f t="shared" si="21"/>
        <v>0</v>
      </c>
      <c r="E88" s="8">
        <f t="shared" si="22"/>
        <v>0</v>
      </c>
      <c r="F88" s="2"/>
      <c r="G88" s="8">
        <f t="shared" si="19"/>
        <v>0</v>
      </c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45">
        <f t="shared" si="18"/>
        <v>0</v>
      </c>
    </row>
    <row r="89" spans="1:20" outlineLevel="1" x14ac:dyDescent="0.25">
      <c r="A89" s="10" t="s">
        <v>92</v>
      </c>
      <c r="B89" s="2">
        <v>-459.32</v>
      </c>
      <c r="C89" s="8">
        <f t="shared" si="21"/>
        <v>-2.3664311346746716E-3</v>
      </c>
      <c r="D89" s="2">
        <v>-451.79</v>
      </c>
      <c r="E89" s="8">
        <f t="shared" si="22"/>
        <v>-2.3287985875560021E-3</v>
      </c>
      <c r="F89" s="2">
        <v>-500</v>
      </c>
      <c r="G89" s="8">
        <f t="shared" si="19"/>
        <v>-1.4705882352941176E-3</v>
      </c>
      <c r="H89" s="2">
        <f>+$F89/12</f>
        <v>-41.666666666666664</v>
      </c>
      <c r="I89" s="2">
        <f t="shared" ref="I89:S89" si="24">+$F89/12</f>
        <v>-41.666666666666664</v>
      </c>
      <c r="J89" s="2">
        <f t="shared" si="24"/>
        <v>-41.666666666666664</v>
      </c>
      <c r="K89" s="2">
        <f t="shared" si="24"/>
        <v>-41.666666666666664</v>
      </c>
      <c r="L89" s="2">
        <f t="shared" si="24"/>
        <v>-41.666666666666664</v>
      </c>
      <c r="M89" s="2">
        <f t="shared" si="24"/>
        <v>-41.666666666666664</v>
      </c>
      <c r="N89" s="2">
        <f t="shared" si="24"/>
        <v>-41.666666666666664</v>
      </c>
      <c r="O89" s="2">
        <f t="shared" si="24"/>
        <v>-41.666666666666664</v>
      </c>
      <c r="P89" s="2">
        <f t="shared" si="24"/>
        <v>-41.666666666666664</v>
      </c>
      <c r="Q89" s="2">
        <f t="shared" si="24"/>
        <v>-41.666666666666664</v>
      </c>
      <c r="R89" s="2">
        <f t="shared" si="24"/>
        <v>-41.666666666666664</v>
      </c>
      <c r="S89" s="2">
        <f t="shared" si="24"/>
        <v>-41.666666666666664</v>
      </c>
      <c r="T89" s="45">
        <f t="shared" si="18"/>
        <v>-500.00000000000006</v>
      </c>
    </row>
    <row r="90" spans="1:20" outlineLevel="1" x14ac:dyDescent="0.25">
      <c r="A90" s="1" t="s">
        <v>93</v>
      </c>
      <c r="B90" s="2">
        <v>-7671.72</v>
      </c>
      <c r="C90" s="8">
        <f t="shared" si="21"/>
        <v>-3.9524943535022145E-2</v>
      </c>
      <c r="D90" s="2">
        <v>-8019.32</v>
      </c>
      <c r="E90" s="8">
        <f t="shared" si="22"/>
        <v>-4.1336419772813916E-2</v>
      </c>
      <c r="F90" s="2">
        <v>-8500</v>
      </c>
      <c r="G90" s="8">
        <f t="shared" si="19"/>
        <v>-2.5000000000000001E-2</v>
      </c>
      <c r="H90" s="2">
        <f t="shared" ref="H90:S121" si="25">+$F90/12</f>
        <v>-708.33333333333337</v>
      </c>
      <c r="I90" s="2">
        <f t="shared" si="25"/>
        <v>-708.33333333333337</v>
      </c>
      <c r="J90" s="2">
        <f t="shared" si="25"/>
        <v>-708.33333333333337</v>
      </c>
      <c r="K90" s="2">
        <f t="shared" si="25"/>
        <v>-708.33333333333337</v>
      </c>
      <c r="L90" s="2">
        <f t="shared" si="25"/>
        <v>-708.33333333333337</v>
      </c>
      <c r="M90" s="2">
        <f t="shared" si="25"/>
        <v>-708.33333333333337</v>
      </c>
      <c r="N90" s="2">
        <f t="shared" si="25"/>
        <v>-708.33333333333337</v>
      </c>
      <c r="O90" s="2">
        <f t="shared" si="25"/>
        <v>-708.33333333333337</v>
      </c>
      <c r="P90" s="2">
        <f t="shared" si="25"/>
        <v>-708.33333333333337</v>
      </c>
      <c r="Q90" s="2">
        <f t="shared" si="25"/>
        <v>-708.33333333333337</v>
      </c>
      <c r="R90" s="2">
        <f t="shared" si="25"/>
        <v>-708.33333333333337</v>
      </c>
      <c r="S90" s="2">
        <f t="shared" si="25"/>
        <v>-708.33333333333337</v>
      </c>
      <c r="T90" s="45">
        <f t="shared" si="18"/>
        <v>-8499.9999999999982</v>
      </c>
    </row>
    <row r="91" spans="1:20" outlineLevel="1" x14ac:dyDescent="0.25">
      <c r="A91" s="1" t="s">
        <v>94</v>
      </c>
      <c r="B91" s="2">
        <v>-175.51</v>
      </c>
      <c r="C91" s="8">
        <f t="shared" si="21"/>
        <v>-9.0423305853599143E-4</v>
      </c>
      <c r="D91" s="2">
        <v>-178.89</v>
      </c>
      <c r="E91" s="8">
        <f t="shared" si="22"/>
        <v>-9.2210712793088206E-4</v>
      </c>
      <c r="F91" s="2">
        <v>-200</v>
      </c>
      <c r="G91" s="8">
        <f t="shared" si="19"/>
        <v>-5.8823529411764701E-4</v>
      </c>
      <c r="H91" s="2">
        <f t="shared" si="25"/>
        <v>-16.666666666666668</v>
      </c>
      <c r="I91" s="2">
        <f t="shared" si="25"/>
        <v>-16.666666666666668</v>
      </c>
      <c r="J91" s="2">
        <f t="shared" si="25"/>
        <v>-16.666666666666668</v>
      </c>
      <c r="K91" s="2">
        <f t="shared" si="25"/>
        <v>-16.666666666666668</v>
      </c>
      <c r="L91" s="2">
        <f t="shared" si="25"/>
        <v>-16.666666666666668</v>
      </c>
      <c r="M91" s="2">
        <f t="shared" si="25"/>
        <v>-16.666666666666668</v>
      </c>
      <c r="N91" s="2">
        <f t="shared" si="25"/>
        <v>-16.666666666666668</v>
      </c>
      <c r="O91" s="2">
        <f t="shared" si="25"/>
        <v>-16.666666666666668</v>
      </c>
      <c r="P91" s="2">
        <f t="shared" si="25"/>
        <v>-16.666666666666668</v>
      </c>
      <c r="Q91" s="2">
        <f t="shared" si="25"/>
        <v>-16.666666666666668</v>
      </c>
      <c r="R91" s="2">
        <f t="shared" si="25"/>
        <v>-16.666666666666668</v>
      </c>
      <c r="S91" s="2">
        <f t="shared" si="25"/>
        <v>-16.666666666666668</v>
      </c>
      <c r="T91" s="45">
        <f t="shared" si="18"/>
        <v>-199.99999999999997</v>
      </c>
    </row>
    <row r="92" spans="1:20" outlineLevel="1" x14ac:dyDescent="0.25">
      <c r="A92" s="10" t="s">
        <v>95</v>
      </c>
      <c r="B92" s="2">
        <v>-185.25</v>
      </c>
      <c r="C92" s="8">
        <f t="shared" si="21"/>
        <v>-9.544138458993358E-4</v>
      </c>
      <c r="D92" s="2">
        <v>-152.15</v>
      </c>
      <c r="E92" s="8">
        <f t="shared" si="22"/>
        <v>-7.842730142248517E-4</v>
      </c>
      <c r="F92" s="2">
        <v>-200</v>
      </c>
      <c r="G92" s="8">
        <f t="shared" si="19"/>
        <v>-5.8823529411764701E-4</v>
      </c>
      <c r="H92" s="2">
        <f t="shared" si="25"/>
        <v>-16.666666666666668</v>
      </c>
      <c r="I92" s="2">
        <f t="shared" si="25"/>
        <v>-16.666666666666668</v>
      </c>
      <c r="J92" s="2">
        <f t="shared" si="25"/>
        <v>-16.666666666666668</v>
      </c>
      <c r="K92" s="2">
        <f t="shared" si="25"/>
        <v>-16.666666666666668</v>
      </c>
      <c r="L92" s="2">
        <f t="shared" si="25"/>
        <v>-16.666666666666668</v>
      </c>
      <c r="M92" s="2">
        <f t="shared" si="25"/>
        <v>-16.666666666666668</v>
      </c>
      <c r="N92" s="2">
        <f t="shared" si="25"/>
        <v>-16.666666666666668</v>
      </c>
      <c r="O92" s="2">
        <f t="shared" si="25"/>
        <v>-16.666666666666668</v>
      </c>
      <c r="P92" s="2">
        <f t="shared" si="25"/>
        <v>-16.666666666666668</v>
      </c>
      <c r="Q92" s="2">
        <f t="shared" si="25"/>
        <v>-16.666666666666668</v>
      </c>
      <c r="R92" s="2">
        <f t="shared" si="25"/>
        <v>-16.666666666666668</v>
      </c>
      <c r="S92" s="2">
        <f t="shared" si="25"/>
        <v>-16.666666666666668</v>
      </c>
      <c r="T92" s="45">
        <f t="shared" si="18"/>
        <v>-199.99999999999997</v>
      </c>
    </row>
    <row r="93" spans="1:20" outlineLevel="1" x14ac:dyDescent="0.25">
      <c r="A93" s="9" t="s">
        <v>96</v>
      </c>
      <c r="C93" s="8">
        <f t="shared" si="21"/>
        <v>0</v>
      </c>
      <c r="E93" s="8">
        <f t="shared" si="22"/>
        <v>0</v>
      </c>
      <c r="F93" s="2">
        <v>0</v>
      </c>
      <c r="G93" s="8">
        <f t="shared" si="19"/>
        <v>0</v>
      </c>
      <c r="H93" s="2">
        <f t="shared" si="25"/>
        <v>0</v>
      </c>
      <c r="I93" s="2">
        <f t="shared" si="25"/>
        <v>0</v>
      </c>
      <c r="J93" s="2">
        <f t="shared" si="25"/>
        <v>0</v>
      </c>
      <c r="K93" s="2">
        <f t="shared" si="25"/>
        <v>0</v>
      </c>
      <c r="L93" s="2">
        <f t="shared" si="25"/>
        <v>0</v>
      </c>
      <c r="M93" s="2">
        <f t="shared" si="25"/>
        <v>0</v>
      </c>
      <c r="N93" s="2">
        <f t="shared" si="25"/>
        <v>0</v>
      </c>
      <c r="O93" s="2">
        <f t="shared" si="25"/>
        <v>0</v>
      </c>
      <c r="P93" s="2">
        <f t="shared" si="25"/>
        <v>0</v>
      </c>
      <c r="Q93" s="2">
        <f t="shared" si="25"/>
        <v>0</v>
      </c>
      <c r="R93" s="2">
        <f t="shared" si="25"/>
        <v>0</v>
      </c>
      <c r="S93" s="2">
        <f t="shared" si="25"/>
        <v>0</v>
      </c>
      <c r="T93" s="45">
        <f t="shared" si="18"/>
        <v>0</v>
      </c>
    </row>
    <row r="94" spans="1:20" outlineLevel="1" x14ac:dyDescent="0.25">
      <c r="A94" s="1" t="s">
        <v>97</v>
      </c>
      <c r="C94" s="8">
        <f t="shared" si="21"/>
        <v>0</v>
      </c>
      <c r="E94" s="8">
        <f t="shared" si="22"/>
        <v>0</v>
      </c>
      <c r="F94" s="2">
        <v>0</v>
      </c>
      <c r="G94" s="8">
        <f t="shared" si="19"/>
        <v>0</v>
      </c>
      <c r="H94" s="2">
        <f t="shared" si="25"/>
        <v>0</v>
      </c>
      <c r="I94" s="2">
        <f t="shared" si="25"/>
        <v>0</v>
      </c>
      <c r="J94" s="2">
        <f t="shared" si="25"/>
        <v>0</v>
      </c>
      <c r="K94" s="2">
        <f t="shared" si="25"/>
        <v>0</v>
      </c>
      <c r="L94" s="2">
        <f t="shared" si="25"/>
        <v>0</v>
      </c>
      <c r="M94" s="2">
        <f t="shared" si="25"/>
        <v>0</v>
      </c>
      <c r="N94" s="2">
        <f t="shared" si="25"/>
        <v>0</v>
      </c>
      <c r="O94" s="2">
        <f t="shared" si="25"/>
        <v>0</v>
      </c>
      <c r="P94" s="2">
        <f t="shared" si="25"/>
        <v>0</v>
      </c>
      <c r="Q94" s="2">
        <f t="shared" si="25"/>
        <v>0</v>
      </c>
      <c r="R94" s="2">
        <f t="shared" si="25"/>
        <v>0</v>
      </c>
      <c r="S94" s="2">
        <f t="shared" si="25"/>
        <v>0</v>
      </c>
      <c r="T94" s="45">
        <f t="shared" si="18"/>
        <v>0</v>
      </c>
    </row>
    <row r="95" spans="1:20" outlineLevel="1" x14ac:dyDescent="0.25">
      <c r="A95" s="1" t="s">
        <v>98</v>
      </c>
      <c r="B95" s="2">
        <v>-9582.11</v>
      </c>
      <c r="C95" s="8">
        <f t="shared" si="21"/>
        <v>-4.9367333100839322E-2</v>
      </c>
      <c r="D95" s="2">
        <v>-2369.7399999999998</v>
      </c>
      <c r="E95" s="8">
        <f t="shared" si="22"/>
        <v>-1.2215071526317449E-2</v>
      </c>
      <c r="F95" s="2">
        <v>-2500</v>
      </c>
      <c r="G95" s="8">
        <f t="shared" si="19"/>
        <v>-7.3529411764705881E-3</v>
      </c>
      <c r="H95" s="2">
        <f t="shared" si="25"/>
        <v>-208.33333333333334</v>
      </c>
      <c r="I95" s="2">
        <f t="shared" si="25"/>
        <v>-208.33333333333334</v>
      </c>
      <c r="J95" s="2">
        <f t="shared" si="25"/>
        <v>-208.33333333333334</v>
      </c>
      <c r="K95" s="2">
        <f t="shared" si="25"/>
        <v>-208.33333333333334</v>
      </c>
      <c r="L95" s="2">
        <f t="shared" si="25"/>
        <v>-208.33333333333334</v>
      </c>
      <c r="M95" s="2">
        <f t="shared" si="25"/>
        <v>-208.33333333333334</v>
      </c>
      <c r="N95" s="2">
        <f t="shared" si="25"/>
        <v>-208.33333333333334</v>
      </c>
      <c r="O95" s="2">
        <f t="shared" si="25"/>
        <v>-208.33333333333334</v>
      </c>
      <c r="P95" s="2">
        <f t="shared" si="25"/>
        <v>-208.33333333333334</v>
      </c>
      <c r="Q95" s="2">
        <f t="shared" si="25"/>
        <v>-208.33333333333334</v>
      </c>
      <c r="R95" s="2">
        <f t="shared" si="25"/>
        <v>-208.33333333333334</v>
      </c>
      <c r="S95" s="2">
        <f t="shared" si="25"/>
        <v>-208.33333333333334</v>
      </c>
      <c r="T95" s="45">
        <f t="shared" si="18"/>
        <v>-2500</v>
      </c>
    </row>
    <row r="96" spans="1:20" outlineLevel="1" x14ac:dyDescent="0.25">
      <c r="A96" s="1" t="s">
        <v>99</v>
      </c>
      <c r="C96" s="8">
        <f t="shared" si="21"/>
        <v>0</v>
      </c>
      <c r="E96" s="8">
        <f t="shared" si="22"/>
        <v>0</v>
      </c>
      <c r="F96" s="2">
        <v>0</v>
      </c>
      <c r="G96" s="8">
        <f t="shared" si="19"/>
        <v>0</v>
      </c>
      <c r="H96" s="2">
        <f t="shared" si="25"/>
        <v>0</v>
      </c>
      <c r="I96" s="2">
        <f t="shared" si="25"/>
        <v>0</v>
      </c>
      <c r="J96" s="2">
        <f t="shared" si="25"/>
        <v>0</v>
      </c>
      <c r="K96" s="2">
        <f t="shared" si="25"/>
        <v>0</v>
      </c>
      <c r="L96" s="2">
        <f t="shared" si="25"/>
        <v>0</v>
      </c>
      <c r="M96" s="2">
        <f t="shared" si="25"/>
        <v>0</v>
      </c>
      <c r="N96" s="2">
        <f t="shared" si="25"/>
        <v>0</v>
      </c>
      <c r="O96" s="2">
        <f t="shared" si="25"/>
        <v>0</v>
      </c>
      <c r="P96" s="2">
        <f t="shared" si="25"/>
        <v>0</v>
      </c>
      <c r="Q96" s="2">
        <f t="shared" si="25"/>
        <v>0</v>
      </c>
      <c r="R96" s="2">
        <f t="shared" si="25"/>
        <v>0</v>
      </c>
      <c r="S96" s="2">
        <f t="shared" si="25"/>
        <v>0</v>
      </c>
      <c r="T96" s="45">
        <f t="shared" si="18"/>
        <v>0</v>
      </c>
    </row>
    <row r="97" spans="1:20" outlineLevel="1" x14ac:dyDescent="0.25">
      <c r="A97" s="10" t="s">
        <v>100</v>
      </c>
      <c r="B97" s="2">
        <v>-3430.45</v>
      </c>
      <c r="C97" s="8">
        <f t="shared" si="21"/>
        <v>-1.7673786654064109E-2</v>
      </c>
      <c r="E97" s="8">
        <f t="shared" si="22"/>
        <v>0</v>
      </c>
      <c r="F97" s="2">
        <v>0</v>
      </c>
      <c r="G97" s="8">
        <f t="shared" si="19"/>
        <v>0</v>
      </c>
      <c r="H97" s="2">
        <f t="shared" si="25"/>
        <v>0</v>
      </c>
      <c r="I97" s="2">
        <f t="shared" si="25"/>
        <v>0</v>
      </c>
      <c r="J97" s="2">
        <f t="shared" si="25"/>
        <v>0</v>
      </c>
      <c r="K97" s="2">
        <f t="shared" si="25"/>
        <v>0</v>
      </c>
      <c r="L97" s="2">
        <f t="shared" si="25"/>
        <v>0</v>
      </c>
      <c r="M97" s="2">
        <f t="shared" si="25"/>
        <v>0</v>
      </c>
      <c r="N97" s="2">
        <f t="shared" si="25"/>
        <v>0</v>
      </c>
      <c r="O97" s="2">
        <f t="shared" si="25"/>
        <v>0</v>
      </c>
      <c r="P97" s="2">
        <f t="shared" si="25"/>
        <v>0</v>
      </c>
      <c r="Q97" s="2">
        <f t="shared" si="25"/>
        <v>0</v>
      </c>
      <c r="R97" s="2">
        <f t="shared" si="25"/>
        <v>0</v>
      </c>
      <c r="S97" s="2">
        <f t="shared" si="25"/>
        <v>0</v>
      </c>
      <c r="T97" s="45">
        <f t="shared" si="18"/>
        <v>0</v>
      </c>
    </row>
    <row r="98" spans="1:20" outlineLevel="1" x14ac:dyDescent="0.25">
      <c r="A98" s="1" t="s">
        <v>101</v>
      </c>
      <c r="C98" s="8">
        <f t="shared" si="21"/>
        <v>0</v>
      </c>
      <c r="E98" s="8">
        <f t="shared" si="22"/>
        <v>0</v>
      </c>
      <c r="F98" s="2">
        <v>0</v>
      </c>
      <c r="G98" s="8">
        <f t="shared" si="19"/>
        <v>0</v>
      </c>
      <c r="H98" s="2">
        <f t="shared" si="25"/>
        <v>0</v>
      </c>
      <c r="I98" s="2">
        <f t="shared" si="25"/>
        <v>0</v>
      </c>
      <c r="J98" s="2">
        <f t="shared" si="25"/>
        <v>0</v>
      </c>
      <c r="K98" s="2">
        <f t="shared" si="25"/>
        <v>0</v>
      </c>
      <c r="L98" s="2">
        <f t="shared" si="25"/>
        <v>0</v>
      </c>
      <c r="M98" s="2">
        <f t="shared" si="25"/>
        <v>0</v>
      </c>
      <c r="N98" s="2">
        <f t="shared" si="25"/>
        <v>0</v>
      </c>
      <c r="O98" s="2">
        <f t="shared" si="25"/>
        <v>0</v>
      </c>
      <c r="P98" s="2">
        <f t="shared" si="25"/>
        <v>0</v>
      </c>
      <c r="Q98" s="2">
        <f t="shared" si="25"/>
        <v>0</v>
      </c>
      <c r="R98" s="2">
        <f t="shared" si="25"/>
        <v>0</v>
      </c>
      <c r="S98" s="2">
        <f t="shared" si="25"/>
        <v>0</v>
      </c>
      <c r="T98" s="45">
        <f t="shared" si="18"/>
        <v>0</v>
      </c>
    </row>
    <row r="99" spans="1:20" outlineLevel="1" x14ac:dyDescent="0.25">
      <c r="A99" s="1" t="s">
        <v>102</v>
      </c>
      <c r="B99" s="2">
        <v>-206.8</v>
      </c>
      <c r="C99" s="8">
        <f t="shared" si="21"/>
        <v>-1.0654401259486243E-3</v>
      </c>
      <c r="D99" s="2">
        <v>-49.58</v>
      </c>
      <c r="E99" s="8">
        <f t="shared" si="22"/>
        <v>-2.5556527141155531E-4</v>
      </c>
      <c r="F99" s="2">
        <v>0</v>
      </c>
      <c r="G99" s="8">
        <f t="shared" si="19"/>
        <v>0</v>
      </c>
      <c r="H99" s="2">
        <f t="shared" si="25"/>
        <v>0</v>
      </c>
      <c r="I99" s="2">
        <f t="shared" si="25"/>
        <v>0</v>
      </c>
      <c r="J99" s="2">
        <f t="shared" si="25"/>
        <v>0</v>
      </c>
      <c r="K99" s="2">
        <f t="shared" si="25"/>
        <v>0</v>
      </c>
      <c r="L99" s="2">
        <f t="shared" si="25"/>
        <v>0</v>
      </c>
      <c r="M99" s="2">
        <f t="shared" si="25"/>
        <v>0</v>
      </c>
      <c r="N99" s="2">
        <f t="shared" si="25"/>
        <v>0</v>
      </c>
      <c r="O99" s="2">
        <f t="shared" si="25"/>
        <v>0</v>
      </c>
      <c r="P99" s="2">
        <f t="shared" si="25"/>
        <v>0</v>
      </c>
      <c r="Q99" s="2">
        <f t="shared" si="25"/>
        <v>0</v>
      </c>
      <c r="R99" s="2">
        <f t="shared" si="25"/>
        <v>0</v>
      </c>
      <c r="S99" s="2">
        <f t="shared" si="25"/>
        <v>0</v>
      </c>
      <c r="T99" s="45">
        <f t="shared" si="18"/>
        <v>0</v>
      </c>
    </row>
    <row r="100" spans="1:20" outlineLevel="1" x14ac:dyDescent="0.25">
      <c r="A100" s="1" t="s">
        <v>103</v>
      </c>
      <c r="C100" s="8">
        <f t="shared" si="21"/>
        <v>0</v>
      </c>
      <c r="E100" s="8">
        <f t="shared" si="22"/>
        <v>0</v>
      </c>
      <c r="F100" s="2">
        <v>0</v>
      </c>
      <c r="G100" s="8">
        <f t="shared" si="19"/>
        <v>0</v>
      </c>
      <c r="H100" s="2">
        <f t="shared" si="25"/>
        <v>0</v>
      </c>
      <c r="I100" s="2">
        <f t="shared" si="25"/>
        <v>0</v>
      </c>
      <c r="J100" s="2">
        <f t="shared" si="25"/>
        <v>0</v>
      </c>
      <c r="K100" s="2">
        <f t="shared" si="25"/>
        <v>0</v>
      </c>
      <c r="L100" s="2">
        <f t="shared" si="25"/>
        <v>0</v>
      </c>
      <c r="M100" s="2">
        <f t="shared" si="25"/>
        <v>0</v>
      </c>
      <c r="N100" s="2">
        <f t="shared" si="25"/>
        <v>0</v>
      </c>
      <c r="O100" s="2">
        <f t="shared" si="25"/>
        <v>0</v>
      </c>
      <c r="P100" s="2">
        <f t="shared" si="25"/>
        <v>0</v>
      </c>
      <c r="Q100" s="2">
        <f t="shared" si="25"/>
        <v>0</v>
      </c>
      <c r="R100" s="2">
        <f t="shared" si="25"/>
        <v>0</v>
      </c>
      <c r="S100" s="2">
        <f t="shared" si="25"/>
        <v>0</v>
      </c>
      <c r="T100" s="45">
        <f t="shared" si="18"/>
        <v>0</v>
      </c>
    </row>
    <row r="101" spans="1:20" outlineLevel="1" x14ac:dyDescent="0.25">
      <c r="A101" s="1" t="s">
        <v>104</v>
      </c>
      <c r="C101" s="8">
        <f t="shared" si="21"/>
        <v>0</v>
      </c>
      <c r="E101" s="8">
        <f t="shared" si="22"/>
        <v>0</v>
      </c>
      <c r="F101" s="2">
        <v>0</v>
      </c>
      <c r="G101" s="8">
        <f t="shared" si="19"/>
        <v>0</v>
      </c>
      <c r="H101" s="2">
        <f t="shared" si="25"/>
        <v>0</v>
      </c>
      <c r="I101" s="2">
        <f t="shared" si="25"/>
        <v>0</v>
      </c>
      <c r="J101" s="2">
        <f t="shared" si="25"/>
        <v>0</v>
      </c>
      <c r="K101" s="2">
        <f t="shared" si="25"/>
        <v>0</v>
      </c>
      <c r="L101" s="2">
        <f t="shared" si="25"/>
        <v>0</v>
      </c>
      <c r="M101" s="2">
        <f t="shared" si="25"/>
        <v>0</v>
      </c>
      <c r="N101" s="2">
        <f t="shared" si="25"/>
        <v>0</v>
      </c>
      <c r="O101" s="2">
        <f t="shared" si="25"/>
        <v>0</v>
      </c>
      <c r="P101" s="2">
        <f t="shared" si="25"/>
        <v>0</v>
      </c>
      <c r="Q101" s="2">
        <f t="shared" si="25"/>
        <v>0</v>
      </c>
      <c r="R101" s="2">
        <f t="shared" si="25"/>
        <v>0</v>
      </c>
      <c r="S101" s="2">
        <f t="shared" si="25"/>
        <v>0</v>
      </c>
      <c r="T101" s="45">
        <f t="shared" si="18"/>
        <v>0</v>
      </c>
    </row>
    <row r="102" spans="1:20" outlineLevel="1" x14ac:dyDescent="0.25">
      <c r="A102" s="10" t="s">
        <v>105</v>
      </c>
      <c r="B102" s="2">
        <v>-2167.79</v>
      </c>
      <c r="C102" s="8">
        <f t="shared" si="21"/>
        <v>-1.1168522488540465E-2</v>
      </c>
      <c r="D102" s="2">
        <v>-2059.2199999999998</v>
      </c>
      <c r="E102" s="8">
        <f t="shared" si="22"/>
        <v>-1.0614463860348989E-2</v>
      </c>
      <c r="F102" s="2">
        <v>-2500</v>
      </c>
      <c r="G102" s="8">
        <f t="shared" si="19"/>
        <v>-7.3529411764705881E-3</v>
      </c>
      <c r="H102" s="2">
        <f t="shared" si="25"/>
        <v>-208.33333333333334</v>
      </c>
      <c r="I102" s="2">
        <f t="shared" si="25"/>
        <v>-208.33333333333334</v>
      </c>
      <c r="J102" s="2">
        <f t="shared" si="25"/>
        <v>-208.33333333333334</v>
      </c>
      <c r="K102" s="2">
        <f t="shared" si="25"/>
        <v>-208.33333333333334</v>
      </c>
      <c r="L102" s="2">
        <f t="shared" si="25"/>
        <v>-208.33333333333334</v>
      </c>
      <c r="M102" s="2">
        <f t="shared" si="25"/>
        <v>-208.33333333333334</v>
      </c>
      <c r="N102" s="2">
        <f t="shared" si="25"/>
        <v>-208.33333333333334</v>
      </c>
      <c r="O102" s="2">
        <f t="shared" si="25"/>
        <v>-208.33333333333334</v>
      </c>
      <c r="P102" s="2">
        <f t="shared" si="25"/>
        <v>-208.33333333333334</v>
      </c>
      <c r="Q102" s="2">
        <f t="shared" si="25"/>
        <v>-208.33333333333334</v>
      </c>
      <c r="R102" s="2">
        <f t="shared" si="25"/>
        <v>-208.33333333333334</v>
      </c>
      <c r="S102" s="2">
        <f t="shared" si="25"/>
        <v>-208.33333333333334</v>
      </c>
      <c r="T102" s="45">
        <f t="shared" si="18"/>
        <v>-2500</v>
      </c>
    </row>
    <row r="103" spans="1:20" outlineLevel="1" x14ac:dyDescent="0.25">
      <c r="A103" s="1" t="s">
        <v>106</v>
      </c>
      <c r="C103" s="8">
        <f t="shared" si="21"/>
        <v>0</v>
      </c>
      <c r="E103" s="8">
        <f t="shared" si="22"/>
        <v>0</v>
      </c>
      <c r="F103" s="2">
        <v>0</v>
      </c>
      <c r="G103" s="8">
        <f t="shared" si="19"/>
        <v>0</v>
      </c>
      <c r="H103" s="2">
        <f t="shared" si="25"/>
        <v>0</v>
      </c>
      <c r="I103" s="2">
        <f t="shared" si="25"/>
        <v>0</v>
      </c>
      <c r="J103" s="2">
        <f t="shared" si="25"/>
        <v>0</v>
      </c>
      <c r="K103" s="2">
        <f t="shared" si="25"/>
        <v>0</v>
      </c>
      <c r="L103" s="2">
        <f t="shared" si="25"/>
        <v>0</v>
      </c>
      <c r="M103" s="2">
        <f t="shared" si="25"/>
        <v>0</v>
      </c>
      <c r="N103" s="2">
        <f t="shared" si="25"/>
        <v>0</v>
      </c>
      <c r="O103" s="2">
        <f t="shared" si="25"/>
        <v>0</v>
      </c>
      <c r="P103" s="2">
        <f t="shared" si="25"/>
        <v>0</v>
      </c>
      <c r="Q103" s="2">
        <f t="shared" si="25"/>
        <v>0</v>
      </c>
      <c r="R103" s="2">
        <f t="shared" si="25"/>
        <v>0</v>
      </c>
      <c r="S103" s="2">
        <f t="shared" si="25"/>
        <v>0</v>
      </c>
      <c r="T103" s="45">
        <f t="shared" si="18"/>
        <v>0</v>
      </c>
    </row>
    <row r="104" spans="1:20" outlineLevel="1" x14ac:dyDescent="0.25">
      <c r="A104" s="1" t="s">
        <v>107</v>
      </c>
      <c r="C104" s="8">
        <f t="shared" si="21"/>
        <v>0</v>
      </c>
      <c r="E104" s="8">
        <f t="shared" si="22"/>
        <v>0</v>
      </c>
      <c r="F104" s="2">
        <v>0</v>
      </c>
      <c r="G104" s="8">
        <f t="shared" si="19"/>
        <v>0</v>
      </c>
      <c r="H104" s="2">
        <f t="shared" si="25"/>
        <v>0</v>
      </c>
      <c r="I104" s="2">
        <f t="shared" si="25"/>
        <v>0</v>
      </c>
      <c r="J104" s="2">
        <f t="shared" si="25"/>
        <v>0</v>
      </c>
      <c r="K104" s="2">
        <f t="shared" si="25"/>
        <v>0</v>
      </c>
      <c r="L104" s="2">
        <f t="shared" si="25"/>
        <v>0</v>
      </c>
      <c r="M104" s="2">
        <f t="shared" si="25"/>
        <v>0</v>
      </c>
      <c r="N104" s="2">
        <f t="shared" si="25"/>
        <v>0</v>
      </c>
      <c r="O104" s="2">
        <f t="shared" si="25"/>
        <v>0</v>
      </c>
      <c r="P104" s="2">
        <f t="shared" si="25"/>
        <v>0</v>
      </c>
      <c r="Q104" s="2">
        <f t="shared" si="25"/>
        <v>0</v>
      </c>
      <c r="R104" s="2">
        <f t="shared" si="25"/>
        <v>0</v>
      </c>
      <c r="S104" s="2">
        <f t="shared" si="25"/>
        <v>0</v>
      </c>
      <c r="T104" s="45">
        <f t="shared" si="18"/>
        <v>0</v>
      </c>
    </row>
    <row r="105" spans="1:20" outlineLevel="1" x14ac:dyDescent="0.25">
      <c r="A105" s="1" t="s">
        <v>108</v>
      </c>
      <c r="C105" s="8">
        <f t="shared" si="21"/>
        <v>0</v>
      </c>
      <c r="E105" s="8">
        <f t="shared" si="22"/>
        <v>0</v>
      </c>
      <c r="F105" s="2">
        <v>0</v>
      </c>
      <c r="G105" s="8">
        <f t="shared" si="19"/>
        <v>0</v>
      </c>
      <c r="H105" s="2">
        <f t="shared" si="25"/>
        <v>0</v>
      </c>
      <c r="I105" s="2">
        <f t="shared" si="25"/>
        <v>0</v>
      </c>
      <c r="J105" s="2">
        <f t="shared" si="25"/>
        <v>0</v>
      </c>
      <c r="K105" s="2">
        <f t="shared" si="25"/>
        <v>0</v>
      </c>
      <c r="L105" s="2">
        <f t="shared" si="25"/>
        <v>0</v>
      </c>
      <c r="M105" s="2">
        <f t="shared" si="25"/>
        <v>0</v>
      </c>
      <c r="N105" s="2">
        <f t="shared" si="25"/>
        <v>0</v>
      </c>
      <c r="O105" s="2">
        <f t="shared" si="25"/>
        <v>0</v>
      </c>
      <c r="P105" s="2">
        <f t="shared" si="25"/>
        <v>0</v>
      </c>
      <c r="Q105" s="2">
        <f t="shared" si="25"/>
        <v>0</v>
      </c>
      <c r="R105" s="2">
        <f t="shared" si="25"/>
        <v>0</v>
      </c>
      <c r="S105" s="2">
        <f t="shared" si="25"/>
        <v>0</v>
      </c>
      <c r="T105" s="45">
        <f t="shared" si="18"/>
        <v>0</v>
      </c>
    </row>
    <row r="106" spans="1:20" outlineLevel="1" x14ac:dyDescent="0.25">
      <c r="A106" s="1" t="s">
        <v>109</v>
      </c>
      <c r="C106" s="8">
        <f t="shared" ref="C106:C137" si="26">+B106/$B$2</f>
        <v>0</v>
      </c>
      <c r="E106" s="8">
        <f t="shared" ref="E106:E137" si="27">+D106/$D$2</f>
        <v>0</v>
      </c>
      <c r="F106" s="2">
        <v>0</v>
      </c>
      <c r="G106" s="8">
        <f t="shared" si="19"/>
        <v>0</v>
      </c>
      <c r="H106" s="2">
        <f t="shared" si="25"/>
        <v>0</v>
      </c>
      <c r="I106" s="2">
        <f t="shared" si="25"/>
        <v>0</v>
      </c>
      <c r="J106" s="2">
        <f t="shared" si="25"/>
        <v>0</v>
      </c>
      <c r="K106" s="2">
        <f t="shared" si="25"/>
        <v>0</v>
      </c>
      <c r="L106" s="2">
        <f t="shared" si="25"/>
        <v>0</v>
      </c>
      <c r="M106" s="2">
        <f t="shared" si="25"/>
        <v>0</v>
      </c>
      <c r="N106" s="2">
        <f t="shared" si="25"/>
        <v>0</v>
      </c>
      <c r="O106" s="2">
        <f t="shared" si="25"/>
        <v>0</v>
      </c>
      <c r="P106" s="2">
        <f t="shared" si="25"/>
        <v>0</v>
      </c>
      <c r="Q106" s="2">
        <f t="shared" si="25"/>
        <v>0</v>
      </c>
      <c r="R106" s="2">
        <f t="shared" si="25"/>
        <v>0</v>
      </c>
      <c r="S106" s="2">
        <f t="shared" si="25"/>
        <v>0</v>
      </c>
      <c r="T106" s="45">
        <f t="shared" si="18"/>
        <v>0</v>
      </c>
    </row>
    <row r="107" spans="1:20" outlineLevel="1" x14ac:dyDescent="0.25">
      <c r="A107" s="1" t="s">
        <v>110</v>
      </c>
      <c r="C107" s="8">
        <f t="shared" si="26"/>
        <v>0</v>
      </c>
      <c r="E107" s="8">
        <f t="shared" si="27"/>
        <v>0</v>
      </c>
      <c r="F107" s="2">
        <v>0</v>
      </c>
      <c r="G107" s="8">
        <f t="shared" si="19"/>
        <v>0</v>
      </c>
      <c r="H107" s="2">
        <f t="shared" si="25"/>
        <v>0</v>
      </c>
      <c r="I107" s="2">
        <f t="shared" si="25"/>
        <v>0</v>
      </c>
      <c r="J107" s="2">
        <f t="shared" si="25"/>
        <v>0</v>
      </c>
      <c r="K107" s="2">
        <f t="shared" si="25"/>
        <v>0</v>
      </c>
      <c r="L107" s="2">
        <f t="shared" si="25"/>
        <v>0</v>
      </c>
      <c r="M107" s="2">
        <f t="shared" si="25"/>
        <v>0</v>
      </c>
      <c r="N107" s="2">
        <f t="shared" si="25"/>
        <v>0</v>
      </c>
      <c r="O107" s="2">
        <f t="shared" si="25"/>
        <v>0</v>
      </c>
      <c r="P107" s="2">
        <f t="shared" si="25"/>
        <v>0</v>
      </c>
      <c r="Q107" s="2">
        <f t="shared" si="25"/>
        <v>0</v>
      </c>
      <c r="R107" s="2">
        <f t="shared" si="25"/>
        <v>0</v>
      </c>
      <c r="S107" s="2">
        <f t="shared" si="25"/>
        <v>0</v>
      </c>
      <c r="T107" s="45">
        <f t="shared" si="18"/>
        <v>0</v>
      </c>
    </row>
    <row r="108" spans="1:20" outlineLevel="1" x14ac:dyDescent="0.25">
      <c r="A108" s="1" t="s">
        <v>111</v>
      </c>
      <c r="C108" s="8">
        <f t="shared" si="26"/>
        <v>0</v>
      </c>
      <c r="E108" s="8">
        <f t="shared" si="27"/>
        <v>0</v>
      </c>
      <c r="F108" s="2">
        <v>0</v>
      </c>
      <c r="G108" s="8">
        <f t="shared" si="19"/>
        <v>0</v>
      </c>
      <c r="H108" s="2">
        <f t="shared" si="25"/>
        <v>0</v>
      </c>
      <c r="I108" s="2">
        <f t="shared" si="25"/>
        <v>0</v>
      </c>
      <c r="J108" s="2">
        <f t="shared" si="25"/>
        <v>0</v>
      </c>
      <c r="K108" s="2">
        <f t="shared" si="25"/>
        <v>0</v>
      </c>
      <c r="L108" s="2">
        <f t="shared" si="25"/>
        <v>0</v>
      </c>
      <c r="M108" s="2">
        <f t="shared" si="25"/>
        <v>0</v>
      </c>
      <c r="N108" s="2">
        <f t="shared" si="25"/>
        <v>0</v>
      </c>
      <c r="O108" s="2">
        <f t="shared" si="25"/>
        <v>0</v>
      </c>
      <c r="P108" s="2">
        <f t="shared" si="25"/>
        <v>0</v>
      </c>
      <c r="Q108" s="2">
        <f t="shared" si="25"/>
        <v>0</v>
      </c>
      <c r="R108" s="2">
        <f t="shared" si="25"/>
        <v>0</v>
      </c>
      <c r="S108" s="2">
        <f t="shared" si="25"/>
        <v>0</v>
      </c>
      <c r="T108" s="45">
        <f t="shared" si="18"/>
        <v>0</v>
      </c>
    </row>
    <row r="109" spans="1:20" outlineLevel="1" x14ac:dyDescent="0.25">
      <c r="A109" s="1" t="s">
        <v>112</v>
      </c>
      <c r="C109" s="8">
        <f t="shared" si="26"/>
        <v>0</v>
      </c>
      <c r="E109" s="8">
        <f t="shared" si="27"/>
        <v>0</v>
      </c>
      <c r="F109" s="2">
        <v>0</v>
      </c>
      <c r="G109" s="8">
        <f t="shared" si="19"/>
        <v>0</v>
      </c>
      <c r="H109" s="2">
        <f t="shared" si="25"/>
        <v>0</v>
      </c>
      <c r="I109" s="2">
        <f t="shared" si="25"/>
        <v>0</v>
      </c>
      <c r="J109" s="2">
        <f t="shared" si="25"/>
        <v>0</v>
      </c>
      <c r="K109" s="2">
        <f t="shared" si="25"/>
        <v>0</v>
      </c>
      <c r="L109" s="2">
        <f t="shared" si="25"/>
        <v>0</v>
      </c>
      <c r="M109" s="2">
        <f t="shared" si="25"/>
        <v>0</v>
      </c>
      <c r="N109" s="2">
        <f t="shared" si="25"/>
        <v>0</v>
      </c>
      <c r="O109" s="2">
        <f t="shared" si="25"/>
        <v>0</v>
      </c>
      <c r="P109" s="2">
        <f t="shared" si="25"/>
        <v>0</v>
      </c>
      <c r="Q109" s="2">
        <f t="shared" si="25"/>
        <v>0</v>
      </c>
      <c r="R109" s="2">
        <f t="shared" si="25"/>
        <v>0</v>
      </c>
      <c r="S109" s="2">
        <f t="shared" si="25"/>
        <v>0</v>
      </c>
      <c r="T109" s="45">
        <f t="shared" si="18"/>
        <v>0</v>
      </c>
    </row>
    <row r="110" spans="1:20" outlineLevel="1" x14ac:dyDescent="0.25">
      <c r="A110" s="1" t="s">
        <v>113</v>
      </c>
      <c r="B110" s="2">
        <v>-23910</v>
      </c>
      <c r="C110" s="8">
        <f t="shared" si="26"/>
        <v>-0.12318507452336366</v>
      </c>
      <c r="D110" s="2">
        <v>-72154.070000000007</v>
      </c>
      <c r="E110" s="8">
        <f t="shared" si="27"/>
        <v>-0.37192566524805093</v>
      </c>
      <c r="F110" s="2">
        <v>-30000</v>
      </c>
      <c r="G110" s="8">
        <f t="shared" si="19"/>
        <v>-8.8235294117647065E-2</v>
      </c>
      <c r="H110" s="2">
        <f t="shared" si="25"/>
        <v>-2500</v>
      </c>
      <c r="I110" s="2">
        <f t="shared" si="25"/>
        <v>-2500</v>
      </c>
      <c r="J110" s="2">
        <f t="shared" si="25"/>
        <v>-2500</v>
      </c>
      <c r="K110" s="2">
        <f t="shared" si="25"/>
        <v>-2500</v>
      </c>
      <c r="L110" s="2">
        <f t="shared" ref="I110:S121" si="28">+$F110/12</f>
        <v>-2500</v>
      </c>
      <c r="M110" s="2">
        <f t="shared" si="28"/>
        <v>-2500</v>
      </c>
      <c r="N110" s="2">
        <f t="shared" si="28"/>
        <v>-2500</v>
      </c>
      <c r="O110" s="2">
        <f t="shared" si="28"/>
        <v>-2500</v>
      </c>
      <c r="P110" s="2">
        <f t="shared" si="28"/>
        <v>-2500</v>
      </c>
      <c r="Q110" s="2">
        <f t="shared" si="28"/>
        <v>-2500</v>
      </c>
      <c r="R110" s="2">
        <f t="shared" si="28"/>
        <v>-2500</v>
      </c>
      <c r="S110" s="2">
        <f t="shared" si="28"/>
        <v>-2500</v>
      </c>
      <c r="T110" s="45">
        <f t="shared" si="18"/>
        <v>-30000</v>
      </c>
    </row>
    <row r="111" spans="1:20" outlineLevel="1" x14ac:dyDescent="0.25">
      <c r="A111" s="1" t="s">
        <v>114</v>
      </c>
      <c r="C111" s="8">
        <f t="shared" si="26"/>
        <v>0</v>
      </c>
      <c r="E111" s="8">
        <f t="shared" si="27"/>
        <v>0</v>
      </c>
      <c r="F111" s="2">
        <v>0</v>
      </c>
      <c r="G111" s="8">
        <f t="shared" si="19"/>
        <v>0</v>
      </c>
      <c r="H111" s="2">
        <f t="shared" si="25"/>
        <v>0</v>
      </c>
      <c r="I111" s="2">
        <f t="shared" si="28"/>
        <v>0</v>
      </c>
      <c r="J111" s="2">
        <f t="shared" si="28"/>
        <v>0</v>
      </c>
      <c r="K111" s="2">
        <f t="shared" si="28"/>
        <v>0</v>
      </c>
      <c r="L111" s="2">
        <f t="shared" si="28"/>
        <v>0</v>
      </c>
      <c r="M111" s="2">
        <f t="shared" si="28"/>
        <v>0</v>
      </c>
      <c r="N111" s="2">
        <f t="shared" si="28"/>
        <v>0</v>
      </c>
      <c r="O111" s="2">
        <f t="shared" si="28"/>
        <v>0</v>
      </c>
      <c r="P111" s="2">
        <f t="shared" si="28"/>
        <v>0</v>
      </c>
      <c r="Q111" s="2">
        <f t="shared" si="28"/>
        <v>0</v>
      </c>
      <c r="R111" s="2">
        <f t="shared" si="28"/>
        <v>0</v>
      </c>
      <c r="S111" s="2">
        <f t="shared" si="28"/>
        <v>0</v>
      </c>
      <c r="T111" s="45">
        <f t="shared" si="18"/>
        <v>0</v>
      </c>
    </row>
    <row r="112" spans="1:20" outlineLevel="1" x14ac:dyDescent="0.25">
      <c r="A112" s="1" t="s">
        <v>115</v>
      </c>
      <c r="C112" s="8">
        <f t="shared" si="26"/>
        <v>0</v>
      </c>
      <c r="E112" s="8">
        <f t="shared" si="27"/>
        <v>0</v>
      </c>
      <c r="F112" s="2">
        <v>0</v>
      </c>
      <c r="G112" s="8">
        <f t="shared" si="19"/>
        <v>0</v>
      </c>
      <c r="H112" s="2">
        <f t="shared" si="25"/>
        <v>0</v>
      </c>
      <c r="I112" s="2">
        <f t="shared" si="28"/>
        <v>0</v>
      </c>
      <c r="J112" s="2">
        <f t="shared" si="28"/>
        <v>0</v>
      </c>
      <c r="K112" s="2">
        <f t="shared" si="28"/>
        <v>0</v>
      </c>
      <c r="L112" s="2">
        <f t="shared" si="28"/>
        <v>0</v>
      </c>
      <c r="M112" s="2">
        <f t="shared" si="28"/>
        <v>0</v>
      </c>
      <c r="N112" s="2">
        <f t="shared" si="28"/>
        <v>0</v>
      </c>
      <c r="O112" s="2">
        <f t="shared" si="28"/>
        <v>0</v>
      </c>
      <c r="P112" s="2">
        <f t="shared" si="28"/>
        <v>0</v>
      </c>
      <c r="Q112" s="2">
        <f t="shared" si="28"/>
        <v>0</v>
      </c>
      <c r="R112" s="2">
        <f t="shared" si="28"/>
        <v>0</v>
      </c>
      <c r="S112" s="2">
        <f t="shared" si="28"/>
        <v>0</v>
      </c>
      <c r="T112" s="45">
        <f t="shared" si="18"/>
        <v>0</v>
      </c>
    </row>
    <row r="113" spans="1:20" outlineLevel="1" x14ac:dyDescent="0.25">
      <c r="A113" s="1" t="s">
        <v>116</v>
      </c>
      <c r="C113" s="8">
        <f t="shared" si="26"/>
        <v>0</v>
      </c>
      <c r="E113" s="8">
        <f t="shared" si="27"/>
        <v>0</v>
      </c>
      <c r="F113" s="2">
        <v>0</v>
      </c>
      <c r="G113" s="8">
        <f t="shared" si="19"/>
        <v>0</v>
      </c>
      <c r="H113" s="2">
        <f t="shared" si="25"/>
        <v>0</v>
      </c>
      <c r="I113" s="2">
        <f t="shared" si="28"/>
        <v>0</v>
      </c>
      <c r="J113" s="2">
        <f t="shared" si="28"/>
        <v>0</v>
      </c>
      <c r="K113" s="2">
        <f t="shared" si="28"/>
        <v>0</v>
      </c>
      <c r="L113" s="2">
        <f t="shared" si="28"/>
        <v>0</v>
      </c>
      <c r="M113" s="2">
        <f t="shared" si="28"/>
        <v>0</v>
      </c>
      <c r="N113" s="2">
        <f t="shared" si="28"/>
        <v>0</v>
      </c>
      <c r="O113" s="2">
        <f t="shared" si="28"/>
        <v>0</v>
      </c>
      <c r="P113" s="2">
        <f t="shared" si="28"/>
        <v>0</v>
      </c>
      <c r="Q113" s="2">
        <f t="shared" si="28"/>
        <v>0</v>
      </c>
      <c r="R113" s="2">
        <f t="shared" si="28"/>
        <v>0</v>
      </c>
      <c r="S113" s="2">
        <f t="shared" si="28"/>
        <v>0</v>
      </c>
      <c r="T113" s="45">
        <f t="shared" si="18"/>
        <v>0</v>
      </c>
    </row>
    <row r="114" spans="1:20" s="12" customFormat="1" outlineLevel="1" x14ac:dyDescent="0.25">
      <c r="A114" s="1" t="s">
        <v>117</v>
      </c>
      <c r="B114" s="2"/>
      <c r="C114" s="8">
        <f t="shared" si="26"/>
        <v>0</v>
      </c>
      <c r="D114" s="2"/>
      <c r="E114" s="8">
        <f t="shared" si="27"/>
        <v>0</v>
      </c>
      <c r="F114" s="2">
        <v>0</v>
      </c>
      <c r="G114" s="8">
        <f t="shared" si="19"/>
        <v>0</v>
      </c>
      <c r="H114" s="2">
        <f t="shared" si="25"/>
        <v>0</v>
      </c>
      <c r="I114" s="2">
        <f t="shared" si="28"/>
        <v>0</v>
      </c>
      <c r="J114" s="2">
        <f t="shared" si="28"/>
        <v>0</v>
      </c>
      <c r="K114" s="2">
        <f t="shared" si="28"/>
        <v>0</v>
      </c>
      <c r="L114" s="2">
        <f t="shared" si="28"/>
        <v>0</v>
      </c>
      <c r="M114" s="2">
        <f t="shared" si="28"/>
        <v>0</v>
      </c>
      <c r="N114" s="2">
        <f t="shared" si="28"/>
        <v>0</v>
      </c>
      <c r="O114" s="2">
        <f t="shared" si="28"/>
        <v>0</v>
      </c>
      <c r="P114" s="2">
        <f t="shared" si="28"/>
        <v>0</v>
      </c>
      <c r="Q114" s="2">
        <f t="shared" si="28"/>
        <v>0</v>
      </c>
      <c r="R114" s="2">
        <f t="shared" si="28"/>
        <v>0</v>
      </c>
      <c r="S114" s="2">
        <f t="shared" si="28"/>
        <v>0</v>
      </c>
      <c r="T114" s="45">
        <f t="shared" si="18"/>
        <v>0</v>
      </c>
    </row>
    <row r="115" spans="1:20" s="12" customFormat="1" outlineLevel="1" x14ac:dyDescent="0.25">
      <c r="A115" s="1" t="s">
        <v>118</v>
      </c>
      <c r="B115" s="2"/>
      <c r="C115" s="8">
        <f t="shared" si="26"/>
        <v>0</v>
      </c>
      <c r="D115" s="2"/>
      <c r="E115" s="8">
        <f t="shared" si="27"/>
        <v>0</v>
      </c>
      <c r="F115" s="2">
        <v>0</v>
      </c>
      <c r="G115" s="8">
        <f t="shared" si="19"/>
        <v>0</v>
      </c>
      <c r="H115" s="2">
        <f t="shared" si="25"/>
        <v>0</v>
      </c>
      <c r="I115" s="2">
        <f t="shared" si="28"/>
        <v>0</v>
      </c>
      <c r="J115" s="2">
        <f t="shared" si="28"/>
        <v>0</v>
      </c>
      <c r="K115" s="2">
        <f t="shared" si="28"/>
        <v>0</v>
      </c>
      <c r="L115" s="2">
        <f t="shared" si="28"/>
        <v>0</v>
      </c>
      <c r="M115" s="2">
        <f t="shared" si="28"/>
        <v>0</v>
      </c>
      <c r="N115" s="2">
        <f t="shared" si="28"/>
        <v>0</v>
      </c>
      <c r="O115" s="2">
        <f t="shared" si="28"/>
        <v>0</v>
      </c>
      <c r="P115" s="2">
        <f t="shared" si="28"/>
        <v>0</v>
      </c>
      <c r="Q115" s="2">
        <f t="shared" si="28"/>
        <v>0</v>
      </c>
      <c r="R115" s="2">
        <f t="shared" si="28"/>
        <v>0</v>
      </c>
      <c r="S115" s="2">
        <f t="shared" si="28"/>
        <v>0</v>
      </c>
      <c r="T115" s="45">
        <f t="shared" si="18"/>
        <v>0</v>
      </c>
    </row>
    <row r="116" spans="1:20" outlineLevel="1" x14ac:dyDescent="0.25">
      <c r="A116" s="1" t="s">
        <v>119</v>
      </c>
      <c r="C116" s="8">
        <f t="shared" si="26"/>
        <v>0</v>
      </c>
      <c r="E116" s="8">
        <f t="shared" si="27"/>
        <v>0</v>
      </c>
      <c r="F116" s="2">
        <v>0</v>
      </c>
      <c r="G116" s="8">
        <f t="shared" si="19"/>
        <v>0</v>
      </c>
      <c r="H116" s="2">
        <f t="shared" si="25"/>
        <v>0</v>
      </c>
      <c r="I116" s="2">
        <f t="shared" si="28"/>
        <v>0</v>
      </c>
      <c r="J116" s="2">
        <f t="shared" si="28"/>
        <v>0</v>
      </c>
      <c r="K116" s="2">
        <f t="shared" si="28"/>
        <v>0</v>
      </c>
      <c r="L116" s="2">
        <f t="shared" si="28"/>
        <v>0</v>
      </c>
      <c r="M116" s="2">
        <f t="shared" si="28"/>
        <v>0</v>
      </c>
      <c r="N116" s="2">
        <f t="shared" si="28"/>
        <v>0</v>
      </c>
      <c r="O116" s="2">
        <f t="shared" si="28"/>
        <v>0</v>
      </c>
      <c r="P116" s="2">
        <f t="shared" si="28"/>
        <v>0</v>
      </c>
      <c r="Q116" s="2">
        <f t="shared" si="28"/>
        <v>0</v>
      </c>
      <c r="R116" s="2">
        <f t="shared" si="28"/>
        <v>0</v>
      </c>
      <c r="S116" s="2">
        <f t="shared" si="28"/>
        <v>0</v>
      </c>
      <c r="T116" s="45">
        <f t="shared" si="18"/>
        <v>0</v>
      </c>
    </row>
    <row r="117" spans="1:20" outlineLevel="1" x14ac:dyDescent="0.25">
      <c r="A117" s="1" t="s">
        <v>120</v>
      </c>
      <c r="B117" s="2">
        <v>-5955.66</v>
      </c>
      <c r="C117" s="8">
        <f t="shared" si="26"/>
        <v>-3.0683748261640151E-2</v>
      </c>
      <c r="D117" s="2">
        <v>-6295.26</v>
      </c>
      <c r="E117" s="8">
        <f t="shared" si="27"/>
        <v>-3.2449573023523755E-2</v>
      </c>
      <c r="F117" s="2">
        <v>-6500</v>
      </c>
      <c r="G117" s="8">
        <f t="shared" si="19"/>
        <v>-1.9117647058823531E-2</v>
      </c>
      <c r="H117" s="2">
        <f t="shared" si="25"/>
        <v>-541.66666666666663</v>
      </c>
      <c r="I117" s="2">
        <f t="shared" si="28"/>
        <v>-541.66666666666663</v>
      </c>
      <c r="J117" s="2">
        <f t="shared" si="28"/>
        <v>-541.66666666666663</v>
      </c>
      <c r="K117" s="2">
        <f t="shared" si="28"/>
        <v>-541.66666666666663</v>
      </c>
      <c r="L117" s="2">
        <f t="shared" si="28"/>
        <v>-541.66666666666663</v>
      </c>
      <c r="M117" s="2">
        <f t="shared" si="28"/>
        <v>-541.66666666666663</v>
      </c>
      <c r="N117" s="2">
        <f t="shared" si="28"/>
        <v>-541.66666666666663</v>
      </c>
      <c r="O117" s="2">
        <f t="shared" si="28"/>
        <v>-541.66666666666663</v>
      </c>
      <c r="P117" s="2">
        <f t="shared" si="28"/>
        <v>-541.66666666666663</v>
      </c>
      <c r="Q117" s="2">
        <f t="shared" si="28"/>
        <v>-541.66666666666663</v>
      </c>
      <c r="R117" s="2">
        <f t="shared" si="28"/>
        <v>-541.66666666666663</v>
      </c>
      <c r="S117" s="2">
        <f t="shared" si="28"/>
        <v>-541.66666666666663</v>
      </c>
      <c r="T117" s="45">
        <f t="shared" si="18"/>
        <v>-6500.0000000000009</v>
      </c>
    </row>
    <row r="118" spans="1:20" outlineLevel="1" x14ac:dyDescent="0.25">
      <c r="A118" s="1" t="s">
        <v>121</v>
      </c>
      <c r="C118" s="8">
        <f t="shared" si="26"/>
        <v>0</v>
      </c>
      <c r="E118" s="8">
        <f t="shared" si="27"/>
        <v>0</v>
      </c>
      <c r="F118" s="2">
        <v>0</v>
      </c>
      <c r="G118" s="8">
        <f t="shared" si="19"/>
        <v>0</v>
      </c>
      <c r="H118" s="2">
        <f t="shared" si="25"/>
        <v>0</v>
      </c>
      <c r="I118" s="2">
        <f t="shared" si="28"/>
        <v>0</v>
      </c>
      <c r="J118" s="2">
        <f t="shared" si="28"/>
        <v>0</v>
      </c>
      <c r="K118" s="2">
        <f t="shared" si="28"/>
        <v>0</v>
      </c>
      <c r="L118" s="2">
        <f t="shared" si="28"/>
        <v>0</v>
      </c>
      <c r="M118" s="2">
        <f t="shared" si="28"/>
        <v>0</v>
      </c>
      <c r="N118" s="2">
        <f t="shared" si="28"/>
        <v>0</v>
      </c>
      <c r="O118" s="2">
        <f t="shared" si="28"/>
        <v>0</v>
      </c>
      <c r="P118" s="2">
        <f t="shared" si="28"/>
        <v>0</v>
      </c>
      <c r="Q118" s="2">
        <f t="shared" si="28"/>
        <v>0</v>
      </c>
      <c r="R118" s="2">
        <f t="shared" si="28"/>
        <v>0</v>
      </c>
      <c r="S118" s="2">
        <f t="shared" si="28"/>
        <v>0</v>
      </c>
      <c r="T118" s="45">
        <f t="shared" si="18"/>
        <v>0</v>
      </c>
    </row>
    <row r="119" spans="1:20" outlineLevel="1" x14ac:dyDescent="0.25">
      <c r="A119" s="1" t="s">
        <v>122</v>
      </c>
      <c r="B119" s="2">
        <v>-150</v>
      </c>
      <c r="C119" s="8">
        <f t="shared" si="26"/>
        <v>-7.7280473352172934E-4</v>
      </c>
      <c r="D119" s="2">
        <v>-0.46</v>
      </c>
      <c r="E119" s="8">
        <f t="shared" si="27"/>
        <v>-2.3711178872391176E-6</v>
      </c>
      <c r="F119" s="2">
        <v>0</v>
      </c>
      <c r="G119" s="8">
        <f t="shared" si="19"/>
        <v>0</v>
      </c>
      <c r="H119" s="2">
        <f t="shared" si="25"/>
        <v>0</v>
      </c>
      <c r="I119" s="2">
        <f t="shared" si="28"/>
        <v>0</v>
      </c>
      <c r="J119" s="2">
        <f t="shared" si="28"/>
        <v>0</v>
      </c>
      <c r="K119" s="2">
        <f t="shared" si="28"/>
        <v>0</v>
      </c>
      <c r="L119" s="2">
        <f t="shared" si="28"/>
        <v>0</v>
      </c>
      <c r="M119" s="2">
        <f t="shared" si="28"/>
        <v>0</v>
      </c>
      <c r="N119" s="2">
        <f t="shared" si="28"/>
        <v>0</v>
      </c>
      <c r="O119" s="2">
        <f t="shared" si="28"/>
        <v>0</v>
      </c>
      <c r="P119" s="2">
        <f t="shared" si="28"/>
        <v>0</v>
      </c>
      <c r="Q119" s="2">
        <f t="shared" si="28"/>
        <v>0</v>
      </c>
      <c r="R119" s="2">
        <f t="shared" si="28"/>
        <v>0</v>
      </c>
      <c r="S119" s="2">
        <f t="shared" si="28"/>
        <v>0</v>
      </c>
      <c r="T119" s="45">
        <f t="shared" si="18"/>
        <v>0</v>
      </c>
    </row>
    <row r="120" spans="1:20" outlineLevel="1" x14ac:dyDescent="0.25">
      <c r="A120" s="9" t="s">
        <v>123</v>
      </c>
      <c r="C120" s="8">
        <f t="shared" si="26"/>
        <v>0</v>
      </c>
      <c r="E120" s="8">
        <f t="shared" si="27"/>
        <v>0</v>
      </c>
      <c r="F120" s="2">
        <v>0</v>
      </c>
      <c r="G120" s="8">
        <f t="shared" si="19"/>
        <v>0</v>
      </c>
      <c r="H120" s="2">
        <f t="shared" si="25"/>
        <v>0</v>
      </c>
      <c r="I120" s="2">
        <f t="shared" si="28"/>
        <v>0</v>
      </c>
      <c r="J120" s="2">
        <f t="shared" si="28"/>
        <v>0</v>
      </c>
      <c r="K120" s="2">
        <f t="shared" si="28"/>
        <v>0</v>
      </c>
      <c r="L120" s="2">
        <f t="shared" si="28"/>
        <v>0</v>
      </c>
      <c r="M120" s="2">
        <f t="shared" si="28"/>
        <v>0</v>
      </c>
      <c r="N120" s="2">
        <f t="shared" si="28"/>
        <v>0</v>
      </c>
      <c r="O120" s="2">
        <f t="shared" si="28"/>
        <v>0</v>
      </c>
      <c r="P120" s="2">
        <f t="shared" si="28"/>
        <v>0</v>
      </c>
      <c r="Q120" s="2">
        <f t="shared" si="28"/>
        <v>0</v>
      </c>
      <c r="R120" s="2">
        <f t="shared" si="28"/>
        <v>0</v>
      </c>
      <c r="S120" s="2">
        <f t="shared" si="28"/>
        <v>0</v>
      </c>
      <c r="T120" s="45">
        <f t="shared" si="18"/>
        <v>0</v>
      </c>
    </row>
    <row r="121" spans="1:20" outlineLevel="1" x14ac:dyDescent="0.25">
      <c r="A121" s="1" t="s">
        <v>124</v>
      </c>
      <c r="C121" s="8">
        <f t="shared" si="26"/>
        <v>0</v>
      </c>
      <c r="E121" s="8">
        <f t="shared" si="27"/>
        <v>0</v>
      </c>
      <c r="F121" s="2">
        <v>0</v>
      </c>
      <c r="G121" s="8">
        <f t="shared" si="19"/>
        <v>0</v>
      </c>
      <c r="H121" s="2">
        <f t="shared" si="25"/>
        <v>0</v>
      </c>
      <c r="I121" s="2">
        <f t="shared" si="28"/>
        <v>0</v>
      </c>
      <c r="J121" s="2">
        <f t="shared" si="28"/>
        <v>0</v>
      </c>
      <c r="K121" s="2">
        <f t="shared" si="28"/>
        <v>0</v>
      </c>
      <c r="L121" s="2">
        <f t="shared" si="28"/>
        <v>0</v>
      </c>
      <c r="M121" s="2">
        <f t="shared" si="28"/>
        <v>0</v>
      </c>
      <c r="N121" s="2">
        <f t="shared" si="28"/>
        <v>0</v>
      </c>
      <c r="O121" s="2">
        <f t="shared" si="28"/>
        <v>0</v>
      </c>
      <c r="P121" s="2">
        <f t="shared" si="28"/>
        <v>0</v>
      </c>
      <c r="Q121" s="2">
        <f t="shared" si="28"/>
        <v>0</v>
      </c>
      <c r="R121" s="2">
        <f t="shared" si="28"/>
        <v>0</v>
      </c>
      <c r="S121" s="2">
        <f t="shared" si="28"/>
        <v>0</v>
      </c>
      <c r="T121" s="45">
        <f t="shared" si="18"/>
        <v>0</v>
      </c>
    </row>
    <row r="122" spans="1:20" x14ac:dyDescent="0.25">
      <c r="A122" s="5" t="s">
        <v>125</v>
      </c>
      <c r="B122" s="6">
        <f>SUM(B123:B125)</f>
        <v>-30272.36</v>
      </c>
      <c r="C122" s="7">
        <f t="shared" si="26"/>
        <v>-0.15596415401915906</v>
      </c>
      <c r="D122" s="6">
        <f>SUM(D123:D125)</f>
        <v>-28473.05</v>
      </c>
      <c r="E122" s="7">
        <f t="shared" si="27"/>
        <v>-0.14676730034620383</v>
      </c>
      <c r="F122" s="6">
        <f>SUM(F123:F125)</f>
        <v>-28500</v>
      </c>
      <c r="G122" s="8">
        <f t="shared" si="19"/>
        <v>-8.38235294117647E-2</v>
      </c>
      <c r="H122" s="6">
        <f>SUM(H123:H125)</f>
        <v>-2375</v>
      </c>
      <c r="I122" s="6">
        <f t="shared" ref="I122:S122" si="29">SUM(I123:I125)</f>
        <v>-2375</v>
      </c>
      <c r="J122" s="6">
        <f t="shared" si="29"/>
        <v>-2375</v>
      </c>
      <c r="K122" s="6">
        <f t="shared" si="29"/>
        <v>-2375</v>
      </c>
      <c r="L122" s="6">
        <f t="shared" si="29"/>
        <v>-2375</v>
      </c>
      <c r="M122" s="6">
        <f t="shared" si="29"/>
        <v>-2375</v>
      </c>
      <c r="N122" s="6">
        <f t="shared" si="29"/>
        <v>-2375</v>
      </c>
      <c r="O122" s="6">
        <f t="shared" si="29"/>
        <v>-2375</v>
      </c>
      <c r="P122" s="6">
        <f t="shared" si="29"/>
        <v>-2375</v>
      </c>
      <c r="Q122" s="6">
        <f t="shared" si="29"/>
        <v>-2375</v>
      </c>
      <c r="R122" s="6">
        <f t="shared" si="29"/>
        <v>-2375</v>
      </c>
      <c r="S122" s="6">
        <f t="shared" si="29"/>
        <v>-2375</v>
      </c>
      <c r="T122" s="45">
        <f t="shared" si="18"/>
        <v>-28500</v>
      </c>
    </row>
    <row r="123" spans="1:20" hidden="1" outlineLevel="1" x14ac:dyDescent="0.25">
      <c r="A123" s="1" t="s">
        <v>126</v>
      </c>
      <c r="C123" s="8">
        <f t="shared" si="26"/>
        <v>0</v>
      </c>
      <c r="E123" s="8">
        <f t="shared" si="27"/>
        <v>0</v>
      </c>
      <c r="F123" s="2"/>
      <c r="G123" s="8">
        <f t="shared" si="19"/>
        <v>0</v>
      </c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45">
        <f t="shared" si="18"/>
        <v>0</v>
      </c>
    </row>
    <row r="124" spans="1:20" hidden="1" outlineLevel="1" x14ac:dyDescent="0.25">
      <c r="A124" s="1" t="s">
        <v>127</v>
      </c>
      <c r="B124" s="2">
        <v>-30272.36</v>
      </c>
      <c r="C124" s="8">
        <f t="shared" si="26"/>
        <v>-0.15596415401915906</v>
      </c>
      <c r="D124" s="2">
        <v>-28473.05</v>
      </c>
      <c r="E124" s="8">
        <f t="shared" si="27"/>
        <v>-0.14676730034620383</v>
      </c>
      <c r="F124" s="2">
        <v>-28500</v>
      </c>
      <c r="G124" s="8">
        <f t="shared" si="19"/>
        <v>-8.38235294117647E-2</v>
      </c>
      <c r="H124" s="2">
        <f t="shared" ref="H124:S124" si="30">+$F124/12</f>
        <v>-2375</v>
      </c>
      <c r="I124" s="2">
        <f t="shared" si="30"/>
        <v>-2375</v>
      </c>
      <c r="J124" s="2">
        <f t="shared" si="30"/>
        <v>-2375</v>
      </c>
      <c r="K124" s="2">
        <f t="shared" si="30"/>
        <v>-2375</v>
      </c>
      <c r="L124" s="2">
        <f t="shared" si="30"/>
        <v>-2375</v>
      </c>
      <c r="M124" s="2">
        <f t="shared" si="30"/>
        <v>-2375</v>
      </c>
      <c r="N124" s="2">
        <f t="shared" si="30"/>
        <v>-2375</v>
      </c>
      <c r="O124" s="2">
        <f t="shared" si="30"/>
        <v>-2375</v>
      </c>
      <c r="P124" s="2">
        <f t="shared" si="30"/>
        <v>-2375</v>
      </c>
      <c r="Q124" s="2">
        <f t="shared" si="30"/>
        <v>-2375</v>
      </c>
      <c r="R124" s="2">
        <f t="shared" si="30"/>
        <v>-2375</v>
      </c>
      <c r="S124" s="2">
        <f t="shared" si="30"/>
        <v>-2375</v>
      </c>
      <c r="T124" s="45">
        <f t="shared" si="18"/>
        <v>-28500</v>
      </c>
    </row>
    <row r="125" spans="1:20" hidden="1" outlineLevel="1" x14ac:dyDescent="0.25">
      <c r="A125" s="1" t="s">
        <v>128</v>
      </c>
      <c r="C125" s="8">
        <f t="shared" si="26"/>
        <v>0</v>
      </c>
      <c r="E125" s="8">
        <f t="shared" si="27"/>
        <v>0</v>
      </c>
      <c r="F125" s="2"/>
      <c r="G125" s="8">
        <f t="shared" si="19"/>
        <v>0</v>
      </c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45">
        <f t="shared" si="18"/>
        <v>0</v>
      </c>
    </row>
    <row r="126" spans="1:20" collapsed="1" x14ac:dyDescent="0.25">
      <c r="A126" s="5" t="s">
        <v>129</v>
      </c>
      <c r="B126" s="6">
        <v>0</v>
      </c>
      <c r="C126" s="7">
        <f t="shared" si="26"/>
        <v>0</v>
      </c>
      <c r="D126" s="6">
        <v>0</v>
      </c>
      <c r="E126" s="7">
        <f t="shared" si="27"/>
        <v>0</v>
      </c>
      <c r="F126" s="6">
        <v>0</v>
      </c>
      <c r="G126" s="8">
        <f t="shared" si="19"/>
        <v>0</v>
      </c>
      <c r="H126" s="6">
        <v>0</v>
      </c>
      <c r="I126" s="6">
        <v>0</v>
      </c>
      <c r="J126" s="6">
        <v>0</v>
      </c>
      <c r="K126" s="6">
        <v>0</v>
      </c>
      <c r="L126" s="6">
        <v>0</v>
      </c>
      <c r="M126" s="6">
        <v>0</v>
      </c>
      <c r="N126" s="6">
        <v>0</v>
      </c>
      <c r="O126" s="6">
        <v>0</v>
      </c>
      <c r="P126" s="6">
        <v>0</v>
      </c>
      <c r="Q126" s="6">
        <v>0</v>
      </c>
      <c r="R126" s="6">
        <v>0</v>
      </c>
      <c r="S126" s="6">
        <v>0</v>
      </c>
      <c r="T126" s="45">
        <f t="shared" si="18"/>
        <v>0</v>
      </c>
    </row>
    <row r="127" spans="1:20" x14ac:dyDescent="0.25">
      <c r="A127" s="5" t="s">
        <v>130</v>
      </c>
      <c r="B127" s="6">
        <v>0</v>
      </c>
      <c r="C127" s="7">
        <f t="shared" si="26"/>
        <v>0</v>
      </c>
      <c r="D127" s="6">
        <v>0</v>
      </c>
      <c r="E127" s="7">
        <f t="shared" si="27"/>
        <v>0</v>
      </c>
      <c r="F127" s="6">
        <v>0</v>
      </c>
      <c r="G127" s="8">
        <f t="shared" si="19"/>
        <v>0</v>
      </c>
      <c r="H127" s="6">
        <v>0</v>
      </c>
      <c r="I127" s="6">
        <v>0</v>
      </c>
      <c r="J127" s="6">
        <v>0</v>
      </c>
      <c r="K127" s="6">
        <v>0</v>
      </c>
      <c r="L127" s="6">
        <v>0</v>
      </c>
      <c r="M127" s="6">
        <v>0</v>
      </c>
      <c r="N127" s="6">
        <v>0</v>
      </c>
      <c r="O127" s="6">
        <v>0</v>
      </c>
      <c r="P127" s="6">
        <v>0</v>
      </c>
      <c r="Q127" s="6">
        <v>0</v>
      </c>
      <c r="R127" s="6">
        <v>0</v>
      </c>
      <c r="S127" s="6">
        <v>0</v>
      </c>
      <c r="T127" s="45">
        <f t="shared" si="18"/>
        <v>0</v>
      </c>
    </row>
    <row r="128" spans="1:20" x14ac:dyDescent="0.25">
      <c r="A128" s="5" t="s">
        <v>131</v>
      </c>
      <c r="B128" s="6">
        <f>SUM(B129:B130)</f>
        <v>0</v>
      </c>
      <c r="C128" s="7">
        <f t="shared" si="26"/>
        <v>0</v>
      </c>
      <c r="D128" s="6">
        <f>SUM(D129:D130)</f>
        <v>1600</v>
      </c>
      <c r="E128" s="7">
        <f t="shared" si="27"/>
        <v>8.2473665643099745E-3</v>
      </c>
      <c r="F128" s="6">
        <f>SUM(F129:F130)</f>
        <v>0</v>
      </c>
      <c r="G128" s="8">
        <f t="shared" si="19"/>
        <v>0</v>
      </c>
      <c r="H128" s="6">
        <f>SUM(H129:H130)</f>
        <v>0</v>
      </c>
      <c r="I128" s="6">
        <f t="shared" ref="I128:S128" si="31">SUM(I129:I130)</f>
        <v>0</v>
      </c>
      <c r="J128" s="6">
        <f t="shared" si="31"/>
        <v>0</v>
      </c>
      <c r="K128" s="6">
        <f t="shared" si="31"/>
        <v>0</v>
      </c>
      <c r="L128" s="6">
        <f t="shared" si="31"/>
        <v>0</v>
      </c>
      <c r="M128" s="6">
        <f t="shared" si="31"/>
        <v>0</v>
      </c>
      <c r="N128" s="6">
        <f t="shared" si="31"/>
        <v>0</v>
      </c>
      <c r="O128" s="6">
        <f t="shared" si="31"/>
        <v>0</v>
      </c>
      <c r="P128" s="6">
        <f t="shared" si="31"/>
        <v>0</v>
      </c>
      <c r="Q128" s="6">
        <f t="shared" si="31"/>
        <v>0</v>
      </c>
      <c r="R128" s="6">
        <f t="shared" si="31"/>
        <v>0</v>
      </c>
      <c r="S128" s="6">
        <f t="shared" si="31"/>
        <v>0</v>
      </c>
      <c r="T128" s="45">
        <f t="shared" si="18"/>
        <v>0</v>
      </c>
    </row>
    <row r="129" spans="1:20" hidden="1" outlineLevel="1" x14ac:dyDescent="0.25">
      <c r="A129" s="1" t="s">
        <v>132</v>
      </c>
      <c r="C129" s="8">
        <f t="shared" si="26"/>
        <v>0</v>
      </c>
      <c r="E129" s="8">
        <f t="shared" si="27"/>
        <v>0</v>
      </c>
      <c r="F129" s="2"/>
      <c r="G129" s="8">
        <f t="shared" si="19"/>
        <v>0</v>
      </c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45">
        <f t="shared" si="18"/>
        <v>0</v>
      </c>
    </row>
    <row r="130" spans="1:20" hidden="1" outlineLevel="1" x14ac:dyDescent="0.25">
      <c r="A130" s="1" t="s">
        <v>133</v>
      </c>
      <c r="C130" s="8">
        <f t="shared" si="26"/>
        <v>0</v>
      </c>
      <c r="D130" s="2">
        <v>1600</v>
      </c>
      <c r="E130" s="8">
        <f t="shared" si="27"/>
        <v>8.2473665643099745E-3</v>
      </c>
      <c r="F130" s="2"/>
      <c r="G130" s="8">
        <f t="shared" si="19"/>
        <v>0</v>
      </c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45">
        <f t="shared" ref="T130:T173" si="32">SUM(H130:S130)</f>
        <v>0</v>
      </c>
    </row>
    <row r="131" spans="1:20" collapsed="1" x14ac:dyDescent="0.25">
      <c r="A131" s="5" t="s">
        <v>134</v>
      </c>
      <c r="B131" s="6">
        <v>0</v>
      </c>
      <c r="C131" s="7">
        <f t="shared" si="26"/>
        <v>0</v>
      </c>
      <c r="D131" s="6">
        <v>0</v>
      </c>
      <c r="E131" s="7">
        <f t="shared" si="27"/>
        <v>0</v>
      </c>
      <c r="F131" s="6">
        <v>0</v>
      </c>
      <c r="G131" s="8">
        <f t="shared" si="19"/>
        <v>0</v>
      </c>
      <c r="H131" s="6">
        <v>0</v>
      </c>
      <c r="I131" s="6">
        <v>1</v>
      </c>
      <c r="J131" s="6">
        <v>2</v>
      </c>
      <c r="K131" s="6">
        <v>3</v>
      </c>
      <c r="L131" s="6">
        <v>4</v>
      </c>
      <c r="M131" s="6">
        <v>5</v>
      </c>
      <c r="N131" s="6">
        <v>6</v>
      </c>
      <c r="O131" s="6">
        <v>7</v>
      </c>
      <c r="P131" s="6">
        <v>8</v>
      </c>
      <c r="Q131" s="6">
        <v>9</v>
      </c>
      <c r="R131" s="6">
        <v>10</v>
      </c>
      <c r="S131" s="6">
        <v>11</v>
      </c>
      <c r="T131" s="45">
        <f t="shared" si="32"/>
        <v>66</v>
      </c>
    </row>
    <row r="132" spans="1:20" x14ac:dyDescent="0.25">
      <c r="A132" s="5" t="s">
        <v>135</v>
      </c>
      <c r="B132" s="6">
        <f>SUM(B133:B135)</f>
        <v>10870.65</v>
      </c>
      <c r="C132" s="7">
        <f t="shared" si="26"/>
        <v>5.6005931843053247E-2</v>
      </c>
      <c r="D132" s="6">
        <f>SUM(D133:D135)</f>
        <v>3975.93</v>
      </c>
      <c r="E132" s="7">
        <f t="shared" si="27"/>
        <v>2.0494345090023097E-2</v>
      </c>
      <c r="F132" s="6">
        <f>SUM(F133:F135)</f>
        <v>-0.03</v>
      </c>
      <c r="G132" s="8">
        <f t="shared" ref="G132:G174" si="33">+F132/$F$2</f>
        <v>-8.8235294117647056E-8</v>
      </c>
      <c r="H132" s="6">
        <f>SUM(H133:H135)</f>
        <v>-0.03</v>
      </c>
      <c r="I132" s="6">
        <f t="shared" ref="I132:S132" si="34">SUM(I133:I135)</f>
        <v>0.97</v>
      </c>
      <c r="J132" s="6">
        <f t="shared" si="34"/>
        <v>1.97</v>
      </c>
      <c r="K132" s="6">
        <f t="shared" si="34"/>
        <v>2.97</v>
      </c>
      <c r="L132" s="6">
        <f t="shared" si="34"/>
        <v>3.97</v>
      </c>
      <c r="M132" s="6">
        <f t="shared" si="34"/>
        <v>4.97</v>
      </c>
      <c r="N132" s="6">
        <f t="shared" si="34"/>
        <v>5.97</v>
      </c>
      <c r="O132" s="6">
        <f t="shared" si="34"/>
        <v>6.97</v>
      </c>
      <c r="P132" s="6">
        <f t="shared" si="34"/>
        <v>7.97</v>
      </c>
      <c r="Q132" s="6">
        <f t="shared" si="34"/>
        <v>8.9700000000000006</v>
      </c>
      <c r="R132" s="6">
        <f t="shared" si="34"/>
        <v>9.9700000000000006</v>
      </c>
      <c r="S132" s="6">
        <f t="shared" si="34"/>
        <v>10.97</v>
      </c>
      <c r="T132" s="45">
        <f t="shared" si="32"/>
        <v>65.64</v>
      </c>
    </row>
    <row r="133" spans="1:20" hidden="1" outlineLevel="1" x14ac:dyDescent="0.25">
      <c r="A133" s="1" t="s">
        <v>136</v>
      </c>
      <c r="B133" s="2">
        <v>-19.03</v>
      </c>
      <c r="C133" s="8">
        <f t="shared" si="26"/>
        <v>-9.804316052612341E-5</v>
      </c>
      <c r="D133" s="2">
        <v>-0.03</v>
      </c>
      <c r="E133" s="8">
        <f t="shared" si="27"/>
        <v>-1.5463812308081201E-7</v>
      </c>
      <c r="F133" s="2">
        <v>-0.03</v>
      </c>
      <c r="G133" s="8">
        <f t="shared" si="33"/>
        <v>-8.8235294117647056E-8</v>
      </c>
      <c r="H133" s="2">
        <v>-0.03</v>
      </c>
      <c r="I133" s="2">
        <v>0.97</v>
      </c>
      <c r="J133" s="2">
        <v>1.97</v>
      </c>
      <c r="K133" s="2">
        <v>2.97</v>
      </c>
      <c r="L133" s="2">
        <v>3.97</v>
      </c>
      <c r="M133" s="2">
        <v>4.97</v>
      </c>
      <c r="N133" s="2">
        <v>5.97</v>
      </c>
      <c r="O133" s="2">
        <v>6.97</v>
      </c>
      <c r="P133" s="2">
        <v>7.97</v>
      </c>
      <c r="Q133" s="2">
        <v>8.9700000000000006</v>
      </c>
      <c r="R133" s="2">
        <v>9.9700000000000006</v>
      </c>
      <c r="S133" s="2">
        <v>10.97</v>
      </c>
      <c r="T133" s="45">
        <f t="shared" si="32"/>
        <v>65.64</v>
      </c>
    </row>
    <row r="134" spans="1:20" hidden="1" outlineLevel="1" x14ac:dyDescent="0.25">
      <c r="A134" s="1" t="s">
        <v>137</v>
      </c>
      <c r="C134" s="8">
        <f t="shared" si="26"/>
        <v>0</v>
      </c>
      <c r="E134" s="8">
        <f t="shared" si="27"/>
        <v>0</v>
      </c>
      <c r="F134" s="2"/>
      <c r="G134" s="8">
        <f t="shared" si="33"/>
        <v>0</v>
      </c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45">
        <f t="shared" si="32"/>
        <v>0</v>
      </c>
    </row>
    <row r="135" spans="1:20" hidden="1" outlineLevel="1" x14ac:dyDescent="0.25">
      <c r="A135" s="1" t="s">
        <v>138</v>
      </c>
      <c r="B135" s="2">
        <v>10889.68</v>
      </c>
      <c r="C135" s="8">
        <f t="shared" si="26"/>
        <v>5.6103975003579373E-2</v>
      </c>
      <c r="D135" s="2">
        <v>3975.96</v>
      </c>
      <c r="E135" s="8">
        <f t="shared" si="27"/>
        <v>2.0494499728146178E-2</v>
      </c>
      <c r="F135" s="2"/>
      <c r="G135" s="8">
        <f t="shared" si="33"/>
        <v>0</v>
      </c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45">
        <f t="shared" si="32"/>
        <v>0</v>
      </c>
    </row>
    <row r="136" spans="1:20" collapsed="1" x14ac:dyDescent="0.25">
      <c r="A136" s="3" t="s">
        <v>139</v>
      </c>
      <c r="B136" s="4">
        <f>+B2+B9+B12+B13+B22+B27+B37+B122+B126+B127+B128+B131+B132</f>
        <v>33193.450000000019</v>
      </c>
      <c r="C136" s="11">
        <f t="shared" si="26"/>
        <v>0.17101370187944576</v>
      </c>
      <c r="D136" s="4">
        <f>+D2+D9+D12+D13+D22+D27+D37+D122+D126+D127+D128+D131+D132</f>
        <v>-11319.930000000026</v>
      </c>
      <c r="E136" s="11">
        <f t="shared" si="27"/>
        <v>-5.8349757620206014E-2</v>
      </c>
      <c r="F136" s="4">
        <f>+F2+F27+F37+F122</f>
        <v>41799.94</v>
      </c>
      <c r="G136" s="8">
        <f t="shared" si="33"/>
        <v>0.12294100000000001</v>
      </c>
      <c r="H136" s="4">
        <f>+H2+H27+H37</f>
        <v>5858.2733333333344</v>
      </c>
      <c r="I136" s="4">
        <f t="shared" ref="I136:S136" si="35">+I2+I27+I37</f>
        <v>5861.2733333333344</v>
      </c>
      <c r="J136" s="4">
        <f t="shared" si="35"/>
        <v>5864.2733333333344</v>
      </c>
      <c r="K136" s="4">
        <f t="shared" si="35"/>
        <v>5867.2733333333344</v>
      </c>
      <c r="L136" s="4">
        <f t="shared" si="35"/>
        <v>5870.2733333333344</v>
      </c>
      <c r="M136" s="4">
        <f t="shared" si="35"/>
        <v>5873.2733333333344</v>
      </c>
      <c r="N136" s="4">
        <f t="shared" si="35"/>
        <v>5876.2733333333344</v>
      </c>
      <c r="O136" s="4">
        <f t="shared" si="35"/>
        <v>5879.2733333333344</v>
      </c>
      <c r="P136" s="4">
        <f t="shared" si="35"/>
        <v>5882.2733333333344</v>
      </c>
      <c r="Q136" s="4">
        <f t="shared" si="35"/>
        <v>5885.2733333333344</v>
      </c>
      <c r="R136" s="4">
        <f t="shared" si="35"/>
        <v>5888.2733333333344</v>
      </c>
      <c r="S136" s="4">
        <f t="shared" si="35"/>
        <v>5891.2733333333344</v>
      </c>
      <c r="T136" s="45">
        <f t="shared" si="32"/>
        <v>70497.279999999999</v>
      </c>
    </row>
    <row r="137" spans="1:20" x14ac:dyDescent="0.25">
      <c r="A137" s="5" t="s">
        <v>140</v>
      </c>
      <c r="B137" s="6">
        <f>SUM(B138+B139)</f>
        <v>0</v>
      </c>
      <c r="C137" s="7">
        <f t="shared" si="26"/>
        <v>0</v>
      </c>
      <c r="D137" s="6">
        <f>SUM(D138+D139)</f>
        <v>0</v>
      </c>
      <c r="E137" s="7">
        <f t="shared" si="27"/>
        <v>0</v>
      </c>
      <c r="F137" s="6">
        <f>SUM(F138+F139)</f>
        <v>0</v>
      </c>
      <c r="G137" s="8">
        <f t="shared" si="33"/>
        <v>0</v>
      </c>
      <c r="H137" s="6">
        <f>SUM(H138+H139)</f>
        <v>0</v>
      </c>
      <c r="I137" s="6">
        <f t="shared" ref="I137:S137" si="36">SUM(I138+I139)</f>
        <v>1</v>
      </c>
      <c r="J137" s="6">
        <f t="shared" si="36"/>
        <v>2</v>
      </c>
      <c r="K137" s="6">
        <f t="shared" si="36"/>
        <v>3</v>
      </c>
      <c r="L137" s="6">
        <f t="shared" si="36"/>
        <v>4</v>
      </c>
      <c r="M137" s="6">
        <f t="shared" si="36"/>
        <v>5</v>
      </c>
      <c r="N137" s="6">
        <f t="shared" si="36"/>
        <v>6</v>
      </c>
      <c r="O137" s="6">
        <f t="shared" si="36"/>
        <v>7</v>
      </c>
      <c r="P137" s="6">
        <f t="shared" si="36"/>
        <v>8</v>
      </c>
      <c r="Q137" s="6">
        <f t="shared" si="36"/>
        <v>9</v>
      </c>
      <c r="R137" s="6">
        <f t="shared" si="36"/>
        <v>10</v>
      </c>
      <c r="S137" s="6">
        <f t="shared" si="36"/>
        <v>11</v>
      </c>
      <c r="T137" s="45">
        <f t="shared" si="32"/>
        <v>66</v>
      </c>
    </row>
    <row r="138" spans="1:20" hidden="1" outlineLevel="1" x14ac:dyDescent="0.25">
      <c r="A138" s="13" t="s">
        <v>141</v>
      </c>
      <c r="B138" s="14">
        <v>0</v>
      </c>
      <c r="C138" s="15">
        <f t="shared" ref="C138:C169" si="37">+B138/$B$2</f>
        <v>0</v>
      </c>
      <c r="D138" s="14">
        <v>0</v>
      </c>
      <c r="E138" s="15">
        <f t="shared" ref="E138:E169" si="38">+D138/$D$2</f>
        <v>0</v>
      </c>
      <c r="F138" s="14">
        <v>0</v>
      </c>
      <c r="G138" s="8">
        <f t="shared" si="33"/>
        <v>0</v>
      </c>
      <c r="H138" s="14">
        <v>0</v>
      </c>
      <c r="I138" s="14">
        <v>1</v>
      </c>
      <c r="J138" s="14">
        <v>2</v>
      </c>
      <c r="K138" s="14">
        <v>3</v>
      </c>
      <c r="L138" s="14">
        <v>4</v>
      </c>
      <c r="M138" s="14">
        <v>5</v>
      </c>
      <c r="N138" s="14">
        <v>6</v>
      </c>
      <c r="O138" s="14">
        <v>7</v>
      </c>
      <c r="P138" s="14">
        <v>8</v>
      </c>
      <c r="Q138" s="14">
        <v>9</v>
      </c>
      <c r="R138" s="14">
        <v>10</v>
      </c>
      <c r="S138" s="14">
        <v>11</v>
      </c>
      <c r="T138" s="45">
        <f t="shared" si="32"/>
        <v>66</v>
      </c>
    </row>
    <row r="139" spans="1:20" hidden="1" outlineLevel="1" x14ac:dyDescent="0.25">
      <c r="A139" s="13" t="s">
        <v>142</v>
      </c>
      <c r="B139" s="14">
        <f>SUM(B140:B145)</f>
        <v>0</v>
      </c>
      <c r="C139" s="15">
        <f t="shared" si="37"/>
        <v>0</v>
      </c>
      <c r="D139" s="14">
        <f>SUM(D140:D145)</f>
        <v>0</v>
      </c>
      <c r="E139" s="15">
        <f t="shared" si="38"/>
        <v>0</v>
      </c>
      <c r="F139" s="14">
        <f>SUM(F140:F145)</f>
        <v>0</v>
      </c>
      <c r="G139" s="8">
        <f t="shared" si="33"/>
        <v>0</v>
      </c>
      <c r="H139" s="14">
        <f>SUM(H140:H145)</f>
        <v>0</v>
      </c>
      <c r="I139" s="14">
        <f t="shared" ref="I139:S139" si="39">SUM(I140:I145)</f>
        <v>0</v>
      </c>
      <c r="J139" s="14">
        <f t="shared" si="39"/>
        <v>0</v>
      </c>
      <c r="K139" s="14">
        <f t="shared" si="39"/>
        <v>0</v>
      </c>
      <c r="L139" s="14">
        <f t="shared" si="39"/>
        <v>0</v>
      </c>
      <c r="M139" s="14">
        <f t="shared" si="39"/>
        <v>0</v>
      </c>
      <c r="N139" s="14">
        <f t="shared" si="39"/>
        <v>0</v>
      </c>
      <c r="O139" s="14">
        <f t="shared" si="39"/>
        <v>0</v>
      </c>
      <c r="P139" s="14">
        <f t="shared" si="39"/>
        <v>0</v>
      </c>
      <c r="Q139" s="14">
        <f t="shared" si="39"/>
        <v>0</v>
      </c>
      <c r="R139" s="14">
        <f t="shared" si="39"/>
        <v>0</v>
      </c>
      <c r="S139" s="14">
        <f t="shared" si="39"/>
        <v>0</v>
      </c>
      <c r="T139" s="45">
        <f t="shared" si="32"/>
        <v>0</v>
      </c>
    </row>
    <row r="140" spans="1:20" hidden="1" outlineLevel="1" x14ac:dyDescent="0.25">
      <c r="A140" s="1" t="s">
        <v>143</v>
      </c>
      <c r="C140" s="8">
        <f t="shared" si="37"/>
        <v>0</v>
      </c>
      <c r="E140" s="8">
        <f t="shared" si="38"/>
        <v>0</v>
      </c>
      <c r="F140" s="2"/>
      <c r="G140" s="8">
        <f t="shared" si="33"/>
        <v>0</v>
      </c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45">
        <f t="shared" si="32"/>
        <v>0</v>
      </c>
    </row>
    <row r="141" spans="1:20" hidden="1" outlineLevel="1" x14ac:dyDescent="0.25">
      <c r="A141" s="1" t="s">
        <v>144</v>
      </c>
      <c r="C141" s="8">
        <f t="shared" si="37"/>
        <v>0</v>
      </c>
      <c r="E141" s="8">
        <f t="shared" si="38"/>
        <v>0</v>
      </c>
      <c r="F141" s="2"/>
      <c r="G141" s="8">
        <f t="shared" si="33"/>
        <v>0</v>
      </c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45">
        <f t="shared" si="32"/>
        <v>0</v>
      </c>
    </row>
    <row r="142" spans="1:20" hidden="1" outlineLevel="1" x14ac:dyDescent="0.25">
      <c r="A142" s="1" t="s">
        <v>145</v>
      </c>
      <c r="C142" s="8">
        <f t="shared" si="37"/>
        <v>0</v>
      </c>
      <c r="E142" s="8">
        <f t="shared" si="38"/>
        <v>0</v>
      </c>
      <c r="F142" s="2"/>
      <c r="G142" s="8">
        <f t="shared" si="33"/>
        <v>0</v>
      </c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45">
        <f t="shared" si="32"/>
        <v>0</v>
      </c>
    </row>
    <row r="143" spans="1:20" hidden="1" outlineLevel="1" x14ac:dyDescent="0.25">
      <c r="A143" s="1" t="s">
        <v>146</v>
      </c>
      <c r="C143" s="8">
        <f t="shared" si="37"/>
        <v>0</v>
      </c>
      <c r="E143" s="8">
        <f t="shared" si="38"/>
        <v>0</v>
      </c>
      <c r="F143" s="2"/>
      <c r="G143" s="8">
        <f t="shared" si="33"/>
        <v>0</v>
      </c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45">
        <f t="shared" si="32"/>
        <v>0</v>
      </c>
    </row>
    <row r="144" spans="1:20" hidden="1" outlineLevel="1" x14ac:dyDescent="0.25">
      <c r="A144" s="1" t="s">
        <v>147</v>
      </c>
      <c r="C144" s="8">
        <f t="shared" si="37"/>
        <v>0</v>
      </c>
      <c r="E144" s="8">
        <f t="shared" si="38"/>
        <v>0</v>
      </c>
      <c r="F144" s="2"/>
      <c r="G144" s="8">
        <f t="shared" si="33"/>
        <v>0</v>
      </c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45">
        <f t="shared" si="32"/>
        <v>0</v>
      </c>
    </row>
    <row r="145" spans="1:20" hidden="1" outlineLevel="1" x14ac:dyDescent="0.25">
      <c r="A145" s="1" t="s">
        <v>148</v>
      </c>
      <c r="C145" s="8">
        <f t="shared" si="37"/>
        <v>0</v>
      </c>
      <c r="E145" s="8">
        <f t="shared" si="38"/>
        <v>0</v>
      </c>
      <c r="F145" s="2"/>
      <c r="G145" s="8">
        <f t="shared" si="33"/>
        <v>0</v>
      </c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45">
        <f t="shared" si="32"/>
        <v>0</v>
      </c>
    </row>
    <row r="146" spans="1:20" collapsed="1" x14ac:dyDescent="0.25">
      <c r="A146" s="5" t="s">
        <v>149</v>
      </c>
      <c r="B146" s="6">
        <f>SUM(B147:B152)</f>
        <v>-6626.99</v>
      </c>
      <c r="C146" s="7">
        <f t="shared" si="37"/>
        <v>-3.4142461606674432E-2</v>
      </c>
      <c r="D146" s="6">
        <f>SUM(D147:D152)</f>
        <v>0</v>
      </c>
      <c r="E146" s="7">
        <f t="shared" si="38"/>
        <v>0</v>
      </c>
      <c r="F146" s="6">
        <f>SUM(F147:F152)</f>
        <v>0</v>
      </c>
      <c r="G146" s="8">
        <f t="shared" si="33"/>
        <v>0</v>
      </c>
      <c r="H146" s="6">
        <f>SUM(H147:H152)</f>
        <v>0</v>
      </c>
      <c r="I146" s="6">
        <f t="shared" ref="I146:S146" si="40">SUM(I147:I152)</f>
        <v>0</v>
      </c>
      <c r="J146" s="6">
        <f t="shared" si="40"/>
        <v>0</v>
      </c>
      <c r="K146" s="6">
        <f t="shared" si="40"/>
        <v>0</v>
      </c>
      <c r="L146" s="6">
        <f t="shared" si="40"/>
        <v>0</v>
      </c>
      <c r="M146" s="6">
        <f t="shared" si="40"/>
        <v>0</v>
      </c>
      <c r="N146" s="6">
        <f t="shared" si="40"/>
        <v>0</v>
      </c>
      <c r="O146" s="6">
        <f t="shared" si="40"/>
        <v>0</v>
      </c>
      <c r="P146" s="6">
        <f t="shared" si="40"/>
        <v>0</v>
      </c>
      <c r="Q146" s="6">
        <f t="shared" si="40"/>
        <v>0</v>
      </c>
      <c r="R146" s="6">
        <f t="shared" si="40"/>
        <v>0</v>
      </c>
      <c r="S146" s="6">
        <f t="shared" si="40"/>
        <v>0</v>
      </c>
      <c r="T146" s="45">
        <f t="shared" si="32"/>
        <v>0</v>
      </c>
    </row>
    <row r="147" spans="1:20" hidden="1" outlineLevel="1" x14ac:dyDescent="0.25">
      <c r="A147" s="10" t="s">
        <v>150</v>
      </c>
      <c r="B147" s="2">
        <v>-6628.55</v>
      </c>
      <c r="C147" s="8">
        <f t="shared" si="37"/>
        <v>-3.4150498775903065E-2</v>
      </c>
      <c r="D147" s="6"/>
      <c r="E147" s="8">
        <f t="shared" si="38"/>
        <v>0</v>
      </c>
      <c r="F147" s="6"/>
      <c r="G147" s="8">
        <f t="shared" si="33"/>
        <v>0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45">
        <f t="shared" si="32"/>
        <v>0</v>
      </c>
    </row>
    <row r="148" spans="1:20" hidden="1" outlineLevel="1" x14ac:dyDescent="0.25">
      <c r="A148" s="1" t="s">
        <v>151</v>
      </c>
      <c r="C148" s="8">
        <f t="shared" si="37"/>
        <v>0</v>
      </c>
      <c r="E148" s="8">
        <f t="shared" si="38"/>
        <v>0</v>
      </c>
      <c r="F148" s="2"/>
      <c r="G148" s="8">
        <f t="shared" si="33"/>
        <v>0</v>
      </c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45">
        <f t="shared" si="32"/>
        <v>0</v>
      </c>
    </row>
    <row r="149" spans="1:20" hidden="1" outlineLevel="1" x14ac:dyDescent="0.25">
      <c r="A149" s="1" t="s">
        <v>152</v>
      </c>
      <c r="C149" s="8">
        <f t="shared" si="37"/>
        <v>0</v>
      </c>
      <c r="E149" s="8">
        <f t="shared" si="38"/>
        <v>0</v>
      </c>
      <c r="F149" s="2"/>
      <c r="G149" s="8">
        <f t="shared" si="33"/>
        <v>0</v>
      </c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45">
        <f t="shared" si="32"/>
        <v>0</v>
      </c>
    </row>
    <row r="150" spans="1:20" hidden="1" outlineLevel="1" x14ac:dyDescent="0.25">
      <c r="A150" s="1" t="s">
        <v>153</v>
      </c>
      <c r="C150" s="8">
        <f t="shared" si="37"/>
        <v>0</v>
      </c>
      <c r="E150" s="8">
        <f t="shared" si="38"/>
        <v>0</v>
      </c>
      <c r="F150" s="2"/>
      <c r="G150" s="8">
        <f t="shared" si="33"/>
        <v>0</v>
      </c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45">
        <f t="shared" si="32"/>
        <v>0</v>
      </c>
    </row>
    <row r="151" spans="1:20" hidden="1" outlineLevel="1" x14ac:dyDescent="0.25">
      <c r="A151" s="1" t="s">
        <v>154</v>
      </c>
      <c r="C151" s="8">
        <f t="shared" si="37"/>
        <v>0</v>
      </c>
      <c r="E151" s="8">
        <f t="shared" si="38"/>
        <v>0</v>
      </c>
      <c r="F151" s="2"/>
      <c r="G151" s="8">
        <f t="shared" si="33"/>
        <v>0</v>
      </c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45">
        <f t="shared" si="32"/>
        <v>0</v>
      </c>
    </row>
    <row r="152" spans="1:20" hidden="1" outlineLevel="1" x14ac:dyDescent="0.25">
      <c r="A152" s="10" t="s">
        <v>155</v>
      </c>
      <c r="B152" s="2">
        <v>1.56</v>
      </c>
      <c r="C152" s="8">
        <f t="shared" si="37"/>
        <v>8.0371692286259866E-6</v>
      </c>
      <c r="E152" s="8">
        <f t="shared" si="38"/>
        <v>0</v>
      </c>
      <c r="F152" s="2"/>
      <c r="G152" s="8">
        <f t="shared" si="33"/>
        <v>0</v>
      </c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45">
        <f t="shared" si="32"/>
        <v>0</v>
      </c>
    </row>
    <row r="153" spans="1:20" collapsed="1" x14ac:dyDescent="0.25">
      <c r="A153" s="5" t="s">
        <v>156</v>
      </c>
      <c r="B153" s="6">
        <f>SUM(B154:B159)</f>
        <v>0</v>
      </c>
      <c r="C153" s="7">
        <f t="shared" si="37"/>
        <v>0</v>
      </c>
      <c r="D153" s="6">
        <f>SUM(D154:D159)</f>
        <v>0</v>
      </c>
      <c r="E153" s="7">
        <f t="shared" si="38"/>
        <v>0</v>
      </c>
      <c r="F153" s="6">
        <f>SUM(F154:F159)</f>
        <v>0</v>
      </c>
      <c r="G153" s="8">
        <f t="shared" si="33"/>
        <v>0</v>
      </c>
      <c r="H153" s="6">
        <f>SUM(H154:H159)</f>
        <v>0</v>
      </c>
      <c r="I153" s="6">
        <f t="shared" ref="I153:S153" si="41">SUM(I154:I159)</f>
        <v>0</v>
      </c>
      <c r="J153" s="6">
        <f t="shared" si="41"/>
        <v>0</v>
      </c>
      <c r="K153" s="6">
        <f t="shared" si="41"/>
        <v>0</v>
      </c>
      <c r="L153" s="6">
        <f t="shared" si="41"/>
        <v>0</v>
      </c>
      <c r="M153" s="6">
        <f t="shared" si="41"/>
        <v>0</v>
      </c>
      <c r="N153" s="6">
        <f t="shared" si="41"/>
        <v>0</v>
      </c>
      <c r="O153" s="6">
        <f t="shared" si="41"/>
        <v>0</v>
      </c>
      <c r="P153" s="6">
        <f t="shared" si="41"/>
        <v>0</v>
      </c>
      <c r="Q153" s="6">
        <f t="shared" si="41"/>
        <v>0</v>
      </c>
      <c r="R153" s="6">
        <f t="shared" si="41"/>
        <v>0</v>
      </c>
      <c r="S153" s="6">
        <f t="shared" si="41"/>
        <v>0</v>
      </c>
      <c r="T153" s="45">
        <f t="shared" si="32"/>
        <v>0</v>
      </c>
    </row>
    <row r="154" spans="1:20" hidden="1" outlineLevel="1" x14ac:dyDescent="0.25">
      <c r="A154" s="1" t="s">
        <v>157</v>
      </c>
      <c r="C154" s="8">
        <f t="shared" si="37"/>
        <v>0</v>
      </c>
      <c r="E154" s="8">
        <f t="shared" si="38"/>
        <v>0</v>
      </c>
      <c r="F154" s="2"/>
      <c r="G154" s="8">
        <f t="shared" si="33"/>
        <v>0</v>
      </c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45">
        <f t="shared" si="32"/>
        <v>0</v>
      </c>
    </row>
    <row r="155" spans="1:20" hidden="1" outlineLevel="1" x14ac:dyDescent="0.25">
      <c r="A155" s="1" t="s">
        <v>158</v>
      </c>
      <c r="C155" s="8">
        <f t="shared" si="37"/>
        <v>0</v>
      </c>
      <c r="E155" s="8">
        <f t="shared" si="38"/>
        <v>0</v>
      </c>
      <c r="F155" s="2"/>
      <c r="G155" s="8">
        <f t="shared" si="33"/>
        <v>0</v>
      </c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45">
        <f t="shared" si="32"/>
        <v>0</v>
      </c>
    </row>
    <row r="156" spans="1:20" hidden="1" outlineLevel="1" x14ac:dyDescent="0.25">
      <c r="A156" s="1" t="s">
        <v>159</v>
      </c>
      <c r="C156" s="8">
        <f t="shared" si="37"/>
        <v>0</v>
      </c>
      <c r="E156" s="8">
        <f t="shared" si="38"/>
        <v>0</v>
      </c>
      <c r="F156" s="2"/>
      <c r="G156" s="8">
        <f t="shared" si="33"/>
        <v>0</v>
      </c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45">
        <f t="shared" si="32"/>
        <v>0</v>
      </c>
    </row>
    <row r="157" spans="1:20" hidden="1" outlineLevel="1" x14ac:dyDescent="0.25">
      <c r="A157" s="1" t="s">
        <v>160</v>
      </c>
      <c r="C157" s="8">
        <f t="shared" si="37"/>
        <v>0</v>
      </c>
      <c r="E157" s="8">
        <f t="shared" si="38"/>
        <v>0</v>
      </c>
      <c r="F157" s="2"/>
      <c r="G157" s="8">
        <f t="shared" si="33"/>
        <v>0</v>
      </c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45">
        <f t="shared" si="32"/>
        <v>0</v>
      </c>
    </row>
    <row r="158" spans="1:20" hidden="1" outlineLevel="1" x14ac:dyDescent="0.25">
      <c r="A158" s="1" t="s">
        <v>161</v>
      </c>
      <c r="C158" s="8">
        <f t="shared" si="37"/>
        <v>0</v>
      </c>
      <c r="E158" s="8">
        <f t="shared" si="38"/>
        <v>0</v>
      </c>
      <c r="F158" s="2"/>
      <c r="G158" s="8">
        <f t="shared" si="33"/>
        <v>0</v>
      </c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45">
        <f t="shared" si="32"/>
        <v>0</v>
      </c>
    </row>
    <row r="159" spans="1:20" hidden="1" outlineLevel="1" x14ac:dyDescent="0.25">
      <c r="A159" s="1" t="s">
        <v>162</v>
      </c>
      <c r="C159" s="8">
        <f t="shared" si="37"/>
        <v>0</v>
      </c>
      <c r="E159" s="8">
        <f t="shared" si="38"/>
        <v>0</v>
      </c>
      <c r="F159" s="2"/>
      <c r="G159" s="8">
        <f t="shared" si="33"/>
        <v>0</v>
      </c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45">
        <f t="shared" si="32"/>
        <v>0</v>
      </c>
    </row>
    <row r="160" spans="1:20" collapsed="1" x14ac:dyDescent="0.25">
      <c r="A160" s="5" t="s">
        <v>163</v>
      </c>
      <c r="B160" s="6">
        <f>SUM(B161:B162)</f>
        <v>0</v>
      </c>
      <c r="C160" s="7">
        <f t="shared" si="37"/>
        <v>0</v>
      </c>
      <c r="D160" s="6">
        <f>SUM(D161:D162)</f>
        <v>0</v>
      </c>
      <c r="E160" s="7">
        <f t="shared" si="38"/>
        <v>0</v>
      </c>
      <c r="F160" s="6">
        <f>SUM(F161:F162)</f>
        <v>0</v>
      </c>
      <c r="G160" s="8">
        <f t="shared" si="33"/>
        <v>0</v>
      </c>
      <c r="H160" s="6">
        <f>SUM(H161:H162)</f>
        <v>0</v>
      </c>
      <c r="I160" s="6">
        <f t="shared" ref="I160:S160" si="42">SUM(I161:I162)</f>
        <v>0</v>
      </c>
      <c r="J160" s="6">
        <f t="shared" si="42"/>
        <v>0</v>
      </c>
      <c r="K160" s="6">
        <f t="shared" si="42"/>
        <v>0</v>
      </c>
      <c r="L160" s="6">
        <f t="shared" si="42"/>
        <v>0</v>
      </c>
      <c r="M160" s="6">
        <f t="shared" si="42"/>
        <v>0</v>
      </c>
      <c r="N160" s="6">
        <f t="shared" si="42"/>
        <v>0</v>
      </c>
      <c r="O160" s="6">
        <f t="shared" si="42"/>
        <v>0</v>
      </c>
      <c r="P160" s="6">
        <f t="shared" si="42"/>
        <v>0</v>
      </c>
      <c r="Q160" s="6">
        <f t="shared" si="42"/>
        <v>0</v>
      </c>
      <c r="R160" s="6">
        <f t="shared" si="42"/>
        <v>0</v>
      </c>
      <c r="S160" s="6">
        <f t="shared" si="42"/>
        <v>0</v>
      </c>
      <c r="T160" s="45">
        <f t="shared" si="32"/>
        <v>0</v>
      </c>
    </row>
    <row r="161" spans="1:20" hidden="1" outlineLevel="1" x14ac:dyDescent="0.25">
      <c r="A161" s="1" t="s">
        <v>164</v>
      </c>
      <c r="C161" s="8">
        <f t="shared" si="37"/>
        <v>0</v>
      </c>
      <c r="E161" s="8">
        <f t="shared" si="38"/>
        <v>0</v>
      </c>
      <c r="F161" s="2"/>
      <c r="G161" s="8">
        <f t="shared" si="33"/>
        <v>0</v>
      </c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45">
        <f t="shared" si="32"/>
        <v>0</v>
      </c>
    </row>
    <row r="162" spans="1:20" hidden="1" outlineLevel="1" x14ac:dyDescent="0.25">
      <c r="A162" s="1" t="s">
        <v>165</v>
      </c>
      <c r="C162" s="8">
        <f t="shared" si="37"/>
        <v>0</v>
      </c>
      <c r="E162" s="8">
        <f t="shared" si="38"/>
        <v>0</v>
      </c>
      <c r="F162" s="2"/>
      <c r="G162" s="8">
        <f t="shared" si="33"/>
        <v>0</v>
      </c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45">
        <f t="shared" si="32"/>
        <v>0</v>
      </c>
    </row>
    <row r="163" spans="1:20" collapsed="1" x14ac:dyDescent="0.25">
      <c r="A163" s="5" t="s">
        <v>166</v>
      </c>
      <c r="B163" s="6">
        <f>SUM(B164)</f>
        <v>0</v>
      </c>
      <c r="C163" s="7">
        <f t="shared" si="37"/>
        <v>0</v>
      </c>
      <c r="D163" s="6">
        <f>SUM(D164)</f>
        <v>0</v>
      </c>
      <c r="E163" s="7">
        <f t="shared" si="38"/>
        <v>0</v>
      </c>
      <c r="F163" s="6">
        <f>SUM(F164)</f>
        <v>0</v>
      </c>
      <c r="G163" s="8">
        <f t="shared" si="33"/>
        <v>0</v>
      </c>
      <c r="H163" s="6">
        <f>SUM(H164)</f>
        <v>0</v>
      </c>
      <c r="I163" s="6">
        <f t="shared" ref="I163:S163" si="43">SUM(I164)</f>
        <v>1</v>
      </c>
      <c r="J163" s="6">
        <f t="shared" si="43"/>
        <v>2</v>
      </c>
      <c r="K163" s="6">
        <f t="shared" si="43"/>
        <v>3</v>
      </c>
      <c r="L163" s="6">
        <f t="shared" si="43"/>
        <v>4</v>
      </c>
      <c r="M163" s="6">
        <f t="shared" si="43"/>
        <v>5</v>
      </c>
      <c r="N163" s="6">
        <f t="shared" si="43"/>
        <v>6</v>
      </c>
      <c r="O163" s="6">
        <f t="shared" si="43"/>
        <v>7</v>
      </c>
      <c r="P163" s="6">
        <f t="shared" si="43"/>
        <v>8</v>
      </c>
      <c r="Q163" s="6">
        <f t="shared" si="43"/>
        <v>9</v>
      </c>
      <c r="R163" s="6">
        <f t="shared" si="43"/>
        <v>10</v>
      </c>
      <c r="S163" s="6">
        <f t="shared" si="43"/>
        <v>11</v>
      </c>
      <c r="T163" s="45">
        <f t="shared" si="32"/>
        <v>66</v>
      </c>
    </row>
    <row r="164" spans="1:20" hidden="1" outlineLevel="1" x14ac:dyDescent="0.25">
      <c r="A164" s="1" t="s">
        <v>167</v>
      </c>
      <c r="B164" s="2">
        <v>0</v>
      </c>
      <c r="C164" s="8">
        <f t="shared" si="37"/>
        <v>0</v>
      </c>
      <c r="D164" s="2">
        <v>0</v>
      </c>
      <c r="E164" s="8">
        <f t="shared" si="38"/>
        <v>0</v>
      </c>
      <c r="F164" s="2">
        <v>0</v>
      </c>
      <c r="G164" s="8">
        <f t="shared" si="33"/>
        <v>0</v>
      </c>
      <c r="H164" s="2">
        <v>0</v>
      </c>
      <c r="I164" s="2">
        <v>1</v>
      </c>
      <c r="J164" s="2">
        <v>2</v>
      </c>
      <c r="K164" s="2">
        <v>3</v>
      </c>
      <c r="L164" s="2">
        <v>4</v>
      </c>
      <c r="M164" s="2">
        <v>5</v>
      </c>
      <c r="N164" s="2">
        <v>6</v>
      </c>
      <c r="O164" s="2">
        <v>7</v>
      </c>
      <c r="P164" s="2">
        <v>8</v>
      </c>
      <c r="Q164" s="2">
        <v>9</v>
      </c>
      <c r="R164" s="2">
        <v>10</v>
      </c>
      <c r="S164" s="2">
        <v>11</v>
      </c>
      <c r="T164" s="45">
        <f t="shared" si="32"/>
        <v>66</v>
      </c>
    </row>
    <row r="165" spans="1:20" collapsed="1" x14ac:dyDescent="0.25">
      <c r="A165" s="5" t="s">
        <v>168</v>
      </c>
      <c r="B165" s="6">
        <f>SUM(B166:B168)</f>
        <v>0</v>
      </c>
      <c r="C165" s="7">
        <f t="shared" si="37"/>
        <v>0</v>
      </c>
      <c r="D165" s="6">
        <f>SUM(D166:D168)</f>
        <v>0</v>
      </c>
      <c r="E165" s="7">
        <f t="shared" si="38"/>
        <v>0</v>
      </c>
      <c r="F165" s="6">
        <f>SUM(F166:F168)</f>
        <v>0</v>
      </c>
      <c r="G165" s="8">
        <f t="shared" si="33"/>
        <v>0</v>
      </c>
      <c r="H165" s="6">
        <f>SUM(H166:H168)</f>
        <v>0</v>
      </c>
      <c r="I165" s="6">
        <f t="shared" ref="I165:S165" si="44">SUM(I166:I168)</f>
        <v>0</v>
      </c>
      <c r="J165" s="6">
        <f t="shared" si="44"/>
        <v>0</v>
      </c>
      <c r="K165" s="6">
        <f t="shared" si="44"/>
        <v>0</v>
      </c>
      <c r="L165" s="6">
        <f t="shared" si="44"/>
        <v>0</v>
      </c>
      <c r="M165" s="6">
        <f t="shared" si="44"/>
        <v>0</v>
      </c>
      <c r="N165" s="6">
        <f t="shared" si="44"/>
        <v>0</v>
      </c>
      <c r="O165" s="6">
        <f t="shared" si="44"/>
        <v>0</v>
      </c>
      <c r="P165" s="6">
        <f t="shared" si="44"/>
        <v>0</v>
      </c>
      <c r="Q165" s="6">
        <f t="shared" si="44"/>
        <v>0</v>
      </c>
      <c r="R165" s="6">
        <f t="shared" si="44"/>
        <v>0</v>
      </c>
      <c r="S165" s="6">
        <f t="shared" si="44"/>
        <v>0</v>
      </c>
      <c r="T165" s="45">
        <f t="shared" si="32"/>
        <v>0</v>
      </c>
    </row>
    <row r="166" spans="1:20" hidden="1" outlineLevel="1" x14ac:dyDescent="0.25">
      <c r="A166" s="1" t="s">
        <v>169</v>
      </c>
      <c r="C166" s="8">
        <f t="shared" si="37"/>
        <v>0</v>
      </c>
      <c r="E166" s="8">
        <f t="shared" si="38"/>
        <v>0</v>
      </c>
      <c r="F166" s="2"/>
      <c r="G166" s="8">
        <f t="shared" si="33"/>
        <v>0</v>
      </c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45">
        <f t="shared" si="32"/>
        <v>0</v>
      </c>
    </row>
    <row r="167" spans="1:20" hidden="1" outlineLevel="1" x14ac:dyDescent="0.25">
      <c r="A167" s="1" t="s">
        <v>170</v>
      </c>
      <c r="C167" s="8">
        <f t="shared" si="37"/>
        <v>0</v>
      </c>
      <c r="E167" s="8">
        <f t="shared" si="38"/>
        <v>0</v>
      </c>
      <c r="F167" s="2"/>
      <c r="G167" s="8">
        <f t="shared" si="33"/>
        <v>0</v>
      </c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45">
        <f t="shared" si="32"/>
        <v>0</v>
      </c>
    </row>
    <row r="168" spans="1:20" hidden="1" outlineLevel="1" x14ac:dyDescent="0.25">
      <c r="A168" s="1" t="s">
        <v>171</v>
      </c>
      <c r="C168" s="8">
        <f t="shared" si="37"/>
        <v>0</v>
      </c>
      <c r="E168" s="8">
        <f t="shared" si="38"/>
        <v>0</v>
      </c>
      <c r="F168" s="2"/>
      <c r="G168" s="8">
        <f t="shared" si="33"/>
        <v>0</v>
      </c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45">
        <f t="shared" si="32"/>
        <v>0</v>
      </c>
    </row>
    <row r="169" spans="1:20" collapsed="1" x14ac:dyDescent="0.25">
      <c r="A169" s="3" t="s">
        <v>172</v>
      </c>
      <c r="B169" s="4">
        <f>+B137+B146+B153+B160+B163+B165</f>
        <v>-6626.99</v>
      </c>
      <c r="C169" s="11">
        <f t="shared" si="37"/>
        <v>-3.4142461606674432E-2</v>
      </c>
      <c r="D169" s="4">
        <f>+D137+D146+D153+D160+D163+D165</f>
        <v>0</v>
      </c>
      <c r="E169" s="11">
        <f t="shared" si="38"/>
        <v>0</v>
      </c>
      <c r="F169" s="4">
        <f>+F137+F146+F153+F160+F163+F165</f>
        <v>0</v>
      </c>
      <c r="G169" s="8">
        <f t="shared" si="33"/>
        <v>0</v>
      </c>
      <c r="H169" s="4">
        <f>+H137+H146+H153+H160+H163+H165</f>
        <v>0</v>
      </c>
      <c r="I169" s="4">
        <f t="shared" ref="I169:S169" si="45">+I137+I146+I153+I160+I163+I165</f>
        <v>2</v>
      </c>
      <c r="J169" s="4">
        <f t="shared" si="45"/>
        <v>4</v>
      </c>
      <c r="K169" s="4">
        <f t="shared" si="45"/>
        <v>6</v>
      </c>
      <c r="L169" s="4">
        <f t="shared" si="45"/>
        <v>8</v>
      </c>
      <c r="M169" s="4">
        <f t="shared" si="45"/>
        <v>10</v>
      </c>
      <c r="N169" s="4">
        <f t="shared" si="45"/>
        <v>12</v>
      </c>
      <c r="O169" s="4">
        <f t="shared" si="45"/>
        <v>14</v>
      </c>
      <c r="P169" s="4">
        <f t="shared" si="45"/>
        <v>16</v>
      </c>
      <c r="Q169" s="4">
        <f t="shared" si="45"/>
        <v>18</v>
      </c>
      <c r="R169" s="4">
        <f t="shared" si="45"/>
        <v>20</v>
      </c>
      <c r="S169" s="4">
        <f t="shared" si="45"/>
        <v>22</v>
      </c>
      <c r="T169" s="45">
        <f t="shared" si="32"/>
        <v>132</v>
      </c>
    </row>
    <row r="170" spans="1:20" x14ac:dyDescent="0.25">
      <c r="A170" s="3" t="s">
        <v>173</v>
      </c>
      <c r="B170" s="4">
        <f>+B136+B169</f>
        <v>26566.460000000021</v>
      </c>
      <c r="C170" s="11">
        <f>+B170/$B$2</f>
        <v>0.13687124027277134</v>
      </c>
      <c r="D170" s="4">
        <f>+D136+D169</f>
        <v>-11319.930000000026</v>
      </c>
      <c r="E170" s="11">
        <f>+D170/$D$2</f>
        <v>-5.8349757620206014E-2</v>
      </c>
      <c r="F170" s="4">
        <f>+F136+F169</f>
        <v>41799.94</v>
      </c>
      <c r="G170" s="8">
        <f t="shared" si="33"/>
        <v>0.12294100000000001</v>
      </c>
      <c r="H170" s="4">
        <f>+H136+H169</f>
        <v>5858.2733333333344</v>
      </c>
      <c r="I170" s="4">
        <f t="shared" ref="I170:S170" si="46">+I136+I169</f>
        <v>5863.2733333333344</v>
      </c>
      <c r="J170" s="4">
        <f t="shared" si="46"/>
        <v>5868.2733333333344</v>
      </c>
      <c r="K170" s="4">
        <f t="shared" si="46"/>
        <v>5873.2733333333344</v>
      </c>
      <c r="L170" s="4">
        <f t="shared" si="46"/>
        <v>5878.2733333333344</v>
      </c>
      <c r="M170" s="4">
        <f t="shared" si="46"/>
        <v>5883.2733333333344</v>
      </c>
      <c r="N170" s="4">
        <f t="shared" si="46"/>
        <v>5888.2733333333344</v>
      </c>
      <c r="O170" s="4">
        <f t="shared" si="46"/>
        <v>5893.2733333333344</v>
      </c>
      <c r="P170" s="4">
        <f t="shared" si="46"/>
        <v>5898.2733333333344</v>
      </c>
      <c r="Q170" s="4">
        <f t="shared" si="46"/>
        <v>5903.2733333333344</v>
      </c>
      <c r="R170" s="4">
        <f t="shared" si="46"/>
        <v>5908.2733333333344</v>
      </c>
      <c r="S170" s="4">
        <f t="shared" si="46"/>
        <v>5913.2733333333344</v>
      </c>
      <c r="T170" s="45">
        <f t="shared" si="32"/>
        <v>70629.279999999999</v>
      </c>
    </row>
    <row r="171" spans="1:20" x14ac:dyDescent="0.25">
      <c r="A171" s="5" t="s">
        <v>174</v>
      </c>
      <c r="B171" s="6">
        <f>SUM(B172:B173)</f>
        <v>-1793.79</v>
      </c>
      <c r="C171" s="7">
        <f>+B171/$B$2</f>
        <v>-9.2416626862929525E-3</v>
      </c>
      <c r="D171" s="6">
        <f>SUM(D172:D173)</f>
        <v>0</v>
      </c>
      <c r="E171" s="7">
        <f>+D171/$D$2</f>
        <v>0</v>
      </c>
      <c r="F171" s="6">
        <f>SUM(F172:F173)</f>
        <v>0</v>
      </c>
      <c r="G171" s="8">
        <f t="shared" si="33"/>
        <v>0</v>
      </c>
      <c r="H171" s="6">
        <f>SUM(H172:H173)</f>
        <v>0</v>
      </c>
      <c r="I171" s="6">
        <f t="shared" ref="I171:S171" si="47">SUM(I172:I173)</f>
        <v>0</v>
      </c>
      <c r="J171" s="6">
        <f t="shared" si="47"/>
        <v>0</v>
      </c>
      <c r="K171" s="6">
        <f t="shared" si="47"/>
        <v>0</v>
      </c>
      <c r="L171" s="6">
        <f t="shared" si="47"/>
        <v>0</v>
      </c>
      <c r="M171" s="6">
        <f t="shared" si="47"/>
        <v>0</v>
      </c>
      <c r="N171" s="6">
        <f t="shared" si="47"/>
        <v>0</v>
      </c>
      <c r="O171" s="6">
        <f t="shared" si="47"/>
        <v>0</v>
      </c>
      <c r="P171" s="6">
        <f t="shared" si="47"/>
        <v>0</v>
      </c>
      <c r="Q171" s="6">
        <f t="shared" si="47"/>
        <v>0</v>
      </c>
      <c r="R171" s="6">
        <f t="shared" si="47"/>
        <v>0</v>
      </c>
      <c r="S171" s="6">
        <f t="shared" si="47"/>
        <v>0</v>
      </c>
      <c r="T171" s="45">
        <f t="shared" si="32"/>
        <v>0</v>
      </c>
    </row>
    <row r="172" spans="1:20" hidden="1" outlineLevel="1" x14ac:dyDescent="0.25">
      <c r="A172" s="1" t="s">
        <v>175</v>
      </c>
      <c r="B172" s="2">
        <v>-1793.79</v>
      </c>
      <c r="C172" s="8">
        <f>+B172/$B$2</f>
        <v>-9.2416626862929525E-3</v>
      </c>
      <c r="E172" s="8">
        <f>+D172/$D$2</f>
        <v>0</v>
      </c>
      <c r="F172" s="2"/>
      <c r="G172" s="8">
        <f t="shared" si="33"/>
        <v>0</v>
      </c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45">
        <f t="shared" si="32"/>
        <v>0</v>
      </c>
    </row>
    <row r="173" spans="1:20" hidden="1" outlineLevel="1" x14ac:dyDescent="0.25">
      <c r="A173" s="1" t="s">
        <v>176</v>
      </c>
      <c r="C173" s="8">
        <f>+B173/$B$2</f>
        <v>0</v>
      </c>
      <c r="E173" s="8">
        <f>+D173/$D$2</f>
        <v>0</v>
      </c>
      <c r="F173" s="2"/>
      <c r="G173" s="8">
        <f t="shared" si="33"/>
        <v>0</v>
      </c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45">
        <f t="shared" si="32"/>
        <v>0</v>
      </c>
    </row>
    <row r="174" spans="1:20" collapsed="1" x14ac:dyDescent="0.25">
      <c r="A174" s="3" t="s">
        <v>177</v>
      </c>
      <c r="B174" s="4">
        <f>+B170+B171</f>
        <v>24772.67000000002</v>
      </c>
      <c r="C174" s="11">
        <f>+B174/$B$2</f>
        <v>0.12762957758647836</v>
      </c>
      <c r="D174" s="4">
        <f>+D170+D171</f>
        <v>-11319.930000000026</v>
      </c>
      <c r="E174" s="11">
        <f>+D174/$D$2</f>
        <v>-5.8349757620206014E-2</v>
      </c>
      <c r="F174" s="4">
        <f>+F170+F171</f>
        <v>41799.94</v>
      </c>
      <c r="G174" s="8">
        <f t="shared" si="33"/>
        <v>0.12294100000000001</v>
      </c>
      <c r="H174" s="4">
        <f>+H170+H171</f>
        <v>5858.2733333333344</v>
      </c>
      <c r="I174" s="4">
        <f t="shared" ref="I174:S174" si="48">+I170+I171</f>
        <v>5863.2733333333344</v>
      </c>
      <c r="J174" s="4">
        <f t="shared" si="48"/>
        <v>5868.2733333333344</v>
      </c>
      <c r="K174" s="4">
        <f t="shared" si="48"/>
        <v>5873.2733333333344</v>
      </c>
      <c r="L174" s="4">
        <f t="shared" si="48"/>
        <v>5878.2733333333344</v>
      </c>
      <c r="M174" s="4">
        <f t="shared" si="48"/>
        <v>5883.2733333333344</v>
      </c>
      <c r="N174" s="4">
        <f t="shared" si="48"/>
        <v>5888.2733333333344</v>
      </c>
      <c r="O174" s="4">
        <f t="shared" si="48"/>
        <v>5893.2733333333344</v>
      </c>
      <c r="P174" s="4">
        <f t="shared" si="48"/>
        <v>5898.2733333333344</v>
      </c>
      <c r="Q174" s="4">
        <f t="shared" si="48"/>
        <v>5903.2733333333344</v>
      </c>
      <c r="R174" s="4">
        <f t="shared" si="48"/>
        <v>5908.2733333333344</v>
      </c>
      <c r="S174" s="4">
        <f t="shared" si="48"/>
        <v>5913.2733333333344</v>
      </c>
      <c r="T174" s="45">
        <f>SUM(H174:S174)</f>
        <v>70629.279999999999</v>
      </c>
    </row>
    <row r="176" spans="1:20" s="47" customFormat="1" x14ac:dyDescent="0.25">
      <c r="A176" s="47" t="s">
        <v>1253</v>
      </c>
      <c r="B176" s="53"/>
      <c r="C176" s="53"/>
      <c r="D176" s="53"/>
      <c r="E176" s="53"/>
      <c r="F176" s="53"/>
      <c r="G176" s="53"/>
      <c r="H176" s="54">
        <f>SUM(H177:H180)</f>
        <v>28333.333333333332</v>
      </c>
      <c r="I176" s="54">
        <f t="shared" ref="I176:S176" si="49">SUM(I177:I180)</f>
        <v>28333.333333333332</v>
      </c>
      <c r="J176" s="54">
        <f t="shared" si="49"/>
        <v>28333.333333333332</v>
      </c>
      <c r="K176" s="54">
        <f t="shared" si="49"/>
        <v>28333.333333333332</v>
      </c>
      <c r="L176" s="54">
        <f t="shared" si="49"/>
        <v>28333.333333333332</v>
      </c>
      <c r="M176" s="54">
        <f t="shared" si="49"/>
        <v>28333.333333333332</v>
      </c>
      <c r="N176" s="54">
        <f t="shared" si="49"/>
        <v>28333.333333333332</v>
      </c>
      <c r="O176" s="54">
        <f t="shared" si="49"/>
        <v>28333.333333333332</v>
      </c>
      <c r="P176" s="54">
        <f t="shared" si="49"/>
        <v>28333.333333333332</v>
      </c>
      <c r="Q176" s="54">
        <f t="shared" si="49"/>
        <v>28333.333333333332</v>
      </c>
      <c r="R176" s="54">
        <f t="shared" si="49"/>
        <v>28333.333333333332</v>
      </c>
      <c r="S176" s="54">
        <f t="shared" si="49"/>
        <v>28333.333333333332</v>
      </c>
    </row>
    <row r="177" spans="1:19" x14ac:dyDescent="0.25">
      <c r="A177" s="1" t="s">
        <v>1254</v>
      </c>
      <c r="H177" s="45">
        <f>+H2</f>
        <v>28333.333333333332</v>
      </c>
      <c r="I177" s="45">
        <f t="shared" ref="I177:S177" si="50">+I2</f>
        <v>28333.333333333332</v>
      </c>
      <c r="J177" s="45">
        <f t="shared" si="50"/>
        <v>28333.333333333332</v>
      </c>
      <c r="K177" s="45">
        <f t="shared" si="50"/>
        <v>28333.333333333332</v>
      </c>
      <c r="L177" s="45">
        <f t="shared" si="50"/>
        <v>28333.333333333332</v>
      </c>
      <c r="M177" s="45">
        <f t="shared" si="50"/>
        <v>28333.333333333332</v>
      </c>
      <c r="N177" s="45">
        <f t="shared" si="50"/>
        <v>28333.333333333332</v>
      </c>
      <c r="O177" s="45">
        <f t="shared" si="50"/>
        <v>28333.333333333332</v>
      </c>
      <c r="P177" s="45">
        <f t="shared" si="50"/>
        <v>28333.333333333332</v>
      </c>
      <c r="Q177" s="45">
        <f t="shared" si="50"/>
        <v>28333.333333333332</v>
      </c>
      <c r="R177" s="45">
        <f t="shared" si="50"/>
        <v>28333.333333333332</v>
      </c>
      <c r="S177" s="45">
        <f t="shared" si="50"/>
        <v>28333.333333333332</v>
      </c>
    </row>
    <row r="178" spans="1:19" x14ac:dyDescent="0.25">
      <c r="A178" s="1" t="s">
        <v>1255</v>
      </c>
    </row>
    <row r="179" spans="1:19" x14ac:dyDescent="0.25">
      <c r="A179" s="1" t="s">
        <v>1256</v>
      </c>
    </row>
    <row r="180" spans="1:19" x14ac:dyDescent="0.25">
      <c r="A180" s="1" t="s">
        <v>1261</v>
      </c>
    </row>
    <row r="181" spans="1:19" s="47" customFormat="1" x14ac:dyDescent="0.25">
      <c r="A181" s="47" t="s">
        <v>1260</v>
      </c>
      <c r="B181" s="53"/>
      <c r="C181" s="53"/>
      <c r="D181" s="53"/>
      <c r="E181" s="53"/>
      <c r="F181" s="53"/>
      <c r="G181" s="53"/>
      <c r="H181" s="53">
        <f>SUM(H182:H185)</f>
        <v>-22475.059999999998</v>
      </c>
      <c r="I181" s="53">
        <f t="shared" ref="I181:S181" si="51">SUM(I182:I185)</f>
        <v>-22472.059999999998</v>
      </c>
      <c r="J181" s="53">
        <f t="shared" si="51"/>
        <v>-22469.059999999998</v>
      </c>
      <c r="K181" s="53">
        <f t="shared" si="51"/>
        <v>-22466.059999999998</v>
      </c>
      <c r="L181" s="53">
        <f t="shared" si="51"/>
        <v>-22463.059999999998</v>
      </c>
      <c r="M181" s="53">
        <f t="shared" si="51"/>
        <v>-22460.059999999998</v>
      </c>
      <c r="N181" s="53">
        <f t="shared" si="51"/>
        <v>-22457.059999999998</v>
      </c>
      <c r="O181" s="53">
        <f t="shared" si="51"/>
        <v>-22454.059999999998</v>
      </c>
      <c r="P181" s="53">
        <f t="shared" si="51"/>
        <v>-22451.059999999998</v>
      </c>
      <c r="Q181" s="53">
        <f t="shared" si="51"/>
        <v>-22448.059999999998</v>
      </c>
      <c r="R181" s="53">
        <f t="shared" si="51"/>
        <v>-22445.059999999998</v>
      </c>
      <c r="S181" s="53">
        <f t="shared" si="51"/>
        <v>-22442.059999999998</v>
      </c>
    </row>
    <row r="182" spans="1:19" x14ac:dyDescent="0.25">
      <c r="A182" s="1" t="s">
        <v>1257</v>
      </c>
    </row>
    <row r="183" spans="1:19" x14ac:dyDescent="0.25">
      <c r="A183" s="1" t="s">
        <v>1258</v>
      </c>
      <c r="H183" s="45">
        <f>+H27</f>
        <v>-5833.333333333333</v>
      </c>
      <c r="I183" s="45">
        <f t="shared" ref="I183:S183" si="52">+I27</f>
        <v>-5833.333333333333</v>
      </c>
      <c r="J183" s="45">
        <f t="shared" si="52"/>
        <v>-5833.333333333333</v>
      </c>
      <c r="K183" s="45">
        <f t="shared" si="52"/>
        <v>-5833.333333333333</v>
      </c>
      <c r="L183" s="45">
        <f t="shared" si="52"/>
        <v>-5833.333333333333</v>
      </c>
      <c r="M183" s="45">
        <f t="shared" si="52"/>
        <v>-5833.333333333333</v>
      </c>
      <c r="N183" s="45">
        <f t="shared" si="52"/>
        <v>-5833.333333333333</v>
      </c>
      <c r="O183" s="45">
        <f t="shared" si="52"/>
        <v>-5833.333333333333</v>
      </c>
      <c r="P183" s="45">
        <f t="shared" si="52"/>
        <v>-5833.333333333333</v>
      </c>
      <c r="Q183" s="45">
        <f t="shared" si="52"/>
        <v>-5833.333333333333</v>
      </c>
      <c r="R183" s="45">
        <f t="shared" si="52"/>
        <v>-5833.333333333333</v>
      </c>
      <c r="S183" s="45">
        <f t="shared" si="52"/>
        <v>-5833.333333333333</v>
      </c>
    </row>
    <row r="184" spans="1:19" x14ac:dyDescent="0.25">
      <c r="A184" s="1" t="s">
        <v>1259</v>
      </c>
      <c r="H184" s="45">
        <f>+H37</f>
        <v>-16641.726666666666</v>
      </c>
      <c r="I184" s="45">
        <f t="shared" ref="I184:S184" si="53">+I37</f>
        <v>-16638.726666666666</v>
      </c>
      <c r="J184" s="45">
        <f t="shared" si="53"/>
        <v>-16635.726666666666</v>
      </c>
      <c r="K184" s="45">
        <f t="shared" si="53"/>
        <v>-16632.726666666666</v>
      </c>
      <c r="L184" s="45">
        <f t="shared" si="53"/>
        <v>-16629.726666666666</v>
      </c>
      <c r="M184" s="45">
        <f t="shared" si="53"/>
        <v>-16626.726666666666</v>
      </c>
      <c r="N184" s="45">
        <f t="shared" si="53"/>
        <v>-16623.726666666666</v>
      </c>
      <c r="O184" s="45">
        <f t="shared" si="53"/>
        <v>-16620.726666666666</v>
      </c>
      <c r="P184" s="45">
        <f t="shared" si="53"/>
        <v>-16617.726666666666</v>
      </c>
      <c r="Q184" s="45">
        <f t="shared" si="53"/>
        <v>-16614.726666666666</v>
      </c>
      <c r="R184" s="45">
        <f t="shared" si="53"/>
        <v>-16611.726666666666</v>
      </c>
      <c r="S184" s="45">
        <f t="shared" si="53"/>
        <v>-16608.726666666666</v>
      </c>
    </row>
    <row r="185" spans="1:19" s="1" customFormat="1" x14ac:dyDescent="0.25">
      <c r="A185" s="1" t="s">
        <v>1264</v>
      </c>
      <c r="B185" s="2"/>
      <c r="C185" s="2"/>
      <c r="D185" s="2"/>
      <c r="E185" s="2"/>
      <c r="F185" s="2"/>
      <c r="G185" s="2"/>
      <c r="H185" s="2">
        <f>+H146</f>
        <v>0</v>
      </c>
      <c r="I185" s="2">
        <f t="shared" ref="I185:S185" si="54">+I146</f>
        <v>0</v>
      </c>
      <c r="J185" s="2">
        <f t="shared" si="54"/>
        <v>0</v>
      </c>
      <c r="K185" s="2">
        <f t="shared" si="54"/>
        <v>0</v>
      </c>
      <c r="L185" s="2">
        <f t="shared" si="54"/>
        <v>0</v>
      </c>
      <c r="M185" s="2">
        <f t="shared" si="54"/>
        <v>0</v>
      </c>
      <c r="N185" s="2">
        <f t="shared" si="54"/>
        <v>0</v>
      </c>
      <c r="O185" s="2">
        <f t="shared" si="54"/>
        <v>0</v>
      </c>
      <c r="P185" s="2">
        <f t="shared" si="54"/>
        <v>0</v>
      </c>
      <c r="Q185" s="2">
        <f t="shared" si="54"/>
        <v>0</v>
      </c>
      <c r="R185" s="2">
        <f t="shared" si="54"/>
        <v>0</v>
      </c>
      <c r="S185" s="2">
        <f t="shared" si="54"/>
        <v>0</v>
      </c>
    </row>
    <row r="186" spans="1:19" s="1" customFormat="1" x14ac:dyDescent="0.25"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</row>
    <row r="187" spans="1:19" s="1" customFormat="1" x14ac:dyDescent="0.25">
      <c r="A187" s="1" t="s">
        <v>1262</v>
      </c>
      <c r="B187" s="2"/>
      <c r="C187" s="2"/>
      <c r="D187" s="2"/>
      <c r="E187" s="2"/>
      <c r="F187" s="2"/>
      <c r="G187" s="2"/>
      <c r="H187" s="2">
        <f>+H176+H181</f>
        <v>5858.2733333333344</v>
      </c>
      <c r="I187" s="2">
        <f t="shared" ref="I187:S187" si="55">+I176+I181</f>
        <v>5861.2733333333344</v>
      </c>
      <c r="J187" s="2">
        <f t="shared" si="55"/>
        <v>5864.2733333333344</v>
      </c>
      <c r="K187" s="2">
        <f t="shared" si="55"/>
        <v>5867.2733333333344</v>
      </c>
      <c r="L187" s="2">
        <f t="shared" si="55"/>
        <v>5870.2733333333344</v>
      </c>
      <c r="M187" s="2">
        <f t="shared" si="55"/>
        <v>5873.2733333333344</v>
      </c>
      <c r="N187" s="2">
        <f t="shared" si="55"/>
        <v>5876.2733333333344</v>
      </c>
      <c r="O187" s="2">
        <f t="shared" si="55"/>
        <v>5879.2733333333344</v>
      </c>
      <c r="P187" s="2">
        <f t="shared" si="55"/>
        <v>5882.2733333333344</v>
      </c>
      <c r="Q187" s="2">
        <f t="shared" si="55"/>
        <v>5885.2733333333344</v>
      </c>
      <c r="R187" s="2">
        <f t="shared" si="55"/>
        <v>5888.2733333333344</v>
      </c>
      <c r="S187" s="2">
        <f t="shared" si="55"/>
        <v>5891.2733333333344</v>
      </c>
    </row>
    <row r="188" spans="1:19" s="1" customFormat="1" x14ac:dyDescent="0.25">
      <c r="A188" s="1" t="s">
        <v>1263</v>
      </c>
      <c r="B188" s="2"/>
      <c r="C188" s="2"/>
      <c r="D188" s="2"/>
      <c r="E188" s="2"/>
      <c r="F188" s="2"/>
      <c r="G188" s="2"/>
      <c r="H188" s="2">
        <f>+H187</f>
        <v>5858.2733333333344</v>
      </c>
      <c r="I188" s="2">
        <f>+I187+H188</f>
        <v>11719.546666666669</v>
      </c>
      <c r="J188" s="2">
        <f t="shared" ref="J188:S188" si="56">+J187+I188</f>
        <v>17583.820000000003</v>
      </c>
      <c r="K188" s="2">
        <f t="shared" si="56"/>
        <v>23451.093333333338</v>
      </c>
      <c r="L188" s="2">
        <f t="shared" si="56"/>
        <v>29321.366666666672</v>
      </c>
      <c r="M188" s="2">
        <f t="shared" si="56"/>
        <v>35194.640000000007</v>
      </c>
      <c r="N188" s="2">
        <f t="shared" si="56"/>
        <v>41070.913333333345</v>
      </c>
      <c r="O188" s="2">
        <f t="shared" si="56"/>
        <v>46950.186666666676</v>
      </c>
      <c r="P188" s="2">
        <f t="shared" si="56"/>
        <v>52832.460000000006</v>
      </c>
      <c r="Q188" s="2">
        <f t="shared" si="56"/>
        <v>58717.733333333337</v>
      </c>
      <c r="R188" s="2">
        <f t="shared" si="56"/>
        <v>64606.006666666668</v>
      </c>
      <c r="S188" s="2">
        <f t="shared" si="56"/>
        <v>70497.279999999999</v>
      </c>
    </row>
  </sheetData>
  <phoneticPr fontId="13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F6D41-BBDF-4E25-BB2D-4A23D6D0B4F6}">
  <dimension ref="A1:P37"/>
  <sheetViews>
    <sheetView topLeftCell="B1" workbookViewId="0">
      <selection activeCell="C21" sqref="C21"/>
    </sheetView>
  </sheetViews>
  <sheetFormatPr baseColWidth="10" defaultRowHeight="15" x14ac:dyDescent="0.25"/>
  <cols>
    <col min="1" max="1" width="16.140625" bestFit="1" customWidth="1"/>
    <col min="2" max="2" width="36.42578125" bestFit="1" customWidth="1"/>
    <col min="3" max="3" width="16.42578125" bestFit="1" customWidth="1"/>
    <col min="4" max="4" width="14.7109375" customWidth="1"/>
    <col min="5" max="7" width="13.5703125" bestFit="1" customWidth="1"/>
    <col min="8" max="9" width="13.7109375" bestFit="1" customWidth="1"/>
    <col min="10" max="13" width="13.5703125" bestFit="1" customWidth="1"/>
    <col min="14" max="14" width="13.7109375" bestFit="1" customWidth="1"/>
    <col min="15" max="15" width="17.42578125" bestFit="1" customWidth="1"/>
    <col min="16" max="16" width="21.7109375" bestFit="1" customWidth="1"/>
  </cols>
  <sheetData>
    <row r="1" spans="1:16" x14ac:dyDescent="0.25">
      <c r="A1" s="25"/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</row>
    <row r="2" spans="1:16" ht="15.75" x14ac:dyDescent="0.25">
      <c r="A2" s="25"/>
      <c r="B2" s="25"/>
      <c r="C2" s="57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</row>
    <row r="3" spans="1:16" ht="15.75" thickBot="1" x14ac:dyDescent="0.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</row>
    <row r="4" spans="1:16" ht="19.5" thickBot="1" x14ac:dyDescent="0.35">
      <c r="A4" s="25"/>
      <c r="B4" s="58" t="s">
        <v>1267</v>
      </c>
      <c r="C4" s="59" t="s">
        <v>1241</v>
      </c>
      <c r="D4" s="60" t="s">
        <v>1242</v>
      </c>
      <c r="E4" s="60" t="s">
        <v>1243</v>
      </c>
      <c r="F4" s="60" t="s">
        <v>1244</v>
      </c>
      <c r="G4" s="60" t="s">
        <v>1245</v>
      </c>
      <c r="H4" s="60" t="s">
        <v>1246</v>
      </c>
      <c r="I4" s="61" t="s">
        <v>1247</v>
      </c>
      <c r="J4" s="61" t="s">
        <v>1248</v>
      </c>
      <c r="K4" s="61" t="s">
        <v>1249</v>
      </c>
      <c r="L4" s="61" t="s">
        <v>1250</v>
      </c>
      <c r="M4" s="61" t="s">
        <v>1251</v>
      </c>
      <c r="N4" s="62" t="s">
        <v>1252</v>
      </c>
      <c r="O4" s="25"/>
      <c r="P4" s="25"/>
    </row>
    <row r="5" spans="1:16" x14ac:dyDescent="0.25">
      <c r="A5" s="25"/>
      <c r="B5" s="63" t="s">
        <v>1300</v>
      </c>
      <c r="C5" s="64">
        <f>'[1]GULAH 2026'!C5+'[1]EL JARDIN 2026'!C5</f>
        <v>37051.039300000004</v>
      </c>
      <c r="D5" s="64">
        <f>'[1]GULAH 2026'!D5+'[1]EL JARDIN 2026'!D5</f>
        <v>37051.039300000004</v>
      </c>
      <c r="E5" s="64">
        <f>'[1]GULAH 2026'!E5+'[1]EL JARDIN 2026'!E5</f>
        <v>37051.039300000004</v>
      </c>
      <c r="F5" s="64">
        <f>'[1]GULAH 2026'!F5+'[1]EL JARDIN 2026'!F5</f>
        <v>40051.039300000004</v>
      </c>
      <c r="G5" s="64">
        <f>'[1]GULAH 2026'!G5+'[1]EL JARDIN 2026'!G5</f>
        <v>42051.039300000004</v>
      </c>
      <c r="H5" s="64">
        <f>'[1]GULAH 2026'!H5+'[1]EL JARDIN 2026'!H5</f>
        <v>45051.039300000004</v>
      </c>
      <c r="I5" s="64">
        <f>'[1]GULAH 2026'!I5+'[1]EL JARDIN 2026'!I5</f>
        <v>45051.039300000004</v>
      </c>
      <c r="J5" s="64">
        <f>'[1]GULAH 2026'!J5+'[1]EL JARDIN 2026'!J5</f>
        <v>40051.039300000004</v>
      </c>
      <c r="K5" s="64">
        <f>'[1]GULAH 2026'!K5+'[1]EL JARDIN 2026'!K5</f>
        <v>40051.039300000004</v>
      </c>
      <c r="L5" s="64">
        <f>'[1]GULAH 2026'!L5+'[1]EL JARDIN 2026'!L5</f>
        <v>37051.039300000004</v>
      </c>
      <c r="M5" s="64">
        <f>'[1]GULAH 2026'!M5+'[1]EL JARDIN 2026'!M5</f>
        <v>37051.039300000004</v>
      </c>
      <c r="N5" s="64">
        <f>'[1]GULAH 2026'!N5+'[1]EL JARDIN 2026'!N5</f>
        <v>37051.039300000004</v>
      </c>
      <c r="O5" s="65">
        <f>SUM(C5:N5)</f>
        <v>474612.47160000005</v>
      </c>
      <c r="P5" s="66"/>
    </row>
    <row r="6" spans="1:16" x14ac:dyDescent="0.25">
      <c r="A6" s="25"/>
      <c r="B6" s="67"/>
      <c r="C6" s="68"/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9">
        <f>SUM(I6:N6)</f>
        <v>0</v>
      </c>
      <c r="P6" s="66"/>
    </row>
    <row r="7" spans="1:16" ht="15.75" thickBot="1" x14ac:dyDescent="0.3">
      <c r="A7" s="25"/>
      <c r="B7" s="70" t="s">
        <v>1269</v>
      </c>
      <c r="C7" s="71">
        <f t="shared" ref="C7:O7" si="0">C5/C27</f>
        <v>0.32604914584000005</v>
      </c>
      <c r="D7" s="71">
        <f t="shared" si="0"/>
        <v>0.32604914584000005</v>
      </c>
      <c r="E7" s="71">
        <f t="shared" si="0"/>
        <v>0.28107684986206904</v>
      </c>
      <c r="F7" s="71">
        <f t="shared" si="0"/>
        <v>0.22363524482233504</v>
      </c>
      <c r="G7" s="71">
        <f t="shared" si="0"/>
        <v>0.19035449888888892</v>
      </c>
      <c r="H7" s="71">
        <f t="shared" si="0"/>
        <v>0.16855831030612248</v>
      </c>
      <c r="I7" s="71">
        <f t="shared" si="0"/>
        <v>0.19060055088461542</v>
      </c>
      <c r="J7" s="71">
        <f t="shared" si="0"/>
        <v>0.38987737371681425</v>
      </c>
      <c r="K7" s="71">
        <f t="shared" si="0"/>
        <v>0.25174938988571433</v>
      </c>
      <c r="L7" s="71">
        <f t="shared" si="0"/>
        <v>0.27725267503401368</v>
      </c>
      <c r="M7" s="71">
        <f t="shared" si="0"/>
        <v>0.32604914584000005</v>
      </c>
      <c r="N7" s="71">
        <f t="shared" si="0"/>
        <v>0.18525519650000005</v>
      </c>
      <c r="O7" s="71">
        <f t="shared" si="0"/>
        <v>0.24069788785615498</v>
      </c>
      <c r="P7" s="72"/>
    </row>
    <row r="8" spans="1:16" x14ac:dyDescent="0.25">
      <c r="A8" s="25"/>
      <c r="B8" s="73" t="s">
        <v>1301</v>
      </c>
      <c r="C8" s="74">
        <f>'[1]GULAH 2026'!C8+'[1]EL JARDIN 2026'!C8</f>
        <v>15300</v>
      </c>
      <c r="D8" s="74">
        <f>'[1]GULAH 2026'!D8+'[1]EL JARDIN 2026'!D8</f>
        <v>15300</v>
      </c>
      <c r="E8" s="74">
        <f>'[1]GULAH 2026'!E8+'[1]EL JARDIN 2026'!E8</f>
        <v>15300</v>
      </c>
      <c r="F8" s="74">
        <f>'[1]GULAH 2026'!F8+'[1]EL JARDIN 2026'!F8</f>
        <v>15300</v>
      </c>
      <c r="G8" s="74">
        <f>'[1]GULAH 2026'!G8+'[1]EL JARDIN 2026'!G8</f>
        <v>15300</v>
      </c>
      <c r="H8" s="74">
        <f>'[1]GULAH 2026'!H8+'[1]EL JARDIN 2026'!H8</f>
        <v>15300</v>
      </c>
      <c r="I8" s="74">
        <f>'[1]GULAH 2026'!I8+'[1]EL JARDIN 2026'!I8</f>
        <v>15300</v>
      </c>
      <c r="J8" s="74">
        <f>'[1]GULAH 2026'!J8+'[1]EL JARDIN 2026'!J8</f>
        <v>15300</v>
      </c>
      <c r="K8" s="74">
        <f>'[1]GULAH 2026'!K8+'[1]EL JARDIN 2026'!K8</f>
        <v>15300</v>
      </c>
      <c r="L8" s="74">
        <f>'[1]GULAH 2026'!L8+'[1]EL JARDIN 2026'!L8</f>
        <v>15300</v>
      </c>
      <c r="M8" s="74">
        <f>'[1]GULAH 2026'!M8+'[1]EL JARDIN 2026'!M8</f>
        <v>15300</v>
      </c>
      <c r="N8" s="74">
        <f>'[1]GULAH 2026'!N8+'[1]EL JARDIN 2026'!N8</f>
        <v>15300</v>
      </c>
      <c r="O8" s="75">
        <f>SUM(C8:N8)</f>
        <v>183600</v>
      </c>
      <c r="P8" s="72"/>
    </row>
    <row r="9" spans="1:16" x14ac:dyDescent="0.25">
      <c r="A9" s="25"/>
      <c r="B9" s="73" t="s">
        <v>1271</v>
      </c>
      <c r="C9" s="74">
        <f>'[1]GULAH 2026'!C9</f>
        <v>2100</v>
      </c>
      <c r="D9" s="74">
        <f>'[1]GULAH 2026'!D9</f>
        <v>2100</v>
      </c>
      <c r="E9" s="74">
        <f>'[1]GULAH 2026'!E9</f>
        <v>2100</v>
      </c>
      <c r="F9" s="74">
        <f>'[1]GULAH 2026'!F9</f>
        <v>2100</v>
      </c>
      <c r="G9" s="74">
        <f>'[1]GULAH 2026'!G9</f>
        <v>2100</v>
      </c>
      <c r="H9" s="74">
        <f>'[1]GULAH 2026'!H9</f>
        <v>2100</v>
      </c>
      <c r="I9" s="74">
        <f>'[1]GULAH 2026'!I9</f>
        <v>2100</v>
      </c>
      <c r="J9" s="74">
        <f>'[1]GULAH 2026'!J9</f>
        <v>2100</v>
      </c>
      <c r="K9" s="74">
        <f>'[1]GULAH 2026'!K9</f>
        <v>2100</v>
      </c>
      <c r="L9" s="74">
        <f>'[1]GULAH 2026'!L9</f>
        <v>2100</v>
      </c>
      <c r="M9" s="74">
        <f>'[1]GULAH 2026'!M9</f>
        <v>2100</v>
      </c>
      <c r="N9" s="74">
        <f>'[1]GULAH 2026'!N9</f>
        <v>2100</v>
      </c>
      <c r="O9" s="75">
        <f>SUM(C9:N9)</f>
        <v>25200</v>
      </c>
      <c r="P9" s="72"/>
    </row>
    <row r="10" spans="1:16" x14ac:dyDescent="0.25">
      <c r="A10" s="25"/>
      <c r="B10" s="76" t="s">
        <v>1272</v>
      </c>
      <c r="C10" s="77">
        <f>(C8+C9)/C27</f>
        <v>0.15312000000000001</v>
      </c>
      <c r="D10" s="77">
        <f t="shared" ref="D10:N10" si="1">(D8+D9)/D27</f>
        <v>0.15312000000000001</v>
      </c>
      <c r="E10" s="77">
        <f t="shared" si="1"/>
        <v>0.13200000000000003</v>
      </c>
      <c r="F10" s="77">
        <f t="shared" si="1"/>
        <v>9.7157360406091367E-2</v>
      </c>
      <c r="G10" s="77">
        <f t="shared" si="1"/>
        <v>7.8765432098765437E-2</v>
      </c>
      <c r="H10" s="77">
        <f t="shared" si="1"/>
        <v>6.5102040816326534E-2</v>
      </c>
      <c r="I10" s="77">
        <f t="shared" si="1"/>
        <v>7.3615384615384624E-2</v>
      </c>
      <c r="J10" s="77">
        <f t="shared" si="1"/>
        <v>0.16938053097345135</v>
      </c>
      <c r="K10" s="77">
        <f t="shared" si="1"/>
        <v>0.10937142857142858</v>
      </c>
      <c r="L10" s="77">
        <f t="shared" si="1"/>
        <v>0.13020408163265307</v>
      </c>
      <c r="M10" s="77">
        <f t="shared" si="1"/>
        <v>0.15312000000000001</v>
      </c>
      <c r="N10" s="77">
        <f t="shared" si="1"/>
        <v>8.7000000000000008E-2</v>
      </c>
      <c r="O10" s="77">
        <f>(O8+O9)/O27</f>
        <v>0.10589211618257263</v>
      </c>
      <c r="P10" s="72"/>
    </row>
    <row r="11" spans="1:16" x14ac:dyDescent="0.25">
      <c r="A11" s="25"/>
      <c r="B11" s="76" t="s">
        <v>1273</v>
      </c>
      <c r="C11" s="78">
        <f>'[1]GULAH 2026'!C11+'[1]EL JARDIN 2026'!C11</f>
        <v>4500</v>
      </c>
      <c r="D11" s="78">
        <f>'[1]GULAH 2026'!D11+'[1]EL JARDIN 2026'!D11</f>
        <v>4500</v>
      </c>
      <c r="E11" s="78">
        <f>'[1]GULAH 2026'!E11+'[1]EL JARDIN 2026'!E11</f>
        <v>4500</v>
      </c>
      <c r="F11" s="78">
        <f>'[1]GULAH 2026'!F11+'[1]EL JARDIN 2026'!F11</f>
        <v>4500</v>
      </c>
      <c r="G11" s="78">
        <f>'[1]GULAH 2026'!G11+'[1]EL JARDIN 2026'!G11</f>
        <v>4500</v>
      </c>
      <c r="H11" s="78">
        <f>'[1]GULAH 2026'!H11+'[1]EL JARDIN 2026'!H11</f>
        <v>4500</v>
      </c>
      <c r="I11" s="78">
        <f>'[1]GULAH 2026'!I11+'[1]EL JARDIN 2026'!I11</f>
        <v>4500</v>
      </c>
      <c r="J11" s="78">
        <f>'[1]GULAH 2026'!J11+'[1]EL JARDIN 2026'!J11</f>
        <v>4500</v>
      </c>
      <c r="K11" s="78">
        <f>'[1]GULAH 2026'!K11+'[1]EL JARDIN 2026'!K11</f>
        <v>4500</v>
      </c>
      <c r="L11" s="78">
        <f>'[1]GULAH 2026'!L11+'[1]EL JARDIN 2026'!L11</f>
        <v>4500</v>
      </c>
      <c r="M11" s="78">
        <f>'[1]GULAH 2026'!M11+'[1]EL JARDIN 2026'!M11</f>
        <v>4500</v>
      </c>
      <c r="N11" s="78">
        <f>'[1]GULAH 2026'!N11+'[1]EL JARDIN 2026'!N11</f>
        <v>4500</v>
      </c>
      <c r="O11" s="79">
        <f t="shared" ref="O11:O19" si="2">SUM(C11:N11)</f>
        <v>54000</v>
      </c>
      <c r="P11" s="72"/>
    </row>
    <row r="12" spans="1:16" x14ac:dyDescent="0.25">
      <c r="A12" s="25"/>
      <c r="B12" s="76" t="s">
        <v>1274</v>
      </c>
      <c r="C12" s="78">
        <f>'[1]GULAH 2026'!C12+'[1]EL JARDIN 2026'!C12</f>
        <v>0</v>
      </c>
      <c r="D12" s="78">
        <f>'[1]GULAH 2026'!D12+'[1]EL JARDIN 2026'!D12</f>
        <v>0</v>
      </c>
      <c r="E12" s="78">
        <f>'[1]GULAH 2026'!E12+'[1]EL JARDIN 2026'!E12</f>
        <v>0</v>
      </c>
      <c r="F12" s="78">
        <f>'[1]GULAH 2026'!F12+'[1]EL JARDIN 2026'!F12</f>
        <v>0</v>
      </c>
      <c r="G12" s="78">
        <f>'[1]GULAH 2026'!G12+'[1]EL JARDIN 2026'!G12</f>
        <v>0</v>
      </c>
      <c r="H12" s="78">
        <f>'[1]GULAH 2026'!H12+'[1]EL JARDIN 2026'!H12</f>
        <v>0</v>
      </c>
      <c r="I12" s="78">
        <f>'[1]GULAH 2026'!I12+'[1]EL JARDIN 2026'!I12</f>
        <v>0</v>
      </c>
      <c r="J12" s="78">
        <f>'[1]GULAH 2026'!J12+'[1]EL JARDIN 2026'!J12</f>
        <v>0</v>
      </c>
      <c r="K12" s="78">
        <f>'[1]GULAH 2026'!K12+'[1]EL JARDIN 2026'!K12</f>
        <v>0</v>
      </c>
      <c r="L12" s="78">
        <f>'[1]GULAH 2026'!L12+'[1]EL JARDIN 2026'!L12</f>
        <v>0</v>
      </c>
      <c r="M12" s="78">
        <f>'[1]GULAH 2026'!M12+'[1]EL JARDIN 2026'!M12</f>
        <v>0</v>
      </c>
      <c r="N12" s="78">
        <f>'[1]GULAH 2026'!N12+'[1]EL JARDIN 2026'!N12</f>
        <v>0</v>
      </c>
      <c r="O12" s="79">
        <f>SUM(C12:N12)</f>
        <v>0</v>
      </c>
      <c r="P12" s="72"/>
    </row>
    <row r="13" spans="1:16" x14ac:dyDescent="0.25">
      <c r="A13" s="25"/>
      <c r="B13" s="76" t="s">
        <v>1275</v>
      </c>
      <c r="C13" s="78">
        <f>'[1]GULAH 2026'!C13+'[1]EL JARDIN 2026'!C13</f>
        <v>3450</v>
      </c>
      <c r="D13" s="78">
        <f>'[1]GULAH 2026'!D13+'[1]EL JARDIN 2026'!D13</f>
        <v>3450</v>
      </c>
      <c r="E13" s="78">
        <f>'[1]GULAH 2026'!E13+'[1]EL JARDIN 2026'!E13</f>
        <v>3450</v>
      </c>
      <c r="F13" s="78">
        <f>'[1]GULAH 2026'!F13+'[1]EL JARDIN 2026'!F13</f>
        <v>4410</v>
      </c>
      <c r="G13" s="78">
        <f>'[1]GULAH 2026'!G13+'[1]EL JARDIN 2026'!G13</f>
        <v>4590</v>
      </c>
      <c r="H13" s="78">
        <f>'[1]GULAH 2026'!H13+'[1]EL JARDIN 2026'!H13</f>
        <v>4920</v>
      </c>
      <c r="I13" s="78">
        <f>'[1]GULAH 2026'!I13+'[1]EL JARDIN 2026'!I13</f>
        <v>5100</v>
      </c>
      <c r="J13" s="78">
        <f>'[1]GULAH 2026'!J13+'[1]EL JARDIN 2026'!J13</f>
        <v>3090</v>
      </c>
      <c r="K13" s="78">
        <f>'[1]GULAH 2026'!K13+'[1]EL JARDIN 2026'!K13</f>
        <v>4350</v>
      </c>
      <c r="L13" s="78">
        <f>'[1]GULAH 2026'!L13+'[1]EL JARDIN 2026'!L13</f>
        <v>3510</v>
      </c>
      <c r="M13" s="78">
        <f>'[1]GULAH 2026'!M13+'[1]EL JARDIN 2026'!M13</f>
        <v>3450</v>
      </c>
      <c r="N13" s="78">
        <f>'[1]GULAH 2026'!N13+'[1]EL JARDIN 2026'!N13</f>
        <v>5100</v>
      </c>
      <c r="O13" s="79">
        <f t="shared" si="2"/>
        <v>48870</v>
      </c>
      <c r="P13" s="72">
        <v>0.03</v>
      </c>
    </row>
    <row r="14" spans="1:16" x14ac:dyDescent="0.25">
      <c r="A14" s="25"/>
      <c r="B14" s="76" t="s">
        <v>1276</v>
      </c>
      <c r="C14" s="78">
        <f>'[1]GULAH 2026'!C14+'[1]EL JARDIN 2026'!C14</f>
        <v>1200</v>
      </c>
      <c r="D14" s="78">
        <f>'[1]GULAH 2026'!D14+'[1]EL JARDIN 2026'!D14</f>
        <v>1200</v>
      </c>
      <c r="E14" s="78">
        <f>'[1]GULAH 2026'!E14+'[1]EL JARDIN 2026'!E14</f>
        <v>1200</v>
      </c>
      <c r="F14" s="78">
        <f>'[1]GULAH 2026'!F14+'[1]EL JARDIN 2026'!F14</f>
        <v>1200</v>
      </c>
      <c r="G14" s="78">
        <f>'[1]GULAH 2026'!G14+'[1]EL JARDIN 2026'!G14</f>
        <v>1200</v>
      </c>
      <c r="H14" s="78">
        <f>'[1]GULAH 2026'!H14+'[1]EL JARDIN 2026'!H14</f>
        <v>1200</v>
      </c>
      <c r="I14" s="78">
        <f>'[1]GULAH 2026'!I14+'[1]EL JARDIN 2026'!I14</f>
        <v>1200</v>
      </c>
      <c r="J14" s="78">
        <f>'[1]GULAH 2026'!J14+'[1]EL JARDIN 2026'!J14</f>
        <v>1200</v>
      </c>
      <c r="K14" s="78">
        <f>'[1]GULAH 2026'!K14+'[1]EL JARDIN 2026'!K14</f>
        <v>1200</v>
      </c>
      <c r="L14" s="78">
        <f>'[1]GULAH 2026'!L14+'[1]EL JARDIN 2026'!L14</f>
        <v>1200</v>
      </c>
      <c r="M14" s="78">
        <f>'[1]GULAH 2026'!M14+'[1]EL JARDIN 2026'!M14</f>
        <v>1200</v>
      </c>
      <c r="N14" s="78">
        <f>'[1]GULAH 2026'!N14+'[1]EL JARDIN 2026'!N14</f>
        <v>1200</v>
      </c>
      <c r="O14" s="79">
        <f t="shared" si="2"/>
        <v>14400</v>
      </c>
      <c r="P14" s="72"/>
    </row>
    <row r="15" spans="1:16" x14ac:dyDescent="0.25">
      <c r="A15" s="25"/>
      <c r="B15" s="76" t="s">
        <v>1277</v>
      </c>
      <c r="C15" s="78">
        <f>'[1]GULAH 2026'!C15+'[1]EL JARDIN 2026'!C15</f>
        <v>1500</v>
      </c>
      <c r="D15" s="78">
        <f>'[1]GULAH 2026'!D15+'[1]EL JARDIN 2026'!D15</f>
        <v>1500</v>
      </c>
      <c r="E15" s="78">
        <f>'[1]GULAH 2026'!E15+'[1]EL JARDIN 2026'!E15</f>
        <v>1500</v>
      </c>
      <c r="F15" s="78">
        <f>'[1]GULAH 2026'!F15+'[1]EL JARDIN 2026'!F15</f>
        <v>1500</v>
      </c>
      <c r="G15" s="78">
        <f>'[1]GULAH 2026'!G15+'[1]EL JARDIN 2026'!G15</f>
        <v>1500</v>
      </c>
      <c r="H15" s="78">
        <f>'[1]GULAH 2026'!H15+'[1]EL JARDIN 2026'!H15</f>
        <v>1500</v>
      </c>
      <c r="I15" s="78">
        <f>'[1]GULAH 2026'!I15+'[1]EL JARDIN 2026'!I15</f>
        <v>1500</v>
      </c>
      <c r="J15" s="78">
        <f>'[1]GULAH 2026'!J15+'[1]EL JARDIN 2026'!J15</f>
        <v>1500</v>
      </c>
      <c r="K15" s="78">
        <f>'[1]GULAH 2026'!K15+'[1]EL JARDIN 2026'!K15</f>
        <v>1500</v>
      </c>
      <c r="L15" s="78">
        <f>'[1]GULAH 2026'!L15+'[1]EL JARDIN 2026'!L15</f>
        <v>1500</v>
      </c>
      <c r="M15" s="78">
        <f>'[1]GULAH 2026'!M15+'[1]EL JARDIN 2026'!M15</f>
        <v>1500</v>
      </c>
      <c r="N15" s="78">
        <f>'[1]GULAH 2026'!N15+'[1]EL JARDIN 2026'!N15</f>
        <v>1500</v>
      </c>
      <c r="O15" s="79">
        <f t="shared" si="2"/>
        <v>18000</v>
      </c>
      <c r="P15" s="72"/>
    </row>
    <row r="16" spans="1:16" x14ac:dyDescent="0.25">
      <c r="A16" s="25"/>
      <c r="B16" s="76" t="s">
        <v>1298</v>
      </c>
      <c r="C16" s="78">
        <f>'[1]GULAH 2026'!C16+'[1]EL JARDIN 2026'!C16</f>
        <v>0</v>
      </c>
      <c r="D16" s="78">
        <f>'[1]GULAH 2026'!D16+'[1]EL JARDIN 2026'!D16</f>
        <v>0</v>
      </c>
      <c r="E16" s="78">
        <f>'[1]GULAH 2026'!E16+'[1]EL JARDIN 2026'!E16</f>
        <v>2500</v>
      </c>
      <c r="F16" s="78">
        <f>'[1]GULAH 2026'!F16+'[1]EL JARDIN 2026'!F16</f>
        <v>0</v>
      </c>
      <c r="G16" s="78">
        <f>'[1]GULAH 2026'!G16+'[1]EL JARDIN 2026'!G16</f>
        <v>0</v>
      </c>
      <c r="H16" s="78">
        <f>'[1]GULAH 2026'!H16+'[1]EL JARDIN 2026'!H16</f>
        <v>3000</v>
      </c>
      <c r="I16" s="78">
        <f>'[1]GULAH 2026'!I16+'[1]EL JARDIN 2026'!I16</f>
        <v>0</v>
      </c>
      <c r="J16" s="78">
        <f>'[1]GULAH 2026'!J16+'[1]EL JARDIN 2026'!J16</f>
        <v>0</v>
      </c>
      <c r="K16" s="78">
        <f>'[1]GULAH 2026'!K16+'[1]EL JARDIN 2026'!K16</f>
        <v>0</v>
      </c>
      <c r="L16" s="78">
        <f>'[1]GULAH 2026'!L16+'[1]EL JARDIN 2026'!L16</f>
        <v>3000</v>
      </c>
      <c r="M16" s="78">
        <f>'[1]GULAH 2026'!M16+'[1]EL JARDIN 2026'!M16</f>
        <v>0</v>
      </c>
      <c r="N16" s="78">
        <f>'[1]GULAH 2026'!N16+'[1]EL JARDIN 2026'!N16</f>
        <v>0</v>
      </c>
      <c r="O16" s="79">
        <f t="shared" si="2"/>
        <v>8500</v>
      </c>
      <c r="P16" s="72"/>
    </row>
    <row r="17" spans="1:16" x14ac:dyDescent="0.25">
      <c r="A17" s="25"/>
      <c r="B17" s="76" t="s">
        <v>1279</v>
      </c>
      <c r="C17" s="78">
        <f>'[1]GULAH 2026'!C17+'[1]EL JARDIN 2026'!C17</f>
        <v>1500</v>
      </c>
      <c r="D17" s="78">
        <f>'[1]GULAH 2026'!D17+'[1]EL JARDIN 2026'!D17</f>
        <v>1500</v>
      </c>
      <c r="E17" s="78">
        <f>'[1]GULAH 2026'!E17+'[1]EL JARDIN 2026'!E17</f>
        <v>1500</v>
      </c>
      <c r="F17" s="78">
        <f>'[1]GULAH 2026'!F17+'[1]EL JARDIN 2026'!F17</f>
        <v>1500</v>
      </c>
      <c r="G17" s="78">
        <f>'[1]GULAH 2026'!G17+'[1]EL JARDIN 2026'!G17</f>
        <v>1500</v>
      </c>
      <c r="H17" s="78">
        <f>'[1]GULAH 2026'!H17+'[1]EL JARDIN 2026'!H17</f>
        <v>1500</v>
      </c>
      <c r="I17" s="78">
        <f>'[1]GULAH 2026'!I17+'[1]EL JARDIN 2026'!I17</f>
        <v>1500</v>
      </c>
      <c r="J17" s="78">
        <f>'[1]GULAH 2026'!J17+'[1]EL JARDIN 2026'!J17</f>
        <v>1000</v>
      </c>
      <c r="K17" s="78">
        <f>'[1]GULAH 2026'!K17+'[1]EL JARDIN 2026'!K17</f>
        <v>1500</v>
      </c>
      <c r="L17" s="78">
        <f>'[1]GULAH 2026'!L17+'[1]EL JARDIN 2026'!L17</f>
        <v>1500</v>
      </c>
      <c r="M17" s="78">
        <f>'[1]GULAH 2026'!M17+'[1]EL JARDIN 2026'!M17</f>
        <v>1500</v>
      </c>
      <c r="N17" s="78">
        <f>'[1]GULAH 2026'!N17+'[1]EL JARDIN 2026'!N17</f>
        <v>1500</v>
      </c>
      <c r="O17" s="79">
        <f t="shared" si="2"/>
        <v>17500</v>
      </c>
      <c r="P17" s="72"/>
    </row>
    <row r="18" spans="1:16" x14ac:dyDescent="0.25">
      <c r="A18" s="25"/>
      <c r="B18" s="76" t="s">
        <v>1280</v>
      </c>
      <c r="C18" s="78">
        <f>'[1]GULAH 2026'!C18+'[1]EL JARDIN 2026'!C18</f>
        <v>0</v>
      </c>
      <c r="D18" s="78">
        <f>'[1]GULAH 2026'!D18+'[1]EL JARDIN 2026'!D18</f>
        <v>0</v>
      </c>
      <c r="E18" s="78">
        <f>'[1]GULAH 2026'!E18+'[1]EL JARDIN 2026'!E18</f>
        <v>0</v>
      </c>
      <c r="F18" s="78">
        <f>'[1]GULAH 2026'!F18+'[1]EL JARDIN 2026'!F18</f>
        <v>0</v>
      </c>
      <c r="G18" s="78">
        <f>'[1]GULAH 2026'!G18+'[1]EL JARDIN 2026'!G18</f>
        <v>0</v>
      </c>
      <c r="H18" s="78">
        <f>'[1]GULAH 2026'!H18+'[1]EL JARDIN 2026'!H18</f>
        <v>0</v>
      </c>
      <c r="I18" s="78">
        <f>'[1]GULAH 2026'!I18+'[1]EL JARDIN 2026'!I18</f>
        <v>0</v>
      </c>
      <c r="J18" s="78">
        <f>'[1]GULAH 2026'!J18+'[1]EL JARDIN 2026'!J18</f>
        <v>0</v>
      </c>
      <c r="K18" s="78">
        <f>'[1]GULAH 2026'!K18+'[1]EL JARDIN 2026'!K18</f>
        <v>0</v>
      </c>
      <c r="L18" s="78">
        <f>'[1]GULAH 2026'!L18+'[1]EL JARDIN 2026'!L18</f>
        <v>0</v>
      </c>
      <c r="M18" s="78">
        <f>'[1]GULAH 2026'!M18+'[1]EL JARDIN 2026'!M18</f>
        <v>0</v>
      </c>
      <c r="N18" s="78">
        <f>'[1]GULAH 2026'!N18+'[1]EL JARDIN 2026'!N18</f>
        <v>0</v>
      </c>
      <c r="O18" s="79">
        <f t="shared" si="2"/>
        <v>0</v>
      </c>
      <c r="P18" s="72"/>
    </row>
    <row r="19" spans="1:16" x14ac:dyDescent="0.25">
      <c r="A19" s="25"/>
      <c r="B19" s="76" t="s">
        <v>1281</v>
      </c>
      <c r="C19" s="78">
        <f>'[1]GULAH 2026'!C19+'[1]EL JARDIN 2026'!C19</f>
        <v>250</v>
      </c>
      <c r="D19" s="78">
        <f>'[1]GULAH 2026'!D19+'[1]EL JARDIN 2026'!D19</f>
        <v>250</v>
      </c>
      <c r="E19" s="78">
        <f>'[1]GULAH 2026'!E19+'[1]EL JARDIN 2026'!E19</f>
        <v>250</v>
      </c>
      <c r="F19" s="78">
        <f>'[1]GULAH 2026'!F19+'[1]EL JARDIN 2026'!F19</f>
        <v>250</v>
      </c>
      <c r="G19" s="78">
        <f>'[1]GULAH 2026'!G19+'[1]EL JARDIN 2026'!G19</f>
        <v>250</v>
      </c>
      <c r="H19" s="78">
        <f>'[1]GULAH 2026'!H19+'[1]EL JARDIN 2026'!H19</f>
        <v>250</v>
      </c>
      <c r="I19" s="78">
        <f>'[1]GULAH 2026'!I19+'[1]EL JARDIN 2026'!I19</f>
        <v>250</v>
      </c>
      <c r="J19" s="78">
        <f>'[1]GULAH 2026'!J19+'[1]EL JARDIN 2026'!J19</f>
        <v>250</v>
      </c>
      <c r="K19" s="78">
        <f>'[1]GULAH 2026'!K19+'[1]EL JARDIN 2026'!K19</f>
        <v>250</v>
      </c>
      <c r="L19" s="78">
        <f>'[1]GULAH 2026'!L19+'[1]EL JARDIN 2026'!L19</f>
        <v>250</v>
      </c>
      <c r="M19" s="78">
        <f>'[1]GULAH 2026'!M19+'[1]EL JARDIN 2026'!M19</f>
        <v>250</v>
      </c>
      <c r="N19" s="78">
        <f>'[1]GULAH 2026'!N19+'[1]EL JARDIN 2026'!N19</f>
        <v>250</v>
      </c>
      <c r="O19" s="79">
        <f t="shared" si="2"/>
        <v>3000</v>
      </c>
      <c r="P19" s="72"/>
    </row>
    <row r="20" spans="1:16" x14ac:dyDescent="0.25">
      <c r="A20" s="25"/>
      <c r="B20" s="76" t="s">
        <v>1282</v>
      </c>
      <c r="C20" s="78">
        <f>'[1]GULAH 2026'!C20+'[1]EL JARDIN 2026'!C20</f>
        <v>300</v>
      </c>
      <c r="D20" s="78">
        <f>'[1]GULAH 2026'!D20+'[1]EL JARDIN 2026'!D20</f>
        <v>300</v>
      </c>
      <c r="E20" s="78">
        <f>'[1]GULAH 2026'!E20+'[1]EL JARDIN 2026'!E20</f>
        <v>300</v>
      </c>
      <c r="F20" s="78">
        <f>'[1]GULAH 2026'!F20+'[1]EL JARDIN 2026'!F20</f>
        <v>300</v>
      </c>
      <c r="G20" s="78">
        <f>'[1]GULAH 2026'!G20+'[1]EL JARDIN 2026'!G20</f>
        <v>300</v>
      </c>
      <c r="H20" s="78">
        <f>'[1]GULAH 2026'!H20+'[1]EL JARDIN 2026'!H20</f>
        <v>300</v>
      </c>
      <c r="I20" s="78">
        <f>'[1]GULAH 2026'!I20+'[1]EL JARDIN 2026'!I20</f>
        <v>300</v>
      </c>
      <c r="J20" s="78">
        <f>'[1]GULAH 2026'!J20+'[1]EL JARDIN 2026'!J20</f>
        <v>300</v>
      </c>
      <c r="K20" s="78">
        <f>'[1]GULAH 2026'!K20+'[1]EL JARDIN 2026'!K20</f>
        <v>300</v>
      </c>
      <c r="L20" s="78">
        <f>'[1]GULAH 2026'!L20+'[1]EL JARDIN 2026'!L20</f>
        <v>300</v>
      </c>
      <c r="M20" s="78">
        <f>'[1]GULAH 2026'!M20+'[1]EL JARDIN 2026'!M20</f>
        <v>300</v>
      </c>
      <c r="N20" s="78">
        <f>'[1]GULAH 2026'!N20+'[1]EL JARDIN 2026'!N20</f>
        <v>300</v>
      </c>
      <c r="O20" s="79">
        <f>SUM(C20:N20)</f>
        <v>3600</v>
      </c>
      <c r="P20" s="72"/>
    </row>
    <row r="21" spans="1:16" x14ac:dyDescent="0.25">
      <c r="A21" s="25"/>
      <c r="B21" s="76" t="s">
        <v>1283</v>
      </c>
      <c r="C21" s="78">
        <f>'[1]GULAH 2026'!C21+'[1]EL JARDIN 2026'!C21</f>
        <v>12700</v>
      </c>
      <c r="D21" s="78">
        <f>'[1]GULAH 2026'!D21+'[1]EL JARDIN 2026'!D21</f>
        <v>12700</v>
      </c>
      <c r="E21" s="78">
        <f>'[1]GULAH 2026'!E21+'[1]EL JARDIN 2026'!E21</f>
        <v>15200</v>
      </c>
      <c r="F21" s="78">
        <f>'[1]GULAH 2026'!F21+'[1]EL JARDIN 2026'!F21</f>
        <v>13660</v>
      </c>
      <c r="G21" s="78">
        <f>'[1]GULAH 2026'!G21+'[1]EL JARDIN 2026'!G21</f>
        <v>13840</v>
      </c>
      <c r="H21" s="80">
        <f t="shared" ref="H21:O21" si="3">SUM(H11:H20)</f>
        <v>17170</v>
      </c>
      <c r="I21" s="80">
        <f t="shared" si="3"/>
        <v>14350</v>
      </c>
      <c r="J21" s="80">
        <f t="shared" si="3"/>
        <v>11840</v>
      </c>
      <c r="K21" s="80">
        <f t="shared" si="3"/>
        <v>13600</v>
      </c>
      <c r="L21" s="80">
        <f t="shared" si="3"/>
        <v>15760</v>
      </c>
      <c r="M21" s="80">
        <f t="shared" si="3"/>
        <v>12700</v>
      </c>
      <c r="N21" s="80">
        <f t="shared" si="3"/>
        <v>14350</v>
      </c>
      <c r="O21" s="80">
        <f t="shared" si="3"/>
        <v>167870</v>
      </c>
      <c r="P21" s="72"/>
    </row>
    <row r="22" spans="1:16" ht="15.75" thickBot="1" x14ac:dyDescent="0.3">
      <c r="A22" s="25"/>
      <c r="B22" s="81" t="s">
        <v>1284</v>
      </c>
      <c r="C22" s="82">
        <f t="shared" ref="C22:O22" si="4">C21/C27</f>
        <v>0.11176</v>
      </c>
      <c r="D22" s="82">
        <f t="shared" si="4"/>
        <v>0.11176</v>
      </c>
      <c r="E22" s="82">
        <f t="shared" si="4"/>
        <v>0.11531034482758623</v>
      </c>
      <c r="F22" s="82">
        <f t="shared" si="4"/>
        <v>7.6274111675126904E-2</v>
      </c>
      <c r="G22" s="82">
        <f t="shared" si="4"/>
        <v>6.2650205761316885E-2</v>
      </c>
      <c r="H22" s="82">
        <f t="shared" si="4"/>
        <v>6.4241496598639466E-2</v>
      </c>
      <c r="I22" s="82">
        <f t="shared" si="4"/>
        <v>6.0711538461538463E-2</v>
      </c>
      <c r="J22" s="82">
        <f t="shared" si="4"/>
        <v>0.11525663716814161</v>
      </c>
      <c r="K22" s="82">
        <f t="shared" si="4"/>
        <v>8.548571428571429E-2</v>
      </c>
      <c r="L22" s="82">
        <f t="shared" si="4"/>
        <v>0.11793197278911566</v>
      </c>
      <c r="M22" s="82">
        <f t="shared" si="4"/>
        <v>0.11176</v>
      </c>
      <c r="N22" s="82">
        <f t="shared" si="4"/>
        <v>7.1750000000000008E-2</v>
      </c>
      <c r="O22" s="83">
        <f t="shared" si="4"/>
        <v>8.513462425080684E-2</v>
      </c>
      <c r="P22" s="72"/>
    </row>
    <row r="23" spans="1:16" ht="15.75" thickBot="1" x14ac:dyDescent="0.3">
      <c r="A23" s="25"/>
      <c r="B23" s="84" t="s">
        <v>1285</v>
      </c>
      <c r="C23" s="85">
        <f>'[1]GULAH 2026'!C23+'[1]EL JARDIN 2026'!C23</f>
        <v>32090.909090909088</v>
      </c>
      <c r="D23" s="85">
        <f>'[1]GULAH 2026'!D23+'[1]EL JARDIN 2026'!D23</f>
        <v>32090.909090909088</v>
      </c>
      <c r="E23" s="85">
        <f>'[1]GULAH 2026'!E23+'[1]EL JARDIN 2026'!E23</f>
        <v>37545.454545454537</v>
      </c>
      <c r="F23" s="85">
        <f>'[1]GULAH 2026'!F23+'[1]EL JARDIN 2026'!F23</f>
        <v>50563.636363636353</v>
      </c>
      <c r="G23" s="85">
        <f>'[1]GULAH 2026'!G23+'[1]EL JARDIN 2026'!G23</f>
        <v>62890.909090909088</v>
      </c>
      <c r="H23" s="85">
        <f>'[1]GULAH 2026'!H23+'[1]EL JARDIN 2026'!H23</f>
        <v>76400</v>
      </c>
      <c r="I23" s="85">
        <f>'[1]GULAH 2026'!I23+'[1]EL JARDIN 2026'!I23</f>
        <v>66909.090909090897</v>
      </c>
      <c r="J23" s="85">
        <f>'[1]GULAH 2026'!J23+'[1]EL JARDIN 2026'!J23</f>
        <v>29254.545454545452</v>
      </c>
      <c r="K23" s="85">
        <f>'[1]GULAH 2026'!K23+'[1]EL JARDIN 2026'!K23</f>
        <v>44636.363636363632</v>
      </c>
      <c r="L23" s="85">
        <f>'[1]GULAH 2026'!L23+'[1]EL JARDIN 2026'!L23</f>
        <v>38018.181818181809</v>
      </c>
      <c r="M23" s="85">
        <f>'[1]GULAH 2026'!M23+'[1]EL JARDIN 2026'!M23</f>
        <v>32090.909090909088</v>
      </c>
      <c r="N23" s="85">
        <f>'[1]GULAH 2026'!N23+'[1]EL JARDIN 2026'!N23</f>
        <v>55999.999999999985</v>
      </c>
      <c r="O23" s="86">
        <f>SUM(C23:N23)</f>
        <v>558490.90909090906</v>
      </c>
      <c r="P23" s="72"/>
    </row>
    <row r="24" spans="1:16" ht="16.5" thickBot="1" x14ac:dyDescent="0.3">
      <c r="A24" s="25"/>
      <c r="B24" s="87" t="s">
        <v>1286</v>
      </c>
      <c r="C24" s="88">
        <f>SUM(C8+C5+C21+C23)</f>
        <v>97141.948390909092</v>
      </c>
      <c r="D24" s="88">
        <f t="shared" ref="D24:H24" si="5">SUM(D8+D5+D21+D23)</f>
        <v>97141.948390909092</v>
      </c>
      <c r="E24" s="88">
        <f t="shared" si="5"/>
        <v>105096.49384545453</v>
      </c>
      <c r="F24" s="88">
        <f t="shared" si="5"/>
        <v>119574.67566363636</v>
      </c>
      <c r="G24" s="88">
        <f t="shared" si="5"/>
        <v>134081.94839090909</v>
      </c>
      <c r="H24" s="88">
        <f t="shared" si="5"/>
        <v>153921.0393</v>
      </c>
      <c r="I24" s="88">
        <f>SUM(I8+I5+I21+I23+I6)</f>
        <v>141610.13020909089</v>
      </c>
      <c r="J24" s="88">
        <f>SUM(J8+J5+J21+J23+J6)</f>
        <v>96445.58475454546</v>
      </c>
      <c r="K24" s="88">
        <f t="shared" ref="K24:N24" si="6">SUM(K8+K5+K21+K23+K6)</f>
        <v>113587.40293636364</v>
      </c>
      <c r="L24" s="88">
        <f t="shared" si="6"/>
        <v>106129.22111818181</v>
      </c>
      <c r="M24" s="88">
        <f t="shared" si="6"/>
        <v>97141.948390909092</v>
      </c>
      <c r="N24" s="88">
        <f t="shared" si="6"/>
        <v>122701.03929999999</v>
      </c>
      <c r="O24" s="88">
        <f>SUM(O8+O5+O21+O23+O6)</f>
        <v>1384573.380690909</v>
      </c>
      <c r="P24" s="72"/>
    </row>
    <row r="25" spans="1:16" ht="16.5" thickBot="1" x14ac:dyDescent="0.3">
      <c r="A25" s="25"/>
      <c r="B25" s="89" t="s">
        <v>1287</v>
      </c>
      <c r="C25" s="90">
        <f t="shared" ref="C25:O25" si="7">C23/C27</f>
        <v>0.28239999999999998</v>
      </c>
      <c r="D25" s="90">
        <f t="shared" si="7"/>
        <v>0.28239999999999998</v>
      </c>
      <c r="E25" s="90">
        <f t="shared" si="7"/>
        <v>0.28482758620689652</v>
      </c>
      <c r="F25" s="90">
        <f t="shared" si="7"/>
        <v>0.28233502538071059</v>
      </c>
      <c r="G25" s="90">
        <f t="shared" si="7"/>
        <v>0.28469135802469137</v>
      </c>
      <c r="H25" s="90">
        <f t="shared" si="7"/>
        <v>0.28585034013605448</v>
      </c>
      <c r="I25" s="90">
        <f t="shared" si="7"/>
        <v>0.28307692307692306</v>
      </c>
      <c r="J25" s="90">
        <f t="shared" si="7"/>
        <v>0.28477876106194688</v>
      </c>
      <c r="K25" s="90">
        <f t="shared" si="7"/>
        <v>0.28057142857142853</v>
      </c>
      <c r="L25" s="90">
        <f t="shared" si="7"/>
        <v>0.28448979591836732</v>
      </c>
      <c r="M25" s="90">
        <f t="shared" si="7"/>
        <v>0.28239999999999998</v>
      </c>
      <c r="N25" s="90">
        <f t="shared" si="7"/>
        <v>0.27999999999999997</v>
      </c>
      <c r="O25" s="90">
        <f t="shared" si="7"/>
        <v>0.28323651452282161</v>
      </c>
      <c r="P25" s="72"/>
    </row>
    <row r="26" spans="1:16" ht="15.75" thickBot="1" x14ac:dyDescent="0.3">
      <c r="A26" s="25"/>
      <c r="B26" s="76"/>
      <c r="C26" s="78"/>
      <c r="D26" s="78"/>
      <c r="E26" s="78"/>
      <c r="F26" s="78"/>
      <c r="G26" s="78"/>
      <c r="H26" s="78"/>
      <c r="I26" s="78"/>
      <c r="J26" s="78"/>
      <c r="K26" s="78"/>
      <c r="L26" s="78"/>
      <c r="M26" s="78"/>
      <c r="N26" s="78"/>
      <c r="O26" s="79"/>
      <c r="P26" s="72"/>
    </row>
    <row r="27" spans="1:16" ht="15.75" x14ac:dyDescent="0.25">
      <c r="A27" s="25"/>
      <c r="B27" s="91" t="s">
        <v>1288</v>
      </c>
      <c r="C27" s="92">
        <f t="shared" ref="C27:F27" si="8">C28/1.1</f>
        <v>113636.36363636363</v>
      </c>
      <c r="D27" s="92">
        <f t="shared" si="8"/>
        <v>113636.36363636363</v>
      </c>
      <c r="E27" s="92">
        <f t="shared" si="8"/>
        <v>131818.18181818179</v>
      </c>
      <c r="F27" s="92">
        <f t="shared" si="8"/>
        <v>179090.90909090909</v>
      </c>
      <c r="G27" s="92">
        <f>G28/1.1</f>
        <v>220909.09090909088</v>
      </c>
      <c r="H27" s="92">
        <f>H28/1.1</f>
        <v>267272.72727272724</v>
      </c>
      <c r="I27" s="92">
        <f t="shared" ref="I27:N27" si="9">I28/1.1</f>
        <v>236363.63636363635</v>
      </c>
      <c r="J27" s="92">
        <f t="shared" si="9"/>
        <v>102727.27272727272</v>
      </c>
      <c r="K27" s="92">
        <f t="shared" si="9"/>
        <v>159090.90909090909</v>
      </c>
      <c r="L27" s="92">
        <f t="shared" si="9"/>
        <v>133636.36363636362</v>
      </c>
      <c r="M27" s="92">
        <f t="shared" si="9"/>
        <v>113636.36363636363</v>
      </c>
      <c r="N27" s="92">
        <f t="shared" si="9"/>
        <v>199999.99999999997</v>
      </c>
      <c r="O27" s="93">
        <f>SUM(C27:N27)</f>
        <v>1971818.1818181814</v>
      </c>
      <c r="P27" s="66"/>
    </row>
    <row r="28" spans="1:16" ht="15.75" x14ac:dyDescent="0.25">
      <c r="A28" s="25"/>
      <c r="B28" s="94" t="s">
        <v>1299</v>
      </c>
      <c r="C28" s="95">
        <f>'[1]GULAH 2026'!C28+'[1]EL JARDIN 2026'!C28</f>
        <v>125000</v>
      </c>
      <c r="D28" s="95">
        <f>'[1]GULAH 2026'!D28+'[1]EL JARDIN 2026'!D28</f>
        <v>125000</v>
      </c>
      <c r="E28" s="95">
        <f>'[1]GULAH 2026'!E28+'[1]EL JARDIN 2026'!E28</f>
        <v>145000</v>
      </c>
      <c r="F28" s="95">
        <f>'[1]GULAH 2026'!F28+'[1]EL JARDIN 2026'!F28</f>
        <v>197000</v>
      </c>
      <c r="G28" s="95">
        <f>'[1]GULAH 2026'!G28+'[1]EL JARDIN 2026'!G28</f>
        <v>243000</v>
      </c>
      <c r="H28" s="95">
        <f>'[1]GULAH 2026'!H28+'[1]EL JARDIN 2026'!H28</f>
        <v>294000</v>
      </c>
      <c r="I28" s="95">
        <f>'[1]GULAH 2026'!I28+'[1]EL JARDIN 2026'!I28</f>
        <v>260000</v>
      </c>
      <c r="J28" s="95">
        <f>'[1]GULAH 2026'!J28+'[1]EL JARDIN 2026'!J28</f>
        <v>113000</v>
      </c>
      <c r="K28" s="95">
        <f>'[1]GULAH 2026'!K28+'[1]EL JARDIN 2026'!K28</f>
        <v>175000</v>
      </c>
      <c r="L28" s="95">
        <f>'[1]GULAH 2026'!L28+'[1]EL JARDIN 2026'!L28</f>
        <v>147000</v>
      </c>
      <c r="M28" s="95">
        <f>'[1]GULAH 2026'!M28+'[1]EL JARDIN 2026'!M28</f>
        <v>125000</v>
      </c>
      <c r="N28" s="95">
        <f>'[1]GULAH 2026'!N28+'[1]EL JARDIN 2026'!N28</f>
        <v>220000</v>
      </c>
      <c r="O28" s="96">
        <f>SUM(C28:N28)</f>
        <v>2169000</v>
      </c>
      <c r="P28" s="66"/>
    </row>
    <row r="29" spans="1:16" ht="15.75" x14ac:dyDescent="0.25">
      <c r="A29" s="25"/>
      <c r="B29" s="122" t="s">
        <v>1290</v>
      </c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4">
        <f>SUM(C29:N29)</f>
        <v>0</v>
      </c>
      <c r="P29" s="66"/>
    </row>
    <row r="30" spans="1:16" ht="15.75" x14ac:dyDescent="0.25">
      <c r="A30" s="25"/>
      <c r="B30" s="122" t="s">
        <v>1291</v>
      </c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4">
        <f>SUM(C30:N30)</f>
        <v>0</v>
      </c>
      <c r="P30" s="66"/>
    </row>
    <row r="31" spans="1:16" ht="15.75" x14ac:dyDescent="0.25">
      <c r="A31" s="25"/>
      <c r="B31" s="122" t="s">
        <v>1292</v>
      </c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4">
        <f>SUM(C31:N31)</f>
        <v>0</v>
      </c>
      <c r="P31" s="66"/>
    </row>
    <row r="32" spans="1:16" ht="16.5" thickBot="1" x14ac:dyDescent="0.3">
      <c r="A32" s="25"/>
      <c r="B32" s="125" t="s">
        <v>1302</v>
      </c>
      <c r="C32" s="101">
        <f t="shared" ref="C32:O32" si="10">C27-C24</f>
        <v>16494.41524545454</v>
      </c>
      <c r="D32" s="101">
        <f t="shared" si="10"/>
        <v>16494.41524545454</v>
      </c>
      <c r="E32" s="101">
        <f t="shared" si="10"/>
        <v>26721.687972727261</v>
      </c>
      <c r="F32" s="101">
        <f t="shared" si="10"/>
        <v>59516.233427272731</v>
      </c>
      <c r="G32" s="101">
        <f t="shared" si="10"/>
        <v>86827.14251818179</v>
      </c>
      <c r="H32" s="101">
        <f t="shared" si="10"/>
        <v>113351.68797272723</v>
      </c>
      <c r="I32" s="101">
        <f t="shared" si="10"/>
        <v>94753.506154545466</v>
      </c>
      <c r="J32" s="101">
        <f t="shared" si="10"/>
        <v>6281.6879727272608</v>
      </c>
      <c r="K32" s="101">
        <f t="shared" si="10"/>
        <v>45503.506154545452</v>
      </c>
      <c r="L32" s="101">
        <f t="shared" si="10"/>
        <v>27507.142518181805</v>
      </c>
      <c r="M32" s="101">
        <f t="shared" si="10"/>
        <v>16494.41524545454</v>
      </c>
      <c r="N32" s="101">
        <f t="shared" si="10"/>
        <v>77298.960699999981</v>
      </c>
      <c r="O32" s="102">
        <f t="shared" si="10"/>
        <v>587244.80112727243</v>
      </c>
      <c r="P32" s="25"/>
    </row>
    <row r="33" spans="1:16" ht="15.75" thickBot="1" x14ac:dyDescent="0.3">
      <c r="A33" s="25"/>
      <c r="B33" s="103"/>
      <c r="C33" s="104">
        <f t="shared" ref="C33:O33" si="11">C32/C24</f>
        <v>0.16979703947340374</v>
      </c>
      <c r="D33" s="104">
        <f t="shared" si="11"/>
        <v>0.16979703947340374</v>
      </c>
      <c r="E33" s="104">
        <f t="shared" si="11"/>
        <v>0.25425860554417518</v>
      </c>
      <c r="F33" s="105">
        <f t="shared" si="11"/>
        <v>0.49773276069501488</v>
      </c>
      <c r="G33" s="105">
        <f t="shared" si="11"/>
        <v>0.64756772675350505</v>
      </c>
      <c r="H33" s="105">
        <f t="shared" si="11"/>
        <v>0.73642751171786835</v>
      </c>
      <c r="I33" s="105">
        <f t="shared" si="11"/>
        <v>0.66911530986264578</v>
      </c>
      <c r="J33" s="104">
        <f t="shared" si="11"/>
        <v>6.5131939307685169E-2</v>
      </c>
      <c r="K33" s="105">
        <f t="shared" si="11"/>
        <v>0.40060345582545276</v>
      </c>
      <c r="L33" s="105">
        <f t="shared" si="11"/>
        <v>0.25918538012778597</v>
      </c>
      <c r="M33" s="104">
        <f t="shared" si="11"/>
        <v>0.16979703947340374</v>
      </c>
      <c r="N33" s="105">
        <f t="shared" si="11"/>
        <v>0.62997804371490751</v>
      </c>
      <c r="O33" s="106">
        <f t="shared" si="11"/>
        <v>0.42413411186212058</v>
      </c>
      <c r="P33" s="107"/>
    </row>
    <row r="34" spans="1:16" x14ac:dyDescent="0.25">
      <c r="A34" s="25"/>
      <c r="B34" s="108" t="s">
        <v>1294</v>
      </c>
      <c r="C34" s="109">
        <f>'[1]GULAH 2026'!C34+'[1]EL JARDIN 2026'!C34</f>
        <v>19601.288990000001</v>
      </c>
      <c r="D34" s="109">
        <f>'[1]GULAH 2026'!D34+'[1]EL JARDIN 2026'!D34</f>
        <v>19601.288990000001</v>
      </c>
      <c r="E34" s="109">
        <f>'[1]GULAH 2026'!E34+'[1]EL JARDIN 2026'!E34</f>
        <v>19601.288990000001</v>
      </c>
      <c r="F34" s="109">
        <f>'[1]GULAH 2026'!F34+'[1]EL JARDIN 2026'!F34</f>
        <v>19601.288990000001</v>
      </c>
      <c r="G34" s="109">
        <f>'[1]GULAH 2026'!G34+'[1]EL JARDIN 2026'!G34</f>
        <v>19601.288990000001</v>
      </c>
      <c r="H34" s="109">
        <f>'[1]GULAH 2026'!H34+'[1]EL JARDIN 2026'!H34</f>
        <v>19601.288990000001</v>
      </c>
      <c r="I34" s="109">
        <f>'[1]GULAH 2026'!I34+'[1]EL JARDIN 2026'!I34</f>
        <v>19601.288990000001</v>
      </c>
      <c r="J34" s="109">
        <f>'[1]GULAH 2026'!J34+'[1]EL JARDIN 2026'!J34</f>
        <v>19601.288990000001</v>
      </c>
      <c r="K34" s="109">
        <f>'[1]GULAH 2026'!K34+'[1]EL JARDIN 2026'!K34</f>
        <v>19601.288990000001</v>
      </c>
      <c r="L34" s="109">
        <f>'[1]GULAH 2026'!L34+'[1]EL JARDIN 2026'!L34</f>
        <v>19601.288990000001</v>
      </c>
      <c r="M34" s="109">
        <f>'[1]GULAH 2026'!M34+'[1]EL JARDIN 2026'!M34</f>
        <v>19601.288990000001</v>
      </c>
      <c r="N34" s="109">
        <f>'[1]GULAH 2026'!N34+'[1]EL JARDIN 2026'!N34</f>
        <v>19601.288990000001</v>
      </c>
      <c r="O34" s="110">
        <f>SUM(C34:N34)</f>
        <v>235215.46788000001</v>
      </c>
      <c r="P34" s="107"/>
    </row>
    <row r="35" spans="1:16" ht="15.75" thickBot="1" x14ac:dyDescent="0.3">
      <c r="A35" s="25"/>
      <c r="B35" s="111" t="s">
        <v>1295</v>
      </c>
      <c r="C35" s="112">
        <v>10000</v>
      </c>
      <c r="D35" s="112">
        <v>10000</v>
      </c>
      <c r="E35" s="112">
        <v>10000</v>
      </c>
      <c r="F35" s="112">
        <v>10000</v>
      </c>
      <c r="G35" s="112">
        <v>10000</v>
      </c>
      <c r="H35" s="112">
        <v>10000</v>
      </c>
      <c r="I35" s="112">
        <v>10000</v>
      </c>
      <c r="J35" s="112">
        <v>10000</v>
      </c>
      <c r="K35" s="112">
        <v>10000</v>
      </c>
      <c r="L35" s="112">
        <v>10000</v>
      </c>
      <c r="M35" s="112">
        <v>10000</v>
      </c>
      <c r="N35" s="112">
        <v>10000</v>
      </c>
      <c r="O35" s="113">
        <f>SUM(C35:N35)</f>
        <v>120000</v>
      </c>
      <c r="P35" s="107"/>
    </row>
    <row r="36" spans="1:16" ht="21.75" thickBot="1" x14ac:dyDescent="0.4">
      <c r="A36" s="25"/>
      <c r="B36" s="114" t="s">
        <v>1296</v>
      </c>
      <c r="C36" s="115">
        <f>C32-(C35+C34)</f>
        <v>-13106.873744545461</v>
      </c>
      <c r="D36" s="115">
        <f t="shared" ref="D36:N36" si="12">D32-(D35+D34)</f>
        <v>-13106.873744545461</v>
      </c>
      <c r="E36" s="115">
        <f t="shared" si="12"/>
        <v>-2879.6010172727401</v>
      </c>
      <c r="F36" s="115">
        <f t="shared" si="12"/>
        <v>29914.94443727273</v>
      </c>
      <c r="G36" s="115">
        <f t="shared" si="12"/>
        <v>57225.853528181789</v>
      </c>
      <c r="H36" s="115">
        <f t="shared" si="12"/>
        <v>83750.398982727231</v>
      </c>
      <c r="I36" s="115">
        <f t="shared" si="12"/>
        <v>65152.217164545465</v>
      </c>
      <c r="J36" s="115">
        <f t="shared" si="12"/>
        <v>-23319.60101727274</v>
      </c>
      <c r="K36" s="115">
        <f t="shared" si="12"/>
        <v>15902.217164545451</v>
      </c>
      <c r="L36" s="115">
        <f t="shared" si="12"/>
        <v>-2094.146471818196</v>
      </c>
      <c r="M36" s="115">
        <f t="shared" si="12"/>
        <v>-13106.873744545461</v>
      </c>
      <c r="N36" s="115">
        <f t="shared" si="12"/>
        <v>47697.671709999981</v>
      </c>
      <c r="O36" s="116">
        <f>O32-(O35+O34)</f>
        <v>232029.33324727241</v>
      </c>
      <c r="P36" s="107"/>
    </row>
    <row r="37" spans="1:16" x14ac:dyDescent="0.25">
      <c r="A37" s="25"/>
      <c r="B37" s="25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8"/>
      <c r="P37" s="25"/>
    </row>
  </sheetData>
  <conditionalFormatting sqref="A25:XFD25">
    <cfRule type="colorScale" priority="1">
      <colorScale>
        <cfvo type="percent" val="35"/>
        <cfvo type="percent" val="100"/>
        <color theme="9" tint="0.79998168889431442"/>
        <color rgb="FFFF7C80"/>
      </colorScale>
    </cfRule>
  </conditionalFormatting>
  <conditionalFormatting sqref="C32:O32">
    <cfRule type="colorScale" priority="2">
      <colorScale>
        <cfvo type="num" val="0"/>
        <cfvo type="num" val="0"/>
        <color rgb="FFFF7C80"/>
        <color theme="9" tint="0.79998168889431442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F69D5-A76C-4BA0-874A-EDA12872662D}">
  <dimension ref="A1:AD187"/>
  <sheetViews>
    <sheetView workbookViewId="0">
      <selection activeCell="R161" sqref="R161:AC162"/>
    </sheetView>
  </sheetViews>
  <sheetFormatPr baseColWidth="10" defaultColWidth="12.7109375" defaultRowHeight="15.75" outlineLevelRow="2" outlineLevelCol="1" x14ac:dyDescent="0.25"/>
  <cols>
    <col min="1" max="1" width="73.140625" style="1" customWidth="1"/>
    <col min="2" max="2" width="24.42578125" style="2" hidden="1" customWidth="1" outlineLevel="1"/>
    <col min="3" max="3" width="14.140625" style="1" hidden="1" customWidth="1" outlineLevel="1"/>
    <col min="4" max="4" width="19" style="1" hidden="1" customWidth="1" outlineLevel="1"/>
    <col min="5" max="5" width="14.5703125" style="1" hidden="1" customWidth="1" outlineLevel="1"/>
    <col min="6" max="6" width="15.7109375" style="1" hidden="1" customWidth="1" outlineLevel="1"/>
    <col min="7" max="7" width="14.85546875" style="1" hidden="1" customWidth="1" outlineLevel="1"/>
    <col min="8" max="8" width="15.7109375" style="1" hidden="1" customWidth="1" outlineLevel="1"/>
    <col min="9" max="14" width="12.7109375" style="1" hidden="1" customWidth="1" outlineLevel="1"/>
    <col min="15" max="15" width="18.140625" style="1" hidden="1" customWidth="1" outlineLevel="1"/>
    <col min="16" max="16" width="19.7109375" style="1" customWidth="1" collapsed="1"/>
    <col min="17" max="17" width="23.7109375" style="1" customWidth="1"/>
    <col min="18" max="18" width="14.140625" style="1" customWidth="1"/>
    <col min="19" max="19" width="19" style="1" customWidth="1"/>
    <col min="20" max="20" width="14.5703125" style="1" customWidth="1"/>
    <col min="21" max="21" width="15.7109375" style="1" customWidth="1"/>
    <col min="22" max="22" width="14.85546875" style="1" customWidth="1"/>
    <col min="23" max="23" width="15.7109375" style="1" customWidth="1"/>
    <col min="24" max="24" width="14.5703125" style="1" customWidth="1"/>
    <col min="25" max="25" width="15.5703125" style="1" customWidth="1"/>
    <col min="26" max="26" width="16.28515625" style="1" customWidth="1"/>
    <col min="27" max="29" width="12.7109375" style="1"/>
    <col min="30" max="30" width="18.140625" style="1" customWidth="1"/>
    <col min="31" max="16384" width="12.7109375" style="1"/>
  </cols>
  <sheetData>
    <row r="1" spans="1:30" s="3" customFormat="1" x14ac:dyDescent="0.25">
      <c r="A1" s="3" t="s">
        <v>0</v>
      </c>
      <c r="B1" s="3" t="s">
        <v>1193</v>
      </c>
      <c r="C1" s="20" t="s">
        <v>187</v>
      </c>
      <c r="D1" s="16" t="s">
        <v>188</v>
      </c>
      <c r="E1" s="16" t="s">
        <v>189</v>
      </c>
      <c r="F1" s="16" t="s">
        <v>190</v>
      </c>
      <c r="G1" s="16" t="s">
        <v>191</v>
      </c>
      <c r="H1" s="16" t="s">
        <v>192</v>
      </c>
      <c r="I1" s="16" t="s">
        <v>193</v>
      </c>
      <c r="J1" s="16" t="s">
        <v>194</v>
      </c>
      <c r="K1" s="16" t="s">
        <v>195</v>
      </c>
      <c r="L1" s="16" t="s">
        <v>196</v>
      </c>
      <c r="M1" s="16" t="s">
        <v>197</v>
      </c>
      <c r="N1" s="16" t="s">
        <v>198</v>
      </c>
      <c r="O1" s="3" t="s">
        <v>186</v>
      </c>
      <c r="P1" s="4" t="s">
        <v>1265</v>
      </c>
      <c r="Q1" s="3" t="s">
        <v>1266</v>
      </c>
      <c r="R1" s="20" t="s">
        <v>187</v>
      </c>
      <c r="S1" s="16" t="s">
        <v>188</v>
      </c>
      <c r="T1" s="16" t="s">
        <v>189</v>
      </c>
      <c r="U1" s="16" t="s">
        <v>190</v>
      </c>
      <c r="V1" s="16" t="s">
        <v>191</v>
      </c>
      <c r="W1" s="16" t="s">
        <v>192</v>
      </c>
      <c r="X1" s="16" t="s">
        <v>193</v>
      </c>
      <c r="Y1" s="16" t="s">
        <v>194</v>
      </c>
      <c r="Z1" s="16" t="s">
        <v>195</v>
      </c>
      <c r="AA1" s="16" t="s">
        <v>196</v>
      </c>
      <c r="AB1" s="16" t="s">
        <v>197</v>
      </c>
      <c r="AC1" s="16" t="s">
        <v>198</v>
      </c>
      <c r="AD1" s="3" t="s">
        <v>186</v>
      </c>
    </row>
    <row r="2" spans="1:30" s="5" customFormat="1" x14ac:dyDescent="0.25">
      <c r="A2" s="5" t="s">
        <v>5</v>
      </c>
      <c r="B2" s="7" t="e">
        <f>+#REF!/#REF!</f>
        <v>#REF!</v>
      </c>
      <c r="C2" s="6" t="e">
        <f>SUM(C3:C8)</f>
        <v>#REF!</v>
      </c>
      <c r="D2" s="6" t="e">
        <f t="shared" ref="D2:N2" si="0">SUM(D3:D8)</f>
        <v>#REF!</v>
      </c>
      <c r="E2" s="6" t="e">
        <f t="shared" si="0"/>
        <v>#REF!</v>
      </c>
      <c r="F2" s="6" t="e">
        <f t="shared" si="0"/>
        <v>#REF!</v>
      </c>
      <c r="G2" s="6" t="e">
        <f t="shared" si="0"/>
        <v>#REF!</v>
      </c>
      <c r="H2" s="6" t="e">
        <f t="shared" si="0"/>
        <v>#REF!</v>
      </c>
      <c r="I2" s="6" t="e">
        <f t="shared" si="0"/>
        <v>#REF!</v>
      </c>
      <c r="J2" s="6" t="e">
        <f t="shared" si="0"/>
        <v>#REF!</v>
      </c>
      <c r="K2" s="6" t="e">
        <f t="shared" si="0"/>
        <v>#REF!</v>
      </c>
      <c r="L2" s="6" t="e">
        <f t="shared" si="0"/>
        <v>#REF!</v>
      </c>
      <c r="M2" s="6" t="e">
        <f t="shared" si="0"/>
        <v>#REF!</v>
      </c>
      <c r="N2" s="6" t="e">
        <f t="shared" si="0"/>
        <v>#REF!</v>
      </c>
      <c r="O2" s="6" t="e">
        <f>SUM(C2:N2)</f>
        <v>#REF!</v>
      </c>
      <c r="P2" s="6">
        <f>SUM(R2:AC2)</f>
        <v>16143154.888302505</v>
      </c>
      <c r="R2" s="6">
        <f>SUM(R3:R8)</f>
        <v>1338613.9054883944</v>
      </c>
      <c r="S2" s="6">
        <f t="shared" ref="S2:AC2" si="1">SUM(S3:S8)</f>
        <v>1606862.433770909</v>
      </c>
      <c r="T2" s="6">
        <f t="shared" si="1"/>
        <v>1452128.6883315793</v>
      </c>
      <c r="U2" s="6">
        <f t="shared" si="1"/>
        <v>1176498.9932600108</v>
      </c>
      <c r="V2" s="6">
        <f t="shared" si="1"/>
        <v>1655250.8422396868</v>
      </c>
      <c r="W2" s="6">
        <f t="shared" si="1"/>
        <v>1449392.0294491937</v>
      </c>
      <c r="X2" s="6">
        <f t="shared" si="1"/>
        <v>1438866.2253963901</v>
      </c>
      <c r="Y2" s="6">
        <f t="shared" si="1"/>
        <v>967944.62433364184</v>
      </c>
      <c r="Z2" s="6">
        <f t="shared" si="1"/>
        <v>1403842.1223596609</v>
      </c>
      <c r="AA2" s="6">
        <f t="shared" si="1"/>
        <v>1222043.3481582368</v>
      </c>
      <c r="AB2" s="6">
        <f t="shared" si="1"/>
        <v>1212871.7871397217</v>
      </c>
      <c r="AC2" s="6">
        <f t="shared" si="1"/>
        <v>1218839.8883750802</v>
      </c>
      <c r="AD2" s="6">
        <f>SUM(R2:AC2)</f>
        <v>16143154.888302505</v>
      </c>
    </row>
    <row r="3" spans="1:30" outlineLevel="1" x14ac:dyDescent="0.25">
      <c r="A3" s="1" t="s">
        <v>6</v>
      </c>
      <c r="B3" s="7" t="e">
        <f>+#REF!/#REF!</f>
        <v>#REF!</v>
      </c>
      <c r="C3" s="2">
        <f>+'presupuesto ventas cenval indus'!AQ997</f>
        <v>1190613.9054883944</v>
      </c>
      <c r="D3" s="2">
        <f>+'presupuesto ventas cenval indus'!AR997</f>
        <v>1423862.433770909</v>
      </c>
      <c r="E3" s="2">
        <f>+'presupuesto ventas cenval indus'!AS997</f>
        <v>1260128.6883315793</v>
      </c>
      <c r="F3" s="2">
        <f>+'presupuesto ventas cenval indus'!AT997</f>
        <v>954498.99326001084</v>
      </c>
      <c r="G3" s="2">
        <f>+'presupuesto ventas cenval indus'!AU997</f>
        <v>1384250.8422396868</v>
      </c>
      <c r="H3" s="2">
        <f>+'presupuesto ventas cenval indus'!AV997</f>
        <v>1134392.0294491937</v>
      </c>
      <c r="I3" s="2">
        <f>+'presupuesto ventas cenval indus'!AW997</f>
        <v>1129366.2253963901</v>
      </c>
      <c r="J3" s="2">
        <f>+'presupuesto ventas cenval indus'!AX997</f>
        <v>766944.62433364184</v>
      </c>
      <c r="K3" s="2">
        <f>+'presupuesto ventas cenval indus'!AY997</f>
        <v>1136842.1223596609</v>
      </c>
      <c r="L3" s="2">
        <f>+'presupuesto ventas cenval indus'!AZ997</f>
        <v>990043.34815823683</v>
      </c>
      <c r="M3" s="2">
        <f>+'presupuesto ventas cenval indus'!BA997</f>
        <v>1010871.7871397217</v>
      </c>
      <c r="N3" s="2">
        <f>+'presupuesto ventas cenval indus'!BB997</f>
        <v>987339.88837508019</v>
      </c>
      <c r="O3" s="6">
        <f t="shared" ref="O3:O66" si="2">SUM(C3:N3)</f>
        <v>13369154.888302505</v>
      </c>
      <c r="P3" s="6">
        <f t="shared" ref="P3:P37" si="3">SUM(R3:AC3)</f>
        <v>13709154.888302505</v>
      </c>
      <c r="R3" s="2">
        <f>+'Cenvalsa industrial'!W3+Cenval!W3+'D&amp;M'!H3+Saratur!H3</f>
        <v>1218947.2388217277</v>
      </c>
      <c r="S3" s="2">
        <f>+'Cenvalsa industrial'!X3+Cenval!X3+'D&amp;M'!I3+Saratur!I3</f>
        <v>1452195.7671042422</v>
      </c>
      <c r="T3" s="2">
        <f>+'Cenvalsa industrial'!Y3+Cenval!Y3+'D&amp;M'!J3+Saratur!J3</f>
        <v>1288462.0216649126</v>
      </c>
      <c r="U3" s="2">
        <f>+'Cenvalsa industrial'!Z3+Cenval!Z3+'D&amp;M'!K3+Saratur!K3</f>
        <v>982832.32659334422</v>
      </c>
      <c r="V3" s="2">
        <f>+'Cenvalsa industrial'!AA3+Cenval!AA3+'D&amp;M'!L3+Saratur!L3</f>
        <v>1412584.17557302</v>
      </c>
      <c r="W3" s="2">
        <f>+'Cenvalsa industrial'!AB3+Cenval!AB3+'D&amp;M'!M3+Saratur!M3</f>
        <v>1162725.362782527</v>
      </c>
      <c r="X3" s="2">
        <f>+'Cenvalsa industrial'!AC3+Cenval!AC3+'D&amp;M'!N3+Saratur!N3</f>
        <v>1157699.5587297233</v>
      </c>
      <c r="Y3" s="2">
        <f>+'Cenvalsa industrial'!AD3+Cenval!AD3+'D&amp;M'!O3+Saratur!O3</f>
        <v>795277.95766697521</v>
      </c>
      <c r="Z3" s="2">
        <f>+'Cenvalsa industrial'!AE3+Cenval!AE3+'D&amp;M'!P3+Saratur!P3</f>
        <v>1165175.4556929942</v>
      </c>
      <c r="AA3" s="2">
        <f>+'Cenvalsa industrial'!AF3+Cenval!AF3+'D&amp;M'!Q3+Saratur!Q3</f>
        <v>1018376.6814915702</v>
      </c>
      <c r="AB3" s="2">
        <f>+'Cenvalsa industrial'!AG3+Cenval!AG3+'D&amp;M'!R3+Saratur!R3</f>
        <v>1039205.1204730551</v>
      </c>
      <c r="AC3" s="2">
        <f>+'Cenvalsa industrial'!AH3+Cenval!AH3+'D&amp;M'!S3+Saratur!S3</f>
        <v>1015673.2217084136</v>
      </c>
      <c r="AD3" s="6">
        <f t="shared" ref="AD3:AD31" si="4">SUM(R3:AC3)</f>
        <v>13709154.888302505</v>
      </c>
    </row>
    <row r="4" spans="1:30" s="5" customFormat="1" outlineLevel="1" x14ac:dyDescent="0.25">
      <c r="A4" s="1" t="s">
        <v>7</v>
      </c>
      <c r="B4" s="7" t="e">
        <f>+#REF!/#REF!</f>
        <v>#REF!</v>
      </c>
      <c r="C4" s="2" t="e">
        <f>+#REF!/12</f>
        <v>#REF!</v>
      </c>
      <c r="D4" s="2" t="e">
        <f>+#REF!/12</f>
        <v>#REF!</v>
      </c>
      <c r="E4" s="2" t="e">
        <f>+#REF!/12</f>
        <v>#REF!</v>
      </c>
      <c r="F4" s="2" t="e">
        <f>+#REF!/12</f>
        <v>#REF!</v>
      </c>
      <c r="G4" s="2" t="e">
        <f>+#REF!/12</f>
        <v>#REF!</v>
      </c>
      <c r="H4" s="2" t="e">
        <f>+#REF!/12</f>
        <v>#REF!</v>
      </c>
      <c r="I4" s="2" t="e">
        <f>+#REF!/12</f>
        <v>#REF!</v>
      </c>
      <c r="J4" s="2" t="e">
        <f>+#REF!/12</f>
        <v>#REF!</v>
      </c>
      <c r="K4" s="2" t="e">
        <f>+#REF!/12</f>
        <v>#REF!</v>
      </c>
      <c r="L4" s="2" t="e">
        <f>+#REF!/12</f>
        <v>#REF!</v>
      </c>
      <c r="M4" s="2" t="e">
        <f>+#REF!/12</f>
        <v>#REF!</v>
      </c>
      <c r="N4" s="2" t="e">
        <f>+#REF!/12</f>
        <v>#REF!</v>
      </c>
      <c r="O4" s="6" t="e">
        <f t="shared" si="2"/>
        <v>#REF!</v>
      </c>
      <c r="P4" s="6">
        <f t="shared" si="3"/>
        <v>608000</v>
      </c>
      <c r="R4" s="2">
        <f>+'Cenvalsa industrial'!W4+Cenval!W4+'D&amp;M'!H4+Saratur!H4</f>
        <v>50666.666666666664</v>
      </c>
      <c r="S4" s="2">
        <f>+'Cenvalsa industrial'!X4+Cenval!X4+'D&amp;M'!I4+Saratur!I4</f>
        <v>50666.666666666664</v>
      </c>
      <c r="T4" s="2">
        <f>+'Cenvalsa industrial'!Y4+Cenval!Y4+'D&amp;M'!J4+Saratur!J4</f>
        <v>50666.666666666664</v>
      </c>
      <c r="U4" s="2">
        <f>+'Cenvalsa industrial'!Z4+Cenval!Z4+'D&amp;M'!K4+Saratur!K4</f>
        <v>50666.666666666664</v>
      </c>
      <c r="V4" s="2">
        <f>+'Cenvalsa industrial'!AA4+Cenval!AA4+'D&amp;M'!L4+Saratur!L4</f>
        <v>50666.666666666664</v>
      </c>
      <c r="W4" s="2">
        <f>+'Cenvalsa industrial'!AB4+Cenval!AB4+'D&amp;M'!M4+Saratur!M4</f>
        <v>50666.666666666664</v>
      </c>
      <c r="X4" s="2">
        <f>+'Cenvalsa industrial'!AC4+Cenval!AC4+'D&amp;M'!N4+Saratur!N4</f>
        <v>50666.666666666664</v>
      </c>
      <c r="Y4" s="2">
        <f>+'Cenvalsa industrial'!AD4+Cenval!AD4+'D&amp;M'!O4+Saratur!O4</f>
        <v>50666.666666666664</v>
      </c>
      <c r="Z4" s="2">
        <f>+'Cenvalsa industrial'!AE4+Cenval!AE4+'D&amp;M'!P4+Saratur!P4</f>
        <v>50666.666666666664</v>
      </c>
      <c r="AA4" s="2">
        <f>+'Cenvalsa industrial'!AF4+Cenval!AF4+'D&amp;M'!Q4+Saratur!Q4</f>
        <v>50666.666666666664</v>
      </c>
      <c r="AB4" s="2">
        <f>+'Cenvalsa industrial'!AG4+Cenval!AG4+'D&amp;M'!R4+Saratur!R4</f>
        <v>50666.666666666664</v>
      </c>
      <c r="AC4" s="2">
        <f>+'Cenvalsa industrial'!AH4+Cenval!AH4+'D&amp;M'!S4+Saratur!S4</f>
        <v>50666.666666666664</v>
      </c>
      <c r="AD4" s="6">
        <f t="shared" si="4"/>
        <v>608000</v>
      </c>
    </row>
    <row r="5" spans="1:30" outlineLevel="1" x14ac:dyDescent="0.25">
      <c r="A5" s="1" t="s">
        <v>8</v>
      </c>
      <c r="B5" s="7" t="e">
        <f>+#REF!/#REF!</f>
        <v>#REF!</v>
      </c>
      <c r="C5" s="2" t="e">
        <f>+#REF!/12</f>
        <v>#REF!</v>
      </c>
      <c r="D5" s="2" t="e">
        <f>+#REF!/12</f>
        <v>#REF!</v>
      </c>
      <c r="E5" s="2" t="e">
        <f>+#REF!/12</f>
        <v>#REF!</v>
      </c>
      <c r="F5" s="2" t="e">
        <f>+#REF!/12</f>
        <v>#REF!</v>
      </c>
      <c r="G5" s="2" t="e">
        <f>+#REF!/12</f>
        <v>#REF!</v>
      </c>
      <c r="H5" s="2" t="e">
        <f>+#REF!/12</f>
        <v>#REF!</v>
      </c>
      <c r="I5" s="2" t="e">
        <f>+#REF!/12</f>
        <v>#REF!</v>
      </c>
      <c r="J5" s="2" t="e">
        <f>+#REF!/12</f>
        <v>#REF!</v>
      </c>
      <c r="K5" s="2" t="e">
        <f>+#REF!/12</f>
        <v>#REF!</v>
      </c>
      <c r="L5" s="2" t="e">
        <f>+#REF!/12</f>
        <v>#REF!</v>
      </c>
      <c r="M5" s="2" t="e">
        <f>+#REF!/12</f>
        <v>#REF!</v>
      </c>
      <c r="N5" s="2" t="e">
        <f>+#REF!/12</f>
        <v>#REF!</v>
      </c>
      <c r="O5" s="6" t="e">
        <f t="shared" si="2"/>
        <v>#REF!</v>
      </c>
      <c r="P5" s="6">
        <f t="shared" si="3"/>
        <v>36000</v>
      </c>
      <c r="R5" s="2">
        <f>+'Cenvalsa industrial'!W5+Cenval!W5+'D&amp;M'!H5+Saratur!H5</f>
        <v>3000</v>
      </c>
      <c r="S5" s="2">
        <f>+'Cenvalsa industrial'!X5+Cenval!X5+'D&amp;M'!I5+Saratur!I5</f>
        <v>3000</v>
      </c>
      <c r="T5" s="2">
        <f>+'Cenvalsa industrial'!Y5+Cenval!Y5+'D&amp;M'!J5+Saratur!J5</f>
        <v>3000</v>
      </c>
      <c r="U5" s="2">
        <f>+'Cenvalsa industrial'!Z5+Cenval!Z5+'D&amp;M'!K5+Saratur!K5</f>
        <v>3000</v>
      </c>
      <c r="V5" s="2">
        <f>+'Cenvalsa industrial'!AA5+Cenval!AA5+'D&amp;M'!L5+Saratur!L5</f>
        <v>3000</v>
      </c>
      <c r="W5" s="2">
        <f>+'Cenvalsa industrial'!AB5+Cenval!AB5+'D&amp;M'!M5+Saratur!M5</f>
        <v>3000</v>
      </c>
      <c r="X5" s="2">
        <f>+'Cenvalsa industrial'!AC5+Cenval!AC5+'D&amp;M'!N5+Saratur!N5</f>
        <v>3000</v>
      </c>
      <c r="Y5" s="2">
        <f>+'Cenvalsa industrial'!AD5+Cenval!AD5+'D&amp;M'!O5+Saratur!O5</f>
        <v>3000</v>
      </c>
      <c r="Z5" s="2">
        <f>+'Cenvalsa industrial'!AE5+Cenval!AE5+'D&amp;M'!P5+Saratur!P5</f>
        <v>3000</v>
      </c>
      <c r="AA5" s="2">
        <f>+'Cenvalsa industrial'!AF5+Cenval!AF5+'D&amp;M'!Q5+Saratur!Q5</f>
        <v>3000</v>
      </c>
      <c r="AB5" s="2">
        <f>+'Cenvalsa industrial'!AG5+Cenval!AG5+'D&amp;M'!R5+Saratur!R5</f>
        <v>3000</v>
      </c>
      <c r="AC5" s="2">
        <f>+'Cenvalsa industrial'!AH5+Cenval!AH5+'D&amp;M'!S5+Saratur!S5</f>
        <v>3000</v>
      </c>
      <c r="AD5" s="6">
        <f t="shared" si="4"/>
        <v>36000</v>
      </c>
    </row>
    <row r="6" spans="1:30" outlineLevel="1" x14ac:dyDescent="0.25">
      <c r="A6" s="1" t="s">
        <v>9</v>
      </c>
      <c r="B6" s="7" t="e">
        <f>+#REF!/#REF!</f>
        <v>#REF!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6">
        <f t="shared" si="2"/>
        <v>0</v>
      </c>
      <c r="P6" s="6">
        <f t="shared" si="3"/>
        <v>0</v>
      </c>
      <c r="R6" s="2">
        <f>+'Cenvalsa industrial'!W6+Cenval!W6+'D&amp;M'!H6+Saratur!H6</f>
        <v>0</v>
      </c>
      <c r="S6" s="2">
        <f>+'Cenvalsa industrial'!X6+Cenval!X6+'D&amp;M'!I6+Saratur!I6</f>
        <v>0</v>
      </c>
      <c r="T6" s="2">
        <f>+'Cenvalsa industrial'!Y6+Cenval!Y6+'D&amp;M'!J6+Saratur!J6</f>
        <v>0</v>
      </c>
      <c r="U6" s="2">
        <f>+'Cenvalsa industrial'!Z6+Cenval!Z6+'D&amp;M'!K6+Saratur!K6</f>
        <v>0</v>
      </c>
      <c r="V6" s="2">
        <f>+'Cenvalsa industrial'!AA6+Cenval!AA6+'D&amp;M'!L6+Saratur!L6</f>
        <v>0</v>
      </c>
      <c r="W6" s="2">
        <f>+'Cenvalsa industrial'!AB6+Cenval!AB6+'D&amp;M'!M6+Saratur!M6</f>
        <v>0</v>
      </c>
      <c r="X6" s="2">
        <f>+'Cenvalsa industrial'!AC6+Cenval!AC6+'D&amp;M'!N6+Saratur!N6</f>
        <v>0</v>
      </c>
      <c r="Y6" s="2">
        <f>+'Cenvalsa industrial'!AD6+Cenval!AD6+'D&amp;M'!O6+Saratur!O6</f>
        <v>0</v>
      </c>
      <c r="Z6" s="2">
        <f>+'Cenvalsa industrial'!AE6+Cenval!AE6+'D&amp;M'!P6+Saratur!P6</f>
        <v>0</v>
      </c>
      <c r="AA6" s="2">
        <f>+'Cenvalsa industrial'!AF6+Cenval!AF6+'D&amp;M'!Q6+Saratur!Q6</f>
        <v>0</v>
      </c>
      <c r="AB6" s="2">
        <f>+'Cenvalsa industrial'!AG6+Cenval!AG6+'D&amp;M'!R6+Saratur!R6</f>
        <v>0</v>
      </c>
      <c r="AC6" s="2">
        <f>+'Cenvalsa industrial'!AH6+Cenval!AH6+'D&amp;M'!S6+Saratur!S6</f>
        <v>0</v>
      </c>
      <c r="AD6" s="6">
        <f t="shared" si="4"/>
        <v>0</v>
      </c>
    </row>
    <row r="7" spans="1:30" outlineLevel="1" x14ac:dyDescent="0.25">
      <c r="A7" s="9" t="s">
        <v>10</v>
      </c>
      <c r="B7" s="7" t="e">
        <f>+#REF!/#REF!</f>
        <v>#REF!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6">
        <f t="shared" si="2"/>
        <v>0</v>
      </c>
      <c r="P7" s="6">
        <f t="shared" si="3"/>
        <v>1790000</v>
      </c>
      <c r="R7" s="2">
        <f>+'Cenvalsa industrial'!W7+Cenval!W7+'D&amp;M'!H7+Saratur!H7</f>
        <v>66000</v>
      </c>
      <c r="S7" s="2">
        <f>+'Cenvalsa industrial'!X7+Cenval!X7+'D&amp;M'!I7+Saratur!I7</f>
        <v>101000</v>
      </c>
      <c r="T7" s="2">
        <f>+'Cenvalsa industrial'!Y7+Cenval!Y7+'D&amp;M'!J7+Saratur!J7</f>
        <v>110000</v>
      </c>
      <c r="U7" s="2">
        <f>+'Cenvalsa industrial'!Z7+Cenval!Z7+'D&amp;M'!K7+Saratur!K7</f>
        <v>140000</v>
      </c>
      <c r="V7" s="2">
        <f>+'Cenvalsa industrial'!AA7+Cenval!AA7+'D&amp;M'!L7+Saratur!L7</f>
        <v>189000</v>
      </c>
      <c r="W7" s="2">
        <f>+'Cenvalsa industrial'!AB7+Cenval!AB7+'D&amp;M'!M7+Saratur!M7</f>
        <v>233000</v>
      </c>
      <c r="X7" s="2">
        <f>+'Cenvalsa industrial'!AC7+Cenval!AC7+'D&amp;M'!N7+Saratur!N7</f>
        <v>227500</v>
      </c>
      <c r="Y7" s="2">
        <f>+'Cenvalsa industrial'!AD7+Cenval!AD7+'D&amp;M'!O7+Saratur!O7</f>
        <v>119000</v>
      </c>
      <c r="Z7" s="2">
        <f>+'Cenvalsa industrial'!AE7+Cenval!AE7+'D&amp;M'!P7+Saratur!P7</f>
        <v>185000</v>
      </c>
      <c r="AA7" s="2">
        <f>+'Cenvalsa industrial'!AF7+Cenval!AF7+'D&amp;M'!Q7+Saratur!Q7</f>
        <v>150000</v>
      </c>
      <c r="AB7" s="2">
        <f>+'Cenvalsa industrial'!AG7+Cenval!AG7+'D&amp;M'!R7+Saratur!R7</f>
        <v>120000</v>
      </c>
      <c r="AC7" s="2">
        <f>+'Cenvalsa industrial'!AH7+Cenval!AH7+'D&amp;M'!S7+Saratur!S7</f>
        <v>149500</v>
      </c>
      <c r="AD7" s="6">
        <f t="shared" si="4"/>
        <v>1790000</v>
      </c>
    </row>
    <row r="8" spans="1:30" outlineLevel="1" x14ac:dyDescent="0.25">
      <c r="A8" s="9" t="s">
        <v>11</v>
      </c>
      <c r="B8" s="7" t="e">
        <f>+#REF!/#REF!</f>
        <v>#REF!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6">
        <f t="shared" si="2"/>
        <v>0</v>
      </c>
      <c r="P8" s="6">
        <f t="shared" si="3"/>
        <v>0</v>
      </c>
      <c r="R8" s="2">
        <f>+'Cenvalsa industrial'!W8+Cenval!W8+'D&amp;M'!F8+Saratur!H8</f>
        <v>0</v>
      </c>
      <c r="S8" s="2">
        <f>+'Cenvalsa industrial'!X8+Cenval!X8+'D&amp;M'!G8+Saratur!I8</f>
        <v>0</v>
      </c>
      <c r="T8" s="2">
        <f>+'Cenvalsa industrial'!Y8+Cenval!Y8+'D&amp;M'!H8+Saratur!J8</f>
        <v>0</v>
      </c>
      <c r="U8" s="2">
        <f>+'Cenvalsa industrial'!Z8+Cenval!Z8+'D&amp;M'!I8+Saratur!K8</f>
        <v>0</v>
      </c>
      <c r="V8" s="2">
        <f>+'Cenvalsa industrial'!AA8+Cenval!AA8+'D&amp;M'!J8+Saratur!L8</f>
        <v>0</v>
      </c>
      <c r="W8" s="2">
        <f>+'Cenvalsa industrial'!AB8+Cenval!AB8+'D&amp;M'!K8+Saratur!M8</f>
        <v>0</v>
      </c>
      <c r="X8" s="2">
        <f>+'Cenvalsa industrial'!AC8+Cenval!AC8+'D&amp;M'!L8+Saratur!N8</f>
        <v>0</v>
      </c>
      <c r="Y8" s="2">
        <f>+'Cenvalsa industrial'!AD8+Cenval!AD8+'D&amp;M'!M8+Saratur!O8</f>
        <v>0</v>
      </c>
      <c r="Z8" s="2">
        <f>+'Cenvalsa industrial'!AE8+Cenval!AE8+'D&amp;M'!N8+Saratur!P8</f>
        <v>0</v>
      </c>
      <c r="AA8" s="2">
        <f>+'Cenvalsa industrial'!AF8+Cenval!AF8+'D&amp;M'!O8+Saratur!Q8</f>
        <v>0</v>
      </c>
      <c r="AB8" s="2">
        <f>+'Cenvalsa industrial'!AG8+Cenval!AG8+'D&amp;M'!P8+Saratur!R8</f>
        <v>0</v>
      </c>
      <c r="AC8" s="2">
        <f>+'Cenvalsa industrial'!AH8+Cenval!AH8+'D&amp;M'!Q8+Saratur!S8</f>
        <v>0</v>
      </c>
      <c r="AD8" s="6">
        <f t="shared" si="4"/>
        <v>0</v>
      </c>
    </row>
    <row r="9" spans="1:30" s="5" customFormat="1" outlineLevel="1" x14ac:dyDescent="0.25">
      <c r="A9" s="5" t="s">
        <v>12</v>
      </c>
      <c r="B9" s="7" t="e">
        <f>+#REF!/#REF!</f>
        <v>#REF!</v>
      </c>
      <c r="C9" s="6">
        <f>+C10+C11</f>
        <v>0</v>
      </c>
      <c r="D9" s="6">
        <f t="shared" ref="D9:N9" si="5">+D10+D11</f>
        <v>0</v>
      </c>
      <c r="E9" s="6">
        <f t="shared" si="5"/>
        <v>0</v>
      </c>
      <c r="F9" s="6">
        <f t="shared" si="5"/>
        <v>0</v>
      </c>
      <c r="G9" s="6">
        <f t="shared" si="5"/>
        <v>0</v>
      </c>
      <c r="H9" s="6">
        <f t="shared" si="5"/>
        <v>0</v>
      </c>
      <c r="I9" s="6">
        <f t="shared" si="5"/>
        <v>0</v>
      </c>
      <c r="J9" s="6">
        <f t="shared" si="5"/>
        <v>0</v>
      </c>
      <c r="K9" s="6">
        <f t="shared" si="5"/>
        <v>0</v>
      </c>
      <c r="L9" s="6">
        <f t="shared" si="5"/>
        <v>0</v>
      </c>
      <c r="M9" s="6">
        <f t="shared" si="5"/>
        <v>0</v>
      </c>
      <c r="N9" s="6">
        <f t="shared" si="5"/>
        <v>0</v>
      </c>
      <c r="O9" s="6">
        <f t="shared" si="2"/>
        <v>0</v>
      </c>
      <c r="P9" s="6">
        <f t="shared" si="3"/>
        <v>0</v>
      </c>
      <c r="R9" s="6">
        <f>+R10+R11</f>
        <v>0</v>
      </c>
      <c r="S9" s="6">
        <f t="shared" ref="S9:AC9" si="6">+S10+S11</f>
        <v>0</v>
      </c>
      <c r="T9" s="6">
        <f t="shared" si="6"/>
        <v>0</v>
      </c>
      <c r="U9" s="6">
        <f t="shared" si="6"/>
        <v>0</v>
      </c>
      <c r="V9" s="6">
        <f t="shared" si="6"/>
        <v>0</v>
      </c>
      <c r="W9" s="6">
        <f t="shared" si="6"/>
        <v>0</v>
      </c>
      <c r="X9" s="6">
        <f t="shared" si="6"/>
        <v>0</v>
      </c>
      <c r="Y9" s="6">
        <f t="shared" si="6"/>
        <v>0</v>
      </c>
      <c r="Z9" s="6">
        <f t="shared" si="6"/>
        <v>0</v>
      </c>
      <c r="AA9" s="6">
        <f t="shared" si="6"/>
        <v>0</v>
      </c>
      <c r="AB9" s="6">
        <f t="shared" si="6"/>
        <v>0</v>
      </c>
      <c r="AC9" s="6">
        <f t="shared" si="6"/>
        <v>0</v>
      </c>
      <c r="AD9" s="6">
        <f t="shared" si="4"/>
        <v>0</v>
      </c>
    </row>
    <row r="10" spans="1:30" outlineLevel="1" x14ac:dyDescent="0.25">
      <c r="A10" s="1" t="s">
        <v>13</v>
      </c>
      <c r="B10" s="7" t="e">
        <f>+#REF!/#REF!</f>
        <v>#REF!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s="2">
        <v>0</v>
      </c>
      <c r="M10" s="2">
        <v>0</v>
      </c>
      <c r="N10" s="2">
        <v>0</v>
      </c>
      <c r="O10" s="6">
        <f t="shared" si="2"/>
        <v>0</v>
      </c>
      <c r="P10" s="6">
        <f t="shared" si="3"/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  <c r="AC10" s="2">
        <v>0</v>
      </c>
      <c r="AD10" s="6">
        <f t="shared" si="4"/>
        <v>0</v>
      </c>
    </row>
    <row r="11" spans="1:30" outlineLevel="1" x14ac:dyDescent="0.25">
      <c r="A11" s="1" t="s">
        <v>14</v>
      </c>
      <c r="B11" s="7" t="e">
        <f>+#REF!/#REF!</f>
        <v>#REF!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2">
        <v>0</v>
      </c>
      <c r="K11" s="2">
        <v>0</v>
      </c>
      <c r="L11" s="2">
        <v>0</v>
      </c>
      <c r="M11" s="2">
        <v>0</v>
      </c>
      <c r="N11" s="2">
        <v>0</v>
      </c>
      <c r="O11" s="6">
        <f t="shared" si="2"/>
        <v>0</v>
      </c>
      <c r="P11" s="6">
        <f t="shared" si="3"/>
        <v>0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2">
        <v>0</v>
      </c>
      <c r="AB11" s="2">
        <v>0</v>
      </c>
      <c r="AC11" s="2">
        <v>0</v>
      </c>
      <c r="AD11" s="6">
        <f t="shared" si="4"/>
        <v>0</v>
      </c>
    </row>
    <row r="12" spans="1:30" x14ac:dyDescent="0.25">
      <c r="A12" s="5" t="s">
        <v>15</v>
      </c>
      <c r="B12" s="7" t="e">
        <f>+#REF!/#REF!</f>
        <v>#REF!</v>
      </c>
      <c r="C12" s="6">
        <v>0</v>
      </c>
      <c r="D12" s="6">
        <v>0</v>
      </c>
      <c r="E12" s="6">
        <v>0</v>
      </c>
      <c r="F12" s="6">
        <v>0</v>
      </c>
      <c r="G12" s="6">
        <v>0</v>
      </c>
      <c r="H12" s="6">
        <v>0</v>
      </c>
      <c r="I12" s="6">
        <v>0</v>
      </c>
      <c r="J12" s="6">
        <v>0</v>
      </c>
      <c r="K12" s="6">
        <v>0</v>
      </c>
      <c r="L12" s="6">
        <v>0</v>
      </c>
      <c r="M12" s="6">
        <v>0</v>
      </c>
      <c r="N12" s="6">
        <v>0</v>
      </c>
      <c r="O12" s="6">
        <f t="shared" si="2"/>
        <v>0</v>
      </c>
      <c r="P12" s="6">
        <f t="shared" si="3"/>
        <v>0</v>
      </c>
      <c r="R12" s="6">
        <v>0</v>
      </c>
      <c r="S12" s="6">
        <v>0</v>
      </c>
      <c r="T12" s="6">
        <v>0</v>
      </c>
      <c r="U12" s="6">
        <v>0</v>
      </c>
      <c r="V12" s="6">
        <v>0</v>
      </c>
      <c r="W12" s="6">
        <v>0</v>
      </c>
      <c r="X12" s="6">
        <v>0</v>
      </c>
      <c r="Y12" s="6">
        <v>0</v>
      </c>
      <c r="Z12" s="6">
        <v>0</v>
      </c>
      <c r="AA12" s="6">
        <v>0</v>
      </c>
      <c r="AB12" s="6">
        <v>0</v>
      </c>
      <c r="AC12" s="6">
        <v>0</v>
      </c>
      <c r="AD12" s="6">
        <f t="shared" si="4"/>
        <v>0</v>
      </c>
    </row>
    <row r="13" spans="1:30" x14ac:dyDescent="0.25">
      <c r="A13" s="5" t="s">
        <v>16</v>
      </c>
      <c r="B13" s="7" t="e">
        <f>+#REF!/#REF!</f>
        <v>#REF!</v>
      </c>
      <c r="C13" s="6" t="e">
        <f>SUM(C15:C21)</f>
        <v>#REF!</v>
      </c>
      <c r="D13" s="6" t="e">
        <f t="shared" ref="D13:N13" si="7">SUM(D15:D21)</f>
        <v>#REF!</v>
      </c>
      <c r="E13" s="6" t="e">
        <f t="shared" si="7"/>
        <v>#REF!</v>
      </c>
      <c r="F13" s="6" t="e">
        <f t="shared" si="7"/>
        <v>#REF!</v>
      </c>
      <c r="G13" s="6" t="e">
        <f t="shared" si="7"/>
        <v>#REF!</v>
      </c>
      <c r="H13" s="6" t="e">
        <f t="shared" si="7"/>
        <v>#REF!</v>
      </c>
      <c r="I13" s="6" t="e">
        <f t="shared" si="7"/>
        <v>#REF!</v>
      </c>
      <c r="J13" s="6" t="e">
        <f t="shared" si="7"/>
        <v>#REF!</v>
      </c>
      <c r="K13" s="6" t="e">
        <f t="shared" si="7"/>
        <v>#REF!</v>
      </c>
      <c r="L13" s="6" t="e">
        <f t="shared" si="7"/>
        <v>#REF!</v>
      </c>
      <c r="M13" s="6" t="e">
        <f t="shared" si="7"/>
        <v>#REF!</v>
      </c>
      <c r="N13" s="6" t="e">
        <f t="shared" si="7"/>
        <v>#REF!</v>
      </c>
      <c r="O13" s="6" t="e">
        <f t="shared" si="2"/>
        <v>#REF!</v>
      </c>
      <c r="P13" s="6">
        <f t="shared" si="3"/>
        <v>-6407688.5935565177</v>
      </c>
      <c r="Q13" s="23">
        <f>+P13/$P$2</f>
        <v>-0.39692914042468824</v>
      </c>
      <c r="R13" s="6">
        <f>SUM(R15:R21)</f>
        <v>-570234.05508055747</v>
      </c>
      <c r="S13" s="6">
        <f t="shared" ref="S13:AC13" si="8">SUM(S15:S21)</f>
        <v>-680765.30258127442</v>
      </c>
      <c r="T13" s="6">
        <f t="shared" si="8"/>
        <v>-603175.55196362548</v>
      </c>
      <c r="U13" s="6">
        <f t="shared" si="8"/>
        <v>-458344.49249984469</v>
      </c>
      <c r="V13" s="6">
        <f t="shared" si="8"/>
        <v>-661994.25755186402</v>
      </c>
      <c r="W13" s="6">
        <f t="shared" si="8"/>
        <v>-543591.76866957208</v>
      </c>
      <c r="X13" s="6">
        <f t="shared" si="8"/>
        <v>-541210.15282084246</v>
      </c>
      <c r="Y13" s="6">
        <f t="shared" si="8"/>
        <v>-369466.68253342115</v>
      </c>
      <c r="Z13" s="6">
        <f t="shared" si="8"/>
        <v>-544752.81276224332</v>
      </c>
      <c r="AA13" s="6">
        <f t="shared" si="8"/>
        <v>-475188.16528714122</v>
      </c>
      <c r="AB13" s="6">
        <f t="shared" si="8"/>
        <v>-485058.29549146828</v>
      </c>
      <c r="AC13" s="6">
        <f t="shared" si="8"/>
        <v>-473907.05631466198</v>
      </c>
      <c r="AD13" s="6">
        <f t="shared" si="4"/>
        <v>-6407688.5935565177</v>
      </c>
    </row>
    <row r="14" spans="1:30" outlineLevel="1" x14ac:dyDescent="0.25">
      <c r="A14" s="9" t="s">
        <v>17</v>
      </c>
      <c r="B14" s="8" t="e">
        <f>+#REF!/#REF!</f>
        <v>#REF!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>
        <f t="shared" si="2"/>
        <v>0</v>
      </c>
      <c r="P14" s="6">
        <f t="shared" si="3"/>
        <v>-445375</v>
      </c>
      <c r="Q14" s="23">
        <f t="shared" ref="Q14:Q77" si="9">+P14/$P$2</f>
        <v>-2.7589092905422302E-2</v>
      </c>
      <c r="R14" s="56">
        <f>+'Cenvalsa industrial'!W14+Cenval!W14+'D&amp;M'!H14+Saratur!H14</f>
        <v>-16500</v>
      </c>
      <c r="S14" s="56">
        <f>+'Cenvalsa industrial'!X14+Cenval!X14+'D&amp;M'!I14+Saratur!I14</f>
        <v>-25250</v>
      </c>
      <c r="T14" s="56">
        <f>+'Cenvalsa industrial'!Y14+Cenval!Y14+'D&amp;M'!J14+Saratur!J14</f>
        <v>-27500</v>
      </c>
      <c r="U14" s="56">
        <f>+'Cenvalsa industrial'!Z14+Cenval!Z14+'D&amp;M'!K14+Saratur!K14</f>
        <v>-35000</v>
      </c>
      <c r="V14" s="56">
        <f>+'Cenvalsa industrial'!AA14+Cenval!AA14+'D&amp;M'!L14+Saratur!L14</f>
        <v>-47250</v>
      </c>
      <c r="W14" s="56">
        <f>+'Cenvalsa industrial'!AB14+Cenval!AB14+'D&amp;M'!M14+Saratur!M14</f>
        <v>-58250</v>
      </c>
      <c r="X14" s="56">
        <f>+'Cenvalsa industrial'!AC14+Cenval!AC14+'D&amp;M'!N14+Saratur!N14</f>
        <v>-54750</v>
      </c>
      <c r="Y14" s="56">
        <f>+'Cenvalsa industrial'!AD14+Cenval!AD14+'D&amp;M'!O14+Saratur!O14</f>
        <v>-29750</v>
      </c>
      <c r="Z14" s="56">
        <f>+'Cenvalsa industrial'!AE14+Cenval!AE14+'D&amp;M'!P14+Saratur!P14</f>
        <v>-46250</v>
      </c>
      <c r="AA14" s="56">
        <f>+'Cenvalsa industrial'!AF14+Cenval!AF14+'D&amp;M'!Q14+Saratur!Q14</f>
        <v>-37500</v>
      </c>
      <c r="AB14" s="56">
        <f>+'Cenvalsa industrial'!AG14+Cenval!AG14+'D&amp;M'!R14+Saratur!R14</f>
        <v>-30000</v>
      </c>
      <c r="AC14" s="56">
        <f>+'Cenvalsa industrial'!AH14+Cenval!AH14+'D&amp;M'!S14+Saratur!S14</f>
        <v>-37375</v>
      </c>
      <c r="AD14" s="6">
        <f t="shared" si="4"/>
        <v>-445375</v>
      </c>
    </row>
    <row r="15" spans="1:30" outlineLevel="1" x14ac:dyDescent="0.25">
      <c r="A15" s="1" t="s">
        <v>18</v>
      </c>
      <c r="B15" s="8" t="e">
        <f>+#REF!/#REF!</f>
        <v>#REF!</v>
      </c>
      <c r="C15" s="2">
        <f>-'presupuesto ventas cenval indus'!Q998</f>
        <v>-177741.00129342597</v>
      </c>
      <c r="D15" s="2">
        <f>-'presupuesto ventas cenval indus'!R998</f>
        <v>-212561.54788375532</v>
      </c>
      <c r="E15" s="2">
        <f>-'presupuesto ventas cenval indus'!S998</f>
        <v>-188118.52758493563</v>
      </c>
      <c r="F15" s="2">
        <f>-'presupuesto ventas cenval indus'!T998</f>
        <v>-142492.54608361816</v>
      </c>
      <c r="G15" s="2">
        <f>-'presupuesto ventas cenval indus'!U998</f>
        <v>-206648.12464123257</v>
      </c>
      <c r="H15" s="2">
        <f>-'presupuesto ventas cenval indus'!V998</f>
        <v>-169347.9088763652</v>
      </c>
      <c r="I15" s="2">
        <f>-'presupuesto ventas cenval indus'!W998</f>
        <v>-168597.63085547832</v>
      </c>
      <c r="J15" s="2">
        <f>-'presupuesto ventas cenval indus'!X998</f>
        <v>-114493.45991785132</v>
      </c>
      <c r="K15" s="2">
        <f>-'presupuesto ventas cenval indus'!Y998</f>
        <v>-169713.67141715201</v>
      </c>
      <c r="L15" s="2">
        <f>-'presupuesto ventas cenval indus'!Z998</f>
        <v>-147798.79120709328</v>
      </c>
      <c r="M15" s="2">
        <f>-'presupuesto ventas cenval indus'!AA998</f>
        <v>-150908.16829641085</v>
      </c>
      <c r="N15" s="2">
        <f>-'presupuesto ventas cenval indus'!AB998</f>
        <v>-147395.2047492167</v>
      </c>
      <c r="O15" s="6">
        <f t="shared" si="2"/>
        <v>-1995816.5828065355</v>
      </c>
      <c r="P15" s="6">
        <f t="shared" si="3"/>
        <v>-1995816.5828065355</v>
      </c>
      <c r="Q15" s="23">
        <f t="shared" si="9"/>
        <v>-0.12363237524610042</v>
      </c>
      <c r="R15" s="56">
        <f>+'Cenvalsa industrial'!W15+Cenval!W15+'D&amp;M'!H15+Saratur!H15</f>
        <v>-177741.00129342597</v>
      </c>
      <c r="S15" s="56">
        <f>+'Cenvalsa industrial'!X15+Cenval!X15+'D&amp;M'!I15+Saratur!I15</f>
        <v>-212561.54788375532</v>
      </c>
      <c r="T15" s="56">
        <f>+'Cenvalsa industrial'!Y15+Cenval!Y15+'D&amp;M'!J15+Saratur!J15</f>
        <v>-188118.52758493563</v>
      </c>
      <c r="U15" s="56">
        <f>+'Cenvalsa industrial'!Z15+Cenval!Z15+'D&amp;M'!K15+Saratur!K15</f>
        <v>-142492.54608361816</v>
      </c>
      <c r="V15" s="56">
        <f>+'Cenvalsa industrial'!AA15+Cenval!AA15+'D&amp;M'!L15+Saratur!L15</f>
        <v>-206648.12464123257</v>
      </c>
      <c r="W15" s="56">
        <f>+'Cenvalsa industrial'!AB15+Cenval!AB15+'D&amp;M'!M15+Saratur!M15</f>
        <v>-169347.9088763652</v>
      </c>
      <c r="X15" s="56">
        <f>+'Cenvalsa industrial'!AC15+Cenval!AC15+'D&amp;M'!N15+Saratur!N15</f>
        <v>-168597.63085547832</v>
      </c>
      <c r="Y15" s="56">
        <f>+'Cenvalsa industrial'!AD15+Cenval!AD15+'D&amp;M'!O15+Saratur!O15</f>
        <v>-114493.45991785132</v>
      </c>
      <c r="Z15" s="56">
        <f>+'Cenvalsa industrial'!AE15+Cenval!AE15+'D&amp;M'!P15+Saratur!P15</f>
        <v>-169713.67141715201</v>
      </c>
      <c r="AA15" s="56">
        <f>+'Cenvalsa industrial'!AF15+Cenval!AF15+'D&amp;M'!Q15+Saratur!Q15</f>
        <v>-147798.79120709328</v>
      </c>
      <c r="AB15" s="56">
        <f>+'Cenvalsa industrial'!AG15+Cenval!AG15+'D&amp;M'!R15+Saratur!R15</f>
        <v>-150908.16829641085</v>
      </c>
      <c r="AC15" s="56">
        <f>+'Cenvalsa industrial'!AH15+Cenval!AH15+'D&amp;M'!S15+Saratur!S15</f>
        <v>-147395.2047492167</v>
      </c>
      <c r="AD15" s="6">
        <f t="shared" si="4"/>
        <v>-1995816.5828065355</v>
      </c>
    </row>
    <row r="16" spans="1:30" outlineLevel="1" x14ac:dyDescent="0.25">
      <c r="A16" s="1" t="s">
        <v>19</v>
      </c>
      <c r="B16" s="8" t="e">
        <f>+#REF!/#REF!</f>
        <v>#REF!</v>
      </c>
      <c r="C16" s="2">
        <f>-'presupuesto ventas cenval indus'!D998</f>
        <v>-309803.04424506519</v>
      </c>
      <c r="D16" s="2">
        <f>-'presupuesto ventas cenval indus'!E998</f>
        <v>-370495.35078919347</v>
      </c>
      <c r="E16" s="2">
        <f>-'presupuesto ventas cenval indus'!F998</f>
        <v>-327891.10053735157</v>
      </c>
      <c r="F16" s="2">
        <f>-'presupuesto ventas cenval indus'!G998</f>
        <v>-248364.89182402164</v>
      </c>
      <c r="G16" s="2">
        <f>-'presupuesto ventas cenval indus'!H998</f>
        <v>-360188.23814151261</v>
      </c>
      <c r="H16" s="2">
        <f>-'presupuesto ventas cenval indus'!I998</f>
        <v>-295173.8615437519</v>
      </c>
      <c r="I16" s="2">
        <f>-'presupuesto ventas cenval indus'!J998</f>
        <v>-293866.12493143807</v>
      </c>
      <c r="J16" s="2">
        <f>-'presupuesto ventas cenval indus'!K998</f>
        <v>-199562.40918292053</v>
      </c>
      <c r="K16" s="2">
        <f>-'presupuesto ventas cenval indus'!L998</f>
        <v>-295811.38663803134</v>
      </c>
      <c r="L16" s="2">
        <f>-'presupuesto ventas cenval indus'!M998</f>
        <v>-257613.69137393159</v>
      </c>
      <c r="M16" s="2">
        <f>-'presupuesto ventas cenval indus'!N998</f>
        <v>-263033.34402000852</v>
      </c>
      <c r="N16" s="2">
        <f>-'presupuesto ventas cenval indus'!O998</f>
        <v>-256910.23909023561</v>
      </c>
      <c r="O16" s="6">
        <f t="shared" si="2"/>
        <v>-3478713.6823174618</v>
      </c>
      <c r="P16" s="6">
        <f t="shared" si="3"/>
        <v>-3478713.6823174618</v>
      </c>
      <c r="Q16" s="23">
        <f t="shared" si="9"/>
        <v>-0.21549156322833607</v>
      </c>
      <c r="R16" s="56">
        <f>+'Cenvalsa industrial'!W16+Cenval!W16+'D&amp;M'!H16+Saratur!H16</f>
        <v>-309803.04424506519</v>
      </c>
      <c r="S16" s="56">
        <f>+'Cenvalsa industrial'!X16+Cenval!X16+'D&amp;M'!I16+Saratur!I16</f>
        <v>-370495.35078919347</v>
      </c>
      <c r="T16" s="56">
        <f>+'Cenvalsa industrial'!Y16+Cenval!Y16+'D&amp;M'!J16+Saratur!J16</f>
        <v>-327891.10053735157</v>
      </c>
      <c r="U16" s="56">
        <f>+'Cenvalsa industrial'!Z16+Cenval!Z16+'D&amp;M'!K16+Saratur!K16</f>
        <v>-248364.89182402164</v>
      </c>
      <c r="V16" s="56">
        <f>+'Cenvalsa industrial'!AA16+Cenval!AA16+'D&amp;M'!L16+Saratur!L16</f>
        <v>-360188.23814151261</v>
      </c>
      <c r="W16" s="56">
        <f>+'Cenvalsa industrial'!AB16+Cenval!AB16+'D&amp;M'!M16+Saratur!M16</f>
        <v>-295173.8615437519</v>
      </c>
      <c r="X16" s="56">
        <f>+'Cenvalsa industrial'!AC16+Cenval!AC16+'D&amp;M'!N16+Saratur!N16</f>
        <v>-293866.12493143807</v>
      </c>
      <c r="Y16" s="56">
        <f>+'Cenvalsa industrial'!AD16+Cenval!AD16+'D&amp;M'!O16+Saratur!O16</f>
        <v>-199562.40918292053</v>
      </c>
      <c r="Z16" s="56">
        <f>+'Cenvalsa industrial'!AE16+Cenval!AE16+'D&amp;M'!P16+Saratur!P16</f>
        <v>-295811.38663803134</v>
      </c>
      <c r="AA16" s="56">
        <f>+'Cenvalsa industrial'!AF16+Cenval!AF16+'D&amp;M'!Q16+Saratur!Q16</f>
        <v>-257613.69137393159</v>
      </c>
      <c r="AB16" s="56">
        <f>+'Cenvalsa industrial'!AG16+Cenval!AG16+'D&amp;M'!R16+Saratur!R16</f>
        <v>-263033.34402000852</v>
      </c>
      <c r="AC16" s="56">
        <f>+'Cenvalsa industrial'!AH16+Cenval!AH16+'D&amp;M'!S16+Saratur!S16</f>
        <v>-256910.23909023561</v>
      </c>
      <c r="AD16" s="6">
        <f t="shared" si="4"/>
        <v>-3478713.6823174618</v>
      </c>
    </row>
    <row r="17" spans="1:30" s="5" customFormat="1" outlineLevel="1" x14ac:dyDescent="0.25">
      <c r="A17" s="1" t="s">
        <v>20</v>
      </c>
      <c r="B17" s="8" t="e">
        <f>+#REF!/#REF!</f>
        <v>#REF!</v>
      </c>
      <c r="C17" s="2">
        <f>-'presupuesto ventas cenval indus'!AD998</f>
        <v>-76661.1875420664</v>
      </c>
      <c r="D17" s="2">
        <f>-'presupuesto ventas cenval indus'!AE998</f>
        <v>-91679.581908325679</v>
      </c>
      <c r="E17" s="2">
        <f>-'presupuesto ventas cenval indus'!AF998</f>
        <v>-81137.101841338357</v>
      </c>
      <c r="F17" s="2">
        <f>-'presupuesto ventas cenval indus'!AG998</f>
        <v>-61458.232592204942</v>
      </c>
      <c r="G17" s="2">
        <f>-'presupuesto ventas cenval indus'!AH998</f>
        <v>-89129.072769118895</v>
      </c>
      <c r="H17" s="2">
        <f>-'presupuesto ventas cenval indus'!AI998</f>
        <v>-73041.176249455093</v>
      </c>
      <c r="I17" s="2">
        <f>-'presupuesto ventas cenval indus'!AJ998</f>
        <v>-72717.575033926129</v>
      </c>
      <c r="J17" s="2">
        <f>-'presupuesto ventas cenval indus'!AK998</f>
        <v>-49381.991432649331</v>
      </c>
      <c r="K17" s="2">
        <f>-'presupuesto ventas cenval indus'!AL998</f>
        <v>-73198.932707059997</v>
      </c>
      <c r="L17" s="2">
        <f>-'presupuesto ventas cenval indus'!AM998</f>
        <v>-63746.860706116378</v>
      </c>
      <c r="M17" s="2">
        <f>-'presupuesto ventas cenval indus'!AN998</f>
        <v>-65087.961175048891</v>
      </c>
      <c r="N17" s="2">
        <f>-'presupuesto ventas cenval indus'!AO998</f>
        <v>-63572.790475209673</v>
      </c>
      <c r="O17" s="6">
        <f t="shared" si="2"/>
        <v>-860812.46443251974</v>
      </c>
      <c r="P17" s="6">
        <f t="shared" si="3"/>
        <v>-860812.46443251974</v>
      </c>
      <c r="Q17" s="23">
        <f t="shared" si="9"/>
        <v>-5.3323682414536777E-2</v>
      </c>
      <c r="R17" s="56">
        <f>+'Cenvalsa industrial'!W17+Cenval!W17+'D&amp;M'!H17+Saratur!H17</f>
        <v>-76661.1875420664</v>
      </c>
      <c r="S17" s="56">
        <f>+'Cenvalsa industrial'!X17+Cenval!X17+'D&amp;M'!I17+Saratur!I17</f>
        <v>-91679.581908325679</v>
      </c>
      <c r="T17" s="56">
        <f>+'Cenvalsa industrial'!Y17+Cenval!Y17+'D&amp;M'!J17+Saratur!J17</f>
        <v>-81137.101841338357</v>
      </c>
      <c r="U17" s="56">
        <f>+'Cenvalsa industrial'!Z17+Cenval!Z17+'D&amp;M'!K17+Saratur!K17</f>
        <v>-61458.232592204942</v>
      </c>
      <c r="V17" s="56">
        <f>+'Cenvalsa industrial'!AA17+Cenval!AA17+'D&amp;M'!L17+Saratur!L17</f>
        <v>-89129.072769118895</v>
      </c>
      <c r="W17" s="56">
        <f>+'Cenvalsa industrial'!AB17+Cenval!AB17+'D&amp;M'!M17+Saratur!M17</f>
        <v>-73041.176249455093</v>
      </c>
      <c r="X17" s="56">
        <f>+'Cenvalsa industrial'!AC17+Cenval!AC17+'D&amp;M'!N17+Saratur!N17</f>
        <v>-72717.575033926129</v>
      </c>
      <c r="Y17" s="56">
        <f>+'Cenvalsa industrial'!AD17+Cenval!AD17+'D&amp;M'!O17+Saratur!O17</f>
        <v>-49381.991432649331</v>
      </c>
      <c r="Z17" s="56">
        <f>+'Cenvalsa industrial'!AE17+Cenval!AE17+'D&amp;M'!P17+Saratur!P17</f>
        <v>-73198.932707059997</v>
      </c>
      <c r="AA17" s="56">
        <f>+'Cenvalsa industrial'!AF17+Cenval!AF17+'D&amp;M'!Q17+Saratur!Q17</f>
        <v>-63746.860706116378</v>
      </c>
      <c r="AB17" s="56">
        <f>+'Cenvalsa industrial'!AG17+Cenval!AG17+'D&amp;M'!R17+Saratur!R17</f>
        <v>-65087.961175048891</v>
      </c>
      <c r="AC17" s="56">
        <f>+'Cenvalsa industrial'!AH17+Cenval!AH17+'D&amp;M'!S17+Saratur!S17</f>
        <v>-63572.790475209673</v>
      </c>
      <c r="AD17" s="6">
        <f t="shared" si="4"/>
        <v>-860812.46443251974</v>
      </c>
    </row>
    <row r="18" spans="1:30" outlineLevel="1" x14ac:dyDescent="0.25">
      <c r="A18" s="1" t="s">
        <v>21</v>
      </c>
      <c r="B18" s="8" t="e">
        <f>+#REF!/#REF!</f>
        <v>#REF!</v>
      </c>
      <c r="C18" s="2" t="e">
        <f>+#REF!/12</f>
        <v>#REF!</v>
      </c>
      <c r="D18" s="2" t="e">
        <f>+#REF!/12</f>
        <v>#REF!</v>
      </c>
      <c r="E18" s="2" t="e">
        <f>+#REF!/12</f>
        <v>#REF!</v>
      </c>
      <c r="F18" s="2" t="e">
        <f>+#REF!/12</f>
        <v>#REF!</v>
      </c>
      <c r="G18" s="2" t="e">
        <f>+#REF!/12</f>
        <v>#REF!</v>
      </c>
      <c r="H18" s="2" t="e">
        <f>+#REF!/12</f>
        <v>#REF!</v>
      </c>
      <c r="I18" s="2" t="e">
        <f>+#REF!/12</f>
        <v>#REF!</v>
      </c>
      <c r="J18" s="2" t="e">
        <f>+#REF!/12</f>
        <v>#REF!</v>
      </c>
      <c r="K18" s="2" t="e">
        <f>+#REF!/12</f>
        <v>#REF!</v>
      </c>
      <c r="L18" s="2" t="e">
        <f>+#REF!/12</f>
        <v>#REF!</v>
      </c>
      <c r="M18" s="2" t="e">
        <f>+#REF!/12</f>
        <v>#REF!</v>
      </c>
      <c r="N18" s="2" t="e">
        <f>+#REF!/12</f>
        <v>#REF!</v>
      </c>
      <c r="O18" s="6" t="e">
        <f t="shared" si="2"/>
        <v>#REF!</v>
      </c>
      <c r="P18" s="6">
        <f t="shared" si="3"/>
        <v>-58384.32</v>
      </c>
      <c r="Q18" s="23">
        <f t="shared" si="9"/>
        <v>-3.6166610804376207E-3</v>
      </c>
      <c r="R18" s="56">
        <f>+'Cenvalsa industrial'!W18+Cenval!W18+'D&amp;M'!H18+Saratur!H18</f>
        <v>-4865.3599999999997</v>
      </c>
      <c r="S18" s="56">
        <f>+'Cenvalsa industrial'!X18+Cenval!X18+'D&amp;M'!I18+Saratur!I18</f>
        <v>-4865.3599999999997</v>
      </c>
      <c r="T18" s="56">
        <f>+'Cenvalsa industrial'!Y18+Cenval!Y18+'D&amp;M'!J18+Saratur!J18</f>
        <v>-4865.3599999999997</v>
      </c>
      <c r="U18" s="56">
        <f>+'Cenvalsa industrial'!Z18+Cenval!Z18+'D&amp;M'!K18+Saratur!K18</f>
        <v>-4865.3599999999997</v>
      </c>
      <c r="V18" s="56">
        <f>+'Cenvalsa industrial'!AA18+Cenval!AA18+'D&amp;M'!L18+Saratur!L18</f>
        <v>-4865.3599999999997</v>
      </c>
      <c r="W18" s="56">
        <f>+'Cenvalsa industrial'!AB18+Cenval!AB18+'D&amp;M'!M18+Saratur!M18</f>
        <v>-4865.3599999999997</v>
      </c>
      <c r="X18" s="56">
        <f>+'Cenvalsa industrial'!AC18+Cenval!AC18+'D&amp;M'!N18+Saratur!N18</f>
        <v>-4865.3599999999997</v>
      </c>
      <c r="Y18" s="56">
        <f>+'Cenvalsa industrial'!AD18+Cenval!AD18+'D&amp;M'!O18+Saratur!O18</f>
        <v>-4865.3599999999997</v>
      </c>
      <c r="Z18" s="56">
        <f>+'Cenvalsa industrial'!AE18+Cenval!AE18+'D&amp;M'!P18+Saratur!P18</f>
        <v>-4865.3599999999997</v>
      </c>
      <c r="AA18" s="56">
        <f>+'Cenvalsa industrial'!AF18+Cenval!AF18+'D&amp;M'!Q18+Saratur!Q18</f>
        <v>-4865.3599999999997</v>
      </c>
      <c r="AB18" s="56">
        <f>+'Cenvalsa industrial'!AG18+Cenval!AG18+'D&amp;M'!R18+Saratur!R18</f>
        <v>-4865.3599999999997</v>
      </c>
      <c r="AC18" s="56">
        <f>+'Cenvalsa industrial'!AH18+Cenval!AH18+'D&amp;M'!S18+Saratur!S18</f>
        <v>-4865.3599999999997</v>
      </c>
      <c r="AD18" s="6">
        <f t="shared" si="4"/>
        <v>-58384.32</v>
      </c>
    </row>
    <row r="19" spans="1:30" outlineLevel="1" x14ac:dyDescent="0.25">
      <c r="A19" s="1" t="s">
        <v>22</v>
      </c>
      <c r="B19" s="8" t="e">
        <f>+#REF!/#REF!</f>
        <v>#REF!</v>
      </c>
      <c r="C19" s="2" t="e">
        <f>+#REF!/12</f>
        <v>#REF!</v>
      </c>
      <c r="D19" s="2" t="e">
        <f>+#REF!/12</f>
        <v>#REF!</v>
      </c>
      <c r="E19" s="2" t="e">
        <f>+#REF!/12</f>
        <v>#REF!</v>
      </c>
      <c r="F19" s="2" t="e">
        <f>+#REF!/12</f>
        <v>#REF!</v>
      </c>
      <c r="G19" s="2" t="e">
        <f>+#REF!/12</f>
        <v>#REF!</v>
      </c>
      <c r="H19" s="2" t="e">
        <f>+#REF!/12</f>
        <v>#REF!</v>
      </c>
      <c r="I19" s="2" t="e">
        <f>+#REF!/12</f>
        <v>#REF!</v>
      </c>
      <c r="J19" s="2" t="e">
        <f>+#REF!/12</f>
        <v>#REF!</v>
      </c>
      <c r="K19" s="2" t="e">
        <f>+#REF!/12</f>
        <v>#REF!</v>
      </c>
      <c r="L19" s="2" t="e">
        <f>+#REF!/12</f>
        <v>#REF!</v>
      </c>
      <c r="M19" s="2" t="e">
        <f>+#REF!/12</f>
        <v>#REF!</v>
      </c>
      <c r="N19" s="2" t="e">
        <f>+#REF!/12</f>
        <v>#REF!</v>
      </c>
      <c r="O19" s="6" t="e">
        <f t="shared" si="2"/>
        <v>#REF!</v>
      </c>
      <c r="P19" s="6">
        <f t="shared" si="3"/>
        <v>-15799.200000000003</v>
      </c>
      <c r="Q19" s="23">
        <f t="shared" si="9"/>
        <v>-9.7869345300330749E-4</v>
      </c>
      <c r="R19" s="56">
        <f>+'Cenvalsa industrial'!W19+Cenval!W19+'D&amp;M'!H19+Saratur!H19</f>
        <v>-1316.6</v>
      </c>
      <c r="S19" s="56">
        <f>+'Cenvalsa industrial'!X19+Cenval!X19+'D&amp;M'!I19+Saratur!I19</f>
        <v>-1316.6</v>
      </c>
      <c r="T19" s="56">
        <f>+'Cenvalsa industrial'!Y19+Cenval!Y19+'D&amp;M'!J19+Saratur!J19</f>
        <v>-1316.6</v>
      </c>
      <c r="U19" s="56">
        <f>+'Cenvalsa industrial'!Z19+Cenval!Z19+'D&amp;M'!K19+Saratur!K19</f>
        <v>-1316.6</v>
      </c>
      <c r="V19" s="56">
        <f>+'Cenvalsa industrial'!AA19+Cenval!AA19+'D&amp;M'!L19+Saratur!L19</f>
        <v>-1316.6</v>
      </c>
      <c r="W19" s="56">
        <f>+'Cenvalsa industrial'!AB19+Cenval!AB19+'D&amp;M'!M19+Saratur!M19</f>
        <v>-1316.6</v>
      </c>
      <c r="X19" s="56">
        <f>+'Cenvalsa industrial'!AC19+Cenval!AC19+'D&amp;M'!N19+Saratur!N19</f>
        <v>-1316.6</v>
      </c>
      <c r="Y19" s="56">
        <f>+'Cenvalsa industrial'!AD19+Cenval!AD19+'D&amp;M'!O19+Saratur!O19</f>
        <v>-1316.6</v>
      </c>
      <c r="Z19" s="56">
        <f>+'Cenvalsa industrial'!AE19+Cenval!AE19+'D&amp;M'!P19+Saratur!P19</f>
        <v>-1316.6</v>
      </c>
      <c r="AA19" s="56">
        <f>+'Cenvalsa industrial'!AF19+Cenval!AF19+'D&amp;M'!Q19+Saratur!Q19</f>
        <v>-1316.6</v>
      </c>
      <c r="AB19" s="56">
        <f>+'Cenvalsa industrial'!AG19+Cenval!AG19+'D&amp;M'!R19+Saratur!R19</f>
        <v>-1316.6</v>
      </c>
      <c r="AC19" s="56">
        <f>+'Cenvalsa industrial'!AH19+Cenval!AH19+'D&amp;M'!S19+Saratur!S19</f>
        <v>-1316.6</v>
      </c>
      <c r="AD19" s="6">
        <f t="shared" si="4"/>
        <v>-15799.200000000003</v>
      </c>
    </row>
    <row r="20" spans="1:30" outlineLevel="1" x14ac:dyDescent="0.25">
      <c r="A20" s="1" t="s">
        <v>23</v>
      </c>
      <c r="B20" s="8" t="e">
        <f>+#REF!/#REF!</f>
        <v>#REF!</v>
      </c>
      <c r="C20" s="2" t="e">
        <f>+#REF!/12</f>
        <v>#REF!</v>
      </c>
      <c r="D20" s="2" t="e">
        <f>+#REF!/12</f>
        <v>#REF!</v>
      </c>
      <c r="E20" s="2" t="e">
        <f>+#REF!/12</f>
        <v>#REF!</v>
      </c>
      <c r="F20" s="2" t="e">
        <f>+#REF!/12</f>
        <v>#REF!</v>
      </c>
      <c r="G20" s="2" t="e">
        <f>+#REF!/12</f>
        <v>#REF!</v>
      </c>
      <c r="H20" s="2" t="e">
        <f>+#REF!/12</f>
        <v>#REF!</v>
      </c>
      <c r="I20" s="2" t="e">
        <f>+#REF!/12</f>
        <v>#REF!</v>
      </c>
      <c r="J20" s="2" t="e">
        <f>+#REF!/12</f>
        <v>#REF!</v>
      </c>
      <c r="K20" s="2" t="e">
        <f>+#REF!/12</f>
        <v>#REF!</v>
      </c>
      <c r="L20" s="2" t="e">
        <f>+#REF!/12</f>
        <v>#REF!</v>
      </c>
      <c r="M20" s="2" t="e">
        <f>+#REF!/12</f>
        <v>#REF!</v>
      </c>
      <c r="N20" s="2" t="e">
        <f>+#REF!/12</f>
        <v>#REF!</v>
      </c>
      <c r="O20" s="6" t="e">
        <f t="shared" si="2"/>
        <v>#REF!</v>
      </c>
      <c r="P20" s="6">
        <f t="shared" si="3"/>
        <v>1837.6559999999997</v>
      </c>
      <c r="Q20" s="23">
        <f t="shared" si="9"/>
        <v>1.1383499772597635E-4</v>
      </c>
      <c r="R20" s="56">
        <f>+'Cenvalsa industrial'!W20+Cenval!W20+'D&amp;M'!H20+Saratur!H20</f>
        <v>153.13800000000001</v>
      </c>
      <c r="S20" s="56">
        <f>+'Cenvalsa industrial'!X20+Cenval!X20+'D&amp;M'!I20+Saratur!I20</f>
        <v>153.13800000000001</v>
      </c>
      <c r="T20" s="56">
        <f>+'Cenvalsa industrial'!Y20+Cenval!Y20+'D&amp;M'!J20+Saratur!J20</f>
        <v>153.13800000000001</v>
      </c>
      <c r="U20" s="56">
        <f>+'Cenvalsa industrial'!Z20+Cenval!Z20+'D&amp;M'!K20+Saratur!K20</f>
        <v>153.13800000000001</v>
      </c>
      <c r="V20" s="56">
        <f>+'Cenvalsa industrial'!AA20+Cenval!AA20+'D&amp;M'!L20+Saratur!L20</f>
        <v>153.13800000000001</v>
      </c>
      <c r="W20" s="56">
        <f>+'Cenvalsa industrial'!AB20+Cenval!AB20+'D&amp;M'!M20+Saratur!M20</f>
        <v>153.13800000000001</v>
      </c>
      <c r="X20" s="56">
        <f>+'Cenvalsa industrial'!AC20+Cenval!AC20+'D&amp;M'!N20+Saratur!N20</f>
        <v>153.13800000000001</v>
      </c>
      <c r="Y20" s="56">
        <f>+'Cenvalsa industrial'!AD20+Cenval!AD20+'D&amp;M'!O20+Saratur!O20</f>
        <v>153.13800000000001</v>
      </c>
      <c r="Z20" s="56">
        <f>+'Cenvalsa industrial'!AE20+Cenval!AE20+'D&amp;M'!P20+Saratur!P20</f>
        <v>153.13800000000001</v>
      </c>
      <c r="AA20" s="56">
        <f>+'Cenvalsa industrial'!AF20+Cenval!AF20+'D&amp;M'!Q20+Saratur!Q20</f>
        <v>153.13800000000001</v>
      </c>
      <c r="AB20" s="56">
        <f>+'Cenvalsa industrial'!AG20+Cenval!AG20+'D&amp;M'!R20+Saratur!R20</f>
        <v>153.13800000000001</v>
      </c>
      <c r="AC20" s="56">
        <f>+'Cenvalsa industrial'!AH20+Cenval!AH20+'D&amp;M'!S20+Saratur!S20</f>
        <v>153.13800000000001</v>
      </c>
      <c r="AD20" s="6">
        <f t="shared" si="4"/>
        <v>1837.6559999999997</v>
      </c>
    </row>
    <row r="21" spans="1:30" outlineLevel="1" x14ac:dyDescent="0.25">
      <c r="A21" s="1" t="s">
        <v>24</v>
      </c>
      <c r="B21" s="8" t="e">
        <f>+#REF!/#REF!</f>
        <v>#REF!</v>
      </c>
      <c r="C21" s="2" t="e">
        <f>+#REF!/12</f>
        <v>#REF!</v>
      </c>
      <c r="D21" s="2" t="e">
        <f>+#REF!/12</f>
        <v>#REF!</v>
      </c>
      <c r="E21" s="2" t="e">
        <f>+#REF!/12</f>
        <v>#REF!</v>
      </c>
      <c r="F21" s="2" t="e">
        <f>+#REF!/12</f>
        <v>#REF!</v>
      </c>
      <c r="G21" s="2" t="e">
        <f>+#REF!/12</f>
        <v>#REF!</v>
      </c>
      <c r="H21" s="2" t="e">
        <f>+#REF!/12</f>
        <v>#REF!</v>
      </c>
      <c r="I21" s="2" t="e">
        <f>+#REF!/12</f>
        <v>#REF!</v>
      </c>
      <c r="J21" s="2" t="e">
        <f>+#REF!/12</f>
        <v>#REF!</v>
      </c>
      <c r="K21" s="2" t="e">
        <f>+#REF!/12</f>
        <v>#REF!</v>
      </c>
      <c r="L21" s="2" t="e">
        <f>+#REF!/12</f>
        <v>#REF!</v>
      </c>
      <c r="M21" s="2" t="e">
        <f>+#REF!/12</f>
        <v>#REF!</v>
      </c>
      <c r="N21" s="2" t="e">
        <f>+#REF!/12</f>
        <v>#REF!</v>
      </c>
      <c r="O21" s="6" t="e">
        <f t="shared" si="2"/>
        <v>#REF!</v>
      </c>
      <c r="P21" s="6">
        <f t="shared" si="3"/>
        <v>0</v>
      </c>
      <c r="Q21" s="23">
        <f t="shared" si="9"/>
        <v>0</v>
      </c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6">
        <f t="shared" si="4"/>
        <v>0</v>
      </c>
    </row>
    <row r="22" spans="1:30" s="5" customFormat="1" x14ac:dyDescent="0.25">
      <c r="A22" s="5" t="s">
        <v>25</v>
      </c>
      <c r="B22" s="7" t="e">
        <f>+#REF!/#REF!</f>
        <v>#REF!</v>
      </c>
      <c r="C22" s="6" t="e">
        <f>SUM(C23:C26)</f>
        <v>#REF!</v>
      </c>
      <c r="D22" s="6" t="e">
        <f t="shared" ref="D22:N22" si="10">SUM(D23:D26)</f>
        <v>#REF!</v>
      </c>
      <c r="E22" s="6" t="e">
        <f t="shared" si="10"/>
        <v>#REF!</v>
      </c>
      <c r="F22" s="6" t="e">
        <f t="shared" si="10"/>
        <v>#REF!</v>
      </c>
      <c r="G22" s="6" t="e">
        <f t="shared" si="10"/>
        <v>#REF!</v>
      </c>
      <c r="H22" s="6" t="e">
        <f t="shared" si="10"/>
        <v>#REF!</v>
      </c>
      <c r="I22" s="6" t="e">
        <f t="shared" si="10"/>
        <v>#REF!</v>
      </c>
      <c r="J22" s="6" t="e">
        <f t="shared" si="10"/>
        <v>#REF!</v>
      </c>
      <c r="K22" s="6" t="e">
        <f t="shared" si="10"/>
        <v>#REF!</v>
      </c>
      <c r="L22" s="6" t="e">
        <f t="shared" si="10"/>
        <v>#REF!</v>
      </c>
      <c r="M22" s="6" t="e">
        <f t="shared" si="10"/>
        <v>#REF!</v>
      </c>
      <c r="N22" s="6" t="e">
        <f t="shared" si="10"/>
        <v>#REF!</v>
      </c>
      <c r="O22" s="6" t="e">
        <f t="shared" si="2"/>
        <v>#REF!</v>
      </c>
      <c r="P22" s="6">
        <f t="shared" si="3"/>
        <v>25939.288</v>
      </c>
      <c r="Q22" s="23">
        <f t="shared" si="9"/>
        <v>1.6068289116643411E-3</v>
      </c>
      <c r="R22" s="6">
        <f>SUM(R23:R26)</f>
        <v>2161.6073333333334</v>
      </c>
      <c r="S22" s="6">
        <f t="shared" ref="S22:AC22" si="11">SUM(S23:S26)</f>
        <v>2161.6073333333334</v>
      </c>
      <c r="T22" s="6">
        <f t="shared" si="11"/>
        <v>2161.6073333333334</v>
      </c>
      <c r="U22" s="6">
        <f t="shared" si="11"/>
        <v>2161.6073333333334</v>
      </c>
      <c r="V22" s="6">
        <f t="shared" si="11"/>
        <v>2161.6073333333334</v>
      </c>
      <c r="W22" s="6">
        <f t="shared" si="11"/>
        <v>2161.6073333333334</v>
      </c>
      <c r="X22" s="6">
        <f t="shared" si="11"/>
        <v>2161.6073333333334</v>
      </c>
      <c r="Y22" s="6">
        <f t="shared" si="11"/>
        <v>2161.6073333333334</v>
      </c>
      <c r="Z22" s="6">
        <f t="shared" si="11"/>
        <v>2161.6073333333334</v>
      </c>
      <c r="AA22" s="6">
        <f t="shared" si="11"/>
        <v>2161.6073333333334</v>
      </c>
      <c r="AB22" s="6">
        <f t="shared" si="11"/>
        <v>2161.6073333333334</v>
      </c>
      <c r="AC22" s="6">
        <f t="shared" si="11"/>
        <v>2161.6073333333334</v>
      </c>
      <c r="AD22" s="6">
        <f t="shared" si="4"/>
        <v>25939.288</v>
      </c>
    </row>
    <row r="23" spans="1:30" outlineLevel="1" x14ac:dyDescent="0.25">
      <c r="A23" s="1" t="s">
        <v>26</v>
      </c>
      <c r="B23" s="8" t="e">
        <f>+#REF!/#REF!</f>
        <v>#REF!</v>
      </c>
      <c r="C23" s="2" t="e">
        <f>+#REF!/12</f>
        <v>#REF!</v>
      </c>
      <c r="D23" s="2" t="e">
        <f>+#REF!/12</f>
        <v>#REF!</v>
      </c>
      <c r="E23" s="2" t="e">
        <f>+#REF!/12</f>
        <v>#REF!</v>
      </c>
      <c r="F23" s="2" t="e">
        <f>+#REF!/12</f>
        <v>#REF!</v>
      </c>
      <c r="G23" s="2" t="e">
        <f>+#REF!/12</f>
        <v>#REF!</v>
      </c>
      <c r="H23" s="2" t="e">
        <f>+#REF!/12</f>
        <v>#REF!</v>
      </c>
      <c r="I23" s="2" t="e">
        <f>+#REF!/12</f>
        <v>#REF!</v>
      </c>
      <c r="J23" s="2" t="e">
        <f>+#REF!/12</f>
        <v>#REF!</v>
      </c>
      <c r="K23" s="2" t="e">
        <f>+#REF!/12</f>
        <v>#REF!</v>
      </c>
      <c r="L23" s="2" t="e">
        <f>+#REF!/12</f>
        <v>#REF!</v>
      </c>
      <c r="M23" s="2" t="e">
        <f>+#REF!/12</f>
        <v>#REF!</v>
      </c>
      <c r="N23" s="2" t="e">
        <f>+#REF!/12</f>
        <v>#REF!</v>
      </c>
      <c r="O23" s="6" t="e">
        <f t="shared" si="2"/>
        <v>#REF!</v>
      </c>
      <c r="P23" s="6">
        <f t="shared" si="3"/>
        <v>2600</v>
      </c>
      <c r="Q23" s="23">
        <f t="shared" si="9"/>
        <v>1.6105897626516528E-4</v>
      </c>
      <c r="R23" s="2">
        <f>+'Cenvalsa industrial'!W23+Cenval!W23+'D&amp;M'!H23+Saratur!H23</f>
        <v>216.66666666666666</v>
      </c>
      <c r="S23" s="2">
        <f>+'Cenvalsa industrial'!X23+Cenval!X23+'D&amp;M'!I23+Saratur!I23</f>
        <v>216.66666666666666</v>
      </c>
      <c r="T23" s="2">
        <f>+'Cenvalsa industrial'!Y23+Cenval!Y23+'D&amp;M'!J23+Saratur!J23</f>
        <v>216.66666666666666</v>
      </c>
      <c r="U23" s="2">
        <f>+'Cenvalsa industrial'!Z23+Cenval!Z23+'D&amp;M'!K23+Saratur!K23</f>
        <v>216.66666666666666</v>
      </c>
      <c r="V23" s="2">
        <f>+'Cenvalsa industrial'!AA23+Cenval!AA23+'D&amp;M'!L23+Saratur!L23</f>
        <v>216.66666666666666</v>
      </c>
      <c r="W23" s="2">
        <f>+'Cenvalsa industrial'!AB23+Cenval!AB23+'D&amp;M'!M23+Saratur!M23</f>
        <v>216.66666666666666</v>
      </c>
      <c r="X23" s="2">
        <f>+'Cenvalsa industrial'!AC23+Cenval!AC23+'D&amp;M'!N23+Saratur!N23</f>
        <v>216.66666666666666</v>
      </c>
      <c r="Y23" s="2">
        <f>+'Cenvalsa industrial'!AD23+Cenval!AD23+'D&amp;M'!O23+Saratur!O23</f>
        <v>216.66666666666666</v>
      </c>
      <c r="Z23" s="2">
        <f>+'Cenvalsa industrial'!AE23+Cenval!AE23+'D&amp;M'!P23+Saratur!P23</f>
        <v>216.66666666666666</v>
      </c>
      <c r="AA23" s="2">
        <f>+'Cenvalsa industrial'!AF23+Cenval!AF23+'D&amp;M'!Q23+Saratur!Q23</f>
        <v>216.66666666666666</v>
      </c>
      <c r="AB23" s="2">
        <f>+'Cenvalsa industrial'!AG23+Cenval!AG23+'D&amp;M'!R23+Saratur!R23</f>
        <v>216.66666666666666</v>
      </c>
      <c r="AC23" s="2">
        <f>+'Cenvalsa industrial'!AH23+Cenval!AH23+'D&amp;M'!S23+Saratur!S23</f>
        <v>216.66666666666666</v>
      </c>
      <c r="AD23" s="6">
        <f t="shared" si="4"/>
        <v>2600</v>
      </c>
    </row>
    <row r="24" spans="1:30" outlineLevel="1" x14ac:dyDescent="0.25">
      <c r="A24" s="1" t="s">
        <v>27</v>
      </c>
      <c r="B24" s="8" t="e">
        <f>+#REF!/#REF!</f>
        <v>#REF!</v>
      </c>
      <c r="C24" s="2" t="e">
        <f>+#REF!/12</f>
        <v>#REF!</v>
      </c>
      <c r="D24" s="2" t="e">
        <f>+#REF!/12</f>
        <v>#REF!</v>
      </c>
      <c r="E24" s="2" t="e">
        <f>+#REF!/12</f>
        <v>#REF!</v>
      </c>
      <c r="F24" s="2" t="e">
        <f>+#REF!/12</f>
        <v>#REF!</v>
      </c>
      <c r="G24" s="2" t="e">
        <f>+#REF!/12</f>
        <v>#REF!</v>
      </c>
      <c r="H24" s="2" t="e">
        <f>+#REF!/12</f>
        <v>#REF!</v>
      </c>
      <c r="I24" s="2" t="e">
        <f>+#REF!/12</f>
        <v>#REF!</v>
      </c>
      <c r="J24" s="2" t="e">
        <f>+#REF!/12</f>
        <v>#REF!</v>
      </c>
      <c r="K24" s="2" t="e">
        <f>+#REF!/12</f>
        <v>#REF!</v>
      </c>
      <c r="L24" s="2" t="e">
        <f>+#REF!/12</f>
        <v>#REF!</v>
      </c>
      <c r="M24" s="2" t="e">
        <f>+#REF!/12</f>
        <v>#REF!</v>
      </c>
      <c r="N24" s="2" t="e">
        <f>+#REF!/12</f>
        <v>#REF!</v>
      </c>
      <c r="O24" s="6" t="e">
        <f t="shared" si="2"/>
        <v>#REF!</v>
      </c>
      <c r="P24" s="6">
        <f t="shared" si="3"/>
        <v>14715.96</v>
      </c>
      <c r="Q24" s="23">
        <f t="shared" si="9"/>
        <v>9.1159132783043132E-4</v>
      </c>
      <c r="R24" s="2">
        <f>+'Cenvalsa industrial'!W24+Cenval!W24+'D&amp;M'!H24+Saratur!H24</f>
        <v>1226.33</v>
      </c>
      <c r="S24" s="2">
        <f>+'Cenvalsa industrial'!X24+Cenval!X24+'D&amp;M'!I24+Saratur!I24</f>
        <v>1226.33</v>
      </c>
      <c r="T24" s="2">
        <f>+'Cenvalsa industrial'!Y24+Cenval!Y24+'D&amp;M'!J24+Saratur!J24</f>
        <v>1226.33</v>
      </c>
      <c r="U24" s="2">
        <f>+'Cenvalsa industrial'!Z24+Cenval!Z24+'D&amp;M'!K24+Saratur!K24</f>
        <v>1226.33</v>
      </c>
      <c r="V24" s="2">
        <f>+'Cenvalsa industrial'!AA24+Cenval!AA24+'D&amp;M'!L24+Saratur!L24</f>
        <v>1226.33</v>
      </c>
      <c r="W24" s="2">
        <f>+'Cenvalsa industrial'!AB24+Cenval!AB24+'D&amp;M'!M24+Saratur!M24</f>
        <v>1226.33</v>
      </c>
      <c r="X24" s="2">
        <f>+'Cenvalsa industrial'!AC24+Cenval!AC24+'D&amp;M'!N24+Saratur!N24</f>
        <v>1226.33</v>
      </c>
      <c r="Y24" s="2">
        <f>+'Cenvalsa industrial'!AD24+Cenval!AD24+'D&amp;M'!O24+Saratur!O24</f>
        <v>1226.33</v>
      </c>
      <c r="Z24" s="2">
        <f>+'Cenvalsa industrial'!AE24+Cenval!AE24+'D&amp;M'!P24+Saratur!P24</f>
        <v>1226.33</v>
      </c>
      <c r="AA24" s="2">
        <f>+'Cenvalsa industrial'!AF24+Cenval!AF24+'D&amp;M'!Q24+Saratur!Q24</f>
        <v>1226.33</v>
      </c>
      <c r="AB24" s="2">
        <f>+'Cenvalsa industrial'!AG24+Cenval!AG24+'D&amp;M'!R24+Saratur!R24</f>
        <v>1226.33</v>
      </c>
      <c r="AC24" s="2">
        <f>+'Cenvalsa industrial'!AH24+Cenval!AH24+'D&amp;M'!S24+Saratur!S24</f>
        <v>1226.33</v>
      </c>
      <c r="AD24" s="6">
        <f t="shared" si="4"/>
        <v>14715.96</v>
      </c>
    </row>
    <row r="25" spans="1:30" outlineLevel="1" x14ac:dyDescent="0.25">
      <c r="A25" s="1" t="s">
        <v>28</v>
      </c>
      <c r="B25" s="8" t="e">
        <f>+#REF!/#REF!</f>
        <v>#REF!</v>
      </c>
      <c r="C25" s="2" t="e">
        <f>+#REF!/12</f>
        <v>#REF!</v>
      </c>
      <c r="D25" s="2" t="e">
        <f>+#REF!/12</f>
        <v>#REF!</v>
      </c>
      <c r="E25" s="2" t="e">
        <f>+#REF!/12</f>
        <v>#REF!</v>
      </c>
      <c r="F25" s="2" t="e">
        <f>+#REF!/12</f>
        <v>#REF!</v>
      </c>
      <c r="G25" s="2" t="e">
        <f>+#REF!/12</f>
        <v>#REF!</v>
      </c>
      <c r="H25" s="2" t="e">
        <f>+#REF!/12</f>
        <v>#REF!</v>
      </c>
      <c r="I25" s="2" t="e">
        <f>+#REF!/12</f>
        <v>#REF!</v>
      </c>
      <c r="J25" s="2" t="e">
        <f>+#REF!/12</f>
        <v>#REF!</v>
      </c>
      <c r="K25" s="2" t="e">
        <f>+#REF!/12</f>
        <v>#REF!</v>
      </c>
      <c r="L25" s="2" t="e">
        <f>+#REF!/12</f>
        <v>#REF!</v>
      </c>
      <c r="M25" s="2" t="e">
        <f>+#REF!/12</f>
        <v>#REF!</v>
      </c>
      <c r="N25" s="2" t="e">
        <f>+#REF!/12</f>
        <v>#REF!</v>
      </c>
      <c r="O25" s="6" t="e">
        <f t="shared" si="2"/>
        <v>#REF!</v>
      </c>
      <c r="P25" s="6">
        <f t="shared" si="3"/>
        <v>2863.6080000000006</v>
      </c>
      <c r="Q25" s="23">
        <f t="shared" si="9"/>
        <v>1.7738837419412981E-4</v>
      </c>
      <c r="R25" s="2">
        <f>+'Cenvalsa industrial'!W25+Cenval!W25+'D&amp;M'!H25+Saratur!H25</f>
        <v>238.63400000000004</v>
      </c>
      <c r="S25" s="2">
        <f>+'Cenvalsa industrial'!X25+Cenval!X25+'D&amp;M'!I25+Saratur!I25</f>
        <v>238.63400000000004</v>
      </c>
      <c r="T25" s="2">
        <f>+'Cenvalsa industrial'!Y25+Cenval!Y25+'D&amp;M'!J25+Saratur!J25</f>
        <v>238.63400000000004</v>
      </c>
      <c r="U25" s="2">
        <f>+'Cenvalsa industrial'!Z25+Cenval!Z25+'D&amp;M'!K25+Saratur!K25</f>
        <v>238.63400000000004</v>
      </c>
      <c r="V25" s="2">
        <f>+'Cenvalsa industrial'!AA25+Cenval!AA25+'D&amp;M'!L25+Saratur!L25</f>
        <v>238.63400000000004</v>
      </c>
      <c r="W25" s="2">
        <f>+'Cenvalsa industrial'!AB25+Cenval!AB25+'D&amp;M'!M25+Saratur!M25</f>
        <v>238.63400000000004</v>
      </c>
      <c r="X25" s="2">
        <f>+'Cenvalsa industrial'!AC25+Cenval!AC25+'D&amp;M'!N25+Saratur!N25</f>
        <v>238.63400000000004</v>
      </c>
      <c r="Y25" s="2">
        <f>+'Cenvalsa industrial'!AD25+Cenval!AD25+'D&amp;M'!O25+Saratur!O25</f>
        <v>238.63400000000004</v>
      </c>
      <c r="Z25" s="2">
        <f>+'Cenvalsa industrial'!AE25+Cenval!AE25+'D&amp;M'!P25+Saratur!P25</f>
        <v>238.63400000000004</v>
      </c>
      <c r="AA25" s="2">
        <f>+'Cenvalsa industrial'!AF25+Cenval!AF25+'D&amp;M'!Q25+Saratur!Q25</f>
        <v>238.63400000000004</v>
      </c>
      <c r="AB25" s="2">
        <f>+'Cenvalsa industrial'!AG25+Cenval!AG25+'D&amp;M'!R25+Saratur!R25</f>
        <v>238.63400000000004</v>
      </c>
      <c r="AC25" s="2">
        <f>+'Cenvalsa industrial'!AH25+Cenval!AH25+'D&amp;M'!S25+Saratur!S25</f>
        <v>238.63400000000004</v>
      </c>
      <c r="AD25" s="6">
        <f t="shared" si="4"/>
        <v>2863.6080000000006</v>
      </c>
    </row>
    <row r="26" spans="1:30" outlineLevel="1" x14ac:dyDescent="0.25">
      <c r="A26" s="1" t="s">
        <v>29</v>
      </c>
      <c r="B26" s="8" t="e">
        <f>+#REF!/#REF!</f>
        <v>#REF!</v>
      </c>
      <c r="C26" s="2" t="e">
        <f>+#REF!/12</f>
        <v>#REF!</v>
      </c>
      <c r="D26" s="2" t="e">
        <f>+#REF!/12</f>
        <v>#REF!</v>
      </c>
      <c r="E26" s="2" t="e">
        <f>+#REF!/12</f>
        <v>#REF!</v>
      </c>
      <c r="F26" s="2" t="e">
        <f>+#REF!/12</f>
        <v>#REF!</v>
      </c>
      <c r="G26" s="2" t="e">
        <f>+#REF!/12</f>
        <v>#REF!</v>
      </c>
      <c r="H26" s="2" t="e">
        <f>+#REF!/12</f>
        <v>#REF!</v>
      </c>
      <c r="I26" s="2" t="e">
        <f>+#REF!/12</f>
        <v>#REF!</v>
      </c>
      <c r="J26" s="2" t="e">
        <f>+#REF!/12</f>
        <v>#REF!</v>
      </c>
      <c r="K26" s="2" t="e">
        <f>+#REF!/12</f>
        <v>#REF!</v>
      </c>
      <c r="L26" s="2" t="e">
        <f>+#REF!/12</f>
        <v>#REF!</v>
      </c>
      <c r="M26" s="2" t="e">
        <f>+#REF!/12</f>
        <v>#REF!</v>
      </c>
      <c r="N26" s="2" t="e">
        <f>+#REF!/12</f>
        <v>#REF!</v>
      </c>
      <c r="O26" s="6" t="e">
        <f t="shared" si="2"/>
        <v>#REF!</v>
      </c>
      <c r="P26" s="6">
        <f t="shared" si="3"/>
        <v>5759.7199999999984</v>
      </c>
      <c r="Q26" s="23">
        <f t="shared" si="9"/>
        <v>3.5679023337461445E-4</v>
      </c>
      <c r="R26" s="2">
        <f>+'Cenvalsa industrial'!W26+Cenval!W26+'D&amp;M'!H26+Saratur!H26</f>
        <v>479.97666666666669</v>
      </c>
      <c r="S26" s="2">
        <f>+'Cenvalsa industrial'!X26+Cenval!X26+'D&amp;M'!I26+Saratur!I26</f>
        <v>479.97666666666669</v>
      </c>
      <c r="T26" s="2">
        <f>+'Cenvalsa industrial'!Y26+Cenval!Y26+'D&amp;M'!J26+Saratur!J26</f>
        <v>479.97666666666669</v>
      </c>
      <c r="U26" s="2">
        <f>+'Cenvalsa industrial'!Z26+Cenval!Z26+'D&amp;M'!K26+Saratur!K26</f>
        <v>479.97666666666669</v>
      </c>
      <c r="V26" s="2">
        <f>+'Cenvalsa industrial'!AA26+Cenval!AA26+'D&amp;M'!L26+Saratur!L26</f>
        <v>479.97666666666669</v>
      </c>
      <c r="W26" s="2">
        <f>+'Cenvalsa industrial'!AB26+Cenval!AB26+'D&amp;M'!M26+Saratur!M26</f>
        <v>479.97666666666669</v>
      </c>
      <c r="X26" s="2">
        <f>+'Cenvalsa industrial'!AC26+Cenval!AC26+'D&amp;M'!N26+Saratur!N26</f>
        <v>479.97666666666669</v>
      </c>
      <c r="Y26" s="2">
        <f>+'Cenvalsa industrial'!AD26+Cenval!AD26+'D&amp;M'!O26+Saratur!O26</f>
        <v>479.97666666666669</v>
      </c>
      <c r="Z26" s="2">
        <f>+'Cenvalsa industrial'!AE26+Cenval!AE26+'D&amp;M'!P26+Saratur!P26</f>
        <v>479.97666666666669</v>
      </c>
      <c r="AA26" s="2">
        <f>+'Cenvalsa industrial'!AF26+Cenval!AF26+'D&amp;M'!Q26+Saratur!Q26</f>
        <v>479.97666666666669</v>
      </c>
      <c r="AB26" s="2">
        <f>+'Cenvalsa industrial'!AG26+Cenval!AG26+'D&amp;M'!R26+Saratur!R26</f>
        <v>479.97666666666669</v>
      </c>
      <c r="AC26" s="2">
        <f>+'Cenvalsa industrial'!AH26+Cenval!AH26+'D&amp;M'!S26+Saratur!S26</f>
        <v>479.97666666666669</v>
      </c>
      <c r="AD26" s="6">
        <f t="shared" si="4"/>
        <v>5759.7199999999984</v>
      </c>
    </row>
    <row r="27" spans="1:30" x14ac:dyDescent="0.25">
      <c r="A27" s="5" t="s">
        <v>30</v>
      </c>
      <c r="B27" s="7" t="e">
        <f>+#REF!/#REF!</f>
        <v>#REF!</v>
      </c>
      <c r="C27" s="6" t="e">
        <f>SUM(C28:C36)</f>
        <v>#REF!</v>
      </c>
      <c r="D27" s="6" t="e">
        <f t="shared" ref="D27:N27" si="12">SUM(D28:D36)</f>
        <v>#REF!</v>
      </c>
      <c r="E27" s="6" t="e">
        <f t="shared" si="12"/>
        <v>#REF!</v>
      </c>
      <c r="F27" s="6" t="e">
        <f t="shared" si="12"/>
        <v>#REF!</v>
      </c>
      <c r="G27" s="6" t="e">
        <f t="shared" si="12"/>
        <v>#REF!</v>
      </c>
      <c r="H27" s="6" t="e">
        <f t="shared" si="12"/>
        <v>#REF!</v>
      </c>
      <c r="I27" s="6" t="e">
        <f t="shared" si="12"/>
        <v>#REF!</v>
      </c>
      <c r="J27" s="6" t="e">
        <f t="shared" si="12"/>
        <v>#REF!</v>
      </c>
      <c r="K27" s="6" t="e">
        <f t="shared" si="12"/>
        <v>#REF!</v>
      </c>
      <c r="L27" s="6" t="e">
        <f t="shared" si="12"/>
        <v>#REF!</v>
      </c>
      <c r="M27" s="6" t="e">
        <f t="shared" si="12"/>
        <v>#REF!</v>
      </c>
      <c r="N27" s="6" t="e">
        <f t="shared" si="12"/>
        <v>#REF!</v>
      </c>
      <c r="O27" s="6" t="e">
        <f t="shared" si="2"/>
        <v>#REF!</v>
      </c>
      <c r="P27" s="6">
        <f t="shared" si="3"/>
        <v>-748089.18424666673</v>
      </c>
      <c r="Q27" s="23">
        <f t="shared" si="9"/>
        <v>-4.6340953142234902E-2</v>
      </c>
      <c r="R27" s="6">
        <f>SUM(R28:R36)</f>
        <v>-47597.70979833333</v>
      </c>
      <c r="S27" s="6">
        <f t="shared" ref="S27:AC27" si="13">SUM(S28:S36)</f>
        <v>-63681.043131666665</v>
      </c>
      <c r="T27" s="6">
        <f t="shared" si="13"/>
        <v>-63681.043131666665</v>
      </c>
      <c r="U27" s="6">
        <f t="shared" si="13"/>
        <v>-63681.043131666665</v>
      </c>
      <c r="V27" s="6">
        <f t="shared" si="13"/>
        <v>-63681.043131666665</v>
      </c>
      <c r="W27" s="6">
        <f t="shared" si="13"/>
        <v>-63681.043131666665</v>
      </c>
      <c r="X27" s="6">
        <f t="shared" si="13"/>
        <v>-63681.043131666665</v>
      </c>
      <c r="Y27" s="6">
        <f t="shared" si="13"/>
        <v>-63681.043131666665</v>
      </c>
      <c r="Z27" s="6">
        <f t="shared" si="13"/>
        <v>-63681.043131666665</v>
      </c>
      <c r="AA27" s="6">
        <f t="shared" si="13"/>
        <v>-63681.043131666665</v>
      </c>
      <c r="AB27" s="6">
        <f t="shared" si="13"/>
        <v>-63681.043131666665</v>
      </c>
      <c r="AC27" s="6">
        <f t="shared" si="13"/>
        <v>-63681.043131666665</v>
      </c>
      <c r="AD27" s="6">
        <f t="shared" si="4"/>
        <v>-748089.18424666673</v>
      </c>
    </row>
    <row r="28" spans="1:30" outlineLevel="1" x14ac:dyDescent="0.25">
      <c r="A28" s="1" t="s">
        <v>31</v>
      </c>
      <c r="B28" s="8" t="e">
        <f>+#REF!/#REF!</f>
        <v>#REF!</v>
      </c>
      <c r="C28" s="2" t="e">
        <f>+#REF!/12</f>
        <v>#REF!</v>
      </c>
      <c r="D28" s="2" t="e">
        <f>+#REF!/12</f>
        <v>#REF!</v>
      </c>
      <c r="E28" s="2" t="e">
        <f>+#REF!/12</f>
        <v>#REF!</v>
      </c>
      <c r="F28" s="2" t="e">
        <f>+#REF!/12</f>
        <v>#REF!</v>
      </c>
      <c r="G28" s="2" t="e">
        <f>+#REF!/12</f>
        <v>#REF!</v>
      </c>
      <c r="H28" s="2" t="e">
        <f>+#REF!/12</f>
        <v>#REF!</v>
      </c>
      <c r="I28" s="2" t="e">
        <f>+#REF!/12</f>
        <v>#REF!</v>
      </c>
      <c r="J28" s="2" t="e">
        <f>+#REF!/12</f>
        <v>#REF!</v>
      </c>
      <c r="K28" s="2" t="e">
        <f>+#REF!/12</f>
        <v>#REF!</v>
      </c>
      <c r="L28" s="2" t="e">
        <f>+#REF!/12</f>
        <v>#REF!</v>
      </c>
      <c r="M28" s="2" t="e">
        <f>+#REF!/12</f>
        <v>#REF!</v>
      </c>
      <c r="N28" s="2" t="e">
        <f>+#REF!/12</f>
        <v>#REF!</v>
      </c>
      <c r="O28" s="6" t="e">
        <f t="shared" si="2"/>
        <v>#REF!</v>
      </c>
      <c r="P28" s="24">
        <v>0</v>
      </c>
      <c r="Q28" s="23">
        <f t="shared" si="9"/>
        <v>0</v>
      </c>
      <c r="R28" s="2">
        <f>+'Cenvalsa industrial'!W28+Cenval!W28+'D&amp;M'!H28+Saratur!H28</f>
        <v>-35843.982566666666</v>
      </c>
      <c r="S28" s="2">
        <f>+'Cenvalsa industrial'!X28+Cenval!X28+'D&amp;M'!I28+Saratur!I28</f>
        <v>-48260.649233333337</v>
      </c>
      <c r="T28" s="2">
        <f>+'Cenvalsa industrial'!Y28+Cenval!Y28+'D&amp;M'!J28+Saratur!J28</f>
        <v>-48260.649233333337</v>
      </c>
      <c r="U28" s="2">
        <f>+'Cenvalsa industrial'!Z28+Cenval!Z28+'D&amp;M'!K28+Saratur!K28</f>
        <v>-48260.649233333337</v>
      </c>
      <c r="V28" s="2">
        <f>+'Cenvalsa industrial'!AA28+Cenval!AA28+'D&amp;M'!L28+Saratur!L28</f>
        <v>-48260.649233333337</v>
      </c>
      <c r="W28" s="2">
        <f>+'Cenvalsa industrial'!AB28+Cenval!AB28+'D&amp;M'!M28+Saratur!M28</f>
        <v>-48260.649233333337</v>
      </c>
      <c r="X28" s="2">
        <f>+'Cenvalsa industrial'!AC28+Cenval!AC28+'D&amp;M'!N28+Saratur!N28</f>
        <v>-48260.649233333337</v>
      </c>
      <c r="Y28" s="2">
        <f>+'Cenvalsa industrial'!AD28+Cenval!AD28+'D&amp;M'!O28+Saratur!O28</f>
        <v>-48260.649233333337</v>
      </c>
      <c r="Z28" s="2">
        <f>+'Cenvalsa industrial'!AE28+Cenval!AE28+'D&amp;M'!P28+Saratur!P28</f>
        <v>-48260.649233333337</v>
      </c>
      <c r="AA28" s="2">
        <f>+'Cenvalsa industrial'!AF28+Cenval!AF28+'D&amp;M'!Q28+Saratur!Q28</f>
        <v>-48260.649233333337</v>
      </c>
      <c r="AB28" s="2">
        <f>+'Cenvalsa industrial'!AG28+Cenval!AG28+'D&amp;M'!R28+Saratur!R28</f>
        <v>-48260.649233333337</v>
      </c>
      <c r="AC28" s="2">
        <f>+'Cenvalsa industrial'!AH28+Cenval!AH28+'D&amp;M'!S28+Saratur!S28</f>
        <v>-48260.649233333337</v>
      </c>
      <c r="AD28" s="6">
        <f t="shared" si="4"/>
        <v>-566711.12413333345</v>
      </c>
    </row>
    <row r="29" spans="1:30" outlineLevel="1" x14ac:dyDescent="0.25">
      <c r="A29" s="1" t="s">
        <v>32</v>
      </c>
      <c r="B29" s="8" t="e">
        <f>+#REF!/#REF!</f>
        <v>#REF!</v>
      </c>
      <c r="C29" s="2" t="e">
        <f>+#REF!/12</f>
        <v>#REF!</v>
      </c>
      <c r="D29" s="2" t="e">
        <f>+#REF!/12</f>
        <v>#REF!</v>
      </c>
      <c r="E29" s="2" t="e">
        <f>+#REF!/12</f>
        <v>#REF!</v>
      </c>
      <c r="F29" s="2" t="e">
        <f>+#REF!/12</f>
        <v>#REF!</v>
      </c>
      <c r="G29" s="2" t="e">
        <f>+#REF!/12</f>
        <v>#REF!</v>
      </c>
      <c r="H29" s="2" t="e">
        <f>+#REF!/12</f>
        <v>#REF!</v>
      </c>
      <c r="I29" s="2" t="e">
        <f>+#REF!/12</f>
        <v>#REF!</v>
      </c>
      <c r="J29" s="2" t="e">
        <f>+#REF!/12</f>
        <v>#REF!</v>
      </c>
      <c r="K29" s="2" t="e">
        <f>+#REF!/12</f>
        <v>#REF!</v>
      </c>
      <c r="L29" s="2" t="e">
        <f>+#REF!/12</f>
        <v>#REF!</v>
      </c>
      <c r="M29" s="2" t="e">
        <f>+#REF!/12</f>
        <v>#REF!</v>
      </c>
      <c r="N29" s="2" t="e">
        <f>+#REF!/12</f>
        <v>#REF!</v>
      </c>
      <c r="O29" s="6" t="e">
        <f t="shared" si="2"/>
        <v>#REF!</v>
      </c>
      <c r="P29" s="24">
        <v>0</v>
      </c>
      <c r="Q29" s="23">
        <f t="shared" si="9"/>
        <v>0</v>
      </c>
      <c r="R29" s="2">
        <f>+'Cenvalsa industrial'!W29+Cenval!W29+'D&amp;M'!H29+Saratur!H29</f>
        <v>0</v>
      </c>
      <c r="S29" s="2">
        <f>+'Cenvalsa industrial'!X29+Cenval!X29+'D&amp;M'!I29+Saratur!I29</f>
        <v>0</v>
      </c>
      <c r="T29" s="2">
        <f>+'Cenvalsa industrial'!Y29+Cenval!Y29+'D&amp;M'!J29+Saratur!J29</f>
        <v>0</v>
      </c>
      <c r="U29" s="2">
        <f>+'Cenvalsa industrial'!Z29+Cenval!Z29+'D&amp;M'!K29+Saratur!K29</f>
        <v>0</v>
      </c>
      <c r="V29" s="2">
        <f>+'Cenvalsa industrial'!AA29+Cenval!AA29+'D&amp;M'!L29+Saratur!L29</f>
        <v>0</v>
      </c>
      <c r="W29" s="2">
        <f>+'Cenvalsa industrial'!AB29+Cenval!AB29+'D&amp;M'!M29+Saratur!M29</f>
        <v>0</v>
      </c>
      <c r="X29" s="2">
        <f>+'Cenvalsa industrial'!AC29+Cenval!AC29+'D&amp;M'!N29+Saratur!N29</f>
        <v>0</v>
      </c>
      <c r="Y29" s="2">
        <f>+'Cenvalsa industrial'!AD29+Cenval!AD29+'D&amp;M'!O29+Saratur!O29</f>
        <v>0</v>
      </c>
      <c r="Z29" s="2">
        <f>+'Cenvalsa industrial'!AE29+Cenval!AE29+'D&amp;M'!P29+Saratur!P29</f>
        <v>0</v>
      </c>
      <c r="AA29" s="2">
        <f>+'Cenvalsa industrial'!AF29+Cenval!AF29+'D&amp;M'!Q29+Saratur!Q29</f>
        <v>0</v>
      </c>
      <c r="AB29" s="2">
        <f>+'Cenvalsa industrial'!AG29+Cenval!AG29+'D&amp;M'!R29+Saratur!R29</f>
        <v>0</v>
      </c>
      <c r="AC29" s="2">
        <f>+'Cenvalsa industrial'!AH29+Cenval!AH29+'D&amp;M'!S29+Saratur!S29</f>
        <v>0</v>
      </c>
      <c r="AD29" s="6">
        <f t="shared" si="4"/>
        <v>0</v>
      </c>
    </row>
    <row r="30" spans="1:30" outlineLevel="1" x14ac:dyDescent="0.25">
      <c r="A30" s="1" t="s">
        <v>33</v>
      </c>
      <c r="B30" s="8" t="e">
        <f>+#REF!/#REF!</f>
        <v>#REF!</v>
      </c>
      <c r="C30" s="2" t="e">
        <f>+#REF!/12</f>
        <v>#REF!</v>
      </c>
      <c r="D30" s="2" t="e">
        <f>+#REF!/12</f>
        <v>#REF!</v>
      </c>
      <c r="E30" s="2" t="e">
        <f>+#REF!/12</f>
        <v>#REF!</v>
      </c>
      <c r="F30" s="2" t="e">
        <f>+#REF!/12</f>
        <v>#REF!</v>
      </c>
      <c r="G30" s="2" t="e">
        <f>+#REF!/12</f>
        <v>#REF!</v>
      </c>
      <c r="H30" s="2" t="e">
        <f>+#REF!/12</f>
        <v>#REF!</v>
      </c>
      <c r="I30" s="2" t="e">
        <f>+#REF!/12</f>
        <v>#REF!</v>
      </c>
      <c r="J30" s="2" t="e">
        <f>+#REF!/12</f>
        <v>#REF!</v>
      </c>
      <c r="K30" s="2" t="e">
        <f>+#REF!/12</f>
        <v>#REF!</v>
      </c>
      <c r="L30" s="2" t="e">
        <f>+#REF!/12</f>
        <v>#REF!</v>
      </c>
      <c r="M30" s="2" t="e">
        <f>+#REF!/12</f>
        <v>#REF!</v>
      </c>
      <c r="N30" s="2" t="e">
        <f>+#REF!/12</f>
        <v>#REF!</v>
      </c>
      <c r="O30" s="6" t="e">
        <f t="shared" si="2"/>
        <v>#REF!</v>
      </c>
      <c r="P30" s="24">
        <v>0</v>
      </c>
      <c r="Q30" s="23">
        <f t="shared" si="9"/>
        <v>0</v>
      </c>
      <c r="R30" s="2">
        <f>+'Cenvalsa industrial'!W30+Cenval!W30+'D&amp;M'!H30+Saratur!H30</f>
        <v>0</v>
      </c>
      <c r="S30" s="2">
        <f>+'Cenvalsa industrial'!X30+Cenval!X30+'D&amp;M'!I30+Saratur!I30</f>
        <v>0</v>
      </c>
      <c r="T30" s="2">
        <f>+'Cenvalsa industrial'!Y30+Cenval!Y30+'D&amp;M'!J30+Saratur!J30</f>
        <v>0</v>
      </c>
      <c r="U30" s="2">
        <f>+'Cenvalsa industrial'!Z30+Cenval!Z30+'D&amp;M'!K30+Saratur!K30</f>
        <v>0</v>
      </c>
      <c r="V30" s="2">
        <f>+'Cenvalsa industrial'!AA30+Cenval!AA30+'D&amp;M'!L30+Saratur!L30</f>
        <v>0</v>
      </c>
      <c r="W30" s="2">
        <f>+'Cenvalsa industrial'!AB30+Cenval!AB30+'D&amp;M'!M30+Saratur!M30</f>
        <v>0</v>
      </c>
      <c r="X30" s="2">
        <f>+'Cenvalsa industrial'!AC30+Cenval!AC30+'D&amp;M'!N30+Saratur!N30</f>
        <v>0</v>
      </c>
      <c r="Y30" s="2">
        <f>+'Cenvalsa industrial'!AD30+Cenval!AD30+'D&amp;M'!O30+Saratur!O30</f>
        <v>0</v>
      </c>
      <c r="Z30" s="2">
        <f>+'Cenvalsa industrial'!AE30+Cenval!AE30+'D&amp;M'!P30+Saratur!P30</f>
        <v>0</v>
      </c>
      <c r="AA30" s="2">
        <f>+'Cenvalsa industrial'!AF30+Cenval!AF30+'D&amp;M'!Q30+Saratur!Q30</f>
        <v>0</v>
      </c>
      <c r="AB30" s="2">
        <f>+'Cenvalsa industrial'!AG30+Cenval!AG30+'D&amp;M'!R30+Saratur!R30</f>
        <v>0</v>
      </c>
      <c r="AC30" s="2">
        <f>+'Cenvalsa industrial'!AH30+Cenval!AH30+'D&amp;M'!S30+Saratur!S30</f>
        <v>0</v>
      </c>
      <c r="AD30" s="6">
        <f t="shared" si="4"/>
        <v>0</v>
      </c>
    </row>
    <row r="31" spans="1:30" outlineLevel="1" x14ac:dyDescent="0.25">
      <c r="A31" s="1" t="s">
        <v>34</v>
      </c>
      <c r="B31" s="8" t="e">
        <f>+#REF!/#REF!</f>
        <v>#REF!</v>
      </c>
      <c r="C31" s="2" t="e">
        <f>+#REF!/12</f>
        <v>#REF!</v>
      </c>
      <c r="D31" s="2" t="e">
        <f>+#REF!/12</f>
        <v>#REF!</v>
      </c>
      <c r="E31" s="2" t="e">
        <f>+#REF!/12</f>
        <v>#REF!</v>
      </c>
      <c r="F31" s="2" t="e">
        <f>+#REF!/12</f>
        <v>#REF!</v>
      </c>
      <c r="G31" s="2" t="e">
        <f>+#REF!/12</f>
        <v>#REF!</v>
      </c>
      <c r="H31" s="2" t="e">
        <f>+#REF!/12</f>
        <v>#REF!</v>
      </c>
      <c r="I31" s="2" t="e">
        <f>+#REF!/12</f>
        <v>#REF!</v>
      </c>
      <c r="J31" s="2" t="e">
        <f>+#REF!/12</f>
        <v>#REF!</v>
      </c>
      <c r="K31" s="2" t="e">
        <f>+#REF!/12</f>
        <v>#REF!</v>
      </c>
      <c r="L31" s="2" t="e">
        <f>+#REF!/12</f>
        <v>#REF!</v>
      </c>
      <c r="M31" s="2" t="e">
        <f>+#REF!/12</f>
        <v>#REF!</v>
      </c>
      <c r="N31" s="2" t="e">
        <f>+#REF!/12</f>
        <v>#REF!</v>
      </c>
      <c r="O31" s="6" t="e">
        <f t="shared" si="2"/>
        <v>#REF!</v>
      </c>
      <c r="P31" s="24">
        <v>0</v>
      </c>
      <c r="Q31" s="23">
        <f t="shared" si="9"/>
        <v>0</v>
      </c>
      <c r="R31" s="2">
        <f>+'Cenvalsa industrial'!W31+Cenval!W31+'D&amp;M'!H31+Saratur!H31</f>
        <v>0</v>
      </c>
      <c r="S31" s="2">
        <f>+'Cenvalsa industrial'!X31+Cenval!X31+'D&amp;M'!I31+Saratur!I31</f>
        <v>0</v>
      </c>
      <c r="T31" s="2">
        <f>+'Cenvalsa industrial'!Y31+Cenval!Y31+'D&amp;M'!J31+Saratur!J31</f>
        <v>0</v>
      </c>
      <c r="U31" s="2">
        <f>+'Cenvalsa industrial'!Z31+Cenval!Z31+'D&amp;M'!K31+Saratur!K31</f>
        <v>0</v>
      </c>
      <c r="V31" s="2">
        <f>+'Cenvalsa industrial'!AA31+Cenval!AA31+'D&amp;M'!L31+Saratur!L31</f>
        <v>0</v>
      </c>
      <c r="W31" s="2">
        <f>+'Cenvalsa industrial'!AB31+Cenval!AB31+'D&amp;M'!M31+Saratur!M31</f>
        <v>0</v>
      </c>
      <c r="X31" s="2">
        <f>+'Cenvalsa industrial'!AC31+Cenval!AC31+'D&amp;M'!N31+Saratur!N31</f>
        <v>0</v>
      </c>
      <c r="Y31" s="2">
        <f>+'Cenvalsa industrial'!AD31+Cenval!AD31+'D&amp;M'!O31+Saratur!O31</f>
        <v>0</v>
      </c>
      <c r="Z31" s="2">
        <f>+'Cenvalsa industrial'!AE31+Cenval!AE31+'D&amp;M'!P31+Saratur!P31</f>
        <v>0</v>
      </c>
      <c r="AA31" s="2">
        <f>+'Cenvalsa industrial'!AF31+Cenval!AF31+'D&amp;M'!Q31+Saratur!Q31</f>
        <v>0</v>
      </c>
      <c r="AB31" s="2">
        <f>+'Cenvalsa industrial'!AG31+Cenval!AG31+'D&amp;M'!R31+Saratur!R31</f>
        <v>0</v>
      </c>
      <c r="AC31" s="2">
        <f>+'Cenvalsa industrial'!AH31+Cenval!AH31+'D&amp;M'!S31+Saratur!S31</f>
        <v>0</v>
      </c>
      <c r="AD31" s="6">
        <f t="shared" si="4"/>
        <v>0</v>
      </c>
    </row>
    <row r="32" spans="1:30" s="5" customFormat="1" outlineLevel="1" x14ac:dyDescent="0.25">
      <c r="A32" s="1" t="s">
        <v>35</v>
      </c>
      <c r="B32" s="8" t="e">
        <f>+#REF!/#REF!</f>
        <v>#REF!</v>
      </c>
      <c r="C32" s="2">
        <v>-50000</v>
      </c>
      <c r="D32" s="2">
        <v>-50000</v>
      </c>
      <c r="E32" s="2"/>
      <c r="F32" s="2">
        <v>-150000</v>
      </c>
      <c r="G32" s="2"/>
      <c r="H32" s="2"/>
      <c r="I32" s="2"/>
      <c r="J32" s="2"/>
      <c r="K32" s="2">
        <v>-50000</v>
      </c>
      <c r="L32" s="2"/>
      <c r="M32" s="2"/>
      <c r="N32" s="2"/>
      <c r="O32" s="6"/>
      <c r="P32" s="24">
        <v>0</v>
      </c>
      <c r="Q32" s="23">
        <f t="shared" si="9"/>
        <v>0</v>
      </c>
      <c r="R32" s="2">
        <f>+'Cenvalsa industrial'!W32+Cenval!W32+'D&amp;M'!H32+Saratur!H32</f>
        <v>0</v>
      </c>
      <c r="S32" s="2">
        <f>+'Cenvalsa industrial'!X32+Cenval!X32+'D&amp;M'!I32+Saratur!I32</f>
        <v>0</v>
      </c>
      <c r="T32" s="2">
        <f>+'Cenvalsa industrial'!Y32+Cenval!Y32+'D&amp;M'!J32+Saratur!J32</f>
        <v>0</v>
      </c>
      <c r="U32" s="2">
        <f>+'Cenvalsa industrial'!Z32+Cenval!Z32+'D&amp;M'!K32+Saratur!K32</f>
        <v>0</v>
      </c>
      <c r="V32" s="2">
        <f>+'Cenvalsa industrial'!AA32+Cenval!AA32+'D&amp;M'!L32+Saratur!L32</f>
        <v>0</v>
      </c>
      <c r="W32" s="2">
        <f>+'Cenvalsa industrial'!AB32+Cenval!AB32+'D&amp;M'!M32+Saratur!M32</f>
        <v>0</v>
      </c>
      <c r="X32" s="2">
        <f>+'Cenvalsa industrial'!AC32+Cenval!AC32+'D&amp;M'!N32+Saratur!N32</f>
        <v>0</v>
      </c>
      <c r="Y32" s="2">
        <f>+'Cenvalsa industrial'!AD32+Cenval!AD32+'D&amp;M'!O32+Saratur!O32</f>
        <v>0</v>
      </c>
      <c r="Z32" s="2">
        <f>+'Cenvalsa industrial'!AE32+Cenval!AE32+'D&amp;M'!P32+Saratur!P32</f>
        <v>0</v>
      </c>
      <c r="AA32" s="2">
        <f>+'Cenvalsa industrial'!AF32+Cenval!AF32+'D&amp;M'!Q32+Saratur!Q32</f>
        <v>0</v>
      </c>
      <c r="AB32" s="2">
        <f>+'Cenvalsa industrial'!AG32+Cenval!AG32+'D&amp;M'!R32+Saratur!R32</f>
        <v>0</v>
      </c>
      <c r="AC32" s="2">
        <f>+'Cenvalsa industrial'!AH32+Cenval!AH32+'D&amp;M'!S32+Saratur!S32</f>
        <v>0</v>
      </c>
      <c r="AD32" s="6"/>
    </row>
    <row r="33" spans="1:30" outlineLevel="1" x14ac:dyDescent="0.25">
      <c r="A33" s="1" t="s">
        <v>36</v>
      </c>
      <c r="B33" s="8" t="e">
        <f>+#REF!/#REF!</f>
        <v>#REF!</v>
      </c>
      <c r="C33" s="2" t="e">
        <f>+#REF!/12</f>
        <v>#REF!</v>
      </c>
      <c r="D33" s="2" t="e">
        <f>+#REF!/12</f>
        <v>#REF!</v>
      </c>
      <c r="E33" s="2" t="e">
        <f>+#REF!/12</f>
        <v>#REF!</v>
      </c>
      <c r="F33" s="2" t="e">
        <f>+#REF!/12</f>
        <v>#REF!</v>
      </c>
      <c r="G33" s="2" t="e">
        <f>+#REF!/12</f>
        <v>#REF!</v>
      </c>
      <c r="H33" s="2" t="e">
        <f>+#REF!/12</f>
        <v>#REF!</v>
      </c>
      <c r="I33" s="2" t="e">
        <f>+#REF!/12</f>
        <v>#REF!</v>
      </c>
      <c r="J33" s="2" t="e">
        <f>+#REF!/12</f>
        <v>#REF!</v>
      </c>
      <c r="K33" s="2" t="e">
        <f>+#REF!/12</f>
        <v>#REF!</v>
      </c>
      <c r="L33" s="2" t="e">
        <f>+#REF!/12</f>
        <v>#REF!</v>
      </c>
      <c r="M33" s="2" t="e">
        <f>+#REF!/12</f>
        <v>#REF!</v>
      </c>
      <c r="N33" s="2" t="e">
        <f>+#REF!/12</f>
        <v>#REF!</v>
      </c>
      <c r="O33" s="6" t="e">
        <f t="shared" si="2"/>
        <v>#REF!</v>
      </c>
      <c r="P33" s="24">
        <v>0</v>
      </c>
      <c r="Q33" s="23">
        <f t="shared" si="9"/>
        <v>0</v>
      </c>
      <c r="R33" s="2">
        <f>+'Cenvalsa industrial'!W33+Cenval!W33+'D&amp;M'!H33+Saratur!H33</f>
        <v>-10503.727231666666</v>
      </c>
      <c r="S33" s="2">
        <f>+'Cenvalsa industrial'!X33+Cenval!X33+'D&amp;M'!I33+Saratur!I33</f>
        <v>-14170.393898333332</v>
      </c>
      <c r="T33" s="2">
        <f>+'Cenvalsa industrial'!Y33+Cenval!Y33+'D&amp;M'!J33+Saratur!J33</f>
        <v>-14170.393898333332</v>
      </c>
      <c r="U33" s="2">
        <f>+'Cenvalsa industrial'!Z33+Cenval!Z33+'D&amp;M'!K33+Saratur!K33</f>
        <v>-14170.393898333332</v>
      </c>
      <c r="V33" s="2">
        <f>+'Cenvalsa industrial'!AA33+Cenval!AA33+'D&amp;M'!L33+Saratur!L33</f>
        <v>-14170.393898333332</v>
      </c>
      <c r="W33" s="2">
        <f>+'Cenvalsa industrial'!AB33+Cenval!AB33+'D&amp;M'!M33+Saratur!M33</f>
        <v>-14170.393898333332</v>
      </c>
      <c r="X33" s="2">
        <f>+'Cenvalsa industrial'!AC33+Cenval!AC33+'D&amp;M'!N33+Saratur!N33</f>
        <v>-14170.393898333332</v>
      </c>
      <c r="Y33" s="2">
        <f>+'Cenvalsa industrial'!AD33+Cenval!AD33+'D&amp;M'!O33+Saratur!O33</f>
        <v>-14170.393898333332</v>
      </c>
      <c r="Z33" s="2">
        <f>+'Cenvalsa industrial'!AE33+Cenval!AE33+'D&amp;M'!P33+Saratur!P33</f>
        <v>-14170.393898333332</v>
      </c>
      <c r="AA33" s="2">
        <f>+'Cenvalsa industrial'!AF33+Cenval!AF33+'D&amp;M'!Q33+Saratur!Q33</f>
        <v>-14170.393898333332</v>
      </c>
      <c r="AB33" s="2">
        <f>+'Cenvalsa industrial'!AG33+Cenval!AG33+'D&amp;M'!R33+Saratur!R33</f>
        <v>-14170.393898333332</v>
      </c>
      <c r="AC33" s="2">
        <f>+'Cenvalsa industrial'!AH33+Cenval!AH33+'D&amp;M'!S33+Saratur!S33</f>
        <v>-14170.393898333332</v>
      </c>
      <c r="AD33" s="6">
        <f t="shared" ref="AD33:AD66" si="14">SUM(R33:AC33)</f>
        <v>-166378.06011333334</v>
      </c>
    </row>
    <row r="34" spans="1:30" outlineLevel="1" x14ac:dyDescent="0.25">
      <c r="A34" s="1" t="s">
        <v>37</v>
      </c>
      <c r="B34" s="8" t="e">
        <f>+#REF!/#REF!</f>
        <v>#REF!</v>
      </c>
      <c r="C34" s="2" t="e">
        <f>+#REF!/12</f>
        <v>#REF!</v>
      </c>
      <c r="D34" s="2" t="e">
        <f>+#REF!/12</f>
        <v>#REF!</v>
      </c>
      <c r="E34" s="2" t="e">
        <f>+#REF!/12</f>
        <v>#REF!</v>
      </c>
      <c r="F34" s="2" t="e">
        <f>+#REF!/12</f>
        <v>#REF!</v>
      </c>
      <c r="G34" s="2" t="e">
        <f>+#REF!/12</f>
        <v>#REF!</v>
      </c>
      <c r="H34" s="2" t="e">
        <f>+#REF!/12</f>
        <v>#REF!</v>
      </c>
      <c r="I34" s="2" t="e">
        <f>+#REF!/12</f>
        <v>#REF!</v>
      </c>
      <c r="J34" s="2" t="e">
        <f>+#REF!/12</f>
        <v>#REF!</v>
      </c>
      <c r="K34" s="2" t="e">
        <f>+#REF!/12</f>
        <v>#REF!</v>
      </c>
      <c r="L34" s="2" t="e">
        <f>+#REF!/12</f>
        <v>#REF!</v>
      </c>
      <c r="M34" s="2" t="e">
        <f>+#REF!/12</f>
        <v>#REF!</v>
      </c>
      <c r="N34" s="2" t="e">
        <f>+#REF!/12</f>
        <v>#REF!</v>
      </c>
      <c r="O34" s="6" t="e">
        <f t="shared" si="2"/>
        <v>#REF!</v>
      </c>
      <c r="P34" s="24">
        <v>0</v>
      </c>
      <c r="Q34" s="23">
        <f t="shared" si="9"/>
        <v>0</v>
      </c>
      <c r="R34" s="2">
        <f>+'Cenvalsa industrial'!W34+Cenval!W34+'D&amp;M'!H34+Saratur!H34</f>
        <v>0</v>
      </c>
      <c r="S34" s="2">
        <f>+'Cenvalsa industrial'!X34+Cenval!X34+'D&amp;M'!I34+Saratur!I34</f>
        <v>0</v>
      </c>
      <c r="T34" s="2">
        <f>+'Cenvalsa industrial'!Y34+Cenval!Y34+'D&amp;M'!J34+Saratur!J34</f>
        <v>0</v>
      </c>
      <c r="U34" s="2">
        <f>+'Cenvalsa industrial'!Z34+Cenval!Z34+'D&amp;M'!K34+Saratur!K34</f>
        <v>0</v>
      </c>
      <c r="V34" s="2">
        <f>+'Cenvalsa industrial'!AA34+Cenval!AA34+'D&amp;M'!L34+Saratur!L34</f>
        <v>0</v>
      </c>
      <c r="W34" s="2">
        <f>+'Cenvalsa industrial'!AB34+Cenval!AB34+'D&amp;M'!M34+Saratur!M34</f>
        <v>0</v>
      </c>
      <c r="X34" s="2">
        <f>+'Cenvalsa industrial'!AC34+Cenval!AC34+'D&amp;M'!N34+Saratur!N34</f>
        <v>0</v>
      </c>
      <c r="Y34" s="2">
        <f>+'Cenvalsa industrial'!AD34+Cenval!AD34+'D&amp;M'!O34+Saratur!O34</f>
        <v>0</v>
      </c>
      <c r="Z34" s="2">
        <f>+'Cenvalsa industrial'!AE34+Cenval!AE34+'D&amp;M'!P34+Saratur!P34</f>
        <v>0</v>
      </c>
      <c r="AA34" s="2">
        <f>+'Cenvalsa industrial'!AF34+Cenval!AF34+'D&amp;M'!Q34+Saratur!Q34</f>
        <v>0</v>
      </c>
      <c r="AB34" s="2">
        <f>+'Cenvalsa industrial'!AG34+Cenval!AG34+'D&amp;M'!R34+Saratur!R34</f>
        <v>0</v>
      </c>
      <c r="AC34" s="2">
        <f>+'Cenvalsa industrial'!AH34+Cenval!AH34+'D&amp;M'!S34+Saratur!S34</f>
        <v>0</v>
      </c>
      <c r="AD34" s="6">
        <f t="shared" si="14"/>
        <v>0</v>
      </c>
    </row>
    <row r="35" spans="1:30" outlineLevel="1" x14ac:dyDescent="0.25">
      <c r="A35" s="1" t="s">
        <v>38</v>
      </c>
      <c r="B35" s="8" t="e">
        <f>+#REF!/#REF!</f>
        <v>#REF!</v>
      </c>
      <c r="C35" s="2" t="e">
        <f>+#REF!/12</f>
        <v>#REF!</v>
      </c>
      <c r="D35" s="2" t="e">
        <f>+#REF!/12</f>
        <v>#REF!</v>
      </c>
      <c r="E35" s="2" t="e">
        <f>+#REF!/12</f>
        <v>#REF!</v>
      </c>
      <c r="F35" s="2" t="e">
        <f>+#REF!/12</f>
        <v>#REF!</v>
      </c>
      <c r="G35" s="2" t="e">
        <f>+#REF!/12</f>
        <v>#REF!</v>
      </c>
      <c r="H35" s="2" t="e">
        <f>+#REF!/12</f>
        <v>#REF!</v>
      </c>
      <c r="I35" s="2" t="e">
        <f>+#REF!/12</f>
        <v>#REF!</v>
      </c>
      <c r="J35" s="2" t="e">
        <f>+#REF!/12</f>
        <v>#REF!</v>
      </c>
      <c r="K35" s="2" t="e">
        <f>+#REF!/12</f>
        <v>#REF!</v>
      </c>
      <c r="L35" s="2" t="e">
        <f>+#REF!/12</f>
        <v>#REF!</v>
      </c>
      <c r="M35" s="2" t="e">
        <f>+#REF!/12</f>
        <v>#REF!</v>
      </c>
      <c r="N35" s="2" t="e">
        <f>+#REF!/12</f>
        <v>#REF!</v>
      </c>
      <c r="O35" s="6" t="e">
        <f t="shared" si="2"/>
        <v>#REF!</v>
      </c>
      <c r="P35" s="24">
        <v>0</v>
      </c>
      <c r="Q35" s="23">
        <f t="shared" si="9"/>
        <v>0</v>
      </c>
      <c r="R35" s="2">
        <f>+'Cenvalsa industrial'!W35+Cenval!W35+'D&amp;M'!H35+Saratur!H35</f>
        <v>0</v>
      </c>
      <c r="S35" s="2">
        <f>+'Cenvalsa industrial'!X35+Cenval!X35+'D&amp;M'!I35+Saratur!I35</f>
        <v>0</v>
      </c>
      <c r="T35" s="2">
        <f>+'Cenvalsa industrial'!Y35+Cenval!Y35+'D&amp;M'!J35+Saratur!J35</f>
        <v>0</v>
      </c>
      <c r="U35" s="2">
        <f>+'Cenvalsa industrial'!Z35+Cenval!Z35+'D&amp;M'!K35+Saratur!K35</f>
        <v>0</v>
      </c>
      <c r="V35" s="2">
        <f>+'Cenvalsa industrial'!AA35+Cenval!AA35+'D&amp;M'!L35+Saratur!L35</f>
        <v>0</v>
      </c>
      <c r="W35" s="2">
        <f>+'Cenvalsa industrial'!AB35+Cenval!AB35+'D&amp;M'!M35+Saratur!M35</f>
        <v>0</v>
      </c>
      <c r="X35" s="2">
        <f>+'Cenvalsa industrial'!AC35+Cenval!AC35+'D&amp;M'!N35+Saratur!N35</f>
        <v>0</v>
      </c>
      <c r="Y35" s="2">
        <f>+'Cenvalsa industrial'!AD35+Cenval!AD35+'D&amp;M'!O35+Saratur!O35</f>
        <v>0</v>
      </c>
      <c r="Z35" s="2">
        <f>+'Cenvalsa industrial'!AE35+Cenval!AE35+'D&amp;M'!P35+Saratur!P35</f>
        <v>0</v>
      </c>
      <c r="AA35" s="2">
        <f>+'Cenvalsa industrial'!AF35+Cenval!AF35+'D&amp;M'!Q35+Saratur!Q35</f>
        <v>0</v>
      </c>
      <c r="AB35" s="2">
        <f>+'Cenvalsa industrial'!AG35+Cenval!AG35+'D&amp;M'!R35+Saratur!R35</f>
        <v>0</v>
      </c>
      <c r="AC35" s="2">
        <f>+'Cenvalsa industrial'!AH35+Cenval!AH35+'D&amp;M'!S35+Saratur!S35</f>
        <v>0</v>
      </c>
      <c r="AD35" s="6">
        <f t="shared" si="14"/>
        <v>0</v>
      </c>
    </row>
    <row r="36" spans="1:30" outlineLevel="1" x14ac:dyDescent="0.25">
      <c r="A36" s="1" t="s">
        <v>39</v>
      </c>
      <c r="B36" s="8" t="e">
        <f>+#REF!/#REF!</f>
        <v>#REF!</v>
      </c>
      <c r="C36" s="2" t="e">
        <f>+#REF!/12</f>
        <v>#REF!</v>
      </c>
      <c r="D36" s="2" t="e">
        <f>+#REF!/12</f>
        <v>#REF!</v>
      </c>
      <c r="E36" s="2" t="e">
        <f>+#REF!/12</f>
        <v>#REF!</v>
      </c>
      <c r="F36" s="2" t="e">
        <f>+#REF!/12</f>
        <v>#REF!</v>
      </c>
      <c r="G36" s="2" t="e">
        <f>+#REF!/12</f>
        <v>#REF!</v>
      </c>
      <c r="H36" s="2" t="e">
        <f>+#REF!/12</f>
        <v>#REF!</v>
      </c>
      <c r="I36" s="2" t="e">
        <f>+#REF!/12</f>
        <v>#REF!</v>
      </c>
      <c r="J36" s="2" t="e">
        <f>+#REF!/12</f>
        <v>#REF!</v>
      </c>
      <c r="K36" s="2" t="e">
        <f>+#REF!/12</f>
        <v>#REF!</v>
      </c>
      <c r="L36" s="2" t="e">
        <f>+#REF!/12</f>
        <v>#REF!</v>
      </c>
      <c r="M36" s="2" t="e">
        <f>+#REF!/12</f>
        <v>#REF!</v>
      </c>
      <c r="N36" s="2" t="e">
        <f>+#REF!/12</f>
        <v>#REF!</v>
      </c>
      <c r="O36" s="6" t="e">
        <f t="shared" si="2"/>
        <v>#REF!</v>
      </c>
      <c r="P36" s="24">
        <v>0</v>
      </c>
      <c r="Q36" s="23">
        <f t="shared" si="9"/>
        <v>0</v>
      </c>
      <c r="R36" s="2">
        <f>+'Cenvalsa industrial'!W36+Cenval!W36+'D&amp;M'!H36+Saratur!H36</f>
        <v>-1250</v>
      </c>
      <c r="S36" s="2">
        <f>+'Cenvalsa industrial'!X36+Cenval!X36+'D&amp;M'!I36+Saratur!I36</f>
        <v>-1250</v>
      </c>
      <c r="T36" s="2">
        <f>+'Cenvalsa industrial'!Y36+Cenval!Y36+'D&amp;M'!J36+Saratur!J36</f>
        <v>-1250</v>
      </c>
      <c r="U36" s="2">
        <f>+'Cenvalsa industrial'!Z36+Cenval!Z36+'D&amp;M'!K36+Saratur!K36</f>
        <v>-1250</v>
      </c>
      <c r="V36" s="2">
        <f>+'Cenvalsa industrial'!AA36+Cenval!AA36+'D&amp;M'!L36+Saratur!L36</f>
        <v>-1250</v>
      </c>
      <c r="W36" s="2">
        <f>+'Cenvalsa industrial'!AB36+Cenval!AB36+'D&amp;M'!M36+Saratur!M36</f>
        <v>-1250</v>
      </c>
      <c r="X36" s="2">
        <f>+'Cenvalsa industrial'!AC36+Cenval!AC36+'D&amp;M'!N36+Saratur!N36</f>
        <v>-1250</v>
      </c>
      <c r="Y36" s="2">
        <f>+'Cenvalsa industrial'!AD36+Cenval!AD36+'D&amp;M'!O36+Saratur!O36</f>
        <v>-1250</v>
      </c>
      <c r="Z36" s="2">
        <f>+'Cenvalsa industrial'!AE36+Cenval!AE36+'D&amp;M'!P36+Saratur!P36</f>
        <v>-1250</v>
      </c>
      <c r="AA36" s="2">
        <f>+'Cenvalsa industrial'!AF36+Cenval!AF36+'D&amp;M'!Q36+Saratur!Q36</f>
        <v>-1250</v>
      </c>
      <c r="AB36" s="2">
        <f>+'Cenvalsa industrial'!AG36+Cenval!AG36+'D&amp;M'!R36+Saratur!R36</f>
        <v>-1250</v>
      </c>
      <c r="AC36" s="2">
        <f>+'Cenvalsa industrial'!AH36+Cenval!AH36+'D&amp;M'!S36+Saratur!S36</f>
        <v>-1250</v>
      </c>
      <c r="AD36" s="6">
        <f t="shared" si="14"/>
        <v>-15000</v>
      </c>
    </row>
    <row r="37" spans="1:30" x14ac:dyDescent="0.25">
      <c r="A37" s="5" t="s">
        <v>40</v>
      </c>
      <c r="B37" s="7" t="e">
        <f>+#REF!/#REF!</f>
        <v>#REF!</v>
      </c>
      <c r="C37" s="6" t="e">
        <f>SUM(C38:C121)</f>
        <v>#REF!</v>
      </c>
      <c r="D37" s="6" t="e">
        <f t="shared" ref="D37:N37" si="15">SUM(D38:D121)</f>
        <v>#REF!</v>
      </c>
      <c r="E37" s="6" t="e">
        <f t="shared" si="15"/>
        <v>#REF!</v>
      </c>
      <c r="F37" s="6" t="e">
        <f t="shared" si="15"/>
        <v>#REF!</v>
      </c>
      <c r="G37" s="6" t="e">
        <f t="shared" si="15"/>
        <v>#REF!</v>
      </c>
      <c r="H37" s="6" t="e">
        <f t="shared" si="15"/>
        <v>#REF!</v>
      </c>
      <c r="I37" s="6" t="e">
        <f t="shared" si="15"/>
        <v>#REF!</v>
      </c>
      <c r="J37" s="6" t="e">
        <f t="shared" si="15"/>
        <v>#REF!</v>
      </c>
      <c r="K37" s="6" t="e">
        <f t="shared" si="15"/>
        <v>#REF!</v>
      </c>
      <c r="L37" s="6" t="e">
        <f t="shared" si="15"/>
        <v>#REF!</v>
      </c>
      <c r="M37" s="6" t="e">
        <f t="shared" si="15"/>
        <v>#REF!</v>
      </c>
      <c r="N37" s="6" t="e">
        <f t="shared" si="15"/>
        <v>#REF!</v>
      </c>
      <c r="O37" s="6" t="e">
        <f t="shared" si="2"/>
        <v>#REF!</v>
      </c>
      <c r="P37" s="6">
        <f t="shared" si="3"/>
        <v>-559512.50000000012</v>
      </c>
      <c r="Q37" s="23">
        <f t="shared" si="9"/>
        <v>-3.4659427099062813E-2</v>
      </c>
      <c r="R37" s="6">
        <f>SUM(R38:R121)</f>
        <v>-33872.916666666664</v>
      </c>
      <c r="S37" s="6">
        <f t="shared" ref="S37:AC37" si="16">SUM(S38:S121)</f>
        <v>-47785.416666666664</v>
      </c>
      <c r="T37" s="6">
        <f t="shared" si="16"/>
        <v>-47785.416666666664</v>
      </c>
      <c r="U37" s="6">
        <f t="shared" si="16"/>
        <v>-47785.416666666664</v>
      </c>
      <c r="V37" s="6">
        <f t="shared" si="16"/>
        <v>-47785.416666666664</v>
      </c>
      <c r="W37" s="6">
        <f t="shared" si="16"/>
        <v>-47785.416666666664</v>
      </c>
      <c r="X37" s="6">
        <f t="shared" si="16"/>
        <v>-47785.416666666664</v>
      </c>
      <c r="Y37" s="6">
        <f t="shared" si="16"/>
        <v>-47785.416666666664</v>
      </c>
      <c r="Z37" s="6">
        <f t="shared" si="16"/>
        <v>-47785.416666666664</v>
      </c>
      <c r="AA37" s="6">
        <f t="shared" si="16"/>
        <v>-47785.416666666664</v>
      </c>
      <c r="AB37" s="6">
        <f t="shared" si="16"/>
        <v>-47785.416666666664</v>
      </c>
      <c r="AC37" s="6">
        <f t="shared" si="16"/>
        <v>-47785.416666666664</v>
      </c>
      <c r="AD37" s="6">
        <f t="shared" si="14"/>
        <v>-559512.50000000012</v>
      </c>
    </row>
    <row r="38" spans="1:30" outlineLevel="1" x14ac:dyDescent="0.25">
      <c r="A38" s="10" t="s">
        <v>41</v>
      </c>
      <c r="B38" s="7"/>
      <c r="C38" s="24"/>
      <c r="D38" s="24"/>
      <c r="E38" s="24"/>
      <c r="F38" s="24"/>
      <c r="G38" s="24"/>
      <c r="H38" s="24"/>
      <c r="I38" s="24"/>
      <c r="J38" s="24"/>
      <c r="K38" s="24"/>
      <c r="L38" s="24"/>
      <c r="M38" s="24"/>
      <c r="N38" s="24"/>
      <c r="O38" s="6">
        <f t="shared" si="2"/>
        <v>0</v>
      </c>
      <c r="P38" s="24">
        <v>0</v>
      </c>
      <c r="Q38" s="23">
        <f t="shared" si="9"/>
        <v>0</v>
      </c>
      <c r="R38" s="2">
        <f>+'Cenvalsa industrial'!W38+Cenval!W38+'D&amp;M'!H38+Saratur!H38</f>
        <v>-21783.333333333332</v>
      </c>
      <c r="S38" s="2">
        <f>+'Cenvalsa industrial'!X38+Cenval!X38+'D&amp;M'!I38+Saratur!I38</f>
        <v>-21783.333333333332</v>
      </c>
      <c r="T38" s="2">
        <f>+'Cenvalsa industrial'!Y38+Cenval!Y38+'D&amp;M'!J38+Saratur!J38</f>
        <v>-21783.333333333332</v>
      </c>
      <c r="U38" s="2">
        <f>+'Cenvalsa industrial'!Z38+Cenval!Z38+'D&amp;M'!K38+Saratur!K38</f>
        <v>-21783.333333333332</v>
      </c>
      <c r="V38" s="2">
        <f>+'Cenvalsa industrial'!AA38+Cenval!AA38+'D&amp;M'!L38+Saratur!L38</f>
        <v>-21783.333333333332</v>
      </c>
      <c r="W38" s="2">
        <f>+'Cenvalsa industrial'!AB38+Cenval!AB38+'D&amp;M'!M38+Saratur!M38</f>
        <v>-21783.333333333332</v>
      </c>
      <c r="X38" s="2">
        <f>+'Cenvalsa industrial'!AC38+Cenval!AC38+'D&amp;M'!N38+Saratur!N38</f>
        <v>-21783.333333333332</v>
      </c>
      <c r="Y38" s="2">
        <f>+'Cenvalsa industrial'!AD38+Cenval!AD38+'D&amp;M'!O38+Saratur!O38</f>
        <v>-21783.333333333332</v>
      </c>
      <c r="Z38" s="2">
        <f>+'Cenvalsa industrial'!AE38+Cenval!AE38+'D&amp;M'!P38+Saratur!P38</f>
        <v>-21783.333333333332</v>
      </c>
      <c r="AA38" s="2">
        <f>+'Cenvalsa industrial'!AF38+Cenval!AF38+'D&amp;M'!Q38+Saratur!Q38</f>
        <v>-21783.333333333332</v>
      </c>
      <c r="AB38" s="2">
        <f>+'Cenvalsa industrial'!AG38+Cenval!AG38+'D&amp;M'!R38+Saratur!R38</f>
        <v>-21783.333333333332</v>
      </c>
      <c r="AC38" s="2">
        <f>+'Cenvalsa industrial'!AH38+Cenval!AH38+'D&amp;M'!S38+Saratur!S38</f>
        <v>-21783.333333333332</v>
      </c>
      <c r="AD38" s="6">
        <f t="shared" si="14"/>
        <v>-261400.00000000003</v>
      </c>
    </row>
    <row r="39" spans="1:30" outlineLevel="1" x14ac:dyDescent="0.25">
      <c r="A39" s="1" t="s">
        <v>42</v>
      </c>
      <c r="B39" s="8" t="e">
        <f>+#REF!/#REF!</f>
        <v>#REF!</v>
      </c>
      <c r="C39" s="2" t="e">
        <f>+#REF!/12</f>
        <v>#REF!</v>
      </c>
      <c r="D39" s="2" t="e">
        <f>+#REF!/12</f>
        <v>#REF!</v>
      </c>
      <c r="E39" s="2" t="e">
        <f>+#REF!/12</f>
        <v>#REF!</v>
      </c>
      <c r="F39" s="2" t="e">
        <f>+#REF!/12</f>
        <v>#REF!</v>
      </c>
      <c r="G39" s="2" t="e">
        <f>+#REF!/12</f>
        <v>#REF!</v>
      </c>
      <c r="H39" s="2" t="e">
        <f>+#REF!/12</f>
        <v>#REF!</v>
      </c>
      <c r="I39" s="2" t="e">
        <f>+#REF!/12</f>
        <v>#REF!</v>
      </c>
      <c r="J39" s="2" t="e">
        <f>+#REF!/12</f>
        <v>#REF!</v>
      </c>
      <c r="K39" s="2" t="e">
        <f>+#REF!/12</f>
        <v>#REF!</v>
      </c>
      <c r="L39" s="2" t="e">
        <f>+#REF!/12</f>
        <v>#REF!</v>
      </c>
      <c r="M39" s="2" t="e">
        <f>+#REF!/12</f>
        <v>#REF!</v>
      </c>
      <c r="N39" s="2" t="e">
        <f>+#REF!/12</f>
        <v>#REF!</v>
      </c>
      <c r="O39" s="6" t="e">
        <f t="shared" si="2"/>
        <v>#REF!</v>
      </c>
      <c r="P39" s="24">
        <v>0</v>
      </c>
      <c r="Q39" s="23">
        <f t="shared" si="9"/>
        <v>0</v>
      </c>
      <c r="R39" s="2">
        <f>+'Cenvalsa industrial'!W39+Cenval!W39+'D&amp;M'!H39+Saratur!H39</f>
        <v>0</v>
      </c>
      <c r="S39" s="2">
        <f>+'Cenvalsa industrial'!X39+Cenval!X39+'D&amp;M'!I39+Saratur!I39</f>
        <v>0</v>
      </c>
      <c r="T39" s="2">
        <f>+'Cenvalsa industrial'!Y39+Cenval!Y39+'D&amp;M'!J39+Saratur!J39</f>
        <v>0</v>
      </c>
      <c r="U39" s="2">
        <f>+'Cenvalsa industrial'!Z39+Cenval!Z39+'D&amp;M'!K39+Saratur!K39</f>
        <v>0</v>
      </c>
      <c r="V39" s="2">
        <f>+'Cenvalsa industrial'!AA39+Cenval!AA39+'D&amp;M'!L39+Saratur!L39</f>
        <v>0</v>
      </c>
      <c r="W39" s="2">
        <f>+'Cenvalsa industrial'!AB39+Cenval!AB39+'D&amp;M'!M39+Saratur!M39</f>
        <v>0</v>
      </c>
      <c r="X39" s="2">
        <f>+'Cenvalsa industrial'!AC39+Cenval!AC39+'D&amp;M'!N39+Saratur!N39</f>
        <v>0</v>
      </c>
      <c r="Y39" s="2">
        <f>+'Cenvalsa industrial'!AD39+Cenval!AD39+'D&amp;M'!O39+Saratur!O39</f>
        <v>0</v>
      </c>
      <c r="Z39" s="2">
        <f>+'Cenvalsa industrial'!AE39+Cenval!AE39+'D&amp;M'!P39+Saratur!P39</f>
        <v>0</v>
      </c>
      <c r="AA39" s="2">
        <f>+'Cenvalsa industrial'!AF39+Cenval!AF39+'D&amp;M'!Q39+Saratur!Q39</f>
        <v>0</v>
      </c>
      <c r="AB39" s="2">
        <f>+'Cenvalsa industrial'!AG39+Cenval!AG39+'D&amp;M'!R39+Saratur!R39</f>
        <v>0</v>
      </c>
      <c r="AC39" s="2">
        <f>+'Cenvalsa industrial'!AH39+Cenval!AH39+'D&amp;M'!S39+Saratur!S39</f>
        <v>0</v>
      </c>
      <c r="AD39" s="6">
        <f t="shared" si="14"/>
        <v>0</v>
      </c>
    </row>
    <row r="40" spans="1:30" outlineLevel="1" x14ac:dyDescent="0.25">
      <c r="A40" s="1" t="s">
        <v>43</v>
      </c>
      <c r="B40" s="8" t="e">
        <f>+#REF!/#REF!</f>
        <v>#REF!</v>
      </c>
      <c r="C40" s="2" t="e">
        <f>+#REF!/12</f>
        <v>#REF!</v>
      </c>
      <c r="D40" s="2" t="e">
        <f>+#REF!/12</f>
        <v>#REF!</v>
      </c>
      <c r="E40" s="2" t="e">
        <f>+#REF!/12</f>
        <v>#REF!</v>
      </c>
      <c r="F40" s="2" t="e">
        <f>+#REF!/12</f>
        <v>#REF!</v>
      </c>
      <c r="G40" s="2" t="e">
        <f>+#REF!/12</f>
        <v>#REF!</v>
      </c>
      <c r="H40" s="2" t="e">
        <f>+#REF!/12</f>
        <v>#REF!</v>
      </c>
      <c r="I40" s="2" t="e">
        <f>+#REF!/12</f>
        <v>#REF!</v>
      </c>
      <c r="J40" s="2" t="e">
        <f>+#REF!/12</f>
        <v>#REF!</v>
      </c>
      <c r="K40" s="2" t="e">
        <f>+#REF!/12</f>
        <v>#REF!</v>
      </c>
      <c r="L40" s="2" t="e">
        <f>+#REF!/12</f>
        <v>#REF!</v>
      </c>
      <c r="M40" s="2" t="e">
        <f>+#REF!/12</f>
        <v>#REF!</v>
      </c>
      <c r="N40" s="2" t="e">
        <f>+#REF!/12</f>
        <v>#REF!</v>
      </c>
      <c r="O40" s="6" t="e">
        <f t="shared" si="2"/>
        <v>#REF!</v>
      </c>
      <c r="P40" s="24">
        <v>0</v>
      </c>
      <c r="Q40" s="23">
        <f t="shared" si="9"/>
        <v>0</v>
      </c>
      <c r="R40" s="2">
        <f>+'Cenvalsa industrial'!W40+Cenval!W40+'D&amp;M'!H40+Saratur!H40</f>
        <v>0</v>
      </c>
      <c r="S40" s="2">
        <f>+'Cenvalsa industrial'!X40+Cenval!X40+'D&amp;M'!I40+Saratur!I40</f>
        <v>0</v>
      </c>
      <c r="T40" s="2">
        <f>+'Cenvalsa industrial'!Y40+Cenval!Y40+'D&amp;M'!J40+Saratur!J40</f>
        <v>0</v>
      </c>
      <c r="U40" s="2">
        <f>+'Cenvalsa industrial'!Z40+Cenval!Z40+'D&amp;M'!K40+Saratur!K40</f>
        <v>0</v>
      </c>
      <c r="V40" s="2">
        <f>+'Cenvalsa industrial'!AA40+Cenval!AA40+'D&amp;M'!L40+Saratur!L40</f>
        <v>0</v>
      </c>
      <c r="W40" s="2">
        <f>+'Cenvalsa industrial'!AB40+Cenval!AB40+'D&amp;M'!M40+Saratur!M40</f>
        <v>0</v>
      </c>
      <c r="X40" s="2">
        <f>+'Cenvalsa industrial'!AC40+Cenval!AC40+'D&amp;M'!N40+Saratur!N40</f>
        <v>0</v>
      </c>
      <c r="Y40" s="2">
        <f>+'Cenvalsa industrial'!AD40+Cenval!AD40+'D&amp;M'!O40+Saratur!O40</f>
        <v>0</v>
      </c>
      <c r="Z40" s="2">
        <f>+'Cenvalsa industrial'!AE40+Cenval!AE40+'D&amp;M'!P40+Saratur!P40</f>
        <v>0</v>
      </c>
      <c r="AA40" s="2">
        <f>+'Cenvalsa industrial'!AF40+Cenval!AF40+'D&amp;M'!Q40+Saratur!Q40</f>
        <v>0</v>
      </c>
      <c r="AB40" s="2">
        <f>+'Cenvalsa industrial'!AG40+Cenval!AG40+'D&amp;M'!R40+Saratur!R40</f>
        <v>0</v>
      </c>
      <c r="AC40" s="2">
        <f>+'Cenvalsa industrial'!AH40+Cenval!AH40+'D&amp;M'!S40+Saratur!S40</f>
        <v>0</v>
      </c>
      <c r="AD40" s="6">
        <f t="shared" si="14"/>
        <v>0</v>
      </c>
    </row>
    <row r="41" spans="1:30" outlineLevel="1" x14ac:dyDescent="0.25">
      <c r="A41" s="1" t="s">
        <v>44</v>
      </c>
      <c r="B41" s="8" t="e">
        <f>+#REF!/#REF!</f>
        <v>#REF!</v>
      </c>
      <c r="C41" s="2" t="e">
        <f>+#REF!/12</f>
        <v>#REF!</v>
      </c>
      <c r="D41" s="2" t="e">
        <f>+#REF!/12</f>
        <v>#REF!</v>
      </c>
      <c r="E41" s="2" t="e">
        <f>+#REF!/12</f>
        <v>#REF!</v>
      </c>
      <c r="F41" s="2" t="e">
        <f>+#REF!/12</f>
        <v>#REF!</v>
      </c>
      <c r="G41" s="2" t="e">
        <f>+#REF!/12</f>
        <v>#REF!</v>
      </c>
      <c r="H41" s="2" t="e">
        <f>+#REF!/12</f>
        <v>#REF!</v>
      </c>
      <c r="I41" s="2" t="e">
        <f>+#REF!/12</f>
        <v>#REF!</v>
      </c>
      <c r="J41" s="2" t="e">
        <f>+#REF!/12</f>
        <v>#REF!</v>
      </c>
      <c r="K41" s="2" t="e">
        <f>+#REF!/12</f>
        <v>#REF!</v>
      </c>
      <c r="L41" s="2" t="e">
        <f>+#REF!/12</f>
        <v>#REF!</v>
      </c>
      <c r="M41" s="2" t="e">
        <f>+#REF!/12</f>
        <v>#REF!</v>
      </c>
      <c r="N41" s="2" t="e">
        <f>+#REF!/12</f>
        <v>#REF!</v>
      </c>
      <c r="O41" s="6" t="e">
        <f t="shared" si="2"/>
        <v>#REF!</v>
      </c>
      <c r="P41" s="24">
        <v>0</v>
      </c>
      <c r="Q41" s="23">
        <f t="shared" si="9"/>
        <v>0</v>
      </c>
      <c r="R41" s="2">
        <f>+'Cenvalsa industrial'!W41+Cenval!W41+'D&amp;M'!H41+Saratur!H41</f>
        <v>0</v>
      </c>
      <c r="S41" s="2">
        <f>+'Cenvalsa industrial'!X41+Cenval!X41+'D&amp;M'!I41+Saratur!I41</f>
        <v>0</v>
      </c>
      <c r="T41" s="2">
        <f>+'Cenvalsa industrial'!Y41+Cenval!Y41+'D&amp;M'!J41+Saratur!J41</f>
        <v>0</v>
      </c>
      <c r="U41" s="2">
        <f>+'Cenvalsa industrial'!Z41+Cenval!Z41+'D&amp;M'!K41+Saratur!K41</f>
        <v>0</v>
      </c>
      <c r="V41" s="2">
        <f>+'Cenvalsa industrial'!AA41+Cenval!AA41+'D&amp;M'!L41+Saratur!L41</f>
        <v>0</v>
      </c>
      <c r="W41" s="2">
        <f>+'Cenvalsa industrial'!AB41+Cenval!AB41+'D&amp;M'!M41+Saratur!M41</f>
        <v>0</v>
      </c>
      <c r="X41" s="2">
        <f>+'Cenvalsa industrial'!AC41+Cenval!AC41+'D&amp;M'!N41+Saratur!N41</f>
        <v>0</v>
      </c>
      <c r="Y41" s="2">
        <f>+'Cenvalsa industrial'!AD41+Cenval!AD41+'D&amp;M'!O41+Saratur!O41</f>
        <v>0</v>
      </c>
      <c r="Z41" s="2">
        <f>+'Cenvalsa industrial'!AE41+Cenval!AE41+'D&amp;M'!P41+Saratur!P41</f>
        <v>0</v>
      </c>
      <c r="AA41" s="2">
        <f>+'Cenvalsa industrial'!AF41+Cenval!AF41+'D&amp;M'!Q41+Saratur!Q41</f>
        <v>0</v>
      </c>
      <c r="AB41" s="2">
        <f>+'Cenvalsa industrial'!AG41+Cenval!AG41+'D&amp;M'!R41+Saratur!R41</f>
        <v>0</v>
      </c>
      <c r="AC41" s="2">
        <f>+'Cenvalsa industrial'!AH41+Cenval!AH41+'D&amp;M'!S41+Saratur!S41</f>
        <v>0</v>
      </c>
      <c r="AD41" s="6">
        <f t="shared" si="14"/>
        <v>0</v>
      </c>
    </row>
    <row r="42" spans="1:30" outlineLevel="1" x14ac:dyDescent="0.25">
      <c r="A42" s="1" t="s">
        <v>45</v>
      </c>
      <c r="B42" s="8" t="e">
        <f>+#REF!/#REF!</f>
        <v>#REF!</v>
      </c>
      <c r="C42" s="2" t="e">
        <f>+#REF!/12</f>
        <v>#REF!</v>
      </c>
      <c r="D42" s="2" t="e">
        <f>+#REF!/12</f>
        <v>#REF!</v>
      </c>
      <c r="E42" s="2" t="e">
        <f>+#REF!/12</f>
        <v>#REF!</v>
      </c>
      <c r="F42" s="2" t="e">
        <f>+#REF!/12</f>
        <v>#REF!</v>
      </c>
      <c r="G42" s="2" t="e">
        <f>+#REF!/12</f>
        <v>#REF!</v>
      </c>
      <c r="H42" s="2" t="e">
        <f>+#REF!/12</f>
        <v>#REF!</v>
      </c>
      <c r="I42" s="2" t="e">
        <f>+#REF!/12</f>
        <v>#REF!</v>
      </c>
      <c r="J42" s="2" t="e">
        <f>+#REF!/12</f>
        <v>#REF!</v>
      </c>
      <c r="K42" s="2" t="e">
        <f>+#REF!/12</f>
        <v>#REF!</v>
      </c>
      <c r="L42" s="2" t="e">
        <f>+#REF!/12</f>
        <v>#REF!</v>
      </c>
      <c r="M42" s="2" t="e">
        <f>+#REF!/12</f>
        <v>#REF!</v>
      </c>
      <c r="N42" s="2" t="e">
        <f>+#REF!/12</f>
        <v>#REF!</v>
      </c>
      <c r="O42" s="6" t="e">
        <f t="shared" si="2"/>
        <v>#REF!</v>
      </c>
      <c r="P42" s="24">
        <v>0</v>
      </c>
      <c r="Q42" s="23">
        <f t="shared" si="9"/>
        <v>0</v>
      </c>
      <c r="R42" s="2">
        <f>+'Cenvalsa industrial'!W42+Cenval!W42+'D&amp;M'!H42+Saratur!H42</f>
        <v>0</v>
      </c>
      <c r="S42" s="2">
        <f>+'Cenvalsa industrial'!X42+Cenval!X42+'D&amp;M'!I42+Saratur!I42</f>
        <v>0</v>
      </c>
      <c r="T42" s="2">
        <f>+'Cenvalsa industrial'!Y42+Cenval!Y42+'D&amp;M'!J42+Saratur!J42</f>
        <v>0</v>
      </c>
      <c r="U42" s="2">
        <f>+'Cenvalsa industrial'!Z42+Cenval!Z42+'D&amp;M'!K42+Saratur!K42</f>
        <v>0</v>
      </c>
      <c r="V42" s="2">
        <f>+'Cenvalsa industrial'!AA42+Cenval!AA42+'D&amp;M'!L42+Saratur!L42</f>
        <v>0</v>
      </c>
      <c r="W42" s="2">
        <f>+'Cenvalsa industrial'!AB42+Cenval!AB42+'D&amp;M'!M42+Saratur!M42</f>
        <v>0</v>
      </c>
      <c r="X42" s="2">
        <f>+'Cenvalsa industrial'!AC42+Cenval!AC42+'D&amp;M'!N42+Saratur!N42</f>
        <v>0</v>
      </c>
      <c r="Y42" s="2">
        <f>+'Cenvalsa industrial'!AD42+Cenval!AD42+'D&amp;M'!O42+Saratur!O42</f>
        <v>0</v>
      </c>
      <c r="Z42" s="2">
        <f>+'Cenvalsa industrial'!AE42+Cenval!AE42+'D&amp;M'!P42+Saratur!P42</f>
        <v>0</v>
      </c>
      <c r="AA42" s="2">
        <f>+'Cenvalsa industrial'!AF42+Cenval!AF42+'D&amp;M'!Q42+Saratur!Q42</f>
        <v>0</v>
      </c>
      <c r="AB42" s="2">
        <f>+'Cenvalsa industrial'!AG42+Cenval!AG42+'D&amp;M'!R42+Saratur!R42</f>
        <v>0</v>
      </c>
      <c r="AC42" s="2">
        <f>+'Cenvalsa industrial'!AH42+Cenval!AH42+'D&amp;M'!S42+Saratur!S42</f>
        <v>0</v>
      </c>
      <c r="AD42" s="6">
        <f t="shared" si="14"/>
        <v>0</v>
      </c>
    </row>
    <row r="43" spans="1:30" outlineLevel="1" x14ac:dyDescent="0.25">
      <c r="A43" s="1" t="s">
        <v>46</v>
      </c>
      <c r="B43" s="8" t="e">
        <f>+#REF!/#REF!</f>
        <v>#REF!</v>
      </c>
      <c r="C43" s="2" t="e">
        <f>+#REF!/12</f>
        <v>#REF!</v>
      </c>
      <c r="D43" s="2" t="e">
        <f>+#REF!/12</f>
        <v>#REF!</v>
      </c>
      <c r="E43" s="2" t="e">
        <f>+#REF!/12</f>
        <v>#REF!</v>
      </c>
      <c r="F43" s="2" t="e">
        <f>+#REF!/12</f>
        <v>#REF!</v>
      </c>
      <c r="G43" s="2" t="e">
        <f>+#REF!/12</f>
        <v>#REF!</v>
      </c>
      <c r="H43" s="2" t="e">
        <f>+#REF!/12</f>
        <v>#REF!</v>
      </c>
      <c r="I43" s="2" t="e">
        <f>+#REF!/12</f>
        <v>#REF!</v>
      </c>
      <c r="J43" s="2" t="e">
        <f>+#REF!/12</f>
        <v>#REF!</v>
      </c>
      <c r="K43" s="2" t="e">
        <f>+#REF!/12</f>
        <v>#REF!</v>
      </c>
      <c r="L43" s="2" t="e">
        <f>+#REF!/12</f>
        <v>#REF!</v>
      </c>
      <c r="M43" s="2" t="e">
        <f>+#REF!/12</f>
        <v>#REF!</v>
      </c>
      <c r="N43" s="2" t="e">
        <f>+#REF!/12</f>
        <v>#REF!</v>
      </c>
      <c r="O43" s="6" t="e">
        <f t="shared" si="2"/>
        <v>#REF!</v>
      </c>
      <c r="P43" s="24">
        <v>0</v>
      </c>
      <c r="Q43" s="23">
        <f t="shared" si="9"/>
        <v>0</v>
      </c>
      <c r="R43" s="2">
        <f>+'Cenvalsa industrial'!W43+Cenval!W43+'D&amp;M'!H43+Saratur!H43</f>
        <v>0</v>
      </c>
      <c r="S43" s="2">
        <f>+'Cenvalsa industrial'!X43+Cenval!X43+'D&amp;M'!I43+Saratur!I43</f>
        <v>0</v>
      </c>
      <c r="T43" s="2">
        <f>+'Cenvalsa industrial'!Y43+Cenval!Y43+'D&amp;M'!J43+Saratur!J43</f>
        <v>0</v>
      </c>
      <c r="U43" s="2">
        <f>+'Cenvalsa industrial'!Z43+Cenval!Z43+'D&amp;M'!K43+Saratur!K43</f>
        <v>0</v>
      </c>
      <c r="V43" s="2">
        <f>+'Cenvalsa industrial'!AA43+Cenval!AA43+'D&amp;M'!L43+Saratur!L43</f>
        <v>0</v>
      </c>
      <c r="W43" s="2">
        <f>+'Cenvalsa industrial'!AB43+Cenval!AB43+'D&amp;M'!M43+Saratur!M43</f>
        <v>0</v>
      </c>
      <c r="X43" s="2">
        <f>+'Cenvalsa industrial'!AC43+Cenval!AC43+'D&amp;M'!N43+Saratur!N43</f>
        <v>0</v>
      </c>
      <c r="Y43" s="2">
        <f>+'Cenvalsa industrial'!AD43+Cenval!AD43+'D&amp;M'!O43+Saratur!O43</f>
        <v>0</v>
      </c>
      <c r="Z43" s="2">
        <f>+'Cenvalsa industrial'!AE43+Cenval!AE43+'D&amp;M'!P43+Saratur!P43</f>
        <v>0</v>
      </c>
      <c r="AA43" s="2">
        <f>+'Cenvalsa industrial'!AF43+Cenval!AF43+'D&amp;M'!Q43+Saratur!Q43</f>
        <v>0</v>
      </c>
      <c r="AB43" s="2">
        <f>+'Cenvalsa industrial'!AG43+Cenval!AG43+'D&amp;M'!R43+Saratur!R43</f>
        <v>0</v>
      </c>
      <c r="AC43" s="2">
        <f>+'Cenvalsa industrial'!AH43+Cenval!AH43+'D&amp;M'!S43+Saratur!S43</f>
        <v>0</v>
      </c>
      <c r="AD43" s="6">
        <f t="shared" si="14"/>
        <v>0</v>
      </c>
    </row>
    <row r="44" spans="1:30" outlineLevel="1" x14ac:dyDescent="0.25">
      <c r="A44" s="9" t="s">
        <v>47</v>
      </c>
      <c r="B44" s="8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6">
        <f t="shared" si="2"/>
        <v>0</v>
      </c>
      <c r="P44" s="24">
        <v>0</v>
      </c>
      <c r="Q44" s="23">
        <f t="shared" si="9"/>
        <v>0</v>
      </c>
      <c r="R44" s="2">
        <f>+'Cenvalsa industrial'!W44+Cenval!W44+'D&amp;M'!H44+Saratur!H44</f>
        <v>0</v>
      </c>
      <c r="S44" s="2">
        <f>+'Cenvalsa industrial'!X44+Cenval!X44+'D&amp;M'!I44+Saratur!I44</f>
        <v>0</v>
      </c>
      <c r="T44" s="2">
        <f>+'Cenvalsa industrial'!Y44+Cenval!Y44+'D&amp;M'!J44+Saratur!J44</f>
        <v>0</v>
      </c>
      <c r="U44" s="2">
        <f>+'Cenvalsa industrial'!Z44+Cenval!Z44+'D&amp;M'!K44+Saratur!K44</f>
        <v>0</v>
      </c>
      <c r="V44" s="2">
        <f>+'Cenvalsa industrial'!AA44+Cenval!AA44+'D&amp;M'!L44+Saratur!L44</f>
        <v>0</v>
      </c>
      <c r="W44" s="2">
        <f>+'Cenvalsa industrial'!AB44+Cenval!AB44+'D&amp;M'!M44+Saratur!M44</f>
        <v>0</v>
      </c>
      <c r="X44" s="2">
        <f>+'Cenvalsa industrial'!AC44+Cenval!AC44+'D&amp;M'!N44+Saratur!N44</f>
        <v>0</v>
      </c>
      <c r="Y44" s="2">
        <f>+'Cenvalsa industrial'!AD44+Cenval!AD44+'D&amp;M'!O44+Saratur!O44</f>
        <v>0</v>
      </c>
      <c r="Z44" s="2">
        <f>+'Cenvalsa industrial'!AE44+Cenval!AE44+'D&amp;M'!P44+Saratur!P44</f>
        <v>0</v>
      </c>
      <c r="AA44" s="2">
        <f>+'Cenvalsa industrial'!AF44+Cenval!AF44+'D&amp;M'!Q44+Saratur!Q44</f>
        <v>0</v>
      </c>
      <c r="AB44" s="2">
        <f>+'Cenvalsa industrial'!AG44+Cenval!AG44+'D&amp;M'!R44+Saratur!R44</f>
        <v>0</v>
      </c>
      <c r="AC44" s="2">
        <f>+'Cenvalsa industrial'!AH44+Cenval!AH44+'D&amp;M'!S44+Saratur!S44</f>
        <v>0</v>
      </c>
      <c r="AD44" s="6">
        <f t="shared" si="14"/>
        <v>0</v>
      </c>
    </row>
    <row r="45" spans="1:30" outlineLevel="1" x14ac:dyDescent="0.25">
      <c r="A45" s="9" t="s">
        <v>48</v>
      </c>
      <c r="B45" s="8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6">
        <f t="shared" si="2"/>
        <v>0</v>
      </c>
      <c r="P45" s="24">
        <v>0</v>
      </c>
      <c r="Q45" s="23">
        <f t="shared" si="9"/>
        <v>0</v>
      </c>
      <c r="R45" s="2">
        <f>+'Cenvalsa industrial'!W45+Cenval!W45+'D&amp;M'!H45+Saratur!H45</f>
        <v>0</v>
      </c>
      <c r="S45" s="2">
        <f>+'Cenvalsa industrial'!X45+Cenval!X45+'D&amp;M'!I45+Saratur!I45</f>
        <v>0</v>
      </c>
      <c r="T45" s="2">
        <f>+'Cenvalsa industrial'!Y45+Cenval!Y45+'D&amp;M'!J45+Saratur!J45</f>
        <v>0</v>
      </c>
      <c r="U45" s="2">
        <f>+'Cenvalsa industrial'!Z45+Cenval!Z45+'D&amp;M'!K45+Saratur!K45</f>
        <v>0</v>
      </c>
      <c r="V45" s="2">
        <f>+'Cenvalsa industrial'!AA45+Cenval!AA45+'D&amp;M'!L45+Saratur!L45</f>
        <v>0</v>
      </c>
      <c r="W45" s="2">
        <f>+'Cenvalsa industrial'!AB45+Cenval!AB45+'D&amp;M'!M45+Saratur!M45</f>
        <v>0</v>
      </c>
      <c r="X45" s="2">
        <f>+'Cenvalsa industrial'!AC45+Cenval!AC45+'D&amp;M'!N45+Saratur!N45</f>
        <v>0</v>
      </c>
      <c r="Y45" s="2">
        <f>+'Cenvalsa industrial'!AD45+Cenval!AD45+'D&amp;M'!O45+Saratur!O45</f>
        <v>0</v>
      </c>
      <c r="Z45" s="2">
        <f>+'Cenvalsa industrial'!AE45+Cenval!AE45+'D&amp;M'!P45+Saratur!P45</f>
        <v>0</v>
      </c>
      <c r="AA45" s="2">
        <f>+'Cenvalsa industrial'!AF45+Cenval!AF45+'D&amp;M'!Q45+Saratur!Q45</f>
        <v>0</v>
      </c>
      <c r="AB45" s="2">
        <f>+'Cenvalsa industrial'!AG45+Cenval!AG45+'D&amp;M'!R45+Saratur!R45</f>
        <v>0</v>
      </c>
      <c r="AC45" s="2">
        <f>+'Cenvalsa industrial'!AH45+Cenval!AH45+'D&amp;M'!S45+Saratur!S45</f>
        <v>0</v>
      </c>
      <c r="AD45" s="6">
        <f t="shared" si="14"/>
        <v>0</v>
      </c>
    </row>
    <row r="46" spans="1:30" outlineLevel="1" x14ac:dyDescent="0.25">
      <c r="A46" s="9" t="s">
        <v>49</v>
      </c>
      <c r="B46" s="8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6">
        <f t="shared" si="2"/>
        <v>0</v>
      </c>
      <c r="P46" s="24">
        <v>0</v>
      </c>
      <c r="Q46" s="23">
        <f t="shared" si="9"/>
        <v>0</v>
      </c>
      <c r="R46" s="2">
        <f>+'Cenvalsa industrial'!W46+Cenval!W46+'D&amp;M'!H46+Saratur!H46</f>
        <v>-1250</v>
      </c>
      <c r="S46" s="2">
        <f>+'Cenvalsa industrial'!X46+Cenval!X46+'D&amp;M'!I46+Saratur!I46</f>
        <v>-2133.3333333333335</v>
      </c>
      <c r="T46" s="2">
        <f>+'Cenvalsa industrial'!Y46+Cenval!Y46+'D&amp;M'!J46+Saratur!J46</f>
        <v>-2133.3333333333335</v>
      </c>
      <c r="U46" s="2">
        <f>+'Cenvalsa industrial'!Z46+Cenval!Z46+'D&amp;M'!K46+Saratur!K46</f>
        <v>-2133.3333333333335</v>
      </c>
      <c r="V46" s="2">
        <f>+'Cenvalsa industrial'!AA46+Cenval!AA46+'D&amp;M'!L46+Saratur!L46</f>
        <v>-2133.3333333333335</v>
      </c>
      <c r="W46" s="2">
        <f>+'Cenvalsa industrial'!AB46+Cenval!AB46+'D&amp;M'!M46+Saratur!M46</f>
        <v>-2133.3333333333335</v>
      </c>
      <c r="X46" s="2">
        <f>+'Cenvalsa industrial'!AC46+Cenval!AC46+'D&amp;M'!N46+Saratur!N46</f>
        <v>-2133.3333333333335</v>
      </c>
      <c r="Y46" s="2">
        <f>+'Cenvalsa industrial'!AD46+Cenval!AD46+'D&amp;M'!O46+Saratur!O46</f>
        <v>-2133.3333333333335</v>
      </c>
      <c r="Z46" s="2">
        <f>+'Cenvalsa industrial'!AE46+Cenval!AE46+'D&amp;M'!P46+Saratur!P46</f>
        <v>-2133.3333333333335</v>
      </c>
      <c r="AA46" s="2">
        <f>+'Cenvalsa industrial'!AF46+Cenval!AF46+'D&amp;M'!Q46+Saratur!Q46</f>
        <v>-2133.3333333333335</v>
      </c>
      <c r="AB46" s="2">
        <f>+'Cenvalsa industrial'!AG46+Cenval!AG46+'D&amp;M'!R46+Saratur!R46</f>
        <v>-2133.3333333333335</v>
      </c>
      <c r="AC46" s="2">
        <f>+'Cenvalsa industrial'!AH46+Cenval!AH46+'D&amp;M'!S46+Saratur!S46</f>
        <v>-2133.3333333333335</v>
      </c>
      <c r="AD46" s="6">
        <f t="shared" si="14"/>
        <v>-24716.666666666664</v>
      </c>
    </row>
    <row r="47" spans="1:30" outlineLevel="1" x14ac:dyDescent="0.25">
      <c r="A47" s="9" t="s">
        <v>50</v>
      </c>
      <c r="B47" s="8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6">
        <f t="shared" si="2"/>
        <v>0</v>
      </c>
      <c r="P47" s="24">
        <v>0</v>
      </c>
      <c r="Q47" s="23">
        <f t="shared" si="9"/>
        <v>0</v>
      </c>
      <c r="R47" s="2">
        <f>+'Cenvalsa industrial'!W47+Cenval!W47+'D&amp;M'!H47+Saratur!H47</f>
        <v>0</v>
      </c>
      <c r="S47" s="2">
        <f>+'Cenvalsa industrial'!X47+Cenval!X47+'D&amp;M'!I47+Saratur!I47</f>
        <v>0</v>
      </c>
      <c r="T47" s="2">
        <f>+'Cenvalsa industrial'!Y47+Cenval!Y47+'D&amp;M'!J47+Saratur!J47</f>
        <v>0</v>
      </c>
      <c r="U47" s="2">
        <f>+'Cenvalsa industrial'!Z47+Cenval!Z47+'D&amp;M'!K47+Saratur!K47</f>
        <v>0</v>
      </c>
      <c r="V47" s="2">
        <f>+'Cenvalsa industrial'!AA47+Cenval!AA47+'D&amp;M'!L47+Saratur!L47</f>
        <v>0</v>
      </c>
      <c r="W47" s="2">
        <f>+'Cenvalsa industrial'!AB47+Cenval!AB47+'D&amp;M'!M47+Saratur!M47</f>
        <v>0</v>
      </c>
      <c r="X47" s="2">
        <f>+'Cenvalsa industrial'!AC47+Cenval!AC47+'D&amp;M'!N47+Saratur!N47</f>
        <v>0</v>
      </c>
      <c r="Y47" s="2">
        <f>+'Cenvalsa industrial'!AD47+Cenval!AD47+'D&amp;M'!O47+Saratur!O47</f>
        <v>0</v>
      </c>
      <c r="Z47" s="2">
        <f>+'Cenvalsa industrial'!AE47+Cenval!AE47+'D&amp;M'!P47+Saratur!P47</f>
        <v>0</v>
      </c>
      <c r="AA47" s="2">
        <f>+'Cenvalsa industrial'!AF47+Cenval!AF47+'D&amp;M'!Q47+Saratur!Q47</f>
        <v>0</v>
      </c>
      <c r="AB47" s="2">
        <f>+'Cenvalsa industrial'!AG47+Cenval!AG47+'D&amp;M'!R47+Saratur!R47</f>
        <v>0</v>
      </c>
      <c r="AC47" s="2">
        <f>+'Cenvalsa industrial'!AH47+Cenval!AH47+'D&amp;M'!S47+Saratur!S47</f>
        <v>0</v>
      </c>
      <c r="AD47" s="6">
        <f t="shared" si="14"/>
        <v>0</v>
      </c>
    </row>
    <row r="48" spans="1:30" outlineLevel="1" x14ac:dyDescent="0.25">
      <c r="A48" s="9" t="s">
        <v>51</v>
      </c>
      <c r="B48" s="8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6">
        <f t="shared" si="2"/>
        <v>0</v>
      </c>
      <c r="P48" s="24">
        <v>0</v>
      </c>
      <c r="Q48" s="23">
        <f t="shared" si="9"/>
        <v>0</v>
      </c>
      <c r="R48" s="2">
        <f>+'Cenvalsa industrial'!W48+Cenval!W48+'D&amp;M'!H48+Saratur!H48</f>
        <v>0</v>
      </c>
      <c r="S48" s="2">
        <f>+'Cenvalsa industrial'!X48+Cenval!X48+'D&amp;M'!I48+Saratur!I48</f>
        <v>0</v>
      </c>
      <c r="T48" s="2">
        <f>+'Cenvalsa industrial'!Y48+Cenval!Y48+'D&amp;M'!J48+Saratur!J48</f>
        <v>0</v>
      </c>
      <c r="U48" s="2">
        <f>+'Cenvalsa industrial'!Z48+Cenval!Z48+'D&amp;M'!K48+Saratur!K48</f>
        <v>0</v>
      </c>
      <c r="V48" s="2">
        <f>+'Cenvalsa industrial'!AA48+Cenval!AA48+'D&amp;M'!L48+Saratur!L48</f>
        <v>0</v>
      </c>
      <c r="W48" s="2">
        <f>+'Cenvalsa industrial'!AB48+Cenval!AB48+'D&amp;M'!M48+Saratur!M48</f>
        <v>0</v>
      </c>
      <c r="X48" s="2">
        <f>+'Cenvalsa industrial'!AC48+Cenval!AC48+'D&amp;M'!N48+Saratur!N48</f>
        <v>0</v>
      </c>
      <c r="Y48" s="2">
        <f>+'Cenvalsa industrial'!AD48+Cenval!AD48+'D&amp;M'!O48+Saratur!O48</f>
        <v>0</v>
      </c>
      <c r="Z48" s="2">
        <f>+'Cenvalsa industrial'!AE48+Cenval!AE48+'D&amp;M'!P48+Saratur!P48</f>
        <v>0</v>
      </c>
      <c r="AA48" s="2">
        <f>+'Cenvalsa industrial'!AF48+Cenval!AF48+'D&amp;M'!Q48+Saratur!Q48</f>
        <v>0</v>
      </c>
      <c r="AB48" s="2">
        <f>+'Cenvalsa industrial'!AG48+Cenval!AG48+'D&amp;M'!R48+Saratur!R48</f>
        <v>0</v>
      </c>
      <c r="AC48" s="2">
        <f>+'Cenvalsa industrial'!AH48+Cenval!AH48+'D&amp;M'!S48+Saratur!S48</f>
        <v>0</v>
      </c>
      <c r="AD48" s="6">
        <f t="shared" si="14"/>
        <v>0</v>
      </c>
    </row>
    <row r="49" spans="1:30" outlineLevel="1" x14ac:dyDescent="0.25">
      <c r="A49" s="10" t="s">
        <v>52</v>
      </c>
      <c r="B49" s="8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6">
        <f t="shared" si="2"/>
        <v>0</v>
      </c>
      <c r="P49" s="24">
        <v>0</v>
      </c>
      <c r="Q49" s="23">
        <f t="shared" si="9"/>
        <v>0</v>
      </c>
      <c r="R49" s="2">
        <f>+'Cenvalsa industrial'!W49+Cenval!W49+'D&amp;M'!H49+Saratur!H49</f>
        <v>-5000</v>
      </c>
      <c r="S49" s="2">
        <f>+'Cenvalsa industrial'!X49+Cenval!X49+'D&amp;M'!I49+Saratur!I49</f>
        <v>-5000</v>
      </c>
      <c r="T49" s="2">
        <f>+'Cenvalsa industrial'!Y49+Cenval!Y49+'D&amp;M'!J49+Saratur!J49</f>
        <v>-5000</v>
      </c>
      <c r="U49" s="2">
        <f>+'Cenvalsa industrial'!Z49+Cenval!Z49+'D&amp;M'!K49+Saratur!K49</f>
        <v>-5000</v>
      </c>
      <c r="V49" s="2">
        <f>+'Cenvalsa industrial'!AA49+Cenval!AA49+'D&amp;M'!L49+Saratur!L49</f>
        <v>-5000</v>
      </c>
      <c r="W49" s="2">
        <f>+'Cenvalsa industrial'!AB49+Cenval!AB49+'D&amp;M'!M49+Saratur!M49</f>
        <v>-5000</v>
      </c>
      <c r="X49" s="2">
        <f>+'Cenvalsa industrial'!AC49+Cenval!AC49+'D&amp;M'!N49+Saratur!N49</f>
        <v>-5000</v>
      </c>
      <c r="Y49" s="2">
        <f>+'Cenvalsa industrial'!AD49+Cenval!AD49+'D&amp;M'!O49+Saratur!O49</f>
        <v>-5000</v>
      </c>
      <c r="Z49" s="2">
        <f>+'Cenvalsa industrial'!AE49+Cenval!AE49+'D&amp;M'!P49+Saratur!P49</f>
        <v>-5000</v>
      </c>
      <c r="AA49" s="2">
        <f>+'Cenvalsa industrial'!AF49+Cenval!AF49+'D&amp;M'!Q49+Saratur!Q49</f>
        <v>-5000</v>
      </c>
      <c r="AB49" s="2">
        <f>+'Cenvalsa industrial'!AG49+Cenval!AG49+'D&amp;M'!R49+Saratur!R49</f>
        <v>-5000</v>
      </c>
      <c r="AC49" s="2">
        <f>+'Cenvalsa industrial'!AH49+Cenval!AH49+'D&amp;M'!S49+Saratur!S49</f>
        <v>-5000</v>
      </c>
      <c r="AD49" s="6">
        <f t="shared" si="14"/>
        <v>-60000</v>
      </c>
    </row>
    <row r="50" spans="1:30" outlineLevel="1" x14ac:dyDescent="0.25">
      <c r="A50" s="1" t="s">
        <v>53</v>
      </c>
      <c r="B50" s="8" t="e">
        <f>+#REF!/#REF!</f>
        <v>#REF!</v>
      </c>
      <c r="C50" s="2" t="e">
        <f>+#REF!/12</f>
        <v>#REF!</v>
      </c>
      <c r="D50" s="2" t="e">
        <f>+#REF!/12</f>
        <v>#REF!</v>
      </c>
      <c r="E50" s="2" t="e">
        <f>+#REF!/12</f>
        <v>#REF!</v>
      </c>
      <c r="F50" s="2" t="e">
        <f>+#REF!/12</f>
        <v>#REF!</v>
      </c>
      <c r="G50" s="2" t="e">
        <f>+#REF!/12</f>
        <v>#REF!</v>
      </c>
      <c r="H50" s="2" t="e">
        <f>+#REF!/12</f>
        <v>#REF!</v>
      </c>
      <c r="I50" s="2" t="e">
        <f>+#REF!/12</f>
        <v>#REF!</v>
      </c>
      <c r="J50" s="2" t="e">
        <f>+#REF!/12</f>
        <v>#REF!</v>
      </c>
      <c r="K50" s="2" t="e">
        <f>+#REF!/12</f>
        <v>#REF!</v>
      </c>
      <c r="L50" s="2" t="e">
        <f>+#REF!/12</f>
        <v>#REF!</v>
      </c>
      <c r="M50" s="2" t="e">
        <f>+#REF!/12</f>
        <v>#REF!</v>
      </c>
      <c r="N50" s="2" t="e">
        <f>+#REF!/12</f>
        <v>#REF!</v>
      </c>
      <c r="O50" s="6" t="e">
        <f t="shared" si="2"/>
        <v>#REF!</v>
      </c>
      <c r="P50" s="24">
        <v>0</v>
      </c>
      <c r="Q50" s="23">
        <f t="shared" si="9"/>
        <v>0</v>
      </c>
      <c r="R50" s="2">
        <f>+'Cenvalsa industrial'!W50+Cenval!W50+'D&amp;M'!H50+Saratur!H50</f>
        <v>0</v>
      </c>
      <c r="S50" s="2">
        <f>+'Cenvalsa industrial'!X50+Cenval!X50+'D&amp;M'!I50+Saratur!I50</f>
        <v>0</v>
      </c>
      <c r="T50" s="2">
        <f>+'Cenvalsa industrial'!Y50+Cenval!Y50+'D&amp;M'!J50+Saratur!J50</f>
        <v>0</v>
      </c>
      <c r="U50" s="2">
        <f>+'Cenvalsa industrial'!Z50+Cenval!Z50+'D&amp;M'!K50+Saratur!K50</f>
        <v>0</v>
      </c>
      <c r="V50" s="2">
        <f>+'Cenvalsa industrial'!AA50+Cenval!AA50+'D&amp;M'!L50+Saratur!L50</f>
        <v>0</v>
      </c>
      <c r="W50" s="2">
        <f>+'Cenvalsa industrial'!AB50+Cenval!AB50+'D&amp;M'!M50+Saratur!M50</f>
        <v>0</v>
      </c>
      <c r="X50" s="2">
        <f>+'Cenvalsa industrial'!AC50+Cenval!AC50+'D&amp;M'!N50+Saratur!N50</f>
        <v>0</v>
      </c>
      <c r="Y50" s="2">
        <f>+'Cenvalsa industrial'!AD50+Cenval!AD50+'D&amp;M'!O50+Saratur!O50</f>
        <v>0</v>
      </c>
      <c r="Z50" s="2">
        <f>+'Cenvalsa industrial'!AE50+Cenval!AE50+'D&amp;M'!P50+Saratur!P50</f>
        <v>0</v>
      </c>
      <c r="AA50" s="2">
        <f>+'Cenvalsa industrial'!AF50+Cenval!AF50+'D&amp;M'!Q50+Saratur!Q50</f>
        <v>0</v>
      </c>
      <c r="AB50" s="2">
        <f>+'Cenvalsa industrial'!AG50+Cenval!AG50+'D&amp;M'!R50+Saratur!R50</f>
        <v>0</v>
      </c>
      <c r="AC50" s="2">
        <f>+'Cenvalsa industrial'!AH50+Cenval!AH50+'D&amp;M'!S50+Saratur!S50</f>
        <v>0</v>
      </c>
      <c r="AD50" s="6">
        <f t="shared" si="14"/>
        <v>0</v>
      </c>
    </row>
    <row r="51" spans="1:30" outlineLevel="1" x14ac:dyDescent="0.25">
      <c r="A51" s="1" t="s">
        <v>54</v>
      </c>
      <c r="B51" s="8" t="e">
        <f>+#REF!/#REF!</f>
        <v>#REF!</v>
      </c>
      <c r="C51" s="2" t="e">
        <f>+#REF!/12</f>
        <v>#REF!</v>
      </c>
      <c r="D51" s="2" t="e">
        <f>+#REF!/12</f>
        <v>#REF!</v>
      </c>
      <c r="E51" s="2" t="e">
        <f>+#REF!/12</f>
        <v>#REF!</v>
      </c>
      <c r="F51" s="2" t="e">
        <f>+#REF!/12</f>
        <v>#REF!</v>
      </c>
      <c r="G51" s="2" t="e">
        <f>+#REF!/12</f>
        <v>#REF!</v>
      </c>
      <c r="H51" s="2" t="e">
        <f>+#REF!/12</f>
        <v>#REF!</v>
      </c>
      <c r="I51" s="2" t="e">
        <f>+#REF!/12</f>
        <v>#REF!</v>
      </c>
      <c r="J51" s="2" t="e">
        <f>+#REF!/12</f>
        <v>#REF!</v>
      </c>
      <c r="K51" s="2" t="e">
        <f>+#REF!/12</f>
        <v>#REF!</v>
      </c>
      <c r="L51" s="2" t="e">
        <f>+#REF!/12</f>
        <v>#REF!</v>
      </c>
      <c r="M51" s="2" t="e">
        <f>+#REF!/12</f>
        <v>#REF!</v>
      </c>
      <c r="N51" s="2" t="e">
        <f>+#REF!/12</f>
        <v>#REF!</v>
      </c>
      <c r="O51" s="6" t="e">
        <f t="shared" si="2"/>
        <v>#REF!</v>
      </c>
      <c r="P51" s="24">
        <v>0</v>
      </c>
      <c r="Q51" s="23">
        <f t="shared" si="9"/>
        <v>0</v>
      </c>
      <c r="R51" s="2">
        <f>+'Cenvalsa industrial'!W51+Cenval!W51+'D&amp;M'!H51+Saratur!H51</f>
        <v>0</v>
      </c>
      <c r="S51" s="2">
        <f>+'Cenvalsa industrial'!X51+Cenval!X51+'D&amp;M'!I51+Saratur!I51</f>
        <v>0</v>
      </c>
      <c r="T51" s="2">
        <f>+'Cenvalsa industrial'!Y51+Cenval!Y51+'D&amp;M'!J51+Saratur!J51</f>
        <v>0</v>
      </c>
      <c r="U51" s="2">
        <f>+'Cenvalsa industrial'!Z51+Cenval!Z51+'D&amp;M'!K51+Saratur!K51</f>
        <v>0</v>
      </c>
      <c r="V51" s="2">
        <f>+'Cenvalsa industrial'!AA51+Cenval!AA51+'D&amp;M'!L51+Saratur!L51</f>
        <v>0</v>
      </c>
      <c r="W51" s="2">
        <f>+'Cenvalsa industrial'!AB51+Cenval!AB51+'D&amp;M'!M51+Saratur!M51</f>
        <v>0</v>
      </c>
      <c r="X51" s="2">
        <f>+'Cenvalsa industrial'!AC51+Cenval!AC51+'D&amp;M'!N51+Saratur!N51</f>
        <v>0</v>
      </c>
      <c r="Y51" s="2">
        <f>+'Cenvalsa industrial'!AD51+Cenval!AD51+'D&amp;M'!O51+Saratur!O51</f>
        <v>0</v>
      </c>
      <c r="Z51" s="2">
        <f>+'Cenvalsa industrial'!AE51+Cenval!AE51+'D&amp;M'!P51+Saratur!P51</f>
        <v>0</v>
      </c>
      <c r="AA51" s="2">
        <f>+'Cenvalsa industrial'!AF51+Cenval!AF51+'D&amp;M'!Q51+Saratur!Q51</f>
        <v>0</v>
      </c>
      <c r="AB51" s="2">
        <f>+'Cenvalsa industrial'!AG51+Cenval!AG51+'D&amp;M'!R51+Saratur!R51</f>
        <v>0</v>
      </c>
      <c r="AC51" s="2">
        <f>+'Cenvalsa industrial'!AH51+Cenval!AH51+'D&amp;M'!S51+Saratur!S51</f>
        <v>0</v>
      </c>
      <c r="AD51" s="6">
        <f t="shared" si="14"/>
        <v>0</v>
      </c>
    </row>
    <row r="52" spans="1:30" outlineLevel="1" x14ac:dyDescent="0.25">
      <c r="A52" s="1" t="s">
        <v>55</v>
      </c>
      <c r="B52" s="8" t="e">
        <f>+#REF!/#REF!</f>
        <v>#REF!</v>
      </c>
      <c r="C52" s="2" t="e">
        <f>+#REF!/12</f>
        <v>#REF!</v>
      </c>
      <c r="D52" s="2" t="e">
        <f>+#REF!/12</f>
        <v>#REF!</v>
      </c>
      <c r="E52" s="2" t="e">
        <f>+#REF!/12</f>
        <v>#REF!</v>
      </c>
      <c r="F52" s="2" t="e">
        <f>+#REF!/12</f>
        <v>#REF!</v>
      </c>
      <c r="G52" s="2" t="e">
        <f>+#REF!/12</f>
        <v>#REF!</v>
      </c>
      <c r="H52" s="2" t="e">
        <f>+#REF!/12</f>
        <v>#REF!</v>
      </c>
      <c r="I52" s="2" t="e">
        <f>+#REF!/12</f>
        <v>#REF!</v>
      </c>
      <c r="J52" s="2" t="e">
        <f>+#REF!/12</f>
        <v>#REF!</v>
      </c>
      <c r="K52" s="2" t="e">
        <f>+#REF!/12</f>
        <v>#REF!</v>
      </c>
      <c r="L52" s="2" t="e">
        <f>+#REF!/12</f>
        <v>#REF!</v>
      </c>
      <c r="M52" s="2" t="e">
        <f>+#REF!/12</f>
        <v>#REF!</v>
      </c>
      <c r="N52" s="2" t="e">
        <f>+#REF!/12</f>
        <v>#REF!</v>
      </c>
      <c r="O52" s="6" t="e">
        <f t="shared" si="2"/>
        <v>#REF!</v>
      </c>
      <c r="P52" s="24">
        <v>0</v>
      </c>
      <c r="Q52" s="23">
        <f t="shared" si="9"/>
        <v>0</v>
      </c>
      <c r="R52" s="2">
        <f>+'Cenvalsa industrial'!W52+Cenval!W52+'D&amp;M'!H52+Saratur!H52</f>
        <v>0</v>
      </c>
      <c r="S52" s="2">
        <f>+'Cenvalsa industrial'!X52+Cenval!X52+'D&amp;M'!I52+Saratur!I52</f>
        <v>0</v>
      </c>
      <c r="T52" s="2">
        <f>+'Cenvalsa industrial'!Y52+Cenval!Y52+'D&amp;M'!J52+Saratur!J52</f>
        <v>0</v>
      </c>
      <c r="U52" s="2">
        <f>+'Cenvalsa industrial'!Z52+Cenval!Z52+'D&amp;M'!K52+Saratur!K52</f>
        <v>0</v>
      </c>
      <c r="V52" s="2">
        <f>+'Cenvalsa industrial'!AA52+Cenval!AA52+'D&amp;M'!L52+Saratur!L52</f>
        <v>0</v>
      </c>
      <c r="W52" s="2">
        <f>+'Cenvalsa industrial'!AB52+Cenval!AB52+'D&amp;M'!M52+Saratur!M52</f>
        <v>0</v>
      </c>
      <c r="X52" s="2">
        <f>+'Cenvalsa industrial'!AC52+Cenval!AC52+'D&amp;M'!N52+Saratur!N52</f>
        <v>0</v>
      </c>
      <c r="Y52" s="2">
        <f>+'Cenvalsa industrial'!AD52+Cenval!AD52+'D&amp;M'!O52+Saratur!O52</f>
        <v>0</v>
      </c>
      <c r="Z52" s="2">
        <f>+'Cenvalsa industrial'!AE52+Cenval!AE52+'D&amp;M'!P52+Saratur!P52</f>
        <v>0</v>
      </c>
      <c r="AA52" s="2">
        <f>+'Cenvalsa industrial'!AF52+Cenval!AF52+'D&amp;M'!Q52+Saratur!Q52</f>
        <v>0</v>
      </c>
      <c r="AB52" s="2">
        <f>+'Cenvalsa industrial'!AG52+Cenval!AG52+'D&amp;M'!R52+Saratur!R52</f>
        <v>0</v>
      </c>
      <c r="AC52" s="2">
        <f>+'Cenvalsa industrial'!AH52+Cenval!AH52+'D&amp;M'!S52+Saratur!S52</f>
        <v>0</v>
      </c>
      <c r="AD52" s="6">
        <f t="shared" si="14"/>
        <v>0</v>
      </c>
    </row>
    <row r="53" spans="1:30" outlineLevel="1" x14ac:dyDescent="0.25">
      <c r="A53" s="1" t="s">
        <v>56</v>
      </c>
      <c r="B53" s="8" t="e">
        <f>+#REF!/#REF!</f>
        <v>#REF!</v>
      </c>
      <c r="C53" s="2" t="e">
        <f>+#REF!/12</f>
        <v>#REF!</v>
      </c>
      <c r="D53" s="2" t="e">
        <f>+#REF!/12</f>
        <v>#REF!</v>
      </c>
      <c r="E53" s="2" t="e">
        <f>+#REF!/12</f>
        <v>#REF!</v>
      </c>
      <c r="F53" s="2" t="e">
        <f>+#REF!/12</f>
        <v>#REF!</v>
      </c>
      <c r="G53" s="2" t="e">
        <f>+#REF!/12</f>
        <v>#REF!</v>
      </c>
      <c r="H53" s="2" t="e">
        <f>+#REF!/12</f>
        <v>#REF!</v>
      </c>
      <c r="I53" s="2" t="e">
        <f>+#REF!/12</f>
        <v>#REF!</v>
      </c>
      <c r="J53" s="2" t="e">
        <f>+#REF!/12</f>
        <v>#REF!</v>
      </c>
      <c r="K53" s="2" t="e">
        <f>+#REF!/12</f>
        <v>#REF!</v>
      </c>
      <c r="L53" s="2" t="e">
        <f>+#REF!/12</f>
        <v>#REF!</v>
      </c>
      <c r="M53" s="2" t="e">
        <f>+#REF!/12</f>
        <v>#REF!</v>
      </c>
      <c r="N53" s="2" t="e">
        <f>+#REF!/12</f>
        <v>#REF!</v>
      </c>
      <c r="O53" s="6" t="e">
        <f t="shared" si="2"/>
        <v>#REF!</v>
      </c>
      <c r="P53" s="24">
        <v>0</v>
      </c>
      <c r="Q53" s="23">
        <f t="shared" si="9"/>
        <v>0</v>
      </c>
      <c r="R53" s="2">
        <f>+'Cenvalsa industrial'!W53+Cenval!W53+'D&amp;M'!H53+Saratur!H53</f>
        <v>0</v>
      </c>
      <c r="S53" s="2">
        <f>+'Cenvalsa industrial'!X53+Cenval!X53+'D&amp;M'!I53+Saratur!I53</f>
        <v>0</v>
      </c>
      <c r="T53" s="2">
        <f>+'Cenvalsa industrial'!Y53+Cenval!Y53+'D&amp;M'!J53+Saratur!J53</f>
        <v>0</v>
      </c>
      <c r="U53" s="2">
        <f>+'Cenvalsa industrial'!Z53+Cenval!Z53+'D&amp;M'!K53+Saratur!K53</f>
        <v>0</v>
      </c>
      <c r="V53" s="2">
        <f>+'Cenvalsa industrial'!AA53+Cenval!AA53+'D&amp;M'!L53+Saratur!L53</f>
        <v>0</v>
      </c>
      <c r="W53" s="2">
        <f>+'Cenvalsa industrial'!AB53+Cenval!AB53+'D&amp;M'!M53+Saratur!M53</f>
        <v>0</v>
      </c>
      <c r="X53" s="2">
        <f>+'Cenvalsa industrial'!AC53+Cenval!AC53+'D&amp;M'!N53+Saratur!N53</f>
        <v>0</v>
      </c>
      <c r="Y53" s="2">
        <f>+'Cenvalsa industrial'!AD53+Cenval!AD53+'D&amp;M'!O53+Saratur!O53</f>
        <v>0</v>
      </c>
      <c r="Z53" s="2">
        <f>+'Cenvalsa industrial'!AE53+Cenval!AE53+'D&amp;M'!P53+Saratur!P53</f>
        <v>0</v>
      </c>
      <c r="AA53" s="2">
        <f>+'Cenvalsa industrial'!AF53+Cenval!AF53+'D&amp;M'!Q53+Saratur!Q53</f>
        <v>0</v>
      </c>
      <c r="AB53" s="2">
        <f>+'Cenvalsa industrial'!AG53+Cenval!AG53+'D&amp;M'!R53+Saratur!R53</f>
        <v>0</v>
      </c>
      <c r="AC53" s="2">
        <f>+'Cenvalsa industrial'!AH53+Cenval!AH53+'D&amp;M'!S53+Saratur!S53</f>
        <v>0</v>
      </c>
      <c r="AD53" s="6">
        <f t="shared" si="14"/>
        <v>0</v>
      </c>
    </row>
    <row r="54" spans="1:30" outlineLevel="1" x14ac:dyDescent="0.25">
      <c r="A54" s="1" t="s">
        <v>57</v>
      </c>
      <c r="B54" s="8" t="e">
        <f>+#REF!/#REF!</f>
        <v>#REF!</v>
      </c>
      <c r="C54" s="2" t="e">
        <f>+#REF!/12</f>
        <v>#REF!</v>
      </c>
      <c r="D54" s="2" t="e">
        <f>+#REF!/12</f>
        <v>#REF!</v>
      </c>
      <c r="E54" s="2" t="e">
        <f>+#REF!/12</f>
        <v>#REF!</v>
      </c>
      <c r="F54" s="2" t="e">
        <f>+#REF!/12</f>
        <v>#REF!</v>
      </c>
      <c r="G54" s="2" t="e">
        <f>+#REF!/12</f>
        <v>#REF!</v>
      </c>
      <c r="H54" s="2" t="e">
        <f>+#REF!/12</f>
        <v>#REF!</v>
      </c>
      <c r="I54" s="2" t="e">
        <f>+#REF!/12</f>
        <v>#REF!</v>
      </c>
      <c r="J54" s="2" t="e">
        <f>+#REF!/12</f>
        <v>#REF!</v>
      </c>
      <c r="K54" s="2" t="e">
        <f>+#REF!/12</f>
        <v>#REF!</v>
      </c>
      <c r="L54" s="2" t="e">
        <f>+#REF!/12</f>
        <v>#REF!</v>
      </c>
      <c r="M54" s="2" t="e">
        <f>+#REF!/12</f>
        <v>#REF!</v>
      </c>
      <c r="N54" s="2" t="e">
        <f>+#REF!/12</f>
        <v>#REF!</v>
      </c>
      <c r="O54" s="6" t="e">
        <f t="shared" si="2"/>
        <v>#REF!</v>
      </c>
      <c r="P54" s="24">
        <v>0</v>
      </c>
      <c r="Q54" s="23">
        <f t="shared" si="9"/>
        <v>0</v>
      </c>
      <c r="R54" s="2">
        <f>+'Cenvalsa industrial'!W54+Cenval!W54+'D&amp;M'!H54+Saratur!H54</f>
        <v>0</v>
      </c>
      <c r="S54" s="2">
        <f>+'Cenvalsa industrial'!X54+Cenval!X54+'D&amp;M'!I54+Saratur!I54</f>
        <v>0</v>
      </c>
      <c r="T54" s="2">
        <f>+'Cenvalsa industrial'!Y54+Cenval!Y54+'D&amp;M'!J54+Saratur!J54</f>
        <v>0</v>
      </c>
      <c r="U54" s="2">
        <f>+'Cenvalsa industrial'!Z54+Cenval!Z54+'D&amp;M'!K54+Saratur!K54</f>
        <v>0</v>
      </c>
      <c r="V54" s="2">
        <f>+'Cenvalsa industrial'!AA54+Cenval!AA54+'D&amp;M'!L54+Saratur!L54</f>
        <v>0</v>
      </c>
      <c r="W54" s="2">
        <f>+'Cenvalsa industrial'!AB54+Cenval!AB54+'D&amp;M'!M54+Saratur!M54</f>
        <v>0</v>
      </c>
      <c r="X54" s="2">
        <f>+'Cenvalsa industrial'!AC54+Cenval!AC54+'D&amp;M'!N54+Saratur!N54</f>
        <v>0</v>
      </c>
      <c r="Y54" s="2">
        <f>+'Cenvalsa industrial'!AD54+Cenval!AD54+'D&amp;M'!O54+Saratur!O54</f>
        <v>0</v>
      </c>
      <c r="Z54" s="2">
        <f>+'Cenvalsa industrial'!AE54+Cenval!AE54+'D&amp;M'!P54+Saratur!P54</f>
        <v>0</v>
      </c>
      <c r="AA54" s="2">
        <f>+'Cenvalsa industrial'!AF54+Cenval!AF54+'D&amp;M'!Q54+Saratur!Q54</f>
        <v>0</v>
      </c>
      <c r="AB54" s="2">
        <f>+'Cenvalsa industrial'!AG54+Cenval!AG54+'D&amp;M'!R54+Saratur!R54</f>
        <v>0</v>
      </c>
      <c r="AC54" s="2">
        <f>+'Cenvalsa industrial'!AH54+Cenval!AH54+'D&amp;M'!S54+Saratur!S54</f>
        <v>0</v>
      </c>
      <c r="AD54" s="6">
        <f t="shared" si="14"/>
        <v>0</v>
      </c>
    </row>
    <row r="55" spans="1:30" outlineLevel="1" x14ac:dyDescent="0.25">
      <c r="A55" s="1" t="s">
        <v>58</v>
      </c>
      <c r="B55" s="8" t="e">
        <f>+#REF!/#REF!</f>
        <v>#REF!</v>
      </c>
      <c r="C55" s="2" t="e">
        <f>+#REF!/12</f>
        <v>#REF!</v>
      </c>
      <c r="D55" s="2" t="e">
        <f>+#REF!/12</f>
        <v>#REF!</v>
      </c>
      <c r="E55" s="2" t="e">
        <f>+#REF!/12</f>
        <v>#REF!</v>
      </c>
      <c r="F55" s="2" t="e">
        <f>+#REF!/12</f>
        <v>#REF!</v>
      </c>
      <c r="G55" s="2" t="e">
        <f>+#REF!/12</f>
        <v>#REF!</v>
      </c>
      <c r="H55" s="2" t="e">
        <f>+#REF!/12</f>
        <v>#REF!</v>
      </c>
      <c r="I55" s="2" t="e">
        <f>+#REF!/12</f>
        <v>#REF!</v>
      </c>
      <c r="J55" s="2" t="e">
        <f>+#REF!/12</f>
        <v>#REF!</v>
      </c>
      <c r="K55" s="2" t="e">
        <f>+#REF!/12</f>
        <v>#REF!</v>
      </c>
      <c r="L55" s="2" t="e">
        <f>+#REF!/12</f>
        <v>#REF!</v>
      </c>
      <c r="M55" s="2" t="e">
        <f>+#REF!/12</f>
        <v>#REF!</v>
      </c>
      <c r="N55" s="2" t="e">
        <f>+#REF!/12</f>
        <v>#REF!</v>
      </c>
      <c r="O55" s="6" t="e">
        <f t="shared" si="2"/>
        <v>#REF!</v>
      </c>
      <c r="P55" s="24">
        <v>0</v>
      </c>
      <c r="Q55" s="23">
        <f t="shared" si="9"/>
        <v>0</v>
      </c>
      <c r="R55" s="2">
        <f>+'Cenvalsa industrial'!W55+Cenval!W55+'D&amp;M'!H55+Saratur!H55</f>
        <v>0</v>
      </c>
      <c r="S55" s="2">
        <f>+'Cenvalsa industrial'!X55+Cenval!X55+'D&amp;M'!I55+Saratur!I55</f>
        <v>0</v>
      </c>
      <c r="T55" s="2">
        <f>+'Cenvalsa industrial'!Y55+Cenval!Y55+'D&amp;M'!J55+Saratur!J55</f>
        <v>0</v>
      </c>
      <c r="U55" s="2">
        <f>+'Cenvalsa industrial'!Z55+Cenval!Z55+'D&amp;M'!K55+Saratur!K55</f>
        <v>0</v>
      </c>
      <c r="V55" s="2">
        <f>+'Cenvalsa industrial'!AA55+Cenval!AA55+'D&amp;M'!L55+Saratur!L55</f>
        <v>0</v>
      </c>
      <c r="W55" s="2">
        <f>+'Cenvalsa industrial'!AB55+Cenval!AB55+'D&amp;M'!M55+Saratur!M55</f>
        <v>0</v>
      </c>
      <c r="X55" s="2">
        <f>+'Cenvalsa industrial'!AC55+Cenval!AC55+'D&amp;M'!N55+Saratur!N55</f>
        <v>0</v>
      </c>
      <c r="Y55" s="2">
        <f>+'Cenvalsa industrial'!AD55+Cenval!AD55+'D&amp;M'!O55+Saratur!O55</f>
        <v>0</v>
      </c>
      <c r="Z55" s="2">
        <f>+'Cenvalsa industrial'!AE55+Cenval!AE55+'D&amp;M'!P55+Saratur!P55</f>
        <v>0</v>
      </c>
      <c r="AA55" s="2">
        <f>+'Cenvalsa industrial'!AF55+Cenval!AF55+'D&amp;M'!Q55+Saratur!Q55</f>
        <v>0</v>
      </c>
      <c r="AB55" s="2">
        <f>+'Cenvalsa industrial'!AG55+Cenval!AG55+'D&amp;M'!R55+Saratur!R55</f>
        <v>0</v>
      </c>
      <c r="AC55" s="2">
        <f>+'Cenvalsa industrial'!AH55+Cenval!AH55+'D&amp;M'!S55+Saratur!S55</f>
        <v>0</v>
      </c>
      <c r="AD55" s="6">
        <f t="shared" si="14"/>
        <v>0</v>
      </c>
    </row>
    <row r="56" spans="1:30" outlineLevel="1" x14ac:dyDescent="0.25">
      <c r="A56" s="47" t="s">
        <v>59</v>
      </c>
      <c r="B56" s="8" t="e">
        <f>+#REF!/#REF!</f>
        <v>#REF!</v>
      </c>
      <c r="C56" s="2" t="e">
        <f>+#REF!/12</f>
        <v>#REF!</v>
      </c>
      <c r="D56" s="2" t="e">
        <f>+#REF!/12</f>
        <v>#REF!</v>
      </c>
      <c r="E56" s="2" t="e">
        <f>+#REF!/12</f>
        <v>#REF!</v>
      </c>
      <c r="F56" s="2" t="e">
        <f>+#REF!/12</f>
        <v>#REF!</v>
      </c>
      <c r="G56" s="2" t="e">
        <f>+#REF!/12</f>
        <v>#REF!</v>
      </c>
      <c r="H56" s="2" t="e">
        <f>+#REF!/12</f>
        <v>#REF!</v>
      </c>
      <c r="I56" s="2" t="e">
        <f>+#REF!/12</f>
        <v>#REF!</v>
      </c>
      <c r="J56" s="2" t="e">
        <f>+#REF!/12</f>
        <v>#REF!</v>
      </c>
      <c r="K56" s="2" t="e">
        <f>+#REF!/12</f>
        <v>#REF!</v>
      </c>
      <c r="L56" s="2" t="e">
        <f>+#REF!/12</f>
        <v>#REF!</v>
      </c>
      <c r="M56" s="2" t="e">
        <f>+#REF!/12</f>
        <v>#REF!</v>
      </c>
      <c r="N56" s="2" t="e">
        <f>+#REF!/12</f>
        <v>#REF!</v>
      </c>
      <c r="O56" s="6" t="e">
        <f t="shared" si="2"/>
        <v>#REF!</v>
      </c>
      <c r="P56" s="24">
        <v>0</v>
      </c>
      <c r="Q56" s="23">
        <f t="shared" si="9"/>
        <v>0</v>
      </c>
      <c r="R56" s="2">
        <f>+'Cenvalsa industrial'!W56+Cenval!W56+'D&amp;M'!H56+Saratur!H56</f>
        <v>0</v>
      </c>
      <c r="S56" s="2">
        <f>+'Cenvalsa industrial'!X56+Cenval!X56+'D&amp;M'!I56+Saratur!I56</f>
        <v>0</v>
      </c>
      <c r="T56" s="2">
        <f>+'Cenvalsa industrial'!Y56+Cenval!Y56+'D&amp;M'!J56+Saratur!J56</f>
        <v>0</v>
      </c>
      <c r="U56" s="2">
        <f>+'Cenvalsa industrial'!Z56+Cenval!Z56+'D&amp;M'!K56+Saratur!K56</f>
        <v>0</v>
      </c>
      <c r="V56" s="2">
        <f>+'Cenvalsa industrial'!AA56+Cenval!AA56+'D&amp;M'!L56+Saratur!L56</f>
        <v>0</v>
      </c>
      <c r="W56" s="2">
        <f>+'Cenvalsa industrial'!AB56+Cenval!AB56+'D&amp;M'!M56+Saratur!M56</f>
        <v>0</v>
      </c>
      <c r="X56" s="2">
        <f>+'Cenvalsa industrial'!AC56+Cenval!AC56+'D&amp;M'!N56+Saratur!N56</f>
        <v>0</v>
      </c>
      <c r="Y56" s="2">
        <f>+'Cenvalsa industrial'!AD56+Cenval!AD56+'D&amp;M'!O56+Saratur!O56</f>
        <v>0</v>
      </c>
      <c r="Z56" s="2">
        <f>+'Cenvalsa industrial'!AE56+Cenval!AE56+'D&amp;M'!P56+Saratur!P56</f>
        <v>0</v>
      </c>
      <c r="AA56" s="2">
        <f>+'Cenvalsa industrial'!AF56+Cenval!AF56+'D&amp;M'!Q56+Saratur!Q56</f>
        <v>0</v>
      </c>
      <c r="AB56" s="2">
        <f>+'Cenvalsa industrial'!AG56+Cenval!AG56+'D&amp;M'!R56+Saratur!R56</f>
        <v>0</v>
      </c>
      <c r="AC56" s="2">
        <f>+'Cenvalsa industrial'!AH56+Cenval!AH56+'D&amp;M'!S56+Saratur!S56</f>
        <v>0</v>
      </c>
      <c r="AD56" s="6">
        <f t="shared" si="14"/>
        <v>0</v>
      </c>
    </row>
    <row r="57" spans="1:30" outlineLevel="1" x14ac:dyDescent="0.25">
      <c r="A57" s="1" t="s">
        <v>60</v>
      </c>
      <c r="B57" s="8" t="e">
        <f>+#REF!/#REF!</f>
        <v>#REF!</v>
      </c>
      <c r="C57" s="2" t="e">
        <f>+#REF!/12</f>
        <v>#REF!</v>
      </c>
      <c r="D57" s="2" t="e">
        <f>+#REF!/12</f>
        <v>#REF!</v>
      </c>
      <c r="E57" s="2" t="e">
        <f>+#REF!/12</f>
        <v>#REF!</v>
      </c>
      <c r="F57" s="2" t="e">
        <f>+#REF!/12</f>
        <v>#REF!</v>
      </c>
      <c r="G57" s="2" t="e">
        <f>+#REF!/12</f>
        <v>#REF!</v>
      </c>
      <c r="H57" s="2" t="e">
        <f>+#REF!/12</f>
        <v>#REF!</v>
      </c>
      <c r="I57" s="2" t="e">
        <f>+#REF!/12</f>
        <v>#REF!</v>
      </c>
      <c r="J57" s="2" t="e">
        <f>+#REF!/12</f>
        <v>#REF!</v>
      </c>
      <c r="K57" s="2" t="e">
        <f>+#REF!/12</f>
        <v>#REF!</v>
      </c>
      <c r="L57" s="2" t="e">
        <f>+#REF!/12</f>
        <v>#REF!</v>
      </c>
      <c r="M57" s="2" t="e">
        <f>+#REF!/12</f>
        <v>#REF!</v>
      </c>
      <c r="N57" s="2" t="e">
        <f>+#REF!/12</f>
        <v>#REF!</v>
      </c>
      <c r="O57" s="6" t="e">
        <f t="shared" si="2"/>
        <v>#REF!</v>
      </c>
      <c r="P57" s="24">
        <v>0</v>
      </c>
      <c r="Q57" s="23">
        <f t="shared" si="9"/>
        <v>0</v>
      </c>
      <c r="R57" s="2">
        <f>+'Cenvalsa industrial'!W57+Cenval!W57+'D&amp;M'!H57+Saratur!H57</f>
        <v>0</v>
      </c>
      <c r="S57" s="2">
        <f>+'Cenvalsa industrial'!X57+Cenval!X57+'D&amp;M'!I57+Saratur!I57</f>
        <v>0</v>
      </c>
      <c r="T57" s="2">
        <f>+'Cenvalsa industrial'!Y57+Cenval!Y57+'D&amp;M'!J57+Saratur!J57</f>
        <v>0</v>
      </c>
      <c r="U57" s="2">
        <f>+'Cenvalsa industrial'!Z57+Cenval!Z57+'D&amp;M'!K57+Saratur!K57</f>
        <v>0</v>
      </c>
      <c r="V57" s="2">
        <f>+'Cenvalsa industrial'!AA57+Cenval!AA57+'D&amp;M'!L57+Saratur!L57</f>
        <v>0</v>
      </c>
      <c r="W57" s="2">
        <f>+'Cenvalsa industrial'!AB57+Cenval!AB57+'D&amp;M'!M57+Saratur!M57</f>
        <v>0</v>
      </c>
      <c r="X57" s="2">
        <f>+'Cenvalsa industrial'!AC57+Cenval!AC57+'D&amp;M'!N57+Saratur!N57</f>
        <v>0</v>
      </c>
      <c r="Y57" s="2">
        <f>+'Cenvalsa industrial'!AD57+Cenval!AD57+'D&amp;M'!O57+Saratur!O57</f>
        <v>0</v>
      </c>
      <c r="Z57" s="2">
        <f>+'Cenvalsa industrial'!AE57+Cenval!AE57+'D&amp;M'!P57+Saratur!P57</f>
        <v>0</v>
      </c>
      <c r="AA57" s="2">
        <f>+'Cenvalsa industrial'!AF57+Cenval!AF57+'D&amp;M'!Q57+Saratur!Q57</f>
        <v>0</v>
      </c>
      <c r="AB57" s="2">
        <f>+'Cenvalsa industrial'!AG57+Cenval!AG57+'D&amp;M'!R57+Saratur!R57</f>
        <v>0</v>
      </c>
      <c r="AC57" s="2">
        <f>+'Cenvalsa industrial'!AH57+Cenval!AH57+'D&amp;M'!S57+Saratur!S57</f>
        <v>0</v>
      </c>
      <c r="AD57" s="6">
        <f t="shared" si="14"/>
        <v>0</v>
      </c>
    </row>
    <row r="58" spans="1:30" outlineLevel="1" x14ac:dyDescent="0.25">
      <c r="A58" s="1" t="s">
        <v>61</v>
      </c>
      <c r="B58" s="8" t="e">
        <f>+#REF!/#REF!</f>
        <v>#REF!</v>
      </c>
      <c r="C58" s="2" t="e">
        <f>+#REF!/12</f>
        <v>#REF!</v>
      </c>
      <c r="D58" s="2" t="e">
        <f>+#REF!/12</f>
        <v>#REF!</v>
      </c>
      <c r="E58" s="2" t="e">
        <f>+#REF!/12</f>
        <v>#REF!</v>
      </c>
      <c r="F58" s="2" t="e">
        <f>+#REF!/12</f>
        <v>#REF!</v>
      </c>
      <c r="G58" s="2" t="e">
        <f>+#REF!/12</f>
        <v>#REF!</v>
      </c>
      <c r="H58" s="2" t="e">
        <f>+#REF!/12</f>
        <v>#REF!</v>
      </c>
      <c r="I58" s="2" t="e">
        <f>+#REF!/12</f>
        <v>#REF!</v>
      </c>
      <c r="J58" s="2" t="e">
        <f>+#REF!/12</f>
        <v>#REF!</v>
      </c>
      <c r="K58" s="2" t="e">
        <f>+#REF!/12</f>
        <v>#REF!</v>
      </c>
      <c r="L58" s="2" t="e">
        <f>+#REF!/12</f>
        <v>#REF!</v>
      </c>
      <c r="M58" s="2" t="e">
        <f>+#REF!/12</f>
        <v>#REF!</v>
      </c>
      <c r="N58" s="2" t="e">
        <f>+#REF!/12</f>
        <v>#REF!</v>
      </c>
      <c r="O58" s="6" t="e">
        <f t="shared" si="2"/>
        <v>#REF!</v>
      </c>
      <c r="P58" s="24">
        <v>0</v>
      </c>
      <c r="Q58" s="23">
        <f t="shared" si="9"/>
        <v>0</v>
      </c>
      <c r="R58" s="2">
        <f>+'Cenvalsa industrial'!W58+Cenval!W58+'D&amp;M'!H58+Saratur!H58</f>
        <v>0</v>
      </c>
      <c r="S58" s="2">
        <f>+'Cenvalsa industrial'!X58+Cenval!X58+'D&amp;M'!I58+Saratur!I58</f>
        <v>0</v>
      </c>
      <c r="T58" s="2">
        <f>+'Cenvalsa industrial'!Y58+Cenval!Y58+'D&amp;M'!J58+Saratur!J58</f>
        <v>0</v>
      </c>
      <c r="U58" s="2">
        <f>+'Cenvalsa industrial'!Z58+Cenval!Z58+'D&amp;M'!K58+Saratur!K58</f>
        <v>0</v>
      </c>
      <c r="V58" s="2">
        <f>+'Cenvalsa industrial'!AA58+Cenval!AA58+'D&amp;M'!L58+Saratur!L58</f>
        <v>0</v>
      </c>
      <c r="W58" s="2">
        <f>+'Cenvalsa industrial'!AB58+Cenval!AB58+'D&amp;M'!M58+Saratur!M58</f>
        <v>0</v>
      </c>
      <c r="X58" s="2">
        <f>+'Cenvalsa industrial'!AC58+Cenval!AC58+'D&amp;M'!N58+Saratur!N58</f>
        <v>0</v>
      </c>
      <c r="Y58" s="2">
        <f>+'Cenvalsa industrial'!AD58+Cenval!AD58+'D&amp;M'!O58+Saratur!O58</f>
        <v>0</v>
      </c>
      <c r="Z58" s="2">
        <f>+'Cenvalsa industrial'!AE58+Cenval!AE58+'D&amp;M'!P58+Saratur!P58</f>
        <v>0</v>
      </c>
      <c r="AA58" s="2">
        <f>+'Cenvalsa industrial'!AF58+Cenval!AF58+'D&amp;M'!Q58+Saratur!Q58</f>
        <v>0</v>
      </c>
      <c r="AB58" s="2">
        <f>+'Cenvalsa industrial'!AG58+Cenval!AG58+'D&amp;M'!R58+Saratur!R58</f>
        <v>0</v>
      </c>
      <c r="AC58" s="2">
        <f>+'Cenvalsa industrial'!AH58+Cenval!AH58+'D&amp;M'!S58+Saratur!S58</f>
        <v>0</v>
      </c>
      <c r="AD58" s="6">
        <f t="shared" si="14"/>
        <v>0</v>
      </c>
    </row>
    <row r="59" spans="1:30" outlineLevel="1" x14ac:dyDescent="0.25">
      <c r="A59" s="1" t="s">
        <v>62</v>
      </c>
      <c r="B59" s="8" t="e">
        <f>+#REF!/#REF!</f>
        <v>#REF!</v>
      </c>
      <c r="C59" s="2" t="e">
        <f>+#REF!/12</f>
        <v>#REF!</v>
      </c>
      <c r="D59" s="2" t="e">
        <f>+#REF!/12</f>
        <v>#REF!</v>
      </c>
      <c r="E59" s="2" t="e">
        <f>+#REF!/12</f>
        <v>#REF!</v>
      </c>
      <c r="F59" s="2" t="e">
        <f>+#REF!/12</f>
        <v>#REF!</v>
      </c>
      <c r="G59" s="2" t="e">
        <f>+#REF!/12</f>
        <v>#REF!</v>
      </c>
      <c r="H59" s="2" t="e">
        <f>+#REF!/12</f>
        <v>#REF!</v>
      </c>
      <c r="I59" s="2" t="e">
        <f>+#REF!/12</f>
        <v>#REF!</v>
      </c>
      <c r="J59" s="2" t="e">
        <f>+#REF!/12</f>
        <v>#REF!</v>
      </c>
      <c r="K59" s="2" t="e">
        <f>+#REF!/12</f>
        <v>#REF!</v>
      </c>
      <c r="L59" s="2" t="e">
        <f>+#REF!/12</f>
        <v>#REF!</v>
      </c>
      <c r="M59" s="2" t="e">
        <f>+#REF!/12</f>
        <v>#REF!</v>
      </c>
      <c r="N59" s="2" t="e">
        <f>+#REF!/12</f>
        <v>#REF!</v>
      </c>
      <c r="O59" s="6" t="e">
        <f t="shared" si="2"/>
        <v>#REF!</v>
      </c>
      <c r="P59" s="24">
        <v>0</v>
      </c>
      <c r="Q59" s="23">
        <f t="shared" si="9"/>
        <v>0</v>
      </c>
      <c r="R59" s="2">
        <f>+'Cenvalsa industrial'!W59+Cenval!W59+'D&amp;M'!H59+Saratur!H59</f>
        <v>0</v>
      </c>
      <c r="S59" s="2">
        <f>+'Cenvalsa industrial'!X59+Cenval!X59+'D&amp;M'!I59+Saratur!I59</f>
        <v>0</v>
      </c>
      <c r="T59" s="2">
        <f>+'Cenvalsa industrial'!Y59+Cenval!Y59+'D&amp;M'!J59+Saratur!J59</f>
        <v>0</v>
      </c>
      <c r="U59" s="2">
        <f>+'Cenvalsa industrial'!Z59+Cenval!Z59+'D&amp;M'!K59+Saratur!K59</f>
        <v>0</v>
      </c>
      <c r="V59" s="2">
        <f>+'Cenvalsa industrial'!AA59+Cenval!AA59+'D&amp;M'!L59+Saratur!L59</f>
        <v>0</v>
      </c>
      <c r="W59" s="2">
        <f>+'Cenvalsa industrial'!AB59+Cenval!AB59+'D&amp;M'!M59+Saratur!M59</f>
        <v>0</v>
      </c>
      <c r="X59" s="2">
        <f>+'Cenvalsa industrial'!AC59+Cenval!AC59+'D&amp;M'!N59+Saratur!N59</f>
        <v>0</v>
      </c>
      <c r="Y59" s="2">
        <f>+'Cenvalsa industrial'!AD59+Cenval!AD59+'D&amp;M'!O59+Saratur!O59</f>
        <v>0</v>
      </c>
      <c r="Z59" s="2">
        <f>+'Cenvalsa industrial'!AE59+Cenval!AE59+'D&amp;M'!P59+Saratur!P59</f>
        <v>0</v>
      </c>
      <c r="AA59" s="2">
        <f>+'Cenvalsa industrial'!AF59+Cenval!AF59+'D&amp;M'!Q59+Saratur!Q59</f>
        <v>0</v>
      </c>
      <c r="AB59" s="2">
        <f>+'Cenvalsa industrial'!AG59+Cenval!AG59+'D&amp;M'!R59+Saratur!R59</f>
        <v>0</v>
      </c>
      <c r="AC59" s="2">
        <f>+'Cenvalsa industrial'!AH59+Cenval!AH59+'D&amp;M'!S59+Saratur!S59</f>
        <v>0</v>
      </c>
      <c r="AD59" s="6">
        <f t="shared" si="14"/>
        <v>0</v>
      </c>
    </row>
    <row r="60" spans="1:30" outlineLevel="1" x14ac:dyDescent="0.25">
      <c r="A60" s="1" t="s">
        <v>63</v>
      </c>
      <c r="B60" s="8" t="e">
        <f>+#REF!/#REF!</f>
        <v>#REF!</v>
      </c>
      <c r="C60" s="2" t="e">
        <f>+#REF!/12</f>
        <v>#REF!</v>
      </c>
      <c r="D60" s="2" t="e">
        <f>+#REF!/12</f>
        <v>#REF!</v>
      </c>
      <c r="E60" s="2" t="e">
        <f>+#REF!/12</f>
        <v>#REF!</v>
      </c>
      <c r="F60" s="2" t="e">
        <f>+#REF!/12</f>
        <v>#REF!</v>
      </c>
      <c r="G60" s="2" t="e">
        <f>+#REF!/12</f>
        <v>#REF!</v>
      </c>
      <c r="H60" s="2" t="e">
        <f>+#REF!/12</f>
        <v>#REF!</v>
      </c>
      <c r="I60" s="2" t="e">
        <f>+#REF!/12</f>
        <v>#REF!</v>
      </c>
      <c r="J60" s="2" t="e">
        <f>+#REF!/12</f>
        <v>#REF!</v>
      </c>
      <c r="K60" s="2" t="e">
        <f>+#REF!/12</f>
        <v>#REF!</v>
      </c>
      <c r="L60" s="2" t="e">
        <f>+#REF!/12</f>
        <v>#REF!</v>
      </c>
      <c r="M60" s="2" t="e">
        <f>+#REF!/12</f>
        <v>#REF!</v>
      </c>
      <c r="N60" s="2" t="e">
        <f>+#REF!/12</f>
        <v>#REF!</v>
      </c>
      <c r="O60" s="6" t="e">
        <f t="shared" si="2"/>
        <v>#REF!</v>
      </c>
      <c r="P60" s="24">
        <v>0</v>
      </c>
      <c r="Q60" s="23">
        <f t="shared" si="9"/>
        <v>0</v>
      </c>
      <c r="R60" s="2">
        <f>+'Cenvalsa industrial'!W60+Cenval!W60+'D&amp;M'!H60+Saratur!H60</f>
        <v>0</v>
      </c>
      <c r="S60" s="2">
        <f>+'Cenvalsa industrial'!X60+Cenval!X60+'D&amp;M'!I60+Saratur!I60</f>
        <v>0</v>
      </c>
      <c r="T60" s="2">
        <f>+'Cenvalsa industrial'!Y60+Cenval!Y60+'D&amp;M'!J60+Saratur!J60</f>
        <v>0</v>
      </c>
      <c r="U60" s="2">
        <f>+'Cenvalsa industrial'!Z60+Cenval!Z60+'D&amp;M'!K60+Saratur!K60</f>
        <v>0</v>
      </c>
      <c r="V60" s="2">
        <f>+'Cenvalsa industrial'!AA60+Cenval!AA60+'D&amp;M'!L60+Saratur!L60</f>
        <v>0</v>
      </c>
      <c r="W60" s="2">
        <f>+'Cenvalsa industrial'!AB60+Cenval!AB60+'D&amp;M'!M60+Saratur!M60</f>
        <v>0</v>
      </c>
      <c r="X60" s="2">
        <f>+'Cenvalsa industrial'!AC60+Cenval!AC60+'D&amp;M'!N60+Saratur!N60</f>
        <v>0</v>
      </c>
      <c r="Y60" s="2">
        <f>+'Cenvalsa industrial'!AD60+Cenval!AD60+'D&amp;M'!O60+Saratur!O60</f>
        <v>0</v>
      </c>
      <c r="Z60" s="2">
        <f>+'Cenvalsa industrial'!AE60+Cenval!AE60+'D&amp;M'!P60+Saratur!P60</f>
        <v>0</v>
      </c>
      <c r="AA60" s="2">
        <f>+'Cenvalsa industrial'!AF60+Cenval!AF60+'D&amp;M'!Q60+Saratur!Q60</f>
        <v>0</v>
      </c>
      <c r="AB60" s="2">
        <f>+'Cenvalsa industrial'!AG60+Cenval!AG60+'D&amp;M'!R60+Saratur!R60</f>
        <v>0</v>
      </c>
      <c r="AC60" s="2">
        <f>+'Cenvalsa industrial'!AH60+Cenval!AH60+'D&amp;M'!S60+Saratur!S60</f>
        <v>0</v>
      </c>
      <c r="AD60" s="6">
        <f t="shared" si="14"/>
        <v>0</v>
      </c>
    </row>
    <row r="61" spans="1:30" outlineLevel="1" x14ac:dyDescent="0.25">
      <c r="A61" s="10" t="s">
        <v>64</v>
      </c>
      <c r="B61" s="8"/>
      <c r="C61" s="2" t="e">
        <f>+#REF!/12</f>
        <v>#REF!</v>
      </c>
      <c r="D61" s="2" t="e">
        <f>+#REF!/12</f>
        <v>#REF!</v>
      </c>
      <c r="E61" s="2" t="e">
        <f>+#REF!/12</f>
        <v>#REF!</v>
      </c>
      <c r="F61" s="2" t="e">
        <f>+#REF!/12</f>
        <v>#REF!</v>
      </c>
      <c r="G61" s="2" t="e">
        <f>+#REF!/12</f>
        <v>#REF!</v>
      </c>
      <c r="H61" s="2" t="e">
        <f>+#REF!/12</f>
        <v>#REF!</v>
      </c>
      <c r="I61" s="2" t="e">
        <f>+#REF!/12</f>
        <v>#REF!</v>
      </c>
      <c r="J61" s="2" t="e">
        <f>+#REF!/12</f>
        <v>#REF!</v>
      </c>
      <c r="K61" s="2" t="e">
        <f>+#REF!/12</f>
        <v>#REF!</v>
      </c>
      <c r="L61" s="2" t="e">
        <f>+#REF!/12</f>
        <v>#REF!</v>
      </c>
      <c r="M61" s="2" t="e">
        <f>+#REF!/12</f>
        <v>#REF!</v>
      </c>
      <c r="N61" s="2" t="e">
        <f>+#REF!/12</f>
        <v>#REF!</v>
      </c>
      <c r="O61" s="6" t="e">
        <f t="shared" si="2"/>
        <v>#REF!</v>
      </c>
      <c r="P61" s="24">
        <v>0</v>
      </c>
      <c r="Q61" s="23">
        <f t="shared" si="9"/>
        <v>0</v>
      </c>
      <c r="R61" s="2">
        <f>+'Cenvalsa industrial'!W61+Cenval!W61+'D&amp;M'!H61+Saratur!H61</f>
        <v>-416.66666666666663</v>
      </c>
      <c r="S61" s="2">
        <f>+'Cenvalsa industrial'!X61+Cenval!X61+'D&amp;M'!I61+Saratur!I61</f>
        <v>-416.66666666666663</v>
      </c>
      <c r="T61" s="2">
        <f>+'Cenvalsa industrial'!Y61+Cenval!Y61+'D&amp;M'!J61+Saratur!J61</f>
        <v>-416.66666666666663</v>
      </c>
      <c r="U61" s="2">
        <f>+'Cenvalsa industrial'!Z61+Cenval!Z61+'D&amp;M'!K61+Saratur!K61</f>
        <v>-416.66666666666663</v>
      </c>
      <c r="V61" s="2">
        <f>+'Cenvalsa industrial'!AA61+Cenval!AA61+'D&amp;M'!L61+Saratur!L61</f>
        <v>-416.66666666666663</v>
      </c>
      <c r="W61" s="2">
        <f>+'Cenvalsa industrial'!AB61+Cenval!AB61+'D&amp;M'!M61+Saratur!M61</f>
        <v>-416.66666666666663</v>
      </c>
      <c r="X61" s="2">
        <f>+'Cenvalsa industrial'!AC61+Cenval!AC61+'D&amp;M'!N61+Saratur!N61</f>
        <v>-416.66666666666663</v>
      </c>
      <c r="Y61" s="2">
        <f>+'Cenvalsa industrial'!AD61+Cenval!AD61+'D&amp;M'!O61+Saratur!O61</f>
        <v>-416.66666666666663</v>
      </c>
      <c r="Z61" s="2">
        <f>+'Cenvalsa industrial'!AE61+Cenval!AE61+'D&amp;M'!P61+Saratur!P61</f>
        <v>-416.66666666666663</v>
      </c>
      <c r="AA61" s="2">
        <f>+'Cenvalsa industrial'!AF61+Cenval!AF61+'D&amp;M'!Q61+Saratur!Q61</f>
        <v>-416.66666666666663</v>
      </c>
      <c r="AB61" s="2">
        <f>+'Cenvalsa industrial'!AG61+Cenval!AG61+'D&amp;M'!R61+Saratur!R61</f>
        <v>-416.66666666666663</v>
      </c>
      <c r="AC61" s="2">
        <f>+'Cenvalsa industrial'!AH61+Cenval!AH61+'D&amp;M'!S61+Saratur!S61</f>
        <v>-416.66666666666663</v>
      </c>
      <c r="AD61" s="6">
        <f t="shared" si="14"/>
        <v>-5000</v>
      </c>
    </row>
    <row r="62" spans="1:30" outlineLevel="1" x14ac:dyDescent="0.25">
      <c r="A62" s="1" t="s">
        <v>65</v>
      </c>
      <c r="B62" s="8" t="e">
        <f>+#REF!/#REF!</f>
        <v>#REF!</v>
      </c>
      <c r="C62" s="2" t="e">
        <f>+#REF!/12</f>
        <v>#REF!</v>
      </c>
      <c r="D62" s="2" t="e">
        <f>+#REF!/12</f>
        <v>#REF!</v>
      </c>
      <c r="E62" s="2" t="e">
        <f>+#REF!/12</f>
        <v>#REF!</v>
      </c>
      <c r="F62" s="2" t="e">
        <f>+#REF!/12</f>
        <v>#REF!</v>
      </c>
      <c r="G62" s="2" t="e">
        <f>+#REF!/12</f>
        <v>#REF!</v>
      </c>
      <c r="H62" s="2" t="e">
        <f>+#REF!/12</f>
        <v>#REF!</v>
      </c>
      <c r="I62" s="2" t="e">
        <f>+#REF!/12</f>
        <v>#REF!</v>
      </c>
      <c r="J62" s="2" t="e">
        <f>+#REF!/12</f>
        <v>#REF!</v>
      </c>
      <c r="K62" s="2" t="e">
        <f>+#REF!/12</f>
        <v>#REF!</v>
      </c>
      <c r="L62" s="2" t="e">
        <f>+#REF!/12</f>
        <v>#REF!</v>
      </c>
      <c r="M62" s="2" t="e">
        <f>+#REF!/12</f>
        <v>#REF!</v>
      </c>
      <c r="N62" s="2" t="e">
        <f>+#REF!/12</f>
        <v>#REF!</v>
      </c>
      <c r="O62" s="6" t="e">
        <f t="shared" si="2"/>
        <v>#REF!</v>
      </c>
      <c r="P62" s="24">
        <v>0</v>
      </c>
      <c r="Q62" s="23">
        <f t="shared" si="9"/>
        <v>0</v>
      </c>
      <c r="R62" s="2">
        <f>+'Cenvalsa industrial'!W62+Cenval!W62+'D&amp;M'!H62+Saratur!H62</f>
        <v>0</v>
      </c>
      <c r="S62" s="2">
        <f>+'Cenvalsa industrial'!X62+Cenval!X62+'D&amp;M'!I62+Saratur!I62</f>
        <v>0</v>
      </c>
      <c r="T62" s="2">
        <f>+'Cenvalsa industrial'!Y62+Cenval!Y62+'D&amp;M'!J62+Saratur!J62</f>
        <v>0</v>
      </c>
      <c r="U62" s="2">
        <f>+'Cenvalsa industrial'!Z62+Cenval!Z62+'D&amp;M'!K62+Saratur!K62</f>
        <v>0</v>
      </c>
      <c r="V62" s="2">
        <f>+'Cenvalsa industrial'!AA62+Cenval!AA62+'D&amp;M'!L62+Saratur!L62</f>
        <v>0</v>
      </c>
      <c r="W62" s="2">
        <f>+'Cenvalsa industrial'!AB62+Cenval!AB62+'D&amp;M'!M62+Saratur!M62</f>
        <v>0</v>
      </c>
      <c r="X62" s="2">
        <f>+'Cenvalsa industrial'!AC62+Cenval!AC62+'D&amp;M'!N62+Saratur!N62</f>
        <v>0</v>
      </c>
      <c r="Y62" s="2">
        <f>+'Cenvalsa industrial'!AD62+Cenval!AD62+'D&amp;M'!O62+Saratur!O62</f>
        <v>0</v>
      </c>
      <c r="Z62" s="2">
        <f>+'Cenvalsa industrial'!AE62+Cenval!AE62+'D&amp;M'!P62+Saratur!P62</f>
        <v>0</v>
      </c>
      <c r="AA62" s="2">
        <f>+'Cenvalsa industrial'!AF62+Cenval!AF62+'D&amp;M'!Q62+Saratur!Q62</f>
        <v>0</v>
      </c>
      <c r="AB62" s="2">
        <f>+'Cenvalsa industrial'!AG62+Cenval!AG62+'D&amp;M'!R62+Saratur!R62</f>
        <v>0</v>
      </c>
      <c r="AC62" s="2">
        <f>+'Cenvalsa industrial'!AH62+Cenval!AH62+'D&amp;M'!S62+Saratur!S62</f>
        <v>0</v>
      </c>
      <c r="AD62" s="6">
        <f t="shared" si="14"/>
        <v>0</v>
      </c>
    </row>
    <row r="63" spans="1:30" outlineLevel="1" x14ac:dyDescent="0.25">
      <c r="A63" s="1" t="s">
        <v>66</v>
      </c>
      <c r="B63" s="8" t="e">
        <f>+#REF!/#REF!</f>
        <v>#REF!</v>
      </c>
      <c r="C63" s="2" t="e">
        <f>+#REF!/12</f>
        <v>#REF!</v>
      </c>
      <c r="D63" s="2" t="e">
        <f>+#REF!/12</f>
        <v>#REF!</v>
      </c>
      <c r="E63" s="2" t="e">
        <f>+#REF!/12</f>
        <v>#REF!</v>
      </c>
      <c r="F63" s="2" t="e">
        <f>+#REF!/12</f>
        <v>#REF!</v>
      </c>
      <c r="G63" s="2" t="e">
        <f>+#REF!/12</f>
        <v>#REF!</v>
      </c>
      <c r="H63" s="2" t="e">
        <f>+#REF!/12</f>
        <v>#REF!</v>
      </c>
      <c r="I63" s="2" t="e">
        <f>+#REF!/12</f>
        <v>#REF!</v>
      </c>
      <c r="J63" s="2" t="e">
        <f>+#REF!/12</f>
        <v>#REF!</v>
      </c>
      <c r="K63" s="2" t="e">
        <f>+#REF!/12</f>
        <v>#REF!</v>
      </c>
      <c r="L63" s="2" t="e">
        <f>+#REF!/12</f>
        <v>#REF!</v>
      </c>
      <c r="M63" s="2" t="e">
        <f>+#REF!/12</f>
        <v>#REF!</v>
      </c>
      <c r="N63" s="2" t="e">
        <f>+#REF!/12</f>
        <v>#REF!</v>
      </c>
      <c r="O63" s="6" t="e">
        <f t="shared" si="2"/>
        <v>#REF!</v>
      </c>
      <c r="P63" s="24">
        <v>0</v>
      </c>
      <c r="Q63" s="23">
        <f t="shared" si="9"/>
        <v>0</v>
      </c>
      <c r="R63" s="2">
        <f>+'Cenvalsa industrial'!W63+Cenval!W63+'D&amp;M'!H63+Saratur!H63</f>
        <v>0</v>
      </c>
      <c r="S63" s="2">
        <f>+'Cenvalsa industrial'!X63+Cenval!X63+'D&amp;M'!I63+Saratur!I63</f>
        <v>0</v>
      </c>
      <c r="T63" s="2">
        <f>+'Cenvalsa industrial'!Y63+Cenval!Y63+'D&amp;M'!J63+Saratur!J63</f>
        <v>0</v>
      </c>
      <c r="U63" s="2">
        <f>+'Cenvalsa industrial'!Z63+Cenval!Z63+'D&amp;M'!K63+Saratur!K63</f>
        <v>0</v>
      </c>
      <c r="V63" s="2">
        <f>+'Cenvalsa industrial'!AA63+Cenval!AA63+'D&amp;M'!L63+Saratur!L63</f>
        <v>0</v>
      </c>
      <c r="W63" s="2">
        <f>+'Cenvalsa industrial'!AB63+Cenval!AB63+'D&amp;M'!M63+Saratur!M63</f>
        <v>0</v>
      </c>
      <c r="X63" s="2">
        <f>+'Cenvalsa industrial'!AC63+Cenval!AC63+'D&amp;M'!N63+Saratur!N63</f>
        <v>0</v>
      </c>
      <c r="Y63" s="2">
        <f>+'Cenvalsa industrial'!AD63+Cenval!AD63+'D&amp;M'!O63+Saratur!O63</f>
        <v>0</v>
      </c>
      <c r="Z63" s="2">
        <f>+'Cenvalsa industrial'!AE63+Cenval!AE63+'D&amp;M'!P63+Saratur!P63</f>
        <v>0</v>
      </c>
      <c r="AA63" s="2">
        <f>+'Cenvalsa industrial'!AF63+Cenval!AF63+'D&amp;M'!Q63+Saratur!Q63</f>
        <v>0</v>
      </c>
      <c r="AB63" s="2">
        <f>+'Cenvalsa industrial'!AG63+Cenval!AG63+'D&amp;M'!R63+Saratur!R63</f>
        <v>0</v>
      </c>
      <c r="AC63" s="2">
        <f>+'Cenvalsa industrial'!AH63+Cenval!AH63+'D&amp;M'!S63+Saratur!S63</f>
        <v>0</v>
      </c>
      <c r="AD63" s="6">
        <f t="shared" si="14"/>
        <v>0</v>
      </c>
    </row>
    <row r="64" spans="1:30" outlineLevel="1" x14ac:dyDescent="0.25">
      <c r="A64" s="1" t="s">
        <v>67</v>
      </c>
      <c r="B64" s="8" t="e">
        <f>+#REF!/#REF!</f>
        <v>#REF!</v>
      </c>
      <c r="C64" s="2" t="e">
        <f>+#REF!/12</f>
        <v>#REF!</v>
      </c>
      <c r="D64" s="2" t="e">
        <f>+#REF!/12</f>
        <v>#REF!</v>
      </c>
      <c r="E64" s="2" t="e">
        <f>+#REF!/12</f>
        <v>#REF!</v>
      </c>
      <c r="F64" s="2" t="e">
        <f>+#REF!/12</f>
        <v>#REF!</v>
      </c>
      <c r="G64" s="2" t="e">
        <f>+#REF!/12</f>
        <v>#REF!</v>
      </c>
      <c r="H64" s="2" t="e">
        <f>+#REF!/12</f>
        <v>#REF!</v>
      </c>
      <c r="I64" s="2" t="e">
        <f>+#REF!/12</f>
        <v>#REF!</v>
      </c>
      <c r="J64" s="2" t="e">
        <f>+#REF!/12</f>
        <v>#REF!</v>
      </c>
      <c r="K64" s="2" t="e">
        <f>+#REF!/12</f>
        <v>#REF!</v>
      </c>
      <c r="L64" s="2" t="e">
        <f>+#REF!/12</f>
        <v>#REF!</v>
      </c>
      <c r="M64" s="2" t="e">
        <f>+#REF!/12</f>
        <v>#REF!</v>
      </c>
      <c r="N64" s="2" t="e">
        <f>+#REF!/12</f>
        <v>#REF!</v>
      </c>
      <c r="O64" s="6" t="e">
        <f t="shared" si="2"/>
        <v>#REF!</v>
      </c>
      <c r="P64" s="24">
        <v>0</v>
      </c>
      <c r="Q64" s="23">
        <f t="shared" si="9"/>
        <v>0</v>
      </c>
      <c r="R64" s="2">
        <f>+'Cenvalsa industrial'!W64+Cenval!W64+'D&amp;M'!H64+Saratur!H64</f>
        <v>0</v>
      </c>
      <c r="S64" s="2">
        <f>+'Cenvalsa industrial'!X64+Cenval!X64+'D&amp;M'!I64+Saratur!I64</f>
        <v>0</v>
      </c>
      <c r="T64" s="2">
        <f>+'Cenvalsa industrial'!Y64+Cenval!Y64+'D&amp;M'!J64+Saratur!J64</f>
        <v>0</v>
      </c>
      <c r="U64" s="2">
        <f>+'Cenvalsa industrial'!Z64+Cenval!Z64+'D&amp;M'!K64+Saratur!K64</f>
        <v>0</v>
      </c>
      <c r="V64" s="2">
        <f>+'Cenvalsa industrial'!AA64+Cenval!AA64+'D&amp;M'!L64+Saratur!L64</f>
        <v>0</v>
      </c>
      <c r="W64" s="2">
        <f>+'Cenvalsa industrial'!AB64+Cenval!AB64+'D&amp;M'!M64+Saratur!M64</f>
        <v>0</v>
      </c>
      <c r="X64" s="2">
        <f>+'Cenvalsa industrial'!AC64+Cenval!AC64+'D&amp;M'!N64+Saratur!N64</f>
        <v>0</v>
      </c>
      <c r="Y64" s="2">
        <f>+'Cenvalsa industrial'!AD64+Cenval!AD64+'D&amp;M'!O64+Saratur!O64</f>
        <v>0</v>
      </c>
      <c r="Z64" s="2">
        <f>+'Cenvalsa industrial'!AE64+Cenval!AE64+'D&amp;M'!P64+Saratur!P64</f>
        <v>0</v>
      </c>
      <c r="AA64" s="2">
        <f>+'Cenvalsa industrial'!AF64+Cenval!AF64+'D&amp;M'!Q64+Saratur!Q64</f>
        <v>0</v>
      </c>
      <c r="AB64" s="2">
        <f>+'Cenvalsa industrial'!AG64+Cenval!AG64+'D&amp;M'!R64+Saratur!R64</f>
        <v>0</v>
      </c>
      <c r="AC64" s="2">
        <f>+'Cenvalsa industrial'!AH64+Cenval!AH64+'D&amp;M'!S64+Saratur!S64</f>
        <v>0</v>
      </c>
      <c r="AD64" s="6">
        <f t="shared" si="14"/>
        <v>0</v>
      </c>
    </row>
    <row r="65" spans="1:30" outlineLevel="1" x14ac:dyDescent="0.25">
      <c r="A65" s="1" t="s">
        <v>68</v>
      </c>
      <c r="B65" s="8" t="e">
        <f>+#REF!/#REF!</f>
        <v>#REF!</v>
      </c>
      <c r="C65" s="2" t="e">
        <f>+#REF!/12</f>
        <v>#REF!</v>
      </c>
      <c r="D65" s="2" t="e">
        <f>+#REF!/12</f>
        <v>#REF!</v>
      </c>
      <c r="E65" s="2" t="e">
        <f>+#REF!/12</f>
        <v>#REF!</v>
      </c>
      <c r="F65" s="2" t="e">
        <f>+#REF!/12</f>
        <v>#REF!</v>
      </c>
      <c r="G65" s="2" t="e">
        <f>+#REF!/12</f>
        <v>#REF!</v>
      </c>
      <c r="H65" s="2" t="e">
        <f>+#REF!/12</f>
        <v>#REF!</v>
      </c>
      <c r="I65" s="2" t="e">
        <f>+#REF!/12</f>
        <v>#REF!</v>
      </c>
      <c r="J65" s="2" t="e">
        <f>+#REF!/12</f>
        <v>#REF!</v>
      </c>
      <c r="K65" s="2" t="e">
        <f>+#REF!/12</f>
        <v>#REF!</v>
      </c>
      <c r="L65" s="2" t="e">
        <f>+#REF!/12</f>
        <v>#REF!</v>
      </c>
      <c r="M65" s="2" t="e">
        <f>+#REF!/12</f>
        <v>#REF!</v>
      </c>
      <c r="N65" s="2" t="e">
        <f>+#REF!/12</f>
        <v>#REF!</v>
      </c>
      <c r="O65" s="6" t="e">
        <f t="shared" si="2"/>
        <v>#REF!</v>
      </c>
      <c r="P65" s="24">
        <v>0</v>
      </c>
      <c r="Q65" s="23">
        <f t="shared" si="9"/>
        <v>0</v>
      </c>
      <c r="R65" s="2">
        <f>+'Cenvalsa industrial'!W65+Cenval!W65+'D&amp;M'!H65+Saratur!H65</f>
        <v>0</v>
      </c>
      <c r="S65" s="2">
        <f>+'Cenvalsa industrial'!X65+Cenval!X65+'D&amp;M'!I65+Saratur!I65</f>
        <v>0</v>
      </c>
      <c r="T65" s="2">
        <f>+'Cenvalsa industrial'!Y65+Cenval!Y65+'D&amp;M'!J65+Saratur!J65</f>
        <v>0</v>
      </c>
      <c r="U65" s="2">
        <f>+'Cenvalsa industrial'!Z65+Cenval!Z65+'D&amp;M'!K65+Saratur!K65</f>
        <v>0</v>
      </c>
      <c r="V65" s="2">
        <f>+'Cenvalsa industrial'!AA65+Cenval!AA65+'D&amp;M'!L65+Saratur!L65</f>
        <v>0</v>
      </c>
      <c r="W65" s="2">
        <f>+'Cenvalsa industrial'!AB65+Cenval!AB65+'D&amp;M'!M65+Saratur!M65</f>
        <v>0</v>
      </c>
      <c r="X65" s="2">
        <f>+'Cenvalsa industrial'!AC65+Cenval!AC65+'D&amp;M'!N65+Saratur!N65</f>
        <v>0</v>
      </c>
      <c r="Y65" s="2">
        <f>+'Cenvalsa industrial'!AD65+Cenval!AD65+'D&amp;M'!O65+Saratur!O65</f>
        <v>0</v>
      </c>
      <c r="Z65" s="2">
        <f>+'Cenvalsa industrial'!AE65+Cenval!AE65+'D&amp;M'!P65+Saratur!P65</f>
        <v>0</v>
      </c>
      <c r="AA65" s="2">
        <f>+'Cenvalsa industrial'!AF65+Cenval!AF65+'D&amp;M'!Q65+Saratur!Q65</f>
        <v>0</v>
      </c>
      <c r="AB65" s="2">
        <f>+'Cenvalsa industrial'!AG65+Cenval!AG65+'D&amp;M'!R65+Saratur!R65</f>
        <v>0</v>
      </c>
      <c r="AC65" s="2">
        <f>+'Cenvalsa industrial'!AH65+Cenval!AH65+'D&amp;M'!S65+Saratur!S65</f>
        <v>0</v>
      </c>
      <c r="AD65" s="6">
        <f t="shared" si="14"/>
        <v>0</v>
      </c>
    </row>
    <row r="66" spans="1:30" outlineLevel="1" x14ac:dyDescent="0.25">
      <c r="A66" s="1" t="s">
        <v>69</v>
      </c>
      <c r="B66" s="8" t="e">
        <f>+#REF!/#REF!</f>
        <v>#REF!</v>
      </c>
      <c r="C66" s="2" t="e">
        <f>+#REF!/12</f>
        <v>#REF!</v>
      </c>
      <c r="D66" s="2" t="e">
        <f>+#REF!/12</f>
        <v>#REF!</v>
      </c>
      <c r="E66" s="2" t="e">
        <f>+#REF!/12</f>
        <v>#REF!</v>
      </c>
      <c r="F66" s="2" t="e">
        <f>+#REF!/12</f>
        <v>#REF!</v>
      </c>
      <c r="G66" s="2" t="e">
        <f>+#REF!/12</f>
        <v>#REF!</v>
      </c>
      <c r="H66" s="2" t="e">
        <f>+#REF!/12</f>
        <v>#REF!</v>
      </c>
      <c r="I66" s="2" t="e">
        <f>+#REF!/12</f>
        <v>#REF!</v>
      </c>
      <c r="J66" s="2" t="e">
        <f>+#REF!/12</f>
        <v>#REF!</v>
      </c>
      <c r="K66" s="2" t="e">
        <f>+#REF!/12</f>
        <v>#REF!</v>
      </c>
      <c r="L66" s="2" t="e">
        <f>+#REF!/12</f>
        <v>#REF!</v>
      </c>
      <c r="M66" s="2" t="e">
        <f>+#REF!/12</f>
        <v>#REF!</v>
      </c>
      <c r="N66" s="2" t="e">
        <f>+#REF!/12</f>
        <v>#REF!</v>
      </c>
      <c r="O66" s="6" t="e">
        <f t="shared" si="2"/>
        <v>#REF!</v>
      </c>
      <c r="P66" s="24">
        <v>0</v>
      </c>
      <c r="Q66" s="23">
        <f t="shared" si="9"/>
        <v>0</v>
      </c>
      <c r="R66" s="2">
        <f>+'Cenvalsa industrial'!W66+Cenval!W66+'D&amp;M'!H66+Saratur!H66</f>
        <v>0</v>
      </c>
      <c r="S66" s="2">
        <f>+'Cenvalsa industrial'!X66+Cenval!X66+'D&amp;M'!I66+Saratur!I66</f>
        <v>0</v>
      </c>
      <c r="T66" s="2">
        <f>+'Cenvalsa industrial'!Y66+Cenval!Y66+'D&amp;M'!J66+Saratur!J66</f>
        <v>0</v>
      </c>
      <c r="U66" s="2">
        <f>+'Cenvalsa industrial'!Z66+Cenval!Z66+'D&amp;M'!K66+Saratur!K66</f>
        <v>0</v>
      </c>
      <c r="V66" s="2">
        <f>+'Cenvalsa industrial'!AA66+Cenval!AA66+'D&amp;M'!L66+Saratur!L66</f>
        <v>0</v>
      </c>
      <c r="W66" s="2">
        <f>+'Cenvalsa industrial'!AB66+Cenval!AB66+'D&amp;M'!M66+Saratur!M66</f>
        <v>0</v>
      </c>
      <c r="X66" s="2">
        <f>+'Cenvalsa industrial'!AC66+Cenval!AC66+'D&amp;M'!N66+Saratur!N66</f>
        <v>0</v>
      </c>
      <c r="Y66" s="2">
        <f>+'Cenvalsa industrial'!AD66+Cenval!AD66+'D&amp;M'!O66+Saratur!O66</f>
        <v>0</v>
      </c>
      <c r="Z66" s="2">
        <f>+'Cenvalsa industrial'!AE66+Cenval!AE66+'D&amp;M'!P66+Saratur!P66</f>
        <v>0</v>
      </c>
      <c r="AA66" s="2">
        <f>+'Cenvalsa industrial'!AF66+Cenval!AF66+'D&amp;M'!Q66+Saratur!Q66</f>
        <v>0</v>
      </c>
      <c r="AB66" s="2">
        <f>+'Cenvalsa industrial'!AG66+Cenval!AG66+'D&amp;M'!R66+Saratur!R66</f>
        <v>0</v>
      </c>
      <c r="AC66" s="2">
        <f>+'Cenvalsa industrial'!AH66+Cenval!AH66+'D&amp;M'!S66+Saratur!S66</f>
        <v>0</v>
      </c>
      <c r="AD66" s="6">
        <f t="shared" si="14"/>
        <v>0</v>
      </c>
    </row>
    <row r="67" spans="1:30" outlineLevel="1" x14ac:dyDescent="0.25">
      <c r="A67" s="1" t="s">
        <v>70</v>
      </c>
      <c r="B67" s="8" t="e">
        <f>+#REF!/#REF!</f>
        <v>#REF!</v>
      </c>
      <c r="C67" s="2" t="e">
        <f>+#REF!/12</f>
        <v>#REF!</v>
      </c>
      <c r="D67" s="2" t="e">
        <f>+#REF!/12</f>
        <v>#REF!</v>
      </c>
      <c r="E67" s="2" t="e">
        <f>+#REF!/12</f>
        <v>#REF!</v>
      </c>
      <c r="F67" s="2" t="e">
        <f>+#REF!/12</f>
        <v>#REF!</v>
      </c>
      <c r="G67" s="2" t="e">
        <f>+#REF!/12</f>
        <v>#REF!</v>
      </c>
      <c r="H67" s="2" t="e">
        <f>+#REF!/12</f>
        <v>#REF!</v>
      </c>
      <c r="I67" s="2" t="e">
        <f>+#REF!/12</f>
        <v>#REF!</v>
      </c>
      <c r="J67" s="2" t="e">
        <f>+#REF!/12</f>
        <v>#REF!</v>
      </c>
      <c r="K67" s="2" t="e">
        <f>+#REF!/12</f>
        <v>#REF!</v>
      </c>
      <c r="L67" s="2" t="e">
        <f>+#REF!/12</f>
        <v>#REF!</v>
      </c>
      <c r="M67" s="2" t="e">
        <f>+#REF!/12</f>
        <v>#REF!</v>
      </c>
      <c r="N67" s="2" t="e">
        <f>+#REF!/12</f>
        <v>#REF!</v>
      </c>
      <c r="O67" s="6" t="e">
        <f t="shared" ref="O67:O130" si="17">SUM(C67:N67)</f>
        <v>#REF!</v>
      </c>
      <c r="P67" s="24">
        <v>0</v>
      </c>
      <c r="Q67" s="23">
        <f t="shared" si="9"/>
        <v>0</v>
      </c>
      <c r="R67" s="2">
        <f>+'Cenvalsa industrial'!W67+Cenval!W67+'D&amp;M'!H67+Saratur!H67</f>
        <v>0</v>
      </c>
      <c r="S67" s="2">
        <f>+'Cenvalsa industrial'!X67+Cenval!X67+'D&amp;M'!I67+Saratur!I67</f>
        <v>0</v>
      </c>
      <c r="T67" s="2">
        <f>+'Cenvalsa industrial'!Y67+Cenval!Y67+'D&amp;M'!J67+Saratur!J67</f>
        <v>0</v>
      </c>
      <c r="U67" s="2">
        <f>+'Cenvalsa industrial'!Z67+Cenval!Z67+'D&amp;M'!K67+Saratur!K67</f>
        <v>0</v>
      </c>
      <c r="V67" s="2">
        <f>+'Cenvalsa industrial'!AA67+Cenval!AA67+'D&amp;M'!L67+Saratur!L67</f>
        <v>0</v>
      </c>
      <c r="W67" s="2">
        <f>+'Cenvalsa industrial'!AB67+Cenval!AB67+'D&amp;M'!M67+Saratur!M67</f>
        <v>0</v>
      </c>
      <c r="X67" s="2">
        <f>+'Cenvalsa industrial'!AC67+Cenval!AC67+'D&amp;M'!N67+Saratur!N67</f>
        <v>0</v>
      </c>
      <c r="Y67" s="2">
        <f>+'Cenvalsa industrial'!AD67+Cenval!AD67+'D&amp;M'!O67+Saratur!O67</f>
        <v>0</v>
      </c>
      <c r="Z67" s="2">
        <f>+'Cenvalsa industrial'!AE67+Cenval!AE67+'D&amp;M'!P67+Saratur!P67</f>
        <v>0</v>
      </c>
      <c r="AA67" s="2">
        <f>+'Cenvalsa industrial'!AF67+Cenval!AF67+'D&amp;M'!Q67+Saratur!Q67</f>
        <v>0</v>
      </c>
      <c r="AB67" s="2">
        <f>+'Cenvalsa industrial'!AG67+Cenval!AG67+'D&amp;M'!R67+Saratur!R67</f>
        <v>0</v>
      </c>
      <c r="AC67" s="2">
        <f>+'Cenvalsa industrial'!AH67+Cenval!AH67+'D&amp;M'!S67+Saratur!S67</f>
        <v>0</v>
      </c>
      <c r="AD67" s="6">
        <f t="shared" ref="AD67:AD130" si="18">SUM(R67:AC67)</f>
        <v>0</v>
      </c>
    </row>
    <row r="68" spans="1:30" outlineLevel="1" x14ac:dyDescent="0.25">
      <c r="A68" s="1" t="s">
        <v>71</v>
      </c>
      <c r="B68" s="8" t="e">
        <f>+#REF!/#REF!</f>
        <v>#REF!</v>
      </c>
      <c r="C68" s="2" t="e">
        <f>+#REF!/12</f>
        <v>#REF!</v>
      </c>
      <c r="D68" s="2" t="e">
        <f>+#REF!/12</f>
        <v>#REF!</v>
      </c>
      <c r="E68" s="2" t="e">
        <f>+#REF!/12</f>
        <v>#REF!</v>
      </c>
      <c r="F68" s="2" t="e">
        <f>+#REF!/12</f>
        <v>#REF!</v>
      </c>
      <c r="G68" s="2" t="e">
        <f>+#REF!/12</f>
        <v>#REF!</v>
      </c>
      <c r="H68" s="2" t="e">
        <f>+#REF!/12</f>
        <v>#REF!</v>
      </c>
      <c r="I68" s="2" t="e">
        <f>+#REF!/12</f>
        <v>#REF!</v>
      </c>
      <c r="J68" s="2" t="e">
        <f>+#REF!/12</f>
        <v>#REF!</v>
      </c>
      <c r="K68" s="2" t="e">
        <f>+#REF!/12</f>
        <v>#REF!</v>
      </c>
      <c r="L68" s="2" t="e">
        <f>+#REF!/12</f>
        <v>#REF!</v>
      </c>
      <c r="M68" s="2" t="e">
        <f>+#REF!/12</f>
        <v>#REF!</v>
      </c>
      <c r="N68" s="2" t="e">
        <f>+#REF!/12</f>
        <v>#REF!</v>
      </c>
      <c r="O68" s="6" t="e">
        <f t="shared" si="17"/>
        <v>#REF!</v>
      </c>
      <c r="P68" s="24">
        <v>0</v>
      </c>
      <c r="Q68" s="23">
        <f t="shared" si="9"/>
        <v>0</v>
      </c>
      <c r="R68" s="2">
        <f>+'Cenvalsa industrial'!W68+Cenval!W68+'D&amp;M'!H68+Saratur!H68</f>
        <v>0</v>
      </c>
      <c r="S68" s="2">
        <f>+'Cenvalsa industrial'!X68+Cenval!X68+'D&amp;M'!I68+Saratur!I68</f>
        <v>0</v>
      </c>
      <c r="T68" s="2">
        <f>+'Cenvalsa industrial'!Y68+Cenval!Y68+'D&amp;M'!J68+Saratur!J68</f>
        <v>0</v>
      </c>
      <c r="U68" s="2">
        <f>+'Cenvalsa industrial'!Z68+Cenval!Z68+'D&amp;M'!K68+Saratur!K68</f>
        <v>0</v>
      </c>
      <c r="V68" s="2">
        <f>+'Cenvalsa industrial'!AA68+Cenval!AA68+'D&amp;M'!L68+Saratur!L68</f>
        <v>0</v>
      </c>
      <c r="W68" s="2">
        <f>+'Cenvalsa industrial'!AB68+Cenval!AB68+'D&amp;M'!M68+Saratur!M68</f>
        <v>0</v>
      </c>
      <c r="X68" s="2">
        <f>+'Cenvalsa industrial'!AC68+Cenval!AC68+'D&amp;M'!N68+Saratur!N68</f>
        <v>0</v>
      </c>
      <c r="Y68" s="2">
        <f>+'Cenvalsa industrial'!AD68+Cenval!AD68+'D&amp;M'!O68+Saratur!O68</f>
        <v>0</v>
      </c>
      <c r="Z68" s="2">
        <f>+'Cenvalsa industrial'!AE68+Cenval!AE68+'D&amp;M'!P68+Saratur!P68</f>
        <v>0</v>
      </c>
      <c r="AA68" s="2">
        <f>+'Cenvalsa industrial'!AF68+Cenval!AF68+'D&amp;M'!Q68+Saratur!Q68</f>
        <v>0</v>
      </c>
      <c r="AB68" s="2">
        <f>+'Cenvalsa industrial'!AG68+Cenval!AG68+'D&amp;M'!R68+Saratur!R68</f>
        <v>0</v>
      </c>
      <c r="AC68" s="2">
        <f>+'Cenvalsa industrial'!AH68+Cenval!AH68+'D&amp;M'!S68+Saratur!S68</f>
        <v>0</v>
      </c>
      <c r="AD68" s="6">
        <f t="shared" si="18"/>
        <v>0</v>
      </c>
    </row>
    <row r="69" spans="1:30" outlineLevel="1" x14ac:dyDescent="0.25">
      <c r="A69" s="1" t="s">
        <v>72</v>
      </c>
      <c r="B69" s="8" t="e">
        <f>+#REF!/#REF!</f>
        <v>#REF!</v>
      </c>
      <c r="C69" s="2" t="e">
        <f>+#REF!/12</f>
        <v>#REF!</v>
      </c>
      <c r="D69" s="2" t="e">
        <f>+#REF!/12</f>
        <v>#REF!</v>
      </c>
      <c r="E69" s="2" t="e">
        <f>+#REF!/12</f>
        <v>#REF!</v>
      </c>
      <c r="F69" s="2" t="e">
        <f>+#REF!/12</f>
        <v>#REF!</v>
      </c>
      <c r="G69" s="2" t="e">
        <f>+#REF!/12</f>
        <v>#REF!</v>
      </c>
      <c r="H69" s="2" t="e">
        <f>+#REF!/12</f>
        <v>#REF!</v>
      </c>
      <c r="I69" s="2" t="e">
        <f>+#REF!/12</f>
        <v>#REF!</v>
      </c>
      <c r="J69" s="2" t="e">
        <f>+#REF!/12</f>
        <v>#REF!</v>
      </c>
      <c r="K69" s="2" t="e">
        <f>+#REF!/12</f>
        <v>#REF!</v>
      </c>
      <c r="L69" s="2" t="e">
        <f>+#REF!/12</f>
        <v>#REF!</v>
      </c>
      <c r="M69" s="2" t="e">
        <f>+#REF!/12</f>
        <v>#REF!</v>
      </c>
      <c r="N69" s="2" t="e">
        <f>+#REF!/12</f>
        <v>#REF!</v>
      </c>
      <c r="O69" s="6" t="e">
        <f t="shared" si="17"/>
        <v>#REF!</v>
      </c>
      <c r="P69" s="24">
        <v>0</v>
      </c>
      <c r="Q69" s="23">
        <f t="shared" si="9"/>
        <v>0</v>
      </c>
      <c r="R69" s="2">
        <f>+'Cenvalsa industrial'!W69+Cenval!W69+'D&amp;M'!H69+Saratur!H69</f>
        <v>0</v>
      </c>
      <c r="S69" s="2">
        <f>+'Cenvalsa industrial'!X69+Cenval!X69+'D&amp;M'!I69+Saratur!I69</f>
        <v>0</v>
      </c>
      <c r="T69" s="2">
        <f>+'Cenvalsa industrial'!Y69+Cenval!Y69+'D&amp;M'!J69+Saratur!J69</f>
        <v>0</v>
      </c>
      <c r="U69" s="2">
        <f>+'Cenvalsa industrial'!Z69+Cenval!Z69+'D&amp;M'!K69+Saratur!K69</f>
        <v>0</v>
      </c>
      <c r="V69" s="2">
        <f>+'Cenvalsa industrial'!AA69+Cenval!AA69+'D&amp;M'!L69+Saratur!L69</f>
        <v>0</v>
      </c>
      <c r="W69" s="2">
        <f>+'Cenvalsa industrial'!AB69+Cenval!AB69+'D&amp;M'!M69+Saratur!M69</f>
        <v>0</v>
      </c>
      <c r="X69" s="2">
        <f>+'Cenvalsa industrial'!AC69+Cenval!AC69+'D&amp;M'!N69+Saratur!N69</f>
        <v>0</v>
      </c>
      <c r="Y69" s="2">
        <f>+'Cenvalsa industrial'!AD69+Cenval!AD69+'D&amp;M'!O69+Saratur!O69</f>
        <v>0</v>
      </c>
      <c r="Z69" s="2">
        <f>+'Cenvalsa industrial'!AE69+Cenval!AE69+'D&amp;M'!P69+Saratur!P69</f>
        <v>0</v>
      </c>
      <c r="AA69" s="2">
        <f>+'Cenvalsa industrial'!AF69+Cenval!AF69+'D&amp;M'!Q69+Saratur!Q69</f>
        <v>0</v>
      </c>
      <c r="AB69" s="2">
        <f>+'Cenvalsa industrial'!AG69+Cenval!AG69+'D&amp;M'!R69+Saratur!R69</f>
        <v>0</v>
      </c>
      <c r="AC69" s="2">
        <f>+'Cenvalsa industrial'!AH69+Cenval!AH69+'D&amp;M'!S69+Saratur!S69</f>
        <v>0</v>
      </c>
      <c r="AD69" s="6">
        <f t="shared" si="18"/>
        <v>0</v>
      </c>
    </row>
    <row r="70" spans="1:30" outlineLevel="1" x14ac:dyDescent="0.25">
      <c r="A70" s="1" t="s">
        <v>73</v>
      </c>
      <c r="B70" s="8" t="e">
        <f>+#REF!/#REF!</f>
        <v>#REF!</v>
      </c>
      <c r="C70" s="2" t="e">
        <f>+#REF!/12</f>
        <v>#REF!</v>
      </c>
      <c r="D70" s="2" t="e">
        <f>+#REF!/12</f>
        <v>#REF!</v>
      </c>
      <c r="E70" s="2" t="e">
        <f>+#REF!/12</f>
        <v>#REF!</v>
      </c>
      <c r="F70" s="2" t="e">
        <f>+#REF!/12</f>
        <v>#REF!</v>
      </c>
      <c r="G70" s="2" t="e">
        <f>+#REF!/12</f>
        <v>#REF!</v>
      </c>
      <c r="H70" s="2" t="e">
        <f>+#REF!/12</f>
        <v>#REF!</v>
      </c>
      <c r="I70" s="2" t="e">
        <f>+#REF!/12</f>
        <v>#REF!</v>
      </c>
      <c r="J70" s="2" t="e">
        <f>+#REF!/12</f>
        <v>#REF!</v>
      </c>
      <c r="K70" s="2" t="e">
        <f>+#REF!/12</f>
        <v>#REF!</v>
      </c>
      <c r="L70" s="2" t="e">
        <f>+#REF!/12</f>
        <v>#REF!</v>
      </c>
      <c r="M70" s="2" t="e">
        <f>+#REF!/12</f>
        <v>#REF!</v>
      </c>
      <c r="N70" s="2" t="e">
        <f>+#REF!/12</f>
        <v>#REF!</v>
      </c>
      <c r="O70" s="6" t="e">
        <f t="shared" si="17"/>
        <v>#REF!</v>
      </c>
      <c r="P70" s="24">
        <v>0</v>
      </c>
      <c r="Q70" s="23">
        <f t="shared" si="9"/>
        <v>0</v>
      </c>
      <c r="R70" s="2">
        <f>+'Cenvalsa industrial'!W70+Cenval!W70+'D&amp;M'!H70+Saratur!H70</f>
        <v>0</v>
      </c>
      <c r="S70" s="2">
        <f>+'Cenvalsa industrial'!X70+Cenval!X70+'D&amp;M'!I70+Saratur!I70</f>
        <v>0</v>
      </c>
      <c r="T70" s="2">
        <f>+'Cenvalsa industrial'!Y70+Cenval!Y70+'D&amp;M'!J70+Saratur!J70</f>
        <v>0</v>
      </c>
      <c r="U70" s="2">
        <f>+'Cenvalsa industrial'!Z70+Cenval!Z70+'D&amp;M'!K70+Saratur!K70</f>
        <v>0</v>
      </c>
      <c r="V70" s="2">
        <f>+'Cenvalsa industrial'!AA70+Cenval!AA70+'D&amp;M'!L70+Saratur!L70</f>
        <v>0</v>
      </c>
      <c r="W70" s="2">
        <f>+'Cenvalsa industrial'!AB70+Cenval!AB70+'D&amp;M'!M70+Saratur!M70</f>
        <v>0</v>
      </c>
      <c r="X70" s="2">
        <f>+'Cenvalsa industrial'!AC70+Cenval!AC70+'D&amp;M'!N70+Saratur!N70</f>
        <v>0</v>
      </c>
      <c r="Y70" s="2">
        <f>+'Cenvalsa industrial'!AD70+Cenval!AD70+'D&amp;M'!O70+Saratur!O70</f>
        <v>0</v>
      </c>
      <c r="Z70" s="2">
        <f>+'Cenvalsa industrial'!AE70+Cenval!AE70+'D&amp;M'!P70+Saratur!P70</f>
        <v>0</v>
      </c>
      <c r="AA70" s="2">
        <f>+'Cenvalsa industrial'!AF70+Cenval!AF70+'D&amp;M'!Q70+Saratur!Q70</f>
        <v>0</v>
      </c>
      <c r="AB70" s="2">
        <f>+'Cenvalsa industrial'!AG70+Cenval!AG70+'D&amp;M'!R70+Saratur!R70</f>
        <v>0</v>
      </c>
      <c r="AC70" s="2">
        <f>+'Cenvalsa industrial'!AH70+Cenval!AH70+'D&amp;M'!S70+Saratur!S70</f>
        <v>0</v>
      </c>
      <c r="AD70" s="6">
        <f t="shared" si="18"/>
        <v>0</v>
      </c>
    </row>
    <row r="71" spans="1:30" outlineLevel="1" x14ac:dyDescent="0.25">
      <c r="A71" s="1" t="s">
        <v>74</v>
      </c>
      <c r="B71" s="8" t="e">
        <f>+#REF!/#REF!</f>
        <v>#REF!</v>
      </c>
      <c r="C71" s="2" t="e">
        <f>+#REF!/12</f>
        <v>#REF!</v>
      </c>
      <c r="D71" s="2" t="e">
        <f>+#REF!/12</f>
        <v>#REF!</v>
      </c>
      <c r="E71" s="2" t="e">
        <f>+#REF!/12</f>
        <v>#REF!</v>
      </c>
      <c r="F71" s="2" t="e">
        <f>+#REF!/12</f>
        <v>#REF!</v>
      </c>
      <c r="G71" s="2" t="e">
        <f>+#REF!/12</f>
        <v>#REF!</v>
      </c>
      <c r="H71" s="2" t="e">
        <f>+#REF!/12</f>
        <v>#REF!</v>
      </c>
      <c r="I71" s="2" t="e">
        <f>+#REF!/12</f>
        <v>#REF!</v>
      </c>
      <c r="J71" s="2" t="e">
        <f>+#REF!/12</f>
        <v>#REF!</v>
      </c>
      <c r="K71" s="2" t="e">
        <f>+#REF!/12</f>
        <v>#REF!</v>
      </c>
      <c r="L71" s="2" t="e">
        <f>+#REF!/12</f>
        <v>#REF!</v>
      </c>
      <c r="M71" s="2" t="e">
        <f>+#REF!/12</f>
        <v>#REF!</v>
      </c>
      <c r="N71" s="2" t="e">
        <f>+#REF!/12</f>
        <v>#REF!</v>
      </c>
      <c r="O71" s="6" t="e">
        <f t="shared" si="17"/>
        <v>#REF!</v>
      </c>
      <c r="P71" s="24">
        <v>0</v>
      </c>
      <c r="Q71" s="23">
        <f t="shared" si="9"/>
        <v>0</v>
      </c>
      <c r="R71" s="2">
        <f>+'Cenvalsa industrial'!W71+Cenval!W71+'D&amp;M'!H71+Saratur!H71</f>
        <v>0</v>
      </c>
      <c r="S71" s="2">
        <f>+'Cenvalsa industrial'!X71+Cenval!X71+'D&amp;M'!I71+Saratur!I71</f>
        <v>0</v>
      </c>
      <c r="T71" s="2">
        <f>+'Cenvalsa industrial'!Y71+Cenval!Y71+'D&amp;M'!J71+Saratur!J71</f>
        <v>0</v>
      </c>
      <c r="U71" s="2">
        <f>+'Cenvalsa industrial'!Z71+Cenval!Z71+'D&amp;M'!K71+Saratur!K71</f>
        <v>0</v>
      </c>
      <c r="V71" s="2">
        <f>+'Cenvalsa industrial'!AA71+Cenval!AA71+'D&amp;M'!L71+Saratur!L71</f>
        <v>0</v>
      </c>
      <c r="W71" s="2">
        <f>+'Cenvalsa industrial'!AB71+Cenval!AB71+'D&amp;M'!M71+Saratur!M71</f>
        <v>0</v>
      </c>
      <c r="X71" s="2">
        <f>+'Cenvalsa industrial'!AC71+Cenval!AC71+'D&amp;M'!N71+Saratur!N71</f>
        <v>0</v>
      </c>
      <c r="Y71" s="2">
        <f>+'Cenvalsa industrial'!AD71+Cenval!AD71+'D&amp;M'!O71+Saratur!O71</f>
        <v>0</v>
      </c>
      <c r="Z71" s="2">
        <f>+'Cenvalsa industrial'!AE71+Cenval!AE71+'D&amp;M'!P71+Saratur!P71</f>
        <v>0</v>
      </c>
      <c r="AA71" s="2">
        <f>+'Cenvalsa industrial'!AF71+Cenval!AF71+'D&amp;M'!Q71+Saratur!Q71</f>
        <v>0</v>
      </c>
      <c r="AB71" s="2">
        <f>+'Cenvalsa industrial'!AG71+Cenval!AG71+'D&amp;M'!R71+Saratur!R71</f>
        <v>0</v>
      </c>
      <c r="AC71" s="2">
        <f>+'Cenvalsa industrial'!AH71+Cenval!AH71+'D&amp;M'!S71+Saratur!S71</f>
        <v>0</v>
      </c>
      <c r="AD71" s="6">
        <f t="shared" si="18"/>
        <v>0</v>
      </c>
    </row>
    <row r="72" spans="1:30" outlineLevel="1" x14ac:dyDescent="0.25">
      <c r="A72" s="1" t="s">
        <v>75</v>
      </c>
      <c r="B72" s="8" t="e">
        <f>+#REF!/#REF!</f>
        <v>#REF!</v>
      </c>
      <c r="C72" s="2" t="e">
        <f>+#REF!/12</f>
        <v>#REF!</v>
      </c>
      <c r="D72" s="2" t="e">
        <f>+#REF!/12</f>
        <v>#REF!</v>
      </c>
      <c r="E72" s="2" t="e">
        <f>+#REF!/12</f>
        <v>#REF!</v>
      </c>
      <c r="F72" s="2" t="e">
        <f>+#REF!/12</f>
        <v>#REF!</v>
      </c>
      <c r="G72" s="2" t="e">
        <f>+#REF!/12</f>
        <v>#REF!</v>
      </c>
      <c r="H72" s="2" t="e">
        <f>+#REF!/12</f>
        <v>#REF!</v>
      </c>
      <c r="I72" s="2" t="e">
        <f>+#REF!/12</f>
        <v>#REF!</v>
      </c>
      <c r="J72" s="2" t="e">
        <f>+#REF!/12</f>
        <v>#REF!</v>
      </c>
      <c r="K72" s="2" t="e">
        <f>+#REF!/12</f>
        <v>#REF!</v>
      </c>
      <c r="L72" s="2" t="e">
        <f>+#REF!/12</f>
        <v>#REF!</v>
      </c>
      <c r="M72" s="2" t="e">
        <f>+#REF!/12</f>
        <v>#REF!</v>
      </c>
      <c r="N72" s="2" t="e">
        <f>+#REF!/12</f>
        <v>#REF!</v>
      </c>
      <c r="O72" s="6" t="e">
        <f t="shared" si="17"/>
        <v>#REF!</v>
      </c>
      <c r="P72" s="24">
        <v>0</v>
      </c>
      <c r="Q72" s="23">
        <f t="shared" si="9"/>
        <v>0</v>
      </c>
      <c r="R72" s="2">
        <f>+'Cenvalsa industrial'!W72+Cenval!W72+'D&amp;M'!H72+Saratur!H72</f>
        <v>-531.25</v>
      </c>
      <c r="S72" s="2">
        <f>+'Cenvalsa industrial'!X72+Cenval!X72+'D&amp;M'!I72+Saratur!I72</f>
        <v>-531.25</v>
      </c>
      <c r="T72" s="2">
        <f>+'Cenvalsa industrial'!Y72+Cenval!Y72+'D&amp;M'!J72+Saratur!J72</f>
        <v>-531.25</v>
      </c>
      <c r="U72" s="2">
        <f>+'Cenvalsa industrial'!Z72+Cenval!Z72+'D&amp;M'!K72+Saratur!K72</f>
        <v>-531.25</v>
      </c>
      <c r="V72" s="2">
        <f>+'Cenvalsa industrial'!AA72+Cenval!AA72+'D&amp;M'!L72+Saratur!L72</f>
        <v>-531.25</v>
      </c>
      <c r="W72" s="2">
        <f>+'Cenvalsa industrial'!AB72+Cenval!AB72+'D&amp;M'!M72+Saratur!M72</f>
        <v>-531.25</v>
      </c>
      <c r="X72" s="2">
        <f>+'Cenvalsa industrial'!AC72+Cenval!AC72+'D&amp;M'!N72+Saratur!N72</f>
        <v>-531.25</v>
      </c>
      <c r="Y72" s="2">
        <f>+'Cenvalsa industrial'!AD72+Cenval!AD72+'D&amp;M'!O72+Saratur!O72</f>
        <v>-531.25</v>
      </c>
      <c r="Z72" s="2">
        <f>+'Cenvalsa industrial'!AE72+Cenval!AE72+'D&amp;M'!P72+Saratur!P72</f>
        <v>-531.25</v>
      </c>
      <c r="AA72" s="2">
        <f>+'Cenvalsa industrial'!AF72+Cenval!AF72+'D&amp;M'!Q72+Saratur!Q72</f>
        <v>-531.25</v>
      </c>
      <c r="AB72" s="2">
        <f>+'Cenvalsa industrial'!AG72+Cenval!AG72+'D&amp;M'!R72+Saratur!R72</f>
        <v>-531.25</v>
      </c>
      <c r="AC72" s="2">
        <f>+'Cenvalsa industrial'!AH72+Cenval!AH72+'D&amp;M'!S72+Saratur!S72</f>
        <v>-531.25</v>
      </c>
      <c r="AD72" s="6">
        <f t="shared" si="18"/>
        <v>-6375</v>
      </c>
    </row>
    <row r="73" spans="1:30" outlineLevel="1" x14ac:dyDescent="0.25">
      <c r="A73" s="1" t="s">
        <v>76</v>
      </c>
      <c r="B73" s="8" t="e">
        <f>+#REF!/#REF!</f>
        <v>#REF!</v>
      </c>
      <c r="C73" s="2" t="e">
        <f>+#REF!/12</f>
        <v>#REF!</v>
      </c>
      <c r="D73" s="2" t="e">
        <f>+#REF!/12</f>
        <v>#REF!</v>
      </c>
      <c r="E73" s="2" t="e">
        <f>+#REF!/12</f>
        <v>#REF!</v>
      </c>
      <c r="F73" s="2" t="e">
        <f>+#REF!/12</f>
        <v>#REF!</v>
      </c>
      <c r="G73" s="2" t="e">
        <f>+#REF!/12</f>
        <v>#REF!</v>
      </c>
      <c r="H73" s="2" t="e">
        <f>+#REF!/12</f>
        <v>#REF!</v>
      </c>
      <c r="I73" s="2" t="e">
        <f>+#REF!/12</f>
        <v>#REF!</v>
      </c>
      <c r="J73" s="2" t="e">
        <f>+#REF!/12</f>
        <v>#REF!</v>
      </c>
      <c r="K73" s="2" t="e">
        <f>+#REF!/12</f>
        <v>#REF!</v>
      </c>
      <c r="L73" s="2" t="e">
        <f>+#REF!/12</f>
        <v>#REF!</v>
      </c>
      <c r="M73" s="2" t="e">
        <f>+#REF!/12</f>
        <v>#REF!</v>
      </c>
      <c r="N73" s="2" t="e">
        <f>+#REF!/12</f>
        <v>#REF!</v>
      </c>
      <c r="O73" s="6" t="e">
        <f t="shared" si="17"/>
        <v>#REF!</v>
      </c>
      <c r="P73" s="24">
        <v>0</v>
      </c>
      <c r="Q73" s="23">
        <f t="shared" si="9"/>
        <v>0</v>
      </c>
      <c r="R73" s="2">
        <f>+'Cenvalsa industrial'!W73+Cenval!W73+'D&amp;M'!H73+Saratur!H73</f>
        <v>0</v>
      </c>
      <c r="S73" s="2">
        <f>+'Cenvalsa industrial'!X73+Cenval!X73+'D&amp;M'!I73+Saratur!I73</f>
        <v>0</v>
      </c>
      <c r="T73" s="2">
        <f>+'Cenvalsa industrial'!Y73+Cenval!Y73+'D&amp;M'!J73+Saratur!J73</f>
        <v>0</v>
      </c>
      <c r="U73" s="2">
        <f>+'Cenvalsa industrial'!Z73+Cenval!Z73+'D&amp;M'!K73+Saratur!K73</f>
        <v>0</v>
      </c>
      <c r="V73" s="2">
        <f>+'Cenvalsa industrial'!AA73+Cenval!AA73+'D&amp;M'!L73+Saratur!L73</f>
        <v>0</v>
      </c>
      <c r="W73" s="2">
        <f>+'Cenvalsa industrial'!AB73+Cenval!AB73+'D&amp;M'!M73+Saratur!M73</f>
        <v>0</v>
      </c>
      <c r="X73" s="2">
        <f>+'Cenvalsa industrial'!AC73+Cenval!AC73+'D&amp;M'!N73+Saratur!N73</f>
        <v>0</v>
      </c>
      <c r="Y73" s="2">
        <f>+'Cenvalsa industrial'!AD73+Cenval!AD73+'D&amp;M'!O73+Saratur!O73</f>
        <v>0</v>
      </c>
      <c r="Z73" s="2">
        <f>+'Cenvalsa industrial'!AE73+Cenval!AE73+'D&amp;M'!P73+Saratur!P73</f>
        <v>0</v>
      </c>
      <c r="AA73" s="2">
        <f>+'Cenvalsa industrial'!AF73+Cenval!AF73+'D&amp;M'!Q73+Saratur!Q73</f>
        <v>0</v>
      </c>
      <c r="AB73" s="2">
        <f>+'Cenvalsa industrial'!AG73+Cenval!AG73+'D&amp;M'!R73+Saratur!R73</f>
        <v>0</v>
      </c>
      <c r="AC73" s="2">
        <f>+'Cenvalsa industrial'!AH73+Cenval!AH73+'D&amp;M'!S73+Saratur!S73</f>
        <v>0</v>
      </c>
      <c r="AD73" s="6">
        <f t="shared" si="18"/>
        <v>0</v>
      </c>
    </row>
    <row r="74" spans="1:30" outlineLevel="1" x14ac:dyDescent="0.25">
      <c r="A74" s="1" t="s">
        <v>77</v>
      </c>
      <c r="B74" s="8" t="e">
        <f>+#REF!/#REF!</f>
        <v>#REF!</v>
      </c>
      <c r="C74" s="2" t="e">
        <f>+#REF!/12</f>
        <v>#REF!</v>
      </c>
      <c r="D74" s="2" t="e">
        <f>+#REF!/12</f>
        <v>#REF!</v>
      </c>
      <c r="E74" s="2" t="e">
        <f>+#REF!/12</f>
        <v>#REF!</v>
      </c>
      <c r="F74" s="2" t="e">
        <f>+#REF!/12</f>
        <v>#REF!</v>
      </c>
      <c r="G74" s="2" t="e">
        <f>+#REF!/12</f>
        <v>#REF!</v>
      </c>
      <c r="H74" s="2" t="e">
        <f>+#REF!/12</f>
        <v>#REF!</v>
      </c>
      <c r="I74" s="2" t="e">
        <f>+#REF!/12</f>
        <v>#REF!</v>
      </c>
      <c r="J74" s="2" t="e">
        <f>+#REF!/12</f>
        <v>#REF!</v>
      </c>
      <c r="K74" s="2" t="e">
        <f>+#REF!/12</f>
        <v>#REF!</v>
      </c>
      <c r="L74" s="2" t="e">
        <f>+#REF!/12</f>
        <v>#REF!</v>
      </c>
      <c r="M74" s="2" t="e">
        <f>+#REF!/12</f>
        <v>#REF!</v>
      </c>
      <c r="N74" s="2" t="e">
        <f>+#REF!/12</f>
        <v>#REF!</v>
      </c>
      <c r="O74" s="6" t="e">
        <f t="shared" si="17"/>
        <v>#REF!</v>
      </c>
      <c r="P74" s="24">
        <v>0</v>
      </c>
      <c r="Q74" s="23">
        <f t="shared" si="9"/>
        <v>0</v>
      </c>
      <c r="R74" s="2">
        <f>+'Cenvalsa industrial'!W74+Cenval!W74+'D&amp;M'!H74+Saratur!H74</f>
        <v>0</v>
      </c>
      <c r="S74" s="2">
        <f>+'Cenvalsa industrial'!X74+Cenval!X74+'D&amp;M'!I74+Saratur!I74</f>
        <v>0</v>
      </c>
      <c r="T74" s="2">
        <f>+'Cenvalsa industrial'!Y74+Cenval!Y74+'D&amp;M'!J74+Saratur!J74</f>
        <v>0</v>
      </c>
      <c r="U74" s="2">
        <f>+'Cenvalsa industrial'!Z74+Cenval!Z74+'D&amp;M'!K74+Saratur!K74</f>
        <v>0</v>
      </c>
      <c r="V74" s="2">
        <f>+'Cenvalsa industrial'!AA74+Cenval!AA74+'D&amp;M'!L74+Saratur!L74</f>
        <v>0</v>
      </c>
      <c r="W74" s="2">
        <f>+'Cenvalsa industrial'!AB74+Cenval!AB74+'D&amp;M'!M74+Saratur!M74</f>
        <v>0</v>
      </c>
      <c r="X74" s="2">
        <f>+'Cenvalsa industrial'!AC74+Cenval!AC74+'D&amp;M'!N74+Saratur!N74</f>
        <v>0</v>
      </c>
      <c r="Y74" s="2">
        <f>+'Cenvalsa industrial'!AD74+Cenval!AD74+'D&amp;M'!O74+Saratur!O74</f>
        <v>0</v>
      </c>
      <c r="Z74" s="2">
        <f>+'Cenvalsa industrial'!AE74+Cenval!AE74+'D&amp;M'!P74+Saratur!P74</f>
        <v>0</v>
      </c>
      <c r="AA74" s="2">
        <f>+'Cenvalsa industrial'!AF74+Cenval!AF74+'D&amp;M'!Q74+Saratur!Q74</f>
        <v>0</v>
      </c>
      <c r="AB74" s="2">
        <f>+'Cenvalsa industrial'!AG74+Cenval!AG74+'D&amp;M'!R74+Saratur!R74</f>
        <v>0</v>
      </c>
      <c r="AC74" s="2">
        <f>+'Cenvalsa industrial'!AH74+Cenval!AH74+'D&amp;M'!S74+Saratur!S74</f>
        <v>0</v>
      </c>
      <c r="AD74" s="6">
        <f t="shared" si="18"/>
        <v>0</v>
      </c>
    </row>
    <row r="75" spans="1:30" outlineLevel="1" x14ac:dyDescent="0.25">
      <c r="A75" s="1" t="s">
        <v>78</v>
      </c>
      <c r="B75" s="8" t="e">
        <f>+#REF!/#REF!</f>
        <v>#REF!</v>
      </c>
      <c r="C75" s="2" t="e">
        <f>+#REF!/12</f>
        <v>#REF!</v>
      </c>
      <c r="D75" s="2" t="e">
        <f>+#REF!/12</f>
        <v>#REF!</v>
      </c>
      <c r="E75" s="2" t="e">
        <f>+#REF!/12</f>
        <v>#REF!</v>
      </c>
      <c r="F75" s="2" t="e">
        <f>+#REF!/12</f>
        <v>#REF!</v>
      </c>
      <c r="G75" s="2" t="e">
        <f>+#REF!/12</f>
        <v>#REF!</v>
      </c>
      <c r="H75" s="2" t="e">
        <f>+#REF!/12</f>
        <v>#REF!</v>
      </c>
      <c r="I75" s="2" t="e">
        <f>+#REF!/12</f>
        <v>#REF!</v>
      </c>
      <c r="J75" s="2" t="e">
        <f>+#REF!/12</f>
        <v>#REF!</v>
      </c>
      <c r="K75" s="2" t="e">
        <f>+#REF!/12</f>
        <v>#REF!</v>
      </c>
      <c r="L75" s="2" t="e">
        <f>+#REF!/12</f>
        <v>#REF!</v>
      </c>
      <c r="M75" s="2" t="e">
        <f>+#REF!/12</f>
        <v>#REF!</v>
      </c>
      <c r="N75" s="2" t="e">
        <f>+#REF!/12</f>
        <v>#REF!</v>
      </c>
      <c r="O75" s="6" t="e">
        <f t="shared" si="17"/>
        <v>#REF!</v>
      </c>
      <c r="P75" s="24">
        <v>0</v>
      </c>
      <c r="Q75" s="23">
        <f t="shared" si="9"/>
        <v>0</v>
      </c>
      <c r="R75" s="2">
        <f>+'Cenvalsa industrial'!W75+Cenval!W75+'D&amp;M'!H75+Saratur!H75</f>
        <v>0</v>
      </c>
      <c r="S75" s="2">
        <f>+'Cenvalsa industrial'!X75+Cenval!X75+'D&amp;M'!I75+Saratur!I75</f>
        <v>0</v>
      </c>
      <c r="T75" s="2">
        <f>+'Cenvalsa industrial'!Y75+Cenval!Y75+'D&amp;M'!J75+Saratur!J75</f>
        <v>0</v>
      </c>
      <c r="U75" s="2">
        <f>+'Cenvalsa industrial'!Z75+Cenval!Z75+'D&amp;M'!K75+Saratur!K75</f>
        <v>0</v>
      </c>
      <c r="V75" s="2">
        <f>+'Cenvalsa industrial'!AA75+Cenval!AA75+'D&amp;M'!L75+Saratur!L75</f>
        <v>0</v>
      </c>
      <c r="W75" s="2">
        <f>+'Cenvalsa industrial'!AB75+Cenval!AB75+'D&amp;M'!M75+Saratur!M75</f>
        <v>0</v>
      </c>
      <c r="X75" s="2">
        <f>+'Cenvalsa industrial'!AC75+Cenval!AC75+'D&amp;M'!N75+Saratur!N75</f>
        <v>0</v>
      </c>
      <c r="Y75" s="2">
        <f>+'Cenvalsa industrial'!AD75+Cenval!AD75+'D&amp;M'!O75+Saratur!O75</f>
        <v>0</v>
      </c>
      <c r="Z75" s="2">
        <f>+'Cenvalsa industrial'!AE75+Cenval!AE75+'D&amp;M'!P75+Saratur!P75</f>
        <v>0</v>
      </c>
      <c r="AA75" s="2">
        <f>+'Cenvalsa industrial'!AF75+Cenval!AF75+'D&amp;M'!Q75+Saratur!Q75</f>
        <v>0</v>
      </c>
      <c r="AB75" s="2">
        <f>+'Cenvalsa industrial'!AG75+Cenval!AG75+'D&amp;M'!R75+Saratur!R75</f>
        <v>0</v>
      </c>
      <c r="AC75" s="2">
        <f>+'Cenvalsa industrial'!AH75+Cenval!AH75+'D&amp;M'!S75+Saratur!S75</f>
        <v>0</v>
      </c>
      <c r="AD75" s="6">
        <f t="shared" si="18"/>
        <v>0</v>
      </c>
    </row>
    <row r="76" spans="1:30" outlineLevel="1" x14ac:dyDescent="0.25">
      <c r="A76" s="1" t="s">
        <v>79</v>
      </c>
      <c r="B76" s="8" t="e">
        <f>+#REF!/#REF!</f>
        <v>#REF!</v>
      </c>
      <c r="C76" s="2" t="e">
        <f>+#REF!/12</f>
        <v>#REF!</v>
      </c>
      <c r="D76" s="2" t="e">
        <f>+#REF!/12</f>
        <v>#REF!</v>
      </c>
      <c r="E76" s="2" t="e">
        <f>+#REF!/12</f>
        <v>#REF!</v>
      </c>
      <c r="F76" s="2" t="e">
        <f>+#REF!/12</f>
        <v>#REF!</v>
      </c>
      <c r="G76" s="2" t="e">
        <f>+#REF!/12</f>
        <v>#REF!</v>
      </c>
      <c r="H76" s="2" t="e">
        <f>+#REF!/12</f>
        <v>#REF!</v>
      </c>
      <c r="I76" s="2" t="e">
        <f>+#REF!/12</f>
        <v>#REF!</v>
      </c>
      <c r="J76" s="2" t="e">
        <f>+#REF!/12</f>
        <v>#REF!</v>
      </c>
      <c r="K76" s="2" t="e">
        <f>+#REF!/12</f>
        <v>#REF!</v>
      </c>
      <c r="L76" s="2" t="e">
        <f>+#REF!/12</f>
        <v>#REF!</v>
      </c>
      <c r="M76" s="2" t="e">
        <f>+#REF!/12</f>
        <v>#REF!</v>
      </c>
      <c r="N76" s="2" t="e">
        <f>+#REF!/12</f>
        <v>#REF!</v>
      </c>
      <c r="O76" s="6" t="e">
        <f t="shared" si="17"/>
        <v>#REF!</v>
      </c>
      <c r="P76" s="24">
        <v>0</v>
      </c>
      <c r="Q76" s="23">
        <f t="shared" si="9"/>
        <v>0</v>
      </c>
      <c r="R76" s="2">
        <f>+'Cenvalsa industrial'!W76+Cenval!W76+'D&amp;M'!H76+Saratur!H76</f>
        <v>0</v>
      </c>
      <c r="S76" s="2">
        <f>+'Cenvalsa industrial'!X76+Cenval!X76+'D&amp;M'!I76+Saratur!I76</f>
        <v>0</v>
      </c>
      <c r="T76" s="2">
        <f>+'Cenvalsa industrial'!Y76+Cenval!Y76+'D&amp;M'!J76+Saratur!J76</f>
        <v>0</v>
      </c>
      <c r="U76" s="2">
        <f>+'Cenvalsa industrial'!Z76+Cenval!Z76+'D&amp;M'!K76+Saratur!K76</f>
        <v>0</v>
      </c>
      <c r="V76" s="2">
        <f>+'Cenvalsa industrial'!AA76+Cenval!AA76+'D&amp;M'!L76+Saratur!L76</f>
        <v>0</v>
      </c>
      <c r="W76" s="2">
        <f>+'Cenvalsa industrial'!AB76+Cenval!AB76+'D&amp;M'!M76+Saratur!M76</f>
        <v>0</v>
      </c>
      <c r="X76" s="2">
        <f>+'Cenvalsa industrial'!AC76+Cenval!AC76+'D&amp;M'!N76+Saratur!N76</f>
        <v>0</v>
      </c>
      <c r="Y76" s="2">
        <f>+'Cenvalsa industrial'!AD76+Cenval!AD76+'D&amp;M'!O76+Saratur!O76</f>
        <v>0</v>
      </c>
      <c r="Z76" s="2">
        <f>+'Cenvalsa industrial'!AE76+Cenval!AE76+'D&amp;M'!P76+Saratur!P76</f>
        <v>0</v>
      </c>
      <c r="AA76" s="2">
        <f>+'Cenvalsa industrial'!AF76+Cenval!AF76+'D&amp;M'!Q76+Saratur!Q76</f>
        <v>0</v>
      </c>
      <c r="AB76" s="2">
        <f>+'Cenvalsa industrial'!AG76+Cenval!AG76+'D&amp;M'!R76+Saratur!R76</f>
        <v>0</v>
      </c>
      <c r="AC76" s="2">
        <f>+'Cenvalsa industrial'!AH76+Cenval!AH76+'D&amp;M'!S76+Saratur!S76</f>
        <v>0</v>
      </c>
      <c r="AD76" s="6">
        <f t="shared" si="18"/>
        <v>0</v>
      </c>
    </row>
    <row r="77" spans="1:30" outlineLevel="1" x14ac:dyDescent="0.25">
      <c r="A77" s="1" t="s">
        <v>80</v>
      </c>
      <c r="B77" s="8" t="e">
        <f>+#REF!/#REF!</f>
        <v>#REF!</v>
      </c>
      <c r="C77" s="2" t="e">
        <f>+#REF!/12</f>
        <v>#REF!</v>
      </c>
      <c r="D77" s="2" t="e">
        <f>+#REF!/12</f>
        <v>#REF!</v>
      </c>
      <c r="E77" s="2" t="e">
        <f>+#REF!/12</f>
        <v>#REF!</v>
      </c>
      <c r="F77" s="2" t="e">
        <f>+#REF!/12</f>
        <v>#REF!</v>
      </c>
      <c r="G77" s="2" t="e">
        <f>+#REF!/12</f>
        <v>#REF!</v>
      </c>
      <c r="H77" s="2" t="e">
        <f>+#REF!/12</f>
        <v>#REF!</v>
      </c>
      <c r="I77" s="2" t="e">
        <f>+#REF!/12</f>
        <v>#REF!</v>
      </c>
      <c r="J77" s="2" t="e">
        <f>+#REF!/12</f>
        <v>#REF!</v>
      </c>
      <c r="K77" s="2" t="e">
        <f>+#REF!/12</f>
        <v>#REF!</v>
      </c>
      <c r="L77" s="2" t="e">
        <f>+#REF!/12</f>
        <v>#REF!</v>
      </c>
      <c r="M77" s="2" t="e">
        <f>+#REF!/12</f>
        <v>#REF!</v>
      </c>
      <c r="N77" s="2" t="e">
        <f>+#REF!/12</f>
        <v>#REF!</v>
      </c>
      <c r="O77" s="6" t="e">
        <f t="shared" si="17"/>
        <v>#REF!</v>
      </c>
      <c r="P77" s="24">
        <v>0</v>
      </c>
      <c r="Q77" s="23">
        <f t="shared" si="9"/>
        <v>0</v>
      </c>
      <c r="R77" s="2">
        <f>+'Cenvalsa industrial'!W77+Cenval!W77+'D&amp;M'!H77+Saratur!H77</f>
        <v>-525</v>
      </c>
      <c r="S77" s="2">
        <f>+'Cenvalsa industrial'!X77+Cenval!X77+'D&amp;M'!I77+Saratur!I77</f>
        <v>-525</v>
      </c>
      <c r="T77" s="2">
        <f>+'Cenvalsa industrial'!Y77+Cenval!Y77+'D&amp;M'!J77+Saratur!J77</f>
        <v>-525</v>
      </c>
      <c r="U77" s="2">
        <f>+'Cenvalsa industrial'!Z77+Cenval!Z77+'D&amp;M'!K77+Saratur!K77</f>
        <v>-525</v>
      </c>
      <c r="V77" s="2">
        <f>+'Cenvalsa industrial'!AA77+Cenval!AA77+'D&amp;M'!L77+Saratur!L77</f>
        <v>-525</v>
      </c>
      <c r="W77" s="2">
        <f>+'Cenvalsa industrial'!AB77+Cenval!AB77+'D&amp;M'!M77+Saratur!M77</f>
        <v>-525</v>
      </c>
      <c r="X77" s="2">
        <f>+'Cenvalsa industrial'!AC77+Cenval!AC77+'D&amp;M'!N77+Saratur!N77</f>
        <v>-525</v>
      </c>
      <c r="Y77" s="2">
        <f>+'Cenvalsa industrial'!AD77+Cenval!AD77+'D&amp;M'!O77+Saratur!O77</f>
        <v>-525</v>
      </c>
      <c r="Z77" s="2">
        <f>+'Cenvalsa industrial'!AE77+Cenval!AE77+'D&amp;M'!P77+Saratur!P77</f>
        <v>-525</v>
      </c>
      <c r="AA77" s="2">
        <f>+'Cenvalsa industrial'!AF77+Cenval!AF77+'D&amp;M'!Q77+Saratur!Q77</f>
        <v>-525</v>
      </c>
      <c r="AB77" s="2">
        <f>+'Cenvalsa industrial'!AG77+Cenval!AG77+'D&amp;M'!R77+Saratur!R77</f>
        <v>-525</v>
      </c>
      <c r="AC77" s="2">
        <f>+'Cenvalsa industrial'!AH77+Cenval!AH77+'D&amp;M'!S77+Saratur!S77</f>
        <v>-525</v>
      </c>
      <c r="AD77" s="6">
        <f t="shared" si="18"/>
        <v>-6300</v>
      </c>
    </row>
    <row r="78" spans="1:30" outlineLevel="1" x14ac:dyDescent="0.25">
      <c r="A78" s="10" t="s">
        <v>81</v>
      </c>
      <c r="B78" s="8"/>
      <c r="C78" s="2" t="e">
        <f>+#REF!/12</f>
        <v>#REF!</v>
      </c>
      <c r="D78" s="2" t="e">
        <f>+#REF!/12</f>
        <v>#REF!</v>
      </c>
      <c r="E78" s="2" t="e">
        <f>+#REF!/12</f>
        <v>#REF!</v>
      </c>
      <c r="F78" s="2" t="e">
        <f>+#REF!/12</f>
        <v>#REF!</v>
      </c>
      <c r="G78" s="2" t="e">
        <f>+#REF!/12</f>
        <v>#REF!</v>
      </c>
      <c r="H78" s="2" t="e">
        <f>+#REF!/12</f>
        <v>#REF!</v>
      </c>
      <c r="I78" s="2" t="e">
        <f>+#REF!/12</f>
        <v>#REF!</v>
      </c>
      <c r="J78" s="2" t="e">
        <f>+#REF!/12</f>
        <v>#REF!</v>
      </c>
      <c r="K78" s="2" t="e">
        <f>+#REF!/12</f>
        <v>#REF!</v>
      </c>
      <c r="L78" s="2" t="e">
        <f>+#REF!/12</f>
        <v>#REF!</v>
      </c>
      <c r="M78" s="2" t="e">
        <f>+#REF!/12</f>
        <v>#REF!</v>
      </c>
      <c r="N78" s="2" t="e">
        <f>+#REF!/12</f>
        <v>#REF!</v>
      </c>
      <c r="O78" s="6" t="e">
        <f t="shared" si="17"/>
        <v>#REF!</v>
      </c>
      <c r="P78" s="24">
        <v>0</v>
      </c>
      <c r="Q78" s="23">
        <f t="shared" ref="Q78:Q141" si="19">+P78/$P$2</f>
        <v>0</v>
      </c>
      <c r="R78" s="2">
        <f>+'Cenvalsa industrial'!W78+Cenval!W78+'D&amp;M'!H78+Saratur!H78</f>
        <v>-125</v>
      </c>
      <c r="S78" s="2">
        <f>+'Cenvalsa industrial'!X78+Cenval!X78+'D&amp;M'!I78+Saratur!I78</f>
        <v>-4833.3333333333339</v>
      </c>
      <c r="T78" s="2">
        <f>+'Cenvalsa industrial'!Y78+Cenval!Y78+'D&amp;M'!J78+Saratur!J78</f>
        <v>-4833.3333333333339</v>
      </c>
      <c r="U78" s="2">
        <f>+'Cenvalsa industrial'!Z78+Cenval!Z78+'D&amp;M'!K78+Saratur!K78</f>
        <v>-4833.3333333333339</v>
      </c>
      <c r="V78" s="2">
        <f>+'Cenvalsa industrial'!AA78+Cenval!AA78+'D&amp;M'!L78+Saratur!L78</f>
        <v>-4833.3333333333339</v>
      </c>
      <c r="W78" s="2">
        <f>+'Cenvalsa industrial'!AB78+Cenval!AB78+'D&amp;M'!M78+Saratur!M78</f>
        <v>-4833.3333333333339</v>
      </c>
      <c r="X78" s="2">
        <f>+'Cenvalsa industrial'!AC78+Cenval!AC78+'D&amp;M'!N78+Saratur!N78</f>
        <v>-4833.3333333333339</v>
      </c>
      <c r="Y78" s="2">
        <f>+'Cenvalsa industrial'!AD78+Cenval!AD78+'D&amp;M'!O78+Saratur!O78</f>
        <v>-4833.3333333333339</v>
      </c>
      <c r="Z78" s="2">
        <f>+'Cenvalsa industrial'!AE78+Cenval!AE78+'D&amp;M'!P78+Saratur!P78</f>
        <v>-4833.3333333333339</v>
      </c>
      <c r="AA78" s="2">
        <f>+'Cenvalsa industrial'!AF78+Cenval!AF78+'D&amp;M'!Q78+Saratur!Q78</f>
        <v>-4833.3333333333339</v>
      </c>
      <c r="AB78" s="2">
        <f>+'Cenvalsa industrial'!AG78+Cenval!AG78+'D&amp;M'!R78+Saratur!R78</f>
        <v>-4833.3333333333339</v>
      </c>
      <c r="AC78" s="2">
        <f>+'Cenvalsa industrial'!AH78+Cenval!AH78+'D&amp;M'!S78+Saratur!S78</f>
        <v>-4833.3333333333339</v>
      </c>
      <c r="AD78" s="6">
        <f t="shared" si="18"/>
        <v>-53291.666666666686</v>
      </c>
    </row>
    <row r="79" spans="1:30" outlineLevel="1" x14ac:dyDescent="0.25">
      <c r="A79" s="1" t="s">
        <v>82</v>
      </c>
      <c r="B79" s="8" t="e">
        <f>+#REF!/#REF!</f>
        <v>#REF!</v>
      </c>
      <c r="C79" s="2" t="e">
        <f>+#REF!/12</f>
        <v>#REF!</v>
      </c>
      <c r="D79" s="2" t="e">
        <f>+#REF!/12</f>
        <v>#REF!</v>
      </c>
      <c r="E79" s="2" t="e">
        <f>+#REF!/12</f>
        <v>#REF!</v>
      </c>
      <c r="F79" s="2" t="e">
        <f>+#REF!/12</f>
        <v>#REF!</v>
      </c>
      <c r="G79" s="2" t="e">
        <f>+#REF!/12</f>
        <v>#REF!</v>
      </c>
      <c r="H79" s="2" t="e">
        <f>+#REF!/12</f>
        <v>#REF!</v>
      </c>
      <c r="I79" s="2" t="e">
        <f>+#REF!/12</f>
        <v>#REF!</v>
      </c>
      <c r="J79" s="2" t="e">
        <f>+#REF!/12</f>
        <v>#REF!</v>
      </c>
      <c r="K79" s="2" t="e">
        <f>+#REF!/12</f>
        <v>#REF!</v>
      </c>
      <c r="L79" s="2" t="e">
        <f>+#REF!/12</f>
        <v>#REF!</v>
      </c>
      <c r="M79" s="2" t="e">
        <f>+#REF!/12</f>
        <v>#REF!</v>
      </c>
      <c r="N79" s="2" t="e">
        <f>+#REF!/12</f>
        <v>#REF!</v>
      </c>
      <c r="O79" s="6" t="e">
        <f t="shared" si="17"/>
        <v>#REF!</v>
      </c>
      <c r="P79" s="24">
        <v>0</v>
      </c>
      <c r="Q79" s="23">
        <f t="shared" si="19"/>
        <v>0</v>
      </c>
      <c r="R79" s="2">
        <f>+'Cenvalsa industrial'!W79+Cenval!W79+'D&amp;M'!H79+Saratur!H79</f>
        <v>0</v>
      </c>
      <c r="S79" s="2">
        <f>+'Cenvalsa industrial'!X79+Cenval!X79+'D&amp;M'!I79+Saratur!I79</f>
        <v>0</v>
      </c>
      <c r="T79" s="2">
        <f>+'Cenvalsa industrial'!Y79+Cenval!Y79+'D&amp;M'!J79+Saratur!J79</f>
        <v>0</v>
      </c>
      <c r="U79" s="2">
        <f>+'Cenvalsa industrial'!Z79+Cenval!Z79+'D&amp;M'!K79+Saratur!K79</f>
        <v>0</v>
      </c>
      <c r="V79" s="2">
        <f>+'Cenvalsa industrial'!AA79+Cenval!AA79+'D&amp;M'!L79+Saratur!L79</f>
        <v>0</v>
      </c>
      <c r="W79" s="2">
        <f>+'Cenvalsa industrial'!AB79+Cenval!AB79+'D&amp;M'!M79+Saratur!M79</f>
        <v>0</v>
      </c>
      <c r="X79" s="2">
        <f>+'Cenvalsa industrial'!AC79+Cenval!AC79+'D&amp;M'!N79+Saratur!N79</f>
        <v>0</v>
      </c>
      <c r="Y79" s="2">
        <f>+'Cenvalsa industrial'!AD79+Cenval!AD79+'D&amp;M'!O79+Saratur!O79</f>
        <v>0</v>
      </c>
      <c r="Z79" s="2">
        <f>+'Cenvalsa industrial'!AE79+Cenval!AE79+'D&amp;M'!P79+Saratur!P79</f>
        <v>0</v>
      </c>
      <c r="AA79" s="2">
        <f>+'Cenvalsa industrial'!AF79+Cenval!AF79+'D&amp;M'!Q79+Saratur!Q79</f>
        <v>0</v>
      </c>
      <c r="AB79" s="2">
        <f>+'Cenvalsa industrial'!AG79+Cenval!AG79+'D&amp;M'!R79+Saratur!R79</f>
        <v>0</v>
      </c>
      <c r="AC79" s="2">
        <f>+'Cenvalsa industrial'!AH79+Cenval!AH79+'D&amp;M'!S79+Saratur!S79</f>
        <v>0</v>
      </c>
      <c r="AD79" s="6">
        <f t="shared" si="18"/>
        <v>0</v>
      </c>
    </row>
    <row r="80" spans="1:30" outlineLevel="1" x14ac:dyDescent="0.25">
      <c r="A80" s="1" t="s">
        <v>83</v>
      </c>
      <c r="B80" s="8" t="e">
        <f>+#REF!/#REF!</f>
        <v>#REF!</v>
      </c>
      <c r="C80" s="2" t="e">
        <f>+#REF!/12</f>
        <v>#REF!</v>
      </c>
      <c r="D80" s="2" t="e">
        <f>+#REF!/12</f>
        <v>#REF!</v>
      </c>
      <c r="E80" s="2" t="e">
        <f>+#REF!/12</f>
        <v>#REF!</v>
      </c>
      <c r="F80" s="2" t="e">
        <f>+#REF!/12</f>
        <v>#REF!</v>
      </c>
      <c r="G80" s="2" t="e">
        <f>+#REF!/12</f>
        <v>#REF!</v>
      </c>
      <c r="H80" s="2" t="e">
        <f>+#REF!/12</f>
        <v>#REF!</v>
      </c>
      <c r="I80" s="2" t="e">
        <f>+#REF!/12</f>
        <v>#REF!</v>
      </c>
      <c r="J80" s="2" t="e">
        <f>+#REF!/12</f>
        <v>#REF!</v>
      </c>
      <c r="K80" s="2" t="e">
        <f>+#REF!/12</f>
        <v>#REF!</v>
      </c>
      <c r="L80" s="2" t="e">
        <f>+#REF!/12</f>
        <v>#REF!</v>
      </c>
      <c r="M80" s="2" t="e">
        <f>+#REF!/12</f>
        <v>#REF!</v>
      </c>
      <c r="N80" s="2" t="e">
        <f>+#REF!/12</f>
        <v>#REF!</v>
      </c>
      <c r="O80" s="6" t="e">
        <f t="shared" si="17"/>
        <v>#REF!</v>
      </c>
      <c r="P80" s="24">
        <v>0</v>
      </c>
      <c r="Q80" s="23">
        <f t="shared" si="19"/>
        <v>0</v>
      </c>
      <c r="R80" s="2">
        <f>+'Cenvalsa industrial'!W80+Cenval!W80+'D&amp;M'!H80+Saratur!H80</f>
        <v>0</v>
      </c>
      <c r="S80" s="2">
        <f>+'Cenvalsa industrial'!X80+Cenval!X80+'D&amp;M'!I80+Saratur!I80</f>
        <v>0</v>
      </c>
      <c r="T80" s="2">
        <f>+'Cenvalsa industrial'!Y80+Cenval!Y80+'D&amp;M'!J80+Saratur!J80</f>
        <v>0</v>
      </c>
      <c r="U80" s="2">
        <f>+'Cenvalsa industrial'!Z80+Cenval!Z80+'D&amp;M'!K80+Saratur!K80</f>
        <v>0</v>
      </c>
      <c r="V80" s="2">
        <f>+'Cenvalsa industrial'!AA80+Cenval!AA80+'D&amp;M'!L80+Saratur!L80</f>
        <v>0</v>
      </c>
      <c r="W80" s="2">
        <f>+'Cenvalsa industrial'!AB80+Cenval!AB80+'D&amp;M'!M80+Saratur!M80</f>
        <v>0</v>
      </c>
      <c r="X80" s="2">
        <f>+'Cenvalsa industrial'!AC80+Cenval!AC80+'D&amp;M'!N80+Saratur!N80</f>
        <v>0</v>
      </c>
      <c r="Y80" s="2">
        <f>+'Cenvalsa industrial'!AD80+Cenval!AD80+'D&amp;M'!O80+Saratur!O80</f>
        <v>0</v>
      </c>
      <c r="Z80" s="2">
        <f>+'Cenvalsa industrial'!AE80+Cenval!AE80+'D&amp;M'!P80+Saratur!P80</f>
        <v>0</v>
      </c>
      <c r="AA80" s="2">
        <f>+'Cenvalsa industrial'!AF80+Cenval!AF80+'D&amp;M'!Q80+Saratur!Q80</f>
        <v>0</v>
      </c>
      <c r="AB80" s="2">
        <f>+'Cenvalsa industrial'!AG80+Cenval!AG80+'D&amp;M'!R80+Saratur!R80</f>
        <v>0</v>
      </c>
      <c r="AC80" s="2">
        <f>+'Cenvalsa industrial'!AH80+Cenval!AH80+'D&amp;M'!S80+Saratur!S80</f>
        <v>0</v>
      </c>
      <c r="AD80" s="6">
        <f t="shared" si="18"/>
        <v>0</v>
      </c>
    </row>
    <row r="81" spans="1:30" outlineLevel="1" x14ac:dyDescent="0.25">
      <c r="A81" s="1" t="s">
        <v>84</v>
      </c>
      <c r="B81" s="8" t="e">
        <f>+#REF!/#REF!</f>
        <v>#REF!</v>
      </c>
      <c r="C81" s="2" t="e">
        <f>+#REF!/12</f>
        <v>#REF!</v>
      </c>
      <c r="D81" s="2" t="e">
        <f>+#REF!/12</f>
        <v>#REF!</v>
      </c>
      <c r="E81" s="2" t="e">
        <f>+#REF!/12</f>
        <v>#REF!</v>
      </c>
      <c r="F81" s="2" t="e">
        <f>+#REF!/12</f>
        <v>#REF!</v>
      </c>
      <c r="G81" s="2" t="e">
        <f>+#REF!/12</f>
        <v>#REF!</v>
      </c>
      <c r="H81" s="2" t="e">
        <f>+#REF!/12</f>
        <v>#REF!</v>
      </c>
      <c r="I81" s="2" t="e">
        <f>+#REF!/12</f>
        <v>#REF!</v>
      </c>
      <c r="J81" s="2" t="e">
        <f>+#REF!/12</f>
        <v>#REF!</v>
      </c>
      <c r="K81" s="2" t="e">
        <f>+#REF!/12</f>
        <v>#REF!</v>
      </c>
      <c r="L81" s="2" t="e">
        <f>+#REF!/12</f>
        <v>#REF!</v>
      </c>
      <c r="M81" s="2" t="e">
        <f>+#REF!/12</f>
        <v>#REF!</v>
      </c>
      <c r="N81" s="2" t="e">
        <f>+#REF!/12</f>
        <v>#REF!</v>
      </c>
      <c r="O81" s="6" t="e">
        <f t="shared" si="17"/>
        <v>#REF!</v>
      </c>
      <c r="P81" s="24">
        <v>0</v>
      </c>
      <c r="Q81" s="23">
        <f t="shared" si="19"/>
        <v>0</v>
      </c>
      <c r="R81" s="2">
        <f>+'Cenvalsa industrial'!W81+Cenval!W81+'D&amp;M'!H81+Saratur!H81</f>
        <v>0</v>
      </c>
      <c r="S81" s="2">
        <f>+'Cenvalsa industrial'!X81+Cenval!X81+'D&amp;M'!I81+Saratur!I81</f>
        <v>0</v>
      </c>
      <c r="T81" s="2">
        <f>+'Cenvalsa industrial'!Y81+Cenval!Y81+'D&amp;M'!J81+Saratur!J81</f>
        <v>0</v>
      </c>
      <c r="U81" s="2">
        <f>+'Cenvalsa industrial'!Z81+Cenval!Z81+'D&amp;M'!K81+Saratur!K81</f>
        <v>0</v>
      </c>
      <c r="V81" s="2">
        <f>+'Cenvalsa industrial'!AA81+Cenval!AA81+'D&amp;M'!L81+Saratur!L81</f>
        <v>0</v>
      </c>
      <c r="W81" s="2">
        <f>+'Cenvalsa industrial'!AB81+Cenval!AB81+'D&amp;M'!M81+Saratur!M81</f>
        <v>0</v>
      </c>
      <c r="X81" s="2">
        <f>+'Cenvalsa industrial'!AC81+Cenval!AC81+'D&amp;M'!N81+Saratur!N81</f>
        <v>0</v>
      </c>
      <c r="Y81" s="2">
        <f>+'Cenvalsa industrial'!AD81+Cenval!AD81+'D&amp;M'!O81+Saratur!O81</f>
        <v>0</v>
      </c>
      <c r="Z81" s="2">
        <f>+'Cenvalsa industrial'!AE81+Cenval!AE81+'D&amp;M'!P81+Saratur!P81</f>
        <v>0</v>
      </c>
      <c r="AA81" s="2">
        <f>+'Cenvalsa industrial'!AF81+Cenval!AF81+'D&amp;M'!Q81+Saratur!Q81</f>
        <v>0</v>
      </c>
      <c r="AB81" s="2">
        <f>+'Cenvalsa industrial'!AG81+Cenval!AG81+'D&amp;M'!R81+Saratur!R81</f>
        <v>0</v>
      </c>
      <c r="AC81" s="2">
        <f>+'Cenvalsa industrial'!AH81+Cenval!AH81+'D&amp;M'!S81+Saratur!S81</f>
        <v>0</v>
      </c>
      <c r="AD81" s="6">
        <f t="shared" si="18"/>
        <v>0</v>
      </c>
    </row>
    <row r="82" spans="1:30" outlineLevel="1" x14ac:dyDescent="0.25">
      <c r="A82" s="1" t="s">
        <v>85</v>
      </c>
      <c r="B82" s="8" t="e">
        <f>+#REF!/#REF!</f>
        <v>#REF!</v>
      </c>
      <c r="C82" s="2" t="e">
        <f>+#REF!/12</f>
        <v>#REF!</v>
      </c>
      <c r="D82" s="2" t="e">
        <f>+#REF!/12</f>
        <v>#REF!</v>
      </c>
      <c r="E82" s="2" t="e">
        <f>+#REF!/12</f>
        <v>#REF!</v>
      </c>
      <c r="F82" s="2" t="e">
        <f>+#REF!/12</f>
        <v>#REF!</v>
      </c>
      <c r="G82" s="2" t="e">
        <f>+#REF!/12</f>
        <v>#REF!</v>
      </c>
      <c r="H82" s="2" t="e">
        <f>+#REF!/12</f>
        <v>#REF!</v>
      </c>
      <c r="I82" s="2" t="e">
        <f>+#REF!/12</f>
        <v>#REF!</v>
      </c>
      <c r="J82" s="2" t="e">
        <f>+#REF!/12</f>
        <v>#REF!</v>
      </c>
      <c r="K82" s="2" t="e">
        <f>+#REF!/12</f>
        <v>#REF!</v>
      </c>
      <c r="L82" s="2" t="e">
        <f>+#REF!/12</f>
        <v>#REF!</v>
      </c>
      <c r="M82" s="2" t="e">
        <f>+#REF!/12</f>
        <v>#REF!</v>
      </c>
      <c r="N82" s="2" t="e">
        <f>+#REF!/12</f>
        <v>#REF!</v>
      </c>
      <c r="O82" s="6" t="e">
        <f t="shared" si="17"/>
        <v>#REF!</v>
      </c>
      <c r="P82" s="24">
        <v>0</v>
      </c>
      <c r="Q82" s="23">
        <f t="shared" si="19"/>
        <v>0</v>
      </c>
      <c r="R82" s="2">
        <f>+'Cenvalsa industrial'!W82+Cenval!W82+'D&amp;M'!H82+Saratur!H82</f>
        <v>0</v>
      </c>
      <c r="S82" s="2">
        <f>+'Cenvalsa industrial'!X82+Cenval!X82+'D&amp;M'!I82+Saratur!I82</f>
        <v>0</v>
      </c>
      <c r="T82" s="2">
        <f>+'Cenvalsa industrial'!Y82+Cenval!Y82+'D&amp;M'!J82+Saratur!J82</f>
        <v>0</v>
      </c>
      <c r="U82" s="2">
        <f>+'Cenvalsa industrial'!Z82+Cenval!Z82+'D&amp;M'!K82+Saratur!K82</f>
        <v>0</v>
      </c>
      <c r="V82" s="2">
        <f>+'Cenvalsa industrial'!AA82+Cenval!AA82+'D&amp;M'!L82+Saratur!L82</f>
        <v>0</v>
      </c>
      <c r="W82" s="2">
        <f>+'Cenvalsa industrial'!AB82+Cenval!AB82+'D&amp;M'!M82+Saratur!M82</f>
        <v>0</v>
      </c>
      <c r="X82" s="2">
        <f>+'Cenvalsa industrial'!AC82+Cenval!AC82+'D&amp;M'!N82+Saratur!N82</f>
        <v>0</v>
      </c>
      <c r="Y82" s="2">
        <f>+'Cenvalsa industrial'!AD82+Cenval!AD82+'D&amp;M'!O82+Saratur!O82</f>
        <v>0</v>
      </c>
      <c r="Z82" s="2">
        <f>+'Cenvalsa industrial'!AE82+Cenval!AE82+'D&amp;M'!P82+Saratur!P82</f>
        <v>0</v>
      </c>
      <c r="AA82" s="2">
        <f>+'Cenvalsa industrial'!AF82+Cenval!AF82+'D&amp;M'!Q82+Saratur!Q82</f>
        <v>0</v>
      </c>
      <c r="AB82" s="2">
        <f>+'Cenvalsa industrial'!AG82+Cenval!AG82+'D&amp;M'!R82+Saratur!R82</f>
        <v>0</v>
      </c>
      <c r="AC82" s="2">
        <f>+'Cenvalsa industrial'!AH82+Cenval!AH82+'D&amp;M'!S82+Saratur!S82</f>
        <v>0</v>
      </c>
      <c r="AD82" s="6">
        <f t="shared" si="18"/>
        <v>0</v>
      </c>
    </row>
    <row r="83" spans="1:30" outlineLevel="1" x14ac:dyDescent="0.25">
      <c r="A83" s="1" t="s">
        <v>86</v>
      </c>
      <c r="B83" s="8" t="e">
        <f>+#REF!/#REF!</f>
        <v>#REF!</v>
      </c>
      <c r="C83" s="2" t="e">
        <f>+#REF!/12</f>
        <v>#REF!</v>
      </c>
      <c r="D83" s="2" t="e">
        <f>+#REF!/12</f>
        <v>#REF!</v>
      </c>
      <c r="E83" s="2" t="e">
        <f>+#REF!/12</f>
        <v>#REF!</v>
      </c>
      <c r="F83" s="2" t="e">
        <f>+#REF!/12</f>
        <v>#REF!</v>
      </c>
      <c r="G83" s="2" t="e">
        <f>+#REF!/12</f>
        <v>#REF!</v>
      </c>
      <c r="H83" s="2" t="e">
        <f>+#REF!/12</f>
        <v>#REF!</v>
      </c>
      <c r="I83" s="2" t="e">
        <f>+#REF!/12</f>
        <v>#REF!</v>
      </c>
      <c r="J83" s="2" t="e">
        <f>+#REF!/12</f>
        <v>#REF!</v>
      </c>
      <c r="K83" s="2" t="e">
        <f>+#REF!/12</f>
        <v>#REF!</v>
      </c>
      <c r="L83" s="2" t="e">
        <f>+#REF!/12</f>
        <v>#REF!</v>
      </c>
      <c r="M83" s="2" t="e">
        <f>+#REF!/12</f>
        <v>#REF!</v>
      </c>
      <c r="N83" s="2" t="e">
        <f>+#REF!/12</f>
        <v>#REF!</v>
      </c>
      <c r="O83" s="6" t="e">
        <f t="shared" si="17"/>
        <v>#REF!</v>
      </c>
      <c r="P83" s="24">
        <v>0</v>
      </c>
      <c r="Q83" s="23">
        <f t="shared" si="19"/>
        <v>0</v>
      </c>
      <c r="R83" s="2">
        <f>+'Cenvalsa industrial'!W83+Cenval!W83+'D&amp;M'!H83+Saratur!H83</f>
        <v>0</v>
      </c>
      <c r="S83" s="2">
        <f>+'Cenvalsa industrial'!X83+Cenval!X83+'D&amp;M'!I83+Saratur!I83</f>
        <v>0</v>
      </c>
      <c r="T83" s="2">
        <f>+'Cenvalsa industrial'!Y83+Cenval!Y83+'D&amp;M'!J83+Saratur!J83</f>
        <v>0</v>
      </c>
      <c r="U83" s="2">
        <f>+'Cenvalsa industrial'!Z83+Cenval!Z83+'D&amp;M'!K83+Saratur!K83</f>
        <v>0</v>
      </c>
      <c r="V83" s="2">
        <f>+'Cenvalsa industrial'!AA83+Cenval!AA83+'D&amp;M'!L83+Saratur!L83</f>
        <v>0</v>
      </c>
      <c r="W83" s="2">
        <f>+'Cenvalsa industrial'!AB83+Cenval!AB83+'D&amp;M'!M83+Saratur!M83</f>
        <v>0</v>
      </c>
      <c r="X83" s="2">
        <f>+'Cenvalsa industrial'!AC83+Cenval!AC83+'D&amp;M'!N83+Saratur!N83</f>
        <v>0</v>
      </c>
      <c r="Y83" s="2">
        <f>+'Cenvalsa industrial'!AD83+Cenval!AD83+'D&amp;M'!O83+Saratur!O83</f>
        <v>0</v>
      </c>
      <c r="Z83" s="2">
        <f>+'Cenvalsa industrial'!AE83+Cenval!AE83+'D&amp;M'!P83+Saratur!P83</f>
        <v>0</v>
      </c>
      <c r="AA83" s="2">
        <f>+'Cenvalsa industrial'!AF83+Cenval!AF83+'D&amp;M'!Q83+Saratur!Q83</f>
        <v>0</v>
      </c>
      <c r="AB83" s="2">
        <f>+'Cenvalsa industrial'!AG83+Cenval!AG83+'D&amp;M'!R83+Saratur!R83</f>
        <v>0</v>
      </c>
      <c r="AC83" s="2">
        <f>+'Cenvalsa industrial'!AH83+Cenval!AH83+'D&amp;M'!S83+Saratur!S83</f>
        <v>0</v>
      </c>
      <c r="AD83" s="6">
        <f t="shared" si="18"/>
        <v>0</v>
      </c>
    </row>
    <row r="84" spans="1:30" outlineLevel="1" x14ac:dyDescent="0.25">
      <c r="A84" s="1" t="s">
        <v>87</v>
      </c>
      <c r="B84" s="8" t="e">
        <f>+#REF!/#REF!</f>
        <v>#REF!</v>
      </c>
      <c r="C84" s="2" t="e">
        <f>+#REF!/12</f>
        <v>#REF!</v>
      </c>
      <c r="D84" s="2" t="e">
        <f>+#REF!/12</f>
        <v>#REF!</v>
      </c>
      <c r="E84" s="2" t="e">
        <f>+#REF!/12</f>
        <v>#REF!</v>
      </c>
      <c r="F84" s="2" t="e">
        <f>+#REF!/12</f>
        <v>#REF!</v>
      </c>
      <c r="G84" s="2" t="e">
        <f>+#REF!/12</f>
        <v>#REF!</v>
      </c>
      <c r="H84" s="2" t="e">
        <f>+#REF!/12</f>
        <v>#REF!</v>
      </c>
      <c r="I84" s="2" t="e">
        <f>+#REF!/12</f>
        <v>#REF!</v>
      </c>
      <c r="J84" s="2" t="e">
        <f>+#REF!/12</f>
        <v>#REF!</v>
      </c>
      <c r="K84" s="2" t="e">
        <f>+#REF!/12</f>
        <v>#REF!</v>
      </c>
      <c r="L84" s="2" t="e">
        <f>+#REF!/12</f>
        <v>#REF!</v>
      </c>
      <c r="M84" s="2" t="e">
        <f>+#REF!/12</f>
        <v>#REF!</v>
      </c>
      <c r="N84" s="2" t="e">
        <f>+#REF!/12</f>
        <v>#REF!</v>
      </c>
      <c r="O84" s="6" t="e">
        <f t="shared" si="17"/>
        <v>#REF!</v>
      </c>
      <c r="P84" s="24">
        <v>0</v>
      </c>
      <c r="Q84" s="23">
        <f t="shared" si="19"/>
        <v>0</v>
      </c>
      <c r="R84" s="2">
        <f>+'Cenvalsa industrial'!W84+Cenval!W84+'D&amp;M'!H84+Saratur!H84</f>
        <v>0</v>
      </c>
      <c r="S84" s="2">
        <f>+'Cenvalsa industrial'!X84+Cenval!X84+'D&amp;M'!I84+Saratur!I84</f>
        <v>0</v>
      </c>
      <c r="T84" s="2">
        <f>+'Cenvalsa industrial'!Y84+Cenval!Y84+'D&amp;M'!J84+Saratur!J84</f>
        <v>0</v>
      </c>
      <c r="U84" s="2">
        <f>+'Cenvalsa industrial'!Z84+Cenval!Z84+'D&amp;M'!K84+Saratur!K84</f>
        <v>0</v>
      </c>
      <c r="V84" s="2">
        <f>+'Cenvalsa industrial'!AA84+Cenval!AA84+'D&amp;M'!L84+Saratur!L84</f>
        <v>0</v>
      </c>
      <c r="W84" s="2">
        <f>+'Cenvalsa industrial'!AB84+Cenval!AB84+'D&amp;M'!M84+Saratur!M84</f>
        <v>0</v>
      </c>
      <c r="X84" s="2">
        <f>+'Cenvalsa industrial'!AC84+Cenval!AC84+'D&amp;M'!N84+Saratur!N84</f>
        <v>0</v>
      </c>
      <c r="Y84" s="2">
        <f>+'Cenvalsa industrial'!AD84+Cenval!AD84+'D&amp;M'!O84+Saratur!O84</f>
        <v>0</v>
      </c>
      <c r="Z84" s="2">
        <f>+'Cenvalsa industrial'!AE84+Cenval!AE84+'D&amp;M'!P84+Saratur!P84</f>
        <v>0</v>
      </c>
      <c r="AA84" s="2">
        <f>+'Cenvalsa industrial'!AF84+Cenval!AF84+'D&amp;M'!Q84+Saratur!Q84</f>
        <v>0</v>
      </c>
      <c r="AB84" s="2">
        <f>+'Cenvalsa industrial'!AG84+Cenval!AG84+'D&amp;M'!R84+Saratur!R84</f>
        <v>0</v>
      </c>
      <c r="AC84" s="2">
        <f>+'Cenvalsa industrial'!AH84+Cenval!AH84+'D&amp;M'!S84+Saratur!S84</f>
        <v>0</v>
      </c>
      <c r="AD84" s="6">
        <f t="shared" si="18"/>
        <v>0</v>
      </c>
    </row>
    <row r="85" spans="1:30" outlineLevel="1" x14ac:dyDescent="0.25">
      <c r="A85" s="1" t="s">
        <v>88</v>
      </c>
      <c r="B85" s="8" t="e">
        <f>+#REF!/#REF!</f>
        <v>#REF!</v>
      </c>
      <c r="C85" s="2" t="e">
        <f>+#REF!/12</f>
        <v>#REF!</v>
      </c>
      <c r="D85" s="2" t="e">
        <f>+#REF!/12</f>
        <v>#REF!</v>
      </c>
      <c r="E85" s="2" t="e">
        <f>+#REF!/12</f>
        <v>#REF!</v>
      </c>
      <c r="F85" s="2" t="e">
        <f>+#REF!/12</f>
        <v>#REF!</v>
      </c>
      <c r="G85" s="2" t="e">
        <f>+#REF!/12</f>
        <v>#REF!</v>
      </c>
      <c r="H85" s="2" t="e">
        <f>+#REF!/12</f>
        <v>#REF!</v>
      </c>
      <c r="I85" s="2" t="e">
        <f>+#REF!/12</f>
        <v>#REF!</v>
      </c>
      <c r="J85" s="2" t="e">
        <f>+#REF!/12</f>
        <v>#REF!</v>
      </c>
      <c r="K85" s="2" t="e">
        <f>+#REF!/12</f>
        <v>#REF!</v>
      </c>
      <c r="L85" s="2" t="e">
        <f>+#REF!/12</f>
        <v>#REF!</v>
      </c>
      <c r="M85" s="2" t="e">
        <f>+#REF!/12</f>
        <v>#REF!</v>
      </c>
      <c r="N85" s="2" t="e">
        <f>+#REF!/12</f>
        <v>#REF!</v>
      </c>
      <c r="O85" s="6" t="e">
        <f t="shared" si="17"/>
        <v>#REF!</v>
      </c>
      <c r="P85" s="24">
        <v>0</v>
      </c>
      <c r="Q85" s="23">
        <f t="shared" si="19"/>
        <v>0</v>
      </c>
      <c r="R85" s="2">
        <f>+'Cenvalsa industrial'!W85+Cenval!W85+'D&amp;M'!H85+Saratur!H85</f>
        <v>0</v>
      </c>
      <c r="S85" s="2">
        <f>+'Cenvalsa industrial'!X85+Cenval!X85+'D&amp;M'!I85+Saratur!I85</f>
        <v>0</v>
      </c>
      <c r="T85" s="2">
        <f>+'Cenvalsa industrial'!Y85+Cenval!Y85+'D&amp;M'!J85+Saratur!J85</f>
        <v>0</v>
      </c>
      <c r="U85" s="2">
        <f>+'Cenvalsa industrial'!Z85+Cenval!Z85+'D&amp;M'!K85+Saratur!K85</f>
        <v>0</v>
      </c>
      <c r="V85" s="2">
        <f>+'Cenvalsa industrial'!AA85+Cenval!AA85+'D&amp;M'!L85+Saratur!L85</f>
        <v>0</v>
      </c>
      <c r="W85" s="2">
        <f>+'Cenvalsa industrial'!AB85+Cenval!AB85+'D&amp;M'!M85+Saratur!M85</f>
        <v>0</v>
      </c>
      <c r="X85" s="2">
        <f>+'Cenvalsa industrial'!AC85+Cenval!AC85+'D&amp;M'!N85+Saratur!N85</f>
        <v>0</v>
      </c>
      <c r="Y85" s="2">
        <f>+'Cenvalsa industrial'!AD85+Cenval!AD85+'D&amp;M'!O85+Saratur!O85</f>
        <v>0</v>
      </c>
      <c r="Z85" s="2">
        <f>+'Cenvalsa industrial'!AE85+Cenval!AE85+'D&amp;M'!P85+Saratur!P85</f>
        <v>0</v>
      </c>
      <c r="AA85" s="2">
        <f>+'Cenvalsa industrial'!AF85+Cenval!AF85+'D&amp;M'!Q85+Saratur!Q85</f>
        <v>0</v>
      </c>
      <c r="AB85" s="2">
        <f>+'Cenvalsa industrial'!AG85+Cenval!AG85+'D&amp;M'!R85+Saratur!R85</f>
        <v>0</v>
      </c>
      <c r="AC85" s="2">
        <f>+'Cenvalsa industrial'!AH85+Cenval!AH85+'D&amp;M'!S85+Saratur!S85</f>
        <v>0</v>
      </c>
      <c r="AD85" s="6">
        <f t="shared" si="18"/>
        <v>0</v>
      </c>
    </row>
    <row r="86" spans="1:30" outlineLevel="1" x14ac:dyDescent="0.25">
      <c r="A86" s="1" t="s">
        <v>89</v>
      </c>
      <c r="B86" s="8" t="e">
        <f>+#REF!/#REF!</f>
        <v>#REF!</v>
      </c>
      <c r="C86" s="2" t="e">
        <f>+#REF!/12</f>
        <v>#REF!</v>
      </c>
      <c r="D86" s="2" t="e">
        <f>+#REF!/12</f>
        <v>#REF!</v>
      </c>
      <c r="E86" s="2" t="e">
        <f>+#REF!/12</f>
        <v>#REF!</v>
      </c>
      <c r="F86" s="2" t="e">
        <f>+#REF!/12</f>
        <v>#REF!</v>
      </c>
      <c r="G86" s="2" t="e">
        <f>+#REF!/12</f>
        <v>#REF!</v>
      </c>
      <c r="H86" s="2" t="e">
        <f>+#REF!/12</f>
        <v>#REF!</v>
      </c>
      <c r="I86" s="2" t="e">
        <f>+#REF!/12</f>
        <v>#REF!</v>
      </c>
      <c r="J86" s="2" t="e">
        <f>+#REF!/12</f>
        <v>#REF!</v>
      </c>
      <c r="K86" s="2" t="e">
        <f>+#REF!/12</f>
        <v>#REF!</v>
      </c>
      <c r="L86" s="2" t="e">
        <f>+#REF!/12</f>
        <v>#REF!</v>
      </c>
      <c r="M86" s="2" t="e">
        <f>+#REF!/12</f>
        <v>#REF!</v>
      </c>
      <c r="N86" s="2" t="e">
        <f>+#REF!/12</f>
        <v>#REF!</v>
      </c>
      <c r="O86" s="6" t="e">
        <f t="shared" si="17"/>
        <v>#REF!</v>
      </c>
      <c r="P86" s="24">
        <v>0</v>
      </c>
      <c r="Q86" s="23">
        <f t="shared" si="19"/>
        <v>0</v>
      </c>
      <c r="R86" s="2">
        <f>+'Cenvalsa industrial'!W86+Cenval!W86+'D&amp;M'!H86+Saratur!H86</f>
        <v>0</v>
      </c>
      <c r="S86" s="2">
        <f>+'Cenvalsa industrial'!X86+Cenval!X86+'D&amp;M'!I86+Saratur!I86</f>
        <v>0</v>
      </c>
      <c r="T86" s="2">
        <f>+'Cenvalsa industrial'!Y86+Cenval!Y86+'D&amp;M'!J86+Saratur!J86</f>
        <v>0</v>
      </c>
      <c r="U86" s="2">
        <f>+'Cenvalsa industrial'!Z86+Cenval!Z86+'D&amp;M'!K86+Saratur!K86</f>
        <v>0</v>
      </c>
      <c r="V86" s="2">
        <f>+'Cenvalsa industrial'!AA86+Cenval!AA86+'D&amp;M'!L86+Saratur!L86</f>
        <v>0</v>
      </c>
      <c r="W86" s="2">
        <f>+'Cenvalsa industrial'!AB86+Cenval!AB86+'D&amp;M'!M86+Saratur!M86</f>
        <v>0</v>
      </c>
      <c r="X86" s="2">
        <f>+'Cenvalsa industrial'!AC86+Cenval!AC86+'D&amp;M'!N86+Saratur!N86</f>
        <v>0</v>
      </c>
      <c r="Y86" s="2">
        <f>+'Cenvalsa industrial'!AD86+Cenval!AD86+'D&amp;M'!O86+Saratur!O86</f>
        <v>0</v>
      </c>
      <c r="Z86" s="2">
        <f>+'Cenvalsa industrial'!AE86+Cenval!AE86+'D&amp;M'!P86+Saratur!P86</f>
        <v>0</v>
      </c>
      <c r="AA86" s="2">
        <f>+'Cenvalsa industrial'!AF86+Cenval!AF86+'D&amp;M'!Q86+Saratur!Q86</f>
        <v>0</v>
      </c>
      <c r="AB86" s="2">
        <f>+'Cenvalsa industrial'!AG86+Cenval!AG86+'D&amp;M'!R86+Saratur!R86</f>
        <v>0</v>
      </c>
      <c r="AC86" s="2">
        <f>+'Cenvalsa industrial'!AH86+Cenval!AH86+'D&amp;M'!S86+Saratur!S86</f>
        <v>0</v>
      </c>
      <c r="AD86" s="6">
        <f t="shared" si="18"/>
        <v>0</v>
      </c>
    </row>
    <row r="87" spans="1:30" outlineLevel="1" x14ac:dyDescent="0.25">
      <c r="A87" s="1" t="s">
        <v>90</v>
      </c>
      <c r="B87" s="8" t="e">
        <f>+#REF!/#REF!</f>
        <v>#REF!</v>
      </c>
      <c r="C87" s="2" t="e">
        <f>+#REF!/12</f>
        <v>#REF!</v>
      </c>
      <c r="D87" s="2" t="e">
        <f>+#REF!/12</f>
        <v>#REF!</v>
      </c>
      <c r="E87" s="2" t="e">
        <f>+#REF!/12</f>
        <v>#REF!</v>
      </c>
      <c r="F87" s="2" t="e">
        <f>+#REF!/12</f>
        <v>#REF!</v>
      </c>
      <c r="G87" s="2" t="e">
        <f>+#REF!/12</f>
        <v>#REF!</v>
      </c>
      <c r="H87" s="2" t="e">
        <f>+#REF!/12</f>
        <v>#REF!</v>
      </c>
      <c r="I87" s="2" t="e">
        <f>+#REF!/12</f>
        <v>#REF!</v>
      </c>
      <c r="J87" s="2" t="e">
        <f>+#REF!/12</f>
        <v>#REF!</v>
      </c>
      <c r="K87" s="2" t="e">
        <f>+#REF!/12</f>
        <v>#REF!</v>
      </c>
      <c r="L87" s="2" t="e">
        <f>+#REF!/12</f>
        <v>#REF!</v>
      </c>
      <c r="M87" s="2" t="e">
        <f>+#REF!/12</f>
        <v>#REF!</v>
      </c>
      <c r="N87" s="2" t="e">
        <f>+#REF!/12</f>
        <v>#REF!</v>
      </c>
      <c r="O87" s="6" t="e">
        <f t="shared" si="17"/>
        <v>#REF!</v>
      </c>
      <c r="P87" s="24">
        <v>0</v>
      </c>
      <c r="Q87" s="23">
        <f t="shared" si="19"/>
        <v>0</v>
      </c>
      <c r="R87" s="2">
        <f>+'Cenvalsa industrial'!W87+Cenval!W87+'D&amp;M'!H87+Saratur!H87</f>
        <v>0</v>
      </c>
      <c r="S87" s="2">
        <f>+'Cenvalsa industrial'!X87+Cenval!X87+'D&amp;M'!I87+Saratur!I87</f>
        <v>0</v>
      </c>
      <c r="T87" s="2">
        <f>+'Cenvalsa industrial'!Y87+Cenval!Y87+'D&amp;M'!J87+Saratur!J87</f>
        <v>0</v>
      </c>
      <c r="U87" s="2">
        <f>+'Cenvalsa industrial'!Z87+Cenval!Z87+'D&amp;M'!K87+Saratur!K87</f>
        <v>0</v>
      </c>
      <c r="V87" s="2">
        <f>+'Cenvalsa industrial'!AA87+Cenval!AA87+'D&amp;M'!L87+Saratur!L87</f>
        <v>0</v>
      </c>
      <c r="W87" s="2">
        <f>+'Cenvalsa industrial'!AB87+Cenval!AB87+'D&amp;M'!M87+Saratur!M87</f>
        <v>0</v>
      </c>
      <c r="X87" s="2">
        <f>+'Cenvalsa industrial'!AC87+Cenval!AC87+'D&amp;M'!N87+Saratur!N87</f>
        <v>0</v>
      </c>
      <c r="Y87" s="2">
        <f>+'Cenvalsa industrial'!AD87+Cenval!AD87+'D&amp;M'!O87+Saratur!O87</f>
        <v>0</v>
      </c>
      <c r="Z87" s="2">
        <f>+'Cenvalsa industrial'!AE87+Cenval!AE87+'D&amp;M'!P87+Saratur!P87</f>
        <v>0</v>
      </c>
      <c r="AA87" s="2">
        <f>+'Cenvalsa industrial'!AF87+Cenval!AF87+'D&amp;M'!Q87+Saratur!Q87</f>
        <v>0</v>
      </c>
      <c r="AB87" s="2">
        <f>+'Cenvalsa industrial'!AG87+Cenval!AG87+'D&amp;M'!R87+Saratur!R87</f>
        <v>0</v>
      </c>
      <c r="AC87" s="2">
        <f>+'Cenvalsa industrial'!AH87+Cenval!AH87+'D&amp;M'!S87+Saratur!S87</f>
        <v>0</v>
      </c>
      <c r="AD87" s="6">
        <f t="shared" si="18"/>
        <v>0</v>
      </c>
    </row>
    <row r="88" spans="1:30" outlineLevel="1" x14ac:dyDescent="0.25">
      <c r="A88" s="1" t="s">
        <v>91</v>
      </c>
      <c r="B88" s="8" t="e">
        <f>+#REF!/#REF!</f>
        <v>#REF!</v>
      </c>
      <c r="C88" s="2" t="e">
        <f>+#REF!/12</f>
        <v>#REF!</v>
      </c>
      <c r="D88" s="2" t="e">
        <f>+#REF!/12</f>
        <v>#REF!</v>
      </c>
      <c r="E88" s="2" t="e">
        <f>+#REF!/12</f>
        <v>#REF!</v>
      </c>
      <c r="F88" s="2" t="e">
        <f>+#REF!/12</f>
        <v>#REF!</v>
      </c>
      <c r="G88" s="2" t="e">
        <f>+#REF!/12</f>
        <v>#REF!</v>
      </c>
      <c r="H88" s="2" t="e">
        <f>+#REF!/12</f>
        <v>#REF!</v>
      </c>
      <c r="I88" s="2" t="e">
        <f>+#REF!/12</f>
        <v>#REF!</v>
      </c>
      <c r="J88" s="2" t="e">
        <f>+#REF!/12</f>
        <v>#REF!</v>
      </c>
      <c r="K88" s="2" t="e">
        <f>+#REF!/12</f>
        <v>#REF!</v>
      </c>
      <c r="L88" s="2" t="e">
        <f>+#REF!/12</f>
        <v>#REF!</v>
      </c>
      <c r="M88" s="2" t="e">
        <f>+#REF!/12</f>
        <v>#REF!</v>
      </c>
      <c r="N88" s="2" t="e">
        <f>+#REF!/12</f>
        <v>#REF!</v>
      </c>
      <c r="O88" s="6" t="e">
        <f t="shared" si="17"/>
        <v>#REF!</v>
      </c>
      <c r="P88" s="24">
        <v>0</v>
      </c>
      <c r="Q88" s="23">
        <f t="shared" si="19"/>
        <v>0</v>
      </c>
      <c r="R88" s="2">
        <f>+'Cenvalsa industrial'!W88+Cenval!W88+'D&amp;M'!H88+Saratur!H88</f>
        <v>0</v>
      </c>
      <c r="S88" s="2">
        <f>+'Cenvalsa industrial'!X88+Cenval!X88+'D&amp;M'!I88+Saratur!I88</f>
        <v>0</v>
      </c>
      <c r="T88" s="2">
        <f>+'Cenvalsa industrial'!Y88+Cenval!Y88+'D&amp;M'!J88+Saratur!J88</f>
        <v>0</v>
      </c>
      <c r="U88" s="2">
        <f>+'Cenvalsa industrial'!Z88+Cenval!Z88+'D&amp;M'!K88+Saratur!K88</f>
        <v>0</v>
      </c>
      <c r="V88" s="2">
        <f>+'Cenvalsa industrial'!AA88+Cenval!AA88+'D&amp;M'!L88+Saratur!L88</f>
        <v>0</v>
      </c>
      <c r="W88" s="2">
        <f>+'Cenvalsa industrial'!AB88+Cenval!AB88+'D&amp;M'!M88+Saratur!M88</f>
        <v>0</v>
      </c>
      <c r="X88" s="2">
        <f>+'Cenvalsa industrial'!AC88+Cenval!AC88+'D&amp;M'!N88+Saratur!N88</f>
        <v>0</v>
      </c>
      <c r="Y88" s="2">
        <f>+'Cenvalsa industrial'!AD88+Cenval!AD88+'D&amp;M'!O88+Saratur!O88</f>
        <v>0</v>
      </c>
      <c r="Z88" s="2">
        <f>+'Cenvalsa industrial'!AE88+Cenval!AE88+'D&amp;M'!P88+Saratur!P88</f>
        <v>0</v>
      </c>
      <c r="AA88" s="2">
        <f>+'Cenvalsa industrial'!AF88+Cenval!AF88+'D&amp;M'!Q88+Saratur!Q88</f>
        <v>0</v>
      </c>
      <c r="AB88" s="2">
        <f>+'Cenvalsa industrial'!AG88+Cenval!AG88+'D&amp;M'!R88+Saratur!R88</f>
        <v>0</v>
      </c>
      <c r="AC88" s="2">
        <f>+'Cenvalsa industrial'!AH88+Cenval!AH88+'D&amp;M'!S88+Saratur!S88</f>
        <v>0</v>
      </c>
      <c r="AD88" s="6">
        <f t="shared" si="18"/>
        <v>0</v>
      </c>
    </row>
    <row r="89" spans="1:30" outlineLevel="1" x14ac:dyDescent="0.25">
      <c r="A89" s="10" t="s">
        <v>92</v>
      </c>
      <c r="B89" s="8"/>
      <c r="C89" s="2" t="e">
        <f>+#REF!/12</f>
        <v>#REF!</v>
      </c>
      <c r="D89" s="2" t="e">
        <f>+#REF!/12</f>
        <v>#REF!</v>
      </c>
      <c r="E89" s="2" t="e">
        <f>+#REF!/12</f>
        <v>#REF!</v>
      </c>
      <c r="F89" s="2" t="e">
        <f>+#REF!/12</f>
        <v>#REF!</v>
      </c>
      <c r="G89" s="2" t="e">
        <f>+#REF!/12</f>
        <v>#REF!</v>
      </c>
      <c r="H89" s="2" t="e">
        <f>+#REF!/12</f>
        <v>#REF!</v>
      </c>
      <c r="I89" s="2" t="e">
        <f>+#REF!/12</f>
        <v>#REF!</v>
      </c>
      <c r="J89" s="2" t="e">
        <f>+#REF!/12</f>
        <v>#REF!</v>
      </c>
      <c r="K89" s="2" t="e">
        <f>+#REF!/12</f>
        <v>#REF!</v>
      </c>
      <c r="L89" s="2" t="e">
        <f>+#REF!/12</f>
        <v>#REF!</v>
      </c>
      <c r="M89" s="2" t="e">
        <f>+#REF!/12</f>
        <v>#REF!</v>
      </c>
      <c r="N89" s="2" t="e">
        <f>+#REF!/12</f>
        <v>#REF!</v>
      </c>
      <c r="O89" s="6" t="e">
        <f t="shared" si="17"/>
        <v>#REF!</v>
      </c>
      <c r="P89" s="24">
        <v>0</v>
      </c>
      <c r="Q89" s="23">
        <f t="shared" si="19"/>
        <v>0</v>
      </c>
      <c r="R89" s="2">
        <f>+'Cenvalsa industrial'!W89+Cenval!W89+'D&amp;M'!H89+Saratur!H89</f>
        <v>-41.666666666666664</v>
      </c>
      <c r="S89" s="2">
        <f>+'Cenvalsa industrial'!X89+Cenval!X89+'D&amp;M'!I89+Saratur!I89</f>
        <v>-4708.333333333333</v>
      </c>
      <c r="T89" s="2">
        <f>+'Cenvalsa industrial'!Y89+Cenval!Y89+'D&amp;M'!J89+Saratur!J89</f>
        <v>-4708.333333333333</v>
      </c>
      <c r="U89" s="2">
        <f>+'Cenvalsa industrial'!Z89+Cenval!Z89+'D&amp;M'!K89+Saratur!K89</f>
        <v>-4708.333333333333</v>
      </c>
      <c r="V89" s="2">
        <f>+'Cenvalsa industrial'!AA89+Cenval!AA89+'D&amp;M'!L89+Saratur!L89</f>
        <v>-4708.333333333333</v>
      </c>
      <c r="W89" s="2">
        <f>+'Cenvalsa industrial'!AB89+Cenval!AB89+'D&amp;M'!M89+Saratur!M89</f>
        <v>-4708.333333333333</v>
      </c>
      <c r="X89" s="2">
        <f>+'Cenvalsa industrial'!AC89+Cenval!AC89+'D&amp;M'!N89+Saratur!N89</f>
        <v>-4708.333333333333</v>
      </c>
      <c r="Y89" s="2">
        <f>+'Cenvalsa industrial'!AD89+Cenval!AD89+'D&amp;M'!O89+Saratur!O89</f>
        <v>-4708.333333333333</v>
      </c>
      <c r="Z89" s="2">
        <f>+'Cenvalsa industrial'!AE89+Cenval!AE89+'D&amp;M'!P89+Saratur!P89</f>
        <v>-4708.333333333333</v>
      </c>
      <c r="AA89" s="2">
        <f>+'Cenvalsa industrial'!AF89+Cenval!AF89+'D&amp;M'!Q89+Saratur!Q89</f>
        <v>-4708.333333333333</v>
      </c>
      <c r="AB89" s="2">
        <f>+'Cenvalsa industrial'!AG89+Cenval!AG89+'D&amp;M'!R89+Saratur!R89</f>
        <v>-4708.333333333333</v>
      </c>
      <c r="AC89" s="2">
        <f>+'Cenvalsa industrial'!AH89+Cenval!AH89+'D&amp;M'!S89+Saratur!S89</f>
        <v>-4708.333333333333</v>
      </c>
      <c r="AD89" s="6">
        <f t="shared" si="18"/>
        <v>-51833.333333333336</v>
      </c>
    </row>
    <row r="90" spans="1:30" outlineLevel="1" x14ac:dyDescent="0.25">
      <c r="A90" s="1" t="s">
        <v>93</v>
      </c>
      <c r="B90" s="8" t="e">
        <f>+#REF!/#REF!</f>
        <v>#REF!</v>
      </c>
      <c r="C90" s="2" t="e">
        <f>+#REF!/12</f>
        <v>#REF!</v>
      </c>
      <c r="D90" s="2" t="e">
        <f>+#REF!/12</f>
        <v>#REF!</v>
      </c>
      <c r="E90" s="2" t="e">
        <f>+#REF!/12</f>
        <v>#REF!</v>
      </c>
      <c r="F90" s="2" t="e">
        <f>+#REF!/12</f>
        <v>#REF!</v>
      </c>
      <c r="G90" s="2" t="e">
        <f>+#REF!/12</f>
        <v>#REF!</v>
      </c>
      <c r="H90" s="2" t="e">
        <f>+#REF!/12</f>
        <v>#REF!</v>
      </c>
      <c r="I90" s="2" t="e">
        <f>+#REF!/12</f>
        <v>#REF!</v>
      </c>
      <c r="J90" s="2" t="e">
        <f>+#REF!/12</f>
        <v>#REF!</v>
      </c>
      <c r="K90" s="2" t="e">
        <f>+#REF!/12</f>
        <v>#REF!</v>
      </c>
      <c r="L90" s="2" t="e">
        <f>+#REF!/12</f>
        <v>#REF!</v>
      </c>
      <c r="M90" s="2" t="e">
        <f>+#REF!/12</f>
        <v>#REF!</v>
      </c>
      <c r="N90" s="2" t="e">
        <f>+#REF!/12</f>
        <v>#REF!</v>
      </c>
      <c r="O90" s="6" t="e">
        <f t="shared" si="17"/>
        <v>#REF!</v>
      </c>
      <c r="P90" s="24">
        <v>0</v>
      </c>
      <c r="Q90" s="23">
        <f t="shared" si="19"/>
        <v>0</v>
      </c>
      <c r="R90" s="2">
        <f>+'Cenvalsa industrial'!W90+Cenval!W90+'D&amp;M'!H90+Saratur!H90</f>
        <v>-708.33333333333337</v>
      </c>
      <c r="S90" s="2">
        <f>+'Cenvalsa industrial'!X90+Cenval!X90+'D&amp;M'!I90+Saratur!I90</f>
        <v>-708.33333333333337</v>
      </c>
      <c r="T90" s="2">
        <f>+'Cenvalsa industrial'!Y90+Cenval!Y90+'D&amp;M'!J90+Saratur!J90</f>
        <v>-708.33333333333337</v>
      </c>
      <c r="U90" s="2">
        <f>+'Cenvalsa industrial'!Z90+Cenval!Z90+'D&amp;M'!K90+Saratur!K90</f>
        <v>-708.33333333333337</v>
      </c>
      <c r="V90" s="2">
        <f>+'Cenvalsa industrial'!AA90+Cenval!AA90+'D&amp;M'!L90+Saratur!L90</f>
        <v>-708.33333333333337</v>
      </c>
      <c r="W90" s="2">
        <f>+'Cenvalsa industrial'!AB90+Cenval!AB90+'D&amp;M'!M90+Saratur!M90</f>
        <v>-708.33333333333337</v>
      </c>
      <c r="X90" s="2">
        <f>+'Cenvalsa industrial'!AC90+Cenval!AC90+'D&amp;M'!N90+Saratur!N90</f>
        <v>-708.33333333333337</v>
      </c>
      <c r="Y90" s="2">
        <f>+'Cenvalsa industrial'!AD90+Cenval!AD90+'D&amp;M'!O90+Saratur!O90</f>
        <v>-708.33333333333337</v>
      </c>
      <c r="Z90" s="2">
        <f>+'Cenvalsa industrial'!AE90+Cenval!AE90+'D&amp;M'!P90+Saratur!P90</f>
        <v>-708.33333333333337</v>
      </c>
      <c r="AA90" s="2">
        <f>+'Cenvalsa industrial'!AF90+Cenval!AF90+'D&amp;M'!Q90+Saratur!Q90</f>
        <v>-708.33333333333337</v>
      </c>
      <c r="AB90" s="2">
        <f>+'Cenvalsa industrial'!AG90+Cenval!AG90+'D&amp;M'!R90+Saratur!R90</f>
        <v>-708.33333333333337</v>
      </c>
      <c r="AC90" s="2">
        <f>+'Cenvalsa industrial'!AH90+Cenval!AH90+'D&amp;M'!S90+Saratur!S90</f>
        <v>-708.33333333333337</v>
      </c>
      <c r="AD90" s="6">
        <f t="shared" si="18"/>
        <v>-8499.9999999999982</v>
      </c>
    </row>
    <row r="91" spans="1:30" outlineLevel="1" x14ac:dyDescent="0.25">
      <c r="A91" s="1" t="s">
        <v>94</v>
      </c>
      <c r="B91" s="8" t="e">
        <f>+#REF!/#REF!</f>
        <v>#REF!</v>
      </c>
      <c r="C91" s="2" t="e">
        <f>+#REF!/12</f>
        <v>#REF!</v>
      </c>
      <c r="D91" s="2" t="e">
        <f>+#REF!/12</f>
        <v>#REF!</v>
      </c>
      <c r="E91" s="2" t="e">
        <f>+#REF!/12</f>
        <v>#REF!</v>
      </c>
      <c r="F91" s="2" t="e">
        <f>+#REF!/12</f>
        <v>#REF!</v>
      </c>
      <c r="G91" s="2" t="e">
        <f>+#REF!/12</f>
        <v>#REF!</v>
      </c>
      <c r="H91" s="2" t="e">
        <f>+#REF!/12</f>
        <v>#REF!</v>
      </c>
      <c r="I91" s="2" t="e">
        <f>+#REF!/12</f>
        <v>#REF!</v>
      </c>
      <c r="J91" s="2" t="e">
        <f>+#REF!/12</f>
        <v>#REF!</v>
      </c>
      <c r="K91" s="2" t="e">
        <f>+#REF!/12</f>
        <v>#REF!</v>
      </c>
      <c r="L91" s="2" t="e">
        <f>+#REF!/12</f>
        <v>#REF!</v>
      </c>
      <c r="M91" s="2" t="e">
        <f>+#REF!/12</f>
        <v>#REF!</v>
      </c>
      <c r="N91" s="2" t="e">
        <f>+#REF!/12</f>
        <v>#REF!</v>
      </c>
      <c r="O91" s="6" t="e">
        <f t="shared" si="17"/>
        <v>#REF!</v>
      </c>
      <c r="P91" s="24">
        <v>0</v>
      </c>
      <c r="Q91" s="23">
        <f t="shared" si="19"/>
        <v>0</v>
      </c>
      <c r="R91" s="2">
        <f>+'Cenvalsa industrial'!W91+Cenval!W91+'D&amp;M'!H91+Saratur!H91</f>
        <v>-16.666666666666668</v>
      </c>
      <c r="S91" s="2">
        <f>+'Cenvalsa industrial'!X91+Cenval!X91+'D&amp;M'!I91+Saratur!I91</f>
        <v>-16.666666666666668</v>
      </c>
      <c r="T91" s="2">
        <f>+'Cenvalsa industrial'!Y91+Cenval!Y91+'D&amp;M'!J91+Saratur!J91</f>
        <v>-16.666666666666668</v>
      </c>
      <c r="U91" s="2">
        <f>+'Cenvalsa industrial'!Z91+Cenval!Z91+'D&amp;M'!K91+Saratur!K91</f>
        <v>-16.666666666666668</v>
      </c>
      <c r="V91" s="2">
        <f>+'Cenvalsa industrial'!AA91+Cenval!AA91+'D&amp;M'!L91+Saratur!L91</f>
        <v>-16.666666666666668</v>
      </c>
      <c r="W91" s="2">
        <f>+'Cenvalsa industrial'!AB91+Cenval!AB91+'D&amp;M'!M91+Saratur!M91</f>
        <v>-16.666666666666668</v>
      </c>
      <c r="X91" s="2">
        <f>+'Cenvalsa industrial'!AC91+Cenval!AC91+'D&amp;M'!N91+Saratur!N91</f>
        <v>-16.666666666666668</v>
      </c>
      <c r="Y91" s="2">
        <f>+'Cenvalsa industrial'!AD91+Cenval!AD91+'D&amp;M'!O91+Saratur!O91</f>
        <v>-16.666666666666668</v>
      </c>
      <c r="Z91" s="2">
        <f>+'Cenvalsa industrial'!AE91+Cenval!AE91+'D&amp;M'!P91+Saratur!P91</f>
        <v>-16.666666666666668</v>
      </c>
      <c r="AA91" s="2">
        <f>+'Cenvalsa industrial'!AF91+Cenval!AF91+'D&amp;M'!Q91+Saratur!Q91</f>
        <v>-16.666666666666668</v>
      </c>
      <c r="AB91" s="2">
        <f>+'Cenvalsa industrial'!AG91+Cenval!AG91+'D&amp;M'!R91+Saratur!R91</f>
        <v>-16.666666666666668</v>
      </c>
      <c r="AC91" s="2">
        <f>+'Cenvalsa industrial'!AH91+Cenval!AH91+'D&amp;M'!S91+Saratur!S91</f>
        <v>-16.666666666666668</v>
      </c>
      <c r="AD91" s="6">
        <f t="shared" si="18"/>
        <v>-199.99999999999997</v>
      </c>
    </row>
    <row r="92" spans="1:30" outlineLevel="1" x14ac:dyDescent="0.25">
      <c r="A92" s="10" t="s">
        <v>95</v>
      </c>
      <c r="B92" s="8"/>
      <c r="C92" s="2" t="e">
        <f>+#REF!/12</f>
        <v>#REF!</v>
      </c>
      <c r="D92" s="2" t="e">
        <f>+#REF!/12</f>
        <v>#REF!</v>
      </c>
      <c r="E92" s="2" t="e">
        <f>+#REF!/12</f>
        <v>#REF!</v>
      </c>
      <c r="F92" s="2" t="e">
        <f>+#REF!/12</f>
        <v>#REF!</v>
      </c>
      <c r="G92" s="2" t="e">
        <f>+#REF!/12</f>
        <v>#REF!</v>
      </c>
      <c r="H92" s="2" t="e">
        <f>+#REF!/12</f>
        <v>#REF!</v>
      </c>
      <c r="I92" s="2" t="e">
        <f>+#REF!/12</f>
        <v>#REF!</v>
      </c>
      <c r="J92" s="2" t="e">
        <f>+#REF!/12</f>
        <v>#REF!</v>
      </c>
      <c r="K92" s="2" t="e">
        <f>+#REF!/12</f>
        <v>#REF!</v>
      </c>
      <c r="L92" s="2" t="e">
        <f>+#REF!/12</f>
        <v>#REF!</v>
      </c>
      <c r="M92" s="2" t="e">
        <f>+#REF!/12</f>
        <v>#REF!</v>
      </c>
      <c r="N92" s="2" t="e">
        <f>+#REF!/12</f>
        <v>#REF!</v>
      </c>
      <c r="O92" s="6" t="e">
        <f t="shared" si="17"/>
        <v>#REF!</v>
      </c>
      <c r="P92" s="24">
        <v>0</v>
      </c>
      <c r="Q92" s="23">
        <f t="shared" si="19"/>
        <v>0</v>
      </c>
      <c r="R92" s="2">
        <f>+'Cenvalsa industrial'!W92+Cenval!W92+'D&amp;M'!H92+Saratur!H92</f>
        <v>-16.666666666666668</v>
      </c>
      <c r="S92" s="2">
        <f>+'Cenvalsa industrial'!X92+Cenval!X92+'D&amp;M'!I92+Saratur!I92</f>
        <v>-16.666666666666668</v>
      </c>
      <c r="T92" s="2">
        <f>+'Cenvalsa industrial'!Y92+Cenval!Y92+'D&amp;M'!J92+Saratur!J92</f>
        <v>-16.666666666666668</v>
      </c>
      <c r="U92" s="2">
        <f>+'Cenvalsa industrial'!Z92+Cenval!Z92+'D&amp;M'!K92+Saratur!K92</f>
        <v>-16.666666666666668</v>
      </c>
      <c r="V92" s="2">
        <f>+'Cenvalsa industrial'!AA92+Cenval!AA92+'D&amp;M'!L92+Saratur!L92</f>
        <v>-16.666666666666668</v>
      </c>
      <c r="W92" s="2">
        <f>+'Cenvalsa industrial'!AB92+Cenval!AB92+'D&amp;M'!M92+Saratur!M92</f>
        <v>-16.666666666666668</v>
      </c>
      <c r="X92" s="2">
        <f>+'Cenvalsa industrial'!AC92+Cenval!AC92+'D&amp;M'!N92+Saratur!N92</f>
        <v>-16.666666666666668</v>
      </c>
      <c r="Y92" s="2">
        <f>+'Cenvalsa industrial'!AD92+Cenval!AD92+'D&amp;M'!O92+Saratur!O92</f>
        <v>-16.666666666666668</v>
      </c>
      <c r="Z92" s="2">
        <f>+'Cenvalsa industrial'!AE92+Cenval!AE92+'D&amp;M'!P92+Saratur!P92</f>
        <v>-16.666666666666668</v>
      </c>
      <c r="AA92" s="2">
        <f>+'Cenvalsa industrial'!AF92+Cenval!AF92+'D&amp;M'!Q92+Saratur!Q92</f>
        <v>-16.666666666666668</v>
      </c>
      <c r="AB92" s="2">
        <f>+'Cenvalsa industrial'!AG92+Cenval!AG92+'D&amp;M'!R92+Saratur!R92</f>
        <v>-16.666666666666668</v>
      </c>
      <c r="AC92" s="2">
        <f>+'Cenvalsa industrial'!AH92+Cenval!AH92+'D&amp;M'!S92+Saratur!S92</f>
        <v>-16.666666666666668</v>
      </c>
      <c r="AD92" s="6">
        <f t="shared" si="18"/>
        <v>-199.99999999999997</v>
      </c>
    </row>
    <row r="93" spans="1:30" outlineLevel="1" x14ac:dyDescent="0.25">
      <c r="A93" s="9" t="s">
        <v>96</v>
      </c>
      <c r="B93" s="8"/>
      <c r="C93" s="2" t="e">
        <f>+#REF!/12</f>
        <v>#REF!</v>
      </c>
      <c r="D93" s="2" t="e">
        <f>+#REF!/12</f>
        <v>#REF!</v>
      </c>
      <c r="E93" s="2" t="e">
        <f>+#REF!/12</f>
        <v>#REF!</v>
      </c>
      <c r="F93" s="2" t="e">
        <f>+#REF!/12</f>
        <v>#REF!</v>
      </c>
      <c r="G93" s="2" t="e">
        <f>+#REF!/12</f>
        <v>#REF!</v>
      </c>
      <c r="H93" s="2" t="e">
        <f>+#REF!/12</f>
        <v>#REF!</v>
      </c>
      <c r="I93" s="2" t="e">
        <f>+#REF!/12</f>
        <v>#REF!</v>
      </c>
      <c r="J93" s="2" t="e">
        <f>+#REF!/12</f>
        <v>#REF!</v>
      </c>
      <c r="K93" s="2" t="e">
        <f>+#REF!/12</f>
        <v>#REF!</v>
      </c>
      <c r="L93" s="2" t="e">
        <f>+#REF!/12</f>
        <v>#REF!</v>
      </c>
      <c r="M93" s="2" t="e">
        <f>+#REF!/12</f>
        <v>#REF!</v>
      </c>
      <c r="N93" s="2" t="e">
        <f>+#REF!/12</f>
        <v>#REF!</v>
      </c>
      <c r="O93" s="6" t="e">
        <f t="shared" si="17"/>
        <v>#REF!</v>
      </c>
      <c r="P93" s="24">
        <v>0</v>
      </c>
      <c r="Q93" s="23">
        <f t="shared" si="19"/>
        <v>0</v>
      </c>
      <c r="R93" s="2">
        <f>+'Cenvalsa industrial'!W93+Cenval!W93+'D&amp;M'!H93+Saratur!H93</f>
        <v>0</v>
      </c>
      <c r="S93" s="2">
        <f>+'Cenvalsa industrial'!X93+Cenval!X93+'D&amp;M'!I93+Saratur!I93</f>
        <v>0</v>
      </c>
      <c r="T93" s="2">
        <f>+'Cenvalsa industrial'!Y93+Cenval!Y93+'D&amp;M'!J93+Saratur!J93</f>
        <v>0</v>
      </c>
      <c r="U93" s="2">
        <f>+'Cenvalsa industrial'!Z93+Cenval!Z93+'D&amp;M'!K93+Saratur!K93</f>
        <v>0</v>
      </c>
      <c r="V93" s="2">
        <f>+'Cenvalsa industrial'!AA93+Cenval!AA93+'D&amp;M'!L93+Saratur!L93</f>
        <v>0</v>
      </c>
      <c r="W93" s="2">
        <f>+'Cenvalsa industrial'!AB93+Cenval!AB93+'D&amp;M'!M93+Saratur!M93</f>
        <v>0</v>
      </c>
      <c r="X93" s="2">
        <f>+'Cenvalsa industrial'!AC93+Cenval!AC93+'D&amp;M'!N93+Saratur!N93</f>
        <v>0</v>
      </c>
      <c r="Y93" s="2">
        <f>+'Cenvalsa industrial'!AD93+Cenval!AD93+'D&amp;M'!O93+Saratur!O93</f>
        <v>0</v>
      </c>
      <c r="Z93" s="2">
        <f>+'Cenvalsa industrial'!AE93+Cenval!AE93+'D&amp;M'!P93+Saratur!P93</f>
        <v>0</v>
      </c>
      <c r="AA93" s="2">
        <f>+'Cenvalsa industrial'!AF93+Cenval!AF93+'D&amp;M'!Q93+Saratur!Q93</f>
        <v>0</v>
      </c>
      <c r="AB93" s="2">
        <f>+'Cenvalsa industrial'!AG93+Cenval!AG93+'D&amp;M'!R93+Saratur!R93</f>
        <v>0</v>
      </c>
      <c r="AC93" s="2">
        <f>+'Cenvalsa industrial'!AH93+Cenval!AH93+'D&amp;M'!S93+Saratur!S93</f>
        <v>0</v>
      </c>
      <c r="AD93" s="6">
        <f t="shared" si="18"/>
        <v>0</v>
      </c>
    </row>
    <row r="94" spans="1:30" outlineLevel="1" x14ac:dyDescent="0.25">
      <c r="A94" s="1" t="s">
        <v>97</v>
      </c>
      <c r="B94" s="8" t="e">
        <f>+#REF!/#REF!</f>
        <v>#REF!</v>
      </c>
      <c r="C94" s="2" t="e">
        <f>+#REF!/12</f>
        <v>#REF!</v>
      </c>
      <c r="D94" s="2" t="e">
        <f>+#REF!/12</f>
        <v>#REF!</v>
      </c>
      <c r="E94" s="2" t="e">
        <f>+#REF!/12</f>
        <v>#REF!</v>
      </c>
      <c r="F94" s="2" t="e">
        <f>+#REF!/12</f>
        <v>#REF!</v>
      </c>
      <c r="G94" s="2" t="e">
        <f>+#REF!/12</f>
        <v>#REF!</v>
      </c>
      <c r="H94" s="2" t="e">
        <f>+#REF!/12</f>
        <v>#REF!</v>
      </c>
      <c r="I94" s="2" t="e">
        <f>+#REF!/12</f>
        <v>#REF!</v>
      </c>
      <c r="J94" s="2" t="e">
        <f>+#REF!/12</f>
        <v>#REF!</v>
      </c>
      <c r="K94" s="2" t="e">
        <f>+#REF!/12</f>
        <v>#REF!</v>
      </c>
      <c r="L94" s="2" t="e">
        <f>+#REF!/12</f>
        <v>#REF!</v>
      </c>
      <c r="M94" s="2" t="e">
        <f>+#REF!/12</f>
        <v>#REF!</v>
      </c>
      <c r="N94" s="2" t="e">
        <f>+#REF!/12</f>
        <v>#REF!</v>
      </c>
      <c r="O94" s="6" t="e">
        <f t="shared" si="17"/>
        <v>#REF!</v>
      </c>
      <c r="P94" s="24">
        <v>0</v>
      </c>
      <c r="Q94" s="23">
        <f t="shared" si="19"/>
        <v>0</v>
      </c>
      <c r="R94" s="2">
        <f>+'Cenvalsa industrial'!W94+Cenval!W94+'D&amp;M'!H94+Saratur!H94</f>
        <v>0</v>
      </c>
      <c r="S94" s="2">
        <f>+'Cenvalsa industrial'!X94+Cenval!X94+'D&amp;M'!I94+Saratur!I94</f>
        <v>0</v>
      </c>
      <c r="T94" s="2">
        <f>+'Cenvalsa industrial'!Y94+Cenval!Y94+'D&amp;M'!J94+Saratur!J94</f>
        <v>0</v>
      </c>
      <c r="U94" s="2">
        <f>+'Cenvalsa industrial'!Z94+Cenval!Z94+'D&amp;M'!K94+Saratur!K94</f>
        <v>0</v>
      </c>
      <c r="V94" s="2">
        <f>+'Cenvalsa industrial'!AA94+Cenval!AA94+'D&amp;M'!L94+Saratur!L94</f>
        <v>0</v>
      </c>
      <c r="W94" s="2">
        <f>+'Cenvalsa industrial'!AB94+Cenval!AB94+'D&amp;M'!M94+Saratur!M94</f>
        <v>0</v>
      </c>
      <c r="X94" s="2">
        <f>+'Cenvalsa industrial'!AC94+Cenval!AC94+'D&amp;M'!N94+Saratur!N94</f>
        <v>0</v>
      </c>
      <c r="Y94" s="2">
        <f>+'Cenvalsa industrial'!AD94+Cenval!AD94+'D&amp;M'!O94+Saratur!O94</f>
        <v>0</v>
      </c>
      <c r="Z94" s="2">
        <f>+'Cenvalsa industrial'!AE94+Cenval!AE94+'D&amp;M'!P94+Saratur!P94</f>
        <v>0</v>
      </c>
      <c r="AA94" s="2">
        <f>+'Cenvalsa industrial'!AF94+Cenval!AF94+'D&amp;M'!Q94+Saratur!Q94</f>
        <v>0</v>
      </c>
      <c r="AB94" s="2">
        <f>+'Cenvalsa industrial'!AG94+Cenval!AG94+'D&amp;M'!R94+Saratur!R94</f>
        <v>0</v>
      </c>
      <c r="AC94" s="2">
        <f>+'Cenvalsa industrial'!AH94+Cenval!AH94+'D&amp;M'!S94+Saratur!S94</f>
        <v>0</v>
      </c>
      <c r="AD94" s="6">
        <f t="shared" si="18"/>
        <v>0</v>
      </c>
    </row>
    <row r="95" spans="1:30" outlineLevel="1" x14ac:dyDescent="0.25">
      <c r="A95" s="1" t="s">
        <v>98</v>
      </c>
      <c r="B95" s="8" t="e">
        <f>+#REF!/#REF!</f>
        <v>#REF!</v>
      </c>
      <c r="C95" s="2" t="e">
        <f>+#REF!/12</f>
        <v>#REF!</v>
      </c>
      <c r="D95" s="2" t="e">
        <f>+#REF!/12</f>
        <v>#REF!</v>
      </c>
      <c r="E95" s="2" t="e">
        <f>+#REF!/12</f>
        <v>#REF!</v>
      </c>
      <c r="F95" s="2" t="e">
        <f>+#REF!/12</f>
        <v>#REF!</v>
      </c>
      <c r="G95" s="2" t="e">
        <f>+#REF!/12</f>
        <v>#REF!</v>
      </c>
      <c r="H95" s="2" t="e">
        <f>+#REF!/12</f>
        <v>#REF!</v>
      </c>
      <c r="I95" s="2" t="e">
        <f>+#REF!/12</f>
        <v>#REF!</v>
      </c>
      <c r="J95" s="2" t="e">
        <f>+#REF!/12</f>
        <v>#REF!</v>
      </c>
      <c r="K95" s="2" t="e">
        <f>+#REF!/12</f>
        <v>#REF!</v>
      </c>
      <c r="L95" s="2" t="e">
        <f>+#REF!/12</f>
        <v>#REF!</v>
      </c>
      <c r="M95" s="2" t="e">
        <f>+#REF!/12</f>
        <v>#REF!</v>
      </c>
      <c r="N95" s="2" t="e">
        <f>+#REF!/12</f>
        <v>#REF!</v>
      </c>
      <c r="O95" s="6" t="e">
        <f t="shared" si="17"/>
        <v>#REF!</v>
      </c>
      <c r="P95" s="24">
        <v>0</v>
      </c>
      <c r="Q95" s="23">
        <f t="shared" si="19"/>
        <v>0</v>
      </c>
      <c r="R95" s="2">
        <f>+'Cenvalsa industrial'!W95+Cenval!W95+'D&amp;M'!H95+Saratur!H95</f>
        <v>-208.33333333333334</v>
      </c>
      <c r="S95" s="2">
        <f>+'Cenvalsa industrial'!X95+Cenval!X95+'D&amp;M'!I95+Saratur!I95</f>
        <v>-208.33333333333334</v>
      </c>
      <c r="T95" s="2">
        <f>+'Cenvalsa industrial'!Y95+Cenval!Y95+'D&amp;M'!J95+Saratur!J95</f>
        <v>-208.33333333333334</v>
      </c>
      <c r="U95" s="2">
        <f>+'Cenvalsa industrial'!Z95+Cenval!Z95+'D&amp;M'!K95+Saratur!K95</f>
        <v>-208.33333333333334</v>
      </c>
      <c r="V95" s="2">
        <f>+'Cenvalsa industrial'!AA95+Cenval!AA95+'D&amp;M'!L95+Saratur!L95</f>
        <v>-208.33333333333334</v>
      </c>
      <c r="W95" s="2">
        <f>+'Cenvalsa industrial'!AB95+Cenval!AB95+'D&amp;M'!M95+Saratur!M95</f>
        <v>-208.33333333333334</v>
      </c>
      <c r="X95" s="2">
        <f>+'Cenvalsa industrial'!AC95+Cenval!AC95+'D&amp;M'!N95+Saratur!N95</f>
        <v>-208.33333333333334</v>
      </c>
      <c r="Y95" s="2">
        <f>+'Cenvalsa industrial'!AD95+Cenval!AD95+'D&amp;M'!O95+Saratur!O95</f>
        <v>-208.33333333333334</v>
      </c>
      <c r="Z95" s="2">
        <f>+'Cenvalsa industrial'!AE95+Cenval!AE95+'D&amp;M'!P95+Saratur!P95</f>
        <v>-208.33333333333334</v>
      </c>
      <c r="AA95" s="2">
        <f>+'Cenvalsa industrial'!AF95+Cenval!AF95+'D&amp;M'!Q95+Saratur!Q95</f>
        <v>-208.33333333333334</v>
      </c>
      <c r="AB95" s="2">
        <f>+'Cenvalsa industrial'!AG95+Cenval!AG95+'D&amp;M'!R95+Saratur!R95</f>
        <v>-208.33333333333334</v>
      </c>
      <c r="AC95" s="2">
        <f>+'Cenvalsa industrial'!AH95+Cenval!AH95+'D&amp;M'!S95+Saratur!S95</f>
        <v>-208.33333333333334</v>
      </c>
      <c r="AD95" s="6">
        <f t="shared" si="18"/>
        <v>-2500</v>
      </c>
    </row>
    <row r="96" spans="1:30" outlineLevel="1" x14ac:dyDescent="0.25">
      <c r="A96" s="1" t="s">
        <v>99</v>
      </c>
      <c r="B96" s="8" t="e">
        <f>+#REF!/#REF!</f>
        <v>#REF!</v>
      </c>
      <c r="C96" s="2" t="e">
        <f>+#REF!/12</f>
        <v>#REF!</v>
      </c>
      <c r="D96" s="2" t="e">
        <f>+#REF!/12</f>
        <v>#REF!</v>
      </c>
      <c r="E96" s="2" t="e">
        <f>+#REF!/12</f>
        <v>#REF!</v>
      </c>
      <c r="F96" s="2" t="e">
        <f>+#REF!/12</f>
        <v>#REF!</v>
      </c>
      <c r="G96" s="2" t="e">
        <f>+#REF!/12</f>
        <v>#REF!</v>
      </c>
      <c r="H96" s="2" t="e">
        <f>+#REF!/12</f>
        <v>#REF!</v>
      </c>
      <c r="I96" s="2" t="e">
        <f>+#REF!/12</f>
        <v>#REF!</v>
      </c>
      <c r="J96" s="2" t="e">
        <f>+#REF!/12</f>
        <v>#REF!</v>
      </c>
      <c r="K96" s="2" t="e">
        <f>+#REF!/12</f>
        <v>#REF!</v>
      </c>
      <c r="L96" s="2" t="e">
        <f>+#REF!/12</f>
        <v>#REF!</v>
      </c>
      <c r="M96" s="2" t="e">
        <f>+#REF!/12</f>
        <v>#REF!</v>
      </c>
      <c r="N96" s="2" t="e">
        <f>+#REF!/12</f>
        <v>#REF!</v>
      </c>
      <c r="O96" s="6" t="e">
        <f t="shared" si="17"/>
        <v>#REF!</v>
      </c>
      <c r="P96" s="24">
        <v>0</v>
      </c>
      <c r="Q96" s="23">
        <f t="shared" si="19"/>
        <v>0</v>
      </c>
      <c r="R96" s="2">
        <f>+'Cenvalsa industrial'!W96+Cenval!W96+'D&amp;M'!H96+Saratur!H96</f>
        <v>0</v>
      </c>
      <c r="S96" s="2">
        <f>+'Cenvalsa industrial'!X96+Cenval!X96+'D&amp;M'!I96+Saratur!I96</f>
        <v>0</v>
      </c>
      <c r="T96" s="2">
        <f>+'Cenvalsa industrial'!Y96+Cenval!Y96+'D&amp;M'!J96+Saratur!J96</f>
        <v>0</v>
      </c>
      <c r="U96" s="2">
        <f>+'Cenvalsa industrial'!Z96+Cenval!Z96+'D&amp;M'!K96+Saratur!K96</f>
        <v>0</v>
      </c>
      <c r="V96" s="2">
        <f>+'Cenvalsa industrial'!AA96+Cenval!AA96+'D&amp;M'!L96+Saratur!L96</f>
        <v>0</v>
      </c>
      <c r="W96" s="2">
        <f>+'Cenvalsa industrial'!AB96+Cenval!AB96+'D&amp;M'!M96+Saratur!M96</f>
        <v>0</v>
      </c>
      <c r="X96" s="2">
        <f>+'Cenvalsa industrial'!AC96+Cenval!AC96+'D&amp;M'!N96+Saratur!N96</f>
        <v>0</v>
      </c>
      <c r="Y96" s="2">
        <f>+'Cenvalsa industrial'!AD96+Cenval!AD96+'D&amp;M'!O96+Saratur!O96</f>
        <v>0</v>
      </c>
      <c r="Z96" s="2">
        <f>+'Cenvalsa industrial'!AE96+Cenval!AE96+'D&amp;M'!P96+Saratur!P96</f>
        <v>0</v>
      </c>
      <c r="AA96" s="2">
        <f>+'Cenvalsa industrial'!AF96+Cenval!AF96+'D&amp;M'!Q96+Saratur!Q96</f>
        <v>0</v>
      </c>
      <c r="AB96" s="2">
        <f>+'Cenvalsa industrial'!AG96+Cenval!AG96+'D&amp;M'!R96+Saratur!R96</f>
        <v>0</v>
      </c>
      <c r="AC96" s="2">
        <f>+'Cenvalsa industrial'!AH96+Cenval!AH96+'D&amp;M'!S96+Saratur!S96</f>
        <v>0</v>
      </c>
      <c r="AD96" s="6">
        <f t="shared" si="18"/>
        <v>0</v>
      </c>
    </row>
    <row r="97" spans="1:30" outlineLevel="1" x14ac:dyDescent="0.25">
      <c r="A97" s="10" t="s">
        <v>100</v>
      </c>
      <c r="B97" s="8"/>
      <c r="C97" s="2" t="e">
        <f>+#REF!/12</f>
        <v>#REF!</v>
      </c>
      <c r="D97" s="2" t="e">
        <f>+#REF!/12</f>
        <v>#REF!</v>
      </c>
      <c r="E97" s="2" t="e">
        <f>+#REF!/12</f>
        <v>#REF!</v>
      </c>
      <c r="F97" s="2" t="e">
        <f>+#REF!/12</f>
        <v>#REF!</v>
      </c>
      <c r="G97" s="2" t="e">
        <f>+#REF!/12</f>
        <v>#REF!</v>
      </c>
      <c r="H97" s="2" t="e">
        <f>+#REF!/12</f>
        <v>#REF!</v>
      </c>
      <c r="I97" s="2" t="e">
        <f>+#REF!/12</f>
        <v>#REF!</v>
      </c>
      <c r="J97" s="2" t="e">
        <f>+#REF!/12</f>
        <v>#REF!</v>
      </c>
      <c r="K97" s="2" t="e">
        <f>+#REF!/12</f>
        <v>#REF!</v>
      </c>
      <c r="L97" s="2" t="e">
        <f>+#REF!/12</f>
        <v>#REF!</v>
      </c>
      <c r="M97" s="2" t="e">
        <f>+#REF!/12</f>
        <v>#REF!</v>
      </c>
      <c r="N97" s="2" t="e">
        <f>+#REF!/12</f>
        <v>#REF!</v>
      </c>
      <c r="O97" s="6" t="e">
        <f t="shared" si="17"/>
        <v>#REF!</v>
      </c>
      <c r="P97" s="24">
        <v>0</v>
      </c>
      <c r="Q97" s="23">
        <f t="shared" si="19"/>
        <v>0</v>
      </c>
      <c r="R97" s="2">
        <f>+'Cenvalsa industrial'!W97+Cenval!W97+'D&amp;M'!H97+Saratur!H97</f>
        <v>0</v>
      </c>
      <c r="S97" s="2">
        <f>+'Cenvalsa industrial'!X97+Cenval!X97+'D&amp;M'!I97+Saratur!I97</f>
        <v>0</v>
      </c>
      <c r="T97" s="2">
        <f>+'Cenvalsa industrial'!Y97+Cenval!Y97+'D&amp;M'!J97+Saratur!J97</f>
        <v>0</v>
      </c>
      <c r="U97" s="2">
        <f>+'Cenvalsa industrial'!Z97+Cenval!Z97+'D&amp;M'!K97+Saratur!K97</f>
        <v>0</v>
      </c>
      <c r="V97" s="2">
        <f>+'Cenvalsa industrial'!AA97+Cenval!AA97+'D&amp;M'!L97+Saratur!L97</f>
        <v>0</v>
      </c>
      <c r="W97" s="2">
        <f>+'Cenvalsa industrial'!AB97+Cenval!AB97+'D&amp;M'!M97+Saratur!M97</f>
        <v>0</v>
      </c>
      <c r="X97" s="2">
        <f>+'Cenvalsa industrial'!AC97+Cenval!AC97+'D&amp;M'!N97+Saratur!N97</f>
        <v>0</v>
      </c>
      <c r="Y97" s="2">
        <f>+'Cenvalsa industrial'!AD97+Cenval!AD97+'D&amp;M'!O97+Saratur!O97</f>
        <v>0</v>
      </c>
      <c r="Z97" s="2">
        <f>+'Cenvalsa industrial'!AE97+Cenval!AE97+'D&amp;M'!P97+Saratur!P97</f>
        <v>0</v>
      </c>
      <c r="AA97" s="2">
        <f>+'Cenvalsa industrial'!AF97+Cenval!AF97+'D&amp;M'!Q97+Saratur!Q97</f>
        <v>0</v>
      </c>
      <c r="AB97" s="2">
        <f>+'Cenvalsa industrial'!AG97+Cenval!AG97+'D&amp;M'!R97+Saratur!R97</f>
        <v>0</v>
      </c>
      <c r="AC97" s="2">
        <f>+'Cenvalsa industrial'!AH97+Cenval!AH97+'D&amp;M'!S97+Saratur!S97</f>
        <v>0</v>
      </c>
      <c r="AD97" s="6">
        <f t="shared" si="18"/>
        <v>0</v>
      </c>
    </row>
    <row r="98" spans="1:30" outlineLevel="1" x14ac:dyDescent="0.25">
      <c r="A98" s="1" t="s">
        <v>101</v>
      </c>
      <c r="B98" s="8" t="e">
        <f>+#REF!/#REF!</f>
        <v>#REF!</v>
      </c>
      <c r="C98" s="2" t="e">
        <f>+#REF!/12</f>
        <v>#REF!</v>
      </c>
      <c r="D98" s="2" t="e">
        <f>+#REF!/12</f>
        <v>#REF!</v>
      </c>
      <c r="E98" s="2" t="e">
        <f>+#REF!/12</f>
        <v>#REF!</v>
      </c>
      <c r="F98" s="2" t="e">
        <f>+#REF!/12</f>
        <v>#REF!</v>
      </c>
      <c r="G98" s="2" t="e">
        <f>+#REF!/12</f>
        <v>#REF!</v>
      </c>
      <c r="H98" s="2" t="e">
        <f>+#REF!/12</f>
        <v>#REF!</v>
      </c>
      <c r="I98" s="2" t="e">
        <f>+#REF!/12</f>
        <v>#REF!</v>
      </c>
      <c r="J98" s="2" t="e">
        <f>+#REF!/12</f>
        <v>#REF!</v>
      </c>
      <c r="K98" s="2" t="e">
        <f>+#REF!/12</f>
        <v>#REF!</v>
      </c>
      <c r="L98" s="2" t="e">
        <f>+#REF!/12</f>
        <v>#REF!</v>
      </c>
      <c r="M98" s="2" t="e">
        <f>+#REF!/12</f>
        <v>#REF!</v>
      </c>
      <c r="N98" s="2" t="e">
        <f>+#REF!/12</f>
        <v>#REF!</v>
      </c>
      <c r="O98" s="6" t="e">
        <f t="shared" si="17"/>
        <v>#REF!</v>
      </c>
      <c r="P98" s="24">
        <v>0</v>
      </c>
      <c r="Q98" s="23">
        <f t="shared" si="19"/>
        <v>0</v>
      </c>
      <c r="R98" s="2">
        <f>+'Cenvalsa industrial'!W98+Cenval!W98+'D&amp;M'!H98+Saratur!H98</f>
        <v>0</v>
      </c>
      <c r="S98" s="2">
        <f>+'Cenvalsa industrial'!X98+Cenval!X98+'D&amp;M'!I98+Saratur!I98</f>
        <v>0</v>
      </c>
      <c r="T98" s="2">
        <f>+'Cenvalsa industrial'!Y98+Cenval!Y98+'D&amp;M'!J98+Saratur!J98</f>
        <v>0</v>
      </c>
      <c r="U98" s="2">
        <f>+'Cenvalsa industrial'!Z98+Cenval!Z98+'D&amp;M'!K98+Saratur!K98</f>
        <v>0</v>
      </c>
      <c r="V98" s="2">
        <f>+'Cenvalsa industrial'!AA98+Cenval!AA98+'D&amp;M'!L98+Saratur!L98</f>
        <v>0</v>
      </c>
      <c r="W98" s="2">
        <f>+'Cenvalsa industrial'!AB98+Cenval!AB98+'D&amp;M'!M98+Saratur!M98</f>
        <v>0</v>
      </c>
      <c r="X98" s="2">
        <f>+'Cenvalsa industrial'!AC98+Cenval!AC98+'D&amp;M'!N98+Saratur!N98</f>
        <v>0</v>
      </c>
      <c r="Y98" s="2">
        <f>+'Cenvalsa industrial'!AD98+Cenval!AD98+'D&amp;M'!O98+Saratur!O98</f>
        <v>0</v>
      </c>
      <c r="Z98" s="2">
        <f>+'Cenvalsa industrial'!AE98+Cenval!AE98+'D&amp;M'!P98+Saratur!P98</f>
        <v>0</v>
      </c>
      <c r="AA98" s="2">
        <f>+'Cenvalsa industrial'!AF98+Cenval!AF98+'D&amp;M'!Q98+Saratur!Q98</f>
        <v>0</v>
      </c>
      <c r="AB98" s="2">
        <f>+'Cenvalsa industrial'!AG98+Cenval!AG98+'D&amp;M'!R98+Saratur!R98</f>
        <v>0</v>
      </c>
      <c r="AC98" s="2">
        <f>+'Cenvalsa industrial'!AH98+Cenval!AH98+'D&amp;M'!S98+Saratur!S98</f>
        <v>0</v>
      </c>
      <c r="AD98" s="6">
        <f t="shared" si="18"/>
        <v>0</v>
      </c>
    </row>
    <row r="99" spans="1:30" outlineLevel="1" x14ac:dyDescent="0.25">
      <c r="A99" s="1" t="s">
        <v>102</v>
      </c>
      <c r="B99" s="8" t="e">
        <f>+#REF!/#REF!</f>
        <v>#REF!</v>
      </c>
      <c r="C99" s="2" t="e">
        <f>+#REF!/12</f>
        <v>#REF!</v>
      </c>
      <c r="D99" s="2" t="e">
        <f>+#REF!/12</f>
        <v>#REF!</v>
      </c>
      <c r="E99" s="2" t="e">
        <f>+#REF!/12</f>
        <v>#REF!</v>
      </c>
      <c r="F99" s="2" t="e">
        <f>+#REF!/12</f>
        <v>#REF!</v>
      </c>
      <c r="G99" s="2" t="e">
        <f>+#REF!/12</f>
        <v>#REF!</v>
      </c>
      <c r="H99" s="2" t="e">
        <f>+#REF!/12</f>
        <v>#REF!</v>
      </c>
      <c r="I99" s="2" t="e">
        <f>+#REF!/12</f>
        <v>#REF!</v>
      </c>
      <c r="J99" s="2" t="e">
        <f>+#REF!/12</f>
        <v>#REF!</v>
      </c>
      <c r="K99" s="2" t="e">
        <f>+#REF!/12</f>
        <v>#REF!</v>
      </c>
      <c r="L99" s="2" t="e">
        <f>+#REF!/12</f>
        <v>#REF!</v>
      </c>
      <c r="M99" s="2" t="e">
        <f>+#REF!/12</f>
        <v>#REF!</v>
      </c>
      <c r="N99" s="2" t="e">
        <f>+#REF!/12</f>
        <v>#REF!</v>
      </c>
      <c r="O99" s="6" t="e">
        <f t="shared" si="17"/>
        <v>#REF!</v>
      </c>
      <c r="P99" s="24">
        <v>0</v>
      </c>
      <c r="Q99" s="23">
        <f t="shared" si="19"/>
        <v>0</v>
      </c>
      <c r="R99" s="2">
        <f>+'Cenvalsa industrial'!W99+Cenval!W99+'D&amp;M'!H99+Saratur!H99</f>
        <v>0</v>
      </c>
      <c r="S99" s="2">
        <f>+'Cenvalsa industrial'!X99+Cenval!X99+'D&amp;M'!I99+Saratur!I99</f>
        <v>0</v>
      </c>
      <c r="T99" s="2">
        <f>+'Cenvalsa industrial'!Y99+Cenval!Y99+'D&amp;M'!J99+Saratur!J99</f>
        <v>0</v>
      </c>
      <c r="U99" s="2">
        <f>+'Cenvalsa industrial'!Z99+Cenval!Z99+'D&amp;M'!K99+Saratur!K99</f>
        <v>0</v>
      </c>
      <c r="V99" s="2">
        <f>+'Cenvalsa industrial'!AA99+Cenval!AA99+'D&amp;M'!L99+Saratur!L99</f>
        <v>0</v>
      </c>
      <c r="W99" s="2">
        <f>+'Cenvalsa industrial'!AB99+Cenval!AB99+'D&amp;M'!M99+Saratur!M99</f>
        <v>0</v>
      </c>
      <c r="X99" s="2">
        <f>+'Cenvalsa industrial'!AC99+Cenval!AC99+'D&amp;M'!N99+Saratur!N99</f>
        <v>0</v>
      </c>
      <c r="Y99" s="2">
        <f>+'Cenvalsa industrial'!AD99+Cenval!AD99+'D&amp;M'!O99+Saratur!O99</f>
        <v>0</v>
      </c>
      <c r="Z99" s="2">
        <f>+'Cenvalsa industrial'!AE99+Cenval!AE99+'D&amp;M'!P99+Saratur!P99</f>
        <v>0</v>
      </c>
      <c r="AA99" s="2">
        <f>+'Cenvalsa industrial'!AF99+Cenval!AF99+'D&amp;M'!Q99+Saratur!Q99</f>
        <v>0</v>
      </c>
      <c r="AB99" s="2">
        <f>+'Cenvalsa industrial'!AG99+Cenval!AG99+'D&amp;M'!R99+Saratur!R99</f>
        <v>0</v>
      </c>
      <c r="AC99" s="2">
        <f>+'Cenvalsa industrial'!AH99+Cenval!AH99+'D&amp;M'!S99+Saratur!S99</f>
        <v>0</v>
      </c>
      <c r="AD99" s="6">
        <f t="shared" si="18"/>
        <v>0</v>
      </c>
    </row>
    <row r="100" spans="1:30" outlineLevel="1" x14ac:dyDescent="0.25">
      <c r="A100" s="1" t="s">
        <v>103</v>
      </c>
      <c r="B100" s="8" t="e">
        <f>+#REF!/#REF!</f>
        <v>#REF!</v>
      </c>
      <c r="C100" s="2" t="e">
        <f>+#REF!/12</f>
        <v>#REF!</v>
      </c>
      <c r="D100" s="2" t="e">
        <f>+#REF!/12</f>
        <v>#REF!</v>
      </c>
      <c r="E100" s="2" t="e">
        <f>+#REF!/12</f>
        <v>#REF!</v>
      </c>
      <c r="F100" s="2" t="e">
        <f>+#REF!/12</f>
        <v>#REF!</v>
      </c>
      <c r="G100" s="2" t="e">
        <f>+#REF!/12</f>
        <v>#REF!</v>
      </c>
      <c r="H100" s="2" t="e">
        <f>+#REF!/12</f>
        <v>#REF!</v>
      </c>
      <c r="I100" s="2" t="e">
        <f>+#REF!/12</f>
        <v>#REF!</v>
      </c>
      <c r="J100" s="2" t="e">
        <f>+#REF!/12</f>
        <v>#REF!</v>
      </c>
      <c r="K100" s="2" t="e">
        <f>+#REF!/12</f>
        <v>#REF!</v>
      </c>
      <c r="L100" s="2" t="e">
        <f>+#REF!/12</f>
        <v>#REF!</v>
      </c>
      <c r="M100" s="2" t="e">
        <f>+#REF!/12</f>
        <v>#REF!</v>
      </c>
      <c r="N100" s="2" t="e">
        <f>+#REF!/12</f>
        <v>#REF!</v>
      </c>
      <c r="O100" s="6" t="e">
        <f t="shared" si="17"/>
        <v>#REF!</v>
      </c>
      <c r="P100" s="24">
        <v>0</v>
      </c>
      <c r="Q100" s="23">
        <f t="shared" si="19"/>
        <v>0</v>
      </c>
      <c r="R100" s="2">
        <f>+'Cenvalsa industrial'!W100+Cenval!W100+'D&amp;M'!H100+Saratur!H100</f>
        <v>0</v>
      </c>
      <c r="S100" s="2">
        <f>+'Cenvalsa industrial'!X100+Cenval!X100+'D&amp;M'!I100+Saratur!I100</f>
        <v>0</v>
      </c>
      <c r="T100" s="2">
        <f>+'Cenvalsa industrial'!Y100+Cenval!Y100+'D&amp;M'!J100+Saratur!J100</f>
        <v>0</v>
      </c>
      <c r="U100" s="2">
        <f>+'Cenvalsa industrial'!Z100+Cenval!Z100+'D&amp;M'!K100+Saratur!K100</f>
        <v>0</v>
      </c>
      <c r="V100" s="2">
        <f>+'Cenvalsa industrial'!AA100+Cenval!AA100+'D&amp;M'!L100+Saratur!L100</f>
        <v>0</v>
      </c>
      <c r="W100" s="2">
        <f>+'Cenvalsa industrial'!AB100+Cenval!AB100+'D&amp;M'!M100+Saratur!M100</f>
        <v>0</v>
      </c>
      <c r="X100" s="2">
        <f>+'Cenvalsa industrial'!AC100+Cenval!AC100+'D&amp;M'!N100+Saratur!N100</f>
        <v>0</v>
      </c>
      <c r="Y100" s="2">
        <f>+'Cenvalsa industrial'!AD100+Cenval!AD100+'D&amp;M'!O100+Saratur!O100</f>
        <v>0</v>
      </c>
      <c r="Z100" s="2">
        <f>+'Cenvalsa industrial'!AE100+Cenval!AE100+'D&amp;M'!P100+Saratur!P100</f>
        <v>0</v>
      </c>
      <c r="AA100" s="2">
        <f>+'Cenvalsa industrial'!AF100+Cenval!AF100+'D&amp;M'!Q100+Saratur!Q100</f>
        <v>0</v>
      </c>
      <c r="AB100" s="2">
        <f>+'Cenvalsa industrial'!AG100+Cenval!AG100+'D&amp;M'!R100+Saratur!R100</f>
        <v>0</v>
      </c>
      <c r="AC100" s="2">
        <f>+'Cenvalsa industrial'!AH100+Cenval!AH100+'D&amp;M'!S100+Saratur!S100</f>
        <v>0</v>
      </c>
      <c r="AD100" s="6">
        <f t="shared" si="18"/>
        <v>0</v>
      </c>
    </row>
    <row r="101" spans="1:30" outlineLevel="1" x14ac:dyDescent="0.25">
      <c r="A101" s="1" t="s">
        <v>104</v>
      </c>
      <c r="B101" s="8" t="e">
        <f>+#REF!/#REF!</f>
        <v>#REF!</v>
      </c>
      <c r="C101" s="2" t="e">
        <f>+#REF!/12</f>
        <v>#REF!</v>
      </c>
      <c r="D101" s="2" t="e">
        <f>+#REF!/12</f>
        <v>#REF!</v>
      </c>
      <c r="E101" s="2" t="e">
        <f>+#REF!/12</f>
        <v>#REF!</v>
      </c>
      <c r="F101" s="2" t="e">
        <f>+#REF!/12</f>
        <v>#REF!</v>
      </c>
      <c r="G101" s="2" t="e">
        <f>+#REF!/12</f>
        <v>#REF!</v>
      </c>
      <c r="H101" s="2" t="e">
        <f>+#REF!/12</f>
        <v>#REF!</v>
      </c>
      <c r="I101" s="2" t="e">
        <f>+#REF!/12</f>
        <v>#REF!</v>
      </c>
      <c r="J101" s="2" t="e">
        <f>+#REF!/12</f>
        <v>#REF!</v>
      </c>
      <c r="K101" s="2" t="e">
        <f>+#REF!/12</f>
        <v>#REF!</v>
      </c>
      <c r="L101" s="2" t="e">
        <f>+#REF!/12</f>
        <v>#REF!</v>
      </c>
      <c r="M101" s="2" t="e">
        <f>+#REF!/12</f>
        <v>#REF!</v>
      </c>
      <c r="N101" s="2" t="e">
        <f>+#REF!/12</f>
        <v>#REF!</v>
      </c>
      <c r="O101" s="6" t="e">
        <f t="shared" si="17"/>
        <v>#REF!</v>
      </c>
      <c r="P101" s="24">
        <v>0</v>
      </c>
      <c r="Q101" s="23">
        <f t="shared" si="19"/>
        <v>0</v>
      </c>
      <c r="R101" s="2">
        <f>+'Cenvalsa industrial'!W101+Cenval!W101+'D&amp;M'!H101+Saratur!H101</f>
        <v>0</v>
      </c>
      <c r="S101" s="2">
        <f>+'Cenvalsa industrial'!X101+Cenval!X101+'D&amp;M'!I101+Saratur!I101</f>
        <v>0</v>
      </c>
      <c r="T101" s="2">
        <f>+'Cenvalsa industrial'!Y101+Cenval!Y101+'D&amp;M'!J101+Saratur!J101</f>
        <v>0</v>
      </c>
      <c r="U101" s="2">
        <f>+'Cenvalsa industrial'!Z101+Cenval!Z101+'D&amp;M'!K101+Saratur!K101</f>
        <v>0</v>
      </c>
      <c r="V101" s="2">
        <f>+'Cenvalsa industrial'!AA101+Cenval!AA101+'D&amp;M'!L101+Saratur!L101</f>
        <v>0</v>
      </c>
      <c r="W101" s="2">
        <f>+'Cenvalsa industrial'!AB101+Cenval!AB101+'D&amp;M'!M101+Saratur!M101</f>
        <v>0</v>
      </c>
      <c r="X101" s="2">
        <f>+'Cenvalsa industrial'!AC101+Cenval!AC101+'D&amp;M'!N101+Saratur!N101</f>
        <v>0</v>
      </c>
      <c r="Y101" s="2">
        <f>+'Cenvalsa industrial'!AD101+Cenval!AD101+'D&amp;M'!O101+Saratur!O101</f>
        <v>0</v>
      </c>
      <c r="Z101" s="2">
        <f>+'Cenvalsa industrial'!AE101+Cenval!AE101+'D&amp;M'!P101+Saratur!P101</f>
        <v>0</v>
      </c>
      <c r="AA101" s="2">
        <f>+'Cenvalsa industrial'!AF101+Cenval!AF101+'D&amp;M'!Q101+Saratur!Q101</f>
        <v>0</v>
      </c>
      <c r="AB101" s="2">
        <f>+'Cenvalsa industrial'!AG101+Cenval!AG101+'D&amp;M'!R101+Saratur!R101</f>
        <v>0</v>
      </c>
      <c r="AC101" s="2">
        <f>+'Cenvalsa industrial'!AH101+Cenval!AH101+'D&amp;M'!S101+Saratur!S101</f>
        <v>0</v>
      </c>
      <c r="AD101" s="6">
        <f t="shared" si="18"/>
        <v>0</v>
      </c>
    </row>
    <row r="102" spans="1:30" outlineLevel="1" x14ac:dyDescent="0.25">
      <c r="A102" s="10" t="s">
        <v>105</v>
      </c>
      <c r="B102" s="8"/>
      <c r="C102" s="2" t="e">
        <f>+#REF!/12</f>
        <v>#REF!</v>
      </c>
      <c r="D102" s="2" t="e">
        <f>+#REF!/12</f>
        <v>#REF!</v>
      </c>
      <c r="E102" s="2" t="e">
        <f>+#REF!/12</f>
        <v>#REF!</v>
      </c>
      <c r="F102" s="2" t="e">
        <f>+#REF!/12</f>
        <v>#REF!</v>
      </c>
      <c r="G102" s="2" t="e">
        <f>+#REF!/12</f>
        <v>#REF!</v>
      </c>
      <c r="H102" s="2" t="e">
        <f>+#REF!/12</f>
        <v>#REF!</v>
      </c>
      <c r="I102" s="2" t="e">
        <f>+#REF!/12</f>
        <v>#REF!</v>
      </c>
      <c r="J102" s="2" t="e">
        <f>+#REF!/12</f>
        <v>#REF!</v>
      </c>
      <c r="K102" s="2" t="e">
        <f>+#REF!/12</f>
        <v>#REF!</v>
      </c>
      <c r="L102" s="2" t="e">
        <f>+#REF!/12</f>
        <v>#REF!</v>
      </c>
      <c r="M102" s="2" t="e">
        <f>+#REF!/12</f>
        <v>#REF!</v>
      </c>
      <c r="N102" s="2" t="e">
        <f>+#REF!/12</f>
        <v>#REF!</v>
      </c>
      <c r="O102" s="6" t="e">
        <f t="shared" si="17"/>
        <v>#REF!</v>
      </c>
      <c r="P102" s="24">
        <v>0</v>
      </c>
      <c r="Q102" s="23">
        <f t="shared" si="19"/>
        <v>0</v>
      </c>
      <c r="R102" s="2">
        <f>+'Cenvalsa industrial'!W102+Cenval!W102+'D&amp;M'!H102+Saratur!H102</f>
        <v>-208.33333333333334</v>
      </c>
      <c r="S102" s="2">
        <f>+'Cenvalsa industrial'!X102+Cenval!X102+'D&amp;M'!I102+Saratur!I102</f>
        <v>-208.33333333333334</v>
      </c>
      <c r="T102" s="2">
        <f>+'Cenvalsa industrial'!Y102+Cenval!Y102+'D&amp;M'!J102+Saratur!J102</f>
        <v>-208.33333333333334</v>
      </c>
      <c r="U102" s="2">
        <f>+'Cenvalsa industrial'!Z102+Cenval!Z102+'D&amp;M'!K102+Saratur!K102</f>
        <v>-208.33333333333334</v>
      </c>
      <c r="V102" s="2">
        <f>+'Cenvalsa industrial'!AA102+Cenval!AA102+'D&amp;M'!L102+Saratur!L102</f>
        <v>-208.33333333333334</v>
      </c>
      <c r="W102" s="2">
        <f>+'Cenvalsa industrial'!AB102+Cenval!AB102+'D&amp;M'!M102+Saratur!M102</f>
        <v>-208.33333333333334</v>
      </c>
      <c r="X102" s="2">
        <f>+'Cenvalsa industrial'!AC102+Cenval!AC102+'D&amp;M'!N102+Saratur!N102</f>
        <v>-208.33333333333334</v>
      </c>
      <c r="Y102" s="2">
        <f>+'Cenvalsa industrial'!AD102+Cenval!AD102+'D&amp;M'!O102+Saratur!O102</f>
        <v>-208.33333333333334</v>
      </c>
      <c r="Z102" s="2">
        <f>+'Cenvalsa industrial'!AE102+Cenval!AE102+'D&amp;M'!P102+Saratur!P102</f>
        <v>-208.33333333333334</v>
      </c>
      <c r="AA102" s="2">
        <f>+'Cenvalsa industrial'!AF102+Cenval!AF102+'D&amp;M'!Q102+Saratur!Q102</f>
        <v>-208.33333333333334</v>
      </c>
      <c r="AB102" s="2">
        <f>+'Cenvalsa industrial'!AG102+Cenval!AG102+'D&amp;M'!R102+Saratur!R102</f>
        <v>-208.33333333333334</v>
      </c>
      <c r="AC102" s="2">
        <f>+'Cenvalsa industrial'!AH102+Cenval!AH102+'D&amp;M'!S102+Saratur!S102</f>
        <v>-208.33333333333334</v>
      </c>
      <c r="AD102" s="6">
        <f t="shared" si="18"/>
        <v>-2500</v>
      </c>
    </row>
    <row r="103" spans="1:30" outlineLevel="1" x14ac:dyDescent="0.25">
      <c r="A103" s="1" t="s">
        <v>106</v>
      </c>
      <c r="B103" s="8" t="e">
        <f>+#REF!/#REF!</f>
        <v>#REF!</v>
      </c>
      <c r="C103" s="2" t="e">
        <f>+#REF!/12</f>
        <v>#REF!</v>
      </c>
      <c r="D103" s="2" t="e">
        <f>+#REF!/12</f>
        <v>#REF!</v>
      </c>
      <c r="E103" s="2" t="e">
        <f>+#REF!/12</f>
        <v>#REF!</v>
      </c>
      <c r="F103" s="2" t="e">
        <f>+#REF!/12</f>
        <v>#REF!</v>
      </c>
      <c r="G103" s="2" t="e">
        <f>+#REF!/12</f>
        <v>#REF!</v>
      </c>
      <c r="H103" s="2" t="e">
        <f>+#REF!/12</f>
        <v>#REF!</v>
      </c>
      <c r="I103" s="2" t="e">
        <f>+#REF!/12</f>
        <v>#REF!</v>
      </c>
      <c r="J103" s="2" t="e">
        <f>+#REF!/12</f>
        <v>#REF!</v>
      </c>
      <c r="K103" s="2" t="e">
        <f>+#REF!/12</f>
        <v>#REF!</v>
      </c>
      <c r="L103" s="2" t="e">
        <f>+#REF!/12</f>
        <v>#REF!</v>
      </c>
      <c r="M103" s="2" t="e">
        <f>+#REF!/12</f>
        <v>#REF!</v>
      </c>
      <c r="N103" s="2" t="e">
        <f>+#REF!/12</f>
        <v>#REF!</v>
      </c>
      <c r="O103" s="6" t="e">
        <f t="shared" si="17"/>
        <v>#REF!</v>
      </c>
      <c r="P103" s="24">
        <v>0</v>
      </c>
      <c r="Q103" s="23">
        <f t="shared" si="19"/>
        <v>0</v>
      </c>
      <c r="R103" s="2">
        <f>+'Cenvalsa industrial'!W103+Cenval!W103+'D&amp;M'!H103+Saratur!H103</f>
        <v>0</v>
      </c>
      <c r="S103" s="2">
        <f>+'Cenvalsa industrial'!X103+Cenval!X103+'D&amp;M'!I103+Saratur!I103</f>
        <v>0</v>
      </c>
      <c r="T103" s="2">
        <f>+'Cenvalsa industrial'!Y103+Cenval!Y103+'D&amp;M'!J103+Saratur!J103</f>
        <v>0</v>
      </c>
      <c r="U103" s="2">
        <f>+'Cenvalsa industrial'!Z103+Cenval!Z103+'D&amp;M'!K103+Saratur!K103</f>
        <v>0</v>
      </c>
      <c r="V103" s="2">
        <f>+'Cenvalsa industrial'!AA103+Cenval!AA103+'D&amp;M'!L103+Saratur!L103</f>
        <v>0</v>
      </c>
      <c r="W103" s="2">
        <f>+'Cenvalsa industrial'!AB103+Cenval!AB103+'D&amp;M'!M103+Saratur!M103</f>
        <v>0</v>
      </c>
      <c r="X103" s="2">
        <f>+'Cenvalsa industrial'!AC103+Cenval!AC103+'D&amp;M'!N103+Saratur!N103</f>
        <v>0</v>
      </c>
      <c r="Y103" s="2">
        <f>+'Cenvalsa industrial'!AD103+Cenval!AD103+'D&amp;M'!O103+Saratur!O103</f>
        <v>0</v>
      </c>
      <c r="Z103" s="2">
        <f>+'Cenvalsa industrial'!AE103+Cenval!AE103+'D&amp;M'!P103+Saratur!P103</f>
        <v>0</v>
      </c>
      <c r="AA103" s="2">
        <f>+'Cenvalsa industrial'!AF103+Cenval!AF103+'D&amp;M'!Q103+Saratur!Q103</f>
        <v>0</v>
      </c>
      <c r="AB103" s="2">
        <f>+'Cenvalsa industrial'!AG103+Cenval!AG103+'D&amp;M'!R103+Saratur!R103</f>
        <v>0</v>
      </c>
      <c r="AC103" s="2">
        <f>+'Cenvalsa industrial'!AH103+Cenval!AH103+'D&amp;M'!S103+Saratur!S103</f>
        <v>0</v>
      </c>
      <c r="AD103" s="6">
        <f t="shared" si="18"/>
        <v>0</v>
      </c>
    </row>
    <row r="104" spans="1:30" outlineLevel="1" x14ac:dyDescent="0.25">
      <c r="A104" s="1" t="s">
        <v>107</v>
      </c>
      <c r="B104" s="8" t="e">
        <f>+#REF!/#REF!</f>
        <v>#REF!</v>
      </c>
      <c r="C104" s="2" t="e">
        <f>+#REF!/12</f>
        <v>#REF!</v>
      </c>
      <c r="D104" s="2" t="e">
        <f>+#REF!/12</f>
        <v>#REF!</v>
      </c>
      <c r="E104" s="2" t="e">
        <f>+#REF!/12</f>
        <v>#REF!</v>
      </c>
      <c r="F104" s="2" t="e">
        <f>+#REF!/12</f>
        <v>#REF!</v>
      </c>
      <c r="G104" s="2" t="e">
        <f>+#REF!/12</f>
        <v>#REF!</v>
      </c>
      <c r="H104" s="2" t="e">
        <f>+#REF!/12</f>
        <v>#REF!</v>
      </c>
      <c r="I104" s="2" t="e">
        <f>+#REF!/12</f>
        <v>#REF!</v>
      </c>
      <c r="J104" s="2" t="e">
        <f>+#REF!/12</f>
        <v>#REF!</v>
      </c>
      <c r="K104" s="2" t="e">
        <f>+#REF!/12</f>
        <v>#REF!</v>
      </c>
      <c r="L104" s="2" t="e">
        <f>+#REF!/12</f>
        <v>#REF!</v>
      </c>
      <c r="M104" s="2" t="e">
        <f>+#REF!/12</f>
        <v>#REF!</v>
      </c>
      <c r="N104" s="2" t="e">
        <f>+#REF!/12</f>
        <v>#REF!</v>
      </c>
      <c r="O104" s="6" t="e">
        <f t="shared" si="17"/>
        <v>#REF!</v>
      </c>
      <c r="P104" s="24">
        <v>0</v>
      </c>
      <c r="Q104" s="23">
        <f t="shared" si="19"/>
        <v>0</v>
      </c>
      <c r="R104" s="2">
        <f>+'Cenvalsa industrial'!W104+Cenval!W104+'D&amp;M'!H104+Saratur!H104</f>
        <v>0</v>
      </c>
      <c r="S104" s="2">
        <f>+'Cenvalsa industrial'!X104+Cenval!X104+'D&amp;M'!I104+Saratur!I104</f>
        <v>0</v>
      </c>
      <c r="T104" s="2">
        <f>+'Cenvalsa industrial'!Y104+Cenval!Y104+'D&amp;M'!J104+Saratur!J104</f>
        <v>0</v>
      </c>
      <c r="U104" s="2">
        <f>+'Cenvalsa industrial'!Z104+Cenval!Z104+'D&amp;M'!K104+Saratur!K104</f>
        <v>0</v>
      </c>
      <c r="V104" s="2">
        <f>+'Cenvalsa industrial'!AA104+Cenval!AA104+'D&amp;M'!L104+Saratur!L104</f>
        <v>0</v>
      </c>
      <c r="W104" s="2">
        <f>+'Cenvalsa industrial'!AB104+Cenval!AB104+'D&amp;M'!M104+Saratur!M104</f>
        <v>0</v>
      </c>
      <c r="X104" s="2">
        <f>+'Cenvalsa industrial'!AC104+Cenval!AC104+'D&amp;M'!N104+Saratur!N104</f>
        <v>0</v>
      </c>
      <c r="Y104" s="2">
        <f>+'Cenvalsa industrial'!AD104+Cenval!AD104+'D&amp;M'!O104+Saratur!O104</f>
        <v>0</v>
      </c>
      <c r="Z104" s="2">
        <f>+'Cenvalsa industrial'!AE104+Cenval!AE104+'D&amp;M'!P104+Saratur!P104</f>
        <v>0</v>
      </c>
      <c r="AA104" s="2">
        <f>+'Cenvalsa industrial'!AF104+Cenval!AF104+'D&amp;M'!Q104+Saratur!Q104</f>
        <v>0</v>
      </c>
      <c r="AB104" s="2">
        <f>+'Cenvalsa industrial'!AG104+Cenval!AG104+'D&amp;M'!R104+Saratur!R104</f>
        <v>0</v>
      </c>
      <c r="AC104" s="2">
        <f>+'Cenvalsa industrial'!AH104+Cenval!AH104+'D&amp;M'!S104+Saratur!S104</f>
        <v>0</v>
      </c>
      <c r="AD104" s="6">
        <f t="shared" si="18"/>
        <v>0</v>
      </c>
    </row>
    <row r="105" spans="1:30" outlineLevel="1" x14ac:dyDescent="0.25">
      <c r="A105" s="1" t="s">
        <v>108</v>
      </c>
      <c r="B105" s="8" t="e">
        <f>+#REF!/#REF!</f>
        <v>#REF!</v>
      </c>
      <c r="C105" s="2" t="e">
        <f>+#REF!/12</f>
        <v>#REF!</v>
      </c>
      <c r="D105" s="2" t="e">
        <f>+#REF!/12</f>
        <v>#REF!</v>
      </c>
      <c r="E105" s="2" t="e">
        <f>+#REF!/12</f>
        <v>#REF!</v>
      </c>
      <c r="F105" s="2" t="e">
        <f>+#REF!/12</f>
        <v>#REF!</v>
      </c>
      <c r="G105" s="2" t="e">
        <f>+#REF!/12</f>
        <v>#REF!</v>
      </c>
      <c r="H105" s="2" t="e">
        <f>+#REF!/12</f>
        <v>#REF!</v>
      </c>
      <c r="I105" s="2" t="e">
        <f>+#REF!/12</f>
        <v>#REF!</v>
      </c>
      <c r="J105" s="2" t="e">
        <f>+#REF!/12</f>
        <v>#REF!</v>
      </c>
      <c r="K105" s="2" t="e">
        <f>+#REF!/12</f>
        <v>#REF!</v>
      </c>
      <c r="L105" s="2" t="e">
        <f>+#REF!/12</f>
        <v>#REF!</v>
      </c>
      <c r="M105" s="2" t="e">
        <f>+#REF!/12</f>
        <v>#REF!</v>
      </c>
      <c r="N105" s="2" t="e">
        <f>+#REF!/12</f>
        <v>#REF!</v>
      </c>
      <c r="O105" s="6" t="e">
        <f t="shared" si="17"/>
        <v>#REF!</v>
      </c>
      <c r="P105" s="24">
        <v>0</v>
      </c>
      <c r="Q105" s="23">
        <f t="shared" si="19"/>
        <v>0</v>
      </c>
      <c r="R105" s="2">
        <f>+'Cenvalsa industrial'!W105+Cenval!W105+'D&amp;M'!H105+Saratur!H105</f>
        <v>0</v>
      </c>
      <c r="S105" s="2">
        <f>+'Cenvalsa industrial'!X105+Cenval!X105+'D&amp;M'!I105+Saratur!I105</f>
        <v>0</v>
      </c>
      <c r="T105" s="2">
        <f>+'Cenvalsa industrial'!Y105+Cenval!Y105+'D&amp;M'!J105+Saratur!J105</f>
        <v>0</v>
      </c>
      <c r="U105" s="2">
        <f>+'Cenvalsa industrial'!Z105+Cenval!Z105+'D&amp;M'!K105+Saratur!K105</f>
        <v>0</v>
      </c>
      <c r="V105" s="2">
        <f>+'Cenvalsa industrial'!AA105+Cenval!AA105+'D&amp;M'!L105+Saratur!L105</f>
        <v>0</v>
      </c>
      <c r="W105" s="2">
        <f>+'Cenvalsa industrial'!AB105+Cenval!AB105+'D&amp;M'!M105+Saratur!M105</f>
        <v>0</v>
      </c>
      <c r="X105" s="2">
        <f>+'Cenvalsa industrial'!AC105+Cenval!AC105+'D&amp;M'!N105+Saratur!N105</f>
        <v>0</v>
      </c>
      <c r="Y105" s="2">
        <f>+'Cenvalsa industrial'!AD105+Cenval!AD105+'D&amp;M'!O105+Saratur!O105</f>
        <v>0</v>
      </c>
      <c r="Z105" s="2">
        <f>+'Cenvalsa industrial'!AE105+Cenval!AE105+'D&amp;M'!P105+Saratur!P105</f>
        <v>0</v>
      </c>
      <c r="AA105" s="2">
        <f>+'Cenvalsa industrial'!AF105+Cenval!AF105+'D&amp;M'!Q105+Saratur!Q105</f>
        <v>0</v>
      </c>
      <c r="AB105" s="2">
        <f>+'Cenvalsa industrial'!AG105+Cenval!AG105+'D&amp;M'!R105+Saratur!R105</f>
        <v>0</v>
      </c>
      <c r="AC105" s="2">
        <f>+'Cenvalsa industrial'!AH105+Cenval!AH105+'D&amp;M'!S105+Saratur!S105</f>
        <v>0</v>
      </c>
      <c r="AD105" s="6">
        <f t="shared" si="18"/>
        <v>0</v>
      </c>
    </row>
    <row r="106" spans="1:30" outlineLevel="1" x14ac:dyDescent="0.25">
      <c r="A106" s="1" t="s">
        <v>109</v>
      </c>
      <c r="B106" s="8" t="e">
        <f>+#REF!/#REF!</f>
        <v>#REF!</v>
      </c>
      <c r="C106" s="2" t="e">
        <f>+#REF!/12</f>
        <v>#REF!</v>
      </c>
      <c r="D106" s="2" t="e">
        <f>+#REF!/12</f>
        <v>#REF!</v>
      </c>
      <c r="E106" s="2" t="e">
        <f>+#REF!/12</f>
        <v>#REF!</v>
      </c>
      <c r="F106" s="2" t="e">
        <f>+#REF!/12</f>
        <v>#REF!</v>
      </c>
      <c r="G106" s="2" t="e">
        <f>+#REF!/12</f>
        <v>#REF!</v>
      </c>
      <c r="H106" s="2" t="e">
        <f>+#REF!/12</f>
        <v>#REF!</v>
      </c>
      <c r="I106" s="2" t="e">
        <f>+#REF!/12</f>
        <v>#REF!</v>
      </c>
      <c r="J106" s="2" t="e">
        <f>+#REF!/12</f>
        <v>#REF!</v>
      </c>
      <c r="K106" s="2" t="e">
        <f>+#REF!/12</f>
        <v>#REF!</v>
      </c>
      <c r="L106" s="2" t="e">
        <f>+#REF!/12</f>
        <v>#REF!</v>
      </c>
      <c r="M106" s="2" t="e">
        <f>+#REF!/12</f>
        <v>#REF!</v>
      </c>
      <c r="N106" s="2" t="e">
        <f>+#REF!/12</f>
        <v>#REF!</v>
      </c>
      <c r="O106" s="6" t="e">
        <f t="shared" si="17"/>
        <v>#REF!</v>
      </c>
      <c r="P106" s="24">
        <v>0</v>
      </c>
      <c r="Q106" s="23">
        <f t="shared" si="19"/>
        <v>0</v>
      </c>
      <c r="R106" s="2">
        <f>+'Cenvalsa industrial'!W106+Cenval!W106+'D&amp;M'!H106+Saratur!H106</f>
        <v>0</v>
      </c>
      <c r="S106" s="2">
        <f>+'Cenvalsa industrial'!X106+Cenval!X106+'D&amp;M'!I106+Saratur!I106</f>
        <v>0</v>
      </c>
      <c r="T106" s="2">
        <f>+'Cenvalsa industrial'!Y106+Cenval!Y106+'D&amp;M'!J106+Saratur!J106</f>
        <v>0</v>
      </c>
      <c r="U106" s="2">
        <f>+'Cenvalsa industrial'!Z106+Cenval!Z106+'D&amp;M'!K106+Saratur!K106</f>
        <v>0</v>
      </c>
      <c r="V106" s="2">
        <f>+'Cenvalsa industrial'!AA106+Cenval!AA106+'D&amp;M'!L106+Saratur!L106</f>
        <v>0</v>
      </c>
      <c r="W106" s="2">
        <f>+'Cenvalsa industrial'!AB106+Cenval!AB106+'D&amp;M'!M106+Saratur!M106</f>
        <v>0</v>
      </c>
      <c r="X106" s="2">
        <f>+'Cenvalsa industrial'!AC106+Cenval!AC106+'D&amp;M'!N106+Saratur!N106</f>
        <v>0</v>
      </c>
      <c r="Y106" s="2">
        <f>+'Cenvalsa industrial'!AD106+Cenval!AD106+'D&amp;M'!O106+Saratur!O106</f>
        <v>0</v>
      </c>
      <c r="Z106" s="2">
        <f>+'Cenvalsa industrial'!AE106+Cenval!AE106+'D&amp;M'!P106+Saratur!P106</f>
        <v>0</v>
      </c>
      <c r="AA106" s="2">
        <f>+'Cenvalsa industrial'!AF106+Cenval!AF106+'D&amp;M'!Q106+Saratur!Q106</f>
        <v>0</v>
      </c>
      <c r="AB106" s="2">
        <f>+'Cenvalsa industrial'!AG106+Cenval!AG106+'D&amp;M'!R106+Saratur!R106</f>
        <v>0</v>
      </c>
      <c r="AC106" s="2">
        <f>+'Cenvalsa industrial'!AH106+Cenval!AH106+'D&amp;M'!S106+Saratur!S106</f>
        <v>0</v>
      </c>
      <c r="AD106" s="6">
        <f t="shared" si="18"/>
        <v>0</v>
      </c>
    </row>
    <row r="107" spans="1:30" outlineLevel="1" x14ac:dyDescent="0.25">
      <c r="A107" s="1" t="s">
        <v>110</v>
      </c>
      <c r="B107" s="8" t="e">
        <f>+#REF!/#REF!</f>
        <v>#REF!</v>
      </c>
      <c r="C107" s="2" t="e">
        <f>+#REF!/12</f>
        <v>#REF!</v>
      </c>
      <c r="D107" s="2" t="e">
        <f>+#REF!/12</f>
        <v>#REF!</v>
      </c>
      <c r="E107" s="2" t="e">
        <f>+#REF!/12</f>
        <v>#REF!</v>
      </c>
      <c r="F107" s="2" t="e">
        <f>+#REF!/12</f>
        <v>#REF!</v>
      </c>
      <c r="G107" s="2" t="e">
        <f>+#REF!/12</f>
        <v>#REF!</v>
      </c>
      <c r="H107" s="2" t="e">
        <f>+#REF!/12</f>
        <v>#REF!</v>
      </c>
      <c r="I107" s="2" t="e">
        <f>+#REF!/12</f>
        <v>#REF!</v>
      </c>
      <c r="J107" s="2" t="e">
        <f>+#REF!/12</f>
        <v>#REF!</v>
      </c>
      <c r="K107" s="2" t="e">
        <f>+#REF!/12</f>
        <v>#REF!</v>
      </c>
      <c r="L107" s="2" t="e">
        <f>+#REF!/12</f>
        <v>#REF!</v>
      </c>
      <c r="M107" s="2" t="e">
        <f>+#REF!/12</f>
        <v>#REF!</v>
      </c>
      <c r="N107" s="2" t="e">
        <f>+#REF!/12</f>
        <v>#REF!</v>
      </c>
      <c r="O107" s="6" t="e">
        <f t="shared" si="17"/>
        <v>#REF!</v>
      </c>
      <c r="P107" s="24">
        <v>0</v>
      </c>
      <c r="Q107" s="23">
        <f t="shared" si="19"/>
        <v>0</v>
      </c>
      <c r="R107" s="2">
        <f>+'Cenvalsa industrial'!W107+Cenval!W107+'D&amp;M'!H107+Saratur!H107</f>
        <v>0</v>
      </c>
      <c r="S107" s="2">
        <f>+'Cenvalsa industrial'!X107+Cenval!X107+'D&amp;M'!I107+Saratur!I107</f>
        <v>0</v>
      </c>
      <c r="T107" s="2">
        <f>+'Cenvalsa industrial'!Y107+Cenval!Y107+'D&amp;M'!J107+Saratur!J107</f>
        <v>0</v>
      </c>
      <c r="U107" s="2">
        <f>+'Cenvalsa industrial'!Z107+Cenval!Z107+'D&amp;M'!K107+Saratur!K107</f>
        <v>0</v>
      </c>
      <c r="V107" s="2">
        <f>+'Cenvalsa industrial'!AA107+Cenval!AA107+'D&amp;M'!L107+Saratur!L107</f>
        <v>0</v>
      </c>
      <c r="W107" s="2">
        <f>+'Cenvalsa industrial'!AB107+Cenval!AB107+'D&amp;M'!M107+Saratur!M107</f>
        <v>0</v>
      </c>
      <c r="X107" s="2">
        <f>+'Cenvalsa industrial'!AC107+Cenval!AC107+'D&amp;M'!N107+Saratur!N107</f>
        <v>0</v>
      </c>
      <c r="Y107" s="2">
        <f>+'Cenvalsa industrial'!AD107+Cenval!AD107+'D&amp;M'!O107+Saratur!O107</f>
        <v>0</v>
      </c>
      <c r="Z107" s="2">
        <f>+'Cenvalsa industrial'!AE107+Cenval!AE107+'D&amp;M'!P107+Saratur!P107</f>
        <v>0</v>
      </c>
      <c r="AA107" s="2">
        <f>+'Cenvalsa industrial'!AF107+Cenval!AF107+'D&amp;M'!Q107+Saratur!Q107</f>
        <v>0</v>
      </c>
      <c r="AB107" s="2">
        <f>+'Cenvalsa industrial'!AG107+Cenval!AG107+'D&amp;M'!R107+Saratur!R107</f>
        <v>0</v>
      </c>
      <c r="AC107" s="2">
        <f>+'Cenvalsa industrial'!AH107+Cenval!AH107+'D&amp;M'!S107+Saratur!S107</f>
        <v>0</v>
      </c>
      <c r="AD107" s="6">
        <f t="shared" si="18"/>
        <v>0</v>
      </c>
    </row>
    <row r="108" spans="1:30" outlineLevel="1" x14ac:dyDescent="0.25">
      <c r="A108" s="1" t="s">
        <v>111</v>
      </c>
      <c r="B108" s="8" t="e">
        <f>+#REF!/#REF!</f>
        <v>#REF!</v>
      </c>
      <c r="C108" s="2" t="e">
        <f>+#REF!/12</f>
        <v>#REF!</v>
      </c>
      <c r="D108" s="2" t="e">
        <f>+#REF!/12</f>
        <v>#REF!</v>
      </c>
      <c r="E108" s="2" t="e">
        <f>+#REF!/12</f>
        <v>#REF!</v>
      </c>
      <c r="F108" s="2" t="e">
        <f>+#REF!/12</f>
        <v>#REF!</v>
      </c>
      <c r="G108" s="2" t="e">
        <f>+#REF!/12</f>
        <v>#REF!</v>
      </c>
      <c r="H108" s="2" t="e">
        <f>+#REF!/12</f>
        <v>#REF!</v>
      </c>
      <c r="I108" s="2" t="e">
        <f>+#REF!/12</f>
        <v>#REF!</v>
      </c>
      <c r="J108" s="2" t="e">
        <f>+#REF!/12</f>
        <v>#REF!</v>
      </c>
      <c r="K108" s="2" t="e">
        <f>+#REF!/12</f>
        <v>#REF!</v>
      </c>
      <c r="L108" s="2" t="e">
        <f>+#REF!/12</f>
        <v>#REF!</v>
      </c>
      <c r="M108" s="2" t="e">
        <f>+#REF!/12</f>
        <v>#REF!</v>
      </c>
      <c r="N108" s="2" t="e">
        <f>+#REF!/12</f>
        <v>#REF!</v>
      </c>
      <c r="O108" s="6" t="e">
        <f t="shared" si="17"/>
        <v>#REF!</v>
      </c>
      <c r="P108" s="24">
        <v>0</v>
      </c>
      <c r="Q108" s="23">
        <f t="shared" si="19"/>
        <v>0</v>
      </c>
      <c r="R108" s="2">
        <f>+'Cenvalsa industrial'!W108+Cenval!W108+'D&amp;M'!H108+Saratur!H108</f>
        <v>0</v>
      </c>
      <c r="S108" s="2">
        <f>+'Cenvalsa industrial'!X108+Cenval!X108+'D&amp;M'!I108+Saratur!I108</f>
        <v>-3654.166666666667</v>
      </c>
      <c r="T108" s="2">
        <f>+'Cenvalsa industrial'!Y108+Cenval!Y108+'D&amp;M'!J108+Saratur!J108</f>
        <v>-3654.166666666667</v>
      </c>
      <c r="U108" s="2">
        <f>+'Cenvalsa industrial'!Z108+Cenval!Z108+'D&amp;M'!K108+Saratur!K108</f>
        <v>-3654.166666666667</v>
      </c>
      <c r="V108" s="2">
        <f>+'Cenvalsa industrial'!AA108+Cenval!AA108+'D&amp;M'!L108+Saratur!L108</f>
        <v>-3654.166666666667</v>
      </c>
      <c r="W108" s="2">
        <f>+'Cenvalsa industrial'!AB108+Cenval!AB108+'D&amp;M'!M108+Saratur!M108</f>
        <v>-3654.166666666667</v>
      </c>
      <c r="X108" s="2">
        <f>+'Cenvalsa industrial'!AC108+Cenval!AC108+'D&amp;M'!N108+Saratur!N108</f>
        <v>-3654.166666666667</v>
      </c>
      <c r="Y108" s="2">
        <f>+'Cenvalsa industrial'!AD108+Cenval!AD108+'D&amp;M'!O108+Saratur!O108</f>
        <v>-3654.166666666667</v>
      </c>
      <c r="Z108" s="2">
        <f>+'Cenvalsa industrial'!AE108+Cenval!AE108+'D&amp;M'!P108+Saratur!P108</f>
        <v>-3654.166666666667</v>
      </c>
      <c r="AA108" s="2">
        <f>+'Cenvalsa industrial'!AF108+Cenval!AF108+'D&amp;M'!Q108+Saratur!Q108</f>
        <v>-3654.166666666667</v>
      </c>
      <c r="AB108" s="2">
        <f>+'Cenvalsa industrial'!AG108+Cenval!AG108+'D&amp;M'!R108+Saratur!R108</f>
        <v>-3654.166666666667</v>
      </c>
      <c r="AC108" s="2">
        <f>+'Cenvalsa industrial'!AH108+Cenval!AH108+'D&amp;M'!S108+Saratur!S108</f>
        <v>-3654.166666666667</v>
      </c>
      <c r="AD108" s="6">
        <f t="shared" si="18"/>
        <v>-40195.833333333336</v>
      </c>
    </row>
    <row r="109" spans="1:30" outlineLevel="1" x14ac:dyDescent="0.25">
      <c r="A109" s="1" t="s">
        <v>112</v>
      </c>
      <c r="B109" s="8" t="e">
        <f>+#REF!/#REF!</f>
        <v>#REF!</v>
      </c>
      <c r="C109" s="2" t="e">
        <f>+#REF!/12</f>
        <v>#REF!</v>
      </c>
      <c r="D109" s="2" t="e">
        <f>+#REF!/12</f>
        <v>#REF!</v>
      </c>
      <c r="E109" s="2" t="e">
        <f>+#REF!/12</f>
        <v>#REF!</v>
      </c>
      <c r="F109" s="2" t="e">
        <f>+#REF!/12</f>
        <v>#REF!</v>
      </c>
      <c r="G109" s="2" t="e">
        <f>+#REF!/12</f>
        <v>#REF!</v>
      </c>
      <c r="H109" s="2" t="e">
        <f>+#REF!/12</f>
        <v>#REF!</v>
      </c>
      <c r="I109" s="2" t="e">
        <f>+#REF!/12</f>
        <v>#REF!</v>
      </c>
      <c r="J109" s="2" t="e">
        <f>+#REF!/12</f>
        <v>#REF!</v>
      </c>
      <c r="K109" s="2" t="e">
        <f>+#REF!/12</f>
        <v>#REF!</v>
      </c>
      <c r="L109" s="2" t="e">
        <f>+#REF!/12</f>
        <v>#REF!</v>
      </c>
      <c r="M109" s="2" t="e">
        <f>+#REF!/12</f>
        <v>#REF!</v>
      </c>
      <c r="N109" s="2" t="e">
        <f>+#REF!/12</f>
        <v>#REF!</v>
      </c>
      <c r="O109" s="6" t="e">
        <f t="shared" si="17"/>
        <v>#REF!</v>
      </c>
      <c r="P109" s="24">
        <v>0</v>
      </c>
      <c r="Q109" s="23">
        <f t="shared" si="19"/>
        <v>0</v>
      </c>
      <c r="R109" s="2">
        <f>+'Cenvalsa industrial'!W109+Cenval!W109+'D&amp;M'!H109+Saratur!H109</f>
        <v>0</v>
      </c>
      <c r="S109" s="2">
        <f>+'Cenvalsa industrial'!X109+Cenval!X109+'D&amp;M'!I109+Saratur!I109</f>
        <v>0</v>
      </c>
      <c r="T109" s="2">
        <f>+'Cenvalsa industrial'!Y109+Cenval!Y109+'D&amp;M'!J109+Saratur!J109</f>
        <v>0</v>
      </c>
      <c r="U109" s="2">
        <f>+'Cenvalsa industrial'!Z109+Cenval!Z109+'D&amp;M'!K109+Saratur!K109</f>
        <v>0</v>
      </c>
      <c r="V109" s="2">
        <f>+'Cenvalsa industrial'!AA109+Cenval!AA109+'D&amp;M'!L109+Saratur!L109</f>
        <v>0</v>
      </c>
      <c r="W109" s="2">
        <f>+'Cenvalsa industrial'!AB109+Cenval!AB109+'D&amp;M'!M109+Saratur!M109</f>
        <v>0</v>
      </c>
      <c r="X109" s="2">
        <f>+'Cenvalsa industrial'!AC109+Cenval!AC109+'D&amp;M'!N109+Saratur!N109</f>
        <v>0</v>
      </c>
      <c r="Y109" s="2">
        <f>+'Cenvalsa industrial'!AD109+Cenval!AD109+'D&amp;M'!O109+Saratur!O109</f>
        <v>0</v>
      </c>
      <c r="Z109" s="2">
        <f>+'Cenvalsa industrial'!AE109+Cenval!AE109+'D&amp;M'!P109+Saratur!P109</f>
        <v>0</v>
      </c>
      <c r="AA109" s="2">
        <f>+'Cenvalsa industrial'!AF109+Cenval!AF109+'D&amp;M'!Q109+Saratur!Q109</f>
        <v>0</v>
      </c>
      <c r="AB109" s="2">
        <f>+'Cenvalsa industrial'!AG109+Cenval!AG109+'D&amp;M'!R109+Saratur!R109</f>
        <v>0</v>
      </c>
      <c r="AC109" s="2">
        <f>+'Cenvalsa industrial'!AH109+Cenval!AH109+'D&amp;M'!S109+Saratur!S109</f>
        <v>0</v>
      </c>
      <c r="AD109" s="6">
        <f t="shared" si="18"/>
        <v>0</v>
      </c>
    </row>
    <row r="110" spans="1:30" outlineLevel="1" x14ac:dyDescent="0.25">
      <c r="A110" s="1" t="s">
        <v>113</v>
      </c>
      <c r="B110" s="8" t="e">
        <f>+#REF!/#REF!</f>
        <v>#REF!</v>
      </c>
      <c r="C110" s="2" t="e">
        <f>+#REF!/12</f>
        <v>#REF!</v>
      </c>
      <c r="D110" s="2" t="e">
        <f>+#REF!/12</f>
        <v>#REF!</v>
      </c>
      <c r="E110" s="2" t="e">
        <f>+#REF!/12</f>
        <v>#REF!</v>
      </c>
      <c r="F110" s="2" t="e">
        <f>+#REF!/12</f>
        <v>#REF!</v>
      </c>
      <c r="G110" s="2" t="e">
        <f>+#REF!/12</f>
        <v>#REF!</v>
      </c>
      <c r="H110" s="2" t="e">
        <f>+#REF!/12</f>
        <v>#REF!</v>
      </c>
      <c r="I110" s="2" t="e">
        <f>+#REF!/12</f>
        <v>#REF!</v>
      </c>
      <c r="J110" s="2" t="e">
        <f>+#REF!/12</f>
        <v>#REF!</v>
      </c>
      <c r="K110" s="2" t="e">
        <f>+#REF!/12</f>
        <v>#REF!</v>
      </c>
      <c r="L110" s="2" t="e">
        <f>+#REF!/12</f>
        <v>#REF!</v>
      </c>
      <c r="M110" s="2" t="e">
        <f>+#REF!/12</f>
        <v>#REF!</v>
      </c>
      <c r="N110" s="2" t="e">
        <f>+#REF!/12</f>
        <v>#REF!</v>
      </c>
      <c r="O110" s="6" t="e">
        <f t="shared" si="17"/>
        <v>#REF!</v>
      </c>
      <c r="P110" s="24">
        <v>0</v>
      </c>
      <c r="Q110" s="23">
        <f t="shared" si="19"/>
        <v>0</v>
      </c>
      <c r="R110" s="2">
        <f>+'Cenvalsa industrial'!W110+Cenval!W110+'D&amp;M'!H110+Saratur!H110</f>
        <v>-2500</v>
      </c>
      <c r="S110" s="2">
        <f>+'Cenvalsa industrial'!X110+Cenval!X110+'D&amp;M'!I110+Saratur!I110</f>
        <v>-2500</v>
      </c>
      <c r="T110" s="2">
        <f>+'Cenvalsa industrial'!Y110+Cenval!Y110+'D&amp;M'!J110+Saratur!J110</f>
        <v>-2500</v>
      </c>
      <c r="U110" s="2">
        <f>+'Cenvalsa industrial'!Z110+Cenval!Z110+'D&amp;M'!K110+Saratur!K110</f>
        <v>-2500</v>
      </c>
      <c r="V110" s="2">
        <f>+'Cenvalsa industrial'!AA110+Cenval!AA110+'D&amp;M'!L110+Saratur!L110</f>
        <v>-2500</v>
      </c>
      <c r="W110" s="2">
        <f>+'Cenvalsa industrial'!AB110+Cenval!AB110+'D&amp;M'!M110+Saratur!M110</f>
        <v>-2500</v>
      </c>
      <c r="X110" s="2">
        <f>+'Cenvalsa industrial'!AC110+Cenval!AC110+'D&amp;M'!N110+Saratur!N110</f>
        <v>-2500</v>
      </c>
      <c r="Y110" s="2">
        <f>+'Cenvalsa industrial'!AD110+Cenval!AD110+'D&amp;M'!O110+Saratur!O110</f>
        <v>-2500</v>
      </c>
      <c r="Z110" s="2">
        <f>+'Cenvalsa industrial'!AE110+Cenval!AE110+'D&amp;M'!P110+Saratur!P110</f>
        <v>-2500</v>
      </c>
      <c r="AA110" s="2">
        <f>+'Cenvalsa industrial'!AF110+Cenval!AF110+'D&amp;M'!Q110+Saratur!Q110</f>
        <v>-2500</v>
      </c>
      <c r="AB110" s="2">
        <f>+'Cenvalsa industrial'!AG110+Cenval!AG110+'D&amp;M'!R110+Saratur!R110</f>
        <v>-2500</v>
      </c>
      <c r="AC110" s="2">
        <f>+'Cenvalsa industrial'!AH110+Cenval!AH110+'D&amp;M'!S110+Saratur!S110</f>
        <v>-2500</v>
      </c>
      <c r="AD110" s="6">
        <f t="shared" si="18"/>
        <v>-30000</v>
      </c>
    </row>
    <row r="111" spans="1:30" outlineLevel="1" x14ac:dyDescent="0.25">
      <c r="A111" s="1" t="s">
        <v>114</v>
      </c>
      <c r="B111" s="8" t="e">
        <f>+#REF!/#REF!</f>
        <v>#REF!</v>
      </c>
      <c r="C111" s="2" t="e">
        <f>+#REF!/12</f>
        <v>#REF!</v>
      </c>
      <c r="D111" s="2" t="e">
        <f>+#REF!/12</f>
        <v>#REF!</v>
      </c>
      <c r="E111" s="2" t="e">
        <f>+#REF!/12</f>
        <v>#REF!</v>
      </c>
      <c r="F111" s="2" t="e">
        <f>+#REF!/12</f>
        <v>#REF!</v>
      </c>
      <c r="G111" s="2" t="e">
        <f>+#REF!/12</f>
        <v>#REF!</v>
      </c>
      <c r="H111" s="2" t="e">
        <f>+#REF!/12</f>
        <v>#REF!</v>
      </c>
      <c r="I111" s="2" t="e">
        <f>+#REF!/12</f>
        <v>#REF!</v>
      </c>
      <c r="J111" s="2" t="e">
        <f>+#REF!/12</f>
        <v>#REF!</v>
      </c>
      <c r="K111" s="2" t="e">
        <f>+#REF!/12</f>
        <v>#REF!</v>
      </c>
      <c r="L111" s="2" t="e">
        <f>+#REF!/12</f>
        <v>#REF!</v>
      </c>
      <c r="M111" s="2" t="e">
        <f>+#REF!/12</f>
        <v>#REF!</v>
      </c>
      <c r="N111" s="2" t="e">
        <f>+#REF!/12</f>
        <v>#REF!</v>
      </c>
      <c r="O111" s="6" t="e">
        <f t="shared" si="17"/>
        <v>#REF!</v>
      </c>
      <c r="P111" s="24">
        <v>0</v>
      </c>
      <c r="Q111" s="23">
        <f t="shared" si="19"/>
        <v>0</v>
      </c>
      <c r="R111" s="2">
        <f>+'Cenvalsa industrial'!W111+Cenval!W111+'D&amp;M'!H111+Saratur!H111</f>
        <v>0</v>
      </c>
      <c r="S111" s="2">
        <f>+'Cenvalsa industrial'!X111+Cenval!X111+'D&amp;M'!I111+Saratur!I111</f>
        <v>0</v>
      </c>
      <c r="T111" s="2">
        <f>+'Cenvalsa industrial'!Y111+Cenval!Y111+'D&amp;M'!J111+Saratur!J111</f>
        <v>0</v>
      </c>
      <c r="U111" s="2">
        <f>+'Cenvalsa industrial'!Z111+Cenval!Z111+'D&amp;M'!K111+Saratur!K111</f>
        <v>0</v>
      </c>
      <c r="V111" s="2">
        <f>+'Cenvalsa industrial'!AA111+Cenval!AA111+'D&amp;M'!L111+Saratur!L111</f>
        <v>0</v>
      </c>
      <c r="W111" s="2">
        <f>+'Cenvalsa industrial'!AB111+Cenval!AB111+'D&amp;M'!M111+Saratur!M111</f>
        <v>0</v>
      </c>
      <c r="X111" s="2">
        <f>+'Cenvalsa industrial'!AC111+Cenval!AC111+'D&amp;M'!N111+Saratur!N111</f>
        <v>0</v>
      </c>
      <c r="Y111" s="2">
        <f>+'Cenvalsa industrial'!AD111+Cenval!AD111+'D&amp;M'!O111+Saratur!O111</f>
        <v>0</v>
      </c>
      <c r="Z111" s="2">
        <f>+'Cenvalsa industrial'!AE111+Cenval!AE111+'D&amp;M'!P111+Saratur!P111</f>
        <v>0</v>
      </c>
      <c r="AA111" s="2">
        <f>+'Cenvalsa industrial'!AF111+Cenval!AF111+'D&amp;M'!Q111+Saratur!Q111</f>
        <v>0</v>
      </c>
      <c r="AB111" s="2">
        <f>+'Cenvalsa industrial'!AG111+Cenval!AG111+'D&amp;M'!R111+Saratur!R111</f>
        <v>0</v>
      </c>
      <c r="AC111" s="2">
        <f>+'Cenvalsa industrial'!AH111+Cenval!AH111+'D&amp;M'!S111+Saratur!S111</f>
        <v>0</v>
      </c>
      <c r="AD111" s="6">
        <f t="shared" si="18"/>
        <v>0</v>
      </c>
    </row>
    <row r="112" spans="1:30" outlineLevel="1" x14ac:dyDescent="0.25">
      <c r="A112" s="1" t="s">
        <v>115</v>
      </c>
      <c r="B112" s="8" t="e">
        <f>+#REF!/#REF!</f>
        <v>#REF!</v>
      </c>
      <c r="C112" s="2" t="e">
        <f>+#REF!/12</f>
        <v>#REF!</v>
      </c>
      <c r="D112" s="2" t="e">
        <f>+#REF!/12</f>
        <v>#REF!</v>
      </c>
      <c r="E112" s="2" t="e">
        <f>+#REF!/12</f>
        <v>#REF!</v>
      </c>
      <c r="F112" s="2" t="e">
        <f>+#REF!/12</f>
        <v>#REF!</v>
      </c>
      <c r="G112" s="2" t="e">
        <f>+#REF!/12</f>
        <v>#REF!</v>
      </c>
      <c r="H112" s="2" t="e">
        <f>+#REF!/12</f>
        <v>#REF!</v>
      </c>
      <c r="I112" s="2" t="e">
        <f>+#REF!/12</f>
        <v>#REF!</v>
      </c>
      <c r="J112" s="2" t="e">
        <f>+#REF!/12</f>
        <v>#REF!</v>
      </c>
      <c r="K112" s="2" t="e">
        <f>+#REF!/12</f>
        <v>#REF!</v>
      </c>
      <c r="L112" s="2" t="e">
        <f>+#REF!/12</f>
        <v>#REF!</v>
      </c>
      <c r="M112" s="2" t="e">
        <f>+#REF!/12</f>
        <v>#REF!</v>
      </c>
      <c r="N112" s="2" t="e">
        <f>+#REF!/12</f>
        <v>#REF!</v>
      </c>
      <c r="O112" s="6" t="e">
        <f t="shared" si="17"/>
        <v>#REF!</v>
      </c>
      <c r="P112" s="24">
        <v>0</v>
      </c>
      <c r="Q112" s="23">
        <f t="shared" si="19"/>
        <v>0</v>
      </c>
      <c r="R112" s="2">
        <f>+'Cenvalsa industrial'!W112+Cenval!W112+'D&amp;M'!H112+Saratur!H112</f>
        <v>0</v>
      </c>
      <c r="S112" s="2">
        <f>+'Cenvalsa industrial'!X112+Cenval!X112+'D&amp;M'!I112+Saratur!I112</f>
        <v>0</v>
      </c>
      <c r="T112" s="2">
        <f>+'Cenvalsa industrial'!Y112+Cenval!Y112+'D&amp;M'!J112+Saratur!J112</f>
        <v>0</v>
      </c>
      <c r="U112" s="2">
        <f>+'Cenvalsa industrial'!Z112+Cenval!Z112+'D&amp;M'!K112+Saratur!K112</f>
        <v>0</v>
      </c>
      <c r="V112" s="2">
        <f>+'Cenvalsa industrial'!AA112+Cenval!AA112+'D&amp;M'!L112+Saratur!L112</f>
        <v>0</v>
      </c>
      <c r="W112" s="2">
        <f>+'Cenvalsa industrial'!AB112+Cenval!AB112+'D&amp;M'!M112+Saratur!M112</f>
        <v>0</v>
      </c>
      <c r="X112" s="2">
        <f>+'Cenvalsa industrial'!AC112+Cenval!AC112+'D&amp;M'!N112+Saratur!N112</f>
        <v>0</v>
      </c>
      <c r="Y112" s="2">
        <f>+'Cenvalsa industrial'!AD112+Cenval!AD112+'D&amp;M'!O112+Saratur!O112</f>
        <v>0</v>
      </c>
      <c r="Z112" s="2">
        <f>+'Cenvalsa industrial'!AE112+Cenval!AE112+'D&amp;M'!P112+Saratur!P112</f>
        <v>0</v>
      </c>
      <c r="AA112" s="2">
        <f>+'Cenvalsa industrial'!AF112+Cenval!AF112+'D&amp;M'!Q112+Saratur!Q112</f>
        <v>0</v>
      </c>
      <c r="AB112" s="2">
        <f>+'Cenvalsa industrial'!AG112+Cenval!AG112+'D&amp;M'!R112+Saratur!R112</f>
        <v>0</v>
      </c>
      <c r="AC112" s="2">
        <f>+'Cenvalsa industrial'!AH112+Cenval!AH112+'D&amp;M'!S112+Saratur!S112</f>
        <v>0</v>
      </c>
      <c r="AD112" s="6">
        <f t="shared" si="18"/>
        <v>0</v>
      </c>
    </row>
    <row r="113" spans="1:30" outlineLevel="1" x14ac:dyDescent="0.25">
      <c r="A113" s="1" t="s">
        <v>116</v>
      </c>
      <c r="B113" s="8" t="e">
        <f>+#REF!/#REF!</f>
        <v>#REF!</v>
      </c>
      <c r="C113" s="2" t="e">
        <f>+#REF!/12</f>
        <v>#REF!</v>
      </c>
      <c r="D113" s="2" t="e">
        <f>+#REF!/12</f>
        <v>#REF!</v>
      </c>
      <c r="E113" s="2" t="e">
        <f>+#REF!/12</f>
        <v>#REF!</v>
      </c>
      <c r="F113" s="2" t="e">
        <f>+#REF!/12</f>
        <v>#REF!</v>
      </c>
      <c r="G113" s="2" t="e">
        <f>+#REF!/12</f>
        <v>#REF!</v>
      </c>
      <c r="H113" s="2" t="e">
        <f>+#REF!/12</f>
        <v>#REF!</v>
      </c>
      <c r="I113" s="2" t="e">
        <f>+#REF!/12</f>
        <v>#REF!</v>
      </c>
      <c r="J113" s="2" t="e">
        <f>+#REF!/12</f>
        <v>#REF!</v>
      </c>
      <c r="K113" s="2" t="e">
        <f>+#REF!/12</f>
        <v>#REF!</v>
      </c>
      <c r="L113" s="2" t="e">
        <f>+#REF!/12</f>
        <v>#REF!</v>
      </c>
      <c r="M113" s="2" t="e">
        <f>+#REF!/12</f>
        <v>#REF!</v>
      </c>
      <c r="N113" s="2" t="e">
        <f>+#REF!/12</f>
        <v>#REF!</v>
      </c>
      <c r="O113" s="6" t="e">
        <f t="shared" si="17"/>
        <v>#REF!</v>
      </c>
      <c r="P113" s="24">
        <v>0</v>
      </c>
      <c r="Q113" s="23">
        <f t="shared" si="19"/>
        <v>0</v>
      </c>
      <c r="R113" s="2">
        <f>+'Cenvalsa industrial'!W113+Cenval!W113+'D&amp;M'!H113+Saratur!H113</f>
        <v>0</v>
      </c>
      <c r="S113" s="2">
        <f>+'Cenvalsa industrial'!X113+Cenval!X113+'D&amp;M'!I113+Saratur!I113</f>
        <v>0</v>
      </c>
      <c r="T113" s="2">
        <f>+'Cenvalsa industrial'!Y113+Cenval!Y113+'D&amp;M'!J113+Saratur!J113</f>
        <v>0</v>
      </c>
      <c r="U113" s="2">
        <f>+'Cenvalsa industrial'!Z113+Cenval!Z113+'D&amp;M'!K113+Saratur!K113</f>
        <v>0</v>
      </c>
      <c r="V113" s="2">
        <f>+'Cenvalsa industrial'!AA113+Cenval!AA113+'D&amp;M'!L113+Saratur!L113</f>
        <v>0</v>
      </c>
      <c r="W113" s="2">
        <f>+'Cenvalsa industrial'!AB113+Cenval!AB113+'D&amp;M'!M113+Saratur!M113</f>
        <v>0</v>
      </c>
      <c r="X113" s="2">
        <f>+'Cenvalsa industrial'!AC113+Cenval!AC113+'D&amp;M'!N113+Saratur!N113</f>
        <v>0</v>
      </c>
      <c r="Y113" s="2">
        <f>+'Cenvalsa industrial'!AD113+Cenval!AD113+'D&amp;M'!O113+Saratur!O113</f>
        <v>0</v>
      </c>
      <c r="Z113" s="2">
        <f>+'Cenvalsa industrial'!AE113+Cenval!AE113+'D&amp;M'!P113+Saratur!P113</f>
        <v>0</v>
      </c>
      <c r="AA113" s="2">
        <f>+'Cenvalsa industrial'!AF113+Cenval!AF113+'D&amp;M'!Q113+Saratur!Q113</f>
        <v>0</v>
      </c>
      <c r="AB113" s="2">
        <f>+'Cenvalsa industrial'!AG113+Cenval!AG113+'D&amp;M'!R113+Saratur!R113</f>
        <v>0</v>
      </c>
      <c r="AC113" s="2">
        <f>+'Cenvalsa industrial'!AH113+Cenval!AH113+'D&amp;M'!S113+Saratur!S113</f>
        <v>0</v>
      </c>
      <c r="AD113" s="6">
        <f t="shared" si="18"/>
        <v>0</v>
      </c>
    </row>
    <row r="114" spans="1:30" outlineLevel="1" x14ac:dyDescent="0.25">
      <c r="A114" s="1" t="s">
        <v>117</v>
      </c>
      <c r="B114" s="8" t="e">
        <f>+#REF!/#REF!</f>
        <v>#REF!</v>
      </c>
      <c r="C114" s="2" t="e">
        <f>+#REF!/12</f>
        <v>#REF!</v>
      </c>
      <c r="D114" s="2" t="e">
        <f>+#REF!/12</f>
        <v>#REF!</v>
      </c>
      <c r="E114" s="2" t="e">
        <f>+#REF!/12</f>
        <v>#REF!</v>
      </c>
      <c r="F114" s="2" t="e">
        <f>+#REF!/12</f>
        <v>#REF!</v>
      </c>
      <c r="G114" s="2" t="e">
        <f>+#REF!/12</f>
        <v>#REF!</v>
      </c>
      <c r="H114" s="2" t="e">
        <f>+#REF!/12</f>
        <v>#REF!</v>
      </c>
      <c r="I114" s="2" t="e">
        <f>+#REF!/12</f>
        <v>#REF!</v>
      </c>
      <c r="J114" s="2" t="e">
        <f>+#REF!/12</f>
        <v>#REF!</v>
      </c>
      <c r="K114" s="2" t="e">
        <f>+#REF!/12</f>
        <v>#REF!</v>
      </c>
      <c r="L114" s="2" t="e">
        <f>+#REF!/12</f>
        <v>#REF!</v>
      </c>
      <c r="M114" s="2" t="e">
        <f>+#REF!/12</f>
        <v>#REF!</v>
      </c>
      <c r="N114" s="2" t="e">
        <f>+#REF!/12</f>
        <v>#REF!</v>
      </c>
      <c r="O114" s="6" t="e">
        <f t="shared" si="17"/>
        <v>#REF!</v>
      </c>
      <c r="P114" s="24">
        <v>0</v>
      </c>
      <c r="Q114" s="23">
        <f t="shared" si="19"/>
        <v>0</v>
      </c>
      <c r="R114" s="2">
        <f>+'Cenvalsa industrial'!W114+Cenval!W114+'D&amp;M'!H114+Saratur!H114</f>
        <v>0</v>
      </c>
      <c r="S114" s="2">
        <f>+'Cenvalsa industrial'!X114+Cenval!X114+'D&amp;M'!I114+Saratur!I114</f>
        <v>0</v>
      </c>
      <c r="T114" s="2">
        <f>+'Cenvalsa industrial'!Y114+Cenval!Y114+'D&amp;M'!J114+Saratur!J114</f>
        <v>0</v>
      </c>
      <c r="U114" s="2">
        <f>+'Cenvalsa industrial'!Z114+Cenval!Z114+'D&amp;M'!K114+Saratur!K114</f>
        <v>0</v>
      </c>
      <c r="V114" s="2">
        <f>+'Cenvalsa industrial'!AA114+Cenval!AA114+'D&amp;M'!L114+Saratur!L114</f>
        <v>0</v>
      </c>
      <c r="W114" s="2">
        <f>+'Cenvalsa industrial'!AB114+Cenval!AB114+'D&amp;M'!M114+Saratur!M114</f>
        <v>0</v>
      </c>
      <c r="X114" s="2">
        <f>+'Cenvalsa industrial'!AC114+Cenval!AC114+'D&amp;M'!N114+Saratur!N114</f>
        <v>0</v>
      </c>
      <c r="Y114" s="2">
        <f>+'Cenvalsa industrial'!AD114+Cenval!AD114+'D&amp;M'!O114+Saratur!O114</f>
        <v>0</v>
      </c>
      <c r="Z114" s="2">
        <f>+'Cenvalsa industrial'!AE114+Cenval!AE114+'D&amp;M'!P114+Saratur!P114</f>
        <v>0</v>
      </c>
      <c r="AA114" s="2">
        <f>+'Cenvalsa industrial'!AF114+Cenval!AF114+'D&amp;M'!Q114+Saratur!Q114</f>
        <v>0</v>
      </c>
      <c r="AB114" s="2">
        <f>+'Cenvalsa industrial'!AG114+Cenval!AG114+'D&amp;M'!R114+Saratur!R114</f>
        <v>0</v>
      </c>
      <c r="AC114" s="2">
        <f>+'Cenvalsa industrial'!AH114+Cenval!AH114+'D&amp;M'!S114+Saratur!S114</f>
        <v>0</v>
      </c>
      <c r="AD114" s="6">
        <f t="shared" si="18"/>
        <v>0</v>
      </c>
    </row>
    <row r="115" spans="1:30" s="5" customFormat="1" outlineLevel="1" x14ac:dyDescent="0.25">
      <c r="A115" s="1" t="s">
        <v>118</v>
      </c>
      <c r="B115" s="8" t="e">
        <f>+#REF!/#REF!</f>
        <v>#REF!</v>
      </c>
      <c r="C115" s="2" t="e">
        <f>+#REF!/12</f>
        <v>#REF!</v>
      </c>
      <c r="D115" s="2" t="e">
        <f>+#REF!/12</f>
        <v>#REF!</v>
      </c>
      <c r="E115" s="2" t="e">
        <f>+#REF!/12</f>
        <v>#REF!</v>
      </c>
      <c r="F115" s="2" t="e">
        <f>+#REF!/12</f>
        <v>#REF!</v>
      </c>
      <c r="G115" s="2" t="e">
        <f>+#REF!/12</f>
        <v>#REF!</v>
      </c>
      <c r="H115" s="2" t="e">
        <f>+#REF!/12</f>
        <v>#REF!</v>
      </c>
      <c r="I115" s="2" t="e">
        <f>+#REF!/12</f>
        <v>#REF!</v>
      </c>
      <c r="J115" s="2" t="e">
        <f>+#REF!/12</f>
        <v>#REF!</v>
      </c>
      <c r="K115" s="2" t="e">
        <f>+#REF!/12</f>
        <v>#REF!</v>
      </c>
      <c r="L115" s="2" t="e">
        <f>+#REF!/12</f>
        <v>#REF!</v>
      </c>
      <c r="M115" s="2" t="e">
        <f>+#REF!/12</f>
        <v>#REF!</v>
      </c>
      <c r="N115" s="2" t="e">
        <f>+#REF!/12</f>
        <v>#REF!</v>
      </c>
      <c r="O115" s="6" t="e">
        <f t="shared" si="17"/>
        <v>#REF!</v>
      </c>
      <c r="P115" s="24">
        <v>0</v>
      </c>
      <c r="Q115" s="23">
        <f t="shared" si="19"/>
        <v>0</v>
      </c>
      <c r="R115" s="2">
        <f>+'Cenvalsa industrial'!W115+Cenval!W115+'D&amp;M'!H115+Saratur!H115</f>
        <v>0</v>
      </c>
      <c r="S115" s="2">
        <f>+'Cenvalsa industrial'!X115+Cenval!X115+'D&amp;M'!I115+Saratur!I115</f>
        <v>0</v>
      </c>
      <c r="T115" s="2">
        <f>+'Cenvalsa industrial'!Y115+Cenval!Y115+'D&amp;M'!J115+Saratur!J115</f>
        <v>0</v>
      </c>
      <c r="U115" s="2">
        <f>+'Cenvalsa industrial'!Z115+Cenval!Z115+'D&amp;M'!K115+Saratur!K115</f>
        <v>0</v>
      </c>
      <c r="V115" s="2">
        <f>+'Cenvalsa industrial'!AA115+Cenval!AA115+'D&amp;M'!L115+Saratur!L115</f>
        <v>0</v>
      </c>
      <c r="W115" s="2">
        <f>+'Cenvalsa industrial'!AB115+Cenval!AB115+'D&amp;M'!M115+Saratur!M115</f>
        <v>0</v>
      </c>
      <c r="X115" s="2">
        <f>+'Cenvalsa industrial'!AC115+Cenval!AC115+'D&amp;M'!N115+Saratur!N115</f>
        <v>0</v>
      </c>
      <c r="Y115" s="2">
        <f>+'Cenvalsa industrial'!AD115+Cenval!AD115+'D&amp;M'!O115+Saratur!O115</f>
        <v>0</v>
      </c>
      <c r="Z115" s="2">
        <f>+'Cenvalsa industrial'!AE115+Cenval!AE115+'D&amp;M'!P115+Saratur!P115</f>
        <v>0</v>
      </c>
      <c r="AA115" s="2">
        <f>+'Cenvalsa industrial'!AF115+Cenval!AF115+'D&amp;M'!Q115+Saratur!Q115</f>
        <v>0</v>
      </c>
      <c r="AB115" s="2">
        <f>+'Cenvalsa industrial'!AG115+Cenval!AG115+'D&amp;M'!R115+Saratur!R115</f>
        <v>0</v>
      </c>
      <c r="AC115" s="2">
        <f>+'Cenvalsa industrial'!AH115+Cenval!AH115+'D&amp;M'!S115+Saratur!S115</f>
        <v>0</v>
      </c>
      <c r="AD115" s="6">
        <f t="shared" si="18"/>
        <v>0</v>
      </c>
    </row>
    <row r="116" spans="1:30" outlineLevel="1" x14ac:dyDescent="0.25">
      <c r="A116" s="1" t="s">
        <v>119</v>
      </c>
      <c r="B116" s="8" t="e">
        <f>+#REF!/#REF!</f>
        <v>#REF!</v>
      </c>
      <c r="C116" s="2" t="e">
        <f>+#REF!/12</f>
        <v>#REF!</v>
      </c>
      <c r="D116" s="2" t="e">
        <f>+#REF!/12</f>
        <v>#REF!</v>
      </c>
      <c r="E116" s="2" t="e">
        <f>+#REF!/12</f>
        <v>#REF!</v>
      </c>
      <c r="F116" s="2" t="e">
        <f>+#REF!/12</f>
        <v>#REF!</v>
      </c>
      <c r="G116" s="2" t="e">
        <f>+#REF!/12</f>
        <v>#REF!</v>
      </c>
      <c r="H116" s="2" t="e">
        <f>+#REF!/12</f>
        <v>#REF!</v>
      </c>
      <c r="I116" s="2" t="e">
        <f>+#REF!/12</f>
        <v>#REF!</v>
      </c>
      <c r="J116" s="2" t="e">
        <f>+#REF!/12</f>
        <v>#REF!</v>
      </c>
      <c r="K116" s="2" t="e">
        <f>+#REF!/12</f>
        <v>#REF!</v>
      </c>
      <c r="L116" s="2" t="e">
        <f>+#REF!/12</f>
        <v>#REF!</v>
      </c>
      <c r="M116" s="2" t="e">
        <f>+#REF!/12</f>
        <v>#REF!</v>
      </c>
      <c r="N116" s="2" t="e">
        <f>+#REF!/12</f>
        <v>#REF!</v>
      </c>
      <c r="O116" s="6" t="e">
        <f t="shared" si="17"/>
        <v>#REF!</v>
      </c>
      <c r="P116" s="24">
        <v>0</v>
      </c>
      <c r="Q116" s="23">
        <f t="shared" si="19"/>
        <v>0</v>
      </c>
      <c r="R116" s="2">
        <f>+'Cenvalsa industrial'!W116+Cenval!W116+'D&amp;M'!H116+Saratur!H116</f>
        <v>0</v>
      </c>
      <c r="S116" s="2">
        <f>+'Cenvalsa industrial'!X116+Cenval!X116+'D&amp;M'!I116+Saratur!I116</f>
        <v>0</v>
      </c>
      <c r="T116" s="2">
        <f>+'Cenvalsa industrial'!Y116+Cenval!Y116+'D&amp;M'!J116+Saratur!J116</f>
        <v>0</v>
      </c>
      <c r="U116" s="2">
        <f>+'Cenvalsa industrial'!Z116+Cenval!Z116+'D&amp;M'!K116+Saratur!K116</f>
        <v>0</v>
      </c>
      <c r="V116" s="2">
        <f>+'Cenvalsa industrial'!AA116+Cenval!AA116+'D&amp;M'!L116+Saratur!L116</f>
        <v>0</v>
      </c>
      <c r="W116" s="2">
        <f>+'Cenvalsa industrial'!AB116+Cenval!AB116+'D&amp;M'!M116+Saratur!M116</f>
        <v>0</v>
      </c>
      <c r="X116" s="2">
        <f>+'Cenvalsa industrial'!AC116+Cenval!AC116+'D&amp;M'!N116+Saratur!N116</f>
        <v>0</v>
      </c>
      <c r="Y116" s="2">
        <f>+'Cenvalsa industrial'!AD116+Cenval!AD116+'D&amp;M'!O116+Saratur!O116</f>
        <v>0</v>
      </c>
      <c r="Z116" s="2">
        <f>+'Cenvalsa industrial'!AE116+Cenval!AE116+'D&amp;M'!P116+Saratur!P116</f>
        <v>0</v>
      </c>
      <c r="AA116" s="2">
        <f>+'Cenvalsa industrial'!AF116+Cenval!AF116+'D&amp;M'!Q116+Saratur!Q116</f>
        <v>0</v>
      </c>
      <c r="AB116" s="2">
        <f>+'Cenvalsa industrial'!AG116+Cenval!AG116+'D&amp;M'!R116+Saratur!R116</f>
        <v>0</v>
      </c>
      <c r="AC116" s="2">
        <f>+'Cenvalsa industrial'!AH116+Cenval!AH116+'D&amp;M'!S116+Saratur!S116</f>
        <v>0</v>
      </c>
      <c r="AD116" s="6">
        <f t="shared" si="18"/>
        <v>0</v>
      </c>
    </row>
    <row r="117" spans="1:30" outlineLevel="1" x14ac:dyDescent="0.25">
      <c r="A117" s="1" t="s">
        <v>120</v>
      </c>
      <c r="B117" s="8" t="e">
        <f>+#REF!/#REF!</f>
        <v>#REF!</v>
      </c>
      <c r="C117" s="2" t="e">
        <f>+#REF!/12</f>
        <v>#REF!</v>
      </c>
      <c r="D117" s="2" t="e">
        <f>+#REF!/12</f>
        <v>#REF!</v>
      </c>
      <c r="E117" s="2" t="e">
        <f>+#REF!/12</f>
        <v>#REF!</v>
      </c>
      <c r="F117" s="2" t="e">
        <f>+#REF!/12</f>
        <v>#REF!</v>
      </c>
      <c r="G117" s="2" t="e">
        <f>+#REF!/12</f>
        <v>#REF!</v>
      </c>
      <c r="H117" s="2" t="e">
        <f>+#REF!/12</f>
        <v>#REF!</v>
      </c>
      <c r="I117" s="2" t="e">
        <f>+#REF!/12</f>
        <v>#REF!</v>
      </c>
      <c r="J117" s="2" t="e">
        <f>+#REF!/12</f>
        <v>#REF!</v>
      </c>
      <c r="K117" s="2" t="e">
        <f>+#REF!/12</f>
        <v>#REF!</v>
      </c>
      <c r="L117" s="2" t="e">
        <f>+#REF!/12</f>
        <v>#REF!</v>
      </c>
      <c r="M117" s="2" t="e">
        <f>+#REF!/12</f>
        <v>#REF!</v>
      </c>
      <c r="N117" s="2" t="e">
        <f>+#REF!/12</f>
        <v>#REF!</v>
      </c>
      <c r="O117" s="6" t="e">
        <f t="shared" si="17"/>
        <v>#REF!</v>
      </c>
      <c r="P117" s="24">
        <v>0</v>
      </c>
      <c r="Q117" s="23">
        <f t="shared" si="19"/>
        <v>0</v>
      </c>
      <c r="R117" s="2">
        <f>+'Cenvalsa industrial'!W117+Cenval!W117+'D&amp;M'!H117+Saratur!H117</f>
        <v>-541.66666666666663</v>
      </c>
      <c r="S117" s="2">
        <f>+'Cenvalsa industrial'!X117+Cenval!X117+'D&amp;M'!I117+Saratur!I117</f>
        <v>-541.66666666666663</v>
      </c>
      <c r="T117" s="2">
        <f>+'Cenvalsa industrial'!Y117+Cenval!Y117+'D&amp;M'!J117+Saratur!J117</f>
        <v>-541.66666666666663</v>
      </c>
      <c r="U117" s="2">
        <f>+'Cenvalsa industrial'!Z117+Cenval!Z117+'D&amp;M'!K117+Saratur!K117</f>
        <v>-541.66666666666663</v>
      </c>
      <c r="V117" s="2">
        <f>+'Cenvalsa industrial'!AA117+Cenval!AA117+'D&amp;M'!L117+Saratur!L117</f>
        <v>-541.66666666666663</v>
      </c>
      <c r="W117" s="2">
        <f>+'Cenvalsa industrial'!AB117+Cenval!AB117+'D&amp;M'!M117+Saratur!M117</f>
        <v>-541.66666666666663</v>
      </c>
      <c r="X117" s="2">
        <f>+'Cenvalsa industrial'!AC117+Cenval!AC117+'D&amp;M'!N117+Saratur!N117</f>
        <v>-541.66666666666663</v>
      </c>
      <c r="Y117" s="2">
        <f>+'Cenvalsa industrial'!AD117+Cenval!AD117+'D&amp;M'!O117+Saratur!O117</f>
        <v>-541.66666666666663</v>
      </c>
      <c r="Z117" s="2">
        <f>+'Cenvalsa industrial'!AE117+Cenval!AE117+'D&amp;M'!P117+Saratur!P117</f>
        <v>-541.66666666666663</v>
      </c>
      <c r="AA117" s="2">
        <f>+'Cenvalsa industrial'!AF117+Cenval!AF117+'D&amp;M'!Q117+Saratur!Q117</f>
        <v>-541.66666666666663</v>
      </c>
      <c r="AB117" s="2">
        <f>+'Cenvalsa industrial'!AG117+Cenval!AG117+'D&amp;M'!R117+Saratur!R117</f>
        <v>-541.66666666666663</v>
      </c>
      <c r="AC117" s="2">
        <f>+'Cenvalsa industrial'!AH117+Cenval!AH117+'D&amp;M'!S117+Saratur!S117</f>
        <v>-541.66666666666663</v>
      </c>
      <c r="AD117" s="6">
        <f t="shared" si="18"/>
        <v>-6500.0000000000009</v>
      </c>
    </row>
    <row r="118" spans="1:30" outlineLevel="1" x14ac:dyDescent="0.25">
      <c r="A118" s="1" t="s">
        <v>121</v>
      </c>
      <c r="B118" s="8" t="e">
        <f>+#REF!/#REF!</f>
        <v>#REF!</v>
      </c>
      <c r="C118" s="2" t="e">
        <f>+#REF!/12</f>
        <v>#REF!</v>
      </c>
      <c r="D118" s="2" t="e">
        <f>+#REF!/12</f>
        <v>#REF!</v>
      </c>
      <c r="E118" s="2" t="e">
        <f>+#REF!/12</f>
        <v>#REF!</v>
      </c>
      <c r="F118" s="2" t="e">
        <f>+#REF!/12</f>
        <v>#REF!</v>
      </c>
      <c r="G118" s="2" t="e">
        <f>+#REF!/12</f>
        <v>#REF!</v>
      </c>
      <c r="H118" s="2" t="e">
        <f>+#REF!/12</f>
        <v>#REF!</v>
      </c>
      <c r="I118" s="2" t="e">
        <f>+#REF!/12</f>
        <v>#REF!</v>
      </c>
      <c r="J118" s="2" t="e">
        <f>+#REF!/12</f>
        <v>#REF!</v>
      </c>
      <c r="K118" s="2" t="e">
        <f>+#REF!/12</f>
        <v>#REF!</v>
      </c>
      <c r="L118" s="2" t="e">
        <f>+#REF!/12</f>
        <v>#REF!</v>
      </c>
      <c r="M118" s="2" t="e">
        <f>+#REF!/12</f>
        <v>#REF!</v>
      </c>
      <c r="N118" s="2" t="e">
        <f>+#REF!/12</f>
        <v>#REF!</v>
      </c>
      <c r="O118" s="6" t="e">
        <f t="shared" si="17"/>
        <v>#REF!</v>
      </c>
      <c r="P118" s="24">
        <v>0</v>
      </c>
      <c r="Q118" s="23">
        <f t="shared" si="19"/>
        <v>0</v>
      </c>
      <c r="R118" s="2">
        <f>+'Cenvalsa industrial'!W118+Cenval!W118+'D&amp;M'!H118+Saratur!H118</f>
        <v>0</v>
      </c>
      <c r="S118" s="2">
        <f>+'Cenvalsa industrial'!X118+Cenval!X118+'D&amp;M'!I118+Saratur!I118</f>
        <v>0</v>
      </c>
      <c r="T118" s="2">
        <f>+'Cenvalsa industrial'!Y118+Cenval!Y118+'D&amp;M'!J118+Saratur!J118</f>
        <v>0</v>
      </c>
      <c r="U118" s="2">
        <f>+'Cenvalsa industrial'!Z118+Cenval!Z118+'D&amp;M'!K118+Saratur!K118</f>
        <v>0</v>
      </c>
      <c r="V118" s="2">
        <f>+'Cenvalsa industrial'!AA118+Cenval!AA118+'D&amp;M'!L118+Saratur!L118</f>
        <v>0</v>
      </c>
      <c r="W118" s="2">
        <f>+'Cenvalsa industrial'!AB118+Cenval!AB118+'D&amp;M'!M118+Saratur!M118</f>
        <v>0</v>
      </c>
      <c r="X118" s="2">
        <f>+'Cenvalsa industrial'!AC118+Cenval!AC118+'D&amp;M'!N118+Saratur!N118</f>
        <v>0</v>
      </c>
      <c r="Y118" s="2">
        <f>+'Cenvalsa industrial'!AD118+Cenval!AD118+'D&amp;M'!O118+Saratur!O118</f>
        <v>0</v>
      </c>
      <c r="Z118" s="2">
        <f>+'Cenvalsa industrial'!AE118+Cenval!AE118+'D&amp;M'!P118+Saratur!P118</f>
        <v>0</v>
      </c>
      <c r="AA118" s="2">
        <f>+'Cenvalsa industrial'!AF118+Cenval!AF118+'D&amp;M'!Q118+Saratur!Q118</f>
        <v>0</v>
      </c>
      <c r="AB118" s="2">
        <f>+'Cenvalsa industrial'!AG118+Cenval!AG118+'D&amp;M'!R118+Saratur!R118</f>
        <v>0</v>
      </c>
      <c r="AC118" s="2">
        <f>+'Cenvalsa industrial'!AH118+Cenval!AH118+'D&amp;M'!S118+Saratur!S118</f>
        <v>0</v>
      </c>
      <c r="AD118" s="6">
        <f t="shared" si="18"/>
        <v>0</v>
      </c>
    </row>
    <row r="119" spans="1:30" s="5" customFormat="1" outlineLevel="1" x14ac:dyDescent="0.25">
      <c r="A119" s="1" t="s">
        <v>122</v>
      </c>
      <c r="B119" s="8" t="e">
        <f>+#REF!/#REF!</f>
        <v>#REF!</v>
      </c>
      <c r="C119" s="2" t="e">
        <f>+#REF!/12</f>
        <v>#REF!</v>
      </c>
      <c r="D119" s="2" t="e">
        <f>+#REF!/12</f>
        <v>#REF!</v>
      </c>
      <c r="E119" s="2" t="e">
        <f>+#REF!/12</f>
        <v>#REF!</v>
      </c>
      <c r="F119" s="2" t="e">
        <f>+#REF!/12</f>
        <v>#REF!</v>
      </c>
      <c r="G119" s="2" t="e">
        <f>+#REF!/12</f>
        <v>#REF!</v>
      </c>
      <c r="H119" s="2" t="e">
        <f>+#REF!/12</f>
        <v>#REF!</v>
      </c>
      <c r="I119" s="2" t="e">
        <f>+#REF!/12</f>
        <v>#REF!</v>
      </c>
      <c r="J119" s="2" t="e">
        <f>+#REF!/12</f>
        <v>#REF!</v>
      </c>
      <c r="K119" s="2" t="e">
        <f>+#REF!/12</f>
        <v>#REF!</v>
      </c>
      <c r="L119" s="2" t="e">
        <f>+#REF!/12</f>
        <v>#REF!</v>
      </c>
      <c r="M119" s="2" t="e">
        <f>+#REF!/12</f>
        <v>#REF!</v>
      </c>
      <c r="N119" s="2" t="e">
        <f>+#REF!/12</f>
        <v>#REF!</v>
      </c>
      <c r="O119" s="6" t="e">
        <f t="shared" si="17"/>
        <v>#REF!</v>
      </c>
      <c r="P119" s="24">
        <v>0</v>
      </c>
      <c r="Q119" s="23">
        <f t="shared" si="19"/>
        <v>0</v>
      </c>
      <c r="R119" s="2">
        <f>+'Cenvalsa industrial'!W119+Cenval!W119+'D&amp;M'!H119+Saratur!H119</f>
        <v>0</v>
      </c>
      <c r="S119" s="2">
        <f>+'Cenvalsa industrial'!X119+Cenval!X119+'D&amp;M'!I119+Saratur!I119</f>
        <v>0</v>
      </c>
      <c r="T119" s="2">
        <f>+'Cenvalsa industrial'!Y119+Cenval!Y119+'D&amp;M'!J119+Saratur!J119</f>
        <v>0</v>
      </c>
      <c r="U119" s="2">
        <f>+'Cenvalsa industrial'!Z119+Cenval!Z119+'D&amp;M'!K119+Saratur!K119</f>
        <v>0</v>
      </c>
      <c r="V119" s="2">
        <f>+'Cenvalsa industrial'!AA119+Cenval!AA119+'D&amp;M'!L119+Saratur!L119</f>
        <v>0</v>
      </c>
      <c r="W119" s="2">
        <f>+'Cenvalsa industrial'!AB119+Cenval!AB119+'D&amp;M'!M119+Saratur!M119</f>
        <v>0</v>
      </c>
      <c r="X119" s="2">
        <f>+'Cenvalsa industrial'!AC119+Cenval!AC119+'D&amp;M'!N119+Saratur!N119</f>
        <v>0</v>
      </c>
      <c r="Y119" s="2">
        <f>+'Cenvalsa industrial'!AD119+Cenval!AD119+'D&amp;M'!O119+Saratur!O119</f>
        <v>0</v>
      </c>
      <c r="Z119" s="2">
        <f>+'Cenvalsa industrial'!AE119+Cenval!AE119+'D&amp;M'!P119+Saratur!P119</f>
        <v>0</v>
      </c>
      <c r="AA119" s="2">
        <f>+'Cenvalsa industrial'!AF119+Cenval!AF119+'D&amp;M'!Q119+Saratur!Q119</f>
        <v>0</v>
      </c>
      <c r="AB119" s="2">
        <f>+'Cenvalsa industrial'!AG119+Cenval!AG119+'D&amp;M'!R119+Saratur!R119</f>
        <v>0</v>
      </c>
      <c r="AC119" s="2">
        <f>+'Cenvalsa industrial'!AH119+Cenval!AH119+'D&amp;M'!S119+Saratur!S119</f>
        <v>0</v>
      </c>
      <c r="AD119" s="6">
        <f t="shared" si="18"/>
        <v>0</v>
      </c>
    </row>
    <row r="120" spans="1:30" s="5" customFormat="1" outlineLevel="1" x14ac:dyDescent="0.25">
      <c r="A120" s="9" t="s">
        <v>123</v>
      </c>
      <c r="B120" s="8"/>
      <c r="C120" s="2" t="e">
        <f>+#REF!/12</f>
        <v>#REF!</v>
      </c>
      <c r="D120" s="2" t="e">
        <f>+#REF!/12</f>
        <v>#REF!</v>
      </c>
      <c r="E120" s="2" t="e">
        <f>+#REF!/12</f>
        <v>#REF!</v>
      </c>
      <c r="F120" s="2" t="e">
        <f>+#REF!/12</f>
        <v>#REF!</v>
      </c>
      <c r="G120" s="2" t="e">
        <f>+#REF!/12</f>
        <v>#REF!</v>
      </c>
      <c r="H120" s="2" t="e">
        <f>+#REF!/12</f>
        <v>#REF!</v>
      </c>
      <c r="I120" s="2" t="e">
        <f>+#REF!/12</f>
        <v>#REF!</v>
      </c>
      <c r="J120" s="2" t="e">
        <f>+#REF!/12</f>
        <v>#REF!</v>
      </c>
      <c r="K120" s="2" t="e">
        <f>+#REF!/12</f>
        <v>#REF!</v>
      </c>
      <c r="L120" s="2" t="e">
        <f>+#REF!/12</f>
        <v>#REF!</v>
      </c>
      <c r="M120" s="2" t="e">
        <f>+#REF!/12</f>
        <v>#REF!</v>
      </c>
      <c r="N120" s="2" t="e">
        <f>+#REF!/12</f>
        <v>#REF!</v>
      </c>
      <c r="O120" s="6" t="e">
        <f t="shared" si="17"/>
        <v>#REF!</v>
      </c>
      <c r="P120" s="24">
        <v>0</v>
      </c>
      <c r="Q120" s="23">
        <f t="shared" si="19"/>
        <v>0</v>
      </c>
      <c r="R120" s="2">
        <f>+'Cenvalsa industrial'!W120+Cenval!W120+'D&amp;M'!H120+Saratur!H120</f>
        <v>0</v>
      </c>
      <c r="S120" s="2">
        <f>+'Cenvalsa industrial'!X120+Cenval!X120+'D&amp;M'!I120+Saratur!I120</f>
        <v>0</v>
      </c>
      <c r="T120" s="2">
        <f>+'Cenvalsa industrial'!Y120+Cenval!Y120+'D&amp;M'!J120+Saratur!J120</f>
        <v>0</v>
      </c>
      <c r="U120" s="2">
        <f>+'Cenvalsa industrial'!Z120+Cenval!Z120+'D&amp;M'!K120+Saratur!K120</f>
        <v>0</v>
      </c>
      <c r="V120" s="2">
        <f>+'Cenvalsa industrial'!AA120+Cenval!AA120+'D&amp;M'!L120+Saratur!L120</f>
        <v>0</v>
      </c>
      <c r="W120" s="2">
        <f>+'Cenvalsa industrial'!AB120+Cenval!AB120+'D&amp;M'!M120+Saratur!M120</f>
        <v>0</v>
      </c>
      <c r="X120" s="2">
        <f>+'Cenvalsa industrial'!AC120+Cenval!AC120+'D&amp;M'!N120+Saratur!N120</f>
        <v>0</v>
      </c>
      <c r="Y120" s="2">
        <f>+'Cenvalsa industrial'!AD120+Cenval!AD120+'D&amp;M'!O120+Saratur!O120</f>
        <v>0</v>
      </c>
      <c r="Z120" s="2">
        <f>+'Cenvalsa industrial'!AE120+Cenval!AE120+'D&amp;M'!P120+Saratur!P120</f>
        <v>0</v>
      </c>
      <c r="AA120" s="2">
        <f>+'Cenvalsa industrial'!AF120+Cenval!AF120+'D&amp;M'!Q120+Saratur!Q120</f>
        <v>0</v>
      </c>
      <c r="AB120" s="2">
        <f>+'Cenvalsa industrial'!AG120+Cenval!AG120+'D&amp;M'!R120+Saratur!R120</f>
        <v>0</v>
      </c>
      <c r="AC120" s="2">
        <f>+'Cenvalsa industrial'!AH120+Cenval!AH120+'D&amp;M'!S120+Saratur!S120</f>
        <v>0</v>
      </c>
      <c r="AD120" s="6">
        <f t="shared" si="18"/>
        <v>0</v>
      </c>
    </row>
    <row r="121" spans="1:30" s="5" customFormat="1" outlineLevel="1" x14ac:dyDescent="0.25">
      <c r="A121" s="1" t="s">
        <v>124</v>
      </c>
      <c r="B121" s="8" t="e">
        <f>+#REF!/#REF!</f>
        <v>#REF!</v>
      </c>
      <c r="C121" s="2" t="e">
        <f>+#REF!/12</f>
        <v>#REF!</v>
      </c>
      <c r="D121" s="2" t="e">
        <f>+#REF!/12</f>
        <v>#REF!</v>
      </c>
      <c r="E121" s="2" t="e">
        <f>+#REF!/12</f>
        <v>#REF!</v>
      </c>
      <c r="F121" s="2" t="e">
        <f>+#REF!/12</f>
        <v>#REF!</v>
      </c>
      <c r="G121" s="2" t="e">
        <f>+#REF!/12</f>
        <v>#REF!</v>
      </c>
      <c r="H121" s="2" t="e">
        <f>+#REF!/12</f>
        <v>#REF!</v>
      </c>
      <c r="I121" s="2" t="e">
        <f>+#REF!/12</f>
        <v>#REF!</v>
      </c>
      <c r="J121" s="2" t="e">
        <f>+#REF!/12</f>
        <v>#REF!</v>
      </c>
      <c r="K121" s="2" t="e">
        <f>+#REF!/12</f>
        <v>#REF!</v>
      </c>
      <c r="L121" s="2" t="e">
        <f>+#REF!/12</f>
        <v>#REF!</v>
      </c>
      <c r="M121" s="2" t="e">
        <f>+#REF!/12</f>
        <v>#REF!</v>
      </c>
      <c r="N121" s="2" t="e">
        <f>+#REF!/12</f>
        <v>#REF!</v>
      </c>
      <c r="O121" s="6" t="e">
        <f t="shared" si="17"/>
        <v>#REF!</v>
      </c>
      <c r="P121" s="56">
        <v>0</v>
      </c>
      <c r="Q121" s="23">
        <f t="shared" si="19"/>
        <v>0</v>
      </c>
      <c r="R121" s="2">
        <f>+'Cenvalsa industrial'!W121+Cenval!W121+'D&amp;M'!H121+Saratur!H121</f>
        <v>0</v>
      </c>
      <c r="S121" s="2">
        <f>+'Cenvalsa industrial'!X121+Cenval!X121+'D&amp;M'!I121+Saratur!I121</f>
        <v>0</v>
      </c>
      <c r="T121" s="2">
        <f>+'Cenvalsa industrial'!Y121+Cenval!Y121+'D&amp;M'!J121+Saratur!J121</f>
        <v>0</v>
      </c>
      <c r="U121" s="2">
        <f>+'Cenvalsa industrial'!Z121+Cenval!Z121+'D&amp;M'!K121+Saratur!K121</f>
        <v>0</v>
      </c>
      <c r="V121" s="2">
        <f>+'Cenvalsa industrial'!AA121+Cenval!AA121+'D&amp;M'!L121+Saratur!L121</f>
        <v>0</v>
      </c>
      <c r="W121" s="2">
        <f>+'Cenvalsa industrial'!AB121+Cenval!AB121+'D&amp;M'!M121+Saratur!M121</f>
        <v>0</v>
      </c>
      <c r="X121" s="2">
        <f>+'Cenvalsa industrial'!AC121+Cenval!AC121+'D&amp;M'!N121+Saratur!N121</f>
        <v>0</v>
      </c>
      <c r="Y121" s="2">
        <f>+'Cenvalsa industrial'!AD121+Cenval!AD121+'D&amp;M'!O121+Saratur!O121</f>
        <v>0</v>
      </c>
      <c r="Z121" s="2">
        <f>+'Cenvalsa industrial'!AE121+Cenval!AE121+'D&amp;M'!P121+Saratur!P121</f>
        <v>0</v>
      </c>
      <c r="AA121" s="2">
        <f>+'Cenvalsa industrial'!AF121+Cenval!AF121+'D&amp;M'!Q121+Saratur!Q121</f>
        <v>0</v>
      </c>
      <c r="AB121" s="2">
        <f>+'Cenvalsa industrial'!AG121+Cenval!AG121+'D&amp;M'!R121+Saratur!R121</f>
        <v>0</v>
      </c>
      <c r="AC121" s="2">
        <f>+'Cenvalsa industrial'!AH121+Cenval!AH121+'D&amp;M'!S121+Saratur!S121</f>
        <v>0</v>
      </c>
      <c r="AD121" s="6">
        <f t="shared" si="18"/>
        <v>0</v>
      </c>
    </row>
    <row r="122" spans="1:30" x14ac:dyDescent="0.25">
      <c r="A122" s="5" t="s">
        <v>125</v>
      </c>
      <c r="B122" s="7" t="e">
        <f>+#REF!/#REF!</f>
        <v>#REF!</v>
      </c>
      <c r="C122" s="6" t="e">
        <f>SUM(C123:C125)</f>
        <v>#REF!</v>
      </c>
      <c r="D122" s="6" t="e">
        <f t="shared" ref="D122:N122" si="20">SUM(D123:D125)</f>
        <v>#REF!</v>
      </c>
      <c r="E122" s="6" t="e">
        <f t="shared" si="20"/>
        <v>#REF!</v>
      </c>
      <c r="F122" s="6" t="e">
        <f t="shared" si="20"/>
        <v>#REF!</v>
      </c>
      <c r="G122" s="6" t="e">
        <f t="shared" si="20"/>
        <v>#REF!</v>
      </c>
      <c r="H122" s="6" t="e">
        <f t="shared" si="20"/>
        <v>#REF!</v>
      </c>
      <c r="I122" s="6" t="e">
        <f t="shared" si="20"/>
        <v>#REF!</v>
      </c>
      <c r="J122" s="6" t="e">
        <f t="shared" si="20"/>
        <v>#REF!</v>
      </c>
      <c r="K122" s="6" t="e">
        <f t="shared" si="20"/>
        <v>#REF!</v>
      </c>
      <c r="L122" s="6" t="e">
        <f t="shared" si="20"/>
        <v>#REF!</v>
      </c>
      <c r="M122" s="6" t="e">
        <f t="shared" si="20"/>
        <v>#REF!</v>
      </c>
      <c r="N122" s="6" t="e">
        <f t="shared" si="20"/>
        <v>#REF!</v>
      </c>
      <c r="O122" s="6" t="e">
        <f t="shared" si="17"/>
        <v>#REF!</v>
      </c>
      <c r="P122" s="6">
        <f t="shared" ref="P122:P174" si="21">SUM(R122:AC122)</f>
        <v>0</v>
      </c>
      <c r="Q122" s="23">
        <f t="shared" si="19"/>
        <v>0</v>
      </c>
      <c r="R122" s="6">
        <f>SUM(R123:R125)</f>
        <v>0</v>
      </c>
      <c r="S122" s="6">
        <f t="shared" ref="S122:AC122" si="22">SUM(S123:S125)</f>
        <v>0</v>
      </c>
      <c r="T122" s="6">
        <f t="shared" si="22"/>
        <v>0</v>
      </c>
      <c r="U122" s="6">
        <f t="shared" si="22"/>
        <v>0</v>
      </c>
      <c r="V122" s="6">
        <f t="shared" si="22"/>
        <v>0</v>
      </c>
      <c r="W122" s="6">
        <f t="shared" si="22"/>
        <v>0</v>
      </c>
      <c r="X122" s="6">
        <f t="shared" si="22"/>
        <v>0</v>
      </c>
      <c r="Y122" s="6">
        <f t="shared" si="22"/>
        <v>0</v>
      </c>
      <c r="Z122" s="6">
        <f t="shared" si="22"/>
        <v>0</v>
      </c>
      <c r="AA122" s="6">
        <f t="shared" si="22"/>
        <v>0</v>
      </c>
      <c r="AB122" s="6">
        <f t="shared" si="22"/>
        <v>0</v>
      </c>
      <c r="AC122" s="6">
        <f t="shared" si="22"/>
        <v>0</v>
      </c>
      <c r="AD122" s="6">
        <f t="shared" si="18"/>
        <v>0</v>
      </c>
    </row>
    <row r="123" spans="1:30" outlineLevel="1" x14ac:dyDescent="0.25">
      <c r="A123" s="1" t="s">
        <v>126</v>
      </c>
      <c r="B123" s="8" t="e">
        <f>+#REF!/#REF!</f>
        <v>#REF!</v>
      </c>
      <c r="C123" s="2" t="e">
        <f>+#REF!/12</f>
        <v>#REF!</v>
      </c>
      <c r="D123" s="2" t="e">
        <f>+#REF!/12</f>
        <v>#REF!</v>
      </c>
      <c r="E123" s="2" t="e">
        <f>+#REF!/12</f>
        <v>#REF!</v>
      </c>
      <c r="F123" s="2" t="e">
        <f>+#REF!/12</f>
        <v>#REF!</v>
      </c>
      <c r="G123" s="2" t="e">
        <f>+#REF!/12</f>
        <v>#REF!</v>
      </c>
      <c r="H123" s="2" t="e">
        <f>+#REF!/12</f>
        <v>#REF!</v>
      </c>
      <c r="I123" s="2" t="e">
        <f>+#REF!/12</f>
        <v>#REF!</v>
      </c>
      <c r="J123" s="2" t="e">
        <f>+#REF!/12</f>
        <v>#REF!</v>
      </c>
      <c r="K123" s="2" t="e">
        <f>+#REF!/12</f>
        <v>#REF!</v>
      </c>
      <c r="L123" s="2" t="e">
        <f>+#REF!/12</f>
        <v>#REF!</v>
      </c>
      <c r="M123" s="2" t="e">
        <f>+#REF!/12</f>
        <v>#REF!</v>
      </c>
      <c r="N123" s="2" t="e">
        <f>+#REF!/12</f>
        <v>#REF!</v>
      </c>
      <c r="O123" s="6" t="e">
        <f t="shared" si="17"/>
        <v>#REF!</v>
      </c>
      <c r="P123" s="6">
        <f t="shared" si="21"/>
        <v>0</v>
      </c>
      <c r="Q123" s="23">
        <f t="shared" si="19"/>
        <v>0</v>
      </c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6">
        <f t="shared" si="18"/>
        <v>0</v>
      </c>
    </row>
    <row r="124" spans="1:30" s="5" customFormat="1" outlineLevel="1" x14ac:dyDescent="0.25">
      <c r="A124" s="1" t="s">
        <v>127</v>
      </c>
      <c r="B124" s="8" t="e">
        <f>+#REF!/#REF!</f>
        <v>#REF!</v>
      </c>
      <c r="C124" s="2" t="e">
        <f>+#REF!/12</f>
        <v>#REF!</v>
      </c>
      <c r="D124" s="2" t="e">
        <f>+#REF!/12</f>
        <v>#REF!</v>
      </c>
      <c r="E124" s="2" t="e">
        <f>+#REF!/12</f>
        <v>#REF!</v>
      </c>
      <c r="F124" s="2" t="e">
        <f>+#REF!/12</f>
        <v>#REF!</v>
      </c>
      <c r="G124" s="2" t="e">
        <f>+#REF!/12</f>
        <v>#REF!</v>
      </c>
      <c r="H124" s="2" t="e">
        <f>+#REF!/12</f>
        <v>#REF!</v>
      </c>
      <c r="I124" s="2" t="e">
        <f>+#REF!/12</f>
        <v>#REF!</v>
      </c>
      <c r="J124" s="2" t="e">
        <f>+#REF!/12</f>
        <v>#REF!</v>
      </c>
      <c r="K124" s="2" t="e">
        <f>+#REF!/12</f>
        <v>#REF!</v>
      </c>
      <c r="L124" s="2" t="e">
        <f>+#REF!/12</f>
        <v>#REF!</v>
      </c>
      <c r="M124" s="2" t="e">
        <f>+#REF!/12</f>
        <v>#REF!</v>
      </c>
      <c r="N124" s="2" t="e">
        <f>+#REF!/12</f>
        <v>#REF!</v>
      </c>
      <c r="O124" s="6" t="e">
        <f t="shared" si="17"/>
        <v>#REF!</v>
      </c>
      <c r="P124" s="6">
        <f t="shared" si="21"/>
        <v>0</v>
      </c>
      <c r="Q124" s="23">
        <f t="shared" si="19"/>
        <v>0</v>
      </c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6">
        <f t="shared" si="18"/>
        <v>0</v>
      </c>
    </row>
    <row r="125" spans="1:30" s="5" customFormat="1" outlineLevel="1" x14ac:dyDescent="0.25">
      <c r="A125" s="1" t="s">
        <v>128</v>
      </c>
      <c r="B125" s="8" t="e">
        <f>+#REF!/#REF!</f>
        <v>#REF!</v>
      </c>
      <c r="C125" s="2" t="e">
        <f>+#REF!/12</f>
        <v>#REF!</v>
      </c>
      <c r="D125" s="2" t="e">
        <f>+#REF!/12</f>
        <v>#REF!</v>
      </c>
      <c r="E125" s="2" t="e">
        <f>+#REF!/12</f>
        <v>#REF!</v>
      </c>
      <c r="F125" s="2" t="e">
        <f>+#REF!/12</f>
        <v>#REF!</v>
      </c>
      <c r="G125" s="2" t="e">
        <f>+#REF!/12</f>
        <v>#REF!</v>
      </c>
      <c r="H125" s="2" t="e">
        <f>+#REF!/12</f>
        <v>#REF!</v>
      </c>
      <c r="I125" s="2" t="e">
        <f>+#REF!/12</f>
        <v>#REF!</v>
      </c>
      <c r="J125" s="2" t="e">
        <f>+#REF!/12</f>
        <v>#REF!</v>
      </c>
      <c r="K125" s="2" t="e">
        <f>+#REF!/12</f>
        <v>#REF!</v>
      </c>
      <c r="L125" s="2" t="e">
        <f>+#REF!/12</f>
        <v>#REF!</v>
      </c>
      <c r="M125" s="2" t="e">
        <f>+#REF!/12</f>
        <v>#REF!</v>
      </c>
      <c r="N125" s="2" t="e">
        <f>+#REF!/12</f>
        <v>#REF!</v>
      </c>
      <c r="O125" s="6" t="e">
        <f t="shared" si="17"/>
        <v>#REF!</v>
      </c>
      <c r="P125" s="6">
        <f t="shared" si="21"/>
        <v>0</v>
      </c>
      <c r="Q125" s="23">
        <f t="shared" si="19"/>
        <v>0</v>
      </c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6">
        <f t="shared" si="18"/>
        <v>0</v>
      </c>
    </row>
    <row r="126" spans="1:30" x14ac:dyDescent="0.25">
      <c r="A126" s="5" t="s">
        <v>129</v>
      </c>
      <c r="B126" s="7" t="e">
        <f>+#REF!/#REF!</f>
        <v>#REF!</v>
      </c>
      <c r="C126" s="6">
        <v>0</v>
      </c>
      <c r="D126" s="6">
        <v>0</v>
      </c>
      <c r="E126" s="6">
        <v>0</v>
      </c>
      <c r="F126" s="6">
        <v>0</v>
      </c>
      <c r="G126" s="6">
        <v>0</v>
      </c>
      <c r="H126" s="6">
        <v>0</v>
      </c>
      <c r="I126" s="6">
        <v>0</v>
      </c>
      <c r="J126" s="6">
        <v>0</v>
      </c>
      <c r="K126" s="6">
        <v>0</v>
      </c>
      <c r="L126" s="6">
        <v>0</v>
      </c>
      <c r="M126" s="6">
        <v>0</v>
      </c>
      <c r="N126" s="6">
        <v>0</v>
      </c>
      <c r="O126" s="6">
        <f t="shared" si="17"/>
        <v>0</v>
      </c>
      <c r="P126" s="6">
        <f t="shared" si="21"/>
        <v>0</v>
      </c>
      <c r="Q126" s="23">
        <f t="shared" si="19"/>
        <v>0</v>
      </c>
      <c r="R126" s="6">
        <v>0</v>
      </c>
      <c r="S126" s="6">
        <v>0</v>
      </c>
      <c r="T126" s="6">
        <v>0</v>
      </c>
      <c r="U126" s="6">
        <v>0</v>
      </c>
      <c r="V126" s="6">
        <v>0</v>
      </c>
      <c r="W126" s="6">
        <v>0</v>
      </c>
      <c r="X126" s="6">
        <v>0</v>
      </c>
      <c r="Y126" s="6">
        <v>0</v>
      </c>
      <c r="Z126" s="6">
        <v>0</v>
      </c>
      <c r="AA126" s="6">
        <v>0</v>
      </c>
      <c r="AB126" s="6">
        <v>0</v>
      </c>
      <c r="AC126" s="6">
        <v>0</v>
      </c>
      <c r="AD126" s="6">
        <f t="shared" si="18"/>
        <v>0</v>
      </c>
    </row>
    <row r="127" spans="1:30" x14ac:dyDescent="0.25">
      <c r="A127" s="5" t="s">
        <v>130</v>
      </c>
      <c r="B127" s="7" t="e">
        <f>+#REF!/#REF!</f>
        <v>#REF!</v>
      </c>
      <c r="C127" s="6">
        <v>0</v>
      </c>
      <c r="D127" s="6">
        <v>0</v>
      </c>
      <c r="E127" s="6">
        <v>0</v>
      </c>
      <c r="F127" s="6">
        <v>0</v>
      </c>
      <c r="G127" s="6">
        <v>0</v>
      </c>
      <c r="H127" s="6">
        <v>0</v>
      </c>
      <c r="I127" s="6">
        <v>0</v>
      </c>
      <c r="J127" s="6">
        <v>0</v>
      </c>
      <c r="K127" s="6">
        <v>0</v>
      </c>
      <c r="L127" s="6">
        <v>0</v>
      </c>
      <c r="M127" s="6">
        <v>0</v>
      </c>
      <c r="N127" s="6">
        <v>0</v>
      </c>
      <c r="O127" s="6">
        <f t="shared" si="17"/>
        <v>0</v>
      </c>
      <c r="P127" s="6">
        <f t="shared" si="21"/>
        <v>0</v>
      </c>
      <c r="Q127" s="23">
        <f t="shared" si="19"/>
        <v>0</v>
      </c>
      <c r="R127" s="6">
        <v>0</v>
      </c>
      <c r="S127" s="6">
        <v>0</v>
      </c>
      <c r="T127" s="6">
        <v>0</v>
      </c>
      <c r="U127" s="6">
        <v>0</v>
      </c>
      <c r="V127" s="6">
        <v>0</v>
      </c>
      <c r="W127" s="6">
        <v>0</v>
      </c>
      <c r="X127" s="6">
        <v>0</v>
      </c>
      <c r="Y127" s="6">
        <v>0</v>
      </c>
      <c r="Z127" s="6">
        <v>0</v>
      </c>
      <c r="AA127" s="6">
        <v>0</v>
      </c>
      <c r="AB127" s="6">
        <v>0</v>
      </c>
      <c r="AC127" s="6">
        <v>0</v>
      </c>
      <c r="AD127" s="6">
        <f t="shared" si="18"/>
        <v>0</v>
      </c>
    </row>
    <row r="128" spans="1:30" x14ac:dyDescent="0.25">
      <c r="A128" s="5" t="s">
        <v>131</v>
      </c>
      <c r="B128" s="7" t="e">
        <f>+#REF!/#REF!</f>
        <v>#REF!</v>
      </c>
      <c r="C128" s="6">
        <f>SUM(C129:C130)</f>
        <v>0</v>
      </c>
      <c r="D128" s="6">
        <f t="shared" ref="D128:N128" si="23">SUM(D129:D130)</f>
        <v>0</v>
      </c>
      <c r="E128" s="6">
        <f t="shared" si="23"/>
        <v>0</v>
      </c>
      <c r="F128" s="6">
        <f t="shared" si="23"/>
        <v>0</v>
      </c>
      <c r="G128" s="6">
        <f t="shared" si="23"/>
        <v>0</v>
      </c>
      <c r="H128" s="6">
        <f t="shared" si="23"/>
        <v>0</v>
      </c>
      <c r="I128" s="6">
        <f t="shared" si="23"/>
        <v>0</v>
      </c>
      <c r="J128" s="6">
        <f t="shared" si="23"/>
        <v>0</v>
      </c>
      <c r="K128" s="6">
        <f t="shared" si="23"/>
        <v>0</v>
      </c>
      <c r="L128" s="6">
        <f t="shared" si="23"/>
        <v>0</v>
      </c>
      <c r="M128" s="6">
        <f t="shared" si="23"/>
        <v>0</v>
      </c>
      <c r="N128" s="6">
        <f t="shared" si="23"/>
        <v>0</v>
      </c>
      <c r="O128" s="6">
        <f t="shared" si="17"/>
        <v>0</v>
      </c>
      <c r="P128" s="6">
        <f t="shared" si="21"/>
        <v>0</v>
      </c>
      <c r="Q128" s="23">
        <f t="shared" si="19"/>
        <v>0</v>
      </c>
      <c r="R128" s="6">
        <f>SUM(R129:R130)</f>
        <v>0</v>
      </c>
      <c r="S128" s="6">
        <f t="shared" ref="S128:AC128" si="24">SUM(S129:S130)</f>
        <v>0</v>
      </c>
      <c r="T128" s="6">
        <f t="shared" si="24"/>
        <v>0</v>
      </c>
      <c r="U128" s="6">
        <f t="shared" si="24"/>
        <v>0</v>
      </c>
      <c r="V128" s="6">
        <f t="shared" si="24"/>
        <v>0</v>
      </c>
      <c r="W128" s="6">
        <f t="shared" si="24"/>
        <v>0</v>
      </c>
      <c r="X128" s="6">
        <f t="shared" si="24"/>
        <v>0</v>
      </c>
      <c r="Y128" s="6">
        <f t="shared" si="24"/>
        <v>0</v>
      </c>
      <c r="Z128" s="6">
        <f t="shared" si="24"/>
        <v>0</v>
      </c>
      <c r="AA128" s="6">
        <f t="shared" si="24"/>
        <v>0</v>
      </c>
      <c r="AB128" s="6">
        <f t="shared" si="24"/>
        <v>0</v>
      </c>
      <c r="AC128" s="6">
        <f t="shared" si="24"/>
        <v>0</v>
      </c>
      <c r="AD128" s="6">
        <f t="shared" si="18"/>
        <v>0</v>
      </c>
    </row>
    <row r="129" spans="1:30" s="3" customFormat="1" outlineLevel="1" x14ac:dyDescent="0.25">
      <c r="A129" s="1" t="s">
        <v>132</v>
      </c>
      <c r="B129" s="8" t="e">
        <f>+#REF!/#REF!</f>
        <v>#REF!</v>
      </c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6">
        <f t="shared" si="17"/>
        <v>0</v>
      </c>
      <c r="P129" s="6">
        <f t="shared" si="21"/>
        <v>0</v>
      </c>
      <c r="Q129" s="23">
        <f t="shared" si="19"/>
        <v>0</v>
      </c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6">
        <f t="shared" si="18"/>
        <v>0</v>
      </c>
    </row>
    <row r="130" spans="1:30" s="5" customFormat="1" outlineLevel="1" x14ac:dyDescent="0.25">
      <c r="A130" s="1" t="s">
        <v>133</v>
      </c>
      <c r="B130" s="8" t="e">
        <f>+#REF!/#REF!</f>
        <v>#REF!</v>
      </c>
      <c r="C130" s="2">
        <v>0</v>
      </c>
      <c r="D130" s="2">
        <v>0</v>
      </c>
      <c r="E130" s="2">
        <v>0</v>
      </c>
      <c r="F130" s="2">
        <v>0</v>
      </c>
      <c r="G130" s="2">
        <v>0</v>
      </c>
      <c r="H130" s="2">
        <v>0</v>
      </c>
      <c r="I130" s="2">
        <v>0</v>
      </c>
      <c r="J130" s="2">
        <v>0</v>
      </c>
      <c r="K130" s="2">
        <v>0</v>
      </c>
      <c r="L130" s="2">
        <v>0</v>
      </c>
      <c r="M130" s="2">
        <v>0</v>
      </c>
      <c r="N130" s="2">
        <v>0</v>
      </c>
      <c r="O130" s="6">
        <f t="shared" si="17"/>
        <v>0</v>
      </c>
      <c r="P130" s="6">
        <f t="shared" si="21"/>
        <v>0</v>
      </c>
      <c r="Q130" s="23">
        <f t="shared" si="19"/>
        <v>0</v>
      </c>
      <c r="R130" s="2">
        <v>0</v>
      </c>
      <c r="S130" s="2">
        <v>0</v>
      </c>
      <c r="T130" s="2">
        <v>0</v>
      </c>
      <c r="U130" s="2">
        <v>0</v>
      </c>
      <c r="V130" s="2">
        <v>0</v>
      </c>
      <c r="W130" s="2">
        <v>0</v>
      </c>
      <c r="X130" s="2">
        <v>0</v>
      </c>
      <c r="Y130" s="2">
        <v>0</v>
      </c>
      <c r="Z130" s="2">
        <v>0</v>
      </c>
      <c r="AA130" s="2">
        <v>0</v>
      </c>
      <c r="AB130" s="2">
        <v>0</v>
      </c>
      <c r="AC130" s="2">
        <v>0</v>
      </c>
      <c r="AD130" s="6">
        <f t="shared" si="18"/>
        <v>0</v>
      </c>
    </row>
    <row r="131" spans="1:30" x14ac:dyDescent="0.25">
      <c r="A131" s="5" t="s">
        <v>134</v>
      </c>
      <c r="B131" s="7" t="e">
        <f>+#REF!/#REF!</f>
        <v>#REF!</v>
      </c>
      <c r="C131" s="6">
        <v>0</v>
      </c>
      <c r="D131" s="6">
        <v>0</v>
      </c>
      <c r="E131" s="6">
        <v>0</v>
      </c>
      <c r="F131" s="6">
        <v>0</v>
      </c>
      <c r="G131" s="6">
        <v>0</v>
      </c>
      <c r="H131" s="6">
        <v>0</v>
      </c>
      <c r="I131" s="6">
        <v>0</v>
      </c>
      <c r="J131" s="6">
        <v>0</v>
      </c>
      <c r="K131" s="6">
        <v>0</v>
      </c>
      <c r="L131" s="6">
        <v>0</v>
      </c>
      <c r="M131" s="6">
        <v>0</v>
      </c>
      <c r="N131" s="6">
        <v>0</v>
      </c>
      <c r="O131" s="6">
        <f t="shared" ref="O131:O139" si="25">SUM(C131:N131)</f>
        <v>0</v>
      </c>
      <c r="P131" s="6">
        <f t="shared" si="21"/>
        <v>0</v>
      </c>
      <c r="Q131" s="23">
        <f t="shared" si="19"/>
        <v>0</v>
      </c>
      <c r="R131" s="6">
        <v>0</v>
      </c>
      <c r="S131" s="6">
        <v>0</v>
      </c>
      <c r="T131" s="6">
        <v>0</v>
      </c>
      <c r="U131" s="6">
        <v>0</v>
      </c>
      <c r="V131" s="6">
        <v>0</v>
      </c>
      <c r="W131" s="6">
        <v>0</v>
      </c>
      <c r="X131" s="6">
        <v>0</v>
      </c>
      <c r="Y131" s="6">
        <v>0</v>
      </c>
      <c r="Z131" s="6">
        <v>0</v>
      </c>
      <c r="AA131" s="6">
        <v>0</v>
      </c>
      <c r="AB131" s="6">
        <v>0</v>
      </c>
      <c r="AC131" s="6">
        <v>0</v>
      </c>
      <c r="AD131" s="6">
        <f t="shared" ref="AD131:AD139" si="26">SUM(R131:AC131)</f>
        <v>0</v>
      </c>
    </row>
    <row r="132" spans="1:30" x14ac:dyDescent="0.25">
      <c r="A132" s="5" t="s">
        <v>135</v>
      </c>
      <c r="B132" s="7" t="e">
        <f>+#REF!/#REF!</f>
        <v>#REF!</v>
      </c>
      <c r="C132" s="6" t="e">
        <f>SUM(C133:C135)</f>
        <v>#REF!</v>
      </c>
      <c r="D132" s="6" t="e">
        <f t="shared" ref="D132:N132" si="27">SUM(D133:D135)</f>
        <v>#REF!</v>
      </c>
      <c r="E132" s="6" t="e">
        <f t="shared" si="27"/>
        <v>#REF!</v>
      </c>
      <c r="F132" s="6" t="e">
        <f t="shared" si="27"/>
        <v>#REF!</v>
      </c>
      <c r="G132" s="6" t="e">
        <f t="shared" si="27"/>
        <v>#REF!</v>
      </c>
      <c r="H132" s="6" t="e">
        <f t="shared" si="27"/>
        <v>#REF!</v>
      </c>
      <c r="I132" s="6" t="e">
        <f t="shared" si="27"/>
        <v>#REF!</v>
      </c>
      <c r="J132" s="6" t="e">
        <f t="shared" si="27"/>
        <v>#REF!</v>
      </c>
      <c r="K132" s="6" t="e">
        <f t="shared" si="27"/>
        <v>#REF!</v>
      </c>
      <c r="L132" s="6" t="e">
        <f t="shared" si="27"/>
        <v>#REF!</v>
      </c>
      <c r="M132" s="6" t="e">
        <f t="shared" si="27"/>
        <v>#REF!</v>
      </c>
      <c r="N132" s="6" t="e">
        <f t="shared" si="27"/>
        <v>#REF!</v>
      </c>
      <c r="O132" s="6" t="e">
        <f t="shared" si="25"/>
        <v>#REF!</v>
      </c>
      <c r="P132" s="6">
        <f t="shared" si="21"/>
        <v>0</v>
      </c>
      <c r="Q132" s="23">
        <f t="shared" si="19"/>
        <v>0</v>
      </c>
      <c r="R132" s="6">
        <f>SUM(R133:R135)</f>
        <v>0</v>
      </c>
      <c r="S132" s="6">
        <f t="shared" ref="S132:AC132" si="28">SUM(S133:S135)</f>
        <v>0</v>
      </c>
      <c r="T132" s="6">
        <f t="shared" si="28"/>
        <v>0</v>
      </c>
      <c r="U132" s="6">
        <f t="shared" si="28"/>
        <v>0</v>
      </c>
      <c r="V132" s="6">
        <f t="shared" si="28"/>
        <v>0</v>
      </c>
      <c r="W132" s="6">
        <f t="shared" si="28"/>
        <v>0</v>
      </c>
      <c r="X132" s="6">
        <f t="shared" si="28"/>
        <v>0</v>
      </c>
      <c r="Y132" s="6">
        <f t="shared" si="28"/>
        <v>0</v>
      </c>
      <c r="Z132" s="6">
        <f t="shared" si="28"/>
        <v>0</v>
      </c>
      <c r="AA132" s="6">
        <f t="shared" si="28"/>
        <v>0</v>
      </c>
      <c r="AB132" s="6">
        <f t="shared" si="28"/>
        <v>0</v>
      </c>
      <c r="AC132" s="6">
        <f t="shared" si="28"/>
        <v>0</v>
      </c>
      <c r="AD132" s="6">
        <f t="shared" si="26"/>
        <v>0</v>
      </c>
    </row>
    <row r="133" spans="1:30" outlineLevel="1" x14ac:dyDescent="0.25">
      <c r="A133" s="1" t="s">
        <v>136</v>
      </c>
      <c r="B133" s="8" t="e">
        <f>+#REF!/#REF!</f>
        <v>#REF!</v>
      </c>
      <c r="C133" s="2" t="e">
        <f>+#REF!/12</f>
        <v>#REF!</v>
      </c>
      <c r="D133" s="2" t="e">
        <f>+#REF!/12</f>
        <v>#REF!</v>
      </c>
      <c r="E133" s="2" t="e">
        <f>+#REF!/12</f>
        <v>#REF!</v>
      </c>
      <c r="F133" s="2" t="e">
        <f>+#REF!/12</f>
        <v>#REF!</v>
      </c>
      <c r="G133" s="2" t="e">
        <f>+#REF!/12</f>
        <v>#REF!</v>
      </c>
      <c r="H133" s="2" t="e">
        <f>+#REF!/12</f>
        <v>#REF!</v>
      </c>
      <c r="I133" s="2" t="e">
        <f>+#REF!/12</f>
        <v>#REF!</v>
      </c>
      <c r="J133" s="2" t="e">
        <f>+#REF!/12</f>
        <v>#REF!</v>
      </c>
      <c r="K133" s="2" t="e">
        <f>+#REF!/12</f>
        <v>#REF!</v>
      </c>
      <c r="L133" s="2" t="e">
        <f>+#REF!/12</f>
        <v>#REF!</v>
      </c>
      <c r="M133" s="2" t="e">
        <f>+#REF!/12</f>
        <v>#REF!</v>
      </c>
      <c r="N133" s="2" t="e">
        <f>+#REF!/12</f>
        <v>#REF!</v>
      </c>
      <c r="O133" s="6" t="e">
        <f t="shared" si="25"/>
        <v>#REF!</v>
      </c>
      <c r="P133" s="56">
        <f t="shared" si="21"/>
        <v>0</v>
      </c>
      <c r="Q133" s="23">
        <f t="shared" si="19"/>
        <v>0</v>
      </c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6">
        <f t="shared" si="26"/>
        <v>0</v>
      </c>
    </row>
    <row r="134" spans="1:30" outlineLevel="1" x14ac:dyDescent="0.25">
      <c r="A134" s="1" t="s">
        <v>137</v>
      </c>
      <c r="B134" s="8" t="e">
        <f>+#REF!/#REF!</f>
        <v>#REF!</v>
      </c>
      <c r="C134" s="2" t="e">
        <f>+#REF!/12</f>
        <v>#REF!</v>
      </c>
      <c r="D134" s="2" t="e">
        <f>+#REF!/12</f>
        <v>#REF!</v>
      </c>
      <c r="E134" s="2" t="e">
        <f>+#REF!/12</f>
        <v>#REF!</v>
      </c>
      <c r="F134" s="2" t="e">
        <f>+#REF!/12</f>
        <v>#REF!</v>
      </c>
      <c r="G134" s="2" t="e">
        <f>+#REF!/12</f>
        <v>#REF!</v>
      </c>
      <c r="H134" s="2" t="e">
        <f>+#REF!/12</f>
        <v>#REF!</v>
      </c>
      <c r="I134" s="2" t="e">
        <f>+#REF!/12</f>
        <v>#REF!</v>
      </c>
      <c r="J134" s="2" t="e">
        <f>+#REF!/12</f>
        <v>#REF!</v>
      </c>
      <c r="K134" s="2" t="e">
        <f>+#REF!/12</f>
        <v>#REF!</v>
      </c>
      <c r="L134" s="2" t="e">
        <f>+#REF!/12</f>
        <v>#REF!</v>
      </c>
      <c r="M134" s="2" t="e">
        <f>+#REF!/12</f>
        <v>#REF!</v>
      </c>
      <c r="N134" s="2" t="e">
        <f>+#REF!/12</f>
        <v>#REF!</v>
      </c>
      <c r="O134" s="6" t="e">
        <f t="shared" si="25"/>
        <v>#REF!</v>
      </c>
      <c r="P134" s="56">
        <f t="shared" si="21"/>
        <v>0</v>
      </c>
      <c r="Q134" s="23">
        <f t="shared" si="19"/>
        <v>0</v>
      </c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6">
        <f t="shared" si="26"/>
        <v>0</v>
      </c>
    </row>
    <row r="135" spans="1:30" outlineLevel="1" x14ac:dyDescent="0.25">
      <c r="A135" s="1" t="s">
        <v>138</v>
      </c>
      <c r="B135" s="8" t="e">
        <f>+#REF!/#REF!</f>
        <v>#REF!</v>
      </c>
      <c r="C135" s="2" t="e">
        <f>+#REF!/12</f>
        <v>#REF!</v>
      </c>
      <c r="D135" s="2" t="e">
        <f>+#REF!/12</f>
        <v>#REF!</v>
      </c>
      <c r="E135" s="2" t="e">
        <f>+#REF!/12</f>
        <v>#REF!</v>
      </c>
      <c r="F135" s="2" t="e">
        <f>+#REF!/12</f>
        <v>#REF!</v>
      </c>
      <c r="G135" s="2" t="e">
        <f>+#REF!/12</f>
        <v>#REF!</v>
      </c>
      <c r="H135" s="2" t="e">
        <f>+#REF!/12</f>
        <v>#REF!</v>
      </c>
      <c r="I135" s="2" t="e">
        <f>+#REF!/12</f>
        <v>#REF!</v>
      </c>
      <c r="J135" s="2" t="e">
        <f>+#REF!/12</f>
        <v>#REF!</v>
      </c>
      <c r="K135" s="2" t="e">
        <f>+#REF!/12</f>
        <v>#REF!</v>
      </c>
      <c r="L135" s="2" t="e">
        <f>+#REF!/12</f>
        <v>#REF!</v>
      </c>
      <c r="M135" s="2" t="e">
        <f>+#REF!/12</f>
        <v>#REF!</v>
      </c>
      <c r="N135" s="2" t="e">
        <f>+#REF!/12</f>
        <v>#REF!</v>
      </c>
      <c r="O135" s="6" t="e">
        <f t="shared" si="25"/>
        <v>#REF!</v>
      </c>
      <c r="P135" s="56">
        <f t="shared" si="21"/>
        <v>0</v>
      </c>
      <c r="Q135" s="23">
        <f t="shared" si="19"/>
        <v>0</v>
      </c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6">
        <f t="shared" si="26"/>
        <v>0</v>
      </c>
    </row>
    <row r="136" spans="1:30" x14ac:dyDescent="0.25">
      <c r="A136" s="3" t="s">
        <v>139</v>
      </c>
      <c r="B136" s="11" t="e">
        <f>+#REF!/#REF!</f>
        <v>#REF!</v>
      </c>
      <c r="C136" s="4" t="e">
        <f>+C2+C13+C27+C37+C122+C126+C127+C128+C132</f>
        <v>#REF!</v>
      </c>
      <c r="D136" s="4" t="e">
        <f t="shared" ref="D136:N136" si="29">+D2+D13+D27+D37+D122+D126+D127+D128+D132</f>
        <v>#REF!</v>
      </c>
      <c r="E136" s="4" t="e">
        <f t="shared" si="29"/>
        <v>#REF!</v>
      </c>
      <c r="F136" s="4" t="e">
        <f t="shared" si="29"/>
        <v>#REF!</v>
      </c>
      <c r="G136" s="4" t="e">
        <f t="shared" si="29"/>
        <v>#REF!</v>
      </c>
      <c r="H136" s="4" t="e">
        <f t="shared" si="29"/>
        <v>#REF!</v>
      </c>
      <c r="I136" s="4" t="e">
        <f t="shared" si="29"/>
        <v>#REF!</v>
      </c>
      <c r="J136" s="4" t="e">
        <f t="shared" si="29"/>
        <v>#REF!</v>
      </c>
      <c r="K136" s="4" t="e">
        <f t="shared" si="29"/>
        <v>#REF!</v>
      </c>
      <c r="L136" s="4" t="e">
        <f t="shared" si="29"/>
        <v>#REF!</v>
      </c>
      <c r="M136" s="4" t="e">
        <f t="shared" si="29"/>
        <v>#REF!</v>
      </c>
      <c r="N136" s="4" t="e">
        <f t="shared" si="29"/>
        <v>#REF!</v>
      </c>
      <c r="O136" s="6" t="e">
        <f t="shared" si="25"/>
        <v>#REF!</v>
      </c>
      <c r="P136" s="6">
        <f t="shared" si="21"/>
        <v>8427864.6104993243</v>
      </c>
      <c r="Q136" s="23">
        <f t="shared" si="19"/>
        <v>0.52207047933401429</v>
      </c>
      <c r="R136" s="4">
        <f>+R2+R13+R27+R37+R122+R126+R127+R128+R132</f>
        <v>686909.22394283698</v>
      </c>
      <c r="S136" s="4">
        <f t="shared" ref="S136:AC136" si="30">+S2+S13+S27+S37+S122+S126+S127+S128+S132</f>
        <v>814630.67139130121</v>
      </c>
      <c r="T136" s="4">
        <f t="shared" si="30"/>
        <v>737486.6765696205</v>
      </c>
      <c r="U136" s="4">
        <f t="shared" si="30"/>
        <v>606688.04096183286</v>
      </c>
      <c r="V136" s="4">
        <f t="shared" si="30"/>
        <v>881790.12488948938</v>
      </c>
      <c r="W136" s="4">
        <f t="shared" si="30"/>
        <v>794333.80098128843</v>
      </c>
      <c r="X136" s="4">
        <f t="shared" si="30"/>
        <v>786189.61277721438</v>
      </c>
      <c r="Y136" s="4">
        <f t="shared" si="30"/>
        <v>487011.48200188723</v>
      </c>
      <c r="Z136" s="4">
        <f t="shared" si="30"/>
        <v>747622.84979908436</v>
      </c>
      <c r="AA136" s="4">
        <f t="shared" si="30"/>
        <v>635388.72307276225</v>
      </c>
      <c r="AB136" s="4">
        <f t="shared" si="30"/>
        <v>616347.03184992017</v>
      </c>
      <c r="AC136" s="4">
        <f t="shared" si="30"/>
        <v>633466.37226208497</v>
      </c>
      <c r="AD136" s="6">
        <f t="shared" si="26"/>
        <v>8427864.6104993243</v>
      </c>
    </row>
    <row r="137" spans="1:30" x14ac:dyDescent="0.25">
      <c r="A137" s="5" t="s">
        <v>140</v>
      </c>
      <c r="B137" s="7" t="e">
        <f>+#REF!/#REF!</f>
        <v>#REF!</v>
      </c>
      <c r="C137" s="6" t="e">
        <f>SUM(C138:C139)</f>
        <v>#REF!</v>
      </c>
      <c r="D137" s="6" t="e">
        <f t="shared" ref="D137:N137" si="31">SUM(D138:D139)</f>
        <v>#REF!</v>
      </c>
      <c r="E137" s="6" t="e">
        <f t="shared" si="31"/>
        <v>#REF!</v>
      </c>
      <c r="F137" s="6" t="e">
        <f t="shared" si="31"/>
        <v>#REF!</v>
      </c>
      <c r="G137" s="6" t="e">
        <f t="shared" si="31"/>
        <v>#REF!</v>
      </c>
      <c r="H137" s="6" t="e">
        <f t="shared" si="31"/>
        <v>#REF!</v>
      </c>
      <c r="I137" s="6" t="e">
        <f t="shared" si="31"/>
        <v>#REF!</v>
      </c>
      <c r="J137" s="6" t="e">
        <f t="shared" si="31"/>
        <v>#REF!</v>
      </c>
      <c r="K137" s="6" t="e">
        <f t="shared" si="31"/>
        <v>#REF!</v>
      </c>
      <c r="L137" s="6" t="e">
        <f t="shared" si="31"/>
        <v>#REF!</v>
      </c>
      <c r="M137" s="6" t="e">
        <f t="shared" si="31"/>
        <v>#REF!</v>
      </c>
      <c r="N137" s="6" t="e">
        <f t="shared" si="31"/>
        <v>#REF!</v>
      </c>
      <c r="O137" s="6" t="e">
        <f t="shared" si="25"/>
        <v>#REF!</v>
      </c>
      <c r="P137" s="6">
        <f t="shared" si="21"/>
        <v>0</v>
      </c>
      <c r="Q137" s="23">
        <f t="shared" si="19"/>
        <v>0</v>
      </c>
      <c r="R137" s="6">
        <f>SUM(R138:R139)</f>
        <v>0</v>
      </c>
      <c r="S137" s="6">
        <f t="shared" ref="S137:AC137" si="32">SUM(S138:S139)</f>
        <v>0</v>
      </c>
      <c r="T137" s="6">
        <f t="shared" si="32"/>
        <v>0</v>
      </c>
      <c r="U137" s="6">
        <f t="shared" si="32"/>
        <v>0</v>
      </c>
      <c r="V137" s="6">
        <f t="shared" si="32"/>
        <v>0</v>
      </c>
      <c r="W137" s="6">
        <f t="shared" si="32"/>
        <v>0</v>
      </c>
      <c r="X137" s="6">
        <f t="shared" si="32"/>
        <v>0</v>
      </c>
      <c r="Y137" s="6">
        <f t="shared" si="32"/>
        <v>0</v>
      </c>
      <c r="Z137" s="6">
        <f t="shared" si="32"/>
        <v>0</v>
      </c>
      <c r="AA137" s="6">
        <f t="shared" si="32"/>
        <v>0</v>
      </c>
      <c r="AB137" s="6">
        <f t="shared" si="32"/>
        <v>0</v>
      </c>
      <c r="AC137" s="6">
        <f t="shared" si="32"/>
        <v>0</v>
      </c>
      <c r="AD137" s="6">
        <f t="shared" si="26"/>
        <v>0</v>
      </c>
    </row>
    <row r="138" spans="1:30" outlineLevel="1" x14ac:dyDescent="0.25">
      <c r="A138" s="1" t="s">
        <v>141</v>
      </c>
      <c r="B138" s="8" t="e">
        <f>+#REF!/#REF!</f>
        <v>#REF!</v>
      </c>
      <c r="C138" s="2">
        <v>0</v>
      </c>
      <c r="D138" s="2">
        <v>1</v>
      </c>
      <c r="E138" s="2">
        <v>2</v>
      </c>
      <c r="F138" s="2">
        <v>3</v>
      </c>
      <c r="G138" s="2">
        <v>4</v>
      </c>
      <c r="H138" s="2">
        <v>5</v>
      </c>
      <c r="I138" s="2">
        <v>6</v>
      </c>
      <c r="J138" s="2">
        <v>7</v>
      </c>
      <c r="K138" s="2">
        <v>8</v>
      </c>
      <c r="L138" s="2">
        <v>9</v>
      </c>
      <c r="M138" s="2">
        <v>10</v>
      </c>
      <c r="N138" s="2">
        <v>11</v>
      </c>
      <c r="O138" s="6">
        <f t="shared" si="25"/>
        <v>66</v>
      </c>
      <c r="P138" s="6">
        <f t="shared" si="21"/>
        <v>0</v>
      </c>
      <c r="Q138" s="23">
        <f t="shared" si="19"/>
        <v>0</v>
      </c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6">
        <f t="shared" si="26"/>
        <v>0</v>
      </c>
    </row>
    <row r="139" spans="1:30" s="5" customFormat="1" outlineLevel="1" x14ac:dyDescent="0.25">
      <c r="A139" s="1" t="s">
        <v>142</v>
      </c>
      <c r="B139" s="8" t="e">
        <f>+#REF!/#REF!</f>
        <v>#REF!</v>
      </c>
      <c r="C139" s="2" t="e">
        <f>SUM(C140:C145)</f>
        <v>#REF!</v>
      </c>
      <c r="D139" s="2" t="e">
        <f t="shared" ref="D139:N139" si="33">SUM(D140:D145)</f>
        <v>#REF!</v>
      </c>
      <c r="E139" s="2" t="e">
        <f t="shared" si="33"/>
        <v>#REF!</v>
      </c>
      <c r="F139" s="2" t="e">
        <f t="shared" si="33"/>
        <v>#REF!</v>
      </c>
      <c r="G139" s="2" t="e">
        <f t="shared" si="33"/>
        <v>#REF!</v>
      </c>
      <c r="H139" s="2" t="e">
        <f t="shared" si="33"/>
        <v>#REF!</v>
      </c>
      <c r="I139" s="2" t="e">
        <f t="shared" si="33"/>
        <v>#REF!</v>
      </c>
      <c r="J139" s="2" t="e">
        <f t="shared" si="33"/>
        <v>#REF!</v>
      </c>
      <c r="K139" s="2" t="e">
        <f t="shared" si="33"/>
        <v>#REF!</v>
      </c>
      <c r="L139" s="2" t="e">
        <f t="shared" si="33"/>
        <v>#REF!</v>
      </c>
      <c r="M139" s="2" t="e">
        <f t="shared" si="33"/>
        <v>#REF!</v>
      </c>
      <c r="N139" s="2" t="e">
        <f t="shared" si="33"/>
        <v>#REF!</v>
      </c>
      <c r="O139" s="6" t="e">
        <f t="shared" si="25"/>
        <v>#REF!</v>
      </c>
      <c r="P139" s="6">
        <f t="shared" si="21"/>
        <v>0</v>
      </c>
      <c r="Q139" s="23">
        <f t="shared" si="19"/>
        <v>0</v>
      </c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6">
        <f t="shared" si="26"/>
        <v>0</v>
      </c>
    </row>
    <row r="140" spans="1:30" outlineLevel="1" x14ac:dyDescent="0.25">
      <c r="A140" s="1" t="s">
        <v>143</v>
      </c>
      <c r="B140" s="8" t="e">
        <f>+#REF!/#REF!</f>
        <v>#REF!</v>
      </c>
      <c r="C140" s="2" t="e">
        <f>+#REF!/12</f>
        <v>#REF!</v>
      </c>
      <c r="D140" s="2" t="e">
        <f>+#REF!/12</f>
        <v>#REF!</v>
      </c>
      <c r="E140" s="2" t="e">
        <f>+#REF!/12</f>
        <v>#REF!</v>
      </c>
      <c r="F140" s="2" t="e">
        <f>+#REF!/12</f>
        <v>#REF!</v>
      </c>
      <c r="G140" s="2" t="e">
        <f>+#REF!/12</f>
        <v>#REF!</v>
      </c>
      <c r="H140" s="2" t="e">
        <f>+#REF!/12</f>
        <v>#REF!</v>
      </c>
      <c r="I140" s="2" t="e">
        <f>+#REF!/12</f>
        <v>#REF!</v>
      </c>
      <c r="J140" s="2" t="e">
        <f>+#REF!/12</f>
        <v>#REF!</v>
      </c>
      <c r="K140" s="2" t="e">
        <f>+#REF!/12</f>
        <v>#REF!</v>
      </c>
      <c r="L140" s="2" t="e">
        <f>+#REF!/12</f>
        <v>#REF!</v>
      </c>
      <c r="M140" s="2" t="e">
        <f>+#REF!/12</f>
        <v>#REF!</v>
      </c>
      <c r="N140" s="2" t="e">
        <f>+#REF!/12</f>
        <v>#REF!</v>
      </c>
      <c r="P140" s="6">
        <f t="shared" si="21"/>
        <v>0</v>
      </c>
      <c r="Q140" s="23">
        <f t="shared" si="19"/>
        <v>0</v>
      </c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 spans="1:30" outlineLevel="1" x14ac:dyDescent="0.25">
      <c r="A141" s="1" t="s">
        <v>144</v>
      </c>
      <c r="B141" s="8" t="e">
        <f>+#REF!/#REF!</f>
        <v>#REF!</v>
      </c>
      <c r="C141" s="2" t="e">
        <f>+#REF!/12</f>
        <v>#REF!</v>
      </c>
      <c r="D141" s="2" t="e">
        <f>+#REF!/12</f>
        <v>#REF!</v>
      </c>
      <c r="E141" s="2" t="e">
        <f>+#REF!/12</f>
        <v>#REF!</v>
      </c>
      <c r="F141" s="2" t="e">
        <f>+#REF!/12</f>
        <v>#REF!</v>
      </c>
      <c r="G141" s="2" t="e">
        <f>+#REF!/12</f>
        <v>#REF!</v>
      </c>
      <c r="H141" s="2" t="e">
        <f>+#REF!/12</f>
        <v>#REF!</v>
      </c>
      <c r="I141" s="2" t="e">
        <f>+#REF!/12</f>
        <v>#REF!</v>
      </c>
      <c r="J141" s="2" t="e">
        <f>+#REF!/12</f>
        <v>#REF!</v>
      </c>
      <c r="K141" s="2" t="e">
        <f>+#REF!/12</f>
        <v>#REF!</v>
      </c>
      <c r="L141" s="2" t="e">
        <f>+#REF!/12</f>
        <v>#REF!</v>
      </c>
      <c r="M141" s="2" t="e">
        <f>+#REF!/12</f>
        <v>#REF!</v>
      </c>
      <c r="N141" s="2" t="e">
        <f>+#REF!/12</f>
        <v>#REF!</v>
      </c>
      <c r="P141" s="6">
        <f t="shared" si="21"/>
        <v>0</v>
      </c>
      <c r="Q141" s="23">
        <f t="shared" si="19"/>
        <v>0</v>
      </c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 spans="1:30" outlineLevel="1" x14ac:dyDescent="0.25">
      <c r="A142" s="1" t="s">
        <v>145</v>
      </c>
      <c r="B142" s="8" t="e">
        <f>+#REF!/#REF!</f>
        <v>#REF!</v>
      </c>
      <c r="C142" s="2" t="e">
        <f>+#REF!/12</f>
        <v>#REF!</v>
      </c>
      <c r="D142" s="2" t="e">
        <f>+#REF!/12</f>
        <v>#REF!</v>
      </c>
      <c r="E142" s="2" t="e">
        <f>+#REF!/12</f>
        <v>#REF!</v>
      </c>
      <c r="F142" s="2" t="e">
        <f>+#REF!/12</f>
        <v>#REF!</v>
      </c>
      <c r="G142" s="2" t="e">
        <f>+#REF!/12</f>
        <v>#REF!</v>
      </c>
      <c r="H142" s="2" t="e">
        <f>+#REF!/12</f>
        <v>#REF!</v>
      </c>
      <c r="I142" s="2" t="e">
        <f>+#REF!/12</f>
        <v>#REF!</v>
      </c>
      <c r="J142" s="2" t="e">
        <f>+#REF!/12</f>
        <v>#REF!</v>
      </c>
      <c r="K142" s="2" t="e">
        <f>+#REF!/12</f>
        <v>#REF!</v>
      </c>
      <c r="L142" s="2" t="e">
        <f>+#REF!/12</f>
        <v>#REF!</v>
      </c>
      <c r="M142" s="2" t="e">
        <f>+#REF!/12</f>
        <v>#REF!</v>
      </c>
      <c r="N142" s="2" t="e">
        <f>+#REF!/12</f>
        <v>#REF!</v>
      </c>
      <c r="P142" s="6">
        <f t="shared" si="21"/>
        <v>0</v>
      </c>
      <c r="Q142" s="23">
        <f t="shared" ref="Q142:Q174" si="34">+P142/$P$2</f>
        <v>0</v>
      </c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 spans="1:30" outlineLevel="1" x14ac:dyDescent="0.25">
      <c r="A143" s="1" t="s">
        <v>146</v>
      </c>
      <c r="B143" s="8" t="e">
        <f>+#REF!/#REF!</f>
        <v>#REF!</v>
      </c>
      <c r="C143" s="2" t="e">
        <f>+#REF!/12</f>
        <v>#REF!</v>
      </c>
      <c r="D143" s="2" t="e">
        <f>+#REF!/12</f>
        <v>#REF!</v>
      </c>
      <c r="E143" s="2" t="e">
        <f>+#REF!/12</f>
        <v>#REF!</v>
      </c>
      <c r="F143" s="2" t="e">
        <f>+#REF!/12</f>
        <v>#REF!</v>
      </c>
      <c r="G143" s="2" t="e">
        <f>+#REF!/12</f>
        <v>#REF!</v>
      </c>
      <c r="H143" s="2" t="e">
        <f>+#REF!/12</f>
        <v>#REF!</v>
      </c>
      <c r="I143" s="2" t="e">
        <f>+#REF!/12</f>
        <v>#REF!</v>
      </c>
      <c r="J143" s="2" t="e">
        <f>+#REF!/12</f>
        <v>#REF!</v>
      </c>
      <c r="K143" s="2" t="e">
        <f>+#REF!/12</f>
        <v>#REF!</v>
      </c>
      <c r="L143" s="2" t="e">
        <f>+#REF!/12</f>
        <v>#REF!</v>
      </c>
      <c r="M143" s="2" t="e">
        <f>+#REF!/12</f>
        <v>#REF!</v>
      </c>
      <c r="N143" s="2" t="e">
        <f>+#REF!/12</f>
        <v>#REF!</v>
      </c>
      <c r="P143" s="6">
        <f t="shared" si="21"/>
        <v>0</v>
      </c>
      <c r="Q143" s="23">
        <f t="shared" si="34"/>
        <v>0</v>
      </c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 spans="1:30" s="5" customFormat="1" outlineLevel="1" x14ac:dyDescent="0.25">
      <c r="A144" s="1" t="s">
        <v>147</v>
      </c>
      <c r="B144" s="8" t="e">
        <f>+#REF!/#REF!</f>
        <v>#REF!</v>
      </c>
      <c r="C144" s="2" t="e">
        <f>+#REF!/12</f>
        <v>#REF!</v>
      </c>
      <c r="D144" s="2" t="e">
        <f>+#REF!/12</f>
        <v>#REF!</v>
      </c>
      <c r="E144" s="2" t="e">
        <f>+#REF!/12</f>
        <v>#REF!</v>
      </c>
      <c r="F144" s="2" t="e">
        <f>+#REF!/12</f>
        <v>#REF!</v>
      </c>
      <c r="G144" s="2" t="e">
        <f>+#REF!/12</f>
        <v>#REF!</v>
      </c>
      <c r="H144" s="2" t="e">
        <f>+#REF!/12</f>
        <v>#REF!</v>
      </c>
      <c r="I144" s="2" t="e">
        <f>+#REF!/12</f>
        <v>#REF!</v>
      </c>
      <c r="J144" s="2" t="e">
        <f>+#REF!/12</f>
        <v>#REF!</v>
      </c>
      <c r="K144" s="2" t="e">
        <f>+#REF!/12</f>
        <v>#REF!</v>
      </c>
      <c r="L144" s="2" t="e">
        <f>+#REF!/12</f>
        <v>#REF!</v>
      </c>
      <c r="M144" s="2" t="e">
        <f>+#REF!/12</f>
        <v>#REF!</v>
      </c>
      <c r="N144" s="2" t="e">
        <f>+#REF!/12</f>
        <v>#REF!</v>
      </c>
      <c r="P144" s="6">
        <f t="shared" si="21"/>
        <v>0</v>
      </c>
      <c r="Q144" s="23">
        <f t="shared" si="34"/>
        <v>0</v>
      </c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 spans="1:29" outlineLevel="1" x14ac:dyDescent="0.25">
      <c r="A145" s="1" t="s">
        <v>148</v>
      </c>
      <c r="B145" s="8" t="e">
        <f>+#REF!/#REF!</f>
        <v>#REF!</v>
      </c>
      <c r="C145" s="2" t="e">
        <f>+#REF!/12</f>
        <v>#REF!</v>
      </c>
      <c r="D145" s="2" t="e">
        <f>+#REF!/12</f>
        <v>#REF!</v>
      </c>
      <c r="E145" s="2" t="e">
        <f>+#REF!/12</f>
        <v>#REF!</v>
      </c>
      <c r="F145" s="2" t="e">
        <f>+#REF!/12</f>
        <v>#REF!</v>
      </c>
      <c r="G145" s="2" t="e">
        <f>+#REF!/12</f>
        <v>#REF!</v>
      </c>
      <c r="H145" s="2" t="e">
        <f>+#REF!/12</f>
        <v>#REF!</v>
      </c>
      <c r="I145" s="2" t="e">
        <f>+#REF!/12</f>
        <v>#REF!</v>
      </c>
      <c r="J145" s="2" t="e">
        <f>+#REF!/12</f>
        <v>#REF!</v>
      </c>
      <c r="K145" s="2" t="e">
        <f>+#REF!/12</f>
        <v>#REF!</v>
      </c>
      <c r="L145" s="2" t="e">
        <f>+#REF!/12</f>
        <v>#REF!</v>
      </c>
      <c r="M145" s="2" t="e">
        <f>+#REF!/12</f>
        <v>#REF!</v>
      </c>
      <c r="N145" s="2" t="e">
        <f>+#REF!/12</f>
        <v>#REF!</v>
      </c>
      <c r="P145" s="6">
        <f t="shared" si="21"/>
        <v>0</v>
      </c>
      <c r="Q145" s="23">
        <f t="shared" si="34"/>
        <v>0</v>
      </c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 spans="1:29" x14ac:dyDescent="0.25">
      <c r="A146" s="5" t="s">
        <v>149</v>
      </c>
      <c r="B146" s="7" t="e">
        <f>+#REF!/#REF!</f>
        <v>#REF!</v>
      </c>
      <c r="C146" s="6" t="e">
        <f>SUM(C147:C152)</f>
        <v>#REF!</v>
      </c>
      <c r="D146" s="6" t="e">
        <f t="shared" ref="D146:N146" si="35">SUM(D147:D152)</f>
        <v>#REF!</v>
      </c>
      <c r="E146" s="6" t="e">
        <f t="shared" si="35"/>
        <v>#REF!</v>
      </c>
      <c r="F146" s="6" t="e">
        <f t="shared" si="35"/>
        <v>#REF!</v>
      </c>
      <c r="G146" s="6" t="e">
        <f t="shared" si="35"/>
        <v>#REF!</v>
      </c>
      <c r="H146" s="6" t="e">
        <f t="shared" si="35"/>
        <v>#REF!</v>
      </c>
      <c r="I146" s="6" t="e">
        <f t="shared" si="35"/>
        <v>#REF!</v>
      </c>
      <c r="J146" s="6" t="e">
        <f t="shared" si="35"/>
        <v>#REF!</v>
      </c>
      <c r="K146" s="6" t="e">
        <f t="shared" si="35"/>
        <v>#REF!</v>
      </c>
      <c r="L146" s="6" t="e">
        <f t="shared" si="35"/>
        <v>#REF!</v>
      </c>
      <c r="M146" s="6" t="e">
        <f t="shared" si="35"/>
        <v>#REF!</v>
      </c>
      <c r="N146" s="6" t="e">
        <f t="shared" si="35"/>
        <v>#REF!</v>
      </c>
      <c r="P146" s="6">
        <f t="shared" si="21"/>
        <v>0</v>
      </c>
      <c r="Q146" s="23">
        <f t="shared" si="34"/>
        <v>0</v>
      </c>
      <c r="R146" s="6">
        <f>SUM(R147:R152)</f>
        <v>0</v>
      </c>
      <c r="S146" s="6">
        <f t="shared" ref="S146:AC146" si="36">SUM(S147:S152)</f>
        <v>0</v>
      </c>
      <c r="T146" s="6">
        <f t="shared" si="36"/>
        <v>0</v>
      </c>
      <c r="U146" s="6">
        <f t="shared" si="36"/>
        <v>0</v>
      </c>
      <c r="V146" s="6">
        <f t="shared" si="36"/>
        <v>0</v>
      </c>
      <c r="W146" s="6">
        <f t="shared" si="36"/>
        <v>0</v>
      </c>
      <c r="X146" s="6">
        <f t="shared" si="36"/>
        <v>0</v>
      </c>
      <c r="Y146" s="6">
        <f t="shared" si="36"/>
        <v>0</v>
      </c>
      <c r="Z146" s="6">
        <f t="shared" si="36"/>
        <v>0</v>
      </c>
      <c r="AA146" s="6">
        <f t="shared" si="36"/>
        <v>0</v>
      </c>
      <c r="AB146" s="6">
        <f t="shared" si="36"/>
        <v>0</v>
      </c>
      <c r="AC146" s="6">
        <f t="shared" si="36"/>
        <v>0</v>
      </c>
    </row>
    <row r="147" spans="1:29" outlineLevel="2" x14ac:dyDescent="0.25">
      <c r="A147" s="10" t="s">
        <v>150</v>
      </c>
      <c r="B147" s="7"/>
      <c r="C147" s="2" t="e">
        <f>+#REF!/12</f>
        <v>#REF!</v>
      </c>
      <c r="D147" s="2" t="e">
        <f>+#REF!/12</f>
        <v>#REF!</v>
      </c>
      <c r="E147" s="2" t="e">
        <f>+#REF!/12</f>
        <v>#REF!</v>
      </c>
      <c r="F147" s="2" t="e">
        <f>+#REF!/12</f>
        <v>#REF!</v>
      </c>
      <c r="G147" s="2" t="e">
        <f>+#REF!/12</f>
        <v>#REF!</v>
      </c>
      <c r="H147" s="2" t="e">
        <f>+#REF!/12</f>
        <v>#REF!</v>
      </c>
      <c r="I147" s="2" t="e">
        <f>+#REF!/12</f>
        <v>#REF!</v>
      </c>
      <c r="J147" s="2" t="e">
        <f>+#REF!/12</f>
        <v>#REF!</v>
      </c>
      <c r="K147" s="2" t="e">
        <f>+#REF!/12</f>
        <v>#REF!</v>
      </c>
      <c r="L147" s="2" t="e">
        <f>+#REF!/12</f>
        <v>#REF!</v>
      </c>
      <c r="M147" s="2" t="e">
        <f>+#REF!/12</f>
        <v>#REF!</v>
      </c>
      <c r="N147" s="2" t="e">
        <f>+#REF!/12</f>
        <v>#REF!</v>
      </c>
      <c r="P147" s="6">
        <f t="shared" si="21"/>
        <v>0</v>
      </c>
      <c r="Q147" s="23">
        <f t="shared" si="34"/>
        <v>0</v>
      </c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 spans="1:29" outlineLevel="2" x14ac:dyDescent="0.25">
      <c r="A148" s="1" t="s">
        <v>151</v>
      </c>
      <c r="B148" s="8" t="e">
        <f>+#REF!/#REF!</f>
        <v>#REF!</v>
      </c>
      <c r="C148" s="2" t="e">
        <f>+#REF!/12</f>
        <v>#REF!</v>
      </c>
      <c r="D148" s="2" t="e">
        <f>+#REF!/12</f>
        <v>#REF!</v>
      </c>
      <c r="E148" s="2" t="e">
        <f>+#REF!/12</f>
        <v>#REF!</v>
      </c>
      <c r="F148" s="2" t="e">
        <f>+#REF!/12</f>
        <v>#REF!</v>
      </c>
      <c r="G148" s="2" t="e">
        <f>+#REF!/12</f>
        <v>#REF!</v>
      </c>
      <c r="H148" s="2" t="e">
        <f>+#REF!/12</f>
        <v>#REF!</v>
      </c>
      <c r="I148" s="2" t="e">
        <f>+#REF!/12</f>
        <v>#REF!</v>
      </c>
      <c r="J148" s="2" t="e">
        <f>+#REF!/12</f>
        <v>#REF!</v>
      </c>
      <c r="K148" s="2" t="e">
        <f>+#REF!/12</f>
        <v>#REF!</v>
      </c>
      <c r="L148" s="2" t="e">
        <f>+#REF!/12</f>
        <v>#REF!</v>
      </c>
      <c r="M148" s="2" t="e">
        <f>+#REF!/12</f>
        <v>#REF!</v>
      </c>
      <c r="N148" s="2" t="e">
        <f>+#REF!/12</f>
        <v>#REF!</v>
      </c>
      <c r="P148" s="6">
        <f t="shared" si="21"/>
        <v>0</v>
      </c>
      <c r="Q148" s="23">
        <f t="shared" si="34"/>
        <v>0</v>
      </c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 spans="1:29" outlineLevel="2" x14ac:dyDescent="0.25">
      <c r="A149" s="1" t="s">
        <v>152</v>
      </c>
      <c r="B149" s="8" t="e">
        <f>+#REF!/#REF!</f>
        <v>#REF!</v>
      </c>
      <c r="C149" s="2" t="e">
        <f>+#REF!/12</f>
        <v>#REF!</v>
      </c>
      <c r="D149" s="2" t="e">
        <f>+#REF!/12</f>
        <v>#REF!</v>
      </c>
      <c r="E149" s="2" t="e">
        <f>+#REF!/12</f>
        <v>#REF!</v>
      </c>
      <c r="F149" s="2" t="e">
        <f>+#REF!/12</f>
        <v>#REF!</v>
      </c>
      <c r="G149" s="2" t="e">
        <f>+#REF!/12</f>
        <v>#REF!</v>
      </c>
      <c r="H149" s="2" t="e">
        <f>+#REF!/12</f>
        <v>#REF!</v>
      </c>
      <c r="I149" s="2" t="e">
        <f>+#REF!/12</f>
        <v>#REF!</v>
      </c>
      <c r="J149" s="2" t="e">
        <f>+#REF!/12</f>
        <v>#REF!</v>
      </c>
      <c r="K149" s="2" t="e">
        <f>+#REF!/12</f>
        <v>#REF!</v>
      </c>
      <c r="L149" s="2" t="e">
        <f>+#REF!/12</f>
        <v>#REF!</v>
      </c>
      <c r="M149" s="2" t="e">
        <f>+#REF!/12</f>
        <v>#REF!</v>
      </c>
      <c r="N149" s="2" t="e">
        <f>+#REF!/12</f>
        <v>#REF!</v>
      </c>
      <c r="P149" s="6">
        <f t="shared" si="21"/>
        <v>0</v>
      </c>
      <c r="Q149" s="23">
        <f t="shared" si="34"/>
        <v>0</v>
      </c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 spans="1:29" outlineLevel="2" x14ac:dyDescent="0.25">
      <c r="A150" s="1" t="s">
        <v>153</v>
      </c>
      <c r="B150" s="8" t="e">
        <f>+#REF!/#REF!</f>
        <v>#REF!</v>
      </c>
      <c r="C150" s="2" t="e">
        <f>+#REF!/12</f>
        <v>#REF!</v>
      </c>
      <c r="D150" s="2" t="e">
        <f>+#REF!/12</f>
        <v>#REF!</v>
      </c>
      <c r="E150" s="2" t="e">
        <f>+#REF!/12</f>
        <v>#REF!</v>
      </c>
      <c r="F150" s="2" t="e">
        <f>+#REF!/12</f>
        <v>#REF!</v>
      </c>
      <c r="G150" s="2" t="e">
        <f>+#REF!/12</f>
        <v>#REF!</v>
      </c>
      <c r="H150" s="2" t="e">
        <f>+#REF!/12</f>
        <v>#REF!</v>
      </c>
      <c r="I150" s="2" t="e">
        <f>+#REF!/12</f>
        <v>#REF!</v>
      </c>
      <c r="J150" s="2" t="e">
        <f>+#REF!/12</f>
        <v>#REF!</v>
      </c>
      <c r="K150" s="2" t="e">
        <f>+#REF!/12</f>
        <v>#REF!</v>
      </c>
      <c r="L150" s="2" t="e">
        <f>+#REF!/12</f>
        <v>#REF!</v>
      </c>
      <c r="M150" s="2" t="e">
        <f>+#REF!/12</f>
        <v>#REF!</v>
      </c>
      <c r="N150" s="2" t="e">
        <f>+#REF!/12</f>
        <v>#REF!</v>
      </c>
      <c r="P150" s="6">
        <f t="shared" si="21"/>
        <v>0</v>
      </c>
      <c r="Q150" s="23">
        <f t="shared" si="34"/>
        <v>0</v>
      </c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 spans="1:29" outlineLevel="2" x14ac:dyDescent="0.25">
      <c r="A151" s="1" t="s">
        <v>154</v>
      </c>
      <c r="B151" s="8" t="e">
        <f>+#REF!/#REF!</f>
        <v>#REF!</v>
      </c>
      <c r="C151" s="2" t="e">
        <f>+#REF!/12</f>
        <v>#REF!</v>
      </c>
      <c r="D151" s="2" t="e">
        <f>+#REF!/12</f>
        <v>#REF!</v>
      </c>
      <c r="E151" s="2" t="e">
        <f>+#REF!/12</f>
        <v>#REF!</v>
      </c>
      <c r="F151" s="2" t="e">
        <f>+#REF!/12</f>
        <v>#REF!</v>
      </c>
      <c r="G151" s="2" t="e">
        <f>+#REF!/12</f>
        <v>#REF!</v>
      </c>
      <c r="H151" s="2" t="e">
        <f>+#REF!/12</f>
        <v>#REF!</v>
      </c>
      <c r="I151" s="2" t="e">
        <f>+#REF!/12</f>
        <v>#REF!</v>
      </c>
      <c r="J151" s="2" t="e">
        <f>+#REF!/12</f>
        <v>#REF!</v>
      </c>
      <c r="K151" s="2" t="e">
        <f>+#REF!/12</f>
        <v>#REF!</v>
      </c>
      <c r="L151" s="2" t="e">
        <f>+#REF!/12</f>
        <v>#REF!</v>
      </c>
      <c r="M151" s="2" t="e">
        <f>+#REF!/12</f>
        <v>#REF!</v>
      </c>
      <c r="N151" s="2" t="e">
        <f>+#REF!/12</f>
        <v>#REF!</v>
      </c>
      <c r="P151" s="6">
        <f t="shared" si="21"/>
        <v>0</v>
      </c>
      <c r="Q151" s="23">
        <f t="shared" si="34"/>
        <v>0</v>
      </c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 spans="1:29" outlineLevel="2" x14ac:dyDescent="0.25">
      <c r="A152" s="10" t="s">
        <v>155</v>
      </c>
      <c r="B152" s="8"/>
      <c r="C152" s="2" t="e">
        <f>+#REF!/12</f>
        <v>#REF!</v>
      </c>
      <c r="D152" s="2" t="e">
        <f>+#REF!/12</f>
        <v>#REF!</v>
      </c>
      <c r="E152" s="2" t="e">
        <f>+#REF!/12</f>
        <v>#REF!</v>
      </c>
      <c r="F152" s="2" t="e">
        <f>+#REF!/12</f>
        <v>#REF!</v>
      </c>
      <c r="G152" s="2" t="e">
        <f>+#REF!/12</f>
        <v>#REF!</v>
      </c>
      <c r="H152" s="2" t="e">
        <f>+#REF!/12</f>
        <v>#REF!</v>
      </c>
      <c r="I152" s="2" t="e">
        <f>+#REF!/12</f>
        <v>#REF!</v>
      </c>
      <c r="J152" s="2" t="e">
        <f>+#REF!/12</f>
        <v>#REF!</v>
      </c>
      <c r="K152" s="2" t="e">
        <f>+#REF!/12</f>
        <v>#REF!</v>
      </c>
      <c r="L152" s="2" t="e">
        <f>+#REF!/12</f>
        <v>#REF!</v>
      </c>
      <c r="M152" s="2" t="e">
        <f>+#REF!/12</f>
        <v>#REF!</v>
      </c>
      <c r="N152" s="2" t="e">
        <f>+#REF!/12</f>
        <v>#REF!</v>
      </c>
      <c r="P152" s="6">
        <f t="shared" si="21"/>
        <v>0</v>
      </c>
      <c r="Q152" s="23">
        <f t="shared" si="34"/>
        <v>0</v>
      </c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 spans="1:29" s="5" customFormat="1" x14ac:dyDescent="0.25">
      <c r="A153" s="5" t="s">
        <v>156</v>
      </c>
      <c r="B153" s="7" t="e">
        <f>+#REF!/#REF!</f>
        <v>#REF!</v>
      </c>
      <c r="C153" s="6" t="e">
        <f>SUM(C154:C159)</f>
        <v>#REF!</v>
      </c>
      <c r="D153" s="6" t="e">
        <f t="shared" ref="D153:N153" si="37">SUM(D154:D159)</f>
        <v>#REF!</v>
      </c>
      <c r="E153" s="6" t="e">
        <f t="shared" si="37"/>
        <v>#REF!</v>
      </c>
      <c r="F153" s="6" t="e">
        <f t="shared" si="37"/>
        <v>#REF!</v>
      </c>
      <c r="G153" s="6" t="e">
        <f t="shared" si="37"/>
        <v>#REF!</v>
      </c>
      <c r="H153" s="6" t="e">
        <f t="shared" si="37"/>
        <v>#REF!</v>
      </c>
      <c r="I153" s="6" t="e">
        <f t="shared" si="37"/>
        <v>#REF!</v>
      </c>
      <c r="J153" s="6" t="e">
        <f t="shared" si="37"/>
        <v>#REF!</v>
      </c>
      <c r="K153" s="6" t="e">
        <f t="shared" si="37"/>
        <v>#REF!</v>
      </c>
      <c r="L153" s="6" t="e">
        <f t="shared" si="37"/>
        <v>#REF!</v>
      </c>
      <c r="M153" s="6" t="e">
        <f t="shared" si="37"/>
        <v>#REF!</v>
      </c>
      <c r="N153" s="6" t="e">
        <f t="shared" si="37"/>
        <v>#REF!</v>
      </c>
      <c r="P153" s="6">
        <f t="shared" si="21"/>
        <v>0</v>
      </c>
      <c r="Q153" s="23">
        <f t="shared" si="34"/>
        <v>0</v>
      </c>
      <c r="R153" s="6">
        <f>SUM(R154:R159)</f>
        <v>0</v>
      </c>
      <c r="S153" s="6">
        <f t="shared" ref="S153:AC153" si="38">SUM(S154:S159)</f>
        <v>0</v>
      </c>
      <c r="T153" s="6">
        <f t="shared" si="38"/>
        <v>0</v>
      </c>
      <c r="U153" s="6">
        <f t="shared" si="38"/>
        <v>0</v>
      </c>
      <c r="V153" s="6">
        <f t="shared" si="38"/>
        <v>0</v>
      </c>
      <c r="W153" s="6">
        <f t="shared" si="38"/>
        <v>0</v>
      </c>
      <c r="X153" s="6">
        <f t="shared" si="38"/>
        <v>0</v>
      </c>
      <c r="Y153" s="6">
        <f t="shared" si="38"/>
        <v>0</v>
      </c>
      <c r="Z153" s="6">
        <f t="shared" si="38"/>
        <v>0</v>
      </c>
      <c r="AA153" s="6">
        <f t="shared" si="38"/>
        <v>0</v>
      </c>
      <c r="AB153" s="6">
        <f t="shared" si="38"/>
        <v>0</v>
      </c>
      <c r="AC153" s="6">
        <f t="shared" si="38"/>
        <v>0</v>
      </c>
    </row>
    <row r="154" spans="1:29" outlineLevel="1" x14ac:dyDescent="0.25">
      <c r="A154" s="1" t="s">
        <v>157</v>
      </c>
      <c r="B154" s="8" t="e">
        <f>+#REF!/#REF!</f>
        <v>#REF!</v>
      </c>
      <c r="C154" s="2" t="e">
        <f>+#REF!/12</f>
        <v>#REF!</v>
      </c>
      <c r="D154" s="2" t="e">
        <f>+#REF!/12</f>
        <v>#REF!</v>
      </c>
      <c r="E154" s="2" t="e">
        <f>+#REF!/12</f>
        <v>#REF!</v>
      </c>
      <c r="F154" s="2" t="e">
        <f>+#REF!/12</f>
        <v>#REF!</v>
      </c>
      <c r="G154" s="2" t="e">
        <f>+#REF!/12</f>
        <v>#REF!</v>
      </c>
      <c r="H154" s="2" t="e">
        <f>+#REF!/12</f>
        <v>#REF!</v>
      </c>
      <c r="I154" s="2" t="e">
        <f>+#REF!/12</f>
        <v>#REF!</v>
      </c>
      <c r="J154" s="2" t="e">
        <f>+#REF!/12</f>
        <v>#REF!</v>
      </c>
      <c r="K154" s="2" t="e">
        <f>+#REF!/12</f>
        <v>#REF!</v>
      </c>
      <c r="L154" s="2" t="e">
        <f>+#REF!/12</f>
        <v>#REF!</v>
      </c>
      <c r="M154" s="2" t="e">
        <f>+#REF!/12</f>
        <v>#REF!</v>
      </c>
      <c r="N154" s="2" t="e">
        <f>+#REF!/12</f>
        <v>#REF!</v>
      </c>
      <c r="P154" s="6">
        <f t="shared" si="21"/>
        <v>0</v>
      </c>
      <c r="Q154" s="23">
        <f t="shared" si="34"/>
        <v>0</v>
      </c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 spans="1:29" outlineLevel="1" x14ac:dyDescent="0.25">
      <c r="A155" s="1" t="s">
        <v>158</v>
      </c>
      <c r="B155" s="8" t="e">
        <f>+#REF!/#REF!</f>
        <v>#REF!</v>
      </c>
      <c r="C155" s="2" t="e">
        <f>+#REF!/12</f>
        <v>#REF!</v>
      </c>
      <c r="D155" s="2" t="e">
        <f>+#REF!/12</f>
        <v>#REF!</v>
      </c>
      <c r="E155" s="2" t="e">
        <f>+#REF!/12</f>
        <v>#REF!</v>
      </c>
      <c r="F155" s="2" t="e">
        <f>+#REF!/12</f>
        <v>#REF!</v>
      </c>
      <c r="G155" s="2" t="e">
        <f>+#REF!/12</f>
        <v>#REF!</v>
      </c>
      <c r="H155" s="2" t="e">
        <f>+#REF!/12</f>
        <v>#REF!</v>
      </c>
      <c r="I155" s="2" t="e">
        <f>+#REF!/12</f>
        <v>#REF!</v>
      </c>
      <c r="J155" s="2" t="e">
        <f>+#REF!/12</f>
        <v>#REF!</v>
      </c>
      <c r="K155" s="2" t="e">
        <f>+#REF!/12</f>
        <v>#REF!</v>
      </c>
      <c r="L155" s="2" t="e">
        <f>+#REF!/12</f>
        <v>#REF!</v>
      </c>
      <c r="M155" s="2" t="e">
        <f>+#REF!/12</f>
        <v>#REF!</v>
      </c>
      <c r="N155" s="2" t="e">
        <f>+#REF!/12</f>
        <v>#REF!</v>
      </c>
      <c r="P155" s="6">
        <f t="shared" si="21"/>
        <v>0</v>
      </c>
      <c r="Q155" s="23">
        <f t="shared" si="34"/>
        <v>0</v>
      </c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</row>
    <row r="156" spans="1:29" s="5" customFormat="1" outlineLevel="1" x14ac:dyDescent="0.25">
      <c r="A156" s="1" t="s">
        <v>159</v>
      </c>
      <c r="B156" s="8" t="e">
        <f>+#REF!/#REF!</f>
        <v>#REF!</v>
      </c>
      <c r="C156" s="2" t="e">
        <f>+#REF!/12</f>
        <v>#REF!</v>
      </c>
      <c r="D156" s="2" t="e">
        <f>+#REF!/12</f>
        <v>#REF!</v>
      </c>
      <c r="E156" s="2" t="e">
        <f>+#REF!/12</f>
        <v>#REF!</v>
      </c>
      <c r="F156" s="2" t="e">
        <f>+#REF!/12</f>
        <v>#REF!</v>
      </c>
      <c r="G156" s="2" t="e">
        <f>+#REF!/12</f>
        <v>#REF!</v>
      </c>
      <c r="H156" s="2" t="e">
        <f>+#REF!/12</f>
        <v>#REF!</v>
      </c>
      <c r="I156" s="2" t="e">
        <f>+#REF!/12</f>
        <v>#REF!</v>
      </c>
      <c r="J156" s="2" t="e">
        <f>+#REF!/12</f>
        <v>#REF!</v>
      </c>
      <c r="K156" s="2" t="e">
        <f>+#REF!/12</f>
        <v>#REF!</v>
      </c>
      <c r="L156" s="2" t="e">
        <f>+#REF!/12</f>
        <v>#REF!</v>
      </c>
      <c r="M156" s="2" t="e">
        <f>+#REF!/12</f>
        <v>#REF!</v>
      </c>
      <c r="N156" s="2" t="e">
        <f>+#REF!/12</f>
        <v>#REF!</v>
      </c>
      <c r="P156" s="6">
        <f t="shared" si="21"/>
        <v>0</v>
      </c>
      <c r="Q156" s="23">
        <f t="shared" si="34"/>
        <v>0</v>
      </c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</row>
    <row r="157" spans="1:29" outlineLevel="1" x14ac:dyDescent="0.25">
      <c r="A157" s="1" t="s">
        <v>160</v>
      </c>
      <c r="B157" s="8" t="e">
        <f>+#REF!/#REF!</f>
        <v>#REF!</v>
      </c>
      <c r="C157" s="2" t="e">
        <f>+#REF!/12</f>
        <v>#REF!</v>
      </c>
      <c r="D157" s="2" t="e">
        <f>+#REF!/12</f>
        <v>#REF!</v>
      </c>
      <c r="E157" s="2" t="e">
        <f>+#REF!/12</f>
        <v>#REF!</v>
      </c>
      <c r="F157" s="2" t="e">
        <f>+#REF!/12</f>
        <v>#REF!</v>
      </c>
      <c r="G157" s="2" t="e">
        <f>+#REF!/12</f>
        <v>#REF!</v>
      </c>
      <c r="H157" s="2" t="e">
        <f>+#REF!/12</f>
        <v>#REF!</v>
      </c>
      <c r="I157" s="2" t="e">
        <f>+#REF!/12</f>
        <v>#REF!</v>
      </c>
      <c r="J157" s="2" t="e">
        <f>+#REF!/12</f>
        <v>#REF!</v>
      </c>
      <c r="K157" s="2" t="e">
        <f>+#REF!/12</f>
        <v>#REF!</v>
      </c>
      <c r="L157" s="2" t="e">
        <f>+#REF!/12</f>
        <v>#REF!</v>
      </c>
      <c r="M157" s="2" t="e">
        <f>+#REF!/12</f>
        <v>#REF!</v>
      </c>
      <c r="N157" s="2" t="e">
        <f>+#REF!/12</f>
        <v>#REF!</v>
      </c>
      <c r="P157" s="6">
        <f t="shared" si="21"/>
        <v>0</v>
      </c>
      <c r="Q157" s="23">
        <f t="shared" si="34"/>
        <v>0</v>
      </c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</row>
    <row r="158" spans="1:29" s="5" customFormat="1" outlineLevel="1" x14ac:dyDescent="0.25">
      <c r="A158" s="1" t="s">
        <v>161</v>
      </c>
      <c r="B158" s="8" t="e">
        <f>+#REF!/#REF!</f>
        <v>#REF!</v>
      </c>
      <c r="C158" s="2" t="e">
        <f>+#REF!/12</f>
        <v>#REF!</v>
      </c>
      <c r="D158" s="2" t="e">
        <f>+#REF!/12</f>
        <v>#REF!</v>
      </c>
      <c r="E158" s="2" t="e">
        <f>+#REF!/12</f>
        <v>#REF!</v>
      </c>
      <c r="F158" s="2" t="e">
        <f>+#REF!/12</f>
        <v>#REF!</v>
      </c>
      <c r="G158" s="2" t="e">
        <f>+#REF!/12</f>
        <v>#REF!</v>
      </c>
      <c r="H158" s="2" t="e">
        <f>+#REF!/12</f>
        <v>#REF!</v>
      </c>
      <c r="I158" s="2" t="e">
        <f>+#REF!/12</f>
        <v>#REF!</v>
      </c>
      <c r="J158" s="2" t="e">
        <f>+#REF!/12</f>
        <v>#REF!</v>
      </c>
      <c r="K158" s="2" t="e">
        <f>+#REF!/12</f>
        <v>#REF!</v>
      </c>
      <c r="L158" s="2" t="e">
        <f>+#REF!/12</f>
        <v>#REF!</v>
      </c>
      <c r="M158" s="2" t="e">
        <f>+#REF!/12</f>
        <v>#REF!</v>
      </c>
      <c r="N158" s="2" t="e">
        <f>+#REF!/12</f>
        <v>#REF!</v>
      </c>
      <c r="P158" s="6">
        <f t="shared" si="21"/>
        <v>0</v>
      </c>
      <c r="Q158" s="23">
        <f t="shared" si="34"/>
        <v>0</v>
      </c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</row>
    <row r="159" spans="1:29" outlineLevel="1" x14ac:dyDescent="0.25">
      <c r="A159" s="1" t="s">
        <v>162</v>
      </c>
      <c r="B159" s="8" t="e">
        <f>+#REF!/#REF!</f>
        <v>#REF!</v>
      </c>
      <c r="C159" s="2" t="e">
        <f>+#REF!/12</f>
        <v>#REF!</v>
      </c>
      <c r="D159" s="2" t="e">
        <f>+#REF!/12</f>
        <v>#REF!</v>
      </c>
      <c r="E159" s="2" t="e">
        <f>+#REF!/12</f>
        <v>#REF!</v>
      </c>
      <c r="F159" s="2" t="e">
        <f>+#REF!/12</f>
        <v>#REF!</v>
      </c>
      <c r="G159" s="2" t="e">
        <f>+#REF!/12</f>
        <v>#REF!</v>
      </c>
      <c r="H159" s="2" t="e">
        <f>+#REF!/12</f>
        <v>#REF!</v>
      </c>
      <c r="I159" s="2" t="e">
        <f>+#REF!/12</f>
        <v>#REF!</v>
      </c>
      <c r="J159" s="2" t="e">
        <f>+#REF!/12</f>
        <v>#REF!</v>
      </c>
      <c r="K159" s="2" t="e">
        <f>+#REF!/12</f>
        <v>#REF!</v>
      </c>
      <c r="L159" s="2" t="e">
        <f>+#REF!/12</f>
        <v>#REF!</v>
      </c>
      <c r="M159" s="2" t="e">
        <f>+#REF!/12</f>
        <v>#REF!</v>
      </c>
      <c r="N159" s="2" t="e">
        <f>+#REF!/12</f>
        <v>#REF!</v>
      </c>
      <c r="P159" s="6">
        <f t="shared" si="21"/>
        <v>0</v>
      </c>
      <c r="Q159" s="23">
        <f t="shared" si="34"/>
        <v>0</v>
      </c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</row>
    <row r="160" spans="1:29" x14ac:dyDescent="0.25">
      <c r="A160" s="5" t="s">
        <v>163</v>
      </c>
      <c r="B160" s="7" t="e">
        <f>+#REF!/#REF!</f>
        <v>#REF!</v>
      </c>
      <c r="C160" s="6" t="e">
        <f>SUM(C161:C162)</f>
        <v>#REF!</v>
      </c>
      <c r="D160" s="6" t="e">
        <f t="shared" ref="D160:N160" si="39">SUM(D161:D162)</f>
        <v>#REF!</v>
      </c>
      <c r="E160" s="6" t="e">
        <f t="shared" si="39"/>
        <v>#REF!</v>
      </c>
      <c r="F160" s="6" t="e">
        <f t="shared" si="39"/>
        <v>#REF!</v>
      </c>
      <c r="G160" s="6" t="e">
        <f t="shared" si="39"/>
        <v>#REF!</v>
      </c>
      <c r="H160" s="6" t="e">
        <f t="shared" si="39"/>
        <v>#REF!</v>
      </c>
      <c r="I160" s="6" t="e">
        <f t="shared" si="39"/>
        <v>#REF!</v>
      </c>
      <c r="J160" s="6" t="e">
        <f t="shared" si="39"/>
        <v>#REF!</v>
      </c>
      <c r="K160" s="6" t="e">
        <f t="shared" si="39"/>
        <v>#REF!</v>
      </c>
      <c r="L160" s="6" t="e">
        <f t="shared" si="39"/>
        <v>#REF!</v>
      </c>
      <c r="M160" s="6" t="e">
        <f t="shared" si="39"/>
        <v>#REF!</v>
      </c>
      <c r="N160" s="6" t="e">
        <f t="shared" si="39"/>
        <v>#REF!</v>
      </c>
      <c r="P160" s="6">
        <f>SUM(R160:AC160)</f>
        <v>0</v>
      </c>
      <c r="Q160" s="23">
        <f>+P160/$P$2</f>
        <v>0</v>
      </c>
      <c r="R160" s="6">
        <f>SUM(R161:R162)</f>
        <v>0</v>
      </c>
      <c r="S160" s="6">
        <f t="shared" ref="S160:AC160" si="40">SUM(S161:S162)</f>
        <v>0</v>
      </c>
      <c r="T160" s="6">
        <f t="shared" si="40"/>
        <v>0</v>
      </c>
      <c r="U160" s="6">
        <f t="shared" si="40"/>
        <v>0</v>
      </c>
      <c r="V160" s="6">
        <f t="shared" si="40"/>
        <v>0</v>
      </c>
      <c r="W160" s="6">
        <f t="shared" si="40"/>
        <v>0</v>
      </c>
      <c r="X160" s="6">
        <f t="shared" si="40"/>
        <v>0</v>
      </c>
      <c r="Y160" s="6">
        <f t="shared" si="40"/>
        <v>0</v>
      </c>
      <c r="Z160" s="6">
        <f t="shared" si="40"/>
        <v>0</v>
      </c>
      <c r="AA160" s="6">
        <f t="shared" si="40"/>
        <v>0</v>
      </c>
      <c r="AB160" s="6">
        <f t="shared" si="40"/>
        <v>0</v>
      </c>
      <c r="AC160" s="6">
        <f t="shared" si="40"/>
        <v>0</v>
      </c>
    </row>
    <row r="161" spans="1:29" outlineLevel="1" x14ac:dyDescent="0.25">
      <c r="A161" s="1" t="s">
        <v>164</v>
      </c>
      <c r="B161" s="8" t="e">
        <f>+#REF!/#REF!</f>
        <v>#REF!</v>
      </c>
      <c r="C161" s="2" t="e">
        <f>+#REF!/12</f>
        <v>#REF!</v>
      </c>
      <c r="D161" s="2" t="e">
        <f>+#REF!/12</f>
        <v>#REF!</v>
      </c>
      <c r="E161" s="2" t="e">
        <f>+#REF!/12</f>
        <v>#REF!</v>
      </c>
      <c r="F161" s="2" t="e">
        <f>+#REF!/12</f>
        <v>#REF!</v>
      </c>
      <c r="G161" s="2" t="e">
        <f>+#REF!/12</f>
        <v>#REF!</v>
      </c>
      <c r="H161" s="2" t="e">
        <f>+#REF!/12</f>
        <v>#REF!</v>
      </c>
      <c r="I161" s="2" t="e">
        <f>+#REF!/12</f>
        <v>#REF!</v>
      </c>
      <c r="J161" s="2" t="e">
        <f>+#REF!/12</f>
        <v>#REF!</v>
      </c>
      <c r="K161" s="2" t="e">
        <f>+#REF!/12</f>
        <v>#REF!</v>
      </c>
      <c r="L161" s="2" t="e">
        <f>+#REF!/12</f>
        <v>#REF!</v>
      </c>
      <c r="M161" s="2" t="e">
        <f>+#REF!/12</f>
        <v>#REF!</v>
      </c>
      <c r="N161" s="2" t="e">
        <f>+#REF!/12</f>
        <v>#REF!</v>
      </c>
      <c r="P161" s="6">
        <f t="shared" si="21"/>
        <v>0</v>
      </c>
      <c r="Q161" s="23">
        <f t="shared" si="34"/>
        <v>0</v>
      </c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 spans="1:29" s="3" customFormat="1" outlineLevel="1" x14ac:dyDescent="0.25">
      <c r="A162" s="1" t="s">
        <v>165</v>
      </c>
      <c r="B162" s="8" t="e">
        <f>+#REF!/#REF!</f>
        <v>#REF!</v>
      </c>
      <c r="C162" s="2" t="e">
        <f>+#REF!/12</f>
        <v>#REF!</v>
      </c>
      <c r="D162" s="2" t="e">
        <f>+#REF!/12</f>
        <v>#REF!</v>
      </c>
      <c r="E162" s="2" t="e">
        <f>+#REF!/12</f>
        <v>#REF!</v>
      </c>
      <c r="F162" s="2" t="e">
        <f>+#REF!/12</f>
        <v>#REF!</v>
      </c>
      <c r="G162" s="2" t="e">
        <f>+#REF!/12</f>
        <v>#REF!</v>
      </c>
      <c r="H162" s="2" t="e">
        <f>+#REF!/12</f>
        <v>#REF!</v>
      </c>
      <c r="I162" s="2" t="e">
        <f>+#REF!/12</f>
        <v>#REF!</v>
      </c>
      <c r="J162" s="2" t="e">
        <f>+#REF!/12</f>
        <v>#REF!</v>
      </c>
      <c r="K162" s="2" t="e">
        <f>+#REF!/12</f>
        <v>#REF!</v>
      </c>
      <c r="L162" s="2" t="e">
        <f>+#REF!/12</f>
        <v>#REF!</v>
      </c>
      <c r="M162" s="2" t="e">
        <f>+#REF!/12</f>
        <v>#REF!</v>
      </c>
      <c r="N162" s="2" t="e">
        <f>+#REF!/12</f>
        <v>#REF!</v>
      </c>
      <c r="P162" s="6">
        <f t="shared" si="21"/>
        <v>0</v>
      </c>
      <c r="Q162" s="23">
        <f t="shared" si="34"/>
        <v>0</v>
      </c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 spans="1:29" s="3" customFormat="1" x14ac:dyDescent="0.25">
      <c r="A163" s="5" t="s">
        <v>166</v>
      </c>
      <c r="B163" s="7" t="e">
        <f>+#REF!/#REF!</f>
        <v>#REF!</v>
      </c>
      <c r="C163" s="6">
        <v>0</v>
      </c>
      <c r="D163" s="6">
        <v>0</v>
      </c>
      <c r="E163" s="6">
        <v>0</v>
      </c>
      <c r="F163" s="6">
        <v>0</v>
      </c>
      <c r="G163" s="6">
        <v>0</v>
      </c>
      <c r="H163" s="6">
        <v>0</v>
      </c>
      <c r="I163" s="6">
        <v>0</v>
      </c>
      <c r="J163" s="6">
        <v>0</v>
      </c>
      <c r="K163" s="6">
        <v>0</v>
      </c>
      <c r="L163" s="6">
        <v>0</v>
      </c>
      <c r="M163" s="6">
        <v>0</v>
      </c>
      <c r="N163" s="6">
        <v>0</v>
      </c>
      <c r="P163" s="6">
        <f t="shared" si="21"/>
        <v>0</v>
      </c>
      <c r="Q163" s="23">
        <f t="shared" si="34"/>
        <v>0</v>
      </c>
      <c r="R163" s="6">
        <v>0</v>
      </c>
      <c r="S163" s="6">
        <v>0</v>
      </c>
      <c r="T163" s="6">
        <v>0</v>
      </c>
      <c r="U163" s="6">
        <v>0</v>
      </c>
      <c r="V163" s="6">
        <v>0</v>
      </c>
      <c r="W163" s="6">
        <v>0</v>
      </c>
      <c r="X163" s="6">
        <v>0</v>
      </c>
      <c r="Y163" s="6">
        <v>0</v>
      </c>
      <c r="Z163" s="6">
        <v>0</v>
      </c>
      <c r="AA163" s="6">
        <v>0</v>
      </c>
      <c r="AB163" s="6">
        <v>0</v>
      </c>
      <c r="AC163" s="6">
        <v>0</v>
      </c>
    </row>
    <row r="164" spans="1:29" s="5" customFormat="1" hidden="1" outlineLevel="1" x14ac:dyDescent="0.25">
      <c r="A164" s="1" t="s">
        <v>167</v>
      </c>
      <c r="B164" s="8" t="e">
        <f>+#REF!/#REF!</f>
        <v>#REF!</v>
      </c>
      <c r="C164" s="2">
        <v>0</v>
      </c>
      <c r="D164" s="2">
        <v>0</v>
      </c>
      <c r="E164" s="2">
        <v>0</v>
      </c>
      <c r="F164" s="2">
        <v>0</v>
      </c>
      <c r="G164" s="2">
        <v>0</v>
      </c>
      <c r="H164" s="2">
        <v>0</v>
      </c>
      <c r="I164" s="2">
        <v>0</v>
      </c>
      <c r="J164" s="2">
        <v>0</v>
      </c>
      <c r="K164" s="2">
        <v>0</v>
      </c>
      <c r="L164" s="2">
        <v>0</v>
      </c>
      <c r="M164" s="2">
        <v>0</v>
      </c>
      <c r="N164" s="2">
        <v>0</v>
      </c>
      <c r="P164" s="6">
        <f t="shared" si="21"/>
        <v>0</v>
      </c>
      <c r="Q164" s="23">
        <f t="shared" si="34"/>
        <v>0</v>
      </c>
      <c r="R164" s="2">
        <v>0</v>
      </c>
      <c r="S164" s="2">
        <v>0</v>
      </c>
      <c r="T164" s="2">
        <v>0</v>
      </c>
      <c r="U164" s="2">
        <v>0</v>
      </c>
      <c r="V164" s="2">
        <v>0</v>
      </c>
      <c r="W164" s="2">
        <v>0</v>
      </c>
      <c r="X164" s="2">
        <v>0</v>
      </c>
      <c r="Y164" s="2">
        <v>0</v>
      </c>
      <c r="Z164" s="2">
        <v>0</v>
      </c>
      <c r="AA164" s="2">
        <v>0</v>
      </c>
      <c r="AB164" s="2">
        <v>0</v>
      </c>
      <c r="AC164" s="2">
        <v>0</v>
      </c>
    </row>
    <row r="165" spans="1:29" collapsed="1" x14ac:dyDescent="0.25">
      <c r="A165" s="5" t="s">
        <v>168</v>
      </c>
      <c r="B165" s="7" t="e">
        <f>+#REF!/#REF!</f>
        <v>#REF!</v>
      </c>
      <c r="C165" s="6">
        <v>0</v>
      </c>
      <c r="D165" s="6">
        <v>0</v>
      </c>
      <c r="E165" s="6">
        <v>0</v>
      </c>
      <c r="F165" s="6">
        <v>0</v>
      </c>
      <c r="G165" s="6">
        <v>0</v>
      </c>
      <c r="H165" s="6">
        <v>0</v>
      </c>
      <c r="I165" s="6">
        <v>0</v>
      </c>
      <c r="J165" s="6">
        <v>0</v>
      </c>
      <c r="K165" s="6">
        <v>0</v>
      </c>
      <c r="L165" s="6">
        <v>0</v>
      </c>
      <c r="M165" s="6">
        <v>0</v>
      </c>
      <c r="N165" s="6">
        <v>0</v>
      </c>
      <c r="P165" s="6">
        <f t="shared" si="21"/>
        <v>0</v>
      </c>
      <c r="Q165" s="23">
        <f t="shared" si="34"/>
        <v>0</v>
      </c>
      <c r="R165" s="6">
        <v>0</v>
      </c>
      <c r="S165" s="6">
        <v>0</v>
      </c>
      <c r="T165" s="6">
        <v>0</v>
      </c>
      <c r="U165" s="6">
        <v>0</v>
      </c>
      <c r="V165" s="6">
        <v>0</v>
      </c>
      <c r="W165" s="6">
        <v>0</v>
      </c>
      <c r="X165" s="6">
        <v>0</v>
      </c>
      <c r="Y165" s="6">
        <v>0</v>
      </c>
      <c r="Z165" s="6">
        <v>0</v>
      </c>
      <c r="AA165" s="6">
        <v>0</v>
      </c>
      <c r="AB165" s="6">
        <v>0</v>
      </c>
      <c r="AC165" s="6">
        <v>0</v>
      </c>
    </row>
    <row r="166" spans="1:29" hidden="1" outlineLevel="1" x14ac:dyDescent="0.25">
      <c r="A166" s="1" t="s">
        <v>169</v>
      </c>
      <c r="B166" s="8" t="e">
        <f>+#REF!/#REF!</f>
        <v>#REF!</v>
      </c>
      <c r="C166" s="2">
        <v>0</v>
      </c>
      <c r="D166" s="2">
        <v>0</v>
      </c>
      <c r="E166" s="2">
        <v>0</v>
      </c>
      <c r="F166" s="2">
        <v>0</v>
      </c>
      <c r="G166" s="2">
        <v>0</v>
      </c>
      <c r="H166" s="2">
        <v>0</v>
      </c>
      <c r="I166" s="2">
        <v>0</v>
      </c>
      <c r="J166" s="2">
        <v>0</v>
      </c>
      <c r="K166" s="2">
        <v>0</v>
      </c>
      <c r="L166" s="2">
        <v>0</v>
      </c>
      <c r="M166" s="2">
        <v>0</v>
      </c>
      <c r="N166" s="2">
        <v>0</v>
      </c>
      <c r="P166" s="6">
        <f t="shared" si="21"/>
        <v>0</v>
      </c>
      <c r="Q166" s="23">
        <f t="shared" si="34"/>
        <v>0</v>
      </c>
      <c r="R166" s="2">
        <v>0</v>
      </c>
      <c r="S166" s="2">
        <v>0</v>
      </c>
      <c r="T166" s="2">
        <v>0</v>
      </c>
      <c r="U166" s="2">
        <v>0</v>
      </c>
      <c r="V166" s="2">
        <v>0</v>
      </c>
      <c r="W166" s="2">
        <v>0</v>
      </c>
      <c r="X166" s="2">
        <v>0</v>
      </c>
      <c r="Y166" s="2">
        <v>0</v>
      </c>
      <c r="Z166" s="2">
        <v>0</v>
      </c>
      <c r="AA166" s="2">
        <v>0</v>
      </c>
      <c r="AB166" s="2">
        <v>0</v>
      </c>
      <c r="AC166" s="2">
        <v>0</v>
      </c>
    </row>
    <row r="167" spans="1:29" s="3" customFormat="1" hidden="1" outlineLevel="1" x14ac:dyDescent="0.25">
      <c r="A167" s="1" t="s">
        <v>170</v>
      </c>
      <c r="B167" s="8" t="e">
        <f>+#REF!/#REF!</f>
        <v>#REF!</v>
      </c>
      <c r="C167" s="2">
        <v>0</v>
      </c>
      <c r="D167" s="2">
        <v>0</v>
      </c>
      <c r="E167" s="2">
        <v>0</v>
      </c>
      <c r="F167" s="2">
        <v>0</v>
      </c>
      <c r="G167" s="2">
        <v>0</v>
      </c>
      <c r="H167" s="2">
        <v>0</v>
      </c>
      <c r="I167" s="2">
        <v>0</v>
      </c>
      <c r="J167" s="2">
        <v>0</v>
      </c>
      <c r="K167" s="2">
        <v>0</v>
      </c>
      <c r="L167" s="2">
        <v>0</v>
      </c>
      <c r="M167" s="2">
        <v>0</v>
      </c>
      <c r="N167" s="2">
        <v>0</v>
      </c>
      <c r="P167" s="6">
        <f t="shared" si="21"/>
        <v>0</v>
      </c>
      <c r="Q167" s="23">
        <f t="shared" si="34"/>
        <v>0</v>
      </c>
      <c r="R167" s="2">
        <v>0</v>
      </c>
      <c r="S167" s="2">
        <v>0</v>
      </c>
      <c r="T167" s="2">
        <v>0</v>
      </c>
      <c r="U167" s="2">
        <v>0</v>
      </c>
      <c r="V167" s="2">
        <v>0</v>
      </c>
      <c r="W167" s="2">
        <v>0</v>
      </c>
      <c r="X167" s="2">
        <v>0</v>
      </c>
      <c r="Y167" s="2">
        <v>0</v>
      </c>
      <c r="Z167" s="2">
        <v>0</v>
      </c>
      <c r="AA167" s="2">
        <v>0</v>
      </c>
      <c r="AB167" s="2">
        <v>0</v>
      </c>
      <c r="AC167" s="2">
        <v>0</v>
      </c>
    </row>
    <row r="168" spans="1:29" hidden="1" outlineLevel="1" x14ac:dyDescent="0.25">
      <c r="A168" s="1" t="s">
        <v>171</v>
      </c>
      <c r="B168" s="8" t="e">
        <f>+#REF!/#REF!</f>
        <v>#REF!</v>
      </c>
      <c r="C168" s="2">
        <v>0</v>
      </c>
      <c r="D168" s="2">
        <v>0</v>
      </c>
      <c r="E168" s="2">
        <v>0</v>
      </c>
      <c r="F168" s="2">
        <v>0</v>
      </c>
      <c r="G168" s="2">
        <v>0</v>
      </c>
      <c r="H168" s="2">
        <v>0</v>
      </c>
      <c r="I168" s="2">
        <v>0</v>
      </c>
      <c r="J168" s="2">
        <v>0</v>
      </c>
      <c r="K168" s="2">
        <v>0</v>
      </c>
      <c r="L168" s="2">
        <v>0</v>
      </c>
      <c r="M168" s="2">
        <v>0</v>
      </c>
      <c r="N168" s="2">
        <v>0</v>
      </c>
      <c r="P168" s="6">
        <f t="shared" si="21"/>
        <v>0</v>
      </c>
      <c r="Q168" s="23">
        <f t="shared" si="34"/>
        <v>0</v>
      </c>
      <c r="R168" s="2">
        <v>0</v>
      </c>
      <c r="S168" s="2">
        <v>0</v>
      </c>
      <c r="T168" s="2">
        <v>0</v>
      </c>
      <c r="U168" s="2">
        <v>0</v>
      </c>
      <c r="V168" s="2">
        <v>0</v>
      </c>
      <c r="W168" s="2">
        <v>0</v>
      </c>
      <c r="X168" s="2">
        <v>0</v>
      </c>
      <c r="Y168" s="2">
        <v>0</v>
      </c>
      <c r="Z168" s="2">
        <v>0</v>
      </c>
      <c r="AA168" s="2">
        <v>0</v>
      </c>
      <c r="AB168" s="2">
        <v>0</v>
      </c>
      <c r="AC168" s="2">
        <v>0</v>
      </c>
    </row>
    <row r="169" spans="1:29" collapsed="1" x14ac:dyDescent="0.25">
      <c r="A169" s="3" t="s">
        <v>172</v>
      </c>
      <c r="B169" s="11" t="e">
        <f>+#REF!/#REF!</f>
        <v>#REF!</v>
      </c>
      <c r="C169" s="4" t="e">
        <f>+C137+C146+C153+C160+C163+C165</f>
        <v>#REF!</v>
      </c>
      <c r="D169" s="4" t="e">
        <f t="shared" ref="D169:N169" si="41">+D137+D146+D153+D160+D163+D165</f>
        <v>#REF!</v>
      </c>
      <c r="E169" s="4" t="e">
        <f t="shared" si="41"/>
        <v>#REF!</v>
      </c>
      <c r="F169" s="4" t="e">
        <f t="shared" si="41"/>
        <v>#REF!</v>
      </c>
      <c r="G169" s="4" t="e">
        <f t="shared" si="41"/>
        <v>#REF!</v>
      </c>
      <c r="H169" s="4" t="e">
        <f t="shared" si="41"/>
        <v>#REF!</v>
      </c>
      <c r="I169" s="4" t="e">
        <f t="shared" si="41"/>
        <v>#REF!</v>
      </c>
      <c r="J169" s="4" t="e">
        <f t="shared" si="41"/>
        <v>#REF!</v>
      </c>
      <c r="K169" s="4" t="e">
        <f t="shared" si="41"/>
        <v>#REF!</v>
      </c>
      <c r="L169" s="4" t="e">
        <f t="shared" si="41"/>
        <v>#REF!</v>
      </c>
      <c r="M169" s="4" t="e">
        <f t="shared" si="41"/>
        <v>#REF!</v>
      </c>
      <c r="N169" s="4" t="e">
        <f t="shared" si="41"/>
        <v>#REF!</v>
      </c>
      <c r="P169" s="6">
        <f t="shared" si="21"/>
        <v>0</v>
      </c>
      <c r="Q169" s="23">
        <f t="shared" si="34"/>
        <v>0</v>
      </c>
      <c r="R169" s="4">
        <f>+R137+R146+R153+R160+R163+R165</f>
        <v>0</v>
      </c>
      <c r="S169" s="4">
        <f t="shared" ref="S169:AC169" si="42">+S137+S146+S153+S160+S163+S165</f>
        <v>0</v>
      </c>
      <c r="T169" s="4">
        <f t="shared" si="42"/>
        <v>0</v>
      </c>
      <c r="U169" s="4">
        <f t="shared" si="42"/>
        <v>0</v>
      </c>
      <c r="V169" s="4">
        <f t="shared" si="42"/>
        <v>0</v>
      </c>
      <c r="W169" s="4">
        <f t="shared" si="42"/>
        <v>0</v>
      </c>
      <c r="X169" s="4">
        <f t="shared" si="42"/>
        <v>0</v>
      </c>
      <c r="Y169" s="4">
        <f t="shared" si="42"/>
        <v>0</v>
      </c>
      <c r="Z169" s="4">
        <f t="shared" si="42"/>
        <v>0</v>
      </c>
      <c r="AA169" s="4">
        <f t="shared" si="42"/>
        <v>0</v>
      </c>
      <c r="AB169" s="4">
        <f t="shared" si="42"/>
        <v>0</v>
      </c>
      <c r="AC169" s="4">
        <f t="shared" si="42"/>
        <v>0</v>
      </c>
    </row>
    <row r="170" spans="1:29" x14ac:dyDescent="0.25">
      <c r="A170" s="3" t="s">
        <v>173</v>
      </c>
      <c r="B170" s="11" t="e">
        <f>+#REF!/#REF!</f>
        <v>#REF!</v>
      </c>
      <c r="C170" s="4" t="e">
        <f>+C136+C169</f>
        <v>#REF!</v>
      </c>
      <c r="D170" s="4" t="e">
        <f t="shared" ref="D170:N170" si="43">+D136+D169</f>
        <v>#REF!</v>
      </c>
      <c r="E170" s="4" t="e">
        <f t="shared" si="43"/>
        <v>#REF!</v>
      </c>
      <c r="F170" s="4" t="e">
        <f t="shared" si="43"/>
        <v>#REF!</v>
      </c>
      <c r="G170" s="4" t="e">
        <f t="shared" si="43"/>
        <v>#REF!</v>
      </c>
      <c r="H170" s="4" t="e">
        <f t="shared" si="43"/>
        <v>#REF!</v>
      </c>
      <c r="I170" s="4" t="e">
        <f t="shared" si="43"/>
        <v>#REF!</v>
      </c>
      <c r="J170" s="4" t="e">
        <f t="shared" si="43"/>
        <v>#REF!</v>
      </c>
      <c r="K170" s="4" t="e">
        <f t="shared" si="43"/>
        <v>#REF!</v>
      </c>
      <c r="L170" s="4" t="e">
        <f t="shared" si="43"/>
        <v>#REF!</v>
      </c>
      <c r="M170" s="4" t="e">
        <f t="shared" si="43"/>
        <v>#REF!</v>
      </c>
      <c r="N170" s="4" t="e">
        <f t="shared" si="43"/>
        <v>#REF!</v>
      </c>
      <c r="P170" s="6">
        <f t="shared" si="21"/>
        <v>8427864.6104993243</v>
      </c>
      <c r="Q170" s="23">
        <f t="shared" si="34"/>
        <v>0.52207047933401429</v>
      </c>
      <c r="R170" s="4">
        <f>+R136+R169</f>
        <v>686909.22394283698</v>
      </c>
      <c r="S170" s="4">
        <f t="shared" ref="S170:AC170" si="44">+S136+S169</f>
        <v>814630.67139130121</v>
      </c>
      <c r="T170" s="4">
        <f t="shared" si="44"/>
        <v>737486.6765696205</v>
      </c>
      <c r="U170" s="4">
        <f t="shared" si="44"/>
        <v>606688.04096183286</v>
      </c>
      <c r="V170" s="4">
        <f t="shared" si="44"/>
        <v>881790.12488948938</v>
      </c>
      <c r="W170" s="4">
        <f t="shared" si="44"/>
        <v>794333.80098128843</v>
      </c>
      <c r="X170" s="4">
        <f t="shared" si="44"/>
        <v>786189.61277721438</v>
      </c>
      <c r="Y170" s="4">
        <f t="shared" si="44"/>
        <v>487011.48200188723</v>
      </c>
      <c r="Z170" s="4">
        <f t="shared" si="44"/>
        <v>747622.84979908436</v>
      </c>
      <c r="AA170" s="4">
        <f t="shared" si="44"/>
        <v>635388.72307276225</v>
      </c>
      <c r="AB170" s="4">
        <f t="shared" si="44"/>
        <v>616347.03184992017</v>
      </c>
      <c r="AC170" s="4">
        <f t="shared" si="44"/>
        <v>633466.37226208497</v>
      </c>
    </row>
    <row r="171" spans="1:29" x14ac:dyDescent="0.25">
      <c r="A171" s="5" t="s">
        <v>174</v>
      </c>
      <c r="B171" s="7" t="e">
        <f>+#REF!/#REF!</f>
        <v>#REF!</v>
      </c>
      <c r="C171" s="6">
        <v>0</v>
      </c>
      <c r="D171" s="6">
        <v>0</v>
      </c>
      <c r="E171" s="6">
        <v>0</v>
      </c>
      <c r="F171" s="6">
        <v>0</v>
      </c>
      <c r="G171" s="6">
        <v>0</v>
      </c>
      <c r="H171" s="6">
        <v>0</v>
      </c>
      <c r="I171" s="6">
        <v>0</v>
      </c>
      <c r="J171" s="6">
        <v>0</v>
      </c>
      <c r="K171" s="6">
        <v>0</v>
      </c>
      <c r="L171" s="6">
        <v>0</v>
      </c>
      <c r="M171" s="6">
        <v>0</v>
      </c>
      <c r="N171" s="6">
        <v>0</v>
      </c>
      <c r="P171" s="6">
        <f t="shared" si="21"/>
        <v>0</v>
      </c>
      <c r="Q171" s="23">
        <f t="shared" si="34"/>
        <v>0</v>
      </c>
      <c r="R171" s="6">
        <v>0</v>
      </c>
      <c r="S171" s="6">
        <v>0</v>
      </c>
      <c r="T171" s="6">
        <v>0</v>
      </c>
      <c r="U171" s="6">
        <v>0</v>
      </c>
      <c r="V171" s="6">
        <v>0</v>
      </c>
      <c r="W171" s="6">
        <v>0</v>
      </c>
      <c r="X171" s="6">
        <v>0</v>
      </c>
      <c r="Y171" s="6">
        <v>0</v>
      </c>
      <c r="Z171" s="6">
        <v>0</v>
      </c>
      <c r="AA171" s="6">
        <v>0</v>
      </c>
      <c r="AB171" s="6">
        <v>0</v>
      </c>
      <c r="AC171" s="6">
        <v>0</v>
      </c>
    </row>
    <row r="172" spans="1:29" hidden="1" outlineLevel="1" x14ac:dyDescent="0.25">
      <c r="A172" s="1" t="s">
        <v>175</v>
      </c>
      <c r="B172" s="8" t="e">
        <f>+#REF!/#REF!</f>
        <v>#REF!</v>
      </c>
      <c r="C172" s="2">
        <v>0</v>
      </c>
      <c r="D172" s="2">
        <v>0</v>
      </c>
      <c r="E172" s="2">
        <v>0</v>
      </c>
      <c r="F172" s="2">
        <v>0</v>
      </c>
      <c r="G172" s="2">
        <v>0</v>
      </c>
      <c r="H172" s="2">
        <v>0</v>
      </c>
      <c r="I172" s="2">
        <v>0</v>
      </c>
      <c r="J172" s="2">
        <v>0</v>
      </c>
      <c r="K172" s="2">
        <v>0</v>
      </c>
      <c r="L172" s="2">
        <v>0</v>
      </c>
      <c r="M172" s="2">
        <v>0</v>
      </c>
      <c r="N172" s="2">
        <v>0</v>
      </c>
      <c r="P172" s="6">
        <f t="shared" si="21"/>
        <v>0</v>
      </c>
      <c r="Q172" s="23">
        <f t="shared" si="34"/>
        <v>0</v>
      </c>
      <c r="R172" s="2">
        <v>0</v>
      </c>
      <c r="S172" s="2">
        <v>0</v>
      </c>
      <c r="T172" s="2">
        <v>0</v>
      </c>
      <c r="U172" s="2">
        <v>0</v>
      </c>
      <c r="V172" s="2">
        <v>0</v>
      </c>
      <c r="W172" s="2">
        <v>0</v>
      </c>
      <c r="X172" s="2">
        <v>0</v>
      </c>
      <c r="Y172" s="2">
        <v>0</v>
      </c>
      <c r="Z172" s="2">
        <v>0</v>
      </c>
      <c r="AA172" s="2">
        <v>0</v>
      </c>
      <c r="AB172" s="2">
        <v>0</v>
      </c>
      <c r="AC172" s="2">
        <v>0</v>
      </c>
    </row>
    <row r="173" spans="1:29" hidden="1" outlineLevel="1" x14ac:dyDescent="0.25">
      <c r="A173" s="1" t="s">
        <v>176</v>
      </c>
      <c r="B173" s="8" t="e">
        <f>+#REF!/#REF!</f>
        <v>#REF!</v>
      </c>
      <c r="C173" s="2">
        <v>0</v>
      </c>
      <c r="D173" s="2">
        <v>0</v>
      </c>
      <c r="E173" s="2">
        <v>0</v>
      </c>
      <c r="F173" s="2">
        <v>0</v>
      </c>
      <c r="G173" s="2">
        <v>0</v>
      </c>
      <c r="H173" s="2">
        <v>0</v>
      </c>
      <c r="I173" s="2">
        <v>0</v>
      </c>
      <c r="J173" s="2">
        <v>0</v>
      </c>
      <c r="K173" s="2">
        <v>0</v>
      </c>
      <c r="L173" s="2">
        <v>0</v>
      </c>
      <c r="M173" s="2">
        <v>0</v>
      </c>
      <c r="N173" s="2">
        <v>0</v>
      </c>
      <c r="P173" s="6">
        <f t="shared" si="21"/>
        <v>0</v>
      </c>
      <c r="Q173" s="23">
        <f t="shared" si="34"/>
        <v>0</v>
      </c>
      <c r="R173" s="2">
        <v>0</v>
      </c>
      <c r="S173" s="2">
        <v>0</v>
      </c>
      <c r="T173" s="2">
        <v>0</v>
      </c>
      <c r="U173" s="2">
        <v>0</v>
      </c>
      <c r="V173" s="2">
        <v>0</v>
      </c>
      <c r="W173" s="2">
        <v>0</v>
      </c>
      <c r="X173" s="2">
        <v>0</v>
      </c>
      <c r="Y173" s="2">
        <v>0</v>
      </c>
      <c r="Z173" s="2">
        <v>0</v>
      </c>
      <c r="AA173" s="2">
        <v>0</v>
      </c>
      <c r="AB173" s="2">
        <v>0</v>
      </c>
      <c r="AC173" s="2">
        <v>0</v>
      </c>
    </row>
    <row r="174" spans="1:29" collapsed="1" x14ac:dyDescent="0.25">
      <c r="A174" s="3" t="s">
        <v>177</v>
      </c>
      <c r="B174" s="11" t="e">
        <f>+#REF!/#REF!</f>
        <v>#REF!</v>
      </c>
      <c r="C174" s="4" t="e">
        <f>+C170+C171</f>
        <v>#REF!</v>
      </c>
      <c r="D174" s="4" t="e">
        <f t="shared" ref="D174:N174" si="45">+D170+D171</f>
        <v>#REF!</v>
      </c>
      <c r="E174" s="4" t="e">
        <f t="shared" si="45"/>
        <v>#REF!</v>
      </c>
      <c r="F174" s="4" t="e">
        <f t="shared" si="45"/>
        <v>#REF!</v>
      </c>
      <c r="G174" s="4" t="e">
        <f t="shared" si="45"/>
        <v>#REF!</v>
      </c>
      <c r="H174" s="4" t="e">
        <f t="shared" si="45"/>
        <v>#REF!</v>
      </c>
      <c r="I174" s="4" t="e">
        <f t="shared" si="45"/>
        <v>#REF!</v>
      </c>
      <c r="J174" s="4" t="e">
        <f t="shared" si="45"/>
        <v>#REF!</v>
      </c>
      <c r="K174" s="4" t="e">
        <f t="shared" si="45"/>
        <v>#REF!</v>
      </c>
      <c r="L174" s="4" t="e">
        <f t="shared" si="45"/>
        <v>#REF!</v>
      </c>
      <c r="M174" s="4" t="e">
        <f t="shared" si="45"/>
        <v>#REF!</v>
      </c>
      <c r="N174" s="4" t="e">
        <f t="shared" si="45"/>
        <v>#REF!</v>
      </c>
      <c r="P174" s="6">
        <f t="shared" si="21"/>
        <v>8427864.6104993243</v>
      </c>
      <c r="Q174" s="23">
        <f t="shared" si="34"/>
        <v>0.52207047933401429</v>
      </c>
      <c r="R174" s="4">
        <f>+R170+R171</f>
        <v>686909.22394283698</v>
      </c>
      <c r="S174" s="4">
        <f t="shared" ref="S174:AC174" si="46">+S170+S171</f>
        <v>814630.67139130121</v>
      </c>
      <c r="T174" s="4">
        <f t="shared" si="46"/>
        <v>737486.6765696205</v>
      </c>
      <c r="U174" s="4">
        <f t="shared" si="46"/>
        <v>606688.04096183286</v>
      </c>
      <c r="V174" s="4">
        <f t="shared" si="46"/>
        <v>881790.12488948938</v>
      </c>
      <c r="W174" s="4">
        <f t="shared" si="46"/>
        <v>794333.80098128843</v>
      </c>
      <c r="X174" s="4">
        <f t="shared" si="46"/>
        <v>786189.61277721438</v>
      </c>
      <c r="Y174" s="4">
        <f t="shared" si="46"/>
        <v>487011.48200188723</v>
      </c>
      <c r="Z174" s="4">
        <f t="shared" si="46"/>
        <v>747622.84979908436</v>
      </c>
      <c r="AA174" s="4">
        <f t="shared" si="46"/>
        <v>635388.72307276225</v>
      </c>
      <c r="AB174" s="4">
        <f t="shared" si="46"/>
        <v>616347.03184992017</v>
      </c>
      <c r="AC174" s="4">
        <f t="shared" si="46"/>
        <v>633466.37226208497</v>
      </c>
    </row>
    <row r="175" spans="1:29" x14ac:dyDescent="0.25">
      <c r="B175" s="2" t="s">
        <v>198</v>
      </c>
    </row>
    <row r="176" spans="1:29" s="47" customFormat="1" x14ac:dyDescent="0.25">
      <c r="A176" s="47" t="s">
        <v>1253</v>
      </c>
      <c r="B176" s="53"/>
      <c r="C176" s="54" t="e">
        <f>SUM(C177:C180)</f>
        <v>#REF!</v>
      </c>
      <c r="D176" s="54" t="e">
        <f t="shared" ref="D176:N176" si="47">SUM(D177:D180)</f>
        <v>#REF!</v>
      </c>
      <c r="E176" s="54" t="e">
        <f t="shared" si="47"/>
        <v>#REF!</v>
      </c>
      <c r="F176" s="54" t="e">
        <f t="shared" si="47"/>
        <v>#REF!</v>
      </c>
      <c r="G176" s="54" t="e">
        <f t="shared" si="47"/>
        <v>#REF!</v>
      </c>
      <c r="H176" s="54" t="e">
        <f t="shared" si="47"/>
        <v>#REF!</v>
      </c>
      <c r="I176" s="54" t="e">
        <f t="shared" si="47"/>
        <v>#REF!</v>
      </c>
      <c r="J176" s="54" t="e">
        <f t="shared" si="47"/>
        <v>#REF!</v>
      </c>
      <c r="K176" s="54" t="e">
        <f t="shared" si="47"/>
        <v>#REF!</v>
      </c>
      <c r="L176" s="54" t="e">
        <f t="shared" si="47"/>
        <v>#REF!</v>
      </c>
      <c r="M176" s="54" t="e">
        <f t="shared" si="47"/>
        <v>#REF!</v>
      </c>
      <c r="N176" s="54" t="e">
        <f t="shared" si="47"/>
        <v>#REF!</v>
      </c>
      <c r="R176" s="54">
        <f>SUM(R177:R180)</f>
        <v>853666.66666666663</v>
      </c>
      <c r="S176" s="54">
        <f t="shared" ref="S176:AC176" si="48">SUM(S177:S180)</f>
        <v>722973.61941086384</v>
      </c>
      <c r="T176" s="54">
        <f t="shared" si="48"/>
        <v>1392280.5721550612</v>
      </c>
      <c r="U176" s="54">
        <f t="shared" si="48"/>
        <v>1526404.8362963183</v>
      </c>
      <c r="V176" s="54">
        <f t="shared" si="48"/>
        <v>1583162.2277179109</v>
      </c>
      <c r="W176" s="54">
        <f t="shared" si="48"/>
        <v>1367980.5074624617</v>
      </c>
      <c r="X176" s="54">
        <f t="shared" si="48"/>
        <v>1469541.5844165154</v>
      </c>
      <c r="Y176" s="54">
        <f t="shared" si="48"/>
        <v>1605988.102511107</v>
      </c>
      <c r="Z176" s="54">
        <f t="shared" si="48"/>
        <v>1497795.7940894586</v>
      </c>
      <c r="AA176" s="54">
        <f t="shared" si="48"/>
        <v>1257072.0915316828</v>
      </c>
      <c r="AB176" s="54">
        <f t="shared" si="48"/>
        <v>1239560.0400133182</v>
      </c>
      <c r="AC176" s="54">
        <f t="shared" si="48"/>
        <v>1366609.4019256157</v>
      </c>
    </row>
    <row r="177" spans="1:29" x14ac:dyDescent="0.25">
      <c r="A177" s="1" t="s">
        <v>1254</v>
      </c>
      <c r="B177" s="2">
        <v>567463</v>
      </c>
      <c r="C177" s="22" t="e">
        <f>+(#REF!*0.5)+(B177*0.5)</f>
        <v>#REF!</v>
      </c>
      <c r="D177" s="22" t="e">
        <f>+(B177*0.5)+(C2*0.5)</f>
        <v>#REF!</v>
      </c>
      <c r="E177" s="22" t="e">
        <f>+(C2*0.5)+(C2*0.5)</f>
        <v>#REF!</v>
      </c>
      <c r="F177" s="22" t="e">
        <f>+(C2*0.5)+(D2*0.5)</f>
        <v>#REF!</v>
      </c>
      <c r="G177" s="22" t="e">
        <f t="shared" ref="G177:N177" si="49">+(D2*0.5)+(E2*0.5)</f>
        <v>#REF!</v>
      </c>
      <c r="H177" s="22" t="e">
        <f t="shared" si="49"/>
        <v>#REF!</v>
      </c>
      <c r="I177" s="22" t="e">
        <f t="shared" si="49"/>
        <v>#REF!</v>
      </c>
      <c r="J177" s="22" t="e">
        <f t="shared" si="49"/>
        <v>#REF!</v>
      </c>
      <c r="K177" s="22" t="e">
        <f t="shared" si="49"/>
        <v>#REF!</v>
      </c>
      <c r="L177" s="22" t="e">
        <f t="shared" si="49"/>
        <v>#REF!</v>
      </c>
      <c r="M177" s="22" t="e">
        <f t="shared" si="49"/>
        <v>#REF!</v>
      </c>
      <c r="N177" s="22" t="e">
        <f t="shared" si="49"/>
        <v>#REF!</v>
      </c>
      <c r="R177" s="22">
        <v>800000</v>
      </c>
      <c r="S177" s="22">
        <f>+(Q177*0.5)+(R2*0.5)</f>
        <v>669306.95274419722</v>
      </c>
      <c r="T177" s="22">
        <f>+(R2*0.5)+(R2*0.5)</f>
        <v>1338613.9054883944</v>
      </c>
      <c r="U177" s="22">
        <f>+(R2*0.5)+(S2*0.5)</f>
        <v>1472738.1696296516</v>
      </c>
      <c r="V177" s="22">
        <f t="shared" ref="V177:AC177" si="50">+(S2*0.5)+(T2*0.5)</f>
        <v>1529495.5610512441</v>
      </c>
      <c r="W177" s="22">
        <f t="shared" si="50"/>
        <v>1314313.840795795</v>
      </c>
      <c r="X177" s="22">
        <f t="shared" si="50"/>
        <v>1415874.9177498487</v>
      </c>
      <c r="Y177" s="22">
        <f t="shared" si="50"/>
        <v>1552321.4358444402</v>
      </c>
      <c r="Z177" s="22">
        <f t="shared" si="50"/>
        <v>1444129.1274227919</v>
      </c>
      <c r="AA177" s="22">
        <f t="shared" si="50"/>
        <v>1203405.424865016</v>
      </c>
      <c r="AB177" s="22">
        <f t="shared" si="50"/>
        <v>1185893.3733466514</v>
      </c>
      <c r="AC177" s="22">
        <f t="shared" si="50"/>
        <v>1312942.735258949</v>
      </c>
    </row>
    <row r="178" spans="1:29" x14ac:dyDescent="0.25">
      <c r="A178" s="1" t="s">
        <v>1255</v>
      </c>
      <c r="C178" s="2" t="e">
        <f>+C4</f>
        <v>#REF!</v>
      </c>
      <c r="D178" s="2" t="e">
        <f t="shared" ref="D178:N179" si="51">+D4</f>
        <v>#REF!</v>
      </c>
      <c r="E178" s="2" t="e">
        <f t="shared" si="51"/>
        <v>#REF!</v>
      </c>
      <c r="F178" s="2" t="e">
        <f t="shared" si="51"/>
        <v>#REF!</v>
      </c>
      <c r="G178" s="2" t="e">
        <f t="shared" si="51"/>
        <v>#REF!</v>
      </c>
      <c r="H178" s="2" t="e">
        <f t="shared" si="51"/>
        <v>#REF!</v>
      </c>
      <c r="I178" s="2" t="e">
        <f t="shared" si="51"/>
        <v>#REF!</v>
      </c>
      <c r="J178" s="2" t="e">
        <f t="shared" si="51"/>
        <v>#REF!</v>
      </c>
      <c r="K178" s="2" t="e">
        <f t="shared" si="51"/>
        <v>#REF!</v>
      </c>
      <c r="L178" s="2" t="e">
        <f t="shared" si="51"/>
        <v>#REF!</v>
      </c>
      <c r="M178" s="2" t="e">
        <f t="shared" si="51"/>
        <v>#REF!</v>
      </c>
      <c r="N178" s="2" t="e">
        <f t="shared" si="51"/>
        <v>#REF!</v>
      </c>
      <c r="R178" s="2">
        <f>+R4</f>
        <v>50666.666666666664</v>
      </c>
      <c r="S178" s="2">
        <f t="shared" ref="S178:AC179" si="52">+S4</f>
        <v>50666.666666666664</v>
      </c>
      <c r="T178" s="2">
        <f t="shared" si="52"/>
        <v>50666.666666666664</v>
      </c>
      <c r="U178" s="2">
        <f t="shared" si="52"/>
        <v>50666.666666666664</v>
      </c>
      <c r="V178" s="2">
        <f t="shared" si="52"/>
        <v>50666.666666666664</v>
      </c>
      <c r="W178" s="2">
        <f t="shared" si="52"/>
        <v>50666.666666666664</v>
      </c>
      <c r="X178" s="2">
        <f t="shared" si="52"/>
        <v>50666.666666666664</v>
      </c>
      <c r="Y178" s="2">
        <f t="shared" si="52"/>
        <v>50666.666666666664</v>
      </c>
      <c r="Z178" s="2">
        <f t="shared" si="52"/>
        <v>50666.666666666664</v>
      </c>
      <c r="AA178" s="2">
        <f t="shared" si="52"/>
        <v>50666.666666666664</v>
      </c>
      <c r="AB178" s="2">
        <f t="shared" si="52"/>
        <v>50666.666666666664</v>
      </c>
      <c r="AC178" s="2">
        <f t="shared" si="52"/>
        <v>50666.666666666664</v>
      </c>
    </row>
    <row r="179" spans="1:29" x14ac:dyDescent="0.25">
      <c r="A179" s="1" t="s">
        <v>1256</v>
      </c>
      <c r="C179" s="2" t="e">
        <f>+C5</f>
        <v>#REF!</v>
      </c>
      <c r="D179" s="2" t="e">
        <f t="shared" si="51"/>
        <v>#REF!</v>
      </c>
      <c r="E179" s="2" t="e">
        <f t="shared" si="51"/>
        <v>#REF!</v>
      </c>
      <c r="F179" s="2" t="e">
        <f t="shared" si="51"/>
        <v>#REF!</v>
      </c>
      <c r="G179" s="2" t="e">
        <f t="shared" si="51"/>
        <v>#REF!</v>
      </c>
      <c r="H179" s="2" t="e">
        <f t="shared" si="51"/>
        <v>#REF!</v>
      </c>
      <c r="I179" s="2" t="e">
        <f t="shared" si="51"/>
        <v>#REF!</v>
      </c>
      <c r="J179" s="2" t="e">
        <f t="shared" si="51"/>
        <v>#REF!</v>
      </c>
      <c r="K179" s="2" t="e">
        <f t="shared" si="51"/>
        <v>#REF!</v>
      </c>
      <c r="L179" s="2" t="e">
        <f t="shared" si="51"/>
        <v>#REF!</v>
      </c>
      <c r="M179" s="2" t="e">
        <f t="shared" si="51"/>
        <v>#REF!</v>
      </c>
      <c r="N179" s="2" t="e">
        <f t="shared" si="51"/>
        <v>#REF!</v>
      </c>
      <c r="R179" s="2">
        <f>+R5</f>
        <v>3000</v>
      </c>
      <c r="S179" s="2">
        <f t="shared" si="52"/>
        <v>3000</v>
      </c>
      <c r="T179" s="2">
        <f t="shared" si="52"/>
        <v>3000</v>
      </c>
      <c r="U179" s="2">
        <f t="shared" si="52"/>
        <v>3000</v>
      </c>
      <c r="V179" s="2">
        <f t="shared" si="52"/>
        <v>3000</v>
      </c>
      <c r="W179" s="2">
        <f t="shared" si="52"/>
        <v>3000</v>
      </c>
      <c r="X179" s="2">
        <f t="shared" si="52"/>
        <v>3000</v>
      </c>
      <c r="Y179" s="2">
        <f t="shared" si="52"/>
        <v>3000</v>
      </c>
      <c r="Z179" s="2">
        <f t="shared" si="52"/>
        <v>3000</v>
      </c>
      <c r="AA179" s="2">
        <f t="shared" si="52"/>
        <v>3000</v>
      </c>
      <c r="AB179" s="2">
        <f t="shared" si="52"/>
        <v>3000</v>
      </c>
      <c r="AC179" s="2">
        <f t="shared" si="52"/>
        <v>3000</v>
      </c>
    </row>
    <row r="180" spans="1:29" x14ac:dyDescent="0.25">
      <c r="A180" s="1" t="s">
        <v>1261</v>
      </c>
      <c r="C180" s="2" t="e">
        <f>+C137</f>
        <v>#REF!</v>
      </c>
      <c r="R180" s="2">
        <f>+R137</f>
        <v>0</v>
      </c>
    </row>
    <row r="181" spans="1:29" s="47" customFormat="1" x14ac:dyDescent="0.25">
      <c r="A181" s="47" t="s">
        <v>1260</v>
      </c>
      <c r="B181" s="53"/>
      <c r="C181" s="53" t="e">
        <f>SUM(C182:C185)</f>
        <v>#REF!</v>
      </c>
      <c r="D181" s="53" t="e">
        <f t="shared" ref="D181:N181" si="53">SUM(D182:D185)</f>
        <v>#REF!</v>
      </c>
      <c r="E181" s="53" t="e">
        <f t="shared" si="53"/>
        <v>#REF!</v>
      </c>
      <c r="F181" s="53" t="e">
        <f t="shared" si="53"/>
        <v>#REF!</v>
      </c>
      <c r="G181" s="53" t="e">
        <f t="shared" si="53"/>
        <v>#REF!</v>
      </c>
      <c r="H181" s="53" t="e">
        <f t="shared" si="53"/>
        <v>#REF!</v>
      </c>
      <c r="I181" s="53" t="e">
        <f t="shared" si="53"/>
        <v>#REF!</v>
      </c>
      <c r="J181" s="53" t="e">
        <f t="shared" si="53"/>
        <v>#REF!</v>
      </c>
      <c r="K181" s="53" t="e">
        <f t="shared" si="53"/>
        <v>#REF!</v>
      </c>
      <c r="L181" s="53" t="e">
        <f t="shared" si="53"/>
        <v>#REF!</v>
      </c>
      <c r="M181" s="53" t="e">
        <f t="shared" si="53"/>
        <v>#REF!</v>
      </c>
      <c r="N181" s="53" t="e">
        <f t="shared" si="53"/>
        <v>#REF!</v>
      </c>
      <c r="R181" s="53">
        <f>SUM(R182:R185)</f>
        <v>-681470.62646499998</v>
      </c>
      <c r="S181" s="53">
        <f t="shared" ref="S181:AC181" si="54">SUM(S182:S185)</f>
        <v>-736966.13862924918</v>
      </c>
      <c r="T181" s="53">
        <f t="shared" si="54"/>
        <v>-753436.8870707833</v>
      </c>
      <c r="U181" s="53">
        <f t="shared" si="54"/>
        <v>-642226.48203006841</v>
      </c>
      <c r="V181" s="53">
        <f t="shared" si="54"/>
        <v>-671635.83482418756</v>
      </c>
      <c r="W181" s="53">
        <f t="shared" si="54"/>
        <v>-714259.47290905134</v>
      </c>
      <c r="X181" s="53">
        <f t="shared" si="54"/>
        <v>-653867.42054354062</v>
      </c>
      <c r="Y181" s="53">
        <f t="shared" si="54"/>
        <v>-566804.87747546518</v>
      </c>
      <c r="Z181" s="53">
        <f t="shared" si="54"/>
        <v>-568576.20744616562</v>
      </c>
      <c r="AA181" s="53">
        <f t="shared" si="54"/>
        <v>-621436.94882302557</v>
      </c>
      <c r="AB181" s="53">
        <f t="shared" si="54"/>
        <v>-591589.69018763804</v>
      </c>
      <c r="AC181" s="53">
        <f t="shared" si="54"/>
        <v>-590949.13570139848</v>
      </c>
    </row>
    <row r="182" spans="1:29" x14ac:dyDescent="0.25">
      <c r="A182" s="1" t="s">
        <v>1257</v>
      </c>
      <c r="C182" s="2">
        <v>-600000</v>
      </c>
      <c r="D182" s="1" t="e">
        <f>+(C13*0.5)+(D13*0.5)</f>
        <v>#REF!</v>
      </c>
      <c r="E182" s="1" t="e">
        <f t="shared" ref="E182:N182" si="55">+(D13*0.5)+(E13*0.5)</f>
        <v>#REF!</v>
      </c>
      <c r="F182" s="1" t="e">
        <f t="shared" si="55"/>
        <v>#REF!</v>
      </c>
      <c r="G182" s="1" t="e">
        <f t="shared" si="55"/>
        <v>#REF!</v>
      </c>
      <c r="H182" s="1" t="e">
        <f t="shared" si="55"/>
        <v>#REF!</v>
      </c>
      <c r="I182" s="1" t="e">
        <f t="shared" si="55"/>
        <v>#REF!</v>
      </c>
      <c r="J182" s="1" t="e">
        <f t="shared" si="55"/>
        <v>#REF!</v>
      </c>
      <c r="K182" s="1" t="e">
        <f t="shared" si="55"/>
        <v>#REF!</v>
      </c>
      <c r="L182" s="1" t="e">
        <f t="shared" si="55"/>
        <v>#REF!</v>
      </c>
      <c r="M182" s="1" t="e">
        <f t="shared" si="55"/>
        <v>#REF!</v>
      </c>
      <c r="N182" s="1" t="e">
        <f t="shared" si="55"/>
        <v>#REF!</v>
      </c>
      <c r="R182" s="2">
        <v>-600000</v>
      </c>
      <c r="S182" s="1">
        <f>+(R13*0.5)+(S13*0.5)</f>
        <v>-625499.67883091595</v>
      </c>
      <c r="T182" s="1">
        <f t="shared" ref="T182:AC182" si="56">+(S13*0.5)+(T13*0.5)</f>
        <v>-641970.42727244995</v>
      </c>
      <c r="U182" s="1">
        <f t="shared" si="56"/>
        <v>-530760.02223173506</v>
      </c>
      <c r="V182" s="1">
        <f t="shared" si="56"/>
        <v>-560169.37502585433</v>
      </c>
      <c r="W182" s="1">
        <f t="shared" si="56"/>
        <v>-602793.01311071799</v>
      </c>
      <c r="X182" s="1">
        <f t="shared" si="56"/>
        <v>-542400.96074520727</v>
      </c>
      <c r="Y182" s="1">
        <f t="shared" si="56"/>
        <v>-455338.41767713183</v>
      </c>
      <c r="Z182" s="1">
        <f t="shared" si="56"/>
        <v>-457109.74764783226</v>
      </c>
      <c r="AA182" s="1">
        <f t="shared" si="56"/>
        <v>-509970.48902469227</v>
      </c>
      <c r="AB182" s="1">
        <f t="shared" si="56"/>
        <v>-480123.23038930475</v>
      </c>
      <c r="AC182" s="1">
        <f t="shared" si="56"/>
        <v>-479482.67590306513</v>
      </c>
    </row>
    <row r="183" spans="1:29" x14ac:dyDescent="0.25">
      <c r="A183" s="1" t="s">
        <v>1258</v>
      </c>
      <c r="C183" s="2" t="e">
        <f>+C27</f>
        <v>#REF!</v>
      </c>
      <c r="D183" s="2" t="e">
        <f t="shared" ref="D183:N183" si="57">+D27</f>
        <v>#REF!</v>
      </c>
      <c r="E183" s="2" t="e">
        <f t="shared" si="57"/>
        <v>#REF!</v>
      </c>
      <c r="F183" s="2" t="e">
        <f t="shared" si="57"/>
        <v>#REF!</v>
      </c>
      <c r="G183" s="2" t="e">
        <f t="shared" si="57"/>
        <v>#REF!</v>
      </c>
      <c r="H183" s="2" t="e">
        <f t="shared" si="57"/>
        <v>#REF!</v>
      </c>
      <c r="I183" s="2" t="e">
        <f t="shared" si="57"/>
        <v>#REF!</v>
      </c>
      <c r="J183" s="2" t="e">
        <f t="shared" si="57"/>
        <v>#REF!</v>
      </c>
      <c r="K183" s="2" t="e">
        <f t="shared" si="57"/>
        <v>#REF!</v>
      </c>
      <c r="L183" s="2" t="e">
        <f t="shared" si="57"/>
        <v>#REF!</v>
      </c>
      <c r="M183" s="2" t="e">
        <f t="shared" si="57"/>
        <v>#REF!</v>
      </c>
      <c r="N183" s="2" t="e">
        <f t="shared" si="57"/>
        <v>#REF!</v>
      </c>
      <c r="R183" s="2">
        <f>+R27</f>
        <v>-47597.70979833333</v>
      </c>
      <c r="S183" s="2">
        <f t="shared" ref="S183:AC183" si="58">+S27</f>
        <v>-63681.043131666665</v>
      </c>
      <c r="T183" s="2">
        <f t="shared" si="58"/>
        <v>-63681.043131666665</v>
      </c>
      <c r="U183" s="2">
        <f t="shared" si="58"/>
        <v>-63681.043131666665</v>
      </c>
      <c r="V183" s="2">
        <f t="shared" si="58"/>
        <v>-63681.043131666665</v>
      </c>
      <c r="W183" s="2">
        <f t="shared" si="58"/>
        <v>-63681.043131666665</v>
      </c>
      <c r="X183" s="2">
        <f t="shared" si="58"/>
        <v>-63681.043131666665</v>
      </c>
      <c r="Y183" s="2">
        <f t="shared" si="58"/>
        <v>-63681.043131666665</v>
      </c>
      <c r="Z183" s="2">
        <f t="shared" si="58"/>
        <v>-63681.043131666665</v>
      </c>
      <c r="AA183" s="2">
        <f t="shared" si="58"/>
        <v>-63681.043131666665</v>
      </c>
      <c r="AB183" s="2">
        <f t="shared" si="58"/>
        <v>-63681.043131666665</v>
      </c>
      <c r="AC183" s="2">
        <f t="shared" si="58"/>
        <v>-63681.043131666665</v>
      </c>
    </row>
    <row r="184" spans="1:29" x14ac:dyDescent="0.25">
      <c r="A184" s="1" t="s">
        <v>1259</v>
      </c>
      <c r="C184" s="2" t="e">
        <f>+C37</f>
        <v>#REF!</v>
      </c>
      <c r="D184" s="2" t="e">
        <f t="shared" ref="D184:N184" si="59">+D37</f>
        <v>#REF!</v>
      </c>
      <c r="E184" s="2" t="e">
        <f t="shared" si="59"/>
        <v>#REF!</v>
      </c>
      <c r="F184" s="2" t="e">
        <f t="shared" si="59"/>
        <v>#REF!</v>
      </c>
      <c r="G184" s="2" t="e">
        <f t="shared" si="59"/>
        <v>#REF!</v>
      </c>
      <c r="H184" s="2" t="e">
        <f t="shared" si="59"/>
        <v>#REF!</v>
      </c>
      <c r="I184" s="2" t="e">
        <f t="shared" si="59"/>
        <v>#REF!</v>
      </c>
      <c r="J184" s="2" t="e">
        <f t="shared" si="59"/>
        <v>#REF!</v>
      </c>
      <c r="K184" s="2" t="e">
        <f t="shared" si="59"/>
        <v>#REF!</v>
      </c>
      <c r="L184" s="2" t="e">
        <f t="shared" si="59"/>
        <v>#REF!</v>
      </c>
      <c r="M184" s="2" t="e">
        <f t="shared" si="59"/>
        <v>#REF!</v>
      </c>
      <c r="N184" s="2" t="e">
        <f t="shared" si="59"/>
        <v>#REF!</v>
      </c>
      <c r="R184" s="2">
        <f>+R37</f>
        <v>-33872.916666666664</v>
      </c>
      <c r="S184" s="2">
        <f t="shared" ref="S184:AC184" si="60">+S37</f>
        <v>-47785.416666666664</v>
      </c>
      <c r="T184" s="2">
        <f t="shared" si="60"/>
        <v>-47785.416666666664</v>
      </c>
      <c r="U184" s="2">
        <f t="shared" si="60"/>
        <v>-47785.416666666664</v>
      </c>
      <c r="V184" s="2">
        <f t="shared" si="60"/>
        <v>-47785.416666666664</v>
      </c>
      <c r="W184" s="2">
        <f t="shared" si="60"/>
        <v>-47785.416666666664</v>
      </c>
      <c r="X184" s="2">
        <f t="shared" si="60"/>
        <v>-47785.416666666664</v>
      </c>
      <c r="Y184" s="2">
        <f t="shared" si="60"/>
        <v>-47785.416666666664</v>
      </c>
      <c r="Z184" s="2">
        <f t="shared" si="60"/>
        <v>-47785.416666666664</v>
      </c>
      <c r="AA184" s="2">
        <f t="shared" si="60"/>
        <v>-47785.416666666664</v>
      </c>
      <c r="AB184" s="2">
        <f t="shared" si="60"/>
        <v>-47785.416666666664</v>
      </c>
      <c r="AC184" s="2">
        <f t="shared" si="60"/>
        <v>-47785.416666666664</v>
      </c>
    </row>
    <row r="185" spans="1:29" x14ac:dyDescent="0.25">
      <c r="C185" s="2" t="e">
        <f>+C146</f>
        <v>#REF!</v>
      </c>
      <c r="D185" s="2" t="e">
        <f t="shared" ref="D185:N185" si="61">+D146</f>
        <v>#REF!</v>
      </c>
      <c r="E185" s="2" t="e">
        <f t="shared" si="61"/>
        <v>#REF!</v>
      </c>
      <c r="F185" s="2" t="e">
        <f t="shared" si="61"/>
        <v>#REF!</v>
      </c>
      <c r="G185" s="2" t="e">
        <f t="shared" si="61"/>
        <v>#REF!</v>
      </c>
      <c r="H185" s="2" t="e">
        <f t="shared" si="61"/>
        <v>#REF!</v>
      </c>
      <c r="I185" s="2" t="e">
        <f t="shared" si="61"/>
        <v>#REF!</v>
      </c>
      <c r="J185" s="2" t="e">
        <f t="shared" si="61"/>
        <v>#REF!</v>
      </c>
      <c r="K185" s="2" t="e">
        <f t="shared" si="61"/>
        <v>#REF!</v>
      </c>
      <c r="L185" s="2" t="e">
        <f t="shared" si="61"/>
        <v>#REF!</v>
      </c>
      <c r="M185" s="2" t="e">
        <f t="shared" si="61"/>
        <v>#REF!</v>
      </c>
      <c r="N185" s="2" t="e">
        <f t="shared" si="61"/>
        <v>#REF!</v>
      </c>
      <c r="R185" s="2">
        <f>+R146</f>
        <v>0</v>
      </c>
      <c r="S185" s="2">
        <f t="shared" ref="S185:AC185" si="62">+S146</f>
        <v>0</v>
      </c>
      <c r="T185" s="2">
        <f t="shared" si="62"/>
        <v>0</v>
      </c>
      <c r="U185" s="2">
        <f t="shared" si="62"/>
        <v>0</v>
      </c>
      <c r="V185" s="2">
        <f t="shared" si="62"/>
        <v>0</v>
      </c>
      <c r="W185" s="2">
        <f t="shared" si="62"/>
        <v>0</v>
      </c>
      <c r="X185" s="2">
        <f t="shared" si="62"/>
        <v>0</v>
      </c>
      <c r="Y185" s="2">
        <f t="shared" si="62"/>
        <v>0</v>
      </c>
      <c r="Z185" s="2">
        <f t="shared" si="62"/>
        <v>0</v>
      </c>
      <c r="AA185" s="2">
        <f t="shared" si="62"/>
        <v>0</v>
      </c>
      <c r="AB185" s="2">
        <f t="shared" si="62"/>
        <v>0</v>
      </c>
      <c r="AC185" s="2">
        <f t="shared" si="62"/>
        <v>0</v>
      </c>
    </row>
    <row r="186" spans="1:29" x14ac:dyDescent="0.25">
      <c r="A186" s="1" t="s">
        <v>1262</v>
      </c>
      <c r="C186" s="2" t="e">
        <f>+C176+C181</f>
        <v>#REF!</v>
      </c>
      <c r="D186" s="2" t="e">
        <f t="shared" ref="D186:N186" si="63">+D176+D181</f>
        <v>#REF!</v>
      </c>
      <c r="E186" s="2" t="e">
        <f t="shared" si="63"/>
        <v>#REF!</v>
      </c>
      <c r="F186" s="2" t="e">
        <f t="shared" si="63"/>
        <v>#REF!</v>
      </c>
      <c r="G186" s="2" t="e">
        <f t="shared" si="63"/>
        <v>#REF!</v>
      </c>
      <c r="H186" s="2" t="e">
        <f t="shared" si="63"/>
        <v>#REF!</v>
      </c>
      <c r="I186" s="2" t="e">
        <f t="shared" si="63"/>
        <v>#REF!</v>
      </c>
      <c r="J186" s="2" t="e">
        <f t="shared" si="63"/>
        <v>#REF!</v>
      </c>
      <c r="K186" s="2" t="e">
        <f t="shared" si="63"/>
        <v>#REF!</v>
      </c>
      <c r="L186" s="2" t="e">
        <f t="shared" si="63"/>
        <v>#REF!</v>
      </c>
      <c r="M186" s="2" t="e">
        <f t="shared" si="63"/>
        <v>#REF!</v>
      </c>
      <c r="N186" s="2" t="e">
        <f t="shared" si="63"/>
        <v>#REF!</v>
      </c>
      <c r="R186" s="2">
        <f>+R176+R181</f>
        <v>172196.04020166665</v>
      </c>
      <c r="S186" s="2">
        <f t="shared" ref="S186:AC186" si="64">+S176+S181</f>
        <v>-13992.519218385336</v>
      </c>
      <c r="T186" s="2">
        <f t="shared" si="64"/>
        <v>638843.68508427788</v>
      </c>
      <c r="U186" s="2">
        <f t="shared" si="64"/>
        <v>884178.35426624992</v>
      </c>
      <c r="V186" s="2">
        <f t="shared" si="64"/>
        <v>911526.39289372333</v>
      </c>
      <c r="W186" s="2">
        <f t="shared" si="64"/>
        <v>653721.03455341037</v>
      </c>
      <c r="X186" s="2">
        <f t="shared" si="64"/>
        <v>815674.16387297481</v>
      </c>
      <c r="Y186" s="2">
        <f t="shared" si="64"/>
        <v>1039183.2250356418</v>
      </c>
      <c r="Z186" s="2">
        <f t="shared" si="64"/>
        <v>929219.58664329303</v>
      </c>
      <c r="AA186" s="2">
        <f t="shared" si="64"/>
        <v>635635.14270865719</v>
      </c>
      <c r="AB186" s="2">
        <f t="shared" si="64"/>
        <v>647970.34982568014</v>
      </c>
      <c r="AC186" s="2">
        <f t="shared" si="64"/>
        <v>775660.26622421725</v>
      </c>
    </row>
    <row r="187" spans="1:29" x14ac:dyDescent="0.25">
      <c r="A187" s="1" t="s">
        <v>1263</v>
      </c>
      <c r="C187" s="2" t="e">
        <f>+C186</f>
        <v>#REF!</v>
      </c>
      <c r="D187" s="2" t="e">
        <f>+D186+C187</f>
        <v>#REF!</v>
      </c>
      <c r="E187" s="2" t="e">
        <f t="shared" ref="E187:N187" si="65">+E186+D187</f>
        <v>#REF!</v>
      </c>
      <c r="F187" s="2" t="e">
        <f t="shared" si="65"/>
        <v>#REF!</v>
      </c>
      <c r="G187" s="2" t="e">
        <f t="shared" si="65"/>
        <v>#REF!</v>
      </c>
      <c r="H187" s="2" t="e">
        <f t="shared" si="65"/>
        <v>#REF!</v>
      </c>
      <c r="I187" s="2" t="e">
        <f t="shared" si="65"/>
        <v>#REF!</v>
      </c>
      <c r="J187" s="2" t="e">
        <f t="shared" si="65"/>
        <v>#REF!</v>
      </c>
      <c r="K187" s="2" t="e">
        <f t="shared" si="65"/>
        <v>#REF!</v>
      </c>
      <c r="L187" s="2" t="e">
        <f t="shared" si="65"/>
        <v>#REF!</v>
      </c>
      <c r="M187" s="2" t="e">
        <f t="shared" si="65"/>
        <v>#REF!</v>
      </c>
      <c r="N187" s="2" t="e">
        <f t="shared" si="65"/>
        <v>#REF!</v>
      </c>
      <c r="R187" s="2">
        <f>+R186</f>
        <v>172196.04020166665</v>
      </c>
      <c r="S187" s="2">
        <f>+S186+R187</f>
        <v>158203.52098328131</v>
      </c>
      <c r="T187" s="2">
        <f t="shared" ref="T187:AC187" si="66">+T186+S187</f>
        <v>797047.20606755919</v>
      </c>
      <c r="U187" s="2">
        <f t="shared" si="66"/>
        <v>1681225.5603338091</v>
      </c>
      <c r="V187" s="2">
        <f t="shared" si="66"/>
        <v>2592751.9532275326</v>
      </c>
      <c r="W187" s="2">
        <f t="shared" si="66"/>
        <v>3246472.987780943</v>
      </c>
      <c r="X187" s="2">
        <f t="shared" si="66"/>
        <v>4062147.151653918</v>
      </c>
      <c r="Y187" s="2">
        <f t="shared" si="66"/>
        <v>5101330.3766895598</v>
      </c>
      <c r="Z187" s="2">
        <f t="shared" si="66"/>
        <v>6030549.9633328523</v>
      </c>
      <c r="AA187" s="2">
        <f t="shared" si="66"/>
        <v>6666185.1060415097</v>
      </c>
      <c r="AB187" s="2">
        <f t="shared" si="66"/>
        <v>7314155.4558671899</v>
      </c>
      <c r="AC187" s="2">
        <f t="shared" si="66"/>
        <v>8089815.7220914075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A0FEF-BD8F-4F0E-B01C-586AE378420E}">
  <dimension ref="A1:P37"/>
  <sheetViews>
    <sheetView workbookViewId="0">
      <selection activeCell="C21" sqref="C21"/>
    </sheetView>
  </sheetViews>
  <sheetFormatPr baseColWidth="10" defaultRowHeight="15" x14ac:dyDescent="0.25"/>
  <cols>
    <col min="1" max="1" width="16.140625" bestFit="1" customWidth="1"/>
    <col min="2" max="2" width="36.42578125" bestFit="1" customWidth="1"/>
    <col min="3" max="3" width="16.42578125" bestFit="1" customWidth="1"/>
    <col min="4" max="4" width="14.7109375" customWidth="1"/>
    <col min="5" max="7" width="13.5703125" bestFit="1" customWidth="1"/>
    <col min="8" max="9" width="13.7109375" bestFit="1" customWidth="1"/>
    <col min="10" max="13" width="13.5703125" bestFit="1" customWidth="1"/>
    <col min="14" max="14" width="13.7109375" bestFit="1" customWidth="1"/>
    <col min="15" max="15" width="17.42578125" bestFit="1" customWidth="1"/>
    <col min="16" max="16" width="21.7109375" bestFit="1" customWidth="1"/>
  </cols>
  <sheetData>
    <row r="1" spans="1:16" x14ac:dyDescent="0.25">
      <c r="A1" s="25"/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</row>
    <row r="2" spans="1:16" ht="15.75" x14ac:dyDescent="0.25">
      <c r="A2" s="25"/>
      <c r="B2" s="25"/>
      <c r="C2" s="57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</row>
    <row r="3" spans="1:16" ht="15.75" thickBot="1" x14ac:dyDescent="0.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</row>
    <row r="4" spans="1:16" ht="19.5" thickBot="1" x14ac:dyDescent="0.35">
      <c r="A4" s="25"/>
      <c r="B4" s="58" t="s">
        <v>1267</v>
      </c>
      <c r="C4" s="59" t="s">
        <v>1241</v>
      </c>
      <c r="D4" s="60" t="s">
        <v>1242</v>
      </c>
      <c r="E4" s="60" t="s">
        <v>1243</v>
      </c>
      <c r="F4" s="60" t="s">
        <v>1244</v>
      </c>
      <c r="G4" s="60" t="s">
        <v>1245</v>
      </c>
      <c r="H4" s="60" t="s">
        <v>1246</v>
      </c>
      <c r="I4" s="61" t="s">
        <v>1247</v>
      </c>
      <c r="J4" s="61" t="s">
        <v>1248</v>
      </c>
      <c r="K4" s="61" t="s">
        <v>1249</v>
      </c>
      <c r="L4" s="61" t="s">
        <v>1250</v>
      </c>
      <c r="M4" s="61" t="s">
        <v>1251</v>
      </c>
      <c r="N4" s="62" t="s">
        <v>1252</v>
      </c>
      <c r="O4" s="25"/>
      <c r="P4" s="25"/>
    </row>
    <row r="5" spans="1:16" x14ac:dyDescent="0.25">
      <c r="A5" s="25"/>
      <c r="B5" s="63" t="s">
        <v>1268</v>
      </c>
      <c r="C5" s="64">
        <v>22000</v>
      </c>
      <c r="D5" s="64">
        <v>22000</v>
      </c>
      <c r="E5" s="64">
        <v>22000</v>
      </c>
      <c r="F5" s="64">
        <v>25000</v>
      </c>
      <c r="G5" s="64">
        <v>27000</v>
      </c>
      <c r="H5" s="64">
        <v>30000</v>
      </c>
      <c r="I5" s="64">
        <v>30000</v>
      </c>
      <c r="J5" s="64">
        <v>25000</v>
      </c>
      <c r="K5" s="64">
        <v>25000</v>
      </c>
      <c r="L5" s="64">
        <v>22000</v>
      </c>
      <c r="M5" s="64">
        <v>22000</v>
      </c>
      <c r="N5" s="64">
        <v>22000</v>
      </c>
      <c r="O5" s="65">
        <f>SUM(C5:N5)</f>
        <v>294000</v>
      </c>
      <c r="P5" s="66"/>
    </row>
    <row r="6" spans="1:16" x14ac:dyDescent="0.25">
      <c r="A6" s="25"/>
      <c r="B6" s="67"/>
      <c r="C6" s="68"/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9">
        <f>SUM(I6:N6)</f>
        <v>0</v>
      </c>
      <c r="P6" s="66"/>
    </row>
    <row r="7" spans="1:16" ht="15.75" thickBot="1" x14ac:dyDescent="0.3">
      <c r="A7" s="25"/>
      <c r="B7" s="70" t="s">
        <v>1269</v>
      </c>
      <c r="C7" s="71">
        <f t="shared" ref="C7:O7" si="0">C5/C27</f>
        <v>0.34571428571428575</v>
      </c>
      <c r="D7" s="71">
        <f t="shared" si="0"/>
        <v>0.34571428571428575</v>
      </c>
      <c r="E7" s="71">
        <f t="shared" si="0"/>
        <v>0.2688888888888889</v>
      </c>
      <c r="F7" s="71">
        <f t="shared" si="0"/>
        <v>0.25000000000000006</v>
      </c>
      <c r="G7" s="71">
        <f t="shared" si="0"/>
        <v>0.19800000000000001</v>
      </c>
      <c r="H7" s="71">
        <f t="shared" si="0"/>
        <v>0.1736842105263158</v>
      </c>
      <c r="I7" s="71">
        <f t="shared" si="0"/>
        <v>0.22000000000000003</v>
      </c>
      <c r="J7" s="71">
        <f t="shared" si="0"/>
        <v>0.3928571428571429</v>
      </c>
      <c r="K7" s="71">
        <f t="shared" si="0"/>
        <v>0.30555555555555558</v>
      </c>
      <c r="L7" s="71">
        <f t="shared" si="0"/>
        <v>0.2688888888888889</v>
      </c>
      <c r="M7" s="71">
        <f t="shared" si="0"/>
        <v>0.34571428571428575</v>
      </c>
      <c r="N7" s="71">
        <f t="shared" si="0"/>
        <v>0.22000000000000003</v>
      </c>
      <c r="O7" s="71">
        <f t="shared" si="0"/>
        <v>0.25666666666666671</v>
      </c>
      <c r="P7" s="72"/>
    </row>
    <row r="8" spans="1:16" x14ac:dyDescent="0.25">
      <c r="A8" s="25"/>
      <c r="B8" s="73" t="s">
        <v>1297</v>
      </c>
      <c r="C8" s="74">
        <v>8100</v>
      </c>
      <c r="D8" s="74">
        <v>8100</v>
      </c>
      <c r="E8" s="74">
        <v>8100</v>
      </c>
      <c r="F8" s="74">
        <v>8100</v>
      </c>
      <c r="G8" s="74">
        <v>8100</v>
      </c>
      <c r="H8" s="74">
        <v>8100</v>
      </c>
      <c r="I8" s="74">
        <v>8100</v>
      </c>
      <c r="J8" s="74">
        <v>8100</v>
      </c>
      <c r="K8" s="74">
        <v>8100</v>
      </c>
      <c r="L8" s="74">
        <v>8100</v>
      </c>
      <c r="M8" s="74">
        <v>8100</v>
      </c>
      <c r="N8" s="74">
        <v>8100</v>
      </c>
      <c r="O8" s="75">
        <f>SUM(C8:N8)</f>
        <v>97200</v>
      </c>
      <c r="P8" s="72"/>
    </row>
    <row r="9" spans="1:16" x14ac:dyDescent="0.25">
      <c r="A9" s="25"/>
      <c r="B9" s="73" t="s">
        <v>1271</v>
      </c>
      <c r="C9" s="74">
        <v>0</v>
      </c>
      <c r="D9" s="74">
        <v>0</v>
      </c>
      <c r="E9" s="74">
        <v>0</v>
      </c>
      <c r="F9" s="74">
        <v>0</v>
      </c>
      <c r="G9" s="74">
        <v>0</v>
      </c>
      <c r="H9" s="74">
        <v>0</v>
      </c>
      <c r="I9" s="74">
        <v>0</v>
      </c>
      <c r="J9" s="74">
        <v>0</v>
      </c>
      <c r="K9" s="74">
        <v>0</v>
      </c>
      <c r="L9" s="74">
        <v>0</v>
      </c>
      <c r="M9" s="74">
        <v>0</v>
      </c>
      <c r="N9" s="74">
        <v>0</v>
      </c>
      <c r="O9" s="75">
        <f>SUM(C9:N9)</f>
        <v>0</v>
      </c>
      <c r="P9" s="72"/>
    </row>
    <row r="10" spans="1:16" x14ac:dyDescent="0.25">
      <c r="A10" s="25"/>
      <c r="B10" s="76" t="s">
        <v>1272</v>
      </c>
      <c r="C10" s="77">
        <f>(C8+C9)/C27</f>
        <v>0.12728571428571428</v>
      </c>
      <c r="D10" s="77">
        <f t="shared" ref="D10:N10" si="1">(D8+D9)/D27</f>
        <v>0.12728571428571428</v>
      </c>
      <c r="E10" s="77">
        <f t="shared" si="1"/>
        <v>9.9000000000000005E-2</v>
      </c>
      <c r="F10" s="77">
        <f t="shared" si="1"/>
        <v>8.1000000000000016E-2</v>
      </c>
      <c r="G10" s="77">
        <f t="shared" si="1"/>
        <v>5.9400000000000001E-2</v>
      </c>
      <c r="H10" s="77">
        <f t="shared" si="1"/>
        <v>4.6894736842105267E-2</v>
      </c>
      <c r="I10" s="77">
        <f t="shared" si="1"/>
        <v>5.9400000000000001E-2</v>
      </c>
      <c r="J10" s="77">
        <f t="shared" si="1"/>
        <v>0.12728571428571428</v>
      </c>
      <c r="K10" s="77">
        <f t="shared" si="1"/>
        <v>9.9000000000000005E-2</v>
      </c>
      <c r="L10" s="77">
        <f t="shared" si="1"/>
        <v>9.9000000000000005E-2</v>
      </c>
      <c r="M10" s="77">
        <f t="shared" si="1"/>
        <v>0.12728571428571428</v>
      </c>
      <c r="N10" s="77">
        <f t="shared" si="1"/>
        <v>8.1000000000000016E-2</v>
      </c>
      <c r="O10" s="77">
        <f>(O8+O9)/O27</f>
        <v>8.4857142857142881E-2</v>
      </c>
      <c r="P10" s="72"/>
    </row>
    <row r="11" spans="1:16" x14ac:dyDescent="0.25">
      <c r="A11" s="25"/>
      <c r="B11" s="76" t="s">
        <v>1273</v>
      </c>
      <c r="C11" s="78">
        <v>3000</v>
      </c>
      <c r="D11" s="78">
        <v>3000</v>
      </c>
      <c r="E11" s="78">
        <v>3000</v>
      </c>
      <c r="F11" s="78">
        <v>3000</v>
      </c>
      <c r="G11" s="78">
        <v>3000</v>
      </c>
      <c r="H11" s="78">
        <v>3000</v>
      </c>
      <c r="I11" s="78">
        <v>3000</v>
      </c>
      <c r="J11" s="78">
        <v>3000</v>
      </c>
      <c r="K11" s="78">
        <v>3000</v>
      </c>
      <c r="L11" s="78">
        <v>3000</v>
      </c>
      <c r="M11" s="78">
        <v>3000</v>
      </c>
      <c r="N11" s="78">
        <v>3000</v>
      </c>
      <c r="O11" s="79">
        <f t="shared" ref="O11:O19" si="2">SUM(C11:N11)</f>
        <v>36000</v>
      </c>
      <c r="P11" s="72"/>
    </row>
    <row r="12" spans="1:16" x14ac:dyDescent="0.25">
      <c r="A12" s="25"/>
      <c r="B12" s="76" t="s">
        <v>1274</v>
      </c>
      <c r="C12" s="78">
        <v>0</v>
      </c>
      <c r="D12" s="78">
        <v>0</v>
      </c>
      <c r="E12" s="78">
        <v>0</v>
      </c>
      <c r="F12" s="78">
        <v>0</v>
      </c>
      <c r="G12" s="78">
        <v>0</v>
      </c>
      <c r="H12" s="78">
        <v>0</v>
      </c>
      <c r="I12" s="78">
        <v>0</v>
      </c>
      <c r="J12" s="78">
        <v>0</v>
      </c>
      <c r="K12" s="78">
        <v>0</v>
      </c>
      <c r="L12" s="78">
        <v>0</v>
      </c>
      <c r="M12" s="78">
        <v>0</v>
      </c>
      <c r="N12" s="78">
        <v>0</v>
      </c>
      <c r="O12" s="79">
        <f>SUM(C12:N12)</f>
        <v>0</v>
      </c>
      <c r="P12" s="72"/>
    </row>
    <row r="13" spans="1:16" x14ac:dyDescent="0.25">
      <c r="A13" s="25"/>
      <c r="B13" s="76" t="s">
        <v>1275</v>
      </c>
      <c r="C13" s="78">
        <v>1800</v>
      </c>
      <c r="D13" s="78">
        <v>1800</v>
      </c>
      <c r="E13" s="78">
        <v>1800</v>
      </c>
      <c r="F13" s="78">
        <v>1800</v>
      </c>
      <c r="G13" s="78">
        <v>1800</v>
      </c>
      <c r="H13" s="78">
        <v>1800</v>
      </c>
      <c r="I13" s="78">
        <v>1800</v>
      </c>
      <c r="J13" s="78">
        <v>1800</v>
      </c>
      <c r="K13" s="78">
        <v>1800</v>
      </c>
      <c r="L13" s="78">
        <v>1800</v>
      </c>
      <c r="M13" s="78">
        <v>1800</v>
      </c>
      <c r="N13" s="78">
        <v>1800</v>
      </c>
      <c r="O13" s="79">
        <f t="shared" si="2"/>
        <v>21600</v>
      </c>
      <c r="P13" s="72">
        <v>0.03</v>
      </c>
    </row>
    <row r="14" spans="1:16" x14ac:dyDescent="0.25">
      <c r="A14" s="25"/>
      <c r="B14" s="76" t="s">
        <v>1276</v>
      </c>
      <c r="C14" s="78">
        <v>500</v>
      </c>
      <c r="D14" s="78">
        <v>500</v>
      </c>
      <c r="E14" s="78">
        <v>500</v>
      </c>
      <c r="F14" s="78">
        <v>500</v>
      </c>
      <c r="G14" s="78">
        <v>500</v>
      </c>
      <c r="H14" s="78">
        <v>500</v>
      </c>
      <c r="I14" s="78">
        <v>500</v>
      </c>
      <c r="J14" s="78">
        <v>500</v>
      </c>
      <c r="K14" s="78">
        <v>500</v>
      </c>
      <c r="L14" s="78">
        <v>500</v>
      </c>
      <c r="M14" s="78">
        <v>500</v>
      </c>
      <c r="N14" s="78">
        <v>500</v>
      </c>
      <c r="O14" s="79">
        <f t="shared" si="2"/>
        <v>6000</v>
      </c>
      <c r="P14" s="72"/>
    </row>
    <row r="15" spans="1:16" x14ac:dyDescent="0.25">
      <c r="A15" s="25"/>
      <c r="B15" s="76" t="s">
        <v>1277</v>
      </c>
      <c r="C15" s="78">
        <v>0</v>
      </c>
      <c r="D15" s="78">
        <v>0</v>
      </c>
      <c r="E15" s="78">
        <v>0</v>
      </c>
      <c r="F15" s="78">
        <v>0</v>
      </c>
      <c r="G15" s="78">
        <v>0</v>
      </c>
      <c r="H15" s="78">
        <v>0</v>
      </c>
      <c r="I15" s="78">
        <v>0</v>
      </c>
      <c r="J15" s="78">
        <v>0</v>
      </c>
      <c r="K15" s="78">
        <v>0</v>
      </c>
      <c r="L15" s="78">
        <v>0</v>
      </c>
      <c r="M15" s="78">
        <v>0</v>
      </c>
      <c r="N15" s="78">
        <v>0</v>
      </c>
      <c r="O15" s="78">
        <v>0</v>
      </c>
      <c r="P15" s="72"/>
    </row>
    <row r="16" spans="1:16" x14ac:dyDescent="0.25">
      <c r="A16" s="25"/>
      <c r="B16" s="76" t="s">
        <v>1298</v>
      </c>
      <c r="C16" s="78">
        <v>0</v>
      </c>
      <c r="D16" s="78">
        <v>0</v>
      </c>
      <c r="E16" s="78">
        <v>1000</v>
      </c>
      <c r="F16" s="78">
        <v>0</v>
      </c>
      <c r="G16" s="78">
        <v>0</v>
      </c>
      <c r="H16" s="78">
        <v>1500</v>
      </c>
      <c r="I16" s="78">
        <v>0</v>
      </c>
      <c r="J16" s="78">
        <v>0</v>
      </c>
      <c r="K16" s="78">
        <v>0</v>
      </c>
      <c r="L16" s="78">
        <v>1500</v>
      </c>
      <c r="M16" s="78">
        <v>0</v>
      </c>
      <c r="N16" s="78">
        <v>0</v>
      </c>
      <c r="O16" s="79">
        <f t="shared" si="2"/>
        <v>4000</v>
      </c>
      <c r="P16" s="72"/>
    </row>
    <row r="17" spans="1:16" x14ac:dyDescent="0.25">
      <c r="A17" s="25"/>
      <c r="B17" s="76" t="s">
        <v>1279</v>
      </c>
      <c r="C17" s="78">
        <v>1000</v>
      </c>
      <c r="D17" s="78">
        <v>1000</v>
      </c>
      <c r="E17" s="78">
        <v>1000</v>
      </c>
      <c r="F17" s="78">
        <v>1000</v>
      </c>
      <c r="G17" s="78">
        <v>1000</v>
      </c>
      <c r="H17" s="78">
        <v>1000</v>
      </c>
      <c r="I17" s="78">
        <v>1000</v>
      </c>
      <c r="J17" s="78">
        <v>1000</v>
      </c>
      <c r="K17" s="78">
        <v>1000</v>
      </c>
      <c r="L17" s="78">
        <v>1000</v>
      </c>
      <c r="M17" s="78">
        <v>1000</v>
      </c>
      <c r="N17" s="78">
        <v>1000</v>
      </c>
      <c r="O17" s="79">
        <f t="shared" si="2"/>
        <v>12000</v>
      </c>
      <c r="P17" s="72"/>
    </row>
    <row r="18" spans="1:16" x14ac:dyDescent="0.25">
      <c r="A18" s="25"/>
      <c r="B18" s="76" t="s">
        <v>1280</v>
      </c>
      <c r="C18" s="78">
        <v>0</v>
      </c>
      <c r="D18" s="78">
        <v>0</v>
      </c>
      <c r="E18" s="78">
        <v>0</v>
      </c>
      <c r="F18" s="78">
        <v>0</v>
      </c>
      <c r="G18" s="78">
        <v>0</v>
      </c>
      <c r="H18" s="78">
        <v>0</v>
      </c>
      <c r="I18" s="78">
        <v>0</v>
      </c>
      <c r="J18" s="78">
        <v>0</v>
      </c>
      <c r="K18" s="78">
        <v>0</v>
      </c>
      <c r="L18" s="78">
        <v>0</v>
      </c>
      <c r="M18" s="78">
        <v>0</v>
      </c>
      <c r="N18" s="78">
        <v>0</v>
      </c>
      <c r="O18" s="79">
        <f t="shared" si="2"/>
        <v>0</v>
      </c>
      <c r="P18" s="72"/>
    </row>
    <row r="19" spans="1:16" x14ac:dyDescent="0.25">
      <c r="A19" s="25"/>
      <c r="B19" s="76" t="s">
        <v>1281</v>
      </c>
      <c r="C19" s="78">
        <v>125</v>
      </c>
      <c r="D19" s="78">
        <v>125</v>
      </c>
      <c r="E19" s="78">
        <v>125</v>
      </c>
      <c r="F19" s="78">
        <v>125</v>
      </c>
      <c r="G19" s="78">
        <v>125</v>
      </c>
      <c r="H19" s="78">
        <v>125</v>
      </c>
      <c r="I19" s="78">
        <v>125</v>
      </c>
      <c r="J19" s="78">
        <v>125</v>
      </c>
      <c r="K19" s="78">
        <v>125</v>
      </c>
      <c r="L19" s="78">
        <v>125</v>
      </c>
      <c r="M19" s="78">
        <v>125</v>
      </c>
      <c r="N19" s="78">
        <v>125</v>
      </c>
      <c r="O19" s="79">
        <f t="shared" si="2"/>
        <v>1500</v>
      </c>
      <c r="P19" s="72"/>
    </row>
    <row r="20" spans="1:16" x14ac:dyDescent="0.25">
      <c r="A20" s="25"/>
      <c r="B20" s="76" t="s">
        <v>1282</v>
      </c>
      <c r="C20" s="78">
        <v>150</v>
      </c>
      <c r="D20" s="78">
        <v>150</v>
      </c>
      <c r="E20" s="78">
        <v>150</v>
      </c>
      <c r="F20" s="78">
        <v>150</v>
      </c>
      <c r="G20" s="78">
        <v>150</v>
      </c>
      <c r="H20" s="78">
        <v>150</v>
      </c>
      <c r="I20" s="78">
        <v>150</v>
      </c>
      <c r="J20" s="78">
        <v>150</v>
      </c>
      <c r="K20" s="78">
        <v>150</v>
      </c>
      <c r="L20" s="78">
        <v>150</v>
      </c>
      <c r="M20" s="78">
        <v>150</v>
      </c>
      <c r="N20" s="78">
        <v>150</v>
      </c>
      <c r="O20" s="79">
        <f>SUM(C20:N20)</f>
        <v>1800</v>
      </c>
      <c r="P20" s="72"/>
    </row>
    <row r="21" spans="1:16" x14ac:dyDescent="0.25">
      <c r="A21" s="25"/>
      <c r="B21" s="76" t="s">
        <v>1283</v>
      </c>
      <c r="C21" s="80">
        <f>SUM(C11:C20)</f>
        <v>6575</v>
      </c>
      <c r="D21" s="80">
        <f t="shared" ref="D21:O21" si="3">SUM(D11:D20)</f>
        <v>6575</v>
      </c>
      <c r="E21" s="80">
        <f t="shared" si="3"/>
        <v>7575</v>
      </c>
      <c r="F21" s="80">
        <f t="shared" si="3"/>
        <v>6575</v>
      </c>
      <c r="G21" s="80">
        <f t="shared" si="3"/>
        <v>6575</v>
      </c>
      <c r="H21" s="80">
        <f t="shared" si="3"/>
        <v>8075</v>
      </c>
      <c r="I21" s="80">
        <f t="shared" si="3"/>
        <v>6575</v>
      </c>
      <c r="J21" s="80">
        <f t="shared" si="3"/>
        <v>6575</v>
      </c>
      <c r="K21" s="80">
        <f t="shared" si="3"/>
        <v>6575</v>
      </c>
      <c r="L21" s="80">
        <f t="shared" si="3"/>
        <v>8075</v>
      </c>
      <c r="M21" s="80">
        <f t="shared" si="3"/>
        <v>6575</v>
      </c>
      <c r="N21" s="80">
        <f t="shared" si="3"/>
        <v>6575</v>
      </c>
      <c r="O21" s="80">
        <f t="shared" si="3"/>
        <v>82900</v>
      </c>
      <c r="P21" s="72"/>
    </row>
    <row r="22" spans="1:16" ht="15.75" thickBot="1" x14ac:dyDescent="0.3">
      <c r="A22" s="25"/>
      <c r="B22" s="81" t="s">
        <v>1284</v>
      </c>
      <c r="C22" s="82">
        <f t="shared" ref="C22:O22" si="4">C21/C27</f>
        <v>0.10332142857142858</v>
      </c>
      <c r="D22" s="82">
        <f t="shared" si="4"/>
        <v>0.10332142857142858</v>
      </c>
      <c r="E22" s="82">
        <f t="shared" si="4"/>
        <v>9.2583333333333337E-2</v>
      </c>
      <c r="F22" s="82">
        <f t="shared" si="4"/>
        <v>6.5750000000000003E-2</v>
      </c>
      <c r="G22" s="82">
        <f t="shared" si="4"/>
        <v>4.8216666666666672E-2</v>
      </c>
      <c r="H22" s="82">
        <f t="shared" si="4"/>
        <v>4.6750000000000007E-2</v>
      </c>
      <c r="I22" s="82">
        <f t="shared" si="4"/>
        <v>4.8216666666666672E-2</v>
      </c>
      <c r="J22" s="82">
        <f t="shared" si="4"/>
        <v>0.10332142857142858</v>
      </c>
      <c r="K22" s="82">
        <f t="shared" si="4"/>
        <v>8.0361111111111119E-2</v>
      </c>
      <c r="L22" s="82">
        <f t="shared" si="4"/>
        <v>9.869444444444446E-2</v>
      </c>
      <c r="M22" s="82">
        <f t="shared" si="4"/>
        <v>0.10332142857142858</v>
      </c>
      <c r="N22" s="82">
        <f t="shared" si="4"/>
        <v>6.5750000000000003E-2</v>
      </c>
      <c r="O22" s="83">
        <f t="shared" si="4"/>
        <v>7.2373015873015895E-2</v>
      </c>
      <c r="P22" s="72"/>
    </row>
    <row r="23" spans="1:16" ht="15.75" thickBot="1" x14ac:dyDescent="0.3">
      <c r="A23" s="25"/>
      <c r="B23" s="84" t="s">
        <v>1285</v>
      </c>
      <c r="C23" s="85">
        <f>C27*30%</f>
        <v>19090.909090909088</v>
      </c>
      <c r="D23" s="85">
        <f t="shared" ref="D23:N23" si="5">D27*30%</f>
        <v>19090.909090909088</v>
      </c>
      <c r="E23" s="85">
        <f t="shared" si="5"/>
        <v>24545.45454545454</v>
      </c>
      <c r="F23" s="85">
        <f t="shared" si="5"/>
        <v>29999.999999999993</v>
      </c>
      <c r="G23" s="85">
        <f t="shared" si="5"/>
        <v>40909.090909090904</v>
      </c>
      <c r="H23" s="85">
        <f t="shared" si="5"/>
        <v>51818.181818181809</v>
      </c>
      <c r="I23" s="85">
        <f t="shared" si="5"/>
        <v>40909.090909090904</v>
      </c>
      <c r="J23" s="85">
        <f t="shared" si="5"/>
        <v>19090.909090909088</v>
      </c>
      <c r="K23" s="85">
        <f t="shared" si="5"/>
        <v>24545.45454545454</v>
      </c>
      <c r="L23" s="85">
        <f t="shared" si="5"/>
        <v>24545.45454545454</v>
      </c>
      <c r="M23" s="85">
        <f t="shared" si="5"/>
        <v>19090.909090909088</v>
      </c>
      <c r="N23" s="85">
        <f t="shared" si="5"/>
        <v>29999.999999999993</v>
      </c>
      <c r="O23" s="86">
        <f>SUM(C23:N23)</f>
        <v>343636.36363636353</v>
      </c>
      <c r="P23" s="72"/>
    </row>
    <row r="24" spans="1:16" ht="16.5" thickBot="1" x14ac:dyDescent="0.3">
      <c r="A24" s="25"/>
      <c r="B24" s="87" t="s">
        <v>1286</v>
      </c>
      <c r="C24" s="88">
        <f>SUM(C8+C5+C21+C23)</f>
        <v>55765.909090909088</v>
      </c>
      <c r="D24" s="88">
        <f t="shared" ref="D24:H24" si="6">SUM(D8+D5+D21+D23)</f>
        <v>55765.909090909088</v>
      </c>
      <c r="E24" s="88">
        <f t="shared" si="6"/>
        <v>62220.454545454544</v>
      </c>
      <c r="F24" s="88">
        <f t="shared" si="6"/>
        <v>69675</v>
      </c>
      <c r="G24" s="88">
        <f t="shared" si="6"/>
        <v>82584.090909090912</v>
      </c>
      <c r="H24" s="88">
        <f t="shared" si="6"/>
        <v>97993.181818181809</v>
      </c>
      <c r="I24" s="88">
        <f>SUM(I8+I5+I21+I23+I6)</f>
        <v>85584.090909090912</v>
      </c>
      <c r="J24" s="88">
        <f>SUM(J8+J5+J21+J23+J6)</f>
        <v>58765.909090909088</v>
      </c>
      <c r="K24" s="88">
        <f t="shared" ref="K24:N24" si="7">SUM(K8+K5+K21+K23+K6)</f>
        <v>64220.454545454544</v>
      </c>
      <c r="L24" s="88">
        <f t="shared" si="7"/>
        <v>62720.454545454544</v>
      </c>
      <c r="M24" s="88">
        <f t="shared" si="7"/>
        <v>55765.909090909088</v>
      </c>
      <c r="N24" s="88">
        <f t="shared" si="7"/>
        <v>66675</v>
      </c>
      <c r="O24" s="88">
        <f>SUM(O8+O5+O21+O23+O6)</f>
        <v>817736.36363636353</v>
      </c>
      <c r="P24" s="72"/>
    </row>
    <row r="25" spans="1:16" ht="16.5" thickBot="1" x14ac:dyDescent="0.3">
      <c r="A25" s="25"/>
      <c r="B25" s="89" t="s">
        <v>1287</v>
      </c>
      <c r="C25" s="90">
        <f t="shared" ref="C25:O25" si="8">C23/C27</f>
        <v>0.3</v>
      </c>
      <c r="D25" s="90">
        <f t="shared" si="8"/>
        <v>0.3</v>
      </c>
      <c r="E25" s="90">
        <f t="shared" si="8"/>
        <v>0.3</v>
      </c>
      <c r="F25" s="90">
        <f t="shared" si="8"/>
        <v>0.3</v>
      </c>
      <c r="G25" s="90">
        <f t="shared" si="8"/>
        <v>0.3</v>
      </c>
      <c r="H25" s="90">
        <f t="shared" si="8"/>
        <v>0.3</v>
      </c>
      <c r="I25" s="90">
        <f t="shared" si="8"/>
        <v>0.3</v>
      </c>
      <c r="J25" s="90">
        <f t="shared" si="8"/>
        <v>0.3</v>
      </c>
      <c r="K25" s="90">
        <f t="shared" si="8"/>
        <v>0.3</v>
      </c>
      <c r="L25" s="90">
        <f t="shared" si="8"/>
        <v>0.3</v>
      </c>
      <c r="M25" s="90">
        <f t="shared" si="8"/>
        <v>0.3</v>
      </c>
      <c r="N25" s="90">
        <f t="shared" si="8"/>
        <v>0.3</v>
      </c>
      <c r="O25" s="90">
        <f t="shared" si="8"/>
        <v>0.3</v>
      </c>
      <c r="P25" s="72"/>
    </row>
    <row r="26" spans="1:16" ht="15.75" thickBot="1" x14ac:dyDescent="0.3">
      <c r="A26" s="25"/>
      <c r="B26" s="76"/>
      <c r="C26" s="78"/>
      <c r="D26" s="78"/>
      <c r="E26" s="78"/>
      <c r="F26" s="78"/>
      <c r="G26" s="78"/>
      <c r="H26" s="78"/>
      <c r="I26" s="78"/>
      <c r="J26" s="78"/>
      <c r="K26" s="78"/>
      <c r="L26" s="78"/>
      <c r="M26" s="78"/>
      <c r="N26" s="78"/>
      <c r="O26" s="79"/>
      <c r="P26" s="72"/>
    </row>
    <row r="27" spans="1:16" ht="15.75" x14ac:dyDescent="0.25">
      <c r="A27" s="25"/>
      <c r="B27" s="91" t="s">
        <v>1288</v>
      </c>
      <c r="C27" s="92">
        <f t="shared" ref="C27:F27" si="9">C28/1.1</f>
        <v>63636.363636363632</v>
      </c>
      <c r="D27" s="92">
        <f t="shared" si="9"/>
        <v>63636.363636363632</v>
      </c>
      <c r="E27" s="92">
        <f t="shared" si="9"/>
        <v>81818.181818181809</v>
      </c>
      <c r="F27" s="92">
        <f t="shared" si="9"/>
        <v>99999.999999999985</v>
      </c>
      <c r="G27" s="92">
        <f>G28/1.1</f>
        <v>136363.63636363635</v>
      </c>
      <c r="H27" s="92">
        <f>H28/1.1</f>
        <v>172727.27272727271</v>
      </c>
      <c r="I27" s="92">
        <f t="shared" ref="I27:N27" si="10">I28/1.1</f>
        <v>136363.63636363635</v>
      </c>
      <c r="J27" s="92">
        <f t="shared" si="10"/>
        <v>63636.363636363632</v>
      </c>
      <c r="K27" s="92">
        <f t="shared" si="10"/>
        <v>81818.181818181809</v>
      </c>
      <c r="L27" s="92">
        <f t="shared" si="10"/>
        <v>81818.181818181809</v>
      </c>
      <c r="M27" s="92">
        <f t="shared" si="10"/>
        <v>63636.363636363632</v>
      </c>
      <c r="N27" s="92">
        <f t="shared" si="10"/>
        <v>99999.999999999985</v>
      </c>
      <c r="O27" s="93">
        <f>SUM(C27:N27)</f>
        <v>1145454.5454545452</v>
      </c>
      <c r="P27" s="66"/>
    </row>
    <row r="28" spans="1:16" ht="15.75" x14ac:dyDescent="0.25">
      <c r="A28" s="25"/>
      <c r="B28" s="94" t="s">
        <v>1299</v>
      </c>
      <c r="C28" s="95">
        <v>70000</v>
      </c>
      <c r="D28" s="95">
        <v>70000</v>
      </c>
      <c r="E28" s="95">
        <v>90000</v>
      </c>
      <c r="F28" s="95">
        <v>110000</v>
      </c>
      <c r="G28" s="95">
        <v>150000</v>
      </c>
      <c r="H28" s="95">
        <v>190000</v>
      </c>
      <c r="I28" s="95">
        <v>150000</v>
      </c>
      <c r="J28" s="95">
        <v>70000</v>
      </c>
      <c r="K28" s="95">
        <v>90000</v>
      </c>
      <c r="L28" s="95">
        <v>90000</v>
      </c>
      <c r="M28" s="95">
        <v>70000</v>
      </c>
      <c r="N28" s="95">
        <v>110000</v>
      </c>
      <c r="O28" s="96">
        <f>SUM(C28:N28)</f>
        <v>1260000</v>
      </c>
      <c r="P28" s="66"/>
    </row>
    <row r="29" spans="1:16" ht="15.75" x14ac:dyDescent="0.25">
      <c r="A29" s="25"/>
      <c r="B29" s="119" t="s">
        <v>1290</v>
      </c>
      <c r="C29" s="120"/>
      <c r="D29" s="120"/>
      <c r="E29" s="120"/>
      <c r="F29" s="120"/>
      <c r="G29" s="120"/>
      <c r="H29" s="120"/>
      <c r="I29" s="120"/>
      <c r="J29" s="120"/>
      <c r="K29" s="120"/>
      <c r="L29" s="120"/>
      <c r="M29" s="120"/>
      <c r="N29" s="120"/>
      <c r="O29" s="121">
        <f>SUM(C29:N29)</f>
        <v>0</v>
      </c>
      <c r="P29" s="66"/>
    </row>
    <row r="30" spans="1:16" ht="15.75" x14ac:dyDescent="0.25">
      <c r="A30" s="25"/>
      <c r="B30" s="119" t="s">
        <v>1291</v>
      </c>
      <c r="C30" s="120"/>
      <c r="D30" s="120"/>
      <c r="E30" s="120"/>
      <c r="F30" s="120"/>
      <c r="G30" s="120"/>
      <c r="H30" s="120"/>
      <c r="I30" s="120"/>
      <c r="J30" s="120"/>
      <c r="K30" s="120"/>
      <c r="L30" s="120"/>
      <c r="M30" s="120"/>
      <c r="N30" s="120"/>
      <c r="O30" s="121">
        <f>SUM(C30:N30)</f>
        <v>0</v>
      </c>
      <c r="P30" s="66"/>
    </row>
    <row r="31" spans="1:16" ht="15.75" x14ac:dyDescent="0.25">
      <c r="A31" s="25"/>
      <c r="B31" s="119" t="s">
        <v>1292</v>
      </c>
      <c r="C31" s="120"/>
      <c r="D31" s="120"/>
      <c r="E31" s="120"/>
      <c r="F31" s="120"/>
      <c r="G31" s="120"/>
      <c r="H31" s="120"/>
      <c r="I31" s="120"/>
      <c r="J31" s="120"/>
      <c r="K31" s="120"/>
      <c r="L31" s="120"/>
      <c r="M31" s="120"/>
      <c r="N31" s="120"/>
      <c r="O31" s="121">
        <f>SUM(C31:N31)</f>
        <v>0</v>
      </c>
      <c r="P31" s="66"/>
    </row>
    <row r="32" spans="1:16" ht="15.75" thickBot="1" x14ac:dyDescent="0.3">
      <c r="A32" s="25"/>
      <c r="B32" s="100" t="s">
        <v>1293</v>
      </c>
      <c r="C32" s="101">
        <f t="shared" ref="C32:N32" si="11">C27-C24</f>
        <v>7870.4545454545441</v>
      </c>
      <c r="D32" s="101">
        <f t="shared" si="11"/>
        <v>7870.4545454545441</v>
      </c>
      <c r="E32" s="101">
        <f t="shared" si="11"/>
        <v>19597.727272727265</v>
      </c>
      <c r="F32" s="101">
        <f t="shared" si="11"/>
        <v>30324.999999999985</v>
      </c>
      <c r="G32" s="101">
        <f t="shared" si="11"/>
        <v>53779.545454545441</v>
      </c>
      <c r="H32" s="101">
        <f t="shared" si="11"/>
        <v>74734.090909090897</v>
      </c>
      <c r="I32" s="101">
        <f t="shared" si="11"/>
        <v>50779.545454545441</v>
      </c>
      <c r="J32" s="101">
        <f t="shared" si="11"/>
        <v>4870.4545454545441</v>
      </c>
      <c r="K32" s="101">
        <f t="shared" si="11"/>
        <v>17597.727272727265</v>
      </c>
      <c r="L32" s="101">
        <f t="shared" si="11"/>
        <v>19097.727272727265</v>
      </c>
      <c r="M32" s="101">
        <f t="shared" si="11"/>
        <v>7870.4545454545441</v>
      </c>
      <c r="N32" s="101">
        <f t="shared" si="11"/>
        <v>33324.999999999985</v>
      </c>
      <c r="O32" s="102">
        <f>O27-O24</f>
        <v>327718.18181818165</v>
      </c>
      <c r="P32" s="25"/>
    </row>
    <row r="33" spans="1:16" ht="15.75" thickBot="1" x14ac:dyDescent="0.3">
      <c r="A33" s="25"/>
      <c r="B33" s="103"/>
      <c r="C33" s="104">
        <f t="shared" ref="C33:O33" si="12">C32/C24</f>
        <v>0.1411337979378082</v>
      </c>
      <c r="D33" s="104">
        <f t="shared" si="12"/>
        <v>0.1411337979378082</v>
      </c>
      <c r="E33" s="104">
        <f t="shared" si="12"/>
        <v>0.3149724221061474</v>
      </c>
      <c r="F33" s="105">
        <f t="shared" si="12"/>
        <v>0.43523501973448131</v>
      </c>
      <c r="G33" s="105">
        <f t="shared" si="12"/>
        <v>0.65120951096678303</v>
      </c>
      <c r="H33" s="105">
        <f t="shared" si="12"/>
        <v>0.76264582415288629</v>
      </c>
      <c r="I33" s="105">
        <f t="shared" si="12"/>
        <v>0.59332926149188714</v>
      </c>
      <c r="J33" s="104">
        <f t="shared" si="12"/>
        <v>8.2878910933209551E-2</v>
      </c>
      <c r="K33" s="105">
        <f t="shared" si="12"/>
        <v>0.27402059666631268</v>
      </c>
      <c r="L33" s="105">
        <f t="shared" si="12"/>
        <v>0.30448961843678651</v>
      </c>
      <c r="M33" s="104">
        <f t="shared" si="12"/>
        <v>0.1411337979378082</v>
      </c>
      <c r="N33" s="105">
        <f t="shared" si="12"/>
        <v>0.49981252343457044</v>
      </c>
      <c r="O33" s="106">
        <f t="shared" si="12"/>
        <v>0.40076263743593721</v>
      </c>
      <c r="P33" s="107"/>
    </row>
    <row r="34" spans="1:16" x14ac:dyDescent="0.25">
      <c r="A34" s="25"/>
      <c r="B34" s="108" t="s">
        <v>1294</v>
      </c>
      <c r="C34" s="109">
        <v>14000</v>
      </c>
      <c r="D34" s="109">
        <v>14000</v>
      </c>
      <c r="E34" s="109">
        <v>14000</v>
      </c>
      <c r="F34" s="109">
        <v>14000</v>
      </c>
      <c r="G34" s="109">
        <v>14000</v>
      </c>
      <c r="H34" s="109">
        <v>14000</v>
      </c>
      <c r="I34" s="109">
        <v>14000</v>
      </c>
      <c r="J34" s="109">
        <v>14000</v>
      </c>
      <c r="K34" s="109">
        <v>14000</v>
      </c>
      <c r="L34" s="109">
        <v>14000</v>
      </c>
      <c r="M34" s="109">
        <v>14000</v>
      </c>
      <c r="N34" s="109">
        <v>14000</v>
      </c>
      <c r="O34" s="110">
        <f>SUM(C34:N34)</f>
        <v>168000</v>
      </c>
      <c r="P34" s="107"/>
    </row>
    <row r="35" spans="1:16" ht="15.75" thickBot="1" x14ac:dyDescent="0.3">
      <c r="A35" s="25"/>
      <c r="B35" s="111" t="s">
        <v>1295</v>
      </c>
      <c r="C35" s="112">
        <v>5000</v>
      </c>
      <c r="D35" s="112">
        <v>5000</v>
      </c>
      <c r="E35" s="112">
        <v>5000</v>
      </c>
      <c r="F35" s="112">
        <v>5000</v>
      </c>
      <c r="G35" s="112">
        <v>5000</v>
      </c>
      <c r="H35" s="112">
        <v>5000</v>
      </c>
      <c r="I35" s="112">
        <v>5000</v>
      </c>
      <c r="J35" s="112">
        <v>5000</v>
      </c>
      <c r="K35" s="112">
        <v>5000</v>
      </c>
      <c r="L35" s="112">
        <v>5000</v>
      </c>
      <c r="M35" s="112">
        <v>5000</v>
      </c>
      <c r="N35" s="112">
        <v>5000</v>
      </c>
      <c r="O35" s="113">
        <f>SUM(C35:N35)</f>
        <v>60000</v>
      </c>
      <c r="P35" s="107"/>
    </row>
    <row r="36" spans="1:16" ht="21.75" thickBot="1" x14ac:dyDescent="0.4">
      <c r="A36" s="25"/>
      <c r="B36" s="114" t="s">
        <v>1296</v>
      </c>
      <c r="C36" s="115">
        <f>C32-(C35+C34)</f>
        <v>-11129.545454545456</v>
      </c>
      <c r="D36" s="115">
        <f t="shared" ref="D36:N36" si="13">D32-(D35+D34)</f>
        <v>-11129.545454545456</v>
      </c>
      <c r="E36" s="115">
        <f t="shared" si="13"/>
        <v>597.72727272726479</v>
      </c>
      <c r="F36" s="115">
        <f t="shared" si="13"/>
        <v>11324.999999999985</v>
      </c>
      <c r="G36" s="115">
        <f t="shared" si="13"/>
        <v>34779.545454545441</v>
      </c>
      <c r="H36" s="115">
        <f t="shared" si="13"/>
        <v>55734.090909090897</v>
      </c>
      <c r="I36" s="115">
        <f t="shared" si="13"/>
        <v>31779.545454545441</v>
      </c>
      <c r="J36" s="115">
        <f t="shared" si="13"/>
        <v>-14129.545454545456</v>
      </c>
      <c r="K36" s="115">
        <f t="shared" si="13"/>
        <v>-1402.2727272727352</v>
      </c>
      <c r="L36" s="115">
        <f t="shared" si="13"/>
        <v>97.72727272726479</v>
      </c>
      <c r="M36" s="115">
        <f t="shared" si="13"/>
        <v>-11129.545454545456</v>
      </c>
      <c r="N36" s="115">
        <f t="shared" si="13"/>
        <v>14324.999999999985</v>
      </c>
      <c r="O36" s="116">
        <f>O32-(O35+O34)</f>
        <v>99718.181818181649</v>
      </c>
      <c r="P36" s="107"/>
    </row>
    <row r="37" spans="1:16" x14ac:dyDescent="0.25">
      <c r="A37" s="25"/>
      <c r="B37" s="25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8"/>
      <c r="P37" s="25"/>
    </row>
  </sheetData>
  <conditionalFormatting sqref="A25:XFD25">
    <cfRule type="colorScale" priority="1">
      <colorScale>
        <cfvo type="percent" val="35"/>
        <cfvo type="percent" val="100"/>
        <color theme="9" tint="0.79998168889431442"/>
        <color rgb="FFFF7C80"/>
      </colorScale>
    </cfRule>
  </conditionalFormatting>
  <conditionalFormatting sqref="C32:O32">
    <cfRule type="colorScale" priority="2">
      <colorScale>
        <cfvo type="num" val="0"/>
        <cfvo type="num" val="0"/>
        <color rgb="FFFF7C80"/>
        <color theme="9" tint="0.79998168889431442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91CF6-6039-4E65-834A-2A232E66BE79}">
  <dimension ref="A1:P37"/>
  <sheetViews>
    <sheetView workbookViewId="0">
      <selection sqref="A1:XFD1048576"/>
    </sheetView>
  </sheetViews>
  <sheetFormatPr baseColWidth="10" defaultRowHeight="15" x14ac:dyDescent="0.25"/>
  <cols>
    <col min="1" max="1" width="16.140625" bestFit="1" customWidth="1"/>
    <col min="2" max="2" width="36.42578125" bestFit="1" customWidth="1"/>
    <col min="3" max="3" width="16.42578125" bestFit="1" customWidth="1"/>
    <col min="4" max="4" width="14.7109375" customWidth="1"/>
    <col min="5" max="7" width="13.5703125" bestFit="1" customWidth="1"/>
    <col min="8" max="9" width="13.7109375" bestFit="1" customWidth="1"/>
    <col min="10" max="13" width="13.5703125" bestFit="1" customWidth="1"/>
    <col min="14" max="14" width="13.7109375" bestFit="1" customWidth="1"/>
    <col min="15" max="15" width="17.42578125" bestFit="1" customWidth="1"/>
    <col min="16" max="16" width="21.7109375" bestFit="1" customWidth="1"/>
  </cols>
  <sheetData>
    <row r="1" spans="1:16" x14ac:dyDescent="0.25">
      <c r="A1" s="25"/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</row>
    <row r="2" spans="1:16" ht="15.75" x14ac:dyDescent="0.25">
      <c r="A2" s="25"/>
      <c r="B2" s="25"/>
      <c r="C2" s="57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</row>
    <row r="3" spans="1:16" ht="15.75" thickBot="1" x14ac:dyDescent="0.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</row>
    <row r="4" spans="1:16" ht="19.5" thickBot="1" x14ac:dyDescent="0.35">
      <c r="A4" s="25"/>
      <c r="B4" s="58" t="s">
        <v>1267</v>
      </c>
      <c r="C4" s="59" t="s">
        <v>1241</v>
      </c>
      <c r="D4" s="60" t="s">
        <v>1242</v>
      </c>
      <c r="E4" s="60" t="s">
        <v>1243</v>
      </c>
      <c r="F4" s="60" t="s">
        <v>1244</v>
      </c>
      <c r="G4" s="60" t="s">
        <v>1245</v>
      </c>
      <c r="H4" s="60" t="s">
        <v>1246</v>
      </c>
      <c r="I4" s="61" t="s">
        <v>1247</v>
      </c>
      <c r="J4" s="61" t="s">
        <v>1248</v>
      </c>
      <c r="K4" s="61" t="s">
        <v>1249</v>
      </c>
      <c r="L4" s="61" t="s">
        <v>1250</v>
      </c>
      <c r="M4" s="61" t="s">
        <v>1251</v>
      </c>
      <c r="N4" s="62" t="s">
        <v>1252</v>
      </c>
      <c r="O4" s="25"/>
      <c r="P4" s="25"/>
    </row>
    <row r="5" spans="1:16" x14ac:dyDescent="0.25">
      <c r="A5" s="25"/>
      <c r="B5" s="63" t="s">
        <v>1268</v>
      </c>
      <c r="C5" s="64">
        <f>'[1]CALCULO PERSONAL'!$J$32</f>
        <v>15051.039300000002</v>
      </c>
      <c r="D5" s="64">
        <f>'[1]CALCULO PERSONAL'!$J$32</f>
        <v>15051.039300000002</v>
      </c>
      <c r="E5" s="64">
        <f>'[1]CALCULO PERSONAL'!$J$32</f>
        <v>15051.039300000002</v>
      </c>
      <c r="F5" s="64">
        <f>'[1]CALCULO PERSONAL'!$J$32</f>
        <v>15051.039300000002</v>
      </c>
      <c r="G5" s="64">
        <f>'[1]CALCULO PERSONAL'!$J$32</f>
        <v>15051.039300000002</v>
      </c>
      <c r="H5" s="64">
        <f>'[1]CALCULO PERSONAL'!$J$32</f>
        <v>15051.039300000002</v>
      </c>
      <c r="I5" s="64">
        <f>'[1]CALCULO PERSONAL'!$J$32</f>
        <v>15051.039300000002</v>
      </c>
      <c r="J5" s="64">
        <f>'[1]CALCULO PERSONAL'!$J$32</f>
        <v>15051.039300000002</v>
      </c>
      <c r="K5" s="64">
        <f>'[1]CALCULO PERSONAL'!$J$32</f>
        <v>15051.039300000002</v>
      </c>
      <c r="L5" s="64">
        <f>'[1]CALCULO PERSONAL'!$J$32</f>
        <v>15051.039300000002</v>
      </c>
      <c r="M5" s="64">
        <f>'[1]CALCULO PERSONAL'!$J$32</f>
        <v>15051.039300000002</v>
      </c>
      <c r="N5" s="64">
        <f>'[1]CALCULO PERSONAL'!$J$32</f>
        <v>15051.039300000002</v>
      </c>
      <c r="O5" s="65">
        <f>SUM(C5:N5)</f>
        <v>180612.47160000002</v>
      </c>
      <c r="P5" s="66"/>
    </row>
    <row r="6" spans="1:16" x14ac:dyDescent="0.25">
      <c r="A6" s="25"/>
      <c r="B6" s="67"/>
      <c r="C6" s="68"/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9">
        <f>SUM(I6:N6)</f>
        <v>0</v>
      </c>
      <c r="P6" s="66"/>
    </row>
    <row r="7" spans="1:16" ht="15.75" thickBot="1" x14ac:dyDescent="0.3">
      <c r="A7" s="25"/>
      <c r="B7" s="70" t="s">
        <v>1269</v>
      </c>
      <c r="C7" s="71">
        <f t="shared" ref="C7:O7" si="0">C5/C27</f>
        <v>0.3010207860000001</v>
      </c>
      <c r="D7" s="71">
        <f t="shared" si="0"/>
        <v>0.3010207860000001</v>
      </c>
      <c r="E7" s="71">
        <f t="shared" si="0"/>
        <v>0.3010207860000001</v>
      </c>
      <c r="F7" s="71">
        <f t="shared" si="0"/>
        <v>0.19030049689655176</v>
      </c>
      <c r="G7" s="71">
        <f t="shared" si="0"/>
        <v>0.17802304548387099</v>
      </c>
      <c r="H7" s="71">
        <f t="shared" si="0"/>
        <v>0.15919368490384617</v>
      </c>
      <c r="I7" s="71">
        <f t="shared" si="0"/>
        <v>0.15051039300000005</v>
      </c>
      <c r="J7" s="71">
        <f t="shared" si="0"/>
        <v>0.38502658674418611</v>
      </c>
      <c r="K7" s="71">
        <f t="shared" si="0"/>
        <v>0.19477815564705886</v>
      </c>
      <c r="L7" s="71">
        <f t="shared" si="0"/>
        <v>0.29045865315789476</v>
      </c>
      <c r="M7" s="71">
        <f t="shared" si="0"/>
        <v>0.3010207860000001</v>
      </c>
      <c r="N7" s="71">
        <f t="shared" si="0"/>
        <v>0.15051039300000005</v>
      </c>
      <c r="O7" s="71">
        <f t="shared" si="0"/>
        <v>0.21856294693069311</v>
      </c>
      <c r="P7" s="72"/>
    </row>
    <row r="8" spans="1:16" x14ac:dyDescent="0.25">
      <c r="A8" s="25"/>
      <c r="B8" s="73" t="s">
        <v>1270</v>
      </c>
      <c r="C8" s="74">
        <v>7200</v>
      </c>
      <c r="D8" s="74">
        <v>7200</v>
      </c>
      <c r="E8" s="74">
        <v>7200</v>
      </c>
      <c r="F8" s="74">
        <v>7200</v>
      </c>
      <c r="G8" s="74">
        <v>7200</v>
      </c>
      <c r="H8" s="74">
        <v>7200</v>
      </c>
      <c r="I8" s="74">
        <v>7200</v>
      </c>
      <c r="J8" s="74">
        <v>7200</v>
      </c>
      <c r="K8" s="74">
        <v>7200</v>
      </c>
      <c r="L8" s="74">
        <v>7200</v>
      </c>
      <c r="M8" s="74">
        <v>7200</v>
      </c>
      <c r="N8" s="74">
        <v>7200</v>
      </c>
      <c r="O8" s="75">
        <f>SUM(C8:N8)</f>
        <v>86400</v>
      </c>
      <c r="P8" s="72"/>
    </row>
    <row r="9" spans="1:16" x14ac:dyDescent="0.25">
      <c r="A9" s="25"/>
      <c r="B9" s="73" t="s">
        <v>1271</v>
      </c>
      <c r="C9" s="74">
        <v>2100</v>
      </c>
      <c r="D9" s="74">
        <v>2100</v>
      </c>
      <c r="E9" s="74">
        <v>2100</v>
      </c>
      <c r="F9" s="74">
        <v>2100</v>
      </c>
      <c r="G9" s="74">
        <v>2100</v>
      </c>
      <c r="H9" s="74">
        <v>2100</v>
      </c>
      <c r="I9" s="74">
        <v>2100</v>
      </c>
      <c r="J9" s="74">
        <v>2100</v>
      </c>
      <c r="K9" s="74">
        <v>2100</v>
      </c>
      <c r="L9" s="74">
        <v>2100</v>
      </c>
      <c r="M9" s="74">
        <v>2100</v>
      </c>
      <c r="N9" s="74">
        <v>2100</v>
      </c>
      <c r="O9" s="75">
        <f>SUM(C9:N9)</f>
        <v>25200</v>
      </c>
      <c r="P9" s="72"/>
    </row>
    <row r="10" spans="1:16" x14ac:dyDescent="0.25">
      <c r="A10" s="25"/>
      <c r="B10" s="76" t="s">
        <v>1272</v>
      </c>
      <c r="C10" s="77">
        <f>(C8+C9)/C27</f>
        <v>0.18600000000000003</v>
      </c>
      <c r="D10" s="77">
        <f t="shared" ref="D10:N10" si="1">(D8+D9)/D27</f>
        <v>0.18600000000000003</v>
      </c>
      <c r="E10" s="77">
        <f t="shared" si="1"/>
        <v>0.18600000000000003</v>
      </c>
      <c r="F10" s="77">
        <f t="shared" si="1"/>
        <v>0.11758620689655173</v>
      </c>
      <c r="G10" s="77">
        <f t="shared" si="1"/>
        <v>0.11</v>
      </c>
      <c r="H10" s="77">
        <f t="shared" si="1"/>
        <v>9.8365384615384618E-2</v>
      </c>
      <c r="I10" s="77">
        <f t="shared" si="1"/>
        <v>9.3000000000000013E-2</v>
      </c>
      <c r="J10" s="77">
        <f t="shared" si="1"/>
        <v>0.23790697674418607</v>
      </c>
      <c r="K10" s="77">
        <f t="shared" si="1"/>
        <v>0.12035294117647061</v>
      </c>
      <c r="L10" s="77">
        <f t="shared" si="1"/>
        <v>0.17947368421052631</v>
      </c>
      <c r="M10" s="77">
        <f t="shared" si="1"/>
        <v>0.18600000000000003</v>
      </c>
      <c r="N10" s="77">
        <f t="shared" si="1"/>
        <v>9.3000000000000013E-2</v>
      </c>
      <c r="O10" s="77">
        <f>(O8+O9)/O27</f>
        <v>0.13504950495049506</v>
      </c>
      <c r="P10" s="72"/>
    </row>
    <row r="11" spans="1:16" x14ac:dyDescent="0.25">
      <c r="A11" s="25"/>
      <c r="B11" s="76" t="s">
        <v>1273</v>
      </c>
      <c r="C11" s="78">
        <v>1500</v>
      </c>
      <c r="D11" s="78">
        <v>1500</v>
      </c>
      <c r="E11" s="78">
        <v>1500</v>
      </c>
      <c r="F11" s="78">
        <v>1500</v>
      </c>
      <c r="G11" s="78">
        <v>1500</v>
      </c>
      <c r="H11" s="78">
        <v>1500</v>
      </c>
      <c r="I11" s="78">
        <v>1500</v>
      </c>
      <c r="J11" s="78">
        <v>1500</v>
      </c>
      <c r="K11" s="78">
        <v>1500</v>
      </c>
      <c r="L11" s="78">
        <v>1500</v>
      </c>
      <c r="M11" s="78">
        <v>1500</v>
      </c>
      <c r="N11" s="78">
        <v>1500</v>
      </c>
      <c r="O11" s="79">
        <f t="shared" ref="O11:O19" si="2">SUM(C11:N11)</f>
        <v>18000</v>
      </c>
      <c r="P11" s="72"/>
    </row>
    <row r="12" spans="1:16" x14ac:dyDescent="0.25">
      <c r="A12" s="25"/>
      <c r="B12" s="76" t="s">
        <v>1274</v>
      </c>
      <c r="C12" s="78">
        <v>0</v>
      </c>
      <c r="D12" s="78">
        <v>0</v>
      </c>
      <c r="E12" s="78">
        <v>0</v>
      </c>
      <c r="F12" s="78">
        <v>0</v>
      </c>
      <c r="G12" s="78">
        <v>0</v>
      </c>
      <c r="H12" s="78">
        <v>0</v>
      </c>
      <c r="I12" s="78">
        <v>0</v>
      </c>
      <c r="J12" s="78">
        <v>0</v>
      </c>
      <c r="K12" s="78">
        <v>0</v>
      </c>
      <c r="L12" s="78">
        <v>0</v>
      </c>
      <c r="M12" s="78">
        <v>0</v>
      </c>
      <c r="N12" s="78">
        <v>0</v>
      </c>
      <c r="O12" s="79">
        <f>SUM(C12:N12)</f>
        <v>0</v>
      </c>
      <c r="P12" s="72"/>
    </row>
    <row r="13" spans="1:16" x14ac:dyDescent="0.25">
      <c r="A13" s="25"/>
      <c r="B13" s="76" t="s">
        <v>1275</v>
      </c>
      <c r="C13" s="78">
        <f>C28*3%</f>
        <v>1650</v>
      </c>
      <c r="D13" s="78">
        <f t="shared" ref="D13:N13" si="3">D28*3%</f>
        <v>1650</v>
      </c>
      <c r="E13" s="78">
        <f t="shared" si="3"/>
        <v>1650</v>
      </c>
      <c r="F13" s="78">
        <f t="shared" si="3"/>
        <v>2610</v>
      </c>
      <c r="G13" s="78">
        <f t="shared" si="3"/>
        <v>2790</v>
      </c>
      <c r="H13" s="78">
        <f t="shared" si="3"/>
        <v>3120</v>
      </c>
      <c r="I13" s="78">
        <f t="shared" si="3"/>
        <v>3300</v>
      </c>
      <c r="J13" s="78">
        <f t="shared" si="3"/>
        <v>1290</v>
      </c>
      <c r="K13" s="78">
        <f t="shared" si="3"/>
        <v>2550</v>
      </c>
      <c r="L13" s="78">
        <f t="shared" si="3"/>
        <v>1710</v>
      </c>
      <c r="M13" s="78">
        <f t="shared" si="3"/>
        <v>1650</v>
      </c>
      <c r="N13" s="78">
        <f t="shared" si="3"/>
        <v>3300</v>
      </c>
      <c r="O13" s="79">
        <f t="shared" si="2"/>
        <v>27270</v>
      </c>
      <c r="P13" s="72">
        <v>0.03</v>
      </c>
    </row>
    <row r="14" spans="1:16" x14ac:dyDescent="0.25">
      <c r="A14" s="25"/>
      <c r="B14" s="76" t="s">
        <v>1276</v>
      </c>
      <c r="C14" s="78">
        <v>700</v>
      </c>
      <c r="D14" s="78">
        <v>700</v>
      </c>
      <c r="E14" s="78">
        <v>700</v>
      </c>
      <c r="F14" s="78">
        <v>700</v>
      </c>
      <c r="G14" s="78">
        <v>700</v>
      </c>
      <c r="H14" s="78">
        <v>700</v>
      </c>
      <c r="I14" s="78">
        <v>700</v>
      </c>
      <c r="J14" s="78">
        <v>700</v>
      </c>
      <c r="K14" s="78">
        <v>700</v>
      </c>
      <c r="L14" s="78">
        <v>700</v>
      </c>
      <c r="M14" s="78">
        <v>700</v>
      </c>
      <c r="N14" s="78">
        <v>700</v>
      </c>
      <c r="O14" s="79">
        <f t="shared" si="2"/>
        <v>8400</v>
      </c>
      <c r="P14" s="72"/>
    </row>
    <row r="15" spans="1:16" x14ac:dyDescent="0.25">
      <c r="A15" s="25"/>
      <c r="B15" s="76" t="s">
        <v>1277</v>
      </c>
      <c r="C15" s="78">
        <v>1500</v>
      </c>
      <c r="D15" s="78">
        <v>1500</v>
      </c>
      <c r="E15" s="78">
        <v>1500</v>
      </c>
      <c r="F15" s="78">
        <v>1500</v>
      </c>
      <c r="G15" s="78">
        <v>1500</v>
      </c>
      <c r="H15" s="78">
        <v>1500</v>
      </c>
      <c r="I15" s="78">
        <v>1500</v>
      </c>
      <c r="J15" s="78">
        <v>1500</v>
      </c>
      <c r="K15" s="78">
        <v>1500</v>
      </c>
      <c r="L15" s="78">
        <v>1500</v>
      </c>
      <c r="M15" s="78">
        <v>1500</v>
      </c>
      <c r="N15" s="78">
        <v>1500</v>
      </c>
      <c r="O15" s="79">
        <f t="shared" si="2"/>
        <v>18000</v>
      </c>
      <c r="P15" s="72"/>
    </row>
    <row r="16" spans="1:16" x14ac:dyDescent="0.25">
      <c r="A16" s="25"/>
      <c r="B16" s="76" t="s">
        <v>1278</v>
      </c>
      <c r="C16" s="78">
        <v>0</v>
      </c>
      <c r="D16" s="78">
        <v>0</v>
      </c>
      <c r="E16" s="78">
        <v>1500</v>
      </c>
      <c r="F16" s="78">
        <v>0</v>
      </c>
      <c r="G16" s="78">
        <v>0</v>
      </c>
      <c r="H16" s="78">
        <v>1500</v>
      </c>
      <c r="I16" s="78">
        <v>0</v>
      </c>
      <c r="J16" s="78">
        <v>0</v>
      </c>
      <c r="K16" s="78">
        <v>0</v>
      </c>
      <c r="L16" s="78">
        <v>1500</v>
      </c>
      <c r="M16" s="78">
        <v>0</v>
      </c>
      <c r="N16" s="78">
        <v>0</v>
      </c>
      <c r="O16" s="79">
        <f t="shared" si="2"/>
        <v>4500</v>
      </c>
      <c r="P16" s="72"/>
    </row>
    <row r="17" spans="1:16" x14ac:dyDescent="0.25">
      <c r="A17" s="25"/>
      <c r="B17" s="76" t="s">
        <v>1279</v>
      </c>
      <c r="C17" s="78">
        <v>500</v>
      </c>
      <c r="D17" s="78">
        <v>500</v>
      </c>
      <c r="E17" s="78">
        <v>500</v>
      </c>
      <c r="F17" s="78">
        <v>500</v>
      </c>
      <c r="G17" s="78">
        <v>500</v>
      </c>
      <c r="H17" s="78">
        <v>500</v>
      </c>
      <c r="I17" s="78">
        <v>500</v>
      </c>
      <c r="J17" s="78"/>
      <c r="K17" s="78">
        <v>500</v>
      </c>
      <c r="L17" s="78">
        <v>500</v>
      </c>
      <c r="M17" s="78">
        <v>500</v>
      </c>
      <c r="N17" s="78">
        <v>500</v>
      </c>
      <c r="O17" s="79">
        <f t="shared" si="2"/>
        <v>5500</v>
      </c>
      <c r="P17" s="72"/>
    </row>
    <row r="18" spans="1:16" x14ac:dyDescent="0.25">
      <c r="A18" s="25"/>
      <c r="B18" s="76" t="s">
        <v>1280</v>
      </c>
      <c r="C18" s="78">
        <v>0</v>
      </c>
      <c r="D18" s="78">
        <v>0</v>
      </c>
      <c r="E18" s="78">
        <v>0</v>
      </c>
      <c r="F18" s="78">
        <v>0</v>
      </c>
      <c r="G18" s="78">
        <v>0</v>
      </c>
      <c r="H18" s="78">
        <v>0</v>
      </c>
      <c r="I18" s="78">
        <v>0</v>
      </c>
      <c r="J18" s="78">
        <v>0</v>
      </c>
      <c r="K18" s="78">
        <v>0</v>
      </c>
      <c r="L18" s="78">
        <v>0</v>
      </c>
      <c r="M18" s="78">
        <v>0</v>
      </c>
      <c r="N18" s="78">
        <v>0</v>
      </c>
      <c r="O18" s="79">
        <f t="shared" si="2"/>
        <v>0</v>
      </c>
      <c r="P18" s="72"/>
    </row>
    <row r="19" spans="1:16" x14ac:dyDescent="0.25">
      <c r="A19" s="25"/>
      <c r="B19" s="76" t="s">
        <v>1281</v>
      </c>
      <c r="C19" s="78">
        <v>125</v>
      </c>
      <c r="D19" s="78">
        <v>125</v>
      </c>
      <c r="E19" s="78">
        <v>125</v>
      </c>
      <c r="F19" s="78">
        <v>125</v>
      </c>
      <c r="G19" s="78">
        <v>125</v>
      </c>
      <c r="H19" s="78">
        <v>125</v>
      </c>
      <c r="I19" s="78">
        <v>125</v>
      </c>
      <c r="J19" s="78">
        <v>125</v>
      </c>
      <c r="K19" s="78">
        <v>125</v>
      </c>
      <c r="L19" s="78">
        <v>125</v>
      </c>
      <c r="M19" s="78">
        <v>125</v>
      </c>
      <c r="N19" s="78">
        <v>125</v>
      </c>
      <c r="O19" s="79">
        <f t="shared" si="2"/>
        <v>1500</v>
      </c>
      <c r="P19" s="72"/>
    </row>
    <row r="20" spans="1:16" x14ac:dyDescent="0.25">
      <c r="A20" s="25"/>
      <c r="B20" s="76" t="s">
        <v>1282</v>
      </c>
      <c r="C20" s="78">
        <v>150</v>
      </c>
      <c r="D20" s="78">
        <v>150</v>
      </c>
      <c r="E20" s="78">
        <v>150</v>
      </c>
      <c r="F20" s="78">
        <v>150</v>
      </c>
      <c r="G20" s="78">
        <v>150</v>
      </c>
      <c r="H20" s="78">
        <v>150</v>
      </c>
      <c r="I20" s="78">
        <v>150</v>
      </c>
      <c r="J20" s="78">
        <v>150</v>
      </c>
      <c r="K20" s="78">
        <v>150</v>
      </c>
      <c r="L20" s="78">
        <v>150</v>
      </c>
      <c r="M20" s="78">
        <v>150</v>
      </c>
      <c r="N20" s="78">
        <v>150</v>
      </c>
      <c r="O20" s="79">
        <f>SUM(C20:N20)</f>
        <v>1800</v>
      </c>
      <c r="P20" s="72"/>
    </row>
    <row r="21" spans="1:16" x14ac:dyDescent="0.25">
      <c r="A21" s="25"/>
      <c r="B21" s="76" t="s">
        <v>1283</v>
      </c>
      <c r="C21" s="80">
        <f>SUM(C11:C20)</f>
        <v>6125</v>
      </c>
      <c r="D21" s="80">
        <f t="shared" ref="D21:O21" si="4">SUM(D11:D20)</f>
        <v>6125</v>
      </c>
      <c r="E21" s="80">
        <f t="shared" si="4"/>
        <v>7625</v>
      </c>
      <c r="F21" s="80">
        <f t="shared" si="4"/>
        <v>7085</v>
      </c>
      <c r="G21" s="80">
        <f t="shared" si="4"/>
        <v>7265</v>
      </c>
      <c r="H21" s="80">
        <f t="shared" si="4"/>
        <v>9095</v>
      </c>
      <c r="I21" s="80">
        <f t="shared" si="4"/>
        <v>7775</v>
      </c>
      <c r="J21" s="80">
        <f t="shared" si="4"/>
        <v>5265</v>
      </c>
      <c r="K21" s="80">
        <f t="shared" si="4"/>
        <v>7025</v>
      </c>
      <c r="L21" s="80">
        <f t="shared" si="4"/>
        <v>7685</v>
      </c>
      <c r="M21" s="80">
        <f t="shared" si="4"/>
        <v>6125</v>
      </c>
      <c r="N21" s="80">
        <f t="shared" si="4"/>
        <v>7775</v>
      </c>
      <c r="O21" s="80">
        <f t="shared" si="4"/>
        <v>84970</v>
      </c>
      <c r="P21" s="72"/>
    </row>
    <row r="22" spans="1:16" ht="15.75" thickBot="1" x14ac:dyDescent="0.3">
      <c r="A22" s="25"/>
      <c r="B22" s="81" t="s">
        <v>1284</v>
      </c>
      <c r="C22" s="82">
        <f t="shared" ref="C22:O22" si="5">C21/C27</f>
        <v>0.12250000000000001</v>
      </c>
      <c r="D22" s="82">
        <f t="shared" si="5"/>
        <v>0.12250000000000001</v>
      </c>
      <c r="E22" s="82">
        <f t="shared" si="5"/>
        <v>0.15250000000000002</v>
      </c>
      <c r="F22" s="82">
        <f t="shared" si="5"/>
        <v>8.9580459770114945E-2</v>
      </c>
      <c r="G22" s="82">
        <f t="shared" si="5"/>
        <v>8.5930107526881724E-2</v>
      </c>
      <c r="H22" s="82">
        <f t="shared" si="5"/>
        <v>9.6197115384615381E-2</v>
      </c>
      <c r="I22" s="82">
        <f t="shared" si="5"/>
        <v>7.7750000000000014E-2</v>
      </c>
      <c r="J22" s="82">
        <f t="shared" si="5"/>
        <v>0.13468604651162791</v>
      </c>
      <c r="K22" s="82">
        <f t="shared" si="5"/>
        <v>9.0911764705882359E-2</v>
      </c>
      <c r="L22" s="82">
        <f t="shared" si="5"/>
        <v>0.14830701754385966</v>
      </c>
      <c r="M22" s="82">
        <f t="shared" si="5"/>
        <v>0.12250000000000001</v>
      </c>
      <c r="N22" s="82">
        <f t="shared" si="5"/>
        <v>7.7750000000000014E-2</v>
      </c>
      <c r="O22" s="83">
        <f t="shared" si="5"/>
        <v>0.10282398239823984</v>
      </c>
      <c r="P22" s="72"/>
    </row>
    <row r="23" spans="1:16" ht="15.75" thickBot="1" x14ac:dyDescent="0.3">
      <c r="A23" s="25"/>
      <c r="B23" s="84" t="s">
        <v>1285</v>
      </c>
      <c r="C23" s="85">
        <f>C27*26%</f>
        <v>12999.999999999998</v>
      </c>
      <c r="D23" s="85">
        <f t="shared" ref="D23:N23" si="6">D27*26%</f>
        <v>12999.999999999998</v>
      </c>
      <c r="E23" s="85">
        <f t="shared" si="6"/>
        <v>12999.999999999998</v>
      </c>
      <c r="F23" s="85">
        <f t="shared" si="6"/>
        <v>20563.636363636364</v>
      </c>
      <c r="G23" s="85">
        <f t="shared" si="6"/>
        <v>21981.818181818184</v>
      </c>
      <c r="H23" s="85">
        <f t="shared" si="6"/>
        <v>24581.818181818184</v>
      </c>
      <c r="I23" s="85">
        <f t="shared" si="6"/>
        <v>25999.999999999996</v>
      </c>
      <c r="J23" s="85">
        <f t="shared" si="6"/>
        <v>10163.636363636364</v>
      </c>
      <c r="K23" s="85">
        <f t="shared" si="6"/>
        <v>20090.909090909088</v>
      </c>
      <c r="L23" s="85">
        <f t="shared" si="6"/>
        <v>13472.727272727272</v>
      </c>
      <c r="M23" s="85">
        <f t="shared" si="6"/>
        <v>12999.999999999998</v>
      </c>
      <c r="N23" s="85">
        <f t="shared" si="6"/>
        <v>25999.999999999996</v>
      </c>
      <c r="O23" s="86">
        <f>SUM(C23:N23)</f>
        <v>214854.54545454541</v>
      </c>
      <c r="P23" s="72"/>
    </row>
    <row r="24" spans="1:16" ht="16.5" thickBot="1" x14ac:dyDescent="0.3">
      <c r="A24" s="25"/>
      <c r="B24" s="87" t="s">
        <v>1286</v>
      </c>
      <c r="C24" s="88">
        <f>SUM(C8+C5+C21+C23)</f>
        <v>41376.039300000004</v>
      </c>
      <c r="D24" s="88">
        <f t="shared" ref="D24:H24" si="7">SUM(D8+D5+D21+D23)</f>
        <v>41376.039300000004</v>
      </c>
      <c r="E24" s="88">
        <f t="shared" si="7"/>
        <v>42876.039300000004</v>
      </c>
      <c r="F24" s="88">
        <f t="shared" si="7"/>
        <v>49899.675663636372</v>
      </c>
      <c r="G24" s="88">
        <f t="shared" si="7"/>
        <v>51497.857481818188</v>
      </c>
      <c r="H24" s="88">
        <f t="shared" si="7"/>
        <v>55927.857481818188</v>
      </c>
      <c r="I24" s="88">
        <f>SUM(I8+I5+I21+I23+I6)</f>
        <v>56026.039300000004</v>
      </c>
      <c r="J24" s="88">
        <f>SUM(J8+J5+J21+J23+J6)</f>
        <v>37679.675663636372</v>
      </c>
      <c r="K24" s="88">
        <f t="shared" ref="K24:N24" si="8">SUM(K8+K5+K21+K23+K6)</f>
        <v>49366.948390909092</v>
      </c>
      <c r="L24" s="88">
        <f t="shared" si="8"/>
        <v>43408.766572727276</v>
      </c>
      <c r="M24" s="88">
        <f t="shared" si="8"/>
        <v>41376.039300000004</v>
      </c>
      <c r="N24" s="88">
        <f t="shared" si="8"/>
        <v>56026.039300000004</v>
      </c>
      <c r="O24" s="88">
        <f>SUM(O8+O5+O21+O23+O6)</f>
        <v>566837.01705454546</v>
      </c>
      <c r="P24" s="72"/>
    </row>
    <row r="25" spans="1:16" ht="16.5" thickBot="1" x14ac:dyDescent="0.3">
      <c r="A25" s="25"/>
      <c r="B25" s="89" t="s">
        <v>1287</v>
      </c>
      <c r="C25" s="90">
        <f t="shared" ref="C25:O25" si="9">C23/C27</f>
        <v>0.26</v>
      </c>
      <c r="D25" s="90">
        <f t="shared" si="9"/>
        <v>0.26</v>
      </c>
      <c r="E25" s="90">
        <f t="shared" si="9"/>
        <v>0.26</v>
      </c>
      <c r="F25" s="90">
        <f t="shared" si="9"/>
        <v>0.26</v>
      </c>
      <c r="G25" s="90">
        <f t="shared" si="9"/>
        <v>0.26</v>
      </c>
      <c r="H25" s="90">
        <f t="shared" si="9"/>
        <v>0.26</v>
      </c>
      <c r="I25" s="90">
        <f t="shared" si="9"/>
        <v>0.26</v>
      </c>
      <c r="J25" s="90">
        <f t="shared" si="9"/>
        <v>0.26</v>
      </c>
      <c r="K25" s="90">
        <f t="shared" si="9"/>
        <v>0.26</v>
      </c>
      <c r="L25" s="90">
        <f t="shared" si="9"/>
        <v>0.26</v>
      </c>
      <c r="M25" s="90">
        <f t="shared" si="9"/>
        <v>0.26</v>
      </c>
      <c r="N25" s="90">
        <f t="shared" si="9"/>
        <v>0.26</v>
      </c>
      <c r="O25" s="90">
        <f t="shared" si="9"/>
        <v>0.26</v>
      </c>
      <c r="P25" s="72"/>
    </row>
    <row r="26" spans="1:16" ht="15.75" thickBot="1" x14ac:dyDescent="0.3">
      <c r="A26" s="25"/>
      <c r="B26" s="76"/>
      <c r="C26" s="78"/>
      <c r="D26" s="78"/>
      <c r="E26" s="78"/>
      <c r="F26" s="78"/>
      <c r="G26" s="78"/>
      <c r="H26" s="78"/>
      <c r="I26" s="78"/>
      <c r="J26" s="78"/>
      <c r="K26" s="78"/>
      <c r="L26" s="78"/>
      <c r="M26" s="78"/>
      <c r="N26" s="78"/>
      <c r="O26" s="79"/>
      <c r="P26" s="72"/>
    </row>
    <row r="27" spans="1:16" ht="15.75" x14ac:dyDescent="0.25">
      <c r="A27" s="25"/>
      <c r="B27" s="91" t="s">
        <v>1288</v>
      </c>
      <c r="C27" s="92">
        <f t="shared" ref="C27:F27" si="10">C28/1.1</f>
        <v>49999.999999999993</v>
      </c>
      <c r="D27" s="92">
        <f t="shared" si="10"/>
        <v>49999.999999999993</v>
      </c>
      <c r="E27" s="92">
        <f t="shared" si="10"/>
        <v>49999.999999999993</v>
      </c>
      <c r="F27" s="92">
        <f t="shared" si="10"/>
        <v>79090.909090909088</v>
      </c>
      <c r="G27" s="92">
        <f>G28/1.1</f>
        <v>84545.454545454544</v>
      </c>
      <c r="H27" s="92">
        <f>H28/1.1</f>
        <v>94545.454545454544</v>
      </c>
      <c r="I27" s="92">
        <f t="shared" ref="I27:N27" si="11">I28/1.1</f>
        <v>99999.999999999985</v>
      </c>
      <c r="J27" s="92">
        <f t="shared" si="11"/>
        <v>39090.909090909088</v>
      </c>
      <c r="K27" s="92">
        <f t="shared" si="11"/>
        <v>77272.727272727265</v>
      </c>
      <c r="L27" s="92">
        <f t="shared" si="11"/>
        <v>51818.181818181816</v>
      </c>
      <c r="M27" s="92">
        <f t="shared" si="11"/>
        <v>49999.999999999993</v>
      </c>
      <c r="N27" s="92">
        <f t="shared" si="11"/>
        <v>99999.999999999985</v>
      </c>
      <c r="O27" s="93">
        <f>SUM(C27:N27)</f>
        <v>826363.63636363624</v>
      </c>
      <c r="P27" s="66"/>
    </row>
    <row r="28" spans="1:16" ht="15.75" x14ac:dyDescent="0.25">
      <c r="A28" s="25"/>
      <c r="B28" s="94" t="s">
        <v>1289</v>
      </c>
      <c r="C28" s="95">
        <f>SUM(C29:C31)</f>
        <v>55000</v>
      </c>
      <c r="D28" s="95">
        <f t="shared" ref="D28:N28" si="12">SUM(D29:D31)</f>
        <v>55000</v>
      </c>
      <c r="E28" s="95">
        <f t="shared" si="12"/>
        <v>55000</v>
      </c>
      <c r="F28" s="95">
        <f t="shared" si="12"/>
        <v>87000</v>
      </c>
      <c r="G28" s="95">
        <f t="shared" si="12"/>
        <v>93000</v>
      </c>
      <c r="H28" s="95">
        <f t="shared" si="12"/>
        <v>104000</v>
      </c>
      <c r="I28" s="95">
        <f t="shared" si="12"/>
        <v>110000</v>
      </c>
      <c r="J28" s="95">
        <f t="shared" si="12"/>
        <v>43000</v>
      </c>
      <c r="K28" s="95">
        <f t="shared" si="12"/>
        <v>85000</v>
      </c>
      <c r="L28" s="95">
        <f t="shared" si="12"/>
        <v>57000</v>
      </c>
      <c r="M28" s="95">
        <f t="shared" si="12"/>
        <v>55000</v>
      </c>
      <c r="N28" s="95">
        <f t="shared" si="12"/>
        <v>110000</v>
      </c>
      <c r="O28" s="96">
        <f>SUM(C28:N28)</f>
        <v>909000</v>
      </c>
      <c r="P28" s="66"/>
    </row>
    <row r="29" spans="1:16" ht="15.75" x14ac:dyDescent="0.25">
      <c r="A29" s="25"/>
      <c r="B29" s="97" t="s">
        <v>1290</v>
      </c>
      <c r="C29" s="98">
        <v>40000</v>
      </c>
      <c r="D29" s="98">
        <v>40000</v>
      </c>
      <c r="E29" s="98">
        <v>40000</v>
      </c>
      <c r="F29" s="98">
        <v>42000</v>
      </c>
      <c r="G29" s="98">
        <v>48000</v>
      </c>
      <c r="H29" s="98">
        <v>39000</v>
      </c>
      <c r="I29" s="98">
        <v>45000</v>
      </c>
      <c r="J29" s="98">
        <v>35000</v>
      </c>
      <c r="K29" s="98">
        <v>45000</v>
      </c>
      <c r="L29" s="98">
        <v>42000</v>
      </c>
      <c r="M29" s="98">
        <v>40000</v>
      </c>
      <c r="N29" s="98">
        <v>45000</v>
      </c>
      <c r="O29" s="99">
        <f>SUM(C29:N29)</f>
        <v>501000</v>
      </c>
      <c r="P29" s="66"/>
    </row>
    <row r="30" spans="1:16" ht="15.75" x14ac:dyDescent="0.25">
      <c r="A30" s="25"/>
      <c r="B30" s="97" t="s">
        <v>1291</v>
      </c>
      <c r="C30" s="98">
        <v>15000</v>
      </c>
      <c r="D30" s="98">
        <v>15000</v>
      </c>
      <c r="E30" s="98">
        <v>15000</v>
      </c>
      <c r="F30" s="98">
        <v>15000</v>
      </c>
      <c r="G30" s="98">
        <v>15000</v>
      </c>
      <c r="H30" s="98">
        <v>15000</v>
      </c>
      <c r="I30" s="98">
        <v>15000</v>
      </c>
      <c r="J30" s="98">
        <v>8000</v>
      </c>
      <c r="K30" s="98">
        <v>15000</v>
      </c>
      <c r="L30" s="98">
        <v>15000</v>
      </c>
      <c r="M30" s="98">
        <v>15000</v>
      </c>
      <c r="N30" s="98">
        <v>15000</v>
      </c>
      <c r="O30" s="99">
        <f>SUM(C30:N30)</f>
        <v>173000</v>
      </c>
      <c r="P30" s="66"/>
    </row>
    <row r="31" spans="1:16" ht="15.75" x14ac:dyDescent="0.25">
      <c r="A31" s="25"/>
      <c r="B31" s="97" t="s">
        <v>1292</v>
      </c>
      <c r="C31" s="98">
        <v>0</v>
      </c>
      <c r="D31" s="98">
        <v>0</v>
      </c>
      <c r="E31" s="98">
        <v>0</v>
      </c>
      <c r="F31" s="98">
        <v>30000</v>
      </c>
      <c r="G31" s="98">
        <v>30000</v>
      </c>
      <c r="H31" s="98">
        <v>50000</v>
      </c>
      <c r="I31" s="98">
        <v>50000</v>
      </c>
      <c r="J31" s="98">
        <v>0</v>
      </c>
      <c r="K31" s="98">
        <v>25000</v>
      </c>
      <c r="L31" s="98">
        <v>0</v>
      </c>
      <c r="M31" s="98">
        <v>0</v>
      </c>
      <c r="N31" s="98">
        <v>50000</v>
      </c>
      <c r="O31" s="99">
        <f>SUM(C31:N31)</f>
        <v>235000</v>
      </c>
      <c r="P31" s="66"/>
    </row>
    <row r="32" spans="1:16" ht="15.75" thickBot="1" x14ac:dyDescent="0.3">
      <c r="A32" s="25"/>
      <c r="B32" s="100" t="s">
        <v>1293</v>
      </c>
      <c r="C32" s="101">
        <f t="shared" ref="C32:O32" si="13">C27-C24</f>
        <v>8623.9606999999887</v>
      </c>
      <c r="D32" s="101">
        <f t="shared" si="13"/>
        <v>8623.9606999999887</v>
      </c>
      <c r="E32" s="101">
        <f t="shared" si="13"/>
        <v>7123.9606999999887</v>
      </c>
      <c r="F32" s="101">
        <f t="shared" si="13"/>
        <v>29191.233427272717</v>
      </c>
      <c r="G32" s="101">
        <f t="shared" si="13"/>
        <v>33047.597063636356</v>
      </c>
      <c r="H32" s="101">
        <f t="shared" si="13"/>
        <v>38617.597063636356</v>
      </c>
      <c r="I32" s="101">
        <f t="shared" si="13"/>
        <v>43973.960699999981</v>
      </c>
      <c r="J32" s="101">
        <f t="shared" si="13"/>
        <v>1411.2334272727167</v>
      </c>
      <c r="K32" s="101">
        <f t="shared" si="13"/>
        <v>27905.778881818173</v>
      </c>
      <c r="L32" s="101">
        <f t="shared" si="13"/>
        <v>8409.4152454545401</v>
      </c>
      <c r="M32" s="101">
        <f t="shared" si="13"/>
        <v>8623.9606999999887</v>
      </c>
      <c r="N32" s="101">
        <f t="shared" si="13"/>
        <v>43973.960699999981</v>
      </c>
      <c r="O32" s="102">
        <f t="shared" si="13"/>
        <v>259526.61930909078</v>
      </c>
      <c r="P32" s="25"/>
    </row>
    <row r="33" spans="1:16" ht="15.75" thickBot="1" x14ac:dyDescent="0.3">
      <c r="A33" s="25"/>
      <c r="B33" s="103"/>
      <c r="C33" s="104">
        <f t="shared" ref="C33:O33" si="14">C32/C24</f>
        <v>0.20842885993681826</v>
      </c>
      <c r="D33" s="104">
        <f t="shared" si="14"/>
        <v>0.20842885993681826</v>
      </c>
      <c r="E33" s="104">
        <f t="shared" si="14"/>
        <v>0.16615249020914086</v>
      </c>
      <c r="F33" s="105">
        <f t="shared" si="14"/>
        <v>0.58499846019130308</v>
      </c>
      <c r="G33" s="105">
        <f t="shared" si="14"/>
        <v>0.64172761119827415</v>
      </c>
      <c r="H33" s="105">
        <f t="shared" si="14"/>
        <v>0.69048947702297925</v>
      </c>
      <c r="I33" s="105">
        <f t="shared" si="14"/>
        <v>0.78488433680872349</v>
      </c>
      <c r="J33" s="104">
        <f t="shared" si="14"/>
        <v>3.7453438821254494E-2</v>
      </c>
      <c r="K33" s="105">
        <f t="shared" si="14"/>
        <v>0.56527251109078103</v>
      </c>
      <c r="L33" s="105">
        <f t="shared" si="14"/>
        <v>0.19372619655906051</v>
      </c>
      <c r="M33" s="104">
        <f t="shared" si="14"/>
        <v>0.20842885993681826</v>
      </c>
      <c r="N33" s="105">
        <f t="shared" si="14"/>
        <v>0.78488433680872349</v>
      </c>
      <c r="O33" s="106">
        <f t="shared" si="14"/>
        <v>0.45785051346446753</v>
      </c>
      <c r="P33" s="107"/>
    </row>
    <row r="34" spans="1:16" x14ac:dyDescent="0.25">
      <c r="A34" s="25"/>
      <c r="B34" s="108" t="s">
        <v>1294</v>
      </c>
      <c r="C34" s="109">
        <f>'[1]CALCULO PERSONAL'!$H$35</f>
        <v>5601.2889900000009</v>
      </c>
      <c r="D34" s="109">
        <f>'[1]CALCULO PERSONAL'!$H$35</f>
        <v>5601.2889900000009</v>
      </c>
      <c r="E34" s="109">
        <f>'[1]CALCULO PERSONAL'!$H$35</f>
        <v>5601.2889900000009</v>
      </c>
      <c r="F34" s="109">
        <f>'[1]CALCULO PERSONAL'!$H$35</f>
        <v>5601.2889900000009</v>
      </c>
      <c r="G34" s="109">
        <f>'[1]CALCULO PERSONAL'!$H$35</f>
        <v>5601.2889900000009</v>
      </c>
      <c r="H34" s="109">
        <f>'[1]CALCULO PERSONAL'!$H$35</f>
        <v>5601.2889900000009</v>
      </c>
      <c r="I34" s="109">
        <f>'[1]CALCULO PERSONAL'!$H$35</f>
        <v>5601.2889900000009</v>
      </c>
      <c r="J34" s="109">
        <f>'[1]CALCULO PERSONAL'!$H$35</f>
        <v>5601.2889900000009</v>
      </c>
      <c r="K34" s="109">
        <f>'[1]CALCULO PERSONAL'!$H$35</f>
        <v>5601.2889900000009</v>
      </c>
      <c r="L34" s="109">
        <f>'[1]CALCULO PERSONAL'!$H$35</f>
        <v>5601.2889900000009</v>
      </c>
      <c r="M34" s="109">
        <f>'[1]CALCULO PERSONAL'!$H$35</f>
        <v>5601.2889900000009</v>
      </c>
      <c r="N34" s="109">
        <f>'[1]CALCULO PERSONAL'!$H$35</f>
        <v>5601.2889900000009</v>
      </c>
      <c r="O34" s="110">
        <f>SUM(C34:N34)</f>
        <v>67215.467880000011</v>
      </c>
      <c r="P34" s="107"/>
    </row>
    <row r="35" spans="1:16" ht="15.75" thickBot="1" x14ac:dyDescent="0.3">
      <c r="A35" s="25"/>
      <c r="B35" s="111" t="s">
        <v>1295</v>
      </c>
      <c r="C35" s="112">
        <v>5000</v>
      </c>
      <c r="D35" s="112">
        <v>5000</v>
      </c>
      <c r="E35" s="112">
        <v>5000</v>
      </c>
      <c r="F35" s="112">
        <v>5000</v>
      </c>
      <c r="G35" s="112">
        <v>5000</v>
      </c>
      <c r="H35" s="112">
        <v>5000</v>
      </c>
      <c r="I35" s="112">
        <v>5000</v>
      </c>
      <c r="J35" s="112">
        <v>5000</v>
      </c>
      <c r="K35" s="112">
        <v>5000</v>
      </c>
      <c r="L35" s="112">
        <v>5000</v>
      </c>
      <c r="M35" s="112">
        <v>5000</v>
      </c>
      <c r="N35" s="112">
        <v>5000</v>
      </c>
      <c r="O35" s="113">
        <f>SUM(C35:N35)</f>
        <v>60000</v>
      </c>
      <c r="P35" s="107"/>
    </row>
    <row r="36" spans="1:16" ht="21.75" thickBot="1" x14ac:dyDescent="0.4">
      <c r="A36" s="25"/>
      <c r="B36" s="114" t="s">
        <v>1296</v>
      </c>
      <c r="C36" s="115">
        <f>C32-C35</f>
        <v>3623.9606999999887</v>
      </c>
      <c r="D36" s="115">
        <f t="shared" ref="D36:N36" si="15">D32-D35</f>
        <v>3623.9606999999887</v>
      </c>
      <c r="E36" s="115">
        <f t="shared" si="15"/>
        <v>2123.9606999999887</v>
      </c>
      <c r="F36" s="115">
        <f t="shared" si="15"/>
        <v>24191.233427272717</v>
      </c>
      <c r="G36" s="115">
        <f t="shared" si="15"/>
        <v>28047.597063636356</v>
      </c>
      <c r="H36" s="115">
        <f t="shared" si="15"/>
        <v>33617.597063636356</v>
      </c>
      <c r="I36" s="115">
        <f t="shared" si="15"/>
        <v>38973.960699999981</v>
      </c>
      <c r="J36" s="115">
        <f t="shared" si="15"/>
        <v>-3588.7665727272833</v>
      </c>
      <c r="K36" s="115">
        <f t="shared" si="15"/>
        <v>22905.778881818173</v>
      </c>
      <c r="L36" s="115">
        <f t="shared" si="15"/>
        <v>3409.4152454545401</v>
      </c>
      <c r="M36" s="115">
        <f t="shared" si="15"/>
        <v>3623.9606999999887</v>
      </c>
      <c r="N36" s="115">
        <f t="shared" si="15"/>
        <v>38973.960699999981</v>
      </c>
      <c r="O36" s="116">
        <f>O32-(O35+O34)</f>
        <v>132311.15142909077</v>
      </c>
      <c r="P36" s="107"/>
    </row>
    <row r="37" spans="1:16" x14ac:dyDescent="0.25">
      <c r="A37" s="25"/>
      <c r="B37" s="25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8"/>
      <c r="P37" s="25"/>
    </row>
  </sheetData>
  <conditionalFormatting sqref="A25:XFD25">
    <cfRule type="colorScale" priority="1">
      <colorScale>
        <cfvo type="percent" val="35"/>
        <cfvo type="percent" val="100"/>
        <color theme="9" tint="0.79998168889431442"/>
        <color rgb="FFFF7C80"/>
      </colorScale>
    </cfRule>
  </conditionalFormatting>
  <conditionalFormatting sqref="C32:O32">
    <cfRule type="colorScale" priority="2">
      <colorScale>
        <cfvo type="num" val="0"/>
        <cfvo type="num" val="0"/>
        <color rgb="FFFF7C80"/>
        <color theme="9" tint="0.79998168889431442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56B56-34B9-4345-8D96-E81B159E519A}">
  <dimension ref="A1:X1000"/>
  <sheetViews>
    <sheetView zoomScale="140" zoomScaleNormal="140" workbookViewId="0">
      <selection activeCell="B68" sqref="B68"/>
    </sheetView>
  </sheetViews>
  <sheetFormatPr baseColWidth="10" defaultColWidth="14.42578125" defaultRowHeight="15" x14ac:dyDescent="0.25"/>
  <cols>
    <col min="1" max="1" width="55.42578125" customWidth="1"/>
    <col min="2" max="2" width="11.42578125" customWidth="1"/>
    <col min="3" max="15" width="10.7109375" style="25" customWidth="1"/>
    <col min="16" max="24" width="10.7109375" customWidth="1"/>
  </cols>
  <sheetData>
    <row r="1" spans="1:24" x14ac:dyDescent="0.25">
      <c r="A1" s="127"/>
      <c r="B1" s="128"/>
    </row>
    <row r="2" spans="1:24" x14ac:dyDescent="0.25">
      <c r="A2" s="127" t="s">
        <v>1194</v>
      </c>
      <c r="B2" s="129"/>
    </row>
    <row r="3" spans="1:24" x14ac:dyDescent="0.25">
      <c r="A3" s="26"/>
      <c r="B3" s="27"/>
    </row>
    <row r="4" spans="1:24" x14ac:dyDescent="0.25">
      <c r="A4" s="28"/>
      <c r="B4" s="29" t="s">
        <v>1195</v>
      </c>
      <c r="C4" s="48" t="s">
        <v>1241</v>
      </c>
      <c r="D4" s="30" t="s">
        <v>1242</v>
      </c>
      <c r="E4" s="30" t="s">
        <v>1243</v>
      </c>
      <c r="F4" s="30" t="s">
        <v>1244</v>
      </c>
      <c r="G4" s="30" t="s">
        <v>1245</v>
      </c>
      <c r="H4" s="30" t="s">
        <v>1246</v>
      </c>
      <c r="I4" s="30" t="s">
        <v>1247</v>
      </c>
      <c r="J4" s="30" t="s">
        <v>1248</v>
      </c>
      <c r="K4" s="30" t="s">
        <v>1249</v>
      </c>
      <c r="L4" s="30" t="s">
        <v>1250</v>
      </c>
      <c r="M4" s="30" t="s">
        <v>1251</v>
      </c>
      <c r="N4" s="30" t="s">
        <v>1252</v>
      </c>
      <c r="O4" s="30"/>
      <c r="P4" s="31"/>
      <c r="Q4" s="31"/>
      <c r="R4" s="31"/>
      <c r="S4" s="31"/>
      <c r="T4" s="31"/>
      <c r="U4" s="31"/>
      <c r="V4" s="31"/>
      <c r="W4" s="31"/>
      <c r="X4" s="31"/>
    </row>
    <row r="5" spans="1:24" x14ac:dyDescent="0.25">
      <c r="A5" s="32"/>
      <c r="B5" s="33"/>
      <c r="C5" s="49"/>
    </row>
    <row r="6" spans="1:24" x14ac:dyDescent="0.25">
      <c r="A6" s="34" t="s">
        <v>1196</v>
      </c>
      <c r="B6" s="35"/>
      <c r="C6" s="49"/>
    </row>
    <row r="7" spans="1:24" x14ac:dyDescent="0.25">
      <c r="A7" s="32" t="s">
        <v>1197</v>
      </c>
      <c r="B7" s="33">
        <v>460000</v>
      </c>
      <c r="C7" s="50">
        <v>0</v>
      </c>
      <c r="D7" s="50">
        <v>33000</v>
      </c>
      <c r="E7" s="50">
        <v>35000</v>
      </c>
      <c r="F7" s="50">
        <v>36000</v>
      </c>
      <c r="G7" s="50">
        <v>55000</v>
      </c>
      <c r="H7" s="50">
        <v>53000</v>
      </c>
      <c r="I7" s="50">
        <v>54000</v>
      </c>
      <c r="J7" s="50">
        <v>21000</v>
      </c>
      <c r="K7" s="50">
        <v>53000</v>
      </c>
      <c r="L7" s="50">
        <v>37000</v>
      </c>
      <c r="M7" s="50">
        <v>36000</v>
      </c>
      <c r="N7" s="50">
        <v>36500</v>
      </c>
    </row>
    <row r="8" spans="1:24" x14ac:dyDescent="0.25">
      <c r="A8" s="32" t="s">
        <v>1198</v>
      </c>
      <c r="B8" s="33"/>
      <c r="C8" s="51"/>
      <c r="D8" s="51"/>
      <c r="E8" s="51"/>
      <c r="F8" s="51"/>
      <c r="G8" s="51"/>
      <c r="H8" s="51"/>
      <c r="I8" s="51"/>
      <c r="J8" s="51"/>
      <c r="K8" s="51"/>
      <c r="L8" s="51"/>
      <c r="M8" s="51"/>
      <c r="N8" s="51"/>
    </row>
    <row r="9" spans="1:24" x14ac:dyDescent="0.25">
      <c r="A9" s="32"/>
      <c r="B9" s="33"/>
      <c r="C9" s="51"/>
      <c r="D9" s="51"/>
      <c r="E9" s="51"/>
      <c r="F9" s="51"/>
      <c r="G9" s="51"/>
      <c r="H9" s="51"/>
      <c r="I9" s="51"/>
      <c r="J9" s="51"/>
      <c r="K9" s="51"/>
      <c r="L9" s="51"/>
      <c r="M9" s="51"/>
      <c r="N9" s="51"/>
    </row>
    <row r="10" spans="1:24" x14ac:dyDescent="0.25">
      <c r="A10" s="34" t="s">
        <v>1199</v>
      </c>
      <c r="B10" s="35"/>
      <c r="C10" s="51"/>
      <c r="D10" s="51"/>
      <c r="E10" s="51"/>
      <c r="F10" s="51"/>
      <c r="G10" s="51"/>
      <c r="H10" s="51"/>
      <c r="I10" s="51"/>
      <c r="J10" s="51"/>
      <c r="K10" s="51"/>
      <c r="L10" s="51"/>
      <c r="M10" s="51"/>
      <c r="N10" s="51"/>
    </row>
    <row r="11" spans="1:24" x14ac:dyDescent="0.25">
      <c r="A11" s="32"/>
      <c r="B11" s="33"/>
      <c r="C11" s="51"/>
      <c r="D11" s="51"/>
      <c r="E11" s="51"/>
      <c r="F11" s="51"/>
      <c r="G11" s="51"/>
      <c r="H11" s="51"/>
      <c r="I11" s="51"/>
      <c r="J11" s="51"/>
      <c r="K11" s="51"/>
      <c r="L11" s="51"/>
      <c r="M11" s="51"/>
      <c r="N11" s="51"/>
    </row>
    <row r="12" spans="1:24" x14ac:dyDescent="0.25">
      <c r="A12" s="34" t="s">
        <v>1200</v>
      </c>
      <c r="B12" s="35"/>
      <c r="C12" s="51"/>
      <c r="D12" s="51"/>
      <c r="E12" s="51"/>
      <c r="F12" s="51"/>
      <c r="G12" s="51"/>
      <c r="H12" s="51"/>
      <c r="I12" s="51"/>
      <c r="J12" s="51"/>
      <c r="K12" s="51"/>
      <c r="L12" s="51"/>
      <c r="M12" s="51"/>
      <c r="N12" s="51"/>
    </row>
    <row r="13" spans="1:24" x14ac:dyDescent="0.25">
      <c r="A13" s="32"/>
      <c r="B13" s="33"/>
      <c r="C13" s="51"/>
      <c r="D13" s="51"/>
      <c r="E13" s="51"/>
      <c r="F13" s="51"/>
      <c r="G13" s="51"/>
      <c r="H13" s="51"/>
      <c r="I13" s="51"/>
      <c r="J13" s="51"/>
      <c r="K13" s="51"/>
      <c r="L13" s="51"/>
      <c r="M13" s="51"/>
      <c r="N13" s="51"/>
    </row>
    <row r="14" spans="1:24" x14ac:dyDescent="0.25">
      <c r="A14" s="34" t="s">
        <v>1201</v>
      </c>
      <c r="B14" s="35"/>
      <c r="C14" s="51"/>
      <c r="D14" s="51"/>
      <c r="E14" s="51"/>
      <c r="F14" s="51"/>
      <c r="G14" s="51"/>
      <c r="H14" s="51"/>
      <c r="I14" s="51"/>
      <c r="J14" s="51"/>
      <c r="K14" s="51"/>
      <c r="L14" s="51"/>
      <c r="M14" s="51"/>
      <c r="N14" s="51"/>
    </row>
    <row r="15" spans="1:24" x14ac:dyDescent="0.25">
      <c r="A15" s="32" t="s">
        <v>1202</v>
      </c>
      <c r="B15" s="33">
        <v>115000</v>
      </c>
      <c r="C15" s="51">
        <v>0</v>
      </c>
      <c r="D15" s="51">
        <f>D7*25%</f>
        <v>8250</v>
      </c>
      <c r="E15" s="51">
        <f t="shared" ref="E15:N15" si="0">E7*25%</f>
        <v>8750</v>
      </c>
      <c r="F15" s="51">
        <f t="shared" si="0"/>
        <v>9000</v>
      </c>
      <c r="G15" s="51">
        <f t="shared" si="0"/>
        <v>13750</v>
      </c>
      <c r="H15" s="51">
        <f t="shared" si="0"/>
        <v>13250</v>
      </c>
      <c r="I15" s="51">
        <f t="shared" si="0"/>
        <v>13500</v>
      </c>
      <c r="J15" s="51">
        <f t="shared" si="0"/>
        <v>5250</v>
      </c>
      <c r="K15" s="51">
        <f t="shared" si="0"/>
        <v>13250</v>
      </c>
      <c r="L15" s="51">
        <f t="shared" si="0"/>
        <v>9250</v>
      </c>
      <c r="M15" s="51">
        <f t="shared" si="0"/>
        <v>9000</v>
      </c>
      <c r="N15" s="51">
        <f t="shared" si="0"/>
        <v>9125</v>
      </c>
    </row>
    <row r="16" spans="1:24" x14ac:dyDescent="0.25">
      <c r="A16" s="32"/>
      <c r="B16" s="33"/>
      <c r="C16" s="51"/>
      <c r="D16" s="51"/>
      <c r="E16" s="51"/>
      <c r="F16" s="51"/>
      <c r="G16" s="51"/>
      <c r="H16" s="51"/>
      <c r="I16" s="51"/>
      <c r="J16" s="51"/>
      <c r="K16" s="51"/>
      <c r="L16" s="51"/>
      <c r="M16" s="51"/>
      <c r="N16" s="51"/>
    </row>
    <row r="17" spans="1:14" x14ac:dyDescent="0.25">
      <c r="A17" s="34" t="s">
        <v>1203</v>
      </c>
      <c r="B17" s="35"/>
      <c r="C17" s="51"/>
      <c r="D17" s="51"/>
      <c r="E17" s="51"/>
      <c r="F17" s="51"/>
      <c r="G17" s="51"/>
      <c r="H17" s="51"/>
      <c r="I17" s="51"/>
      <c r="J17" s="51"/>
      <c r="K17" s="51"/>
      <c r="L17" s="51"/>
      <c r="M17" s="51"/>
      <c r="N17" s="51"/>
    </row>
    <row r="18" spans="1:14" x14ac:dyDescent="0.25">
      <c r="A18" s="32"/>
      <c r="B18" s="33"/>
      <c r="C18" s="51"/>
      <c r="D18" s="51"/>
      <c r="E18" s="51"/>
      <c r="F18" s="51"/>
      <c r="G18" s="51"/>
      <c r="H18" s="51"/>
      <c r="I18" s="51"/>
      <c r="J18" s="51"/>
      <c r="K18" s="51"/>
      <c r="L18" s="51"/>
      <c r="M18" s="51"/>
      <c r="N18" s="51"/>
    </row>
    <row r="19" spans="1:14" x14ac:dyDescent="0.25">
      <c r="A19" s="34" t="s">
        <v>1204</v>
      </c>
      <c r="B19" s="35"/>
      <c r="C19" s="51"/>
      <c r="D19" s="51"/>
      <c r="E19" s="51"/>
      <c r="F19" s="51"/>
      <c r="G19" s="51"/>
      <c r="H19" s="51"/>
      <c r="I19" s="51"/>
      <c r="J19" s="51"/>
      <c r="K19" s="51"/>
      <c r="L19" s="51"/>
      <c r="M19" s="51"/>
      <c r="N19" s="51"/>
    </row>
    <row r="20" spans="1:14" x14ac:dyDescent="0.25">
      <c r="A20" s="32" t="s">
        <v>1205</v>
      </c>
      <c r="B20" s="33">
        <v>149000</v>
      </c>
      <c r="C20" s="51">
        <v>0</v>
      </c>
      <c r="D20" s="51">
        <f>$B$20/12</f>
        <v>12416.666666666666</v>
      </c>
      <c r="E20" s="51">
        <f t="shared" ref="E20:N20" si="1">$B$20/12</f>
        <v>12416.666666666666</v>
      </c>
      <c r="F20" s="51">
        <f t="shared" si="1"/>
        <v>12416.666666666666</v>
      </c>
      <c r="G20" s="51">
        <f t="shared" si="1"/>
        <v>12416.666666666666</v>
      </c>
      <c r="H20" s="51">
        <f t="shared" si="1"/>
        <v>12416.666666666666</v>
      </c>
      <c r="I20" s="51">
        <f t="shared" si="1"/>
        <v>12416.666666666666</v>
      </c>
      <c r="J20" s="51">
        <f t="shared" si="1"/>
        <v>12416.666666666666</v>
      </c>
      <c r="K20" s="51">
        <f t="shared" si="1"/>
        <v>12416.666666666666</v>
      </c>
      <c r="L20" s="51">
        <f t="shared" si="1"/>
        <v>12416.666666666666</v>
      </c>
      <c r="M20" s="51">
        <f t="shared" si="1"/>
        <v>12416.666666666666</v>
      </c>
      <c r="N20" s="51">
        <f t="shared" si="1"/>
        <v>12416.666666666666</v>
      </c>
    </row>
    <row r="21" spans="1:14" ht="15.75" customHeight="1" x14ac:dyDescent="0.25">
      <c r="A21" s="32" t="s">
        <v>1206</v>
      </c>
      <c r="B21" s="33">
        <v>44000</v>
      </c>
      <c r="C21" s="51">
        <v>0</v>
      </c>
      <c r="D21" s="51">
        <f>$B$21/12</f>
        <v>3666.6666666666665</v>
      </c>
      <c r="E21" s="51">
        <f t="shared" ref="E21:N21" si="2">$B$21/12</f>
        <v>3666.6666666666665</v>
      </c>
      <c r="F21" s="51">
        <f t="shared" si="2"/>
        <v>3666.6666666666665</v>
      </c>
      <c r="G21" s="51">
        <f t="shared" si="2"/>
        <v>3666.6666666666665</v>
      </c>
      <c r="H21" s="51">
        <f t="shared" si="2"/>
        <v>3666.6666666666665</v>
      </c>
      <c r="I21" s="51">
        <f t="shared" si="2"/>
        <v>3666.6666666666665</v>
      </c>
      <c r="J21" s="51">
        <f t="shared" si="2"/>
        <v>3666.6666666666665</v>
      </c>
      <c r="K21" s="51">
        <f t="shared" si="2"/>
        <v>3666.6666666666665</v>
      </c>
      <c r="L21" s="51">
        <f t="shared" si="2"/>
        <v>3666.6666666666665</v>
      </c>
      <c r="M21" s="51">
        <f t="shared" si="2"/>
        <v>3666.6666666666665</v>
      </c>
      <c r="N21" s="51">
        <f t="shared" si="2"/>
        <v>3666.6666666666665</v>
      </c>
    </row>
    <row r="22" spans="1:14" ht="15.75" customHeight="1" x14ac:dyDescent="0.25">
      <c r="A22" s="32" t="s">
        <v>1207</v>
      </c>
      <c r="B22" s="33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</row>
    <row r="23" spans="1:14" ht="15.75" customHeight="1" x14ac:dyDescent="0.25">
      <c r="A23" s="32"/>
      <c r="B23" s="33"/>
      <c r="C23" s="51"/>
      <c r="D23" s="51"/>
      <c r="E23" s="51"/>
      <c r="F23" s="51"/>
      <c r="G23" s="51"/>
      <c r="H23" s="51"/>
      <c r="I23" s="51"/>
      <c r="J23" s="51"/>
      <c r="K23" s="51"/>
      <c r="L23" s="51"/>
      <c r="M23" s="51"/>
      <c r="N23" s="51"/>
    </row>
    <row r="24" spans="1:14" ht="15.75" customHeight="1" x14ac:dyDescent="0.25">
      <c r="A24" s="34" t="s">
        <v>1208</v>
      </c>
      <c r="B24" s="35"/>
      <c r="C24" s="51"/>
      <c r="D24" s="51"/>
      <c r="E24" s="51"/>
      <c r="F24" s="51"/>
      <c r="G24" s="51"/>
      <c r="H24" s="51"/>
      <c r="I24" s="51"/>
      <c r="J24" s="51"/>
      <c r="K24" s="51"/>
      <c r="L24" s="51"/>
      <c r="M24" s="51"/>
      <c r="N24" s="51"/>
    </row>
    <row r="25" spans="1:14" ht="15.75" customHeight="1" x14ac:dyDescent="0.25">
      <c r="A25" s="32" t="s">
        <v>1209</v>
      </c>
      <c r="B25" s="33">
        <f>'[2]CUADRO GENERAL'!O7</f>
        <v>86400</v>
      </c>
      <c r="C25" s="51">
        <v>7200</v>
      </c>
      <c r="D25" s="51">
        <v>7200</v>
      </c>
      <c r="E25" s="51">
        <v>7200</v>
      </c>
      <c r="F25" s="51">
        <v>7200</v>
      </c>
      <c r="G25" s="51">
        <v>7200</v>
      </c>
      <c r="H25" s="51">
        <v>7200</v>
      </c>
      <c r="I25" s="51">
        <v>7200</v>
      </c>
      <c r="J25" s="51">
        <v>7200</v>
      </c>
      <c r="K25" s="51">
        <v>7200</v>
      </c>
      <c r="L25" s="51">
        <v>7200</v>
      </c>
      <c r="M25" s="51">
        <v>7200</v>
      </c>
      <c r="N25" s="51">
        <v>7200</v>
      </c>
    </row>
    <row r="26" spans="1:14" ht="15.75" customHeight="1" x14ac:dyDescent="0.25">
      <c r="A26" s="32" t="s">
        <v>1210</v>
      </c>
      <c r="B26" s="33">
        <f>'[2]CUADRO GENERAL'!O14+'[2]CUADRO GENERAL'!O15</f>
        <v>10600</v>
      </c>
      <c r="C26" s="51">
        <v>0</v>
      </c>
      <c r="D26" s="51">
        <f>$B$26/12</f>
        <v>883.33333333333337</v>
      </c>
      <c r="E26" s="51">
        <f t="shared" ref="E26:N26" si="3">$B$26/12</f>
        <v>883.33333333333337</v>
      </c>
      <c r="F26" s="51">
        <f t="shared" si="3"/>
        <v>883.33333333333337</v>
      </c>
      <c r="G26" s="51">
        <f t="shared" si="3"/>
        <v>883.33333333333337</v>
      </c>
      <c r="H26" s="51">
        <f t="shared" si="3"/>
        <v>883.33333333333337</v>
      </c>
      <c r="I26" s="51">
        <f t="shared" si="3"/>
        <v>883.33333333333337</v>
      </c>
      <c r="J26" s="51">
        <f t="shared" si="3"/>
        <v>883.33333333333337</v>
      </c>
      <c r="K26" s="51">
        <f t="shared" si="3"/>
        <v>883.33333333333337</v>
      </c>
      <c r="L26" s="51">
        <f t="shared" si="3"/>
        <v>883.33333333333337</v>
      </c>
      <c r="M26" s="51">
        <f t="shared" si="3"/>
        <v>883.33333333333337</v>
      </c>
      <c r="N26" s="51">
        <f t="shared" si="3"/>
        <v>883.33333333333337</v>
      </c>
    </row>
    <row r="27" spans="1:14" ht="15.75" customHeight="1" x14ac:dyDescent="0.25">
      <c r="A27" s="32" t="s">
        <v>1211</v>
      </c>
      <c r="B27" s="33"/>
      <c r="C27" s="51"/>
      <c r="D27" s="51"/>
      <c r="E27" s="51"/>
      <c r="F27" s="51"/>
      <c r="G27" s="51"/>
      <c r="H27" s="51"/>
      <c r="I27" s="51"/>
      <c r="J27" s="51"/>
      <c r="K27" s="51"/>
      <c r="L27" s="51"/>
      <c r="M27" s="51"/>
      <c r="N27" s="51"/>
    </row>
    <row r="28" spans="1:14" ht="15.75" customHeight="1" x14ac:dyDescent="0.25">
      <c r="A28" s="32" t="s">
        <v>1212</v>
      </c>
      <c r="B28" s="33">
        <f>'[2]CUADRO GENERAL'!O16</f>
        <v>1375</v>
      </c>
      <c r="C28" s="51">
        <v>0</v>
      </c>
      <c r="D28" s="51">
        <v>0</v>
      </c>
      <c r="E28" s="51">
        <v>0</v>
      </c>
      <c r="F28" s="51">
        <v>0</v>
      </c>
      <c r="G28" s="51">
        <v>1375</v>
      </c>
      <c r="H28" s="51">
        <v>0</v>
      </c>
      <c r="I28" s="51">
        <v>0</v>
      </c>
      <c r="J28" s="51">
        <v>0</v>
      </c>
      <c r="K28" s="51">
        <v>0</v>
      </c>
      <c r="L28" s="51">
        <v>0</v>
      </c>
      <c r="M28" s="51">
        <v>0</v>
      </c>
      <c r="N28" s="51">
        <v>0</v>
      </c>
    </row>
    <row r="29" spans="1:14" ht="15.75" customHeight="1" x14ac:dyDescent="0.25">
      <c r="A29" s="32" t="s">
        <v>1213</v>
      </c>
      <c r="B29" s="33"/>
      <c r="C29" s="51"/>
      <c r="D29" s="51"/>
      <c r="E29" s="51"/>
      <c r="F29" s="51"/>
      <c r="G29" s="51"/>
      <c r="H29" s="51"/>
      <c r="I29" s="51"/>
      <c r="J29" s="51"/>
      <c r="K29" s="51"/>
      <c r="L29" s="51"/>
      <c r="M29" s="51"/>
      <c r="N29" s="51"/>
    </row>
    <row r="30" spans="1:14" ht="15.75" customHeight="1" x14ac:dyDescent="0.25">
      <c r="A30" s="32" t="s">
        <v>1214</v>
      </c>
      <c r="B30" s="33">
        <f>'[2]CUADRO GENERAL'!O11</f>
        <v>16500</v>
      </c>
      <c r="C30" s="51">
        <v>0</v>
      </c>
      <c r="D30" s="51">
        <f>$B$30/12</f>
        <v>1375</v>
      </c>
      <c r="E30" s="51">
        <f t="shared" ref="E30:N30" si="4">$B$30/12</f>
        <v>1375</v>
      </c>
      <c r="F30" s="51">
        <f t="shared" si="4"/>
        <v>1375</v>
      </c>
      <c r="G30" s="51">
        <f t="shared" si="4"/>
        <v>1375</v>
      </c>
      <c r="H30" s="51">
        <f t="shared" si="4"/>
        <v>1375</v>
      </c>
      <c r="I30" s="51">
        <f t="shared" si="4"/>
        <v>1375</v>
      </c>
      <c r="J30" s="51">
        <f t="shared" si="4"/>
        <v>1375</v>
      </c>
      <c r="K30" s="51">
        <f t="shared" si="4"/>
        <v>1375</v>
      </c>
      <c r="L30" s="51">
        <f t="shared" si="4"/>
        <v>1375</v>
      </c>
      <c r="M30" s="51">
        <f t="shared" si="4"/>
        <v>1375</v>
      </c>
      <c r="N30" s="51">
        <f t="shared" si="4"/>
        <v>1375</v>
      </c>
    </row>
    <row r="31" spans="1:14" ht="15.75" customHeight="1" x14ac:dyDescent="0.25">
      <c r="A31" s="32" t="s">
        <v>1215</v>
      </c>
      <c r="B31" s="33">
        <f>'[2]CUADRO GENERAL'!O9</f>
        <v>21000</v>
      </c>
      <c r="C31" s="51">
        <v>0</v>
      </c>
      <c r="D31" s="51">
        <f>$B$31/12</f>
        <v>1750</v>
      </c>
      <c r="E31" s="51">
        <f t="shared" ref="E31:N31" si="5">$B$31/12</f>
        <v>1750</v>
      </c>
      <c r="F31" s="51">
        <f t="shared" si="5"/>
        <v>1750</v>
      </c>
      <c r="G31" s="51">
        <f t="shared" si="5"/>
        <v>1750</v>
      </c>
      <c r="H31" s="51">
        <f t="shared" si="5"/>
        <v>1750</v>
      </c>
      <c r="I31" s="51">
        <f t="shared" si="5"/>
        <v>1750</v>
      </c>
      <c r="J31" s="51">
        <f t="shared" si="5"/>
        <v>1750</v>
      </c>
      <c r="K31" s="51">
        <f t="shared" si="5"/>
        <v>1750</v>
      </c>
      <c r="L31" s="51">
        <f t="shared" si="5"/>
        <v>1750</v>
      </c>
      <c r="M31" s="51">
        <f t="shared" si="5"/>
        <v>1750</v>
      </c>
      <c r="N31" s="51">
        <f t="shared" si="5"/>
        <v>1750</v>
      </c>
    </row>
    <row r="32" spans="1:14" ht="15.75" customHeight="1" x14ac:dyDescent="0.25">
      <c r="A32" s="32" t="s">
        <v>1216</v>
      </c>
      <c r="B32" s="33">
        <f>'[2]CUADRO GENERAL'!O12+'[2]CUADRO GENERAL'!O13+'[2]CUADRO GENERAL'!O17</f>
        <v>18850</v>
      </c>
      <c r="C32" s="51">
        <v>0</v>
      </c>
      <c r="D32" s="51">
        <f>$B$32/12</f>
        <v>1570.8333333333333</v>
      </c>
      <c r="E32" s="51">
        <f t="shared" ref="E32:N32" si="6">$B$32/12</f>
        <v>1570.8333333333333</v>
      </c>
      <c r="F32" s="51">
        <f t="shared" si="6"/>
        <v>1570.8333333333333</v>
      </c>
      <c r="G32" s="51">
        <f t="shared" si="6"/>
        <v>1570.8333333333333</v>
      </c>
      <c r="H32" s="51">
        <f t="shared" si="6"/>
        <v>1570.8333333333333</v>
      </c>
      <c r="I32" s="51">
        <f t="shared" si="6"/>
        <v>1570.8333333333333</v>
      </c>
      <c r="J32" s="51">
        <f t="shared" si="6"/>
        <v>1570.8333333333333</v>
      </c>
      <c r="K32" s="51">
        <f t="shared" si="6"/>
        <v>1570.8333333333333</v>
      </c>
      <c r="L32" s="51">
        <f t="shared" si="6"/>
        <v>1570.8333333333333</v>
      </c>
      <c r="M32" s="51">
        <f t="shared" si="6"/>
        <v>1570.8333333333333</v>
      </c>
      <c r="N32" s="51">
        <f t="shared" si="6"/>
        <v>1570.8333333333333</v>
      </c>
    </row>
    <row r="33" spans="1:14" ht="15.75" customHeight="1" x14ac:dyDescent="0.25">
      <c r="A33" s="32" t="s">
        <v>1217</v>
      </c>
      <c r="B33" s="33"/>
      <c r="C33" s="51"/>
      <c r="D33" s="51"/>
      <c r="E33" s="51"/>
      <c r="F33" s="51"/>
      <c r="G33" s="51"/>
      <c r="H33" s="51"/>
      <c r="I33" s="51"/>
      <c r="J33" s="51"/>
      <c r="K33" s="51"/>
      <c r="L33" s="51"/>
      <c r="M33" s="51"/>
      <c r="N33" s="51"/>
    </row>
    <row r="34" spans="1:14" ht="15.75" customHeight="1" x14ac:dyDescent="0.25">
      <c r="A34" s="32"/>
      <c r="B34" s="33"/>
      <c r="C34" s="51"/>
      <c r="D34" s="51"/>
      <c r="E34" s="51"/>
      <c r="F34" s="51"/>
      <c r="G34" s="51"/>
      <c r="H34" s="51"/>
      <c r="I34" s="51"/>
      <c r="J34" s="51"/>
      <c r="K34" s="51"/>
      <c r="L34" s="51"/>
      <c r="M34" s="51"/>
      <c r="N34" s="51"/>
    </row>
    <row r="35" spans="1:14" ht="15.75" customHeight="1" x14ac:dyDescent="0.25">
      <c r="A35" s="34" t="s">
        <v>1218</v>
      </c>
      <c r="B35" s="35">
        <v>30000</v>
      </c>
      <c r="C35" s="51"/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</row>
    <row r="36" spans="1:14" ht="15.75" customHeight="1" x14ac:dyDescent="0.25">
      <c r="A36" s="32"/>
      <c r="B36" s="33"/>
      <c r="C36" s="51"/>
      <c r="D36" s="51"/>
      <c r="E36" s="51"/>
      <c r="F36" s="51"/>
      <c r="G36" s="51"/>
      <c r="H36" s="51"/>
      <c r="I36" s="51"/>
      <c r="J36" s="51"/>
      <c r="K36" s="51"/>
      <c r="L36" s="51"/>
      <c r="M36" s="51"/>
      <c r="N36" s="51"/>
    </row>
    <row r="37" spans="1:14" ht="15.75" customHeight="1" x14ac:dyDescent="0.25">
      <c r="A37" s="34" t="s">
        <v>1219</v>
      </c>
      <c r="B37" s="35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</row>
    <row r="38" spans="1:14" ht="15.75" customHeight="1" x14ac:dyDescent="0.25">
      <c r="A38" s="32"/>
      <c r="B38" s="33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</row>
    <row r="39" spans="1:14" ht="15.75" customHeight="1" x14ac:dyDescent="0.25">
      <c r="A39" s="34" t="s">
        <v>1220</v>
      </c>
      <c r="B39" s="35"/>
      <c r="C39" s="51"/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51"/>
    </row>
    <row r="40" spans="1:14" ht="15.75" customHeight="1" x14ac:dyDescent="0.25">
      <c r="A40" s="32"/>
      <c r="B40" s="33"/>
      <c r="C40" s="51"/>
      <c r="D40" s="51"/>
      <c r="E40" s="51"/>
      <c r="F40" s="51"/>
      <c r="G40" s="51"/>
      <c r="H40" s="51"/>
      <c r="I40" s="51"/>
      <c r="J40" s="51"/>
      <c r="K40" s="51"/>
      <c r="L40" s="51"/>
      <c r="M40" s="51"/>
      <c r="N40" s="51"/>
    </row>
    <row r="41" spans="1:14" ht="15.75" customHeight="1" x14ac:dyDescent="0.25">
      <c r="A41" s="34" t="s">
        <v>1221</v>
      </c>
      <c r="B41" s="35"/>
      <c r="C41" s="51"/>
      <c r="D41" s="51"/>
      <c r="E41" s="51"/>
      <c r="F41" s="51"/>
      <c r="G41" s="51"/>
      <c r="H41" s="51"/>
      <c r="I41" s="51"/>
      <c r="J41" s="51"/>
      <c r="K41" s="51"/>
      <c r="L41" s="51"/>
      <c r="M41" s="51"/>
      <c r="N41" s="51"/>
    </row>
    <row r="42" spans="1:14" ht="15.75" customHeight="1" x14ac:dyDescent="0.25">
      <c r="A42" s="32"/>
      <c r="B42" s="33"/>
      <c r="C42" s="51"/>
      <c r="D42" s="51"/>
      <c r="E42" s="51"/>
      <c r="F42" s="51"/>
      <c r="G42" s="51"/>
      <c r="H42" s="51"/>
      <c r="I42" s="51"/>
      <c r="J42" s="51"/>
      <c r="K42" s="51"/>
      <c r="L42" s="51"/>
      <c r="M42" s="51"/>
      <c r="N42" s="51"/>
    </row>
    <row r="43" spans="1:14" ht="15.75" customHeight="1" x14ac:dyDescent="0.25">
      <c r="A43" s="34" t="s">
        <v>1222</v>
      </c>
      <c r="B43" s="35"/>
      <c r="C43" s="51"/>
      <c r="D43" s="51"/>
      <c r="E43" s="51"/>
      <c r="F43" s="51"/>
      <c r="G43" s="51"/>
      <c r="H43" s="51"/>
      <c r="I43" s="51"/>
      <c r="J43" s="51"/>
      <c r="K43" s="51"/>
      <c r="L43" s="51"/>
      <c r="M43" s="51"/>
      <c r="N43" s="51"/>
    </row>
    <row r="44" spans="1:14" ht="15.75" customHeight="1" x14ac:dyDescent="0.25">
      <c r="A44" s="32" t="s">
        <v>1223</v>
      </c>
      <c r="B44" s="33"/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51"/>
    </row>
    <row r="45" spans="1:14" ht="15.75" customHeight="1" x14ac:dyDescent="0.25">
      <c r="A45" s="32" t="s">
        <v>1224</v>
      </c>
      <c r="B45" s="33"/>
      <c r="C45" s="51"/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</row>
    <row r="46" spans="1:14" ht="15.75" customHeight="1" x14ac:dyDescent="0.25">
      <c r="A46" s="32"/>
      <c r="B46" s="33"/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</row>
    <row r="47" spans="1:14" ht="15.75" customHeight="1" x14ac:dyDescent="0.25">
      <c r="A47" s="36" t="s">
        <v>1225</v>
      </c>
      <c r="B47" s="37">
        <f>B7-(B15+B20+B21+B22+B25+B26+B28+B30+B31+B32+B33+B27+B29)</f>
        <v>-2725</v>
      </c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</row>
    <row r="48" spans="1:14" ht="15.75" customHeight="1" x14ac:dyDescent="0.25">
      <c r="A48" s="32"/>
      <c r="B48" s="33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</row>
    <row r="49" spans="1:14" ht="15.75" customHeight="1" x14ac:dyDescent="0.25">
      <c r="A49" s="34" t="s">
        <v>1226</v>
      </c>
      <c r="B49" s="35"/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</row>
    <row r="50" spans="1:14" ht="15.75" customHeight="1" x14ac:dyDescent="0.25">
      <c r="A50" s="32"/>
      <c r="B50" s="33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</row>
    <row r="51" spans="1:14" ht="15.75" customHeight="1" x14ac:dyDescent="0.25">
      <c r="A51" s="34" t="s">
        <v>1227</v>
      </c>
      <c r="B51" s="35"/>
      <c r="C51" s="51"/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</row>
    <row r="52" spans="1:14" ht="15.75" customHeight="1" x14ac:dyDescent="0.25">
      <c r="A52" s="32" t="s">
        <v>1228</v>
      </c>
      <c r="B52" s="33">
        <v>0</v>
      </c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</row>
    <row r="53" spans="1:14" ht="15.75" customHeight="1" x14ac:dyDescent="0.25">
      <c r="A53" s="32"/>
      <c r="B53" s="33"/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51"/>
    </row>
    <row r="54" spans="1:14" ht="15.75" customHeight="1" x14ac:dyDescent="0.25">
      <c r="A54" s="34" t="s">
        <v>1229</v>
      </c>
      <c r="B54" s="35"/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</row>
    <row r="55" spans="1:14" ht="15.75" customHeight="1" x14ac:dyDescent="0.25">
      <c r="A55" s="32"/>
      <c r="B55" s="33"/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</row>
    <row r="56" spans="1:14" ht="15.75" customHeight="1" x14ac:dyDescent="0.25">
      <c r="A56" s="34" t="s">
        <v>1230</v>
      </c>
      <c r="B56" s="35"/>
    </row>
    <row r="57" spans="1:14" ht="15.75" customHeight="1" x14ac:dyDescent="0.25">
      <c r="A57" s="32"/>
      <c r="B57" s="33"/>
    </row>
    <row r="58" spans="1:14" ht="15.75" customHeight="1" x14ac:dyDescent="0.25">
      <c r="A58" s="34" t="s">
        <v>1231</v>
      </c>
      <c r="B58" s="35"/>
    </row>
    <row r="59" spans="1:14" ht="15.75" customHeight="1" x14ac:dyDescent="0.25">
      <c r="A59" s="32"/>
      <c r="B59" s="33"/>
    </row>
    <row r="60" spans="1:14" ht="15.75" customHeight="1" x14ac:dyDescent="0.25">
      <c r="A60" s="34" t="s">
        <v>1232</v>
      </c>
      <c r="B60" s="35"/>
    </row>
    <row r="61" spans="1:14" ht="15.75" customHeight="1" x14ac:dyDescent="0.25">
      <c r="A61" s="32"/>
      <c r="B61" s="33"/>
    </row>
    <row r="62" spans="1:14" ht="15.75" customHeight="1" x14ac:dyDescent="0.25">
      <c r="A62" s="36" t="s">
        <v>1233</v>
      </c>
      <c r="B62" s="37">
        <f>B52</f>
        <v>0</v>
      </c>
    </row>
    <row r="63" spans="1:14" ht="15.75" customHeight="1" x14ac:dyDescent="0.25">
      <c r="A63" s="32"/>
      <c r="B63" s="33"/>
    </row>
    <row r="64" spans="1:14" ht="15.75" customHeight="1" x14ac:dyDescent="0.25">
      <c r="A64" s="36" t="s">
        <v>1234</v>
      </c>
      <c r="B64" s="37">
        <f>B47-B62</f>
        <v>-2725</v>
      </c>
    </row>
    <row r="65" spans="1:2" ht="15.75" customHeight="1" x14ac:dyDescent="0.25">
      <c r="A65" s="32"/>
      <c r="B65" s="33"/>
    </row>
    <row r="66" spans="1:2" ht="15.75" customHeight="1" x14ac:dyDescent="0.25">
      <c r="A66" s="34" t="s">
        <v>1235</v>
      </c>
      <c r="B66" s="35">
        <f>B64*0.15</f>
        <v>-408.75</v>
      </c>
    </row>
    <row r="67" spans="1:2" ht="15.75" customHeight="1" x14ac:dyDescent="0.25">
      <c r="A67" s="32"/>
      <c r="B67" s="33"/>
    </row>
    <row r="68" spans="1:2" ht="15.75" customHeight="1" x14ac:dyDescent="0.25">
      <c r="A68" s="36" t="s">
        <v>1236</v>
      </c>
      <c r="B68" s="37">
        <f>B64-B66</f>
        <v>-2316.25</v>
      </c>
    </row>
    <row r="69" spans="1:2" ht="15.75" customHeight="1" x14ac:dyDescent="0.25">
      <c r="A69" s="32"/>
      <c r="B69" s="33"/>
    </row>
    <row r="70" spans="1:2" ht="15.75" customHeight="1" x14ac:dyDescent="0.25">
      <c r="A70" s="32"/>
      <c r="B70" s="33"/>
    </row>
    <row r="71" spans="1:2" ht="15.75" customHeight="1" x14ac:dyDescent="0.25">
      <c r="A71" s="32"/>
      <c r="B71" s="33"/>
    </row>
    <row r="72" spans="1:2" ht="15.75" customHeight="1" x14ac:dyDescent="0.25">
      <c r="A72" s="32"/>
      <c r="B72" s="33"/>
    </row>
    <row r="73" spans="1:2" ht="15.75" customHeight="1" x14ac:dyDescent="0.25">
      <c r="A73" s="32"/>
      <c r="B73" s="33"/>
    </row>
    <row r="74" spans="1:2" ht="15.75" customHeight="1" x14ac:dyDescent="0.25">
      <c r="A74" s="32"/>
      <c r="B74" s="33"/>
    </row>
    <row r="75" spans="1:2" ht="15.75" customHeight="1" x14ac:dyDescent="0.25">
      <c r="A75" s="38"/>
      <c r="B75" s="39"/>
    </row>
    <row r="76" spans="1:2" ht="15.75" customHeight="1" x14ac:dyDescent="0.25">
      <c r="A76" s="38"/>
      <c r="B76" s="39"/>
    </row>
    <row r="77" spans="1:2" ht="15.75" customHeight="1" x14ac:dyDescent="0.25">
      <c r="A77" s="38"/>
      <c r="B77" s="39"/>
    </row>
    <row r="78" spans="1:2" ht="15.75" customHeight="1" x14ac:dyDescent="0.25">
      <c r="A78" s="38"/>
      <c r="B78" s="39"/>
    </row>
    <row r="79" spans="1:2" ht="15.75" customHeight="1" x14ac:dyDescent="0.25">
      <c r="A79" s="38"/>
      <c r="B79" s="39"/>
    </row>
    <row r="80" spans="1:2" ht="15.75" customHeight="1" x14ac:dyDescent="0.25">
      <c r="A80" s="38"/>
      <c r="B80" s="39"/>
    </row>
    <row r="81" spans="1:2" ht="15.75" customHeight="1" x14ac:dyDescent="0.25">
      <c r="A81" s="38"/>
      <c r="B81" s="39"/>
    </row>
    <row r="82" spans="1:2" ht="15.75" customHeight="1" x14ac:dyDescent="0.25">
      <c r="A82" s="38"/>
      <c r="B82" s="39"/>
    </row>
    <row r="83" spans="1:2" ht="15.75" customHeight="1" x14ac:dyDescent="0.25">
      <c r="A83" s="38"/>
      <c r="B83" s="39"/>
    </row>
    <row r="84" spans="1:2" ht="15.75" customHeight="1" x14ac:dyDescent="0.25">
      <c r="A84" s="38"/>
      <c r="B84" s="39"/>
    </row>
    <row r="85" spans="1:2" ht="15.75" customHeight="1" x14ac:dyDescent="0.25">
      <c r="A85" s="38"/>
      <c r="B85" s="39"/>
    </row>
    <row r="86" spans="1:2" ht="15.75" customHeight="1" x14ac:dyDescent="0.25">
      <c r="A86" s="38"/>
      <c r="B86" s="39"/>
    </row>
    <row r="87" spans="1:2" ht="15.75" customHeight="1" x14ac:dyDescent="0.25">
      <c r="A87" s="38"/>
      <c r="B87" s="39"/>
    </row>
    <row r="88" spans="1:2" ht="15.75" customHeight="1" x14ac:dyDescent="0.25">
      <c r="A88" s="38"/>
      <c r="B88" s="39"/>
    </row>
    <row r="89" spans="1:2" ht="15.75" customHeight="1" x14ac:dyDescent="0.25">
      <c r="A89" s="38"/>
      <c r="B89" s="39"/>
    </row>
    <row r="90" spans="1:2" ht="15.75" customHeight="1" x14ac:dyDescent="0.25">
      <c r="A90" s="38"/>
      <c r="B90" s="39"/>
    </row>
    <row r="91" spans="1:2" ht="15.75" customHeight="1" x14ac:dyDescent="0.25">
      <c r="A91" s="38"/>
      <c r="B91" s="39"/>
    </row>
    <row r="92" spans="1:2" ht="15.75" customHeight="1" x14ac:dyDescent="0.25">
      <c r="A92" s="38"/>
      <c r="B92" s="39"/>
    </row>
    <row r="93" spans="1:2" ht="15.75" customHeight="1" x14ac:dyDescent="0.25">
      <c r="A93" s="38"/>
      <c r="B93" s="39"/>
    </row>
    <row r="94" spans="1:2" ht="15.75" customHeight="1" x14ac:dyDescent="0.25">
      <c r="A94" s="38"/>
      <c r="B94" s="39"/>
    </row>
    <row r="95" spans="1:2" ht="15.75" customHeight="1" x14ac:dyDescent="0.25">
      <c r="A95" s="38"/>
      <c r="B95" s="39"/>
    </row>
    <row r="96" spans="1:2" ht="15.75" customHeight="1" x14ac:dyDescent="0.25">
      <c r="A96" s="38"/>
      <c r="B96" s="39"/>
    </row>
    <row r="97" spans="1:2" ht="15.75" customHeight="1" x14ac:dyDescent="0.25">
      <c r="A97" s="38"/>
      <c r="B97" s="39"/>
    </row>
    <row r="98" spans="1:2" ht="15.75" customHeight="1" x14ac:dyDescent="0.25">
      <c r="A98" s="38"/>
      <c r="B98" s="39"/>
    </row>
    <row r="99" spans="1:2" ht="15.75" customHeight="1" x14ac:dyDescent="0.25">
      <c r="A99" s="38"/>
      <c r="B99" s="39"/>
    </row>
    <row r="100" spans="1:2" ht="15.75" customHeight="1" x14ac:dyDescent="0.25">
      <c r="A100" s="38"/>
      <c r="B100" s="39"/>
    </row>
    <row r="101" spans="1:2" ht="15.75" customHeight="1" x14ac:dyDescent="0.25">
      <c r="A101" s="38"/>
      <c r="B101" s="39"/>
    </row>
    <row r="102" spans="1:2" ht="15.75" customHeight="1" x14ac:dyDescent="0.25">
      <c r="A102" s="38"/>
      <c r="B102" s="39"/>
    </row>
    <row r="103" spans="1:2" ht="15.75" customHeight="1" x14ac:dyDescent="0.25">
      <c r="A103" s="38"/>
      <c r="B103" s="39"/>
    </row>
    <row r="104" spans="1:2" ht="15.75" customHeight="1" x14ac:dyDescent="0.25">
      <c r="A104" s="38"/>
      <c r="B104" s="39"/>
    </row>
    <row r="105" spans="1:2" ht="15.75" customHeight="1" x14ac:dyDescent="0.25">
      <c r="A105" s="38"/>
      <c r="B105" s="39"/>
    </row>
    <row r="106" spans="1:2" ht="15.75" customHeight="1" x14ac:dyDescent="0.25">
      <c r="A106" s="38"/>
      <c r="B106" s="39"/>
    </row>
    <row r="107" spans="1:2" ht="15.75" customHeight="1" x14ac:dyDescent="0.25">
      <c r="A107" s="38"/>
      <c r="B107" s="39"/>
    </row>
    <row r="108" spans="1:2" ht="15.75" customHeight="1" x14ac:dyDescent="0.25">
      <c r="A108" s="38"/>
      <c r="B108" s="39"/>
    </row>
    <row r="109" spans="1:2" ht="15.75" customHeight="1" x14ac:dyDescent="0.25">
      <c r="A109" s="38"/>
      <c r="B109" s="39"/>
    </row>
    <row r="110" spans="1:2" ht="15.75" customHeight="1" x14ac:dyDescent="0.25">
      <c r="A110" s="38"/>
      <c r="B110" s="39"/>
    </row>
    <row r="111" spans="1:2" ht="15.75" customHeight="1" x14ac:dyDescent="0.25">
      <c r="A111" s="38"/>
      <c r="B111" s="39"/>
    </row>
    <row r="112" spans="1:2" ht="15.75" customHeight="1" x14ac:dyDescent="0.25">
      <c r="A112" s="38"/>
      <c r="B112" s="39"/>
    </row>
    <row r="113" spans="1:2" ht="15.75" customHeight="1" x14ac:dyDescent="0.25">
      <c r="A113" s="38"/>
      <c r="B113" s="39"/>
    </row>
    <row r="114" spans="1:2" ht="15.75" customHeight="1" x14ac:dyDescent="0.25">
      <c r="A114" s="38"/>
      <c r="B114" s="39"/>
    </row>
    <row r="115" spans="1:2" ht="15.75" customHeight="1" x14ac:dyDescent="0.25">
      <c r="A115" s="38"/>
      <c r="B115" s="39"/>
    </row>
    <row r="116" spans="1:2" ht="15.75" customHeight="1" x14ac:dyDescent="0.25">
      <c r="A116" s="38"/>
      <c r="B116" s="39"/>
    </row>
    <row r="117" spans="1:2" ht="15.75" customHeight="1" x14ac:dyDescent="0.25">
      <c r="A117" s="38"/>
      <c r="B117" s="39"/>
    </row>
    <row r="118" spans="1:2" ht="15.75" customHeight="1" x14ac:dyDescent="0.25">
      <c r="A118" s="38"/>
      <c r="B118" s="39"/>
    </row>
    <row r="119" spans="1:2" ht="15.75" customHeight="1" x14ac:dyDescent="0.25">
      <c r="A119" s="38"/>
      <c r="B119" s="39"/>
    </row>
    <row r="120" spans="1:2" ht="15.75" customHeight="1" x14ac:dyDescent="0.25">
      <c r="A120" s="38"/>
      <c r="B120" s="39"/>
    </row>
    <row r="121" spans="1:2" ht="15.75" customHeight="1" x14ac:dyDescent="0.25">
      <c r="A121" s="38"/>
      <c r="B121" s="39"/>
    </row>
    <row r="122" spans="1:2" ht="15.75" customHeight="1" x14ac:dyDescent="0.25">
      <c r="A122" s="38"/>
      <c r="B122" s="39"/>
    </row>
    <row r="123" spans="1:2" ht="15.75" customHeight="1" x14ac:dyDescent="0.25">
      <c r="A123" s="38"/>
      <c r="B123" s="39"/>
    </row>
    <row r="124" spans="1:2" ht="15.75" customHeight="1" x14ac:dyDescent="0.25">
      <c r="A124" s="38"/>
      <c r="B124" s="39"/>
    </row>
    <row r="125" spans="1:2" ht="15.75" customHeight="1" x14ac:dyDescent="0.25">
      <c r="A125" s="38"/>
      <c r="B125" s="39"/>
    </row>
    <row r="126" spans="1:2" ht="15.75" customHeight="1" x14ac:dyDescent="0.25">
      <c r="A126" s="38"/>
      <c r="B126" s="39"/>
    </row>
    <row r="127" spans="1:2" ht="15.75" customHeight="1" x14ac:dyDescent="0.25">
      <c r="A127" s="38"/>
      <c r="B127" s="39"/>
    </row>
    <row r="128" spans="1:2" ht="15.75" customHeight="1" x14ac:dyDescent="0.25">
      <c r="A128" s="38"/>
      <c r="B128" s="39"/>
    </row>
    <row r="129" spans="1:2" ht="15.75" customHeight="1" x14ac:dyDescent="0.25">
      <c r="A129" s="38"/>
      <c r="B129" s="39"/>
    </row>
    <row r="130" spans="1:2" ht="15.75" customHeight="1" x14ac:dyDescent="0.25">
      <c r="A130" s="38"/>
      <c r="B130" s="39"/>
    </row>
    <row r="131" spans="1:2" ht="15.75" customHeight="1" x14ac:dyDescent="0.25">
      <c r="A131" s="38"/>
      <c r="B131" s="39"/>
    </row>
    <row r="132" spans="1:2" ht="15.75" customHeight="1" x14ac:dyDescent="0.25">
      <c r="A132" s="38"/>
      <c r="B132" s="39"/>
    </row>
    <row r="133" spans="1:2" ht="15.75" customHeight="1" x14ac:dyDescent="0.25">
      <c r="A133" s="38"/>
      <c r="B133" s="39"/>
    </row>
    <row r="134" spans="1:2" ht="15.75" customHeight="1" x14ac:dyDescent="0.25">
      <c r="A134" s="38"/>
      <c r="B134" s="39"/>
    </row>
    <row r="135" spans="1:2" ht="15.75" customHeight="1" x14ac:dyDescent="0.25">
      <c r="A135" s="38"/>
      <c r="B135" s="39"/>
    </row>
    <row r="136" spans="1:2" ht="15.75" customHeight="1" x14ac:dyDescent="0.25">
      <c r="A136" s="38"/>
      <c r="B136" s="39"/>
    </row>
    <row r="137" spans="1:2" ht="15.75" customHeight="1" x14ac:dyDescent="0.25">
      <c r="A137" s="38"/>
      <c r="B137" s="39"/>
    </row>
    <row r="138" spans="1:2" ht="15.75" customHeight="1" x14ac:dyDescent="0.25">
      <c r="A138" s="38"/>
      <c r="B138" s="39"/>
    </row>
    <row r="139" spans="1:2" ht="15.75" customHeight="1" x14ac:dyDescent="0.25">
      <c r="A139" s="38"/>
      <c r="B139" s="39"/>
    </row>
    <row r="140" spans="1:2" ht="15.75" customHeight="1" x14ac:dyDescent="0.25">
      <c r="A140" s="38"/>
      <c r="B140" s="39"/>
    </row>
    <row r="141" spans="1:2" ht="15.75" customHeight="1" x14ac:dyDescent="0.25">
      <c r="A141" s="38"/>
      <c r="B141" s="39"/>
    </row>
    <row r="142" spans="1:2" ht="15.75" customHeight="1" x14ac:dyDescent="0.25">
      <c r="A142" s="38"/>
      <c r="B142" s="39"/>
    </row>
    <row r="143" spans="1:2" ht="15.75" customHeight="1" x14ac:dyDescent="0.25">
      <c r="A143" s="38"/>
      <c r="B143" s="39"/>
    </row>
    <row r="144" spans="1:2" ht="15.75" customHeight="1" x14ac:dyDescent="0.25">
      <c r="A144" s="38"/>
      <c r="B144" s="39"/>
    </row>
    <row r="145" spans="1:2" ht="15.75" customHeight="1" x14ac:dyDescent="0.25">
      <c r="A145" s="38"/>
      <c r="B145" s="39"/>
    </row>
    <row r="146" spans="1:2" ht="15.75" customHeight="1" x14ac:dyDescent="0.25">
      <c r="A146" s="38"/>
      <c r="B146" s="39"/>
    </row>
    <row r="147" spans="1:2" ht="15.75" customHeight="1" x14ac:dyDescent="0.25">
      <c r="A147" s="38"/>
      <c r="B147" s="39"/>
    </row>
    <row r="148" spans="1:2" ht="15.75" customHeight="1" x14ac:dyDescent="0.25">
      <c r="A148" s="38"/>
      <c r="B148" s="39"/>
    </row>
    <row r="149" spans="1:2" ht="15.75" customHeight="1" x14ac:dyDescent="0.25">
      <c r="A149" s="38"/>
      <c r="B149" s="39"/>
    </row>
    <row r="150" spans="1:2" ht="15.75" customHeight="1" x14ac:dyDescent="0.25">
      <c r="A150" s="38"/>
      <c r="B150" s="39"/>
    </row>
    <row r="151" spans="1:2" ht="15.75" customHeight="1" x14ac:dyDescent="0.25">
      <c r="A151" s="38"/>
      <c r="B151" s="39"/>
    </row>
    <row r="152" spans="1:2" ht="15.75" customHeight="1" x14ac:dyDescent="0.25">
      <c r="A152" s="38"/>
      <c r="B152" s="39"/>
    </row>
    <row r="153" spans="1:2" ht="15.75" customHeight="1" x14ac:dyDescent="0.25">
      <c r="A153" s="38"/>
      <c r="B153" s="39"/>
    </row>
    <row r="154" spans="1:2" ht="15.75" customHeight="1" x14ac:dyDescent="0.25">
      <c r="A154" s="38"/>
      <c r="B154" s="39"/>
    </row>
    <row r="155" spans="1:2" ht="15.75" customHeight="1" x14ac:dyDescent="0.25">
      <c r="A155" s="38"/>
      <c r="B155" s="39"/>
    </row>
    <row r="156" spans="1:2" ht="15.75" customHeight="1" x14ac:dyDescent="0.25">
      <c r="A156" s="38"/>
      <c r="B156" s="39"/>
    </row>
    <row r="157" spans="1:2" ht="15.75" customHeight="1" x14ac:dyDescent="0.25">
      <c r="A157" s="38"/>
      <c r="B157" s="39"/>
    </row>
    <row r="158" spans="1:2" ht="15.75" customHeight="1" x14ac:dyDescent="0.25">
      <c r="A158" s="38"/>
      <c r="B158" s="39"/>
    </row>
    <row r="159" spans="1:2" ht="15.75" customHeight="1" x14ac:dyDescent="0.25">
      <c r="A159" s="38"/>
      <c r="B159" s="39"/>
    </row>
    <row r="160" spans="1:2" ht="15.75" customHeight="1" x14ac:dyDescent="0.25">
      <c r="A160" s="38"/>
      <c r="B160" s="39"/>
    </row>
    <row r="161" spans="1:2" ht="15.75" customHeight="1" x14ac:dyDescent="0.25">
      <c r="A161" s="38"/>
      <c r="B161" s="39"/>
    </row>
    <row r="162" spans="1:2" ht="15.75" customHeight="1" x14ac:dyDescent="0.25">
      <c r="A162" s="38"/>
      <c r="B162" s="39"/>
    </row>
    <row r="163" spans="1:2" ht="15.75" customHeight="1" x14ac:dyDescent="0.25">
      <c r="A163" s="38"/>
      <c r="B163" s="39"/>
    </row>
    <row r="164" spans="1:2" ht="15.75" customHeight="1" x14ac:dyDescent="0.25">
      <c r="A164" s="38"/>
      <c r="B164" s="39"/>
    </row>
    <row r="165" spans="1:2" ht="15.75" customHeight="1" x14ac:dyDescent="0.25">
      <c r="A165" s="38"/>
      <c r="B165" s="39"/>
    </row>
    <row r="166" spans="1:2" ht="15.75" customHeight="1" x14ac:dyDescent="0.25">
      <c r="A166" s="38"/>
      <c r="B166" s="39"/>
    </row>
    <row r="167" spans="1:2" ht="15.75" customHeight="1" x14ac:dyDescent="0.25">
      <c r="A167" s="38"/>
      <c r="B167" s="39"/>
    </row>
    <row r="168" spans="1:2" ht="15.75" customHeight="1" x14ac:dyDescent="0.25">
      <c r="A168" s="38"/>
      <c r="B168" s="39"/>
    </row>
    <row r="169" spans="1:2" ht="15.75" customHeight="1" x14ac:dyDescent="0.25">
      <c r="A169" s="38"/>
      <c r="B169" s="39"/>
    </row>
    <row r="170" spans="1:2" ht="15.75" customHeight="1" x14ac:dyDescent="0.25">
      <c r="A170" s="38"/>
      <c r="B170" s="39"/>
    </row>
    <row r="171" spans="1:2" ht="15.75" customHeight="1" x14ac:dyDescent="0.25">
      <c r="A171" s="38"/>
      <c r="B171" s="39"/>
    </row>
    <row r="172" spans="1:2" ht="15.75" customHeight="1" x14ac:dyDescent="0.25">
      <c r="A172" s="38"/>
      <c r="B172" s="39"/>
    </row>
    <row r="173" spans="1:2" ht="15.75" customHeight="1" x14ac:dyDescent="0.25">
      <c r="A173" s="38"/>
      <c r="B173" s="39"/>
    </row>
    <row r="174" spans="1:2" ht="15.75" customHeight="1" x14ac:dyDescent="0.25">
      <c r="A174" s="38"/>
      <c r="B174" s="39"/>
    </row>
    <row r="175" spans="1:2" ht="15.75" customHeight="1" x14ac:dyDescent="0.25">
      <c r="A175" s="38"/>
      <c r="B175" s="39"/>
    </row>
    <row r="176" spans="1:2" ht="15.75" customHeight="1" x14ac:dyDescent="0.25">
      <c r="A176" s="38"/>
      <c r="B176" s="39"/>
    </row>
    <row r="177" spans="1:2" ht="15.75" customHeight="1" x14ac:dyDescent="0.25">
      <c r="A177" s="38"/>
      <c r="B177" s="39"/>
    </row>
    <row r="178" spans="1:2" ht="15.75" customHeight="1" x14ac:dyDescent="0.25">
      <c r="A178" s="38"/>
      <c r="B178" s="39"/>
    </row>
    <row r="179" spans="1:2" ht="15.75" customHeight="1" x14ac:dyDescent="0.25">
      <c r="A179" s="38"/>
      <c r="B179" s="39"/>
    </row>
    <row r="180" spans="1:2" ht="15.75" customHeight="1" x14ac:dyDescent="0.25">
      <c r="A180" s="38"/>
      <c r="B180" s="39"/>
    </row>
    <row r="181" spans="1:2" ht="15.75" customHeight="1" x14ac:dyDescent="0.25">
      <c r="A181" s="38"/>
      <c r="B181" s="39"/>
    </row>
    <row r="182" spans="1:2" ht="15.75" customHeight="1" x14ac:dyDescent="0.25">
      <c r="A182" s="38"/>
      <c r="B182" s="39"/>
    </row>
    <row r="183" spans="1:2" ht="15.75" customHeight="1" x14ac:dyDescent="0.25">
      <c r="A183" s="38"/>
      <c r="B183" s="39"/>
    </row>
    <row r="184" spans="1:2" ht="15.75" customHeight="1" x14ac:dyDescent="0.25">
      <c r="A184" s="38"/>
      <c r="B184" s="39"/>
    </row>
    <row r="185" spans="1:2" ht="15.75" customHeight="1" x14ac:dyDescent="0.25">
      <c r="A185" s="38"/>
      <c r="B185" s="39"/>
    </row>
    <row r="186" spans="1:2" ht="15.75" customHeight="1" x14ac:dyDescent="0.25">
      <c r="A186" s="38"/>
      <c r="B186" s="39"/>
    </row>
    <row r="187" spans="1:2" ht="15.75" customHeight="1" x14ac:dyDescent="0.25">
      <c r="A187" s="38"/>
      <c r="B187" s="39"/>
    </row>
    <row r="188" spans="1:2" ht="15.75" customHeight="1" x14ac:dyDescent="0.25">
      <c r="A188" s="38"/>
      <c r="B188" s="39"/>
    </row>
    <row r="189" spans="1:2" ht="15.75" customHeight="1" x14ac:dyDescent="0.25">
      <c r="A189" s="38"/>
      <c r="B189" s="39"/>
    </row>
    <row r="190" spans="1:2" ht="15.75" customHeight="1" x14ac:dyDescent="0.25">
      <c r="A190" s="38"/>
      <c r="B190" s="39"/>
    </row>
    <row r="191" spans="1:2" ht="15.75" customHeight="1" x14ac:dyDescent="0.25">
      <c r="A191" s="38"/>
      <c r="B191" s="39"/>
    </row>
    <row r="192" spans="1:2" ht="15.75" customHeight="1" x14ac:dyDescent="0.25">
      <c r="A192" s="38"/>
      <c r="B192" s="39"/>
    </row>
    <row r="193" spans="1:2" ht="15.75" customHeight="1" x14ac:dyDescent="0.25">
      <c r="A193" s="38"/>
      <c r="B193" s="39"/>
    </row>
    <row r="194" spans="1:2" ht="15.75" customHeight="1" x14ac:dyDescent="0.25">
      <c r="A194" s="38"/>
      <c r="B194" s="39"/>
    </row>
    <row r="195" spans="1:2" ht="15.75" customHeight="1" x14ac:dyDescent="0.25">
      <c r="A195" s="38"/>
      <c r="B195" s="39"/>
    </row>
    <row r="196" spans="1:2" ht="15.75" customHeight="1" x14ac:dyDescent="0.25">
      <c r="A196" s="38"/>
      <c r="B196" s="39"/>
    </row>
    <row r="197" spans="1:2" ht="15.75" customHeight="1" x14ac:dyDescent="0.25">
      <c r="A197" s="38"/>
      <c r="B197" s="39"/>
    </row>
    <row r="198" spans="1:2" ht="15.75" customHeight="1" x14ac:dyDescent="0.25">
      <c r="A198" s="38"/>
      <c r="B198" s="39"/>
    </row>
    <row r="199" spans="1:2" ht="15.75" customHeight="1" x14ac:dyDescent="0.25">
      <c r="A199" s="38"/>
      <c r="B199" s="39"/>
    </row>
    <row r="200" spans="1:2" ht="15.75" customHeight="1" x14ac:dyDescent="0.25">
      <c r="A200" s="38"/>
      <c r="B200" s="39"/>
    </row>
    <row r="201" spans="1:2" ht="15.75" customHeight="1" x14ac:dyDescent="0.25">
      <c r="A201" s="38"/>
      <c r="B201" s="39"/>
    </row>
    <row r="202" spans="1:2" ht="15.75" customHeight="1" x14ac:dyDescent="0.25">
      <c r="A202" s="38"/>
      <c r="B202" s="39"/>
    </row>
    <row r="203" spans="1:2" ht="15.75" customHeight="1" x14ac:dyDescent="0.25">
      <c r="A203" s="38"/>
      <c r="B203" s="39"/>
    </row>
    <row r="204" spans="1:2" ht="15.75" customHeight="1" x14ac:dyDescent="0.25">
      <c r="A204" s="38"/>
      <c r="B204" s="39"/>
    </row>
    <row r="205" spans="1:2" ht="15.75" customHeight="1" x14ac:dyDescent="0.25">
      <c r="A205" s="38"/>
      <c r="B205" s="39"/>
    </row>
    <row r="206" spans="1:2" ht="15.75" customHeight="1" x14ac:dyDescent="0.25">
      <c r="A206" s="38"/>
      <c r="B206" s="39"/>
    </row>
    <row r="207" spans="1:2" ht="15.75" customHeight="1" x14ac:dyDescent="0.25">
      <c r="A207" s="38"/>
      <c r="B207" s="39"/>
    </row>
    <row r="208" spans="1:2" ht="15.75" customHeight="1" x14ac:dyDescent="0.25">
      <c r="A208" s="38"/>
      <c r="B208" s="39"/>
    </row>
    <row r="209" spans="1:2" ht="15.75" customHeight="1" x14ac:dyDescent="0.25">
      <c r="A209" s="38"/>
      <c r="B209" s="39"/>
    </row>
    <row r="210" spans="1:2" ht="15.75" customHeight="1" x14ac:dyDescent="0.25">
      <c r="A210" s="38"/>
      <c r="B210" s="39"/>
    </row>
    <row r="211" spans="1:2" ht="15.75" customHeight="1" x14ac:dyDescent="0.25">
      <c r="A211" s="38"/>
      <c r="B211" s="39"/>
    </row>
    <row r="212" spans="1:2" ht="15.75" customHeight="1" x14ac:dyDescent="0.25">
      <c r="A212" s="38"/>
      <c r="B212" s="39"/>
    </row>
    <row r="213" spans="1:2" ht="15.75" customHeight="1" x14ac:dyDescent="0.25">
      <c r="A213" s="38"/>
      <c r="B213" s="39"/>
    </row>
    <row r="214" spans="1:2" ht="15.75" customHeight="1" x14ac:dyDescent="0.25">
      <c r="A214" s="38"/>
      <c r="B214" s="39"/>
    </row>
    <row r="215" spans="1:2" ht="15.75" customHeight="1" x14ac:dyDescent="0.25">
      <c r="A215" s="38"/>
      <c r="B215" s="39"/>
    </row>
    <row r="216" spans="1:2" ht="15.75" customHeight="1" x14ac:dyDescent="0.25">
      <c r="A216" s="38"/>
      <c r="B216" s="39"/>
    </row>
    <row r="217" spans="1:2" ht="15.75" customHeight="1" x14ac:dyDescent="0.25">
      <c r="A217" s="38"/>
      <c r="B217" s="39"/>
    </row>
    <row r="218" spans="1:2" ht="15.75" customHeight="1" x14ac:dyDescent="0.25">
      <c r="A218" s="38"/>
      <c r="B218" s="39"/>
    </row>
    <row r="219" spans="1:2" ht="15.75" customHeight="1" x14ac:dyDescent="0.25">
      <c r="A219" s="38"/>
      <c r="B219" s="39"/>
    </row>
    <row r="220" spans="1:2" ht="15.75" customHeight="1" x14ac:dyDescent="0.25">
      <c r="A220" s="38"/>
      <c r="B220" s="39"/>
    </row>
    <row r="221" spans="1:2" ht="15.75" customHeight="1" x14ac:dyDescent="0.25">
      <c r="A221" s="38"/>
      <c r="B221" s="39"/>
    </row>
    <row r="222" spans="1:2" ht="15.75" customHeight="1" x14ac:dyDescent="0.25">
      <c r="A222" s="38"/>
      <c r="B222" s="39"/>
    </row>
    <row r="223" spans="1:2" ht="15.75" customHeight="1" x14ac:dyDescent="0.25">
      <c r="A223" s="38"/>
      <c r="B223" s="39"/>
    </row>
    <row r="224" spans="1:2" ht="15.75" customHeight="1" x14ac:dyDescent="0.25">
      <c r="A224" s="38"/>
      <c r="B224" s="39"/>
    </row>
    <row r="225" spans="1:2" ht="15.75" customHeight="1" x14ac:dyDescent="0.25">
      <c r="A225" s="38"/>
      <c r="B225" s="39"/>
    </row>
    <row r="226" spans="1:2" ht="15.75" customHeight="1" x14ac:dyDescent="0.25">
      <c r="A226" s="38"/>
      <c r="B226" s="39"/>
    </row>
    <row r="227" spans="1:2" ht="15.75" customHeight="1" x14ac:dyDescent="0.25">
      <c r="A227" s="38"/>
      <c r="B227" s="39"/>
    </row>
    <row r="228" spans="1:2" ht="15.75" customHeight="1" x14ac:dyDescent="0.25">
      <c r="A228" s="38"/>
      <c r="B228" s="39"/>
    </row>
    <row r="229" spans="1:2" ht="15.75" customHeight="1" x14ac:dyDescent="0.25">
      <c r="A229" s="38"/>
      <c r="B229" s="39"/>
    </row>
    <row r="230" spans="1:2" ht="15.75" customHeight="1" x14ac:dyDescent="0.25">
      <c r="A230" s="38"/>
      <c r="B230" s="39"/>
    </row>
    <row r="231" spans="1:2" ht="15.75" customHeight="1" x14ac:dyDescent="0.25">
      <c r="A231" s="38"/>
      <c r="B231" s="39"/>
    </row>
    <row r="232" spans="1:2" ht="15.75" customHeight="1" x14ac:dyDescent="0.25">
      <c r="A232" s="38"/>
      <c r="B232" s="39"/>
    </row>
    <row r="233" spans="1:2" ht="15.75" customHeight="1" x14ac:dyDescent="0.25">
      <c r="A233" s="38"/>
      <c r="B233" s="39"/>
    </row>
    <row r="234" spans="1:2" ht="15.75" customHeight="1" x14ac:dyDescent="0.25">
      <c r="A234" s="38"/>
      <c r="B234" s="39"/>
    </row>
    <row r="235" spans="1:2" ht="15.75" customHeight="1" x14ac:dyDescent="0.25">
      <c r="A235" s="38"/>
      <c r="B235" s="39"/>
    </row>
    <row r="236" spans="1:2" ht="15.75" customHeight="1" x14ac:dyDescent="0.25">
      <c r="A236" s="38"/>
      <c r="B236" s="39"/>
    </row>
    <row r="237" spans="1:2" ht="15.75" customHeight="1" x14ac:dyDescent="0.25">
      <c r="A237" s="38"/>
      <c r="B237" s="39"/>
    </row>
    <row r="238" spans="1:2" ht="15.75" customHeight="1" x14ac:dyDescent="0.25">
      <c r="A238" s="38"/>
      <c r="B238" s="39"/>
    </row>
    <row r="239" spans="1:2" ht="15.75" customHeight="1" x14ac:dyDescent="0.25">
      <c r="A239" s="38"/>
      <c r="B239" s="39"/>
    </row>
    <row r="240" spans="1:2" ht="15.75" customHeight="1" x14ac:dyDescent="0.25">
      <c r="A240" s="38"/>
      <c r="B240" s="39"/>
    </row>
    <row r="241" spans="1:2" ht="15.75" customHeight="1" x14ac:dyDescent="0.25">
      <c r="A241" s="38"/>
      <c r="B241" s="39"/>
    </row>
    <row r="242" spans="1:2" ht="15.75" customHeight="1" x14ac:dyDescent="0.25">
      <c r="A242" s="38"/>
      <c r="B242" s="39"/>
    </row>
    <row r="243" spans="1:2" ht="15.75" customHeight="1" x14ac:dyDescent="0.25">
      <c r="A243" s="38"/>
      <c r="B243" s="39"/>
    </row>
    <row r="244" spans="1:2" ht="15.75" customHeight="1" x14ac:dyDescent="0.25">
      <c r="A244" s="38"/>
      <c r="B244" s="39"/>
    </row>
    <row r="245" spans="1:2" ht="15.75" customHeight="1" x14ac:dyDescent="0.25">
      <c r="A245" s="38"/>
      <c r="B245" s="39"/>
    </row>
    <row r="246" spans="1:2" ht="15.75" customHeight="1" x14ac:dyDescent="0.25">
      <c r="A246" s="38"/>
      <c r="B246" s="39"/>
    </row>
    <row r="247" spans="1:2" ht="15.75" customHeight="1" x14ac:dyDescent="0.25">
      <c r="A247" s="38"/>
      <c r="B247" s="39"/>
    </row>
    <row r="248" spans="1:2" ht="15.75" customHeight="1" x14ac:dyDescent="0.25">
      <c r="A248" s="38"/>
      <c r="B248" s="39"/>
    </row>
    <row r="249" spans="1:2" ht="15.75" customHeight="1" x14ac:dyDescent="0.25">
      <c r="A249" s="38"/>
      <c r="B249" s="39"/>
    </row>
    <row r="250" spans="1:2" ht="15.75" customHeight="1" x14ac:dyDescent="0.25">
      <c r="A250" s="38"/>
      <c r="B250" s="39"/>
    </row>
    <row r="251" spans="1:2" ht="15.75" customHeight="1" x14ac:dyDescent="0.25">
      <c r="A251" s="38"/>
      <c r="B251" s="39"/>
    </row>
    <row r="252" spans="1:2" ht="15.75" customHeight="1" x14ac:dyDescent="0.25">
      <c r="A252" s="38"/>
      <c r="B252" s="39"/>
    </row>
    <row r="253" spans="1:2" ht="15.75" customHeight="1" x14ac:dyDescent="0.25">
      <c r="A253" s="38"/>
      <c r="B253" s="39"/>
    </row>
    <row r="254" spans="1:2" ht="15.75" customHeight="1" x14ac:dyDescent="0.25">
      <c r="A254" s="38"/>
      <c r="B254" s="39"/>
    </row>
    <row r="255" spans="1:2" ht="15.75" customHeight="1" x14ac:dyDescent="0.25">
      <c r="A255" s="38"/>
      <c r="B255" s="39"/>
    </row>
    <row r="256" spans="1:2" ht="15.75" customHeight="1" x14ac:dyDescent="0.25">
      <c r="A256" s="38"/>
      <c r="B256" s="39"/>
    </row>
    <row r="257" spans="1:2" ht="15.75" customHeight="1" x14ac:dyDescent="0.25">
      <c r="A257" s="38"/>
      <c r="B257" s="39"/>
    </row>
    <row r="258" spans="1:2" ht="15.75" customHeight="1" x14ac:dyDescent="0.25">
      <c r="A258" s="38"/>
      <c r="B258" s="39"/>
    </row>
    <row r="259" spans="1:2" ht="15.75" customHeight="1" x14ac:dyDescent="0.25">
      <c r="A259" s="38"/>
      <c r="B259" s="39"/>
    </row>
    <row r="260" spans="1:2" ht="15.75" customHeight="1" x14ac:dyDescent="0.25">
      <c r="A260" s="38"/>
      <c r="B260" s="39"/>
    </row>
    <row r="261" spans="1:2" ht="15.75" customHeight="1" x14ac:dyDescent="0.25">
      <c r="A261" s="38"/>
      <c r="B261" s="39"/>
    </row>
    <row r="262" spans="1:2" ht="15.75" customHeight="1" x14ac:dyDescent="0.25">
      <c r="A262" s="38"/>
      <c r="B262" s="39"/>
    </row>
    <row r="263" spans="1:2" ht="15.75" customHeight="1" x14ac:dyDescent="0.25">
      <c r="A263" s="38"/>
      <c r="B263" s="39"/>
    </row>
    <row r="264" spans="1:2" ht="15.75" customHeight="1" x14ac:dyDescent="0.25">
      <c r="A264" s="38"/>
      <c r="B264" s="39"/>
    </row>
    <row r="265" spans="1:2" ht="15.75" customHeight="1" x14ac:dyDescent="0.25">
      <c r="A265" s="38"/>
      <c r="B265" s="39"/>
    </row>
    <row r="266" spans="1:2" ht="15.75" customHeight="1" x14ac:dyDescent="0.25">
      <c r="A266" s="38"/>
      <c r="B266" s="39"/>
    </row>
    <row r="267" spans="1:2" ht="15.75" customHeight="1" x14ac:dyDescent="0.25">
      <c r="A267" s="38"/>
      <c r="B267" s="39"/>
    </row>
    <row r="268" spans="1:2" ht="15.75" customHeight="1" x14ac:dyDescent="0.25">
      <c r="A268" s="38"/>
      <c r="B268" s="39"/>
    </row>
    <row r="269" spans="1:2" ht="15.75" customHeight="1" x14ac:dyDescent="0.25">
      <c r="A269" s="38"/>
      <c r="B269" s="39"/>
    </row>
    <row r="270" spans="1:2" ht="15.75" customHeight="1" x14ac:dyDescent="0.25">
      <c r="A270" s="38"/>
      <c r="B270" s="39"/>
    </row>
    <row r="271" spans="1:2" ht="15.75" customHeight="1" x14ac:dyDescent="0.25">
      <c r="A271" s="38"/>
      <c r="B271" s="39"/>
    </row>
    <row r="272" spans="1:2" ht="15.75" customHeight="1" x14ac:dyDescent="0.25">
      <c r="A272" s="38"/>
      <c r="B272" s="39"/>
    </row>
    <row r="273" spans="1:2" ht="15.75" customHeight="1" x14ac:dyDescent="0.25">
      <c r="A273" s="38"/>
      <c r="B273" s="39"/>
    </row>
    <row r="274" spans="1:2" ht="15.75" customHeight="1" x14ac:dyDescent="0.25">
      <c r="A274" s="38"/>
      <c r="B274" s="39"/>
    </row>
    <row r="275" spans="1:2" ht="15.75" customHeight="1" x14ac:dyDescent="0.25">
      <c r="A275" s="38"/>
      <c r="B275" s="39"/>
    </row>
    <row r="276" spans="1:2" ht="15.75" customHeight="1" x14ac:dyDescent="0.25">
      <c r="A276" s="38"/>
      <c r="B276" s="39"/>
    </row>
    <row r="277" spans="1:2" ht="15.75" customHeight="1" x14ac:dyDescent="0.25">
      <c r="A277" s="38"/>
      <c r="B277" s="39"/>
    </row>
    <row r="278" spans="1:2" ht="15.75" customHeight="1" x14ac:dyDescent="0.25">
      <c r="A278" s="38"/>
      <c r="B278" s="39"/>
    </row>
    <row r="279" spans="1:2" ht="15.75" customHeight="1" x14ac:dyDescent="0.25">
      <c r="A279" s="38"/>
      <c r="B279" s="39"/>
    </row>
    <row r="280" spans="1:2" ht="15.75" customHeight="1" x14ac:dyDescent="0.25">
      <c r="A280" s="38"/>
      <c r="B280" s="39"/>
    </row>
    <row r="281" spans="1:2" ht="15.75" customHeight="1" x14ac:dyDescent="0.25">
      <c r="A281" s="38"/>
      <c r="B281" s="39"/>
    </row>
    <row r="282" spans="1:2" ht="15.75" customHeight="1" x14ac:dyDescent="0.25">
      <c r="A282" s="38"/>
      <c r="B282" s="39"/>
    </row>
    <row r="283" spans="1:2" ht="15.75" customHeight="1" x14ac:dyDescent="0.25">
      <c r="A283" s="38"/>
      <c r="B283" s="39"/>
    </row>
    <row r="284" spans="1:2" ht="15.75" customHeight="1" x14ac:dyDescent="0.25">
      <c r="A284" s="38"/>
      <c r="B284" s="39"/>
    </row>
    <row r="285" spans="1:2" ht="15.75" customHeight="1" x14ac:dyDescent="0.25">
      <c r="A285" s="38"/>
      <c r="B285" s="39"/>
    </row>
    <row r="286" spans="1:2" ht="15.75" customHeight="1" x14ac:dyDescent="0.25">
      <c r="A286" s="38"/>
      <c r="B286" s="39"/>
    </row>
    <row r="287" spans="1:2" ht="15.75" customHeight="1" x14ac:dyDescent="0.25">
      <c r="A287" s="38"/>
      <c r="B287" s="39"/>
    </row>
    <row r="288" spans="1:2" ht="15.75" customHeight="1" x14ac:dyDescent="0.25">
      <c r="A288" s="38"/>
      <c r="B288" s="39"/>
    </row>
    <row r="289" spans="1:2" ht="15.75" customHeight="1" x14ac:dyDescent="0.25">
      <c r="A289" s="38"/>
      <c r="B289" s="39"/>
    </row>
    <row r="290" spans="1:2" ht="15.75" customHeight="1" x14ac:dyDescent="0.25">
      <c r="A290" s="38"/>
      <c r="B290" s="39"/>
    </row>
    <row r="291" spans="1:2" ht="15.75" customHeight="1" x14ac:dyDescent="0.25">
      <c r="A291" s="38"/>
      <c r="B291" s="39"/>
    </row>
    <row r="292" spans="1:2" ht="15.75" customHeight="1" x14ac:dyDescent="0.25">
      <c r="A292" s="38"/>
      <c r="B292" s="39"/>
    </row>
    <row r="293" spans="1:2" ht="15.75" customHeight="1" x14ac:dyDescent="0.25">
      <c r="A293" s="38"/>
      <c r="B293" s="39"/>
    </row>
    <row r="294" spans="1:2" ht="15.75" customHeight="1" x14ac:dyDescent="0.25">
      <c r="A294" s="38"/>
      <c r="B294" s="39"/>
    </row>
    <row r="295" spans="1:2" ht="15.75" customHeight="1" x14ac:dyDescent="0.25">
      <c r="A295" s="38"/>
      <c r="B295" s="39"/>
    </row>
    <row r="296" spans="1:2" ht="15.75" customHeight="1" x14ac:dyDescent="0.25">
      <c r="A296" s="38"/>
      <c r="B296" s="39"/>
    </row>
    <row r="297" spans="1:2" ht="15.75" customHeight="1" x14ac:dyDescent="0.25">
      <c r="A297" s="38"/>
      <c r="B297" s="39"/>
    </row>
    <row r="298" spans="1:2" ht="15.75" customHeight="1" x14ac:dyDescent="0.25">
      <c r="A298" s="38"/>
      <c r="B298" s="39"/>
    </row>
    <row r="299" spans="1:2" ht="15.75" customHeight="1" x14ac:dyDescent="0.25">
      <c r="A299" s="38"/>
      <c r="B299" s="39"/>
    </row>
    <row r="300" spans="1:2" ht="15.75" customHeight="1" x14ac:dyDescent="0.25">
      <c r="A300" s="38"/>
      <c r="B300" s="39"/>
    </row>
    <row r="301" spans="1:2" ht="15.75" customHeight="1" x14ac:dyDescent="0.25">
      <c r="A301" s="38"/>
      <c r="B301" s="39"/>
    </row>
    <row r="302" spans="1:2" ht="15.75" customHeight="1" x14ac:dyDescent="0.25">
      <c r="A302" s="38"/>
      <c r="B302" s="39"/>
    </row>
    <row r="303" spans="1:2" ht="15.75" customHeight="1" x14ac:dyDescent="0.25">
      <c r="A303" s="38"/>
      <c r="B303" s="39"/>
    </row>
    <row r="304" spans="1:2" ht="15.75" customHeight="1" x14ac:dyDescent="0.25">
      <c r="A304" s="38"/>
      <c r="B304" s="39"/>
    </row>
    <row r="305" spans="1:2" ht="15.75" customHeight="1" x14ac:dyDescent="0.25">
      <c r="A305" s="38"/>
      <c r="B305" s="39"/>
    </row>
    <row r="306" spans="1:2" ht="15.75" customHeight="1" x14ac:dyDescent="0.25">
      <c r="A306" s="38"/>
      <c r="B306" s="39"/>
    </row>
    <row r="307" spans="1:2" ht="15.75" customHeight="1" x14ac:dyDescent="0.25">
      <c r="A307" s="38"/>
      <c r="B307" s="39"/>
    </row>
    <row r="308" spans="1:2" ht="15.75" customHeight="1" x14ac:dyDescent="0.25">
      <c r="A308" s="38"/>
      <c r="B308" s="39"/>
    </row>
    <row r="309" spans="1:2" ht="15.75" customHeight="1" x14ac:dyDescent="0.25">
      <c r="A309" s="38"/>
      <c r="B309" s="39"/>
    </row>
    <row r="310" spans="1:2" ht="15.75" customHeight="1" x14ac:dyDescent="0.25">
      <c r="A310" s="38"/>
      <c r="B310" s="39"/>
    </row>
    <row r="311" spans="1:2" ht="15.75" customHeight="1" x14ac:dyDescent="0.25">
      <c r="A311" s="38"/>
      <c r="B311" s="39"/>
    </row>
    <row r="312" spans="1:2" ht="15.75" customHeight="1" x14ac:dyDescent="0.25">
      <c r="A312" s="38"/>
      <c r="B312" s="39"/>
    </row>
    <row r="313" spans="1:2" ht="15.75" customHeight="1" x14ac:dyDescent="0.25">
      <c r="A313" s="38"/>
      <c r="B313" s="39"/>
    </row>
    <row r="314" spans="1:2" ht="15.75" customHeight="1" x14ac:dyDescent="0.25">
      <c r="A314" s="38"/>
      <c r="B314" s="39"/>
    </row>
    <row r="315" spans="1:2" ht="15.75" customHeight="1" x14ac:dyDescent="0.25">
      <c r="A315" s="38"/>
      <c r="B315" s="39"/>
    </row>
    <row r="316" spans="1:2" ht="15.75" customHeight="1" x14ac:dyDescent="0.25">
      <c r="A316" s="38"/>
      <c r="B316" s="39"/>
    </row>
    <row r="317" spans="1:2" ht="15.75" customHeight="1" x14ac:dyDescent="0.25">
      <c r="A317" s="38"/>
      <c r="B317" s="39"/>
    </row>
    <row r="318" spans="1:2" ht="15.75" customHeight="1" x14ac:dyDescent="0.25">
      <c r="A318" s="38"/>
      <c r="B318" s="39"/>
    </row>
    <row r="319" spans="1:2" ht="15.75" customHeight="1" x14ac:dyDescent="0.25">
      <c r="A319" s="38"/>
      <c r="B319" s="39"/>
    </row>
    <row r="320" spans="1:2" ht="15.75" customHeight="1" x14ac:dyDescent="0.25">
      <c r="A320" s="38"/>
      <c r="B320" s="39"/>
    </row>
    <row r="321" spans="1:2" ht="15.75" customHeight="1" x14ac:dyDescent="0.25">
      <c r="A321" s="38"/>
      <c r="B321" s="39"/>
    </row>
    <row r="322" spans="1:2" ht="15.75" customHeight="1" x14ac:dyDescent="0.25">
      <c r="A322" s="38"/>
      <c r="B322" s="39"/>
    </row>
    <row r="323" spans="1:2" ht="15.75" customHeight="1" x14ac:dyDescent="0.25">
      <c r="A323" s="38"/>
      <c r="B323" s="39"/>
    </row>
    <row r="324" spans="1:2" ht="15.75" customHeight="1" x14ac:dyDescent="0.25">
      <c r="A324" s="38"/>
      <c r="B324" s="39"/>
    </row>
    <row r="325" spans="1:2" ht="15.75" customHeight="1" x14ac:dyDescent="0.25">
      <c r="A325" s="38"/>
      <c r="B325" s="39"/>
    </row>
    <row r="326" spans="1:2" ht="15.75" customHeight="1" x14ac:dyDescent="0.25">
      <c r="A326" s="38"/>
      <c r="B326" s="39"/>
    </row>
    <row r="327" spans="1:2" ht="15.75" customHeight="1" x14ac:dyDescent="0.25">
      <c r="A327" s="38"/>
      <c r="B327" s="39"/>
    </row>
    <row r="328" spans="1:2" ht="15.75" customHeight="1" x14ac:dyDescent="0.25">
      <c r="A328" s="38"/>
      <c r="B328" s="39"/>
    </row>
    <row r="329" spans="1:2" ht="15.75" customHeight="1" x14ac:dyDescent="0.25">
      <c r="A329" s="38"/>
      <c r="B329" s="39"/>
    </row>
    <row r="330" spans="1:2" ht="15.75" customHeight="1" x14ac:dyDescent="0.25">
      <c r="A330" s="38"/>
      <c r="B330" s="39"/>
    </row>
    <row r="331" spans="1:2" ht="15.75" customHeight="1" x14ac:dyDescent="0.25">
      <c r="A331" s="38"/>
      <c r="B331" s="39"/>
    </row>
    <row r="332" spans="1:2" ht="15.75" customHeight="1" x14ac:dyDescent="0.25">
      <c r="A332" s="38"/>
      <c r="B332" s="39"/>
    </row>
    <row r="333" spans="1:2" ht="15.75" customHeight="1" x14ac:dyDescent="0.25">
      <c r="A333" s="38"/>
      <c r="B333" s="39"/>
    </row>
    <row r="334" spans="1:2" ht="15.75" customHeight="1" x14ac:dyDescent="0.25">
      <c r="A334" s="38"/>
      <c r="B334" s="39"/>
    </row>
    <row r="335" spans="1:2" ht="15.75" customHeight="1" x14ac:dyDescent="0.25">
      <c r="A335" s="38"/>
      <c r="B335" s="39"/>
    </row>
    <row r="336" spans="1:2" ht="15.75" customHeight="1" x14ac:dyDescent="0.25">
      <c r="A336" s="38"/>
      <c r="B336" s="39"/>
    </row>
    <row r="337" spans="1:2" ht="15.75" customHeight="1" x14ac:dyDescent="0.25">
      <c r="A337" s="38"/>
      <c r="B337" s="39"/>
    </row>
    <row r="338" spans="1:2" ht="15.75" customHeight="1" x14ac:dyDescent="0.25">
      <c r="A338" s="38"/>
      <c r="B338" s="39"/>
    </row>
    <row r="339" spans="1:2" ht="15.75" customHeight="1" x14ac:dyDescent="0.25">
      <c r="A339" s="38"/>
      <c r="B339" s="39"/>
    </row>
    <row r="340" spans="1:2" ht="15.75" customHeight="1" x14ac:dyDescent="0.25">
      <c r="A340" s="38"/>
      <c r="B340" s="39"/>
    </row>
    <row r="341" spans="1:2" ht="15.75" customHeight="1" x14ac:dyDescent="0.25">
      <c r="A341" s="38"/>
      <c r="B341" s="39"/>
    </row>
    <row r="342" spans="1:2" ht="15.75" customHeight="1" x14ac:dyDescent="0.25">
      <c r="A342" s="38"/>
      <c r="B342" s="39"/>
    </row>
    <row r="343" spans="1:2" ht="15.75" customHeight="1" x14ac:dyDescent="0.25">
      <c r="A343" s="38"/>
      <c r="B343" s="39"/>
    </row>
    <row r="344" spans="1:2" ht="15.75" customHeight="1" x14ac:dyDescent="0.25">
      <c r="A344" s="38"/>
      <c r="B344" s="39"/>
    </row>
    <row r="345" spans="1:2" ht="15.75" customHeight="1" x14ac:dyDescent="0.25">
      <c r="A345" s="38"/>
      <c r="B345" s="39"/>
    </row>
    <row r="346" spans="1:2" ht="15.75" customHeight="1" x14ac:dyDescent="0.25">
      <c r="A346" s="38"/>
      <c r="B346" s="39"/>
    </row>
    <row r="347" spans="1:2" ht="15.75" customHeight="1" x14ac:dyDescent="0.25">
      <c r="A347" s="38"/>
      <c r="B347" s="39"/>
    </row>
    <row r="348" spans="1:2" ht="15.75" customHeight="1" x14ac:dyDescent="0.25">
      <c r="A348" s="38"/>
      <c r="B348" s="39"/>
    </row>
    <row r="349" spans="1:2" ht="15.75" customHeight="1" x14ac:dyDescent="0.25">
      <c r="A349" s="38"/>
      <c r="B349" s="39"/>
    </row>
    <row r="350" spans="1:2" ht="15.75" customHeight="1" x14ac:dyDescent="0.25">
      <c r="A350" s="38"/>
      <c r="B350" s="39"/>
    </row>
    <row r="351" spans="1:2" ht="15.75" customHeight="1" x14ac:dyDescent="0.25">
      <c r="A351" s="38"/>
      <c r="B351" s="39"/>
    </row>
    <row r="352" spans="1:2" ht="15.75" customHeight="1" x14ac:dyDescent="0.25">
      <c r="A352" s="38"/>
      <c r="B352" s="39"/>
    </row>
    <row r="353" spans="1:2" ht="15.75" customHeight="1" x14ac:dyDescent="0.25">
      <c r="A353" s="38"/>
      <c r="B353" s="39"/>
    </row>
    <row r="354" spans="1:2" ht="15.75" customHeight="1" x14ac:dyDescent="0.25">
      <c r="A354" s="38"/>
      <c r="B354" s="39"/>
    </row>
    <row r="355" spans="1:2" ht="15.75" customHeight="1" x14ac:dyDescent="0.25">
      <c r="A355" s="38"/>
      <c r="B355" s="39"/>
    </row>
    <row r="356" spans="1:2" ht="15.75" customHeight="1" x14ac:dyDescent="0.25">
      <c r="A356" s="38"/>
      <c r="B356" s="39"/>
    </row>
    <row r="357" spans="1:2" ht="15.75" customHeight="1" x14ac:dyDescent="0.25">
      <c r="A357" s="38"/>
      <c r="B357" s="39"/>
    </row>
    <row r="358" spans="1:2" ht="15.75" customHeight="1" x14ac:dyDescent="0.25">
      <c r="A358" s="38"/>
      <c r="B358" s="39"/>
    </row>
    <row r="359" spans="1:2" ht="15.75" customHeight="1" x14ac:dyDescent="0.25">
      <c r="A359" s="38"/>
      <c r="B359" s="39"/>
    </row>
    <row r="360" spans="1:2" ht="15.75" customHeight="1" x14ac:dyDescent="0.25">
      <c r="A360" s="38"/>
      <c r="B360" s="39"/>
    </row>
    <row r="361" spans="1:2" ht="15.75" customHeight="1" x14ac:dyDescent="0.25">
      <c r="A361" s="38"/>
      <c r="B361" s="39"/>
    </row>
    <row r="362" spans="1:2" ht="15.75" customHeight="1" x14ac:dyDescent="0.25">
      <c r="A362" s="38"/>
      <c r="B362" s="39"/>
    </row>
    <row r="363" spans="1:2" ht="15.75" customHeight="1" x14ac:dyDescent="0.25">
      <c r="A363" s="38"/>
      <c r="B363" s="39"/>
    </row>
    <row r="364" spans="1:2" ht="15.75" customHeight="1" x14ac:dyDescent="0.25">
      <c r="A364" s="38"/>
      <c r="B364" s="39"/>
    </row>
    <row r="365" spans="1:2" ht="15.75" customHeight="1" x14ac:dyDescent="0.25">
      <c r="A365" s="38"/>
      <c r="B365" s="39"/>
    </row>
    <row r="366" spans="1:2" ht="15.75" customHeight="1" x14ac:dyDescent="0.25">
      <c r="A366" s="38"/>
      <c r="B366" s="39"/>
    </row>
    <row r="367" spans="1:2" ht="15.75" customHeight="1" x14ac:dyDescent="0.25">
      <c r="A367" s="38"/>
      <c r="B367" s="39"/>
    </row>
    <row r="368" spans="1:2" ht="15.75" customHeight="1" x14ac:dyDescent="0.25">
      <c r="A368" s="38"/>
      <c r="B368" s="39"/>
    </row>
    <row r="369" spans="1:2" ht="15.75" customHeight="1" x14ac:dyDescent="0.25">
      <c r="A369" s="38"/>
      <c r="B369" s="39"/>
    </row>
    <row r="370" spans="1:2" ht="15.75" customHeight="1" x14ac:dyDescent="0.25">
      <c r="A370" s="38"/>
      <c r="B370" s="39"/>
    </row>
    <row r="371" spans="1:2" ht="15.75" customHeight="1" x14ac:dyDescent="0.25">
      <c r="A371" s="38"/>
      <c r="B371" s="39"/>
    </row>
    <row r="372" spans="1:2" ht="15.75" customHeight="1" x14ac:dyDescent="0.25">
      <c r="A372" s="38"/>
      <c r="B372" s="39"/>
    </row>
    <row r="373" spans="1:2" ht="15.75" customHeight="1" x14ac:dyDescent="0.25">
      <c r="A373" s="38"/>
      <c r="B373" s="39"/>
    </row>
    <row r="374" spans="1:2" ht="15.75" customHeight="1" x14ac:dyDescent="0.25">
      <c r="A374" s="38"/>
      <c r="B374" s="39"/>
    </row>
    <row r="375" spans="1:2" ht="15.75" customHeight="1" x14ac:dyDescent="0.25">
      <c r="A375" s="38"/>
      <c r="B375" s="39"/>
    </row>
    <row r="376" spans="1:2" ht="15.75" customHeight="1" x14ac:dyDescent="0.25">
      <c r="A376" s="38"/>
      <c r="B376" s="39"/>
    </row>
    <row r="377" spans="1:2" ht="15.75" customHeight="1" x14ac:dyDescent="0.25">
      <c r="A377" s="38"/>
      <c r="B377" s="39"/>
    </row>
    <row r="378" spans="1:2" ht="15.75" customHeight="1" x14ac:dyDescent="0.25">
      <c r="A378" s="38"/>
      <c r="B378" s="39"/>
    </row>
    <row r="379" spans="1:2" ht="15.75" customHeight="1" x14ac:dyDescent="0.25">
      <c r="A379" s="38"/>
      <c r="B379" s="39"/>
    </row>
    <row r="380" spans="1:2" ht="15.75" customHeight="1" x14ac:dyDescent="0.25">
      <c r="A380" s="38"/>
      <c r="B380" s="39"/>
    </row>
    <row r="381" spans="1:2" ht="15.75" customHeight="1" x14ac:dyDescent="0.25">
      <c r="A381" s="38"/>
      <c r="B381" s="39"/>
    </row>
    <row r="382" spans="1:2" ht="15.75" customHeight="1" x14ac:dyDescent="0.25">
      <c r="A382" s="38"/>
      <c r="B382" s="39"/>
    </row>
    <row r="383" spans="1:2" ht="15.75" customHeight="1" x14ac:dyDescent="0.25">
      <c r="A383" s="38"/>
      <c r="B383" s="39"/>
    </row>
    <row r="384" spans="1:2" ht="15.75" customHeight="1" x14ac:dyDescent="0.25">
      <c r="A384" s="38"/>
      <c r="B384" s="39"/>
    </row>
    <row r="385" spans="1:2" ht="15.75" customHeight="1" x14ac:dyDescent="0.25">
      <c r="A385" s="38"/>
      <c r="B385" s="39"/>
    </row>
    <row r="386" spans="1:2" ht="15.75" customHeight="1" x14ac:dyDescent="0.25">
      <c r="A386" s="38"/>
      <c r="B386" s="39"/>
    </row>
    <row r="387" spans="1:2" ht="15.75" customHeight="1" x14ac:dyDescent="0.25">
      <c r="A387" s="38"/>
      <c r="B387" s="39"/>
    </row>
    <row r="388" spans="1:2" ht="15.75" customHeight="1" x14ac:dyDescent="0.25">
      <c r="A388" s="38"/>
      <c r="B388" s="39"/>
    </row>
    <row r="389" spans="1:2" ht="15.75" customHeight="1" x14ac:dyDescent="0.25">
      <c r="A389" s="38"/>
      <c r="B389" s="39"/>
    </row>
    <row r="390" spans="1:2" ht="15.75" customHeight="1" x14ac:dyDescent="0.25">
      <c r="A390" s="38"/>
      <c r="B390" s="39"/>
    </row>
    <row r="391" spans="1:2" ht="15.75" customHeight="1" x14ac:dyDescent="0.25">
      <c r="A391" s="38"/>
      <c r="B391" s="39"/>
    </row>
    <row r="392" spans="1:2" ht="15.75" customHeight="1" x14ac:dyDescent="0.25">
      <c r="A392" s="38"/>
      <c r="B392" s="39"/>
    </row>
    <row r="393" spans="1:2" ht="15.75" customHeight="1" x14ac:dyDescent="0.25">
      <c r="A393" s="38"/>
      <c r="B393" s="39"/>
    </row>
    <row r="394" spans="1:2" ht="15.75" customHeight="1" x14ac:dyDescent="0.25">
      <c r="A394" s="38"/>
      <c r="B394" s="39"/>
    </row>
    <row r="395" spans="1:2" ht="15.75" customHeight="1" x14ac:dyDescent="0.25">
      <c r="A395" s="38"/>
      <c r="B395" s="39"/>
    </row>
    <row r="396" spans="1:2" ht="15.75" customHeight="1" x14ac:dyDescent="0.25">
      <c r="A396" s="38"/>
      <c r="B396" s="39"/>
    </row>
    <row r="397" spans="1:2" ht="15.75" customHeight="1" x14ac:dyDescent="0.25">
      <c r="A397" s="38"/>
      <c r="B397" s="39"/>
    </row>
    <row r="398" spans="1:2" ht="15.75" customHeight="1" x14ac:dyDescent="0.25">
      <c r="A398" s="38"/>
      <c r="B398" s="39"/>
    </row>
    <row r="399" spans="1:2" ht="15.75" customHeight="1" x14ac:dyDescent="0.25">
      <c r="A399" s="38"/>
      <c r="B399" s="39"/>
    </row>
    <row r="400" spans="1:2" ht="15.75" customHeight="1" x14ac:dyDescent="0.25">
      <c r="A400" s="38"/>
      <c r="B400" s="39"/>
    </row>
    <row r="401" spans="1:2" ht="15.75" customHeight="1" x14ac:dyDescent="0.25">
      <c r="A401" s="38"/>
      <c r="B401" s="39"/>
    </row>
    <row r="402" spans="1:2" ht="15.75" customHeight="1" x14ac:dyDescent="0.25">
      <c r="A402" s="38"/>
      <c r="B402" s="39"/>
    </row>
    <row r="403" spans="1:2" ht="15.75" customHeight="1" x14ac:dyDescent="0.25">
      <c r="A403" s="38"/>
      <c r="B403" s="39"/>
    </row>
    <row r="404" spans="1:2" ht="15.75" customHeight="1" x14ac:dyDescent="0.25">
      <c r="A404" s="38"/>
      <c r="B404" s="39"/>
    </row>
    <row r="405" spans="1:2" ht="15.75" customHeight="1" x14ac:dyDescent="0.25">
      <c r="A405" s="38"/>
      <c r="B405" s="39"/>
    </row>
    <row r="406" spans="1:2" ht="15.75" customHeight="1" x14ac:dyDescent="0.25">
      <c r="A406" s="38"/>
      <c r="B406" s="39"/>
    </row>
    <row r="407" spans="1:2" ht="15.75" customHeight="1" x14ac:dyDescent="0.25">
      <c r="A407" s="38"/>
      <c r="B407" s="39"/>
    </row>
    <row r="408" spans="1:2" ht="15.75" customHeight="1" x14ac:dyDescent="0.25">
      <c r="A408" s="38"/>
      <c r="B408" s="39"/>
    </row>
    <row r="409" spans="1:2" ht="15.75" customHeight="1" x14ac:dyDescent="0.25">
      <c r="A409" s="38"/>
      <c r="B409" s="39"/>
    </row>
    <row r="410" spans="1:2" ht="15.75" customHeight="1" x14ac:dyDescent="0.25">
      <c r="A410" s="38"/>
      <c r="B410" s="39"/>
    </row>
    <row r="411" spans="1:2" ht="15.75" customHeight="1" x14ac:dyDescent="0.25">
      <c r="A411" s="38"/>
      <c r="B411" s="39"/>
    </row>
    <row r="412" spans="1:2" ht="15.75" customHeight="1" x14ac:dyDescent="0.25">
      <c r="A412" s="38"/>
      <c r="B412" s="39"/>
    </row>
    <row r="413" spans="1:2" ht="15.75" customHeight="1" x14ac:dyDescent="0.25">
      <c r="A413" s="38"/>
      <c r="B413" s="39"/>
    </row>
    <row r="414" spans="1:2" ht="15.75" customHeight="1" x14ac:dyDescent="0.25">
      <c r="A414" s="38"/>
      <c r="B414" s="39"/>
    </row>
    <row r="415" spans="1:2" ht="15.75" customHeight="1" x14ac:dyDescent="0.25">
      <c r="A415" s="38"/>
      <c r="B415" s="39"/>
    </row>
    <row r="416" spans="1:2" ht="15.75" customHeight="1" x14ac:dyDescent="0.25">
      <c r="A416" s="38"/>
      <c r="B416" s="39"/>
    </row>
    <row r="417" spans="1:2" ht="15.75" customHeight="1" x14ac:dyDescent="0.25">
      <c r="A417" s="38"/>
      <c r="B417" s="39"/>
    </row>
    <row r="418" spans="1:2" ht="15.75" customHeight="1" x14ac:dyDescent="0.25">
      <c r="A418" s="38"/>
      <c r="B418" s="39"/>
    </row>
    <row r="419" spans="1:2" ht="15.75" customHeight="1" x14ac:dyDescent="0.25">
      <c r="A419" s="38"/>
      <c r="B419" s="39"/>
    </row>
    <row r="420" spans="1:2" ht="15.75" customHeight="1" x14ac:dyDescent="0.25">
      <c r="A420" s="38"/>
      <c r="B420" s="39"/>
    </row>
    <row r="421" spans="1:2" ht="15.75" customHeight="1" x14ac:dyDescent="0.25">
      <c r="A421" s="38"/>
      <c r="B421" s="39"/>
    </row>
    <row r="422" spans="1:2" ht="15.75" customHeight="1" x14ac:dyDescent="0.25">
      <c r="A422" s="38"/>
      <c r="B422" s="39"/>
    </row>
    <row r="423" spans="1:2" ht="15.75" customHeight="1" x14ac:dyDescent="0.25">
      <c r="A423" s="38"/>
      <c r="B423" s="39"/>
    </row>
    <row r="424" spans="1:2" ht="15.75" customHeight="1" x14ac:dyDescent="0.25">
      <c r="A424" s="38"/>
      <c r="B424" s="39"/>
    </row>
    <row r="425" spans="1:2" ht="15.75" customHeight="1" x14ac:dyDescent="0.25">
      <c r="A425" s="38"/>
      <c r="B425" s="39"/>
    </row>
    <row r="426" spans="1:2" ht="15.75" customHeight="1" x14ac:dyDescent="0.25">
      <c r="A426" s="38"/>
      <c r="B426" s="39"/>
    </row>
    <row r="427" spans="1:2" ht="15.75" customHeight="1" x14ac:dyDescent="0.25">
      <c r="A427" s="38"/>
      <c r="B427" s="39"/>
    </row>
    <row r="428" spans="1:2" ht="15.75" customHeight="1" x14ac:dyDescent="0.25">
      <c r="A428" s="38"/>
      <c r="B428" s="39"/>
    </row>
    <row r="429" spans="1:2" ht="15.75" customHeight="1" x14ac:dyDescent="0.25">
      <c r="A429" s="38"/>
      <c r="B429" s="39"/>
    </row>
    <row r="430" spans="1:2" ht="15.75" customHeight="1" x14ac:dyDescent="0.25">
      <c r="A430" s="38"/>
      <c r="B430" s="39"/>
    </row>
    <row r="431" spans="1:2" ht="15.75" customHeight="1" x14ac:dyDescent="0.25">
      <c r="A431" s="38"/>
      <c r="B431" s="39"/>
    </row>
    <row r="432" spans="1:2" ht="15.75" customHeight="1" x14ac:dyDescent="0.25">
      <c r="A432" s="38"/>
      <c r="B432" s="39"/>
    </row>
    <row r="433" spans="1:2" ht="15.75" customHeight="1" x14ac:dyDescent="0.25">
      <c r="A433" s="38"/>
      <c r="B433" s="39"/>
    </row>
    <row r="434" spans="1:2" ht="15.75" customHeight="1" x14ac:dyDescent="0.25">
      <c r="A434" s="38"/>
      <c r="B434" s="39"/>
    </row>
    <row r="435" spans="1:2" ht="15.75" customHeight="1" x14ac:dyDescent="0.25">
      <c r="A435" s="38"/>
      <c r="B435" s="39"/>
    </row>
    <row r="436" spans="1:2" ht="15.75" customHeight="1" x14ac:dyDescent="0.25">
      <c r="A436" s="38"/>
      <c r="B436" s="39"/>
    </row>
    <row r="437" spans="1:2" ht="15.75" customHeight="1" x14ac:dyDescent="0.25">
      <c r="A437" s="38"/>
      <c r="B437" s="39"/>
    </row>
    <row r="438" spans="1:2" ht="15.75" customHeight="1" x14ac:dyDescent="0.25">
      <c r="A438" s="38"/>
      <c r="B438" s="39"/>
    </row>
    <row r="439" spans="1:2" ht="15.75" customHeight="1" x14ac:dyDescent="0.25">
      <c r="A439" s="38"/>
      <c r="B439" s="39"/>
    </row>
    <row r="440" spans="1:2" ht="15.75" customHeight="1" x14ac:dyDescent="0.25">
      <c r="A440" s="38"/>
      <c r="B440" s="39"/>
    </row>
    <row r="441" spans="1:2" ht="15.75" customHeight="1" x14ac:dyDescent="0.25">
      <c r="A441" s="38"/>
      <c r="B441" s="39"/>
    </row>
    <row r="442" spans="1:2" ht="15.75" customHeight="1" x14ac:dyDescent="0.25">
      <c r="A442" s="38"/>
      <c r="B442" s="39"/>
    </row>
    <row r="443" spans="1:2" ht="15.75" customHeight="1" x14ac:dyDescent="0.25">
      <c r="A443" s="38"/>
      <c r="B443" s="39"/>
    </row>
    <row r="444" spans="1:2" ht="15.75" customHeight="1" x14ac:dyDescent="0.25">
      <c r="A444" s="38"/>
      <c r="B444" s="39"/>
    </row>
    <row r="445" spans="1:2" ht="15.75" customHeight="1" x14ac:dyDescent="0.25">
      <c r="A445" s="38"/>
      <c r="B445" s="39"/>
    </row>
    <row r="446" spans="1:2" ht="15.75" customHeight="1" x14ac:dyDescent="0.25">
      <c r="A446" s="38"/>
      <c r="B446" s="39"/>
    </row>
    <row r="447" spans="1:2" ht="15.75" customHeight="1" x14ac:dyDescent="0.25">
      <c r="A447" s="38"/>
      <c r="B447" s="39"/>
    </row>
    <row r="448" spans="1:2" ht="15.75" customHeight="1" x14ac:dyDescent="0.25">
      <c r="A448" s="38"/>
      <c r="B448" s="39"/>
    </row>
    <row r="449" spans="1:2" ht="15.75" customHeight="1" x14ac:dyDescent="0.25">
      <c r="A449" s="38"/>
      <c r="B449" s="39"/>
    </row>
    <row r="450" spans="1:2" ht="15.75" customHeight="1" x14ac:dyDescent="0.25">
      <c r="A450" s="38"/>
      <c r="B450" s="39"/>
    </row>
    <row r="451" spans="1:2" ht="15.75" customHeight="1" x14ac:dyDescent="0.25">
      <c r="A451" s="38"/>
      <c r="B451" s="39"/>
    </row>
    <row r="452" spans="1:2" ht="15.75" customHeight="1" x14ac:dyDescent="0.25">
      <c r="A452" s="38"/>
      <c r="B452" s="39"/>
    </row>
    <row r="453" spans="1:2" ht="15.75" customHeight="1" x14ac:dyDescent="0.25">
      <c r="A453" s="38"/>
      <c r="B453" s="39"/>
    </row>
    <row r="454" spans="1:2" ht="15.75" customHeight="1" x14ac:dyDescent="0.25">
      <c r="A454" s="38"/>
      <c r="B454" s="39"/>
    </row>
    <row r="455" spans="1:2" ht="15.75" customHeight="1" x14ac:dyDescent="0.25">
      <c r="A455" s="38"/>
      <c r="B455" s="39"/>
    </row>
    <row r="456" spans="1:2" ht="15.75" customHeight="1" x14ac:dyDescent="0.25">
      <c r="A456" s="38"/>
      <c r="B456" s="39"/>
    </row>
    <row r="457" spans="1:2" ht="15.75" customHeight="1" x14ac:dyDescent="0.25">
      <c r="A457" s="38"/>
      <c r="B457" s="39"/>
    </row>
    <row r="458" spans="1:2" ht="15.75" customHeight="1" x14ac:dyDescent="0.25">
      <c r="A458" s="38"/>
      <c r="B458" s="39"/>
    </row>
    <row r="459" spans="1:2" ht="15.75" customHeight="1" x14ac:dyDescent="0.25">
      <c r="A459" s="38"/>
      <c r="B459" s="39"/>
    </row>
    <row r="460" spans="1:2" ht="15.75" customHeight="1" x14ac:dyDescent="0.25">
      <c r="A460" s="38"/>
      <c r="B460" s="39"/>
    </row>
    <row r="461" spans="1:2" ht="15.75" customHeight="1" x14ac:dyDescent="0.25">
      <c r="A461" s="38"/>
      <c r="B461" s="39"/>
    </row>
    <row r="462" spans="1:2" ht="15.75" customHeight="1" x14ac:dyDescent="0.25">
      <c r="A462" s="38"/>
      <c r="B462" s="39"/>
    </row>
    <row r="463" spans="1:2" ht="15.75" customHeight="1" x14ac:dyDescent="0.25">
      <c r="A463" s="38"/>
      <c r="B463" s="39"/>
    </row>
    <row r="464" spans="1:2" ht="15.75" customHeight="1" x14ac:dyDescent="0.25">
      <c r="A464" s="38"/>
      <c r="B464" s="39"/>
    </row>
    <row r="465" spans="1:2" ht="15.75" customHeight="1" x14ac:dyDescent="0.25">
      <c r="A465" s="38"/>
      <c r="B465" s="39"/>
    </row>
    <row r="466" spans="1:2" ht="15.75" customHeight="1" x14ac:dyDescent="0.25">
      <c r="A466" s="38"/>
      <c r="B466" s="39"/>
    </row>
    <row r="467" spans="1:2" ht="15.75" customHeight="1" x14ac:dyDescent="0.25">
      <c r="A467" s="38"/>
      <c r="B467" s="39"/>
    </row>
    <row r="468" spans="1:2" ht="15.75" customHeight="1" x14ac:dyDescent="0.25">
      <c r="A468" s="38"/>
      <c r="B468" s="39"/>
    </row>
    <row r="469" spans="1:2" ht="15.75" customHeight="1" x14ac:dyDescent="0.25">
      <c r="A469" s="38"/>
      <c r="B469" s="39"/>
    </row>
    <row r="470" spans="1:2" ht="15.75" customHeight="1" x14ac:dyDescent="0.25">
      <c r="A470" s="38"/>
      <c r="B470" s="39"/>
    </row>
    <row r="471" spans="1:2" ht="15.75" customHeight="1" x14ac:dyDescent="0.25">
      <c r="A471" s="38"/>
      <c r="B471" s="39"/>
    </row>
    <row r="472" spans="1:2" ht="15.75" customHeight="1" x14ac:dyDescent="0.25">
      <c r="A472" s="38"/>
      <c r="B472" s="39"/>
    </row>
    <row r="473" spans="1:2" ht="15.75" customHeight="1" x14ac:dyDescent="0.25">
      <c r="A473" s="38"/>
      <c r="B473" s="39"/>
    </row>
    <row r="474" spans="1:2" ht="15.75" customHeight="1" x14ac:dyDescent="0.25">
      <c r="A474" s="38"/>
      <c r="B474" s="39"/>
    </row>
    <row r="475" spans="1:2" ht="15.75" customHeight="1" x14ac:dyDescent="0.25">
      <c r="A475" s="38"/>
      <c r="B475" s="39"/>
    </row>
    <row r="476" spans="1:2" ht="15.75" customHeight="1" x14ac:dyDescent="0.25">
      <c r="A476" s="38"/>
      <c r="B476" s="39"/>
    </row>
    <row r="477" spans="1:2" ht="15.75" customHeight="1" x14ac:dyDescent="0.25">
      <c r="A477" s="38"/>
      <c r="B477" s="39"/>
    </row>
    <row r="478" spans="1:2" ht="15.75" customHeight="1" x14ac:dyDescent="0.25">
      <c r="A478" s="38"/>
      <c r="B478" s="39"/>
    </row>
    <row r="479" spans="1:2" ht="15.75" customHeight="1" x14ac:dyDescent="0.25">
      <c r="A479" s="38"/>
      <c r="B479" s="39"/>
    </row>
    <row r="480" spans="1:2" ht="15.75" customHeight="1" x14ac:dyDescent="0.25">
      <c r="A480" s="38"/>
      <c r="B480" s="39"/>
    </row>
    <row r="481" spans="1:2" ht="15.75" customHeight="1" x14ac:dyDescent="0.25">
      <c r="A481" s="38"/>
      <c r="B481" s="39"/>
    </row>
    <row r="482" spans="1:2" ht="15.75" customHeight="1" x14ac:dyDescent="0.25">
      <c r="A482" s="38"/>
      <c r="B482" s="39"/>
    </row>
    <row r="483" spans="1:2" ht="15.75" customHeight="1" x14ac:dyDescent="0.25">
      <c r="A483" s="38"/>
      <c r="B483" s="39"/>
    </row>
    <row r="484" spans="1:2" ht="15.75" customHeight="1" x14ac:dyDescent="0.25">
      <c r="A484" s="38"/>
      <c r="B484" s="39"/>
    </row>
    <row r="485" spans="1:2" ht="15.75" customHeight="1" x14ac:dyDescent="0.25">
      <c r="A485" s="38"/>
      <c r="B485" s="39"/>
    </row>
    <row r="486" spans="1:2" ht="15.75" customHeight="1" x14ac:dyDescent="0.25">
      <c r="A486" s="38"/>
      <c r="B486" s="39"/>
    </row>
    <row r="487" spans="1:2" ht="15.75" customHeight="1" x14ac:dyDescent="0.25">
      <c r="A487" s="38"/>
      <c r="B487" s="39"/>
    </row>
    <row r="488" spans="1:2" ht="15.75" customHeight="1" x14ac:dyDescent="0.25">
      <c r="A488" s="38"/>
      <c r="B488" s="39"/>
    </row>
    <row r="489" spans="1:2" ht="15.75" customHeight="1" x14ac:dyDescent="0.25">
      <c r="A489" s="38"/>
      <c r="B489" s="39"/>
    </row>
    <row r="490" spans="1:2" ht="15.75" customHeight="1" x14ac:dyDescent="0.25">
      <c r="A490" s="38"/>
      <c r="B490" s="39"/>
    </row>
    <row r="491" spans="1:2" ht="15.75" customHeight="1" x14ac:dyDescent="0.25">
      <c r="A491" s="38"/>
      <c r="B491" s="39"/>
    </row>
    <row r="492" spans="1:2" ht="15.75" customHeight="1" x14ac:dyDescent="0.25">
      <c r="A492" s="38"/>
      <c r="B492" s="39"/>
    </row>
    <row r="493" spans="1:2" ht="15.75" customHeight="1" x14ac:dyDescent="0.25">
      <c r="A493" s="38"/>
      <c r="B493" s="39"/>
    </row>
    <row r="494" spans="1:2" ht="15.75" customHeight="1" x14ac:dyDescent="0.25">
      <c r="A494" s="38"/>
      <c r="B494" s="39"/>
    </row>
    <row r="495" spans="1:2" ht="15.75" customHeight="1" x14ac:dyDescent="0.25">
      <c r="A495" s="38"/>
      <c r="B495" s="39"/>
    </row>
    <row r="496" spans="1:2" ht="15.75" customHeight="1" x14ac:dyDescent="0.25">
      <c r="A496" s="38"/>
      <c r="B496" s="39"/>
    </row>
    <row r="497" spans="1:2" ht="15.75" customHeight="1" x14ac:dyDescent="0.25">
      <c r="A497" s="38"/>
      <c r="B497" s="39"/>
    </row>
    <row r="498" spans="1:2" ht="15.75" customHeight="1" x14ac:dyDescent="0.25">
      <c r="A498" s="38"/>
      <c r="B498" s="39"/>
    </row>
    <row r="499" spans="1:2" ht="15.75" customHeight="1" x14ac:dyDescent="0.25">
      <c r="A499" s="38"/>
      <c r="B499" s="39"/>
    </row>
    <row r="500" spans="1:2" ht="15.75" customHeight="1" x14ac:dyDescent="0.25">
      <c r="A500" s="38"/>
      <c r="B500" s="39"/>
    </row>
    <row r="501" spans="1:2" ht="15.75" customHeight="1" x14ac:dyDescent="0.25">
      <c r="A501" s="38"/>
      <c r="B501" s="39"/>
    </row>
    <row r="502" spans="1:2" ht="15.75" customHeight="1" x14ac:dyDescent="0.25">
      <c r="A502" s="38"/>
      <c r="B502" s="39"/>
    </row>
    <row r="503" spans="1:2" ht="15.75" customHeight="1" x14ac:dyDescent="0.25">
      <c r="A503" s="38"/>
      <c r="B503" s="39"/>
    </row>
    <row r="504" spans="1:2" ht="15.75" customHeight="1" x14ac:dyDescent="0.25">
      <c r="A504" s="38"/>
      <c r="B504" s="39"/>
    </row>
    <row r="505" spans="1:2" ht="15.75" customHeight="1" x14ac:dyDescent="0.25">
      <c r="A505" s="38"/>
      <c r="B505" s="39"/>
    </row>
    <row r="506" spans="1:2" ht="15.75" customHeight="1" x14ac:dyDescent="0.25">
      <c r="A506" s="38"/>
      <c r="B506" s="39"/>
    </row>
    <row r="507" spans="1:2" ht="15.75" customHeight="1" x14ac:dyDescent="0.25">
      <c r="A507" s="38"/>
      <c r="B507" s="39"/>
    </row>
    <row r="508" spans="1:2" ht="15.75" customHeight="1" x14ac:dyDescent="0.25">
      <c r="A508" s="38"/>
      <c r="B508" s="39"/>
    </row>
    <row r="509" spans="1:2" ht="15.75" customHeight="1" x14ac:dyDescent="0.25">
      <c r="A509" s="38"/>
      <c r="B509" s="39"/>
    </row>
    <row r="510" spans="1:2" ht="15.75" customHeight="1" x14ac:dyDescent="0.25">
      <c r="A510" s="38"/>
      <c r="B510" s="39"/>
    </row>
    <row r="511" spans="1:2" ht="15.75" customHeight="1" x14ac:dyDescent="0.25">
      <c r="A511" s="38"/>
      <c r="B511" s="39"/>
    </row>
    <row r="512" spans="1:2" ht="15.75" customHeight="1" x14ac:dyDescent="0.25">
      <c r="A512" s="38"/>
      <c r="B512" s="39"/>
    </row>
    <row r="513" spans="1:2" ht="15.75" customHeight="1" x14ac:dyDescent="0.25">
      <c r="A513" s="38"/>
      <c r="B513" s="39"/>
    </row>
    <row r="514" spans="1:2" ht="15.75" customHeight="1" x14ac:dyDescent="0.25">
      <c r="A514" s="38"/>
      <c r="B514" s="39"/>
    </row>
    <row r="515" spans="1:2" ht="15.75" customHeight="1" x14ac:dyDescent="0.25">
      <c r="A515" s="38"/>
      <c r="B515" s="39"/>
    </row>
    <row r="516" spans="1:2" ht="15.75" customHeight="1" x14ac:dyDescent="0.25">
      <c r="A516" s="38"/>
      <c r="B516" s="39"/>
    </row>
    <row r="517" spans="1:2" ht="15.75" customHeight="1" x14ac:dyDescent="0.25">
      <c r="A517" s="38"/>
      <c r="B517" s="39"/>
    </row>
    <row r="518" spans="1:2" ht="15.75" customHeight="1" x14ac:dyDescent="0.25">
      <c r="A518" s="38"/>
      <c r="B518" s="39"/>
    </row>
    <row r="519" spans="1:2" ht="15.75" customHeight="1" x14ac:dyDescent="0.25">
      <c r="A519" s="38"/>
      <c r="B519" s="39"/>
    </row>
    <row r="520" spans="1:2" ht="15.75" customHeight="1" x14ac:dyDescent="0.25">
      <c r="A520" s="38"/>
      <c r="B520" s="39"/>
    </row>
    <row r="521" spans="1:2" ht="15.75" customHeight="1" x14ac:dyDescent="0.25">
      <c r="A521" s="38"/>
      <c r="B521" s="39"/>
    </row>
    <row r="522" spans="1:2" ht="15.75" customHeight="1" x14ac:dyDescent="0.25">
      <c r="A522" s="38"/>
      <c r="B522" s="39"/>
    </row>
    <row r="523" spans="1:2" ht="15.75" customHeight="1" x14ac:dyDescent="0.25">
      <c r="A523" s="38"/>
      <c r="B523" s="39"/>
    </row>
    <row r="524" spans="1:2" ht="15.75" customHeight="1" x14ac:dyDescent="0.25">
      <c r="A524" s="38"/>
      <c r="B524" s="39"/>
    </row>
    <row r="525" spans="1:2" ht="15.75" customHeight="1" x14ac:dyDescent="0.25">
      <c r="A525" s="38"/>
      <c r="B525" s="39"/>
    </row>
    <row r="526" spans="1:2" ht="15.75" customHeight="1" x14ac:dyDescent="0.25">
      <c r="A526" s="38"/>
      <c r="B526" s="39"/>
    </row>
    <row r="527" spans="1:2" ht="15.75" customHeight="1" x14ac:dyDescent="0.25">
      <c r="A527" s="38"/>
      <c r="B527" s="39"/>
    </row>
    <row r="528" spans="1:2" ht="15.75" customHeight="1" x14ac:dyDescent="0.25">
      <c r="A528" s="38"/>
      <c r="B528" s="39"/>
    </row>
    <row r="529" spans="1:2" ht="15.75" customHeight="1" x14ac:dyDescent="0.25">
      <c r="A529" s="38"/>
      <c r="B529" s="39"/>
    </row>
    <row r="530" spans="1:2" ht="15.75" customHeight="1" x14ac:dyDescent="0.25">
      <c r="A530" s="38"/>
      <c r="B530" s="39"/>
    </row>
    <row r="531" spans="1:2" ht="15.75" customHeight="1" x14ac:dyDescent="0.25">
      <c r="A531" s="38"/>
      <c r="B531" s="39"/>
    </row>
    <row r="532" spans="1:2" ht="15.75" customHeight="1" x14ac:dyDescent="0.25">
      <c r="A532" s="38"/>
      <c r="B532" s="39"/>
    </row>
    <row r="533" spans="1:2" ht="15.75" customHeight="1" x14ac:dyDescent="0.25">
      <c r="A533" s="38"/>
      <c r="B533" s="39"/>
    </row>
    <row r="534" spans="1:2" ht="15.75" customHeight="1" x14ac:dyDescent="0.25">
      <c r="A534" s="38"/>
      <c r="B534" s="39"/>
    </row>
    <row r="535" spans="1:2" ht="15.75" customHeight="1" x14ac:dyDescent="0.25">
      <c r="A535" s="38"/>
      <c r="B535" s="39"/>
    </row>
    <row r="536" spans="1:2" ht="15.75" customHeight="1" x14ac:dyDescent="0.25">
      <c r="A536" s="38"/>
      <c r="B536" s="39"/>
    </row>
    <row r="537" spans="1:2" ht="15.75" customHeight="1" x14ac:dyDescent="0.25">
      <c r="A537" s="38"/>
      <c r="B537" s="39"/>
    </row>
    <row r="538" spans="1:2" ht="15.75" customHeight="1" x14ac:dyDescent="0.25">
      <c r="A538" s="38"/>
      <c r="B538" s="39"/>
    </row>
    <row r="539" spans="1:2" ht="15.75" customHeight="1" x14ac:dyDescent="0.25">
      <c r="A539" s="38"/>
      <c r="B539" s="39"/>
    </row>
    <row r="540" spans="1:2" ht="15.75" customHeight="1" x14ac:dyDescent="0.25">
      <c r="A540" s="38"/>
      <c r="B540" s="39"/>
    </row>
    <row r="541" spans="1:2" ht="15.75" customHeight="1" x14ac:dyDescent="0.25">
      <c r="A541" s="38"/>
      <c r="B541" s="39"/>
    </row>
    <row r="542" spans="1:2" ht="15.75" customHeight="1" x14ac:dyDescent="0.25">
      <c r="A542" s="38"/>
      <c r="B542" s="39"/>
    </row>
    <row r="543" spans="1:2" ht="15.75" customHeight="1" x14ac:dyDescent="0.25">
      <c r="A543" s="38"/>
      <c r="B543" s="39"/>
    </row>
    <row r="544" spans="1:2" ht="15.75" customHeight="1" x14ac:dyDescent="0.25">
      <c r="A544" s="38"/>
      <c r="B544" s="39"/>
    </row>
    <row r="545" spans="1:2" ht="15.75" customHeight="1" x14ac:dyDescent="0.25">
      <c r="A545" s="38"/>
      <c r="B545" s="39"/>
    </row>
    <row r="546" spans="1:2" ht="15.75" customHeight="1" x14ac:dyDescent="0.25">
      <c r="A546" s="38"/>
      <c r="B546" s="39"/>
    </row>
    <row r="547" spans="1:2" ht="15.75" customHeight="1" x14ac:dyDescent="0.25">
      <c r="A547" s="38"/>
      <c r="B547" s="39"/>
    </row>
    <row r="548" spans="1:2" ht="15.75" customHeight="1" x14ac:dyDescent="0.25">
      <c r="A548" s="38"/>
      <c r="B548" s="39"/>
    </row>
    <row r="549" spans="1:2" ht="15.75" customHeight="1" x14ac:dyDescent="0.25">
      <c r="A549" s="38"/>
      <c r="B549" s="39"/>
    </row>
    <row r="550" spans="1:2" ht="15.75" customHeight="1" x14ac:dyDescent="0.25">
      <c r="A550" s="38"/>
      <c r="B550" s="39"/>
    </row>
    <row r="551" spans="1:2" ht="15.75" customHeight="1" x14ac:dyDescent="0.25">
      <c r="A551" s="38"/>
      <c r="B551" s="39"/>
    </row>
    <row r="552" spans="1:2" ht="15.75" customHeight="1" x14ac:dyDescent="0.25">
      <c r="A552" s="38"/>
      <c r="B552" s="39"/>
    </row>
    <row r="553" spans="1:2" ht="15.75" customHeight="1" x14ac:dyDescent="0.25">
      <c r="A553" s="38"/>
      <c r="B553" s="39"/>
    </row>
    <row r="554" spans="1:2" ht="15.75" customHeight="1" x14ac:dyDescent="0.25">
      <c r="A554" s="38"/>
      <c r="B554" s="39"/>
    </row>
    <row r="555" spans="1:2" ht="15.75" customHeight="1" x14ac:dyDescent="0.25">
      <c r="A555" s="38"/>
      <c r="B555" s="39"/>
    </row>
    <row r="556" spans="1:2" ht="15.75" customHeight="1" x14ac:dyDescent="0.25">
      <c r="A556" s="38"/>
      <c r="B556" s="39"/>
    </row>
    <row r="557" spans="1:2" ht="15.75" customHeight="1" x14ac:dyDescent="0.25">
      <c r="A557" s="38"/>
      <c r="B557" s="39"/>
    </row>
    <row r="558" spans="1:2" ht="15.75" customHeight="1" x14ac:dyDescent="0.25">
      <c r="A558" s="38"/>
      <c r="B558" s="39"/>
    </row>
    <row r="559" spans="1:2" ht="15.75" customHeight="1" x14ac:dyDescent="0.25">
      <c r="A559" s="38"/>
      <c r="B559" s="39"/>
    </row>
    <row r="560" spans="1:2" ht="15.75" customHeight="1" x14ac:dyDescent="0.25">
      <c r="A560" s="38"/>
      <c r="B560" s="39"/>
    </row>
    <row r="561" spans="1:2" ht="15.75" customHeight="1" x14ac:dyDescent="0.25">
      <c r="A561" s="38"/>
      <c r="B561" s="39"/>
    </row>
    <row r="562" spans="1:2" ht="15.75" customHeight="1" x14ac:dyDescent="0.25">
      <c r="A562" s="38"/>
      <c r="B562" s="39"/>
    </row>
    <row r="563" spans="1:2" ht="15.75" customHeight="1" x14ac:dyDescent="0.25">
      <c r="A563" s="38"/>
      <c r="B563" s="39"/>
    </row>
    <row r="564" spans="1:2" ht="15.75" customHeight="1" x14ac:dyDescent="0.25">
      <c r="A564" s="38"/>
      <c r="B564" s="39"/>
    </row>
    <row r="565" spans="1:2" ht="15.75" customHeight="1" x14ac:dyDescent="0.25">
      <c r="A565" s="38"/>
      <c r="B565" s="39"/>
    </row>
    <row r="566" spans="1:2" ht="15.75" customHeight="1" x14ac:dyDescent="0.25">
      <c r="A566" s="38"/>
      <c r="B566" s="39"/>
    </row>
    <row r="567" spans="1:2" ht="15.75" customHeight="1" x14ac:dyDescent="0.25">
      <c r="A567" s="38"/>
      <c r="B567" s="39"/>
    </row>
    <row r="568" spans="1:2" ht="15.75" customHeight="1" x14ac:dyDescent="0.25">
      <c r="A568" s="38"/>
      <c r="B568" s="39"/>
    </row>
    <row r="569" spans="1:2" ht="15.75" customHeight="1" x14ac:dyDescent="0.25">
      <c r="A569" s="38"/>
      <c r="B569" s="39"/>
    </row>
    <row r="570" spans="1:2" ht="15.75" customHeight="1" x14ac:dyDescent="0.25">
      <c r="A570" s="38"/>
      <c r="B570" s="39"/>
    </row>
    <row r="571" spans="1:2" ht="15.75" customHeight="1" x14ac:dyDescent="0.25">
      <c r="A571" s="38"/>
      <c r="B571" s="39"/>
    </row>
    <row r="572" spans="1:2" ht="15.75" customHeight="1" x14ac:dyDescent="0.25">
      <c r="A572" s="38"/>
      <c r="B572" s="39"/>
    </row>
    <row r="573" spans="1:2" ht="15.75" customHeight="1" x14ac:dyDescent="0.25">
      <c r="A573" s="38"/>
      <c r="B573" s="39"/>
    </row>
    <row r="574" spans="1:2" ht="15.75" customHeight="1" x14ac:dyDescent="0.25">
      <c r="A574" s="38"/>
      <c r="B574" s="39"/>
    </row>
    <row r="575" spans="1:2" ht="15.75" customHeight="1" x14ac:dyDescent="0.25">
      <c r="A575" s="38"/>
      <c r="B575" s="39"/>
    </row>
    <row r="576" spans="1:2" ht="15.75" customHeight="1" x14ac:dyDescent="0.25">
      <c r="A576" s="38"/>
      <c r="B576" s="39"/>
    </row>
    <row r="577" spans="1:2" ht="15.75" customHeight="1" x14ac:dyDescent="0.25">
      <c r="A577" s="38"/>
      <c r="B577" s="39"/>
    </row>
    <row r="578" spans="1:2" ht="15.75" customHeight="1" x14ac:dyDescent="0.25">
      <c r="A578" s="38"/>
      <c r="B578" s="39"/>
    </row>
    <row r="579" spans="1:2" ht="15.75" customHeight="1" x14ac:dyDescent="0.25">
      <c r="A579" s="38"/>
      <c r="B579" s="39"/>
    </row>
    <row r="580" spans="1:2" ht="15.75" customHeight="1" x14ac:dyDescent="0.25">
      <c r="A580" s="38"/>
      <c r="B580" s="39"/>
    </row>
    <row r="581" spans="1:2" ht="15.75" customHeight="1" x14ac:dyDescent="0.25">
      <c r="A581" s="38"/>
      <c r="B581" s="39"/>
    </row>
    <row r="582" spans="1:2" ht="15.75" customHeight="1" x14ac:dyDescent="0.25">
      <c r="A582" s="38"/>
      <c r="B582" s="39"/>
    </row>
    <row r="583" spans="1:2" ht="15.75" customHeight="1" x14ac:dyDescent="0.25">
      <c r="A583" s="38"/>
      <c r="B583" s="39"/>
    </row>
    <row r="584" spans="1:2" ht="15.75" customHeight="1" x14ac:dyDescent="0.25">
      <c r="A584" s="38"/>
      <c r="B584" s="39"/>
    </row>
    <row r="585" spans="1:2" ht="15.75" customHeight="1" x14ac:dyDescent="0.25">
      <c r="A585" s="38"/>
      <c r="B585" s="39"/>
    </row>
    <row r="586" spans="1:2" ht="15.75" customHeight="1" x14ac:dyDescent="0.25">
      <c r="A586" s="38"/>
      <c r="B586" s="39"/>
    </row>
    <row r="587" spans="1:2" ht="15.75" customHeight="1" x14ac:dyDescent="0.25">
      <c r="A587" s="38"/>
      <c r="B587" s="39"/>
    </row>
    <row r="588" spans="1:2" ht="15.75" customHeight="1" x14ac:dyDescent="0.25">
      <c r="A588" s="38"/>
      <c r="B588" s="39"/>
    </row>
    <row r="589" spans="1:2" ht="15.75" customHeight="1" x14ac:dyDescent="0.25">
      <c r="A589" s="38"/>
      <c r="B589" s="39"/>
    </row>
    <row r="590" spans="1:2" ht="15.75" customHeight="1" x14ac:dyDescent="0.25">
      <c r="A590" s="38"/>
      <c r="B590" s="39"/>
    </row>
    <row r="591" spans="1:2" ht="15.75" customHeight="1" x14ac:dyDescent="0.25">
      <c r="A591" s="38"/>
      <c r="B591" s="39"/>
    </row>
    <row r="592" spans="1:2" ht="15.75" customHeight="1" x14ac:dyDescent="0.25">
      <c r="A592" s="38"/>
      <c r="B592" s="39"/>
    </row>
    <row r="593" spans="1:2" ht="15.75" customHeight="1" x14ac:dyDescent="0.25">
      <c r="A593" s="38"/>
      <c r="B593" s="39"/>
    </row>
    <row r="594" spans="1:2" ht="15.75" customHeight="1" x14ac:dyDescent="0.25">
      <c r="A594" s="38"/>
      <c r="B594" s="39"/>
    </row>
    <row r="595" spans="1:2" ht="15.75" customHeight="1" x14ac:dyDescent="0.25">
      <c r="A595" s="38"/>
      <c r="B595" s="39"/>
    </row>
    <row r="596" spans="1:2" ht="15.75" customHeight="1" x14ac:dyDescent="0.25">
      <c r="A596" s="38"/>
      <c r="B596" s="39"/>
    </row>
    <row r="597" spans="1:2" ht="15.75" customHeight="1" x14ac:dyDescent="0.25">
      <c r="A597" s="38"/>
      <c r="B597" s="39"/>
    </row>
    <row r="598" spans="1:2" ht="15.75" customHeight="1" x14ac:dyDescent="0.25">
      <c r="A598" s="38"/>
      <c r="B598" s="39"/>
    </row>
    <row r="599" spans="1:2" ht="15.75" customHeight="1" x14ac:dyDescent="0.25">
      <c r="A599" s="38"/>
      <c r="B599" s="39"/>
    </row>
    <row r="600" spans="1:2" ht="15.75" customHeight="1" x14ac:dyDescent="0.25">
      <c r="A600" s="38"/>
      <c r="B600" s="39"/>
    </row>
    <row r="601" spans="1:2" ht="15.75" customHeight="1" x14ac:dyDescent="0.25">
      <c r="A601" s="38"/>
      <c r="B601" s="39"/>
    </row>
    <row r="602" spans="1:2" ht="15.75" customHeight="1" x14ac:dyDescent="0.25">
      <c r="A602" s="38"/>
      <c r="B602" s="39"/>
    </row>
    <row r="603" spans="1:2" ht="15.75" customHeight="1" x14ac:dyDescent="0.25">
      <c r="A603" s="38"/>
      <c r="B603" s="39"/>
    </row>
    <row r="604" spans="1:2" ht="15.75" customHeight="1" x14ac:dyDescent="0.25">
      <c r="A604" s="38"/>
      <c r="B604" s="39"/>
    </row>
    <row r="605" spans="1:2" ht="15.75" customHeight="1" x14ac:dyDescent="0.25">
      <c r="A605" s="38"/>
      <c r="B605" s="39"/>
    </row>
    <row r="606" spans="1:2" ht="15.75" customHeight="1" x14ac:dyDescent="0.25">
      <c r="A606" s="38"/>
      <c r="B606" s="39"/>
    </row>
    <row r="607" spans="1:2" ht="15.75" customHeight="1" x14ac:dyDescent="0.25">
      <c r="A607" s="38"/>
      <c r="B607" s="39"/>
    </row>
    <row r="608" spans="1:2" ht="15.75" customHeight="1" x14ac:dyDescent="0.25">
      <c r="A608" s="38"/>
      <c r="B608" s="39"/>
    </row>
    <row r="609" spans="1:2" ht="15.75" customHeight="1" x14ac:dyDescent="0.25">
      <c r="A609" s="38"/>
      <c r="B609" s="39"/>
    </row>
    <row r="610" spans="1:2" ht="15.75" customHeight="1" x14ac:dyDescent="0.25">
      <c r="A610" s="38"/>
      <c r="B610" s="39"/>
    </row>
    <row r="611" spans="1:2" ht="15.75" customHeight="1" x14ac:dyDescent="0.25">
      <c r="A611" s="38"/>
      <c r="B611" s="39"/>
    </row>
    <row r="612" spans="1:2" ht="15.75" customHeight="1" x14ac:dyDescent="0.25">
      <c r="A612" s="38"/>
      <c r="B612" s="39"/>
    </row>
    <row r="613" spans="1:2" ht="15.75" customHeight="1" x14ac:dyDescent="0.25">
      <c r="A613" s="38"/>
      <c r="B613" s="39"/>
    </row>
    <row r="614" spans="1:2" ht="15.75" customHeight="1" x14ac:dyDescent="0.25">
      <c r="A614" s="38"/>
      <c r="B614" s="39"/>
    </row>
    <row r="615" spans="1:2" ht="15.75" customHeight="1" x14ac:dyDescent="0.25">
      <c r="A615" s="38"/>
      <c r="B615" s="39"/>
    </row>
    <row r="616" spans="1:2" ht="15.75" customHeight="1" x14ac:dyDescent="0.25">
      <c r="A616" s="38"/>
      <c r="B616" s="39"/>
    </row>
    <row r="617" spans="1:2" ht="15.75" customHeight="1" x14ac:dyDescent="0.25">
      <c r="A617" s="38"/>
      <c r="B617" s="39"/>
    </row>
    <row r="618" spans="1:2" ht="15.75" customHeight="1" x14ac:dyDescent="0.25">
      <c r="A618" s="38"/>
      <c r="B618" s="39"/>
    </row>
    <row r="619" spans="1:2" ht="15.75" customHeight="1" x14ac:dyDescent="0.25">
      <c r="A619" s="38"/>
      <c r="B619" s="39"/>
    </row>
    <row r="620" spans="1:2" ht="15.75" customHeight="1" x14ac:dyDescent="0.25">
      <c r="A620" s="38"/>
      <c r="B620" s="39"/>
    </row>
    <row r="621" spans="1:2" ht="15.75" customHeight="1" x14ac:dyDescent="0.25">
      <c r="A621" s="38"/>
      <c r="B621" s="39"/>
    </row>
    <row r="622" spans="1:2" ht="15.75" customHeight="1" x14ac:dyDescent="0.25">
      <c r="A622" s="38"/>
      <c r="B622" s="39"/>
    </row>
    <row r="623" spans="1:2" ht="15.75" customHeight="1" x14ac:dyDescent="0.25">
      <c r="A623" s="38"/>
      <c r="B623" s="39"/>
    </row>
    <row r="624" spans="1:2" ht="15.75" customHeight="1" x14ac:dyDescent="0.25">
      <c r="A624" s="38"/>
      <c r="B624" s="39"/>
    </row>
    <row r="625" spans="1:2" ht="15.75" customHeight="1" x14ac:dyDescent="0.25">
      <c r="A625" s="38"/>
      <c r="B625" s="39"/>
    </row>
    <row r="626" spans="1:2" ht="15.75" customHeight="1" x14ac:dyDescent="0.25">
      <c r="A626" s="38"/>
      <c r="B626" s="39"/>
    </row>
    <row r="627" spans="1:2" ht="15.75" customHeight="1" x14ac:dyDescent="0.25">
      <c r="A627" s="38"/>
      <c r="B627" s="39"/>
    </row>
    <row r="628" spans="1:2" ht="15.75" customHeight="1" x14ac:dyDescent="0.25">
      <c r="A628" s="38"/>
      <c r="B628" s="39"/>
    </row>
    <row r="629" spans="1:2" ht="15.75" customHeight="1" x14ac:dyDescent="0.25">
      <c r="A629" s="38"/>
      <c r="B629" s="39"/>
    </row>
    <row r="630" spans="1:2" ht="15.75" customHeight="1" x14ac:dyDescent="0.25">
      <c r="A630" s="38"/>
      <c r="B630" s="39"/>
    </row>
    <row r="631" spans="1:2" ht="15.75" customHeight="1" x14ac:dyDescent="0.25">
      <c r="A631" s="38"/>
      <c r="B631" s="39"/>
    </row>
    <row r="632" spans="1:2" ht="15.75" customHeight="1" x14ac:dyDescent="0.25">
      <c r="A632" s="38"/>
      <c r="B632" s="39"/>
    </row>
    <row r="633" spans="1:2" ht="15.75" customHeight="1" x14ac:dyDescent="0.25">
      <c r="A633" s="38"/>
      <c r="B633" s="39"/>
    </row>
    <row r="634" spans="1:2" ht="15.75" customHeight="1" x14ac:dyDescent="0.25">
      <c r="A634" s="38"/>
      <c r="B634" s="39"/>
    </row>
    <row r="635" spans="1:2" ht="15.75" customHeight="1" x14ac:dyDescent="0.25">
      <c r="A635" s="38"/>
      <c r="B635" s="39"/>
    </row>
    <row r="636" spans="1:2" ht="15.75" customHeight="1" x14ac:dyDescent="0.25">
      <c r="A636" s="38"/>
      <c r="B636" s="39"/>
    </row>
    <row r="637" spans="1:2" ht="15.75" customHeight="1" x14ac:dyDescent="0.25">
      <c r="A637" s="38"/>
      <c r="B637" s="39"/>
    </row>
    <row r="638" spans="1:2" ht="15.75" customHeight="1" x14ac:dyDescent="0.25">
      <c r="A638" s="38"/>
      <c r="B638" s="39"/>
    </row>
    <row r="639" spans="1:2" ht="15.75" customHeight="1" x14ac:dyDescent="0.25">
      <c r="A639" s="38"/>
      <c r="B639" s="39"/>
    </row>
    <row r="640" spans="1:2" ht="15.75" customHeight="1" x14ac:dyDescent="0.25">
      <c r="A640" s="38"/>
      <c r="B640" s="39"/>
    </row>
    <row r="641" spans="1:2" ht="15.75" customHeight="1" x14ac:dyDescent="0.25">
      <c r="A641" s="38"/>
      <c r="B641" s="39"/>
    </row>
    <row r="642" spans="1:2" ht="15.75" customHeight="1" x14ac:dyDescent="0.25">
      <c r="A642" s="38"/>
      <c r="B642" s="39"/>
    </row>
    <row r="643" spans="1:2" ht="15.75" customHeight="1" x14ac:dyDescent="0.25">
      <c r="A643" s="38"/>
      <c r="B643" s="39"/>
    </row>
    <row r="644" spans="1:2" ht="15.75" customHeight="1" x14ac:dyDescent="0.25">
      <c r="A644" s="38"/>
      <c r="B644" s="39"/>
    </row>
    <row r="645" spans="1:2" ht="15.75" customHeight="1" x14ac:dyDescent="0.25">
      <c r="A645" s="38"/>
      <c r="B645" s="39"/>
    </row>
    <row r="646" spans="1:2" ht="15.75" customHeight="1" x14ac:dyDescent="0.25">
      <c r="A646" s="38"/>
      <c r="B646" s="39"/>
    </row>
    <row r="647" spans="1:2" ht="15.75" customHeight="1" x14ac:dyDescent="0.25">
      <c r="A647" s="38"/>
      <c r="B647" s="39"/>
    </row>
    <row r="648" spans="1:2" ht="15.75" customHeight="1" x14ac:dyDescent="0.25">
      <c r="A648" s="38"/>
      <c r="B648" s="39"/>
    </row>
    <row r="649" spans="1:2" ht="15.75" customHeight="1" x14ac:dyDescent="0.25">
      <c r="A649" s="38"/>
      <c r="B649" s="39"/>
    </row>
    <row r="650" spans="1:2" ht="15.75" customHeight="1" x14ac:dyDescent="0.25">
      <c r="A650" s="38"/>
      <c r="B650" s="39"/>
    </row>
    <row r="651" spans="1:2" ht="15.75" customHeight="1" x14ac:dyDescent="0.25">
      <c r="A651" s="38"/>
      <c r="B651" s="39"/>
    </row>
    <row r="652" spans="1:2" ht="15.75" customHeight="1" x14ac:dyDescent="0.25">
      <c r="A652" s="38"/>
      <c r="B652" s="39"/>
    </row>
    <row r="653" spans="1:2" ht="15.75" customHeight="1" x14ac:dyDescent="0.25">
      <c r="A653" s="38"/>
      <c r="B653" s="39"/>
    </row>
    <row r="654" spans="1:2" ht="15.75" customHeight="1" x14ac:dyDescent="0.25">
      <c r="A654" s="38"/>
      <c r="B654" s="39"/>
    </row>
    <row r="655" spans="1:2" ht="15.75" customHeight="1" x14ac:dyDescent="0.25">
      <c r="A655" s="38"/>
      <c r="B655" s="39"/>
    </row>
    <row r="656" spans="1:2" ht="15.75" customHeight="1" x14ac:dyDescent="0.25">
      <c r="A656" s="38"/>
      <c r="B656" s="39"/>
    </row>
    <row r="657" spans="1:2" ht="15.75" customHeight="1" x14ac:dyDescent="0.25">
      <c r="A657" s="38"/>
      <c r="B657" s="39"/>
    </row>
    <row r="658" spans="1:2" ht="15.75" customHeight="1" x14ac:dyDescent="0.25">
      <c r="A658" s="38"/>
      <c r="B658" s="39"/>
    </row>
    <row r="659" spans="1:2" ht="15.75" customHeight="1" x14ac:dyDescent="0.25">
      <c r="A659" s="38"/>
      <c r="B659" s="39"/>
    </row>
    <row r="660" spans="1:2" ht="15.75" customHeight="1" x14ac:dyDescent="0.25">
      <c r="A660" s="38"/>
      <c r="B660" s="39"/>
    </row>
    <row r="661" spans="1:2" ht="15.75" customHeight="1" x14ac:dyDescent="0.25">
      <c r="A661" s="38"/>
      <c r="B661" s="39"/>
    </row>
    <row r="662" spans="1:2" ht="15.75" customHeight="1" x14ac:dyDescent="0.25">
      <c r="A662" s="38"/>
      <c r="B662" s="39"/>
    </row>
    <row r="663" spans="1:2" ht="15.75" customHeight="1" x14ac:dyDescent="0.25">
      <c r="A663" s="38"/>
      <c r="B663" s="39"/>
    </row>
    <row r="664" spans="1:2" ht="15.75" customHeight="1" x14ac:dyDescent="0.25">
      <c r="A664" s="38"/>
      <c r="B664" s="39"/>
    </row>
    <row r="665" spans="1:2" ht="15.75" customHeight="1" x14ac:dyDescent="0.25">
      <c r="A665" s="38"/>
      <c r="B665" s="39"/>
    </row>
    <row r="666" spans="1:2" ht="15.75" customHeight="1" x14ac:dyDescent="0.25">
      <c r="A666" s="38"/>
      <c r="B666" s="39"/>
    </row>
    <row r="667" spans="1:2" ht="15.75" customHeight="1" x14ac:dyDescent="0.25">
      <c r="A667" s="38"/>
      <c r="B667" s="39"/>
    </row>
    <row r="668" spans="1:2" ht="15.75" customHeight="1" x14ac:dyDescent="0.25">
      <c r="A668" s="38"/>
      <c r="B668" s="39"/>
    </row>
    <row r="669" spans="1:2" ht="15.75" customHeight="1" x14ac:dyDescent="0.25">
      <c r="A669" s="38"/>
      <c r="B669" s="39"/>
    </row>
    <row r="670" spans="1:2" ht="15.75" customHeight="1" x14ac:dyDescent="0.25">
      <c r="A670" s="38"/>
      <c r="B670" s="39"/>
    </row>
    <row r="671" spans="1:2" ht="15.75" customHeight="1" x14ac:dyDescent="0.25">
      <c r="A671" s="38"/>
      <c r="B671" s="39"/>
    </row>
    <row r="672" spans="1:2" ht="15.75" customHeight="1" x14ac:dyDescent="0.25">
      <c r="A672" s="38"/>
      <c r="B672" s="39"/>
    </row>
    <row r="673" spans="1:2" ht="15.75" customHeight="1" x14ac:dyDescent="0.25">
      <c r="A673" s="38"/>
      <c r="B673" s="39"/>
    </row>
    <row r="674" spans="1:2" ht="15.75" customHeight="1" x14ac:dyDescent="0.25">
      <c r="A674" s="38"/>
      <c r="B674" s="39"/>
    </row>
    <row r="675" spans="1:2" ht="15.75" customHeight="1" x14ac:dyDescent="0.25">
      <c r="A675" s="38"/>
      <c r="B675" s="39"/>
    </row>
    <row r="676" spans="1:2" ht="15.75" customHeight="1" x14ac:dyDescent="0.25">
      <c r="A676" s="38"/>
      <c r="B676" s="39"/>
    </row>
    <row r="677" spans="1:2" ht="15.75" customHeight="1" x14ac:dyDescent="0.25">
      <c r="A677" s="38"/>
      <c r="B677" s="39"/>
    </row>
    <row r="678" spans="1:2" ht="15.75" customHeight="1" x14ac:dyDescent="0.25">
      <c r="A678" s="38"/>
      <c r="B678" s="39"/>
    </row>
    <row r="679" spans="1:2" ht="15.75" customHeight="1" x14ac:dyDescent="0.25">
      <c r="A679" s="38"/>
      <c r="B679" s="39"/>
    </row>
    <row r="680" spans="1:2" ht="15.75" customHeight="1" x14ac:dyDescent="0.25">
      <c r="A680" s="38"/>
      <c r="B680" s="39"/>
    </row>
    <row r="681" spans="1:2" ht="15.75" customHeight="1" x14ac:dyDescent="0.25">
      <c r="A681" s="38"/>
      <c r="B681" s="39"/>
    </row>
    <row r="682" spans="1:2" ht="15.75" customHeight="1" x14ac:dyDescent="0.25">
      <c r="A682" s="38"/>
      <c r="B682" s="39"/>
    </row>
    <row r="683" spans="1:2" ht="15.75" customHeight="1" x14ac:dyDescent="0.25">
      <c r="A683" s="38"/>
      <c r="B683" s="39"/>
    </row>
    <row r="684" spans="1:2" ht="15.75" customHeight="1" x14ac:dyDescent="0.25">
      <c r="A684" s="38"/>
      <c r="B684" s="39"/>
    </row>
    <row r="685" spans="1:2" ht="15.75" customHeight="1" x14ac:dyDescent="0.25">
      <c r="A685" s="38"/>
      <c r="B685" s="39"/>
    </row>
    <row r="686" spans="1:2" ht="15.75" customHeight="1" x14ac:dyDescent="0.25">
      <c r="A686" s="38"/>
      <c r="B686" s="39"/>
    </row>
    <row r="687" spans="1:2" ht="15.75" customHeight="1" x14ac:dyDescent="0.25">
      <c r="A687" s="38"/>
      <c r="B687" s="39"/>
    </row>
    <row r="688" spans="1:2" ht="15.75" customHeight="1" x14ac:dyDescent="0.25">
      <c r="A688" s="38"/>
      <c r="B688" s="39"/>
    </row>
    <row r="689" spans="1:2" ht="15.75" customHeight="1" x14ac:dyDescent="0.25">
      <c r="A689" s="38"/>
      <c r="B689" s="39"/>
    </row>
    <row r="690" spans="1:2" ht="15.75" customHeight="1" x14ac:dyDescent="0.25">
      <c r="A690" s="38"/>
      <c r="B690" s="39"/>
    </row>
    <row r="691" spans="1:2" ht="15.75" customHeight="1" x14ac:dyDescent="0.25">
      <c r="A691" s="38"/>
      <c r="B691" s="39"/>
    </row>
    <row r="692" spans="1:2" ht="15.75" customHeight="1" x14ac:dyDescent="0.25">
      <c r="A692" s="38"/>
      <c r="B692" s="39"/>
    </row>
    <row r="693" spans="1:2" ht="15.75" customHeight="1" x14ac:dyDescent="0.25">
      <c r="A693" s="38"/>
      <c r="B693" s="39"/>
    </row>
    <row r="694" spans="1:2" ht="15.75" customHeight="1" x14ac:dyDescent="0.25">
      <c r="A694" s="38"/>
      <c r="B694" s="39"/>
    </row>
    <row r="695" spans="1:2" ht="15.75" customHeight="1" x14ac:dyDescent="0.25">
      <c r="A695" s="38"/>
      <c r="B695" s="39"/>
    </row>
    <row r="696" spans="1:2" ht="15.75" customHeight="1" x14ac:dyDescent="0.25">
      <c r="A696" s="38"/>
      <c r="B696" s="39"/>
    </row>
    <row r="697" spans="1:2" ht="15.75" customHeight="1" x14ac:dyDescent="0.25">
      <c r="A697" s="38"/>
      <c r="B697" s="39"/>
    </row>
    <row r="698" spans="1:2" ht="15.75" customHeight="1" x14ac:dyDescent="0.25">
      <c r="A698" s="38"/>
      <c r="B698" s="39"/>
    </row>
    <row r="699" spans="1:2" ht="15.75" customHeight="1" x14ac:dyDescent="0.25">
      <c r="A699" s="38"/>
      <c r="B699" s="39"/>
    </row>
    <row r="700" spans="1:2" ht="15.75" customHeight="1" x14ac:dyDescent="0.25">
      <c r="A700" s="38"/>
      <c r="B700" s="39"/>
    </row>
    <row r="701" spans="1:2" ht="15.75" customHeight="1" x14ac:dyDescent="0.25">
      <c r="A701" s="38"/>
      <c r="B701" s="39"/>
    </row>
    <row r="702" spans="1:2" ht="15.75" customHeight="1" x14ac:dyDescent="0.25">
      <c r="A702" s="38"/>
      <c r="B702" s="39"/>
    </row>
    <row r="703" spans="1:2" ht="15.75" customHeight="1" x14ac:dyDescent="0.25">
      <c r="A703" s="38"/>
      <c r="B703" s="39"/>
    </row>
    <row r="704" spans="1:2" ht="15.75" customHeight="1" x14ac:dyDescent="0.25">
      <c r="A704" s="38"/>
      <c r="B704" s="39"/>
    </row>
    <row r="705" spans="1:2" ht="15.75" customHeight="1" x14ac:dyDescent="0.25">
      <c r="A705" s="38"/>
      <c r="B705" s="39"/>
    </row>
    <row r="706" spans="1:2" ht="15.75" customHeight="1" x14ac:dyDescent="0.25">
      <c r="A706" s="38"/>
      <c r="B706" s="39"/>
    </row>
    <row r="707" spans="1:2" ht="15.75" customHeight="1" x14ac:dyDescent="0.25">
      <c r="A707" s="38"/>
      <c r="B707" s="39"/>
    </row>
    <row r="708" spans="1:2" ht="15.75" customHeight="1" x14ac:dyDescent="0.25">
      <c r="A708" s="38"/>
      <c r="B708" s="39"/>
    </row>
    <row r="709" spans="1:2" ht="15.75" customHeight="1" x14ac:dyDescent="0.25">
      <c r="A709" s="38"/>
      <c r="B709" s="39"/>
    </row>
    <row r="710" spans="1:2" ht="15.75" customHeight="1" x14ac:dyDescent="0.25">
      <c r="A710" s="38"/>
      <c r="B710" s="39"/>
    </row>
    <row r="711" spans="1:2" ht="15.75" customHeight="1" x14ac:dyDescent="0.25">
      <c r="A711" s="38"/>
      <c r="B711" s="39"/>
    </row>
    <row r="712" spans="1:2" ht="15.75" customHeight="1" x14ac:dyDescent="0.25">
      <c r="A712" s="38"/>
      <c r="B712" s="39"/>
    </row>
    <row r="713" spans="1:2" ht="15.75" customHeight="1" x14ac:dyDescent="0.25">
      <c r="A713" s="38"/>
      <c r="B713" s="39"/>
    </row>
    <row r="714" spans="1:2" ht="15.75" customHeight="1" x14ac:dyDescent="0.25">
      <c r="A714" s="38"/>
      <c r="B714" s="39"/>
    </row>
    <row r="715" spans="1:2" ht="15.75" customHeight="1" x14ac:dyDescent="0.25">
      <c r="A715" s="38"/>
      <c r="B715" s="39"/>
    </row>
    <row r="716" spans="1:2" ht="15.75" customHeight="1" x14ac:dyDescent="0.25">
      <c r="A716" s="38"/>
      <c r="B716" s="39"/>
    </row>
    <row r="717" spans="1:2" ht="15.75" customHeight="1" x14ac:dyDescent="0.25">
      <c r="A717" s="38"/>
      <c r="B717" s="39"/>
    </row>
    <row r="718" spans="1:2" ht="15.75" customHeight="1" x14ac:dyDescent="0.25">
      <c r="A718" s="38"/>
      <c r="B718" s="39"/>
    </row>
    <row r="719" spans="1:2" ht="15.75" customHeight="1" x14ac:dyDescent="0.25">
      <c r="A719" s="38"/>
      <c r="B719" s="39"/>
    </row>
    <row r="720" spans="1:2" ht="15.75" customHeight="1" x14ac:dyDescent="0.25">
      <c r="A720" s="38"/>
      <c r="B720" s="39"/>
    </row>
    <row r="721" spans="1:2" ht="15.75" customHeight="1" x14ac:dyDescent="0.25">
      <c r="A721" s="38"/>
      <c r="B721" s="39"/>
    </row>
    <row r="722" spans="1:2" ht="15.75" customHeight="1" x14ac:dyDescent="0.25">
      <c r="A722" s="38"/>
      <c r="B722" s="39"/>
    </row>
    <row r="723" spans="1:2" ht="15.75" customHeight="1" x14ac:dyDescent="0.25">
      <c r="A723" s="38"/>
      <c r="B723" s="39"/>
    </row>
    <row r="724" spans="1:2" ht="15.75" customHeight="1" x14ac:dyDescent="0.25">
      <c r="A724" s="38"/>
      <c r="B724" s="39"/>
    </row>
    <row r="725" spans="1:2" ht="15.75" customHeight="1" x14ac:dyDescent="0.25">
      <c r="A725" s="38"/>
      <c r="B725" s="39"/>
    </row>
    <row r="726" spans="1:2" ht="15.75" customHeight="1" x14ac:dyDescent="0.25">
      <c r="A726" s="38"/>
      <c r="B726" s="39"/>
    </row>
    <row r="727" spans="1:2" ht="15.75" customHeight="1" x14ac:dyDescent="0.25">
      <c r="A727" s="38"/>
      <c r="B727" s="39"/>
    </row>
    <row r="728" spans="1:2" ht="15.75" customHeight="1" x14ac:dyDescent="0.25">
      <c r="A728" s="38"/>
      <c r="B728" s="39"/>
    </row>
    <row r="729" spans="1:2" ht="15.75" customHeight="1" x14ac:dyDescent="0.25">
      <c r="A729" s="38"/>
      <c r="B729" s="39"/>
    </row>
    <row r="730" spans="1:2" ht="15.75" customHeight="1" x14ac:dyDescent="0.25">
      <c r="A730" s="38"/>
      <c r="B730" s="39"/>
    </row>
    <row r="731" spans="1:2" ht="15.75" customHeight="1" x14ac:dyDescent="0.25">
      <c r="A731" s="38"/>
      <c r="B731" s="39"/>
    </row>
    <row r="732" spans="1:2" ht="15.75" customHeight="1" x14ac:dyDescent="0.25">
      <c r="A732" s="38"/>
      <c r="B732" s="39"/>
    </row>
    <row r="733" spans="1:2" ht="15.75" customHeight="1" x14ac:dyDescent="0.25">
      <c r="A733" s="38"/>
      <c r="B733" s="39"/>
    </row>
    <row r="734" spans="1:2" ht="15.75" customHeight="1" x14ac:dyDescent="0.25">
      <c r="A734" s="38"/>
      <c r="B734" s="39"/>
    </row>
    <row r="735" spans="1:2" ht="15.75" customHeight="1" x14ac:dyDescent="0.25">
      <c r="A735" s="38"/>
      <c r="B735" s="39"/>
    </row>
    <row r="736" spans="1:2" ht="15.75" customHeight="1" x14ac:dyDescent="0.25">
      <c r="A736" s="38"/>
      <c r="B736" s="39"/>
    </row>
    <row r="737" spans="1:2" ht="15.75" customHeight="1" x14ac:dyDescent="0.25">
      <c r="A737" s="38"/>
      <c r="B737" s="39"/>
    </row>
    <row r="738" spans="1:2" ht="15.75" customHeight="1" x14ac:dyDescent="0.25">
      <c r="A738" s="38"/>
      <c r="B738" s="39"/>
    </row>
    <row r="739" spans="1:2" ht="15.75" customHeight="1" x14ac:dyDescent="0.25">
      <c r="A739" s="38"/>
      <c r="B739" s="39"/>
    </row>
    <row r="740" spans="1:2" ht="15.75" customHeight="1" x14ac:dyDescent="0.25">
      <c r="A740" s="38"/>
      <c r="B740" s="39"/>
    </row>
    <row r="741" spans="1:2" ht="15.75" customHeight="1" x14ac:dyDescent="0.25">
      <c r="A741" s="38"/>
      <c r="B741" s="39"/>
    </row>
    <row r="742" spans="1:2" ht="15.75" customHeight="1" x14ac:dyDescent="0.25">
      <c r="A742" s="38"/>
      <c r="B742" s="39"/>
    </row>
    <row r="743" spans="1:2" ht="15.75" customHeight="1" x14ac:dyDescent="0.25">
      <c r="A743" s="38"/>
      <c r="B743" s="39"/>
    </row>
    <row r="744" spans="1:2" ht="15.75" customHeight="1" x14ac:dyDescent="0.25">
      <c r="A744" s="38"/>
      <c r="B744" s="39"/>
    </row>
    <row r="745" spans="1:2" ht="15.75" customHeight="1" x14ac:dyDescent="0.25">
      <c r="A745" s="38"/>
      <c r="B745" s="39"/>
    </row>
    <row r="746" spans="1:2" ht="15.75" customHeight="1" x14ac:dyDescent="0.25">
      <c r="A746" s="38"/>
      <c r="B746" s="39"/>
    </row>
    <row r="747" spans="1:2" ht="15.75" customHeight="1" x14ac:dyDescent="0.25">
      <c r="A747" s="38"/>
      <c r="B747" s="39"/>
    </row>
    <row r="748" spans="1:2" ht="15.75" customHeight="1" x14ac:dyDescent="0.25">
      <c r="A748" s="38"/>
      <c r="B748" s="39"/>
    </row>
    <row r="749" spans="1:2" ht="15.75" customHeight="1" x14ac:dyDescent="0.25">
      <c r="A749" s="38"/>
      <c r="B749" s="39"/>
    </row>
    <row r="750" spans="1:2" ht="15.75" customHeight="1" x14ac:dyDescent="0.25">
      <c r="A750" s="38"/>
      <c r="B750" s="39"/>
    </row>
    <row r="751" spans="1:2" ht="15.75" customHeight="1" x14ac:dyDescent="0.25">
      <c r="A751" s="38"/>
      <c r="B751" s="39"/>
    </row>
    <row r="752" spans="1:2" ht="15.75" customHeight="1" x14ac:dyDescent="0.25">
      <c r="A752" s="38"/>
      <c r="B752" s="39"/>
    </row>
    <row r="753" spans="1:2" ht="15.75" customHeight="1" x14ac:dyDescent="0.25">
      <c r="A753" s="38"/>
      <c r="B753" s="39"/>
    </row>
    <row r="754" spans="1:2" ht="15.75" customHeight="1" x14ac:dyDescent="0.25">
      <c r="A754" s="38"/>
      <c r="B754" s="39"/>
    </row>
    <row r="755" spans="1:2" ht="15.75" customHeight="1" x14ac:dyDescent="0.25">
      <c r="A755" s="38"/>
      <c r="B755" s="39"/>
    </row>
    <row r="756" spans="1:2" ht="15.75" customHeight="1" x14ac:dyDescent="0.25">
      <c r="A756" s="38"/>
      <c r="B756" s="39"/>
    </row>
    <row r="757" spans="1:2" ht="15.75" customHeight="1" x14ac:dyDescent="0.25">
      <c r="A757" s="38"/>
      <c r="B757" s="39"/>
    </row>
    <row r="758" spans="1:2" ht="15.75" customHeight="1" x14ac:dyDescent="0.25">
      <c r="A758" s="38"/>
      <c r="B758" s="39"/>
    </row>
    <row r="759" spans="1:2" ht="15.75" customHeight="1" x14ac:dyDescent="0.25">
      <c r="A759" s="38"/>
      <c r="B759" s="39"/>
    </row>
    <row r="760" spans="1:2" ht="15.75" customHeight="1" x14ac:dyDescent="0.25">
      <c r="A760" s="38"/>
      <c r="B760" s="39"/>
    </row>
    <row r="761" spans="1:2" ht="15.75" customHeight="1" x14ac:dyDescent="0.25">
      <c r="A761" s="38"/>
      <c r="B761" s="39"/>
    </row>
    <row r="762" spans="1:2" ht="15.75" customHeight="1" x14ac:dyDescent="0.25">
      <c r="A762" s="38"/>
      <c r="B762" s="39"/>
    </row>
    <row r="763" spans="1:2" ht="15.75" customHeight="1" x14ac:dyDescent="0.25">
      <c r="A763" s="38"/>
      <c r="B763" s="39"/>
    </row>
    <row r="764" spans="1:2" ht="15.75" customHeight="1" x14ac:dyDescent="0.25">
      <c r="A764" s="38"/>
      <c r="B764" s="39"/>
    </row>
    <row r="765" spans="1:2" ht="15.75" customHeight="1" x14ac:dyDescent="0.25">
      <c r="A765" s="38"/>
      <c r="B765" s="39"/>
    </row>
    <row r="766" spans="1:2" ht="15.75" customHeight="1" x14ac:dyDescent="0.25">
      <c r="A766" s="38"/>
      <c r="B766" s="39"/>
    </row>
    <row r="767" spans="1:2" ht="15.75" customHeight="1" x14ac:dyDescent="0.25">
      <c r="A767" s="38"/>
      <c r="B767" s="39"/>
    </row>
    <row r="768" spans="1:2" ht="15.75" customHeight="1" x14ac:dyDescent="0.25">
      <c r="A768" s="38"/>
      <c r="B768" s="39"/>
    </row>
    <row r="769" spans="1:2" ht="15.75" customHeight="1" x14ac:dyDescent="0.25">
      <c r="A769" s="38"/>
      <c r="B769" s="39"/>
    </row>
    <row r="770" spans="1:2" ht="15.75" customHeight="1" x14ac:dyDescent="0.25">
      <c r="A770" s="38"/>
      <c r="B770" s="39"/>
    </row>
    <row r="771" spans="1:2" ht="15.75" customHeight="1" x14ac:dyDescent="0.25">
      <c r="A771" s="38"/>
      <c r="B771" s="39"/>
    </row>
    <row r="772" spans="1:2" ht="15.75" customHeight="1" x14ac:dyDescent="0.25">
      <c r="A772" s="38"/>
      <c r="B772" s="39"/>
    </row>
    <row r="773" spans="1:2" ht="15.75" customHeight="1" x14ac:dyDescent="0.25">
      <c r="A773" s="38"/>
      <c r="B773" s="39"/>
    </row>
    <row r="774" spans="1:2" ht="15.75" customHeight="1" x14ac:dyDescent="0.25">
      <c r="A774" s="38"/>
      <c r="B774" s="39"/>
    </row>
    <row r="775" spans="1:2" ht="15.75" customHeight="1" x14ac:dyDescent="0.25">
      <c r="A775" s="38"/>
      <c r="B775" s="39"/>
    </row>
    <row r="776" spans="1:2" ht="15.75" customHeight="1" x14ac:dyDescent="0.25">
      <c r="A776" s="38"/>
      <c r="B776" s="39"/>
    </row>
    <row r="777" spans="1:2" ht="15.75" customHeight="1" x14ac:dyDescent="0.25">
      <c r="A777" s="38"/>
      <c r="B777" s="39"/>
    </row>
    <row r="778" spans="1:2" ht="15.75" customHeight="1" x14ac:dyDescent="0.25">
      <c r="A778" s="38"/>
      <c r="B778" s="39"/>
    </row>
    <row r="779" spans="1:2" ht="15.75" customHeight="1" x14ac:dyDescent="0.25">
      <c r="A779" s="38"/>
      <c r="B779" s="39"/>
    </row>
    <row r="780" spans="1:2" ht="15.75" customHeight="1" x14ac:dyDescent="0.25">
      <c r="A780" s="38"/>
      <c r="B780" s="39"/>
    </row>
    <row r="781" spans="1:2" ht="15.75" customHeight="1" x14ac:dyDescent="0.25">
      <c r="A781" s="38"/>
      <c r="B781" s="39"/>
    </row>
    <row r="782" spans="1:2" ht="15.75" customHeight="1" x14ac:dyDescent="0.25">
      <c r="A782" s="38"/>
      <c r="B782" s="39"/>
    </row>
    <row r="783" spans="1:2" ht="15.75" customHeight="1" x14ac:dyDescent="0.25">
      <c r="A783" s="38"/>
      <c r="B783" s="39"/>
    </row>
    <row r="784" spans="1:2" ht="15.75" customHeight="1" x14ac:dyDescent="0.25">
      <c r="A784" s="38"/>
      <c r="B784" s="39"/>
    </row>
    <row r="785" spans="1:2" ht="15.75" customHeight="1" x14ac:dyDescent="0.25">
      <c r="A785" s="38"/>
      <c r="B785" s="39"/>
    </row>
    <row r="786" spans="1:2" ht="15.75" customHeight="1" x14ac:dyDescent="0.25">
      <c r="A786" s="38"/>
      <c r="B786" s="39"/>
    </row>
    <row r="787" spans="1:2" ht="15.75" customHeight="1" x14ac:dyDescent="0.25">
      <c r="A787" s="38"/>
      <c r="B787" s="39"/>
    </row>
    <row r="788" spans="1:2" ht="15.75" customHeight="1" x14ac:dyDescent="0.25">
      <c r="A788" s="38"/>
      <c r="B788" s="39"/>
    </row>
    <row r="789" spans="1:2" ht="15.75" customHeight="1" x14ac:dyDescent="0.25">
      <c r="A789" s="38"/>
      <c r="B789" s="39"/>
    </row>
    <row r="790" spans="1:2" ht="15.75" customHeight="1" x14ac:dyDescent="0.25">
      <c r="A790" s="38"/>
      <c r="B790" s="39"/>
    </row>
    <row r="791" spans="1:2" ht="15.75" customHeight="1" x14ac:dyDescent="0.25">
      <c r="A791" s="38"/>
      <c r="B791" s="39"/>
    </row>
    <row r="792" spans="1:2" ht="15.75" customHeight="1" x14ac:dyDescent="0.25">
      <c r="A792" s="38"/>
      <c r="B792" s="39"/>
    </row>
    <row r="793" spans="1:2" ht="15.75" customHeight="1" x14ac:dyDescent="0.25">
      <c r="A793" s="38"/>
      <c r="B793" s="39"/>
    </row>
    <row r="794" spans="1:2" ht="15.75" customHeight="1" x14ac:dyDescent="0.25">
      <c r="A794" s="38"/>
      <c r="B794" s="39"/>
    </row>
    <row r="795" spans="1:2" ht="15.75" customHeight="1" x14ac:dyDescent="0.25">
      <c r="A795" s="38"/>
      <c r="B795" s="39"/>
    </row>
    <row r="796" spans="1:2" ht="15.75" customHeight="1" x14ac:dyDescent="0.25">
      <c r="A796" s="38"/>
      <c r="B796" s="39"/>
    </row>
    <row r="797" spans="1:2" ht="15.75" customHeight="1" x14ac:dyDescent="0.25">
      <c r="A797" s="38"/>
      <c r="B797" s="39"/>
    </row>
    <row r="798" spans="1:2" ht="15.75" customHeight="1" x14ac:dyDescent="0.25">
      <c r="A798" s="38"/>
      <c r="B798" s="39"/>
    </row>
    <row r="799" spans="1:2" ht="15.75" customHeight="1" x14ac:dyDescent="0.25">
      <c r="A799" s="38"/>
      <c r="B799" s="39"/>
    </row>
    <row r="800" spans="1:2" ht="15.75" customHeight="1" x14ac:dyDescent="0.25">
      <c r="A800" s="38"/>
      <c r="B800" s="39"/>
    </row>
    <row r="801" spans="1:2" ht="15.75" customHeight="1" x14ac:dyDescent="0.25">
      <c r="A801" s="38"/>
      <c r="B801" s="39"/>
    </row>
    <row r="802" spans="1:2" ht="15.75" customHeight="1" x14ac:dyDescent="0.25">
      <c r="A802" s="38"/>
      <c r="B802" s="39"/>
    </row>
    <row r="803" spans="1:2" ht="15.75" customHeight="1" x14ac:dyDescent="0.25">
      <c r="A803" s="38"/>
      <c r="B803" s="39"/>
    </row>
    <row r="804" spans="1:2" ht="15.75" customHeight="1" x14ac:dyDescent="0.25">
      <c r="A804" s="38"/>
      <c r="B804" s="39"/>
    </row>
    <row r="805" spans="1:2" ht="15.75" customHeight="1" x14ac:dyDescent="0.25">
      <c r="A805" s="38"/>
      <c r="B805" s="39"/>
    </row>
    <row r="806" spans="1:2" ht="15.75" customHeight="1" x14ac:dyDescent="0.25">
      <c r="A806" s="38"/>
      <c r="B806" s="39"/>
    </row>
    <row r="807" spans="1:2" ht="15.75" customHeight="1" x14ac:dyDescent="0.25">
      <c r="A807" s="38"/>
      <c r="B807" s="39"/>
    </row>
    <row r="808" spans="1:2" ht="15.75" customHeight="1" x14ac:dyDescent="0.25">
      <c r="A808" s="38"/>
      <c r="B808" s="39"/>
    </row>
    <row r="809" spans="1:2" ht="15.75" customHeight="1" x14ac:dyDescent="0.25">
      <c r="A809" s="38"/>
      <c r="B809" s="39"/>
    </row>
    <row r="810" spans="1:2" ht="15.75" customHeight="1" x14ac:dyDescent="0.25">
      <c r="A810" s="38"/>
      <c r="B810" s="39"/>
    </row>
    <row r="811" spans="1:2" ht="15.75" customHeight="1" x14ac:dyDescent="0.25">
      <c r="A811" s="38"/>
      <c r="B811" s="39"/>
    </row>
    <row r="812" spans="1:2" ht="15.75" customHeight="1" x14ac:dyDescent="0.25">
      <c r="A812" s="38"/>
      <c r="B812" s="39"/>
    </row>
    <row r="813" spans="1:2" ht="15.75" customHeight="1" x14ac:dyDescent="0.25">
      <c r="A813" s="38"/>
      <c r="B813" s="39"/>
    </row>
    <row r="814" spans="1:2" ht="15.75" customHeight="1" x14ac:dyDescent="0.25">
      <c r="A814" s="38"/>
      <c r="B814" s="39"/>
    </row>
    <row r="815" spans="1:2" ht="15.75" customHeight="1" x14ac:dyDescent="0.25">
      <c r="A815" s="38"/>
      <c r="B815" s="39"/>
    </row>
    <row r="816" spans="1:2" ht="15.75" customHeight="1" x14ac:dyDescent="0.25">
      <c r="A816" s="38"/>
      <c r="B816" s="39"/>
    </row>
    <row r="817" spans="1:2" ht="15.75" customHeight="1" x14ac:dyDescent="0.25">
      <c r="A817" s="38"/>
      <c r="B817" s="39"/>
    </row>
    <row r="818" spans="1:2" ht="15.75" customHeight="1" x14ac:dyDescent="0.25">
      <c r="A818" s="38"/>
      <c r="B818" s="39"/>
    </row>
    <row r="819" spans="1:2" ht="15.75" customHeight="1" x14ac:dyDescent="0.25">
      <c r="A819" s="38"/>
      <c r="B819" s="39"/>
    </row>
    <row r="820" spans="1:2" ht="15.75" customHeight="1" x14ac:dyDescent="0.25">
      <c r="A820" s="38"/>
      <c r="B820" s="39"/>
    </row>
    <row r="821" spans="1:2" ht="15.75" customHeight="1" x14ac:dyDescent="0.25">
      <c r="A821" s="38"/>
      <c r="B821" s="39"/>
    </row>
    <row r="822" spans="1:2" ht="15.75" customHeight="1" x14ac:dyDescent="0.25">
      <c r="A822" s="38"/>
      <c r="B822" s="39"/>
    </row>
    <row r="823" spans="1:2" ht="15.75" customHeight="1" x14ac:dyDescent="0.25">
      <c r="A823" s="38"/>
      <c r="B823" s="39"/>
    </row>
    <row r="824" spans="1:2" ht="15.75" customHeight="1" x14ac:dyDescent="0.25">
      <c r="A824" s="38"/>
      <c r="B824" s="39"/>
    </row>
    <row r="825" spans="1:2" ht="15.75" customHeight="1" x14ac:dyDescent="0.25">
      <c r="A825" s="38"/>
      <c r="B825" s="39"/>
    </row>
    <row r="826" spans="1:2" ht="15.75" customHeight="1" x14ac:dyDescent="0.25">
      <c r="A826" s="38"/>
      <c r="B826" s="39"/>
    </row>
    <row r="827" spans="1:2" ht="15.75" customHeight="1" x14ac:dyDescent="0.25">
      <c r="A827" s="38"/>
      <c r="B827" s="39"/>
    </row>
    <row r="828" spans="1:2" ht="15.75" customHeight="1" x14ac:dyDescent="0.25">
      <c r="A828" s="38"/>
      <c r="B828" s="39"/>
    </row>
    <row r="829" spans="1:2" ht="15.75" customHeight="1" x14ac:dyDescent="0.25">
      <c r="A829" s="38"/>
      <c r="B829" s="39"/>
    </row>
    <row r="830" spans="1:2" ht="15.75" customHeight="1" x14ac:dyDescent="0.25">
      <c r="A830" s="38"/>
      <c r="B830" s="39"/>
    </row>
    <row r="831" spans="1:2" ht="15.75" customHeight="1" x14ac:dyDescent="0.25">
      <c r="A831" s="38"/>
      <c r="B831" s="39"/>
    </row>
    <row r="832" spans="1:2" ht="15.75" customHeight="1" x14ac:dyDescent="0.25">
      <c r="A832" s="38"/>
      <c r="B832" s="39"/>
    </row>
    <row r="833" spans="1:2" ht="15.75" customHeight="1" x14ac:dyDescent="0.25">
      <c r="A833" s="38"/>
      <c r="B833" s="39"/>
    </row>
    <row r="834" spans="1:2" ht="15.75" customHeight="1" x14ac:dyDescent="0.25">
      <c r="A834" s="38"/>
      <c r="B834" s="39"/>
    </row>
    <row r="835" spans="1:2" ht="15.75" customHeight="1" x14ac:dyDescent="0.25">
      <c r="A835" s="38"/>
      <c r="B835" s="39"/>
    </row>
    <row r="836" spans="1:2" ht="15.75" customHeight="1" x14ac:dyDescent="0.25">
      <c r="A836" s="38"/>
      <c r="B836" s="39"/>
    </row>
    <row r="837" spans="1:2" ht="15.75" customHeight="1" x14ac:dyDescent="0.25">
      <c r="A837" s="38"/>
      <c r="B837" s="39"/>
    </row>
    <row r="838" spans="1:2" ht="15.75" customHeight="1" x14ac:dyDescent="0.25">
      <c r="A838" s="38"/>
      <c r="B838" s="39"/>
    </row>
    <row r="839" spans="1:2" ht="15.75" customHeight="1" x14ac:dyDescent="0.25">
      <c r="A839" s="38"/>
      <c r="B839" s="39"/>
    </row>
    <row r="840" spans="1:2" ht="15.75" customHeight="1" x14ac:dyDescent="0.25">
      <c r="A840" s="38"/>
      <c r="B840" s="39"/>
    </row>
    <row r="841" spans="1:2" ht="15.75" customHeight="1" x14ac:dyDescent="0.25">
      <c r="A841" s="38"/>
      <c r="B841" s="39"/>
    </row>
    <row r="842" spans="1:2" ht="15.75" customHeight="1" x14ac:dyDescent="0.25">
      <c r="A842" s="38"/>
      <c r="B842" s="39"/>
    </row>
    <row r="843" spans="1:2" ht="15.75" customHeight="1" x14ac:dyDescent="0.25">
      <c r="A843" s="38"/>
      <c r="B843" s="39"/>
    </row>
    <row r="844" spans="1:2" ht="15.75" customHeight="1" x14ac:dyDescent="0.25">
      <c r="A844" s="38"/>
      <c r="B844" s="39"/>
    </row>
    <row r="845" spans="1:2" ht="15.75" customHeight="1" x14ac:dyDescent="0.25">
      <c r="A845" s="38"/>
      <c r="B845" s="39"/>
    </row>
    <row r="846" spans="1:2" ht="15.75" customHeight="1" x14ac:dyDescent="0.25">
      <c r="A846" s="38"/>
      <c r="B846" s="39"/>
    </row>
    <row r="847" spans="1:2" ht="15.75" customHeight="1" x14ac:dyDescent="0.25">
      <c r="A847" s="38"/>
      <c r="B847" s="39"/>
    </row>
    <row r="848" spans="1:2" ht="15.75" customHeight="1" x14ac:dyDescent="0.25">
      <c r="A848" s="38"/>
      <c r="B848" s="39"/>
    </row>
    <row r="849" spans="1:2" ht="15.75" customHeight="1" x14ac:dyDescent="0.25">
      <c r="A849" s="38"/>
      <c r="B849" s="39"/>
    </row>
    <row r="850" spans="1:2" ht="15.75" customHeight="1" x14ac:dyDescent="0.25">
      <c r="A850" s="38"/>
      <c r="B850" s="39"/>
    </row>
    <row r="851" spans="1:2" ht="15.75" customHeight="1" x14ac:dyDescent="0.25">
      <c r="A851" s="38"/>
      <c r="B851" s="39"/>
    </row>
    <row r="852" spans="1:2" ht="15.75" customHeight="1" x14ac:dyDescent="0.25">
      <c r="A852" s="38"/>
      <c r="B852" s="39"/>
    </row>
    <row r="853" spans="1:2" ht="15.75" customHeight="1" x14ac:dyDescent="0.25">
      <c r="A853" s="38"/>
      <c r="B853" s="39"/>
    </row>
    <row r="854" spans="1:2" ht="15.75" customHeight="1" x14ac:dyDescent="0.25">
      <c r="A854" s="38"/>
      <c r="B854" s="39"/>
    </row>
    <row r="855" spans="1:2" ht="15.75" customHeight="1" x14ac:dyDescent="0.25">
      <c r="A855" s="38"/>
      <c r="B855" s="39"/>
    </row>
    <row r="856" spans="1:2" ht="15.75" customHeight="1" x14ac:dyDescent="0.25">
      <c r="A856" s="38"/>
      <c r="B856" s="39"/>
    </row>
    <row r="857" spans="1:2" ht="15.75" customHeight="1" x14ac:dyDescent="0.25">
      <c r="A857" s="38"/>
      <c r="B857" s="39"/>
    </row>
    <row r="858" spans="1:2" ht="15.75" customHeight="1" x14ac:dyDescent="0.25">
      <c r="A858" s="38"/>
      <c r="B858" s="39"/>
    </row>
    <row r="859" spans="1:2" ht="15.75" customHeight="1" x14ac:dyDescent="0.25">
      <c r="A859" s="38"/>
      <c r="B859" s="39"/>
    </row>
    <row r="860" spans="1:2" ht="15.75" customHeight="1" x14ac:dyDescent="0.25">
      <c r="A860" s="38"/>
      <c r="B860" s="39"/>
    </row>
    <row r="861" spans="1:2" ht="15.75" customHeight="1" x14ac:dyDescent="0.25">
      <c r="A861" s="38"/>
      <c r="B861" s="39"/>
    </row>
    <row r="862" spans="1:2" ht="15.75" customHeight="1" x14ac:dyDescent="0.25">
      <c r="A862" s="38"/>
      <c r="B862" s="39"/>
    </row>
    <row r="863" spans="1:2" ht="15.75" customHeight="1" x14ac:dyDescent="0.25">
      <c r="A863" s="38"/>
      <c r="B863" s="39"/>
    </row>
    <row r="864" spans="1:2" ht="15.75" customHeight="1" x14ac:dyDescent="0.25">
      <c r="A864" s="38"/>
      <c r="B864" s="39"/>
    </row>
    <row r="865" spans="1:2" ht="15.75" customHeight="1" x14ac:dyDescent="0.25">
      <c r="A865" s="38"/>
      <c r="B865" s="39"/>
    </row>
    <row r="866" spans="1:2" ht="15.75" customHeight="1" x14ac:dyDescent="0.25">
      <c r="A866" s="38"/>
      <c r="B866" s="39"/>
    </row>
    <row r="867" spans="1:2" ht="15.75" customHeight="1" x14ac:dyDescent="0.25">
      <c r="A867" s="38"/>
      <c r="B867" s="39"/>
    </row>
    <row r="868" spans="1:2" ht="15.75" customHeight="1" x14ac:dyDescent="0.25">
      <c r="A868" s="38"/>
      <c r="B868" s="39"/>
    </row>
    <row r="869" spans="1:2" ht="15.75" customHeight="1" x14ac:dyDescent="0.25">
      <c r="A869" s="38"/>
      <c r="B869" s="39"/>
    </row>
    <row r="870" spans="1:2" ht="15.75" customHeight="1" x14ac:dyDescent="0.25">
      <c r="A870" s="38"/>
      <c r="B870" s="39"/>
    </row>
    <row r="871" spans="1:2" ht="15.75" customHeight="1" x14ac:dyDescent="0.25">
      <c r="A871" s="38"/>
      <c r="B871" s="39"/>
    </row>
    <row r="872" spans="1:2" ht="15.75" customHeight="1" x14ac:dyDescent="0.25">
      <c r="A872" s="38"/>
      <c r="B872" s="39"/>
    </row>
    <row r="873" spans="1:2" ht="15.75" customHeight="1" x14ac:dyDescent="0.25">
      <c r="A873" s="38"/>
      <c r="B873" s="39"/>
    </row>
    <row r="874" spans="1:2" ht="15.75" customHeight="1" x14ac:dyDescent="0.25">
      <c r="A874" s="38"/>
      <c r="B874" s="39"/>
    </row>
    <row r="875" spans="1:2" ht="15.75" customHeight="1" x14ac:dyDescent="0.25">
      <c r="A875" s="38"/>
      <c r="B875" s="39"/>
    </row>
    <row r="876" spans="1:2" ht="15.75" customHeight="1" x14ac:dyDescent="0.25">
      <c r="A876" s="38"/>
      <c r="B876" s="39"/>
    </row>
    <row r="877" spans="1:2" ht="15.75" customHeight="1" x14ac:dyDescent="0.25">
      <c r="A877" s="38"/>
      <c r="B877" s="39"/>
    </row>
    <row r="878" spans="1:2" ht="15.75" customHeight="1" x14ac:dyDescent="0.25">
      <c r="A878" s="38"/>
      <c r="B878" s="39"/>
    </row>
    <row r="879" spans="1:2" ht="15.75" customHeight="1" x14ac:dyDescent="0.25">
      <c r="A879" s="38"/>
      <c r="B879" s="39"/>
    </row>
    <row r="880" spans="1:2" ht="15.75" customHeight="1" x14ac:dyDescent="0.25">
      <c r="A880" s="38"/>
      <c r="B880" s="39"/>
    </row>
    <row r="881" spans="1:2" ht="15.75" customHeight="1" x14ac:dyDescent="0.25">
      <c r="A881" s="38"/>
      <c r="B881" s="39"/>
    </row>
    <row r="882" spans="1:2" ht="15.75" customHeight="1" x14ac:dyDescent="0.25">
      <c r="A882" s="38"/>
      <c r="B882" s="39"/>
    </row>
    <row r="883" spans="1:2" ht="15.75" customHeight="1" x14ac:dyDescent="0.25">
      <c r="A883" s="38"/>
      <c r="B883" s="39"/>
    </row>
    <row r="884" spans="1:2" ht="15.75" customHeight="1" x14ac:dyDescent="0.25">
      <c r="A884" s="38"/>
      <c r="B884" s="39"/>
    </row>
    <row r="885" spans="1:2" ht="15.75" customHeight="1" x14ac:dyDescent="0.25">
      <c r="A885" s="38"/>
      <c r="B885" s="39"/>
    </row>
    <row r="886" spans="1:2" ht="15.75" customHeight="1" x14ac:dyDescent="0.25">
      <c r="A886" s="38"/>
      <c r="B886" s="39"/>
    </row>
    <row r="887" spans="1:2" ht="15.75" customHeight="1" x14ac:dyDescent="0.25">
      <c r="A887" s="38"/>
      <c r="B887" s="39"/>
    </row>
    <row r="888" spans="1:2" ht="15.75" customHeight="1" x14ac:dyDescent="0.25">
      <c r="A888" s="38"/>
      <c r="B888" s="39"/>
    </row>
    <row r="889" spans="1:2" ht="15.75" customHeight="1" x14ac:dyDescent="0.25">
      <c r="A889" s="38"/>
      <c r="B889" s="39"/>
    </row>
    <row r="890" spans="1:2" ht="15.75" customHeight="1" x14ac:dyDescent="0.25">
      <c r="A890" s="38"/>
      <c r="B890" s="39"/>
    </row>
    <row r="891" spans="1:2" ht="15.75" customHeight="1" x14ac:dyDescent="0.25">
      <c r="A891" s="38"/>
      <c r="B891" s="39"/>
    </row>
    <row r="892" spans="1:2" ht="15.75" customHeight="1" x14ac:dyDescent="0.25">
      <c r="A892" s="38"/>
      <c r="B892" s="39"/>
    </row>
    <row r="893" spans="1:2" ht="15.75" customHeight="1" x14ac:dyDescent="0.25">
      <c r="A893" s="38"/>
      <c r="B893" s="39"/>
    </row>
    <row r="894" spans="1:2" ht="15.75" customHeight="1" x14ac:dyDescent="0.25">
      <c r="A894" s="38"/>
      <c r="B894" s="39"/>
    </row>
    <row r="895" spans="1:2" ht="15.75" customHeight="1" x14ac:dyDescent="0.25">
      <c r="A895" s="38"/>
      <c r="B895" s="39"/>
    </row>
    <row r="896" spans="1:2" ht="15.75" customHeight="1" x14ac:dyDescent="0.25">
      <c r="A896" s="38"/>
      <c r="B896" s="39"/>
    </row>
    <row r="897" spans="1:2" ht="15.75" customHeight="1" x14ac:dyDescent="0.25">
      <c r="A897" s="38"/>
      <c r="B897" s="39"/>
    </row>
    <row r="898" spans="1:2" ht="15.75" customHeight="1" x14ac:dyDescent="0.25">
      <c r="A898" s="38"/>
      <c r="B898" s="39"/>
    </row>
    <row r="899" spans="1:2" ht="15.75" customHeight="1" x14ac:dyDescent="0.25">
      <c r="A899" s="38"/>
      <c r="B899" s="39"/>
    </row>
    <row r="900" spans="1:2" ht="15.75" customHeight="1" x14ac:dyDescent="0.25">
      <c r="A900" s="38"/>
      <c r="B900" s="39"/>
    </row>
    <row r="901" spans="1:2" ht="15.75" customHeight="1" x14ac:dyDescent="0.25">
      <c r="A901" s="38"/>
      <c r="B901" s="39"/>
    </row>
    <row r="902" spans="1:2" ht="15.75" customHeight="1" x14ac:dyDescent="0.25">
      <c r="A902" s="38"/>
      <c r="B902" s="39"/>
    </row>
    <row r="903" spans="1:2" ht="15.75" customHeight="1" x14ac:dyDescent="0.25">
      <c r="A903" s="38"/>
      <c r="B903" s="39"/>
    </row>
    <row r="904" spans="1:2" ht="15.75" customHeight="1" x14ac:dyDescent="0.25">
      <c r="A904" s="38"/>
      <c r="B904" s="39"/>
    </row>
    <row r="905" spans="1:2" ht="15.75" customHeight="1" x14ac:dyDescent="0.25">
      <c r="A905" s="38"/>
      <c r="B905" s="39"/>
    </row>
    <row r="906" spans="1:2" ht="15.75" customHeight="1" x14ac:dyDescent="0.25">
      <c r="A906" s="38"/>
      <c r="B906" s="39"/>
    </row>
    <row r="907" spans="1:2" ht="15.75" customHeight="1" x14ac:dyDescent="0.25">
      <c r="A907" s="38"/>
      <c r="B907" s="39"/>
    </row>
    <row r="908" spans="1:2" ht="15.75" customHeight="1" x14ac:dyDescent="0.25">
      <c r="A908" s="38"/>
      <c r="B908" s="39"/>
    </row>
    <row r="909" spans="1:2" ht="15.75" customHeight="1" x14ac:dyDescent="0.25">
      <c r="A909" s="38"/>
      <c r="B909" s="39"/>
    </row>
    <row r="910" spans="1:2" ht="15.75" customHeight="1" x14ac:dyDescent="0.25">
      <c r="A910" s="38"/>
      <c r="B910" s="39"/>
    </row>
    <row r="911" spans="1:2" ht="15.75" customHeight="1" x14ac:dyDescent="0.25">
      <c r="A911" s="38"/>
      <c r="B911" s="39"/>
    </row>
    <row r="912" spans="1:2" ht="15.75" customHeight="1" x14ac:dyDescent="0.25">
      <c r="A912" s="38"/>
      <c r="B912" s="39"/>
    </row>
    <row r="913" spans="1:2" ht="15.75" customHeight="1" x14ac:dyDescent="0.25">
      <c r="A913" s="38"/>
      <c r="B913" s="39"/>
    </row>
    <row r="914" spans="1:2" ht="15.75" customHeight="1" x14ac:dyDescent="0.25">
      <c r="A914" s="38"/>
      <c r="B914" s="39"/>
    </row>
    <row r="915" spans="1:2" ht="15.75" customHeight="1" x14ac:dyDescent="0.25">
      <c r="A915" s="38"/>
      <c r="B915" s="39"/>
    </row>
    <row r="916" spans="1:2" ht="15.75" customHeight="1" x14ac:dyDescent="0.25">
      <c r="A916" s="38"/>
      <c r="B916" s="39"/>
    </row>
    <row r="917" spans="1:2" ht="15.75" customHeight="1" x14ac:dyDescent="0.25">
      <c r="A917" s="38"/>
      <c r="B917" s="39"/>
    </row>
    <row r="918" spans="1:2" ht="15.75" customHeight="1" x14ac:dyDescent="0.25">
      <c r="A918" s="38"/>
      <c r="B918" s="39"/>
    </row>
    <row r="919" spans="1:2" ht="15.75" customHeight="1" x14ac:dyDescent="0.25">
      <c r="A919" s="38"/>
      <c r="B919" s="39"/>
    </row>
    <row r="920" spans="1:2" ht="15.75" customHeight="1" x14ac:dyDescent="0.25">
      <c r="A920" s="38"/>
      <c r="B920" s="39"/>
    </row>
    <row r="921" spans="1:2" ht="15.75" customHeight="1" x14ac:dyDescent="0.25">
      <c r="A921" s="38"/>
      <c r="B921" s="39"/>
    </row>
    <row r="922" spans="1:2" ht="15.75" customHeight="1" x14ac:dyDescent="0.25">
      <c r="A922" s="38"/>
      <c r="B922" s="39"/>
    </row>
    <row r="923" spans="1:2" ht="15.75" customHeight="1" x14ac:dyDescent="0.25">
      <c r="A923" s="38"/>
      <c r="B923" s="39"/>
    </row>
    <row r="924" spans="1:2" ht="15.75" customHeight="1" x14ac:dyDescent="0.25">
      <c r="A924" s="38"/>
      <c r="B924" s="39"/>
    </row>
    <row r="925" spans="1:2" ht="15.75" customHeight="1" x14ac:dyDescent="0.25">
      <c r="A925" s="38"/>
      <c r="B925" s="39"/>
    </row>
    <row r="926" spans="1:2" ht="15.75" customHeight="1" x14ac:dyDescent="0.25">
      <c r="A926" s="38"/>
      <c r="B926" s="39"/>
    </row>
    <row r="927" spans="1:2" ht="15.75" customHeight="1" x14ac:dyDescent="0.25">
      <c r="A927" s="38"/>
      <c r="B927" s="39"/>
    </row>
    <row r="928" spans="1:2" ht="15.75" customHeight="1" x14ac:dyDescent="0.25">
      <c r="A928" s="38"/>
      <c r="B928" s="39"/>
    </row>
    <row r="929" spans="1:2" ht="15.75" customHeight="1" x14ac:dyDescent="0.25">
      <c r="A929" s="38"/>
      <c r="B929" s="39"/>
    </row>
    <row r="930" spans="1:2" ht="15.75" customHeight="1" x14ac:dyDescent="0.25">
      <c r="A930" s="38"/>
      <c r="B930" s="39"/>
    </row>
    <row r="931" spans="1:2" ht="15.75" customHeight="1" x14ac:dyDescent="0.25">
      <c r="A931" s="38"/>
      <c r="B931" s="39"/>
    </row>
    <row r="932" spans="1:2" ht="15.75" customHeight="1" x14ac:dyDescent="0.25">
      <c r="A932" s="38"/>
      <c r="B932" s="39"/>
    </row>
    <row r="933" spans="1:2" ht="15.75" customHeight="1" x14ac:dyDescent="0.25">
      <c r="A933" s="38"/>
      <c r="B933" s="39"/>
    </row>
    <row r="934" spans="1:2" ht="15.75" customHeight="1" x14ac:dyDescent="0.25">
      <c r="A934" s="38"/>
      <c r="B934" s="39"/>
    </row>
    <row r="935" spans="1:2" ht="15.75" customHeight="1" x14ac:dyDescent="0.25">
      <c r="A935" s="38"/>
      <c r="B935" s="39"/>
    </row>
    <row r="936" spans="1:2" ht="15.75" customHeight="1" x14ac:dyDescent="0.25">
      <c r="A936" s="38"/>
      <c r="B936" s="39"/>
    </row>
    <row r="937" spans="1:2" ht="15.75" customHeight="1" x14ac:dyDescent="0.25">
      <c r="A937" s="38"/>
      <c r="B937" s="39"/>
    </row>
    <row r="938" spans="1:2" ht="15.75" customHeight="1" x14ac:dyDescent="0.25">
      <c r="A938" s="38"/>
      <c r="B938" s="39"/>
    </row>
    <row r="939" spans="1:2" ht="15.75" customHeight="1" x14ac:dyDescent="0.25">
      <c r="A939" s="38"/>
      <c r="B939" s="39"/>
    </row>
    <row r="940" spans="1:2" ht="15.75" customHeight="1" x14ac:dyDescent="0.25">
      <c r="A940" s="38"/>
      <c r="B940" s="39"/>
    </row>
    <row r="941" spans="1:2" ht="15.75" customHeight="1" x14ac:dyDescent="0.25">
      <c r="A941" s="38"/>
      <c r="B941" s="39"/>
    </row>
    <row r="942" spans="1:2" ht="15.75" customHeight="1" x14ac:dyDescent="0.25">
      <c r="A942" s="38"/>
      <c r="B942" s="39"/>
    </row>
    <row r="943" spans="1:2" ht="15.75" customHeight="1" x14ac:dyDescent="0.25">
      <c r="A943" s="38"/>
      <c r="B943" s="39"/>
    </row>
    <row r="944" spans="1:2" ht="15.75" customHeight="1" x14ac:dyDescent="0.25">
      <c r="A944" s="38"/>
      <c r="B944" s="39"/>
    </row>
    <row r="945" spans="1:2" ht="15.75" customHeight="1" x14ac:dyDescent="0.25">
      <c r="A945" s="38"/>
      <c r="B945" s="39"/>
    </row>
    <row r="946" spans="1:2" ht="15.75" customHeight="1" x14ac:dyDescent="0.25">
      <c r="A946" s="38"/>
      <c r="B946" s="39"/>
    </row>
    <row r="947" spans="1:2" ht="15.75" customHeight="1" x14ac:dyDescent="0.25">
      <c r="A947" s="38"/>
      <c r="B947" s="39"/>
    </row>
    <row r="948" spans="1:2" ht="15.75" customHeight="1" x14ac:dyDescent="0.25">
      <c r="A948" s="38"/>
      <c r="B948" s="39"/>
    </row>
    <row r="949" spans="1:2" ht="15.75" customHeight="1" x14ac:dyDescent="0.25">
      <c r="A949" s="38"/>
      <c r="B949" s="39"/>
    </row>
    <row r="950" spans="1:2" ht="15.75" customHeight="1" x14ac:dyDescent="0.25">
      <c r="A950" s="38"/>
      <c r="B950" s="39"/>
    </row>
    <row r="951" spans="1:2" ht="15.75" customHeight="1" x14ac:dyDescent="0.25">
      <c r="A951" s="38"/>
      <c r="B951" s="39"/>
    </row>
    <row r="952" spans="1:2" ht="15.75" customHeight="1" x14ac:dyDescent="0.25">
      <c r="A952" s="38"/>
      <c r="B952" s="39"/>
    </row>
    <row r="953" spans="1:2" ht="15.75" customHeight="1" x14ac:dyDescent="0.25">
      <c r="A953" s="38"/>
      <c r="B953" s="39"/>
    </row>
    <row r="954" spans="1:2" ht="15.75" customHeight="1" x14ac:dyDescent="0.25">
      <c r="A954" s="38"/>
      <c r="B954" s="39"/>
    </row>
    <row r="955" spans="1:2" ht="15.75" customHeight="1" x14ac:dyDescent="0.25">
      <c r="A955" s="38"/>
      <c r="B955" s="39"/>
    </row>
    <row r="956" spans="1:2" ht="15.75" customHeight="1" x14ac:dyDescent="0.25">
      <c r="A956" s="38"/>
      <c r="B956" s="39"/>
    </row>
    <row r="957" spans="1:2" ht="15.75" customHeight="1" x14ac:dyDescent="0.25">
      <c r="A957" s="38"/>
      <c r="B957" s="39"/>
    </row>
    <row r="958" spans="1:2" ht="15.75" customHeight="1" x14ac:dyDescent="0.25">
      <c r="A958" s="38"/>
      <c r="B958" s="39"/>
    </row>
    <row r="959" spans="1:2" ht="15.75" customHeight="1" x14ac:dyDescent="0.25">
      <c r="A959" s="38"/>
      <c r="B959" s="39"/>
    </row>
    <row r="960" spans="1:2" ht="15.75" customHeight="1" x14ac:dyDescent="0.25">
      <c r="A960" s="38"/>
      <c r="B960" s="39"/>
    </row>
    <row r="961" spans="1:2" ht="15.75" customHeight="1" x14ac:dyDescent="0.25">
      <c r="A961" s="38"/>
      <c r="B961" s="39"/>
    </row>
    <row r="962" spans="1:2" ht="15.75" customHeight="1" x14ac:dyDescent="0.25">
      <c r="A962" s="38"/>
      <c r="B962" s="39"/>
    </row>
    <row r="963" spans="1:2" ht="15.75" customHeight="1" x14ac:dyDescent="0.25">
      <c r="A963" s="38"/>
      <c r="B963" s="39"/>
    </row>
    <row r="964" spans="1:2" ht="15.75" customHeight="1" x14ac:dyDescent="0.25">
      <c r="A964" s="38"/>
      <c r="B964" s="39"/>
    </row>
    <row r="965" spans="1:2" ht="15.75" customHeight="1" x14ac:dyDescent="0.25">
      <c r="A965" s="38"/>
      <c r="B965" s="39"/>
    </row>
    <row r="966" spans="1:2" ht="15.75" customHeight="1" x14ac:dyDescent="0.25">
      <c r="A966" s="38"/>
      <c r="B966" s="39"/>
    </row>
    <row r="967" spans="1:2" ht="15.75" customHeight="1" x14ac:dyDescent="0.25">
      <c r="A967" s="38"/>
      <c r="B967" s="39"/>
    </row>
    <row r="968" spans="1:2" ht="15.75" customHeight="1" x14ac:dyDescent="0.25">
      <c r="A968" s="38"/>
      <c r="B968" s="39"/>
    </row>
    <row r="969" spans="1:2" ht="15.75" customHeight="1" x14ac:dyDescent="0.25">
      <c r="A969" s="38"/>
      <c r="B969" s="39"/>
    </row>
    <row r="970" spans="1:2" ht="15.75" customHeight="1" x14ac:dyDescent="0.25">
      <c r="A970" s="38"/>
      <c r="B970" s="39"/>
    </row>
    <row r="971" spans="1:2" ht="15.75" customHeight="1" x14ac:dyDescent="0.25">
      <c r="A971" s="38"/>
      <c r="B971" s="39"/>
    </row>
    <row r="972" spans="1:2" ht="15.75" customHeight="1" x14ac:dyDescent="0.25">
      <c r="A972" s="38"/>
      <c r="B972" s="39"/>
    </row>
    <row r="973" spans="1:2" ht="15.75" customHeight="1" x14ac:dyDescent="0.25">
      <c r="A973" s="38"/>
      <c r="B973" s="39"/>
    </row>
    <row r="974" spans="1:2" ht="15.75" customHeight="1" x14ac:dyDescent="0.25">
      <c r="A974" s="38"/>
      <c r="B974" s="39"/>
    </row>
    <row r="975" spans="1:2" ht="15.75" customHeight="1" x14ac:dyDescent="0.25">
      <c r="A975" s="38"/>
      <c r="B975" s="39"/>
    </row>
    <row r="976" spans="1:2" ht="15.75" customHeight="1" x14ac:dyDescent="0.25">
      <c r="A976" s="38"/>
      <c r="B976" s="39"/>
    </row>
    <row r="977" spans="1:2" ht="15.75" customHeight="1" x14ac:dyDescent="0.25">
      <c r="A977" s="38"/>
      <c r="B977" s="39"/>
    </row>
    <row r="978" spans="1:2" ht="15.75" customHeight="1" x14ac:dyDescent="0.25">
      <c r="A978" s="38"/>
      <c r="B978" s="39"/>
    </row>
    <row r="979" spans="1:2" ht="15.75" customHeight="1" x14ac:dyDescent="0.25">
      <c r="A979" s="38"/>
      <c r="B979" s="39"/>
    </row>
    <row r="980" spans="1:2" ht="15.75" customHeight="1" x14ac:dyDescent="0.25">
      <c r="A980" s="38"/>
      <c r="B980" s="39"/>
    </row>
    <row r="981" spans="1:2" ht="15.75" customHeight="1" x14ac:dyDescent="0.25">
      <c r="A981" s="38"/>
      <c r="B981" s="39"/>
    </row>
    <row r="982" spans="1:2" ht="15.75" customHeight="1" x14ac:dyDescent="0.25">
      <c r="A982" s="38"/>
      <c r="B982" s="39"/>
    </row>
    <row r="983" spans="1:2" ht="15.75" customHeight="1" x14ac:dyDescent="0.25">
      <c r="A983" s="38"/>
      <c r="B983" s="39"/>
    </row>
    <row r="984" spans="1:2" ht="15.75" customHeight="1" x14ac:dyDescent="0.25">
      <c r="A984" s="38"/>
      <c r="B984" s="39"/>
    </row>
    <row r="985" spans="1:2" ht="15.75" customHeight="1" x14ac:dyDescent="0.25">
      <c r="A985" s="38"/>
      <c r="B985" s="39"/>
    </row>
    <row r="986" spans="1:2" ht="15.75" customHeight="1" x14ac:dyDescent="0.25">
      <c r="A986" s="38"/>
      <c r="B986" s="39"/>
    </row>
    <row r="987" spans="1:2" ht="15.75" customHeight="1" x14ac:dyDescent="0.25">
      <c r="A987" s="38"/>
      <c r="B987" s="39"/>
    </row>
    <row r="988" spans="1:2" ht="15.75" customHeight="1" x14ac:dyDescent="0.25">
      <c r="A988" s="38"/>
      <c r="B988" s="39"/>
    </row>
    <row r="989" spans="1:2" ht="15.75" customHeight="1" x14ac:dyDescent="0.25">
      <c r="A989" s="38"/>
      <c r="B989" s="39"/>
    </row>
    <row r="990" spans="1:2" ht="15.75" customHeight="1" x14ac:dyDescent="0.25">
      <c r="A990" s="38"/>
      <c r="B990" s="39"/>
    </row>
    <row r="991" spans="1:2" ht="15.75" customHeight="1" x14ac:dyDescent="0.25">
      <c r="A991" s="38"/>
      <c r="B991" s="39"/>
    </row>
    <row r="992" spans="1:2" ht="15.75" customHeight="1" x14ac:dyDescent="0.25">
      <c r="A992" s="38"/>
      <c r="B992" s="39"/>
    </row>
    <row r="993" spans="1:2" ht="15.75" customHeight="1" x14ac:dyDescent="0.25">
      <c r="A993" s="38"/>
      <c r="B993" s="39"/>
    </row>
    <row r="994" spans="1:2" ht="15.75" customHeight="1" x14ac:dyDescent="0.25">
      <c r="A994" s="38"/>
      <c r="B994" s="39"/>
    </row>
    <row r="995" spans="1:2" ht="15.75" customHeight="1" x14ac:dyDescent="0.25">
      <c r="A995" s="38"/>
      <c r="B995" s="39"/>
    </row>
    <row r="996" spans="1:2" ht="15.75" customHeight="1" x14ac:dyDescent="0.25">
      <c r="A996" s="38"/>
      <c r="B996" s="39"/>
    </row>
    <row r="997" spans="1:2" ht="15.75" customHeight="1" x14ac:dyDescent="0.25">
      <c r="A997" s="38"/>
      <c r="B997" s="39"/>
    </row>
    <row r="998" spans="1:2" ht="15.75" customHeight="1" x14ac:dyDescent="0.25">
      <c r="A998" s="38"/>
      <c r="B998" s="39"/>
    </row>
    <row r="999" spans="1:2" ht="15.75" customHeight="1" x14ac:dyDescent="0.25">
      <c r="A999" s="38"/>
      <c r="B999" s="39"/>
    </row>
    <row r="1000" spans="1:2" ht="15.75" customHeight="1" x14ac:dyDescent="0.25">
      <c r="A1000" s="38"/>
      <c r="B1000" s="39"/>
    </row>
  </sheetData>
  <mergeCells count="2">
    <mergeCell ref="A1:B1"/>
    <mergeCell ref="A2:B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4FD2F-3D76-0748-84B6-FC6DD29031FC}">
  <dimension ref="A1:N75"/>
  <sheetViews>
    <sheetView zoomScale="150" zoomScaleNormal="150" workbookViewId="0">
      <selection activeCell="C4" sqref="C4:N36"/>
    </sheetView>
  </sheetViews>
  <sheetFormatPr baseColWidth="10" defaultRowHeight="15" x14ac:dyDescent="0.25"/>
  <cols>
    <col min="1" max="1" width="48.42578125" bestFit="1" customWidth="1"/>
    <col min="2" max="2" width="12.140625" bestFit="1" customWidth="1"/>
  </cols>
  <sheetData>
    <row r="1" spans="1:14" x14ac:dyDescent="0.25">
      <c r="A1" s="127"/>
      <c r="B1" s="128"/>
      <c r="C1" s="25"/>
    </row>
    <row r="2" spans="1:14" x14ac:dyDescent="0.25">
      <c r="A2" s="127" t="s">
        <v>1194</v>
      </c>
      <c r="B2" s="129"/>
      <c r="C2" s="25"/>
    </row>
    <row r="3" spans="1:14" x14ac:dyDescent="0.25">
      <c r="A3" s="26"/>
      <c r="B3" s="27"/>
      <c r="C3" s="25"/>
    </row>
    <row r="4" spans="1:14" x14ac:dyDescent="0.25">
      <c r="A4" s="28"/>
      <c r="B4" s="29" t="s">
        <v>1195</v>
      </c>
      <c r="C4" s="48" t="s">
        <v>1241</v>
      </c>
      <c r="D4" s="30" t="s">
        <v>1242</v>
      </c>
      <c r="E4" s="30" t="s">
        <v>1243</v>
      </c>
      <c r="F4" s="30" t="s">
        <v>1244</v>
      </c>
      <c r="G4" s="30" t="s">
        <v>1245</v>
      </c>
      <c r="H4" s="30" t="s">
        <v>1246</v>
      </c>
      <c r="I4" s="30" t="s">
        <v>1247</v>
      </c>
      <c r="J4" s="30" t="s">
        <v>1248</v>
      </c>
      <c r="K4" s="30" t="s">
        <v>1249</v>
      </c>
      <c r="L4" s="30" t="s">
        <v>1250</v>
      </c>
      <c r="M4" s="52" t="s">
        <v>1251</v>
      </c>
      <c r="N4" s="52" t="s">
        <v>1252</v>
      </c>
    </row>
    <row r="5" spans="1:14" x14ac:dyDescent="0.25">
      <c r="A5" s="32"/>
      <c r="B5" s="33"/>
      <c r="C5" s="49"/>
      <c r="D5" s="25"/>
      <c r="E5" s="25"/>
      <c r="F5" s="25"/>
      <c r="G5" s="25"/>
      <c r="H5" s="25"/>
      <c r="I5" s="25"/>
      <c r="J5" s="25"/>
      <c r="K5" s="25"/>
      <c r="L5" s="25"/>
      <c r="M5" s="51"/>
      <c r="N5" s="51"/>
    </row>
    <row r="6" spans="1:14" x14ac:dyDescent="0.25">
      <c r="A6" s="34" t="s">
        <v>1196</v>
      </c>
      <c r="B6" s="35"/>
      <c r="C6" s="49"/>
      <c r="D6" s="25"/>
      <c r="E6" s="25"/>
      <c r="F6" s="25"/>
      <c r="G6" s="25"/>
      <c r="H6" s="25"/>
      <c r="I6" s="25"/>
      <c r="J6" s="25"/>
      <c r="K6" s="25"/>
      <c r="L6" s="25"/>
      <c r="M6" s="51"/>
      <c r="N6" s="51"/>
    </row>
    <row r="7" spans="1:14" x14ac:dyDescent="0.25">
      <c r="A7" s="32" t="s">
        <v>1197</v>
      </c>
      <c r="B7" s="33">
        <v>1330000</v>
      </c>
      <c r="C7" s="50">
        <v>66000</v>
      </c>
      <c r="D7" s="50">
        <v>68000</v>
      </c>
      <c r="E7" s="50">
        <v>75000</v>
      </c>
      <c r="F7" s="50">
        <v>104000</v>
      </c>
      <c r="G7" s="50">
        <v>134000</v>
      </c>
      <c r="H7" s="50">
        <v>180000</v>
      </c>
      <c r="I7" s="50">
        <v>165000</v>
      </c>
      <c r="J7" s="50">
        <v>98000</v>
      </c>
      <c r="K7" s="50">
        <v>132000</v>
      </c>
      <c r="L7" s="50">
        <v>113000</v>
      </c>
      <c r="M7" s="50">
        <v>84000</v>
      </c>
      <c r="N7" s="50">
        <v>113000</v>
      </c>
    </row>
    <row r="8" spans="1:14" x14ac:dyDescent="0.25">
      <c r="A8" s="32" t="s">
        <v>1198</v>
      </c>
      <c r="B8" s="33"/>
      <c r="C8" s="51"/>
      <c r="D8" s="51"/>
      <c r="E8" s="51"/>
      <c r="F8" s="51"/>
      <c r="G8" s="51"/>
      <c r="H8" s="51"/>
      <c r="I8" s="51"/>
      <c r="J8" s="51"/>
      <c r="K8" s="51"/>
      <c r="L8" s="51"/>
      <c r="M8" s="51"/>
      <c r="N8" s="51"/>
    </row>
    <row r="9" spans="1:14" x14ac:dyDescent="0.25">
      <c r="A9" s="32"/>
      <c r="B9" s="33"/>
      <c r="C9" s="51"/>
      <c r="D9" s="51"/>
      <c r="E9" s="51"/>
      <c r="F9" s="51"/>
      <c r="G9" s="51"/>
      <c r="H9" s="51"/>
      <c r="I9" s="51"/>
      <c r="J9" s="51"/>
      <c r="K9" s="51"/>
      <c r="L9" s="51"/>
      <c r="M9" s="51"/>
      <c r="N9" s="51"/>
    </row>
    <row r="10" spans="1:14" x14ac:dyDescent="0.25">
      <c r="A10" s="34" t="s">
        <v>1199</v>
      </c>
      <c r="B10" s="35"/>
      <c r="C10" s="51"/>
      <c r="D10" s="51"/>
      <c r="E10" s="51"/>
      <c r="F10" s="51"/>
      <c r="G10" s="51"/>
      <c r="H10" s="51"/>
      <c r="I10" s="51"/>
      <c r="J10" s="51"/>
      <c r="K10" s="51"/>
      <c r="L10" s="51"/>
      <c r="M10" s="51"/>
      <c r="N10" s="51"/>
    </row>
    <row r="11" spans="1:14" x14ac:dyDescent="0.25">
      <c r="A11" s="32"/>
      <c r="B11" s="33"/>
      <c r="C11" s="51"/>
      <c r="D11" s="51"/>
      <c r="E11" s="51"/>
      <c r="F11" s="51"/>
      <c r="G11" s="51"/>
      <c r="H11" s="51"/>
      <c r="I11" s="51"/>
      <c r="J11" s="51"/>
      <c r="K11" s="51"/>
      <c r="L11" s="51"/>
      <c r="M11" s="51"/>
      <c r="N11" s="51"/>
    </row>
    <row r="12" spans="1:14" x14ac:dyDescent="0.25">
      <c r="A12" s="34" t="s">
        <v>1200</v>
      </c>
      <c r="B12" s="35"/>
      <c r="C12" s="51"/>
      <c r="D12" s="51"/>
      <c r="E12" s="51"/>
      <c r="F12" s="51"/>
      <c r="G12" s="51"/>
      <c r="H12" s="51"/>
      <c r="I12" s="51"/>
      <c r="J12" s="51"/>
      <c r="K12" s="51"/>
      <c r="L12" s="51"/>
      <c r="M12" s="51"/>
      <c r="N12" s="51"/>
    </row>
    <row r="13" spans="1:14" x14ac:dyDescent="0.25">
      <c r="A13" s="32"/>
      <c r="B13" s="33"/>
      <c r="C13" s="51"/>
      <c r="D13" s="51"/>
      <c r="E13" s="51"/>
      <c r="F13" s="51"/>
      <c r="G13" s="51"/>
      <c r="H13" s="51"/>
      <c r="I13" s="51"/>
      <c r="J13" s="51"/>
      <c r="K13" s="51"/>
      <c r="L13" s="51"/>
      <c r="M13" s="51"/>
      <c r="N13" s="51"/>
    </row>
    <row r="14" spans="1:14" x14ac:dyDescent="0.25">
      <c r="A14" s="34" t="s">
        <v>1201</v>
      </c>
      <c r="B14" s="35"/>
      <c r="C14" s="51"/>
      <c r="D14" s="51"/>
      <c r="E14" s="51"/>
      <c r="F14" s="51"/>
      <c r="G14" s="51"/>
      <c r="H14" s="51"/>
      <c r="I14" s="51"/>
      <c r="J14" s="51"/>
      <c r="K14" s="51"/>
      <c r="L14" s="51"/>
      <c r="M14" s="51"/>
      <c r="N14" s="51"/>
    </row>
    <row r="15" spans="1:14" x14ac:dyDescent="0.25">
      <c r="A15" s="32" t="s">
        <v>1202</v>
      </c>
      <c r="B15" s="33">
        <v>360000</v>
      </c>
      <c r="C15" s="51">
        <f>C7*25%</f>
        <v>16500</v>
      </c>
      <c r="D15" s="51">
        <f>D7*25%</f>
        <v>17000</v>
      </c>
      <c r="E15" s="51">
        <f t="shared" ref="E15:N15" si="0">E7*25%</f>
        <v>18750</v>
      </c>
      <c r="F15" s="51">
        <f t="shared" si="0"/>
        <v>26000</v>
      </c>
      <c r="G15" s="51">
        <f t="shared" si="0"/>
        <v>33500</v>
      </c>
      <c r="H15" s="51">
        <f t="shared" si="0"/>
        <v>45000</v>
      </c>
      <c r="I15" s="51">
        <f t="shared" si="0"/>
        <v>41250</v>
      </c>
      <c r="J15" s="51">
        <f t="shared" si="0"/>
        <v>24500</v>
      </c>
      <c r="K15" s="51">
        <f t="shared" si="0"/>
        <v>33000</v>
      </c>
      <c r="L15" s="51">
        <f t="shared" si="0"/>
        <v>28250</v>
      </c>
      <c r="M15" s="51">
        <f t="shared" si="0"/>
        <v>21000</v>
      </c>
      <c r="N15" s="51">
        <f t="shared" si="0"/>
        <v>28250</v>
      </c>
    </row>
    <row r="16" spans="1:14" x14ac:dyDescent="0.25">
      <c r="A16" s="32"/>
      <c r="B16" s="33"/>
      <c r="C16" s="51"/>
      <c r="D16" s="51"/>
      <c r="E16" s="51"/>
      <c r="F16" s="51"/>
      <c r="G16" s="51"/>
      <c r="H16" s="51"/>
      <c r="I16" s="51"/>
      <c r="J16" s="51"/>
      <c r="K16" s="51"/>
      <c r="L16" s="51"/>
      <c r="M16" s="51"/>
      <c r="N16" s="51"/>
    </row>
    <row r="17" spans="1:14" x14ac:dyDescent="0.25">
      <c r="A17" s="34" t="s">
        <v>1203</v>
      </c>
      <c r="B17" s="35"/>
      <c r="C17" s="51"/>
      <c r="D17" s="51"/>
      <c r="E17" s="51"/>
      <c r="F17" s="51"/>
      <c r="G17" s="51"/>
      <c r="H17" s="51"/>
      <c r="I17" s="51"/>
      <c r="J17" s="51"/>
      <c r="K17" s="51"/>
      <c r="L17" s="51"/>
      <c r="M17" s="51"/>
      <c r="N17" s="51"/>
    </row>
    <row r="18" spans="1:14" x14ac:dyDescent="0.25">
      <c r="A18" s="32"/>
      <c r="B18" s="33"/>
      <c r="C18" s="51"/>
      <c r="D18" s="51"/>
      <c r="E18" s="51"/>
      <c r="F18" s="51"/>
      <c r="G18" s="51"/>
      <c r="H18" s="51"/>
      <c r="I18" s="51"/>
      <c r="J18" s="51"/>
      <c r="K18" s="51"/>
      <c r="L18" s="51"/>
      <c r="M18" s="51"/>
      <c r="N18" s="51"/>
    </row>
    <row r="19" spans="1:14" x14ac:dyDescent="0.25">
      <c r="A19" s="34" t="s">
        <v>1204</v>
      </c>
      <c r="B19" s="35"/>
      <c r="C19" s="51"/>
      <c r="D19" s="51"/>
      <c r="E19" s="51"/>
      <c r="F19" s="51"/>
      <c r="G19" s="51"/>
      <c r="H19" s="51"/>
      <c r="I19" s="51"/>
      <c r="J19" s="51"/>
      <c r="K19" s="51"/>
      <c r="L19" s="51"/>
      <c r="M19" s="51"/>
      <c r="N19" s="51"/>
    </row>
    <row r="20" spans="1:14" x14ac:dyDescent="0.25">
      <c r="A20" s="32" t="s">
        <v>1205</v>
      </c>
      <c r="B20" s="33">
        <f>'[2]EL JARDIN'!O7+'[2]EL JARDIN'!O9</f>
        <v>360127.79080000002</v>
      </c>
      <c r="C20" s="51">
        <f>$B$20/12</f>
        <v>30010.649233333334</v>
      </c>
      <c r="D20" s="51">
        <f>$B$20/12</f>
        <v>30010.649233333334</v>
      </c>
      <c r="E20" s="51">
        <f t="shared" ref="E20:N20" si="1">$B$20/12</f>
        <v>30010.649233333334</v>
      </c>
      <c r="F20" s="51">
        <f t="shared" si="1"/>
        <v>30010.649233333334</v>
      </c>
      <c r="G20" s="51">
        <f t="shared" si="1"/>
        <v>30010.649233333334</v>
      </c>
      <c r="H20" s="51">
        <f t="shared" si="1"/>
        <v>30010.649233333334</v>
      </c>
      <c r="I20" s="51">
        <f t="shared" si="1"/>
        <v>30010.649233333334</v>
      </c>
      <c r="J20" s="51">
        <f t="shared" si="1"/>
        <v>30010.649233333334</v>
      </c>
      <c r="K20" s="51">
        <f t="shared" si="1"/>
        <v>30010.649233333334</v>
      </c>
      <c r="L20" s="51">
        <f t="shared" si="1"/>
        <v>30010.649233333334</v>
      </c>
      <c r="M20" s="51">
        <f t="shared" si="1"/>
        <v>30010.649233333334</v>
      </c>
      <c r="N20" s="51">
        <f t="shared" si="1"/>
        <v>30010.649233333334</v>
      </c>
    </row>
    <row r="21" spans="1:14" x14ac:dyDescent="0.25">
      <c r="A21" s="32" t="s">
        <v>1206</v>
      </c>
      <c r="B21" s="33">
        <f>'[2]EL JARDIN'!O10</f>
        <v>126044.72678</v>
      </c>
      <c r="C21" s="51">
        <f>$B$21/12</f>
        <v>10503.727231666666</v>
      </c>
      <c r="D21" s="51">
        <f>$B$21/12</f>
        <v>10503.727231666666</v>
      </c>
      <c r="E21" s="51">
        <f t="shared" ref="E21:N21" si="2">$B$21/12</f>
        <v>10503.727231666666</v>
      </c>
      <c r="F21" s="51">
        <f t="shared" si="2"/>
        <v>10503.727231666666</v>
      </c>
      <c r="G21" s="51">
        <f t="shared" si="2"/>
        <v>10503.727231666666</v>
      </c>
      <c r="H21" s="51">
        <f t="shared" si="2"/>
        <v>10503.727231666666</v>
      </c>
      <c r="I21" s="51">
        <f t="shared" si="2"/>
        <v>10503.727231666666</v>
      </c>
      <c r="J21" s="51">
        <f t="shared" si="2"/>
        <v>10503.727231666666</v>
      </c>
      <c r="K21" s="51">
        <f t="shared" si="2"/>
        <v>10503.727231666666</v>
      </c>
      <c r="L21" s="51">
        <f t="shared" si="2"/>
        <v>10503.727231666666</v>
      </c>
      <c r="M21" s="51">
        <f t="shared" si="2"/>
        <v>10503.727231666666</v>
      </c>
      <c r="N21" s="51">
        <f t="shared" si="2"/>
        <v>10503.727231666666</v>
      </c>
    </row>
    <row r="22" spans="1:14" x14ac:dyDescent="0.25">
      <c r="A22" s="32" t="s">
        <v>1207</v>
      </c>
      <c r="B22" s="33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</row>
    <row r="23" spans="1:14" x14ac:dyDescent="0.25">
      <c r="A23" s="32"/>
      <c r="B23" s="33"/>
      <c r="C23" s="51"/>
      <c r="D23" s="51"/>
      <c r="E23" s="51"/>
      <c r="F23" s="51"/>
      <c r="G23" s="51"/>
      <c r="H23" s="51"/>
      <c r="I23" s="51"/>
      <c r="J23" s="51"/>
      <c r="K23" s="51"/>
      <c r="L23" s="51"/>
      <c r="M23" s="51"/>
      <c r="N23" s="51"/>
    </row>
    <row r="24" spans="1:14" x14ac:dyDescent="0.25">
      <c r="A24" s="34" t="s">
        <v>1208</v>
      </c>
      <c r="B24" s="35"/>
      <c r="C24" s="51"/>
      <c r="D24" s="51"/>
      <c r="E24" s="51"/>
      <c r="F24" s="51"/>
      <c r="G24" s="51"/>
      <c r="H24" s="51"/>
      <c r="I24" s="51"/>
      <c r="J24" s="51"/>
      <c r="K24" s="51"/>
      <c r="L24" s="51"/>
      <c r="M24" s="51"/>
      <c r="N24" s="51"/>
    </row>
    <row r="25" spans="1:14" x14ac:dyDescent="0.25">
      <c r="A25" s="32" t="s">
        <v>1209</v>
      </c>
      <c r="B25" s="33">
        <v>150000</v>
      </c>
      <c r="C25" s="51">
        <f>$B$25/12</f>
        <v>12500</v>
      </c>
      <c r="D25" s="51">
        <f t="shared" ref="D25:N25" si="3">$B$25/12</f>
        <v>12500</v>
      </c>
      <c r="E25" s="51">
        <f t="shared" si="3"/>
        <v>12500</v>
      </c>
      <c r="F25" s="51">
        <f t="shared" si="3"/>
        <v>12500</v>
      </c>
      <c r="G25" s="51">
        <f t="shared" si="3"/>
        <v>12500</v>
      </c>
      <c r="H25" s="51">
        <f t="shared" si="3"/>
        <v>12500</v>
      </c>
      <c r="I25" s="51">
        <f t="shared" si="3"/>
        <v>12500</v>
      </c>
      <c r="J25" s="51">
        <f t="shared" si="3"/>
        <v>12500</v>
      </c>
      <c r="K25" s="51">
        <f t="shared" si="3"/>
        <v>12500</v>
      </c>
      <c r="L25" s="51">
        <f t="shared" si="3"/>
        <v>12500</v>
      </c>
      <c r="M25" s="51">
        <f t="shared" si="3"/>
        <v>12500</v>
      </c>
      <c r="N25" s="51">
        <f t="shared" si="3"/>
        <v>12500</v>
      </c>
    </row>
    <row r="26" spans="1:14" x14ac:dyDescent="0.25">
      <c r="A26" s="32" t="s">
        <v>1210</v>
      </c>
      <c r="B26" s="33">
        <v>15000</v>
      </c>
      <c r="C26" s="51">
        <f>$B$26/12</f>
        <v>1250</v>
      </c>
      <c r="D26" s="51">
        <f>$B$26/12</f>
        <v>1250</v>
      </c>
      <c r="E26" s="51">
        <f t="shared" ref="E26:N26" si="4">$B$26/12</f>
        <v>1250</v>
      </c>
      <c r="F26" s="51">
        <f t="shared" si="4"/>
        <v>1250</v>
      </c>
      <c r="G26" s="51">
        <f t="shared" si="4"/>
        <v>1250</v>
      </c>
      <c r="H26" s="51">
        <f t="shared" si="4"/>
        <v>1250</v>
      </c>
      <c r="I26" s="51">
        <f t="shared" si="4"/>
        <v>1250</v>
      </c>
      <c r="J26" s="51">
        <f t="shared" si="4"/>
        <v>1250</v>
      </c>
      <c r="K26" s="51">
        <f t="shared" si="4"/>
        <v>1250</v>
      </c>
      <c r="L26" s="51">
        <f t="shared" si="4"/>
        <v>1250</v>
      </c>
      <c r="M26" s="51">
        <f t="shared" si="4"/>
        <v>1250</v>
      </c>
      <c r="N26" s="51">
        <f t="shared" si="4"/>
        <v>1250</v>
      </c>
    </row>
    <row r="27" spans="1:14" x14ac:dyDescent="0.25">
      <c r="A27" s="32" t="s">
        <v>1211</v>
      </c>
      <c r="B27" s="33">
        <v>3000</v>
      </c>
      <c r="C27" s="51"/>
      <c r="D27" s="51"/>
      <c r="E27" s="51"/>
      <c r="F27" s="51"/>
      <c r="G27" s="51"/>
      <c r="H27" s="51"/>
      <c r="I27" s="51"/>
      <c r="J27" s="51"/>
      <c r="K27" s="51"/>
      <c r="L27" s="51"/>
      <c r="M27" s="51"/>
      <c r="N27" s="51"/>
    </row>
    <row r="28" spans="1:14" x14ac:dyDescent="0.25">
      <c r="A28" s="32" t="s">
        <v>1212</v>
      </c>
      <c r="B28" s="33">
        <v>2000</v>
      </c>
      <c r="C28" s="51">
        <v>0</v>
      </c>
      <c r="D28" s="51">
        <v>0</v>
      </c>
      <c r="E28" s="51">
        <v>0</v>
      </c>
      <c r="F28" s="51">
        <v>0</v>
      </c>
      <c r="G28" s="51">
        <v>1375</v>
      </c>
      <c r="H28" s="51">
        <v>0</v>
      </c>
      <c r="I28" s="51">
        <v>0</v>
      </c>
      <c r="J28" s="51">
        <v>0</v>
      </c>
      <c r="K28" s="51">
        <v>0</v>
      </c>
      <c r="L28" s="51">
        <v>0</v>
      </c>
      <c r="M28" s="51">
        <v>0</v>
      </c>
      <c r="N28" s="51">
        <v>0</v>
      </c>
    </row>
    <row r="29" spans="1:14" x14ac:dyDescent="0.25">
      <c r="A29" s="32" t="s">
        <v>1213</v>
      </c>
      <c r="B29" s="33">
        <v>6000</v>
      </c>
      <c r="C29" s="51"/>
      <c r="D29" s="51"/>
      <c r="E29" s="51"/>
      <c r="F29" s="51"/>
      <c r="G29" s="51"/>
      <c r="H29" s="51"/>
      <c r="I29" s="51"/>
      <c r="J29" s="51"/>
      <c r="K29" s="51"/>
      <c r="L29" s="51"/>
      <c r="M29" s="51"/>
      <c r="N29" s="51"/>
    </row>
    <row r="30" spans="1:14" x14ac:dyDescent="0.25">
      <c r="A30" s="32" t="s">
        <v>1214</v>
      </c>
      <c r="B30" s="33">
        <v>40000</v>
      </c>
      <c r="C30" s="51">
        <v>0</v>
      </c>
      <c r="D30" s="51">
        <f>$B$30/12</f>
        <v>3333.3333333333335</v>
      </c>
      <c r="E30" s="51">
        <f t="shared" ref="E30:N30" si="5">$B$30/12</f>
        <v>3333.3333333333335</v>
      </c>
      <c r="F30" s="51">
        <f t="shared" si="5"/>
        <v>3333.3333333333335</v>
      </c>
      <c r="G30" s="51">
        <f t="shared" si="5"/>
        <v>3333.3333333333335</v>
      </c>
      <c r="H30" s="51">
        <f t="shared" si="5"/>
        <v>3333.3333333333335</v>
      </c>
      <c r="I30" s="51">
        <f t="shared" si="5"/>
        <v>3333.3333333333335</v>
      </c>
      <c r="J30" s="51">
        <f t="shared" si="5"/>
        <v>3333.3333333333335</v>
      </c>
      <c r="K30" s="51">
        <f t="shared" si="5"/>
        <v>3333.3333333333335</v>
      </c>
      <c r="L30" s="51">
        <f t="shared" si="5"/>
        <v>3333.3333333333335</v>
      </c>
      <c r="M30" s="51">
        <f t="shared" si="5"/>
        <v>3333.3333333333335</v>
      </c>
      <c r="N30" s="51">
        <f t="shared" si="5"/>
        <v>3333.3333333333335</v>
      </c>
    </row>
    <row r="31" spans="1:14" x14ac:dyDescent="0.25">
      <c r="A31" s="32" t="s">
        <v>1215</v>
      </c>
      <c r="B31" s="33">
        <v>35000</v>
      </c>
      <c r="C31" s="51">
        <v>0</v>
      </c>
      <c r="D31" s="51">
        <f>$B$31/12</f>
        <v>2916.6666666666665</v>
      </c>
      <c r="E31" s="51">
        <f t="shared" ref="E31:N31" si="6">$B$31/12</f>
        <v>2916.6666666666665</v>
      </c>
      <c r="F31" s="51">
        <f t="shared" si="6"/>
        <v>2916.6666666666665</v>
      </c>
      <c r="G31" s="51">
        <f t="shared" si="6"/>
        <v>2916.6666666666665</v>
      </c>
      <c r="H31" s="51">
        <f t="shared" si="6"/>
        <v>2916.6666666666665</v>
      </c>
      <c r="I31" s="51">
        <f t="shared" si="6"/>
        <v>2916.6666666666665</v>
      </c>
      <c r="J31" s="51">
        <f t="shared" si="6"/>
        <v>2916.6666666666665</v>
      </c>
      <c r="K31" s="51">
        <f t="shared" si="6"/>
        <v>2916.6666666666665</v>
      </c>
      <c r="L31" s="51">
        <f t="shared" si="6"/>
        <v>2916.6666666666665</v>
      </c>
      <c r="M31" s="51">
        <f t="shared" si="6"/>
        <v>2916.6666666666665</v>
      </c>
      <c r="N31" s="51">
        <f t="shared" si="6"/>
        <v>2916.6666666666665</v>
      </c>
    </row>
    <row r="32" spans="1:14" x14ac:dyDescent="0.25">
      <c r="A32" s="32" t="s">
        <v>1216</v>
      </c>
      <c r="B32" s="33">
        <v>25000</v>
      </c>
      <c r="C32" s="51">
        <v>0</v>
      </c>
      <c r="D32" s="51">
        <f>$B$32/12</f>
        <v>2083.3333333333335</v>
      </c>
      <c r="E32" s="51">
        <f t="shared" ref="E32:N32" si="7">$B$32/12</f>
        <v>2083.3333333333335</v>
      </c>
      <c r="F32" s="51">
        <f t="shared" si="7"/>
        <v>2083.3333333333335</v>
      </c>
      <c r="G32" s="51">
        <f t="shared" si="7"/>
        <v>2083.3333333333335</v>
      </c>
      <c r="H32" s="51">
        <f t="shared" si="7"/>
        <v>2083.3333333333335</v>
      </c>
      <c r="I32" s="51">
        <f t="shared" si="7"/>
        <v>2083.3333333333335</v>
      </c>
      <c r="J32" s="51">
        <f t="shared" si="7"/>
        <v>2083.3333333333335</v>
      </c>
      <c r="K32" s="51">
        <f t="shared" si="7"/>
        <v>2083.3333333333335</v>
      </c>
      <c r="L32" s="51">
        <f t="shared" si="7"/>
        <v>2083.3333333333335</v>
      </c>
      <c r="M32" s="51">
        <f t="shared" si="7"/>
        <v>2083.3333333333335</v>
      </c>
      <c r="N32" s="51">
        <f t="shared" si="7"/>
        <v>2083.3333333333335</v>
      </c>
    </row>
    <row r="33" spans="1:14" x14ac:dyDescent="0.25">
      <c r="A33" s="32" t="s">
        <v>1217</v>
      </c>
      <c r="B33" s="33"/>
      <c r="C33" s="51"/>
      <c r="D33" s="51"/>
      <c r="E33" s="51"/>
      <c r="F33" s="51"/>
      <c r="G33" s="51"/>
      <c r="H33" s="51"/>
      <c r="I33" s="51"/>
      <c r="J33" s="51"/>
      <c r="K33" s="51"/>
      <c r="L33" s="51"/>
      <c r="M33" s="51"/>
      <c r="N33" s="51"/>
    </row>
    <row r="34" spans="1:14" x14ac:dyDescent="0.25">
      <c r="A34" s="32"/>
      <c r="B34" s="33"/>
      <c r="C34" s="49"/>
      <c r="D34" s="49"/>
      <c r="E34" s="49"/>
      <c r="F34" s="49"/>
      <c r="G34" s="49"/>
      <c r="H34" s="49"/>
      <c r="I34" s="49"/>
      <c r="J34" s="49"/>
      <c r="K34" s="49"/>
      <c r="L34" s="49"/>
      <c r="M34" s="51"/>
      <c r="N34" s="51"/>
    </row>
    <row r="35" spans="1:14" x14ac:dyDescent="0.25">
      <c r="A35" s="34" t="s">
        <v>1218</v>
      </c>
      <c r="B35" s="35">
        <v>70000</v>
      </c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51"/>
      <c r="N35" s="51"/>
    </row>
    <row r="36" spans="1:14" x14ac:dyDescent="0.25">
      <c r="A36" s="32"/>
      <c r="B36" s="33"/>
      <c r="C36" s="49"/>
      <c r="D36" s="49"/>
      <c r="E36" s="49"/>
      <c r="F36" s="49"/>
      <c r="G36" s="49"/>
      <c r="H36" s="49"/>
      <c r="I36" s="49"/>
      <c r="J36" s="49"/>
      <c r="K36" s="49"/>
      <c r="L36" s="49"/>
      <c r="M36" s="51"/>
      <c r="N36" s="51"/>
    </row>
    <row r="37" spans="1:14" x14ac:dyDescent="0.25">
      <c r="A37" s="34" t="s">
        <v>1219</v>
      </c>
      <c r="B37" s="35"/>
      <c r="C37" s="25"/>
    </row>
    <row r="38" spans="1:14" x14ac:dyDescent="0.25">
      <c r="A38" s="32"/>
      <c r="B38" s="33"/>
      <c r="C38" s="25"/>
    </row>
    <row r="39" spans="1:14" x14ac:dyDescent="0.25">
      <c r="A39" s="34" t="s">
        <v>1220</v>
      </c>
      <c r="B39" s="35"/>
      <c r="C39" s="25"/>
    </row>
    <row r="40" spans="1:14" x14ac:dyDescent="0.25">
      <c r="A40" s="32"/>
      <c r="B40" s="33"/>
      <c r="C40" s="25"/>
    </row>
    <row r="41" spans="1:14" x14ac:dyDescent="0.25">
      <c r="A41" s="34" t="s">
        <v>1221</v>
      </c>
      <c r="B41" s="35"/>
      <c r="C41" s="25"/>
    </row>
    <row r="42" spans="1:14" x14ac:dyDescent="0.25">
      <c r="A42" s="32"/>
      <c r="B42" s="33"/>
      <c r="C42" s="25"/>
    </row>
    <row r="43" spans="1:14" x14ac:dyDescent="0.25">
      <c r="A43" s="34" t="s">
        <v>1222</v>
      </c>
      <c r="B43" s="35"/>
      <c r="C43" s="25"/>
    </row>
    <row r="44" spans="1:14" x14ac:dyDescent="0.25">
      <c r="A44" s="32" t="s">
        <v>1223</v>
      </c>
      <c r="B44" s="33">
        <v>10000</v>
      </c>
      <c r="C44" s="25"/>
    </row>
    <row r="45" spans="1:14" x14ac:dyDescent="0.25">
      <c r="A45" s="32" t="s">
        <v>1224</v>
      </c>
      <c r="B45" s="33"/>
      <c r="C45" s="25"/>
    </row>
    <row r="46" spans="1:14" x14ac:dyDescent="0.25">
      <c r="A46" s="32"/>
      <c r="B46" s="33"/>
      <c r="C46" s="25"/>
    </row>
    <row r="47" spans="1:14" x14ac:dyDescent="0.25">
      <c r="A47" s="36" t="s">
        <v>1225</v>
      </c>
      <c r="B47" s="37">
        <f>B7-(B15+B20+B21+B22+B25+B26+B28+B30+B31+B32+B33+B27+B29+B44)</f>
        <v>197827.48241999978</v>
      </c>
      <c r="C47" s="25"/>
    </row>
    <row r="48" spans="1:14" x14ac:dyDescent="0.25">
      <c r="A48" s="32"/>
      <c r="B48" s="33"/>
      <c r="C48" s="25"/>
    </row>
    <row r="49" spans="1:3" x14ac:dyDescent="0.25">
      <c r="A49" s="34" t="s">
        <v>1226</v>
      </c>
      <c r="B49" s="35"/>
      <c r="C49" s="25"/>
    </row>
    <row r="50" spans="1:3" x14ac:dyDescent="0.25">
      <c r="A50" s="32"/>
      <c r="B50" s="33"/>
      <c r="C50" s="25"/>
    </row>
    <row r="51" spans="1:3" x14ac:dyDescent="0.25">
      <c r="A51" s="34" t="s">
        <v>1227</v>
      </c>
      <c r="B51" s="35"/>
      <c r="C51" s="25"/>
    </row>
    <row r="52" spans="1:3" x14ac:dyDescent="0.25">
      <c r="A52" s="32" t="s">
        <v>1228</v>
      </c>
      <c r="B52" s="33">
        <f>'[2]CUADRO GENERAL'!O28</f>
        <v>41250</v>
      </c>
      <c r="C52" s="25"/>
    </row>
    <row r="53" spans="1:3" x14ac:dyDescent="0.25">
      <c r="A53" s="32"/>
      <c r="B53" s="33"/>
      <c r="C53" s="25"/>
    </row>
    <row r="54" spans="1:3" x14ac:dyDescent="0.25">
      <c r="A54" s="34" t="s">
        <v>1229</v>
      </c>
      <c r="B54" s="35"/>
      <c r="C54" s="25"/>
    </row>
    <row r="55" spans="1:3" x14ac:dyDescent="0.25">
      <c r="A55" s="32"/>
      <c r="B55" s="33"/>
      <c r="C55" s="25"/>
    </row>
    <row r="56" spans="1:3" x14ac:dyDescent="0.25">
      <c r="A56" s="34" t="s">
        <v>1230</v>
      </c>
      <c r="B56" s="35"/>
      <c r="C56" s="25"/>
    </row>
    <row r="57" spans="1:3" x14ac:dyDescent="0.25">
      <c r="A57" s="32"/>
      <c r="B57" s="33"/>
      <c r="C57" s="25"/>
    </row>
    <row r="58" spans="1:3" x14ac:dyDescent="0.25">
      <c r="A58" s="34" t="s">
        <v>1231</v>
      </c>
      <c r="B58" s="35"/>
      <c r="C58" s="25"/>
    </row>
    <row r="59" spans="1:3" x14ac:dyDescent="0.25">
      <c r="A59" s="32"/>
      <c r="B59" s="33"/>
      <c r="C59" s="25"/>
    </row>
    <row r="60" spans="1:3" x14ac:dyDescent="0.25">
      <c r="A60" s="34" t="s">
        <v>1232</v>
      </c>
      <c r="B60" s="35"/>
      <c r="C60" s="25"/>
    </row>
    <row r="61" spans="1:3" x14ac:dyDescent="0.25">
      <c r="A61" s="32"/>
      <c r="B61" s="33"/>
      <c r="C61" s="25"/>
    </row>
    <row r="62" spans="1:3" x14ac:dyDescent="0.25">
      <c r="A62" s="36" t="s">
        <v>1233</v>
      </c>
      <c r="B62" s="37">
        <f>B52</f>
        <v>41250</v>
      </c>
      <c r="C62" s="25"/>
    </row>
    <row r="63" spans="1:3" x14ac:dyDescent="0.25">
      <c r="A63" s="32"/>
      <c r="B63" s="33"/>
      <c r="C63" s="25"/>
    </row>
    <row r="64" spans="1:3" x14ac:dyDescent="0.25">
      <c r="A64" s="36" t="s">
        <v>1234</v>
      </c>
      <c r="B64" s="37">
        <f>B47-B62</f>
        <v>156577.48241999978</v>
      </c>
      <c r="C64" s="25"/>
    </row>
    <row r="65" spans="1:3" x14ac:dyDescent="0.25">
      <c r="A65" s="32"/>
      <c r="B65" s="33"/>
      <c r="C65" s="25"/>
    </row>
    <row r="66" spans="1:3" x14ac:dyDescent="0.25">
      <c r="A66" s="34" t="s">
        <v>1235</v>
      </c>
      <c r="B66" s="35">
        <f>B64*0.15</f>
        <v>23486.622362999966</v>
      </c>
      <c r="C66" s="25"/>
    </row>
    <row r="67" spans="1:3" x14ac:dyDescent="0.25">
      <c r="A67" s="32"/>
      <c r="B67" s="33"/>
      <c r="C67" s="25"/>
    </row>
    <row r="68" spans="1:3" x14ac:dyDescent="0.25">
      <c r="A68" s="36" t="s">
        <v>1236</v>
      </c>
      <c r="B68" s="37">
        <f>B64-B66</f>
        <v>133090.86005699981</v>
      </c>
      <c r="C68" s="25"/>
    </row>
    <row r="69" spans="1:3" x14ac:dyDescent="0.25">
      <c r="A69" s="32"/>
      <c r="B69" s="33"/>
      <c r="C69" s="25"/>
    </row>
    <row r="70" spans="1:3" x14ac:dyDescent="0.25">
      <c r="A70" s="32"/>
      <c r="B70" s="33"/>
      <c r="C70" s="25"/>
    </row>
    <row r="71" spans="1:3" x14ac:dyDescent="0.25">
      <c r="A71" s="32"/>
      <c r="B71" s="33"/>
      <c r="C71" s="25"/>
    </row>
    <row r="72" spans="1:3" x14ac:dyDescent="0.25">
      <c r="A72" s="32"/>
      <c r="B72" s="33"/>
      <c r="C72" s="25"/>
    </row>
    <row r="73" spans="1:3" x14ac:dyDescent="0.25">
      <c r="A73" s="32"/>
      <c r="B73" s="33"/>
      <c r="C73" s="25"/>
    </row>
    <row r="74" spans="1:3" x14ac:dyDescent="0.25">
      <c r="A74" s="32"/>
      <c r="B74" s="33"/>
      <c r="C74" s="25"/>
    </row>
    <row r="75" spans="1:3" x14ac:dyDescent="0.25">
      <c r="A75" s="38"/>
      <c r="B75" s="39"/>
      <c r="C75" s="25"/>
    </row>
  </sheetData>
  <mergeCells count="2">
    <mergeCell ref="A1:B1"/>
    <mergeCell ref="A2:B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E34B3-BDDD-C143-B4D9-DD3BB81414E0}">
  <dimension ref="A1:N75"/>
  <sheetViews>
    <sheetView topLeftCell="B1" zoomScale="140" zoomScaleNormal="140" workbookViewId="0">
      <selection activeCell="I8" sqref="I8"/>
    </sheetView>
  </sheetViews>
  <sheetFormatPr baseColWidth="10" defaultColWidth="17.140625" defaultRowHeight="15" x14ac:dyDescent="0.25"/>
  <cols>
    <col min="1" max="1" width="36.7109375" customWidth="1"/>
  </cols>
  <sheetData>
    <row r="1" spans="1:14" x14ac:dyDescent="0.25">
      <c r="A1" s="127"/>
      <c r="B1" s="128"/>
      <c r="C1" s="25"/>
    </row>
    <row r="2" spans="1:14" x14ac:dyDescent="0.25">
      <c r="A2" s="127" t="s">
        <v>1194</v>
      </c>
      <c r="B2" s="129"/>
      <c r="C2" s="25"/>
    </row>
    <row r="3" spans="1:14" x14ac:dyDescent="0.25">
      <c r="A3" s="26"/>
      <c r="B3" s="27"/>
      <c r="C3" s="25"/>
    </row>
    <row r="4" spans="1:14" x14ac:dyDescent="0.25">
      <c r="A4" s="28"/>
      <c r="B4" s="29" t="s">
        <v>1195</v>
      </c>
      <c r="C4" s="48" t="s">
        <v>1241</v>
      </c>
      <c r="D4" s="30" t="s">
        <v>1242</v>
      </c>
      <c r="E4" s="30" t="s">
        <v>1243</v>
      </c>
      <c r="F4" s="30" t="s">
        <v>1244</v>
      </c>
      <c r="G4" s="30" t="s">
        <v>1245</v>
      </c>
      <c r="H4" s="30" t="s">
        <v>1246</v>
      </c>
      <c r="I4" s="30" t="s">
        <v>1247</v>
      </c>
      <c r="J4" s="30" t="s">
        <v>1248</v>
      </c>
      <c r="K4" s="30" t="s">
        <v>1249</v>
      </c>
      <c r="L4" s="30" t="s">
        <v>1250</v>
      </c>
      <c r="M4" s="52" t="s">
        <v>1251</v>
      </c>
      <c r="N4" s="52" t="s">
        <v>1252</v>
      </c>
    </row>
    <row r="5" spans="1:14" x14ac:dyDescent="0.25">
      <c r="A5" s="32"/>
      <c r="B5" s="33"/>
      <c r="C5" s="49"/>
      <c r="D5" s="25"/>
      <c r="E5" s="25"/>
      <c r="F5" s="25"/>
      <c r="G5" s="25"/>
      <c r="H5" s="25"/>
      <c r="I5" s="25"/>
      <c r="J5" s="25"/>
      <c r="K5" s="25"/>
      <c r="L5" s="25"/>
      <c r="M5" s="51"/>
      <c r="N5" s="51"/>
    </row>
    <row r="6" spans="1:14" x14ac:dyDescent="0.25">
      <c r="A6" s="34" t="s">
        <v>1196</v>
      </c>
      <c r="B6" s="35"/>
      <c r="C6" s="49"/>
      <c r="D6" s="25"/>
      <c r="E6" s="25"/>
      <c r="F6" s="25"/>
      <c r="G6" s="25"/>
      <c r="H6" s="25"/>
      <c r="I6" s="25"/>
      <c r="J6" s="25"/>
      <c r="K6" s="25"/>
      <c r="L6" s="25"/>
      <c r="M6" s="51"/>
      <c r="N6" s="51"/>
    </row>
    <row r="7" spans="1:14" x14ac:dyDescent="0.25">
      <c r="A7" s="32" t="s">
        <v>1197</v>
      </c>
      <c r="B7" s="35">
        <f>'[2]PYG 2025 GULAH'!B7+'[2]PYG 2025 JARDIN'!B7</f>
        <v>1790000</v>
      </c>
      <c r="C7" s="50">
        <f>'[3]PYG GULAH'!C7+'[3]PYG JARDIN'!C7</f>
        <v>66000</v>
      </c>
      <c r="D7" s="50">
        <f>'[3]PYG GULAH'!D7+'[3]PYG JARDIN'!D7</f>
        <v>101000</v>
      </c>
      <c r="E7" s="50">
        <f>'[3]PYG GULAH'!E7+'[3]PYG JARDIN'!E7</f>
        <v>110000</v>
      </c>
      <c r="F7" s="50">
        <f>'[3]PYG GULAH'!F7+'[3]PYG JARDIN'!F7</f>
        <v>140000</v>
      </c>
      <c r="G7" s="50">
        <f>'[3]PYG GULAH'!G7+'[3]PYG JARDIN'!G7</f>
        <v>189000</v>
      </c>
      <c r="H7" s="50">
        <f>'[3]PYG GULAH'!H7+'[3]PYG JARDIN'!H7</f>
        <v>233000</v>
      </c>
      <c r="I7" s="50">
        <f>'[3]PYG GULAH'!I7+'[3]PYG JARDIN'!I7+8500</f>
        <v>227500</v>
      </c>
      <c r="J7" s="50">
        <f>'[3]PYG GULAH'!J7+'[3]PYG JARDIN'!J7</f>
        <v>119000</v>
      </c>
      <c r="K7" s="50">
        <f>'[3]PYG GULAH'!K7+'[3]PYG JARDIN'!K7</f>
        <v>185000</v>
      </c>
      <c r="L7" s="50">
        <f>'[3]PYG GULAH'!L7+'[3]PYG JARDIN'!L7</f>
        <v>150000</v>
      </c>
      <c r="M7" s="50">
        <f>'[3]PYG GULAH'!M7+'[3]PYG JARDIN'!M7</f>
        <v>120000</v>
      </c>
      <c r="N7" s="50">
        <f>'[3]PYG GULAH'!N7+'[3]PYG JARDIN'!N7</f>
        <v>149500</v>
      </c>
    </row>
    <row r="8" spans="1:14" x14ac:dyDescent="0.25">
      <c r="A8" s="32" t="s">
        <v>1198</v>
      </c>
      <c r="B8" s="33">
        <f>'[2]PYG 2025 GULAH'!B8+'[2]PYG 2025 JARDIN'!B8</f>
        <v>0</v>
      </c>
      <c r="C8" s="50">
        <f>'[3]PYG GULAH'!C8+'[3]PYG JARDIN'!C8</f>
        <v>0</v>
      </c>
      <c r="D8" s="50">
        <f>'[3]PYG GULAH'!D8+'[3]PYG JARDIN'!D8</f>
        <v>0</v>
      </c>
      <c r="E8" s="50">
        <f>'[3]PYG GULAH'!E8+'[3]PYG JARDIN'!E8</f>
        <v>0</v>
      </c>
      <c r="F8" s="50">
        <f>'[3]PYG GULAH'!F8+'[3]PYG JARDIN'!F8</f>
        <v>0</v>
      </c>
      <c r="G8" s="50">
        <f>'[3]PYG GULAH'!G8+'[3]PYG JARDIN'!G8</f>
        <v>0</v>
      </c>
      <c r="H8" s="50">
        <f>'[3]PYG GULAH'!H8+'[3]PYG JARDIN'!H8</f>
        <v>0</v>
      </c>
      <c r="I8" s="50">
        <f>'[3]PYG GULAH'!I8+'[3]PYG JARDIN'!I8</f>
        <v>0</v>
      </c>
      <c r="J8" s="50">
        <f>'[3]PYG GULAH'!J8+'[3]PYG JARDIN'!J8</f>
        <v>0</v>
      </c>
      <c r="K8" s="50">
        <f>'[3]PYG GULAH'!K8+'[3]PYG JARDIN'!K8</f>
        <v>0</v>
      </c>
      <c r="L8" s="50">
        <f>'[3]PYG GULAH'!L8+'[3]PYG JARDIN'!L8</f>
        <v>0</v>
      </c>
      <c r="M8" s="50">
        <f>'[3]PYG GULAH'!M8+'[3]PYG JARDIN'!M8</f>
        <v>0</v>
      </c>
      <c r="N8" s="50">
        <f>'[3]PYG GULAH'!N8+'[3]PYG JARDIN'!N8</f>
        <v>0</v>
      </c>
    </row>
    <row r="9" spans="1:14" x14ac:dyDescent="0.25">
      <c r="A9" s="32"/>
      <c r="B9" s="33"/>
      <c r="C9" s="50">
        <f>'[3]PYG GULAH'!C9+'[3]PYG JARDIN'!C9</f>
        <v>0</v>
      </c>
      <c r="D9" s="50">
        <f>'[3]PYG GULAH'!D9+'[3]PYG JARDIN'!D9</f>
        <v>0</v>
      </c>
      <c r="E9" s="50">
        <f>'[3]PYG GULAH'!E9+'[3]PYG JARDIN'!E9</f>
        <v>0</v>
      </c>
      <c r="F9" s="50">
        <f>'[3]PYG GULAH'!F9+'[3]PYG JARDIN'!F9</f>
        <v>0</v>
      </c>
      <c r="G9" s="50">
        <f>'[3]PYG GULAH'!G9+'[3]PYG JARDIN'!G9</f>
        <v>0</v>
      </c>
      <c r="H9" s="50">
        <f>'[3]PYG GULAH'!H9+'[3]PYG JARDIN'!H9</f>
        <v>0</v>
      </c>
      <c r="I9" s="50">
        <f>'[3]PYG GULAH'!I9+'[3]PYG JARDIN'!I9</f>
        <v>0</v>
      </c>
      <c r="J9" s="50">
        <f>'[3]PYG GULAH'!J9+'[3]PYG JARDIN'!J9</f>
        <v>0</v>
      </c>
      <c r="K9" s="50">
        <f>'[3]PYG GULAH'!K9+'[3]PYG JARDIN'!K9</f>
        <v>0</v>
      </c>
      <c r="L9" s="50">
        <f>'[3]PYG GULAH'!L9+'[3]PYG JARDIN'!L9</f>
        <v>0</v>
      </c>
      <c r="M9" s="50">
        <f>'[3]PYG GULAH'!M9+'[3]PYG JARDIN'!M9</f>
        <v>0</v>
      </c>
      <c r="N9" s="50">
        <f>'[3]PYG GULAH'!N9+'[3]PYG JARDIN'!N9</f>
        <v>0</v>
      </c>
    </row>
    <row r="10" spans="1:14" x14ac:dyDescent="0.25">
      <c r="A10" s="34" t="s">
        <v>1199</v>
      </c>
      <c r="B10" s="33"/>
      <c r="C10" s="50">
        <f>'[3]PYG GULAH'!C10+'[3]PYG JARDIN'!C10</f>
        <v>0</v>
      </c>
      <c r="D10" s="50">
        <f>'[3]PYG GULAH'!D10+'[3]PYG JARDIN'!D10</f>
        <v>0</v>
      </c>
      <c r="E10" s="50">
        <f>'[3]PYG GULAH'!E10+'[3]PYG JARDIN'!E10</f>
        <v>0</v>
      </c>
      <c r="F10" s="50">
        <f>'[3]PYG GULAH'!F10+'[3]PYG JARDIN'!F10</f>
        <v>0</v>
      </c>
      <c r="G10" s="50">
        <f>'[3]PYG GULAH'!G10+'[3]PYG JARDIN'!G10</f>
        <v>0</v>
      </c>
      <c r="H10" s="50">
        <f>'[3]PYG GULAH'!H10+'[3]PYG JARDIN'!H10</f>
        <v>0</v>
      </c>
      <c r="I10" s="50">
        <f>'[3]PYG GULAH'!I10+'[3]PYG JARDIN'!I10</f>
        <v>0</v>
      </c>
      <c r="J10" s="50">
        <f>'[3]PYG GULAH'!J10+'[3]PYG JARDIN'!J10</f>
        <v>0</v>
      </c>
      <c r="K10" s="50">
        <f>'[3]PYG GULAH'!K10+'[3]PYG JARDIN'!K10</f>
        <v>0</v>
      </c>
      <c r="L10" s="50">
        <f>'[3]PYG GULAH'!L10+'[3]PYG JARDIN'!L10</f>
        <v>0</v>
      </c>
      <c r="M10" s="50">
        <f>'[3]PYG GULAH'!M10+'[3]PYG JARDIN'!M10</f>
        <v>0</v>
      </c>
      <c r="N10" s="50">
        <f>'[3]PYG GULAH'!N10+'[3]PYG JARDIN'!N10</f>
        <v>0</v>
      </c>
    </row>
    <row r="11" spans="1:14" x14ac:dyDescent="0.25">
      <c r="A11" s="32"/>
      <c r="B11" s="33">
        <f>'[2]PYG 2025 GULAH'!B11+'[2]PYG 2025 JARDIN'!B11</f>
        <v>0</v>
      </c>
      <c r="C11" s="50">
        <f>'[3]PYG GULAH'!C11+'[3]PYG JARDIN'!C11</f>
        <v>0</v>
      </c>
      <c r="D11" s="50">
        <f>'[3]PYG GULAH'!D11+'[3]PYG JARDIN'!D11</f>
        <v>0</v>
      </c>
      <c r="E11" s="50">
        <f>'[3]PYG GULAH'!E11+'[3]PYG JARDIN'!E11</f>
        <v>0</v>
      </c>
      <c r="F11" s="50">
        <f>'[3]PYG GULAH'!F11+'[3]PYG JARDIN'!F11</f>
        <v>0</v>
      </c>
      <c r="G11" s="50">
        <f>'[3]PYG GULAH'!G11+'[3]PYG JARDIN'!G11</f>
        <v>0</v>
      </c>
      <c r="H11" s="50">
        <f>'[3]PYG GULAH'!H11+'[3]PYG JARDIN'!H11</f>
        <v>0</v>
      </c>
      <c r="I11" s="50">
        <f>'[3]PYG GULAH'!I11+'[3]PYG JARDIN'!I11</f>
        <v>0</v>
      </c>
      <c r="J11" s="50">
        <f>'[3]PYG GULAH'!J11+'[3]PYG JARDIN'!J11</f>
        <v>0</v>
      </c>
      <c r="K11" s="50">
        <f>'[3]PYG GULAH'!K11+'[3]PYG JARDIN'!K11</f>
        <v>0</v>
      </c>
      <c r="L11" s="50">
        <f>'[3]PYG GULAH'!L11+'[3]PYG JARDIN'!L11</f>
        <v>0</v>
      </c>
      <c r="M11" s="50">
        <f>'[3]PYG GULAH'!M11+'[3]PYG JARDIN'!M11</f>
        <v>0</v>
      </c>
      <c r="N11" s="50">
        <f>'[3]PYG GULAH'!N11+'[3]PYG JARDIN'!N11</f>
        <v>0</v>
      </c>
    </row>
    <row r="12" spans="1:14" x14ac:dyDescent="0.25">
      <c r="A12" s="34" t="s">
        <v>1200</v>
      </c>
      <c r="B12" s="33"/>
      <c r="C12" s="50">
        <f>'[3]PYG GULAH'!C12+'[3]PYG JARDIN'!C12</f>
        <v>0</v>
      </c>
      <c r="D12" s="50">
        <f>'[3]PYG GULAH'!D12+'[3]PYG JARDIN'!D12</f>
        <v>0</v>
      </c>
      <c r="E12" s="50">
        <f>'[3]PYG GULAH'!E12+'[3]PYG JARDIN'!E12</f>
        <v>0</v>
      </c>
      <c r="F12" s="50">
        <f>'[3]PYG GULAH'!F12+'[3]PYG JARDIN'!F12</f>
        <v>0</v>
      </c>
      <c r="G12" s="50">
        <f>'[3]PYG GULAH'!G12+'[3]PYG JARDIN'!G12</f>
        <v>0</v>
      </c>
      <c r="H12" s="50">
        <f>'[3]PYG GULAH'!H12+'[3]PYG JARDIN'!H12</f>
        <v>0</v>
      </c>
      <c r="I12" s="50">
        <f>'[3]PYG GULAH'!I12+'[3]PYG JARDIN'!I12</f>
        <v>0</v>
      </c>
      <c r="J12" s="50">
        <f>'[3]PYG GULAH'!J12+'[3]PYG JARDIN'!J12</f>
        <v>0</v>
      </c>
      <c r="K12" s="50">
        <f>'[3]PYG GULAH'!K12+'[3]PYG JARDIN'!K12</f>
        <v>0</v>
      </c>
      <c r="L12" s="50">
        <f>'[3]PYG GULAH'!L12+'[3]PYG JARDIN'!L12</f>
        <v>0</v>
      </c>
      <c r="M12" s="50">
        <f>'[3]PYG GULAH'!M12+'[3]PYG JARDIN'!M12</f>
        <v>0</v>
      </c>
      <c r="N12" s="50">
        <f>'[3]PYG GULAH'!N12+'[3]PYG JARDIN'!N12</f>
        <v>0</v>
      </c>
    </row>
    <row r="13" spans="1:14" x14ac:dyDescent="0.25">
      <c r="A13" s="32"/>
      <c r="B13" s="33">
        <f>'[2]PYG 2025 GULAH'!B13+'[2]PYG 2025 JARDIN'!B13</f>
        <v>0</v>
      </c>
      <c r="C13" s="50">
        <f>'[3]PYG GULAH'!C13+'[3]PYG JARDIN'!C13</f>
        <v>0</v>
      </c>
      <c r="D13" s="50">
        <f>'[3]PYG GULAH'!D13+'[3]PYG JARDIN'!D13</f>
        <v>0</v>
      </c>
      <c r="E13" s="50">
        <f>'[3]PYG GULAH'!E13+'[3]PYG JARDIN'!E13</f>
        <v>0</v>
      </c>
      <c r="F13" s="50">
        <f>'[3]PYG GULAH'!F13+'[3]PYG JARDIN'!F13</f>
        <v>0</v>
      </c>
      <c r="G13" s="50">
        <f>'[3]PYG GULAH'!G13+'[3]PYG JARDIN'!G13</f>
        <v>0</v>
      </c>
      <c r="H13" s="50">
        <f>'[3]PYG GULAH'!H13+'[3]PYG JARDIN'!H13</f>
        <v>0</v>
      </c>
      <c r="I13" s="50">
        <f>'[3]PYG GULAH'!I13+'[3]PYG JARDIN'!I13</f>
        <v>0</v>
      </c>
      <c r="J13" s="50">
        <f>'[3]PYG GULAH'!J13+'[3]PYG JARDIN'!J13</f>
        <v>0</v>
      </c>
      <c r="K13" s="50">
        <f>'[3]PYG GULAH'!K13+'[3]PYG JARDIN'!K13</f>
        <v>0</v>
      </c>
      <c r="L13" s="50">
        <f>'[3]PYG GULAH'!L13+'[3]PYG JARDIN'!L13</f>
        <v>0</v>
      </c>
      <c r="M13" s="50">
        <f>'[3]PYG GULAH'!M13+'[3]PYG JARDIN'!M13</f>
        <v>0</v>
      </c>
      <c r="N13" s="50">
        <f>'[3]PYG GULAH'!N13+'[3]PYG JARDIN'!N13</f>
        <v>0</v>
      </c>
    </row>
    <row r="14" spans="1:14" x14ac:dyDescent="0.25">
      <c r="A14" s="34" t="s">
        <v>1201</v>
      </c>
      <c r="B14" s="33"/>
      <c r="C14" s="50">
        <f>'[3]PYG GULAH'!C14+'[3]PYG JARDIN'!C14</f>
        <v>0</v>
      </c>
      <c r="D14" s="50">
        <f>'[3]PYG GULAH'!D14+'[3]PYG JARDIN'!D14</f>
        <v>0</v>
      </c>
      <c r="E14" s="50">
        <f>'[3]PYG GULAH'!E14+'[3]PYG JARDIN'!E14</f>
        <v>0</v>
      </c>
      <c r="F14" s="50">
        <f>'[3]PYG GULAH'!F14+'[3]PYG JARDIN'!F14</f>
        <v>0</v>
      </c>
      <c r="G14" s="50">
        <f>'[3]PYG GULAH'!G14+'[3]PYG JARDIN'!G14</f>
        <v>0</v>
      </c>
      <c r="H14" s="50">
        <f>'[3]PYG GULAH'!H14+'[3]PYG JARDIN'!H14</f>
        <v>0</v>
      </c>
      <c r="I14" s="50">
        <f>'[3]PYG GULAH'!I14+'[3]PYG JARDIN'!I14</f>
        <v>0</v>
      </c>
      <c r="J14" s="50">
        <f>'[3]PYG GULAH'!J14+'[3]PYG JARDIN'!J14</f>
        <v>0</v>
      </c>
      <c r="K14" s="50">
        <f>'[3]PYG GULAH'!K14+'[3]PYG JARDIN'!K14</f>
        <v>0</v>
      </c>
      <c r="L14" s="50">
        <f>'[3]PYG GULAH'!L14+'[3]PYG JARDIN'!L14</f>
        <v>0</v>
      </c>
      <c r="M14" s="50">
        <f>'[3]PYG GULAH'!M14+'[3]PYG JARDIN'!M14</f>
        <v>0</v>
      </c>
      <c r="N14" s="50">
        <f>'[3]PYG GULAH'!N14+'[3]PYG JARDIN'!N14</f>
        <v>0</v>
      </c>
    </row>
    <row r="15" spans="1:14" x14ac:dyDescent="0.25">
      <c r="A15" s="32" t="s">
        <v>1202</v>
      </c>
      <c r="B15" s="33">
        <f>'[2]PYG 2025 GULAH'!B15+'[2]PYG 2025 JARDIN'!B15</f>
        <v>475000</v>
      </c>
      <c r="C15" s="50">
        <f>'[3]PYG GULAH'!C15+'[3]PYG JARDIN'!C15</f>
        <v>16500</v>
      </c>
      <c r="D15" s="50">
        <f>'[3]PYG GULAH'!D15+'[3]PYG JARDIN'!D15</f>
        <v>25250</v>
      </c>
      <c r="E15" s="50">
        <f>'[3]PYG GULAH'!E15+'[3]PYG JARDIN'!E15</f>
        <v>27500</v>
      </c>
      <c r="F15" s="50">
        <f>'[3]PYG GULAH'!F15+'[3]PYG JARDIN'!F15</f>
        <v>35000</v>
      </c>
      <c r="G15" s="50">
        <f>'[3]PYG GULAH'!G15+'[3]PYG JARDIN'!G15</f>
        <v>47250</v>
      </c>
      <c r="H15" s="50">
        <f>'[3]PYG GULAH'!H15+'[3]PYG JARDIN'!H15</f>
        <v>58250</v>
      </c>
      <c r="I15" s="50">
        <f>'[3]PYG GULAH'!I15+'[3]PYG JARDIN'!I15</f>
        <v>54750</v>
      </c>
      <c r="J15" s="50">
        <f>'[3]PYG GULAH'!J15+'[3]PYG JARDIN'!J15</f>
        <v>29750</v>
      </c>
      <c r="K15" s="50">
        <f>'[3]PYG GULAH'!K15+'[3]PYG JARDIN'!K15</f>
        <v>46250</v>
      </c>
      <c r="L15" s="50">
        <f>'[3]PYG GULAH'!L15+'[3]PYG JARDIN'!L15</f>
        <v>37500</v>
      </c>
      <c r="M15" s="50">
        <f>'[3]PYG GULAH'!M15+'[3]PYG JARDIN'!M15</f>
        <v>30000</v>
      </c>
      <c r="N15" s="50">
        <f>'[3]PYG GULAH'!N15+'[3]PYG JARDIN'!N15</f>
        <v>37375</v>
      </c>
    </row>
    <row r="16" spans="1:14" x14ac:dyDescent="0.25">
      <c r="A16" s="32"/>
      <c r="B16" s="33"/>
      <c r="C16" s="50">
        <f>'[3]PYG GULAH'!C16+'[3]PYG JARDIN'!C16</f>
        <v>0</v>
      </c>
      <c r="D16" s="50">
        <f>'[3]PYG GULAH'!D16+'[3]PYG JARDIN'!D16</f>
        <v>0</v>
      </c>
      <c r="E16" s="50">
        <f>'[3]PYG GULAH'!E16+'[3]PYG JARDIN'!E16</f>
        <v>0</v>
      </c>
      <c r="F16" s="50">
        <f>'[3]PYG GULAH'!F16+'[3]PYG JARDIN'!F16</f>
        <v>0</v>
      </c>
      <c r="G16" s="50">
        <f>'[3]PYG GULAH'!G16+'[3]PYG JARDIN'!G16</f>
        <v>0</v>
      </c>
      <c r="H16" s="50">
        <f>'[3]PYG GULAH'!H16+'[3]PYG JARDIN'!H16</f>
        <v>0</v>
      </c>
      <c r="I16" s="50">
        <f>'[3]PYG GULAH'!I16+'[3]PYG JARDIN'!I16</f>
        <v>0</v>
      </c>
      <c r="J16" s="50">
        <f>'[3]PYG GULAH'!J16+'[3]PYG JARDIN'!J16</f>
        <v>0</v>
      </c>
      <c r="K16" s="50">
        <f>'[3]PYG GULAH'!K16+'[3]PYG JARDIN'!K16</f>
        <v>0</v>
      </c>
      <c r="L16" s="50">
        <f>'[3]PYG GULAH'!L16+'[3]PYG JARDIN'!L16</f>
        <v>0</v>
      </c>
      <c r="M16" s="50">
        <f>'[3]PYG GULAH'!M16+'[3]PYG JARDIN'!M16</f>
        <v>0</v>
      </c>
      <c r="N16" s="50">
        <f>'[3]PYG GULAH'!N16+'[3]PYG JARDIN'!N16</f>
        <v>0</v>
      </c>
    </row>
    <row r="17" spans="1:14" x14ac:dyDescent="0.25">
      <c r="A17" s="34" t="s">
        <v>1203</v>
      </c>
      <c r="B17" s="33"/>
      <c r="C17" s="50">
        <f>'[3]PYG GULAH'!C17+'[3]PYG JARDIN'!C17</f>
        <v>0</v>
      </c>
      <c r="D17" s="50">
        <f>'[3]PYG GULAH'!D17+'[3]PYG JARDIN'!D17</f>
        <v>0</v>
      </c>
      <c r="E17" s="50">
        <f>'[3]PYG GULAH'!E17+'[3]PYG JARDIN'!E17</f>
        <v>0</v>
      </c>
      <c r="F17" s="50">
        <f>'[3]PYG GULAH'!F17+'[3]PYG JARDIN'!F17</f>
        <v>0</v>
      </c>
      <c r="G17" s="50">
        <f>'[3]PYG GULAH'!G17+'[3]PYG JARDIN'!G17</f>
        <v>0</v>
      </c>
      <c r="H17" s="50">
        <f>'[3]PYG GULAH'!H17+'[3]PYG JARDIN'!H17</f>
        <v>0</v>
      </c>
      <c r="I17" s="50">
        <f>'[3]PYG GULAH'!I17+'[3]PYG JARDIN'!I17</f>
        <v>0</v>
      </c>
      <c r="J17" s="50">
        <f>'[3]PYG GULAH'!J17+'[3]PYG JARDIN'!J17</f>
        <v>0</v>
      </c>
      <c r="K17" s="50">
        <f>'[3]PYG GULAH'!K17+'[3]PYG JARDIN'!K17</f>
        <v>0</v>
      </c>
      <c r="L17" s="50">
        <f>'[3]PYG GULAH'!L17+'[3]PYG JARDIN'!L17</f>
        <v>0</v>
      </c>
      <c r="M17" s="50">
        <f>'[3]PYG GULAH'!M17+'[3]PYG JARDIN'!M17</f>
        <v>0</v>
      </c>
      <c r="N17" s="50">
        <f>'[3]PYG GULAH'!N17+'[3]PYG JARDIN'!N17</f>
        <v>0</v>
      </c>
    </row>
    <row r="18" spans="1:14" x14ac:dyDescent="0.25">
      <c r="A18" s="32"/>
      <c r="B18" s="33"/>
      <c r="C18" s="50">
        <f>'[3]PYG GULAH'!C18+'[3]PYG JARDIN'!C18</f>
        <v>0</v>
      </c>
      <c r="D18" s="50">
        <f>'[3]PYG GULAH'!D18+'[3]PYG JARDIN'!D18</f>
        <v>0</v>
      </c>
      <c r="E18" s="50">
        <f>'[3]PYG GULAH'!E18+'[3]PYG JARDIN'!E18</f>
        <v>0</v>
      </c>
      <c r="F18" s="50">
        <f>'[3]PYG GULAH'!F18+'[3]PYG JARDIN'!F18</f>
        <v>0</v>
      </c>
      <c r="G18" s="50">
        <f>'[3]PYG GULAH'!G18+'[3]PYG JARDIN'!G18</f>
        <v>0</v>
      </c>
      <c r="H18" s="50">
        <f>'[3]PYG GULAH'!H18+'[3]PYG JARDIN'!H18</f>
        <v>0</v>
      </c>
      <c r="I18" s="50">
        <f>'[3]PYG GULAH'!I18+'[3]PYG JARDIN'!I18</f>
        <v>0</v>
      </c>
      <c r="J18" s="50">
        <f>'[3]PYG GULAH'!J18+'[3]PYG JARDIN'!J18</f>
        <v>0</v>
      </c>
      <c r="K18" s="50">
        <f>'[3]PYG GULAH'!K18+'[3]PYG JARDIN'!K18</f>
        <v>0</v>
      </c>
      <c r="L18" s="50">
        <f>'[3]PYG GULAH'!L18+'[3]PYG JARDIN'!L18</f>
        <v>0</v>
      </c>
      <c r="M18" s="50">
        <f>'[3]PYG GULAH'!M18+'[3]PYG JARDIN'!M18</f>
        <v>0</v>
      </c>
      <c r="N18" s="50">
        <f>'[3]PYG GULAH'!N18+'[3]PYG JARDIN'!N18</f>
        <v>0</v>
      </c>
    </row>
    <row r="19" spans="1:14" x14ac:dyDescent="0.25">
      <c r="A19" s="34" t="s">
        <v>1204</v>
      </c>
      <c r="B19" s="33"/>
      <c r="C19" s="50">
        <f>'[3]PYG GULAH'!C19+'[3]PYG JARDIN'!C19</f>
        <v>0</v>
      </c>
      <c r="D19" s="50">
        <f>'[3]PYG GULAH'!D19+'[3]PYG JARDIN'!D19</f>
        <v>0</v>
      </c>
      <c r="E19" s="50">
        <f>'[3]PYG GULAH'!E19+'[3]PYG JARDIN'!E19</f>
        <v>0</v>
      </c>
      <c r="F19" s="50">
        <f>'[3]PYG GULAH'!F19+'[3]PYG JARDIN'!F19</f>
        <v>0</v>
      </c>
      <c r="G19" s="50">
        <f>'[3]PYG GULAH'!G19+'[3]PYG JARDIN'!G19</f>
        <v>0</v>
      </c>
      <c r="H19" s="50">
        <f>'[3]PYG GULAH'!H19+'[3]PYG JARDIN'!H19</f>
        <v>0</v>
      </c>
      <c r="I19" s="50">
        <f>'[3]PYG GULAH'!I19+'[3]PYG JARDIN'!I19</f>
        <v>0</v>
      </c>
      <c r="J19" s="50">
        <f>'[3]PYG GULAH'!J19+'[3]PYG JARDIN'!J19</f>
        <v>0</v>
      </c>
      <c r="K19" s="50">
        <f>'[3]PYG GULAH'!K19+'[3]PYG JARDIN'!K19</f>
        <v>0</v>
      </c>
      <c r="L19" s="50">
        <f>'[3]PYG GULAH'!L19+'[3]PYG JARDIN'!L19</f>
        <v>0</v>
      </c>
      <c r="M19" s="50">
        <f>'[3]PYG GULAH'!M19+'[3]PYG JARDIN'!M19</f>
        <v>0</v>
      </c>
      <c r="N19" s="50">
        <f>'[3]PYG GULAH'!N19+'[3]PYG JARDIN'!N19</f>
        <v>0</v>
      </c>
    </row>
    <row r="20" spans="1:14" x14ac:dyDescent="0.25">
      <c r="A20" s="32" t="s">
        <v>1205</v>
      </c>
      <c r="B20" s="33">
        <f>'[2]PYG 2025 GULAH'!B20+'[2]PYG 2025 JARDIN'!B20</f>
        <v>509127.79080000002</v>
      </c>
      <c r="C20" s="50">
        <f>'[3]PYG GULAH'!C20+'[3]PYG JARDIN'!C20</f>
        <v>30010.649233333334</v>
      </c>
      <c r="D20" s="50">
        <f>'[3]PYG GULAH'!D20+'[3]PYG JARDIN'!D20</f>
        <v>42427.315900000001</v>
      </c>
      <c r="E20" s="50">
        <f>'[3]PYG GULAH'!E20+'[3]PYG JARDIN'!E20</f>
        <v>42427.315900000001</v>
      </c>
      <c r="F20" s="50">
        <f>'[3]PYG GULAH'!F20+'[3]PYG JARDIN'!F20</f>
        <v>42427.315900000001</v>
      </c>
      <c r="G20" s="50">
        <f>'[3]PYG GULAH'!G20+'[3]PYG JARDIN'!G20</f>
        <v>42427.315900000001</v>
      </c>
      <c r="H20" s="50">
        <f>'[3]PYG GULAH'!H20+'[3]PYG JARDIN'!H20</f>
        <v>42427.315900000001</v>
      </c>
      <c r="I20" s="50">
        <f>'[3]PYG GULAH'!I20+'[3]PYG JARDIN'!I20</f>
        <v>42427.315900000001</v>
      </c>
      <c r="J20" s="50">
        <f>'[3]PYG GULAH'!J20+'[3]PYG JARDIN'!J20</f>
        <v>42427.315900000001</v>
      </c>
      <c r="K20" s="50">
        <f>'[3]PYG GULAH'!K20+'[3]PYG JARDIN'!K20</f>
        <v>42427.315900000001</v>
      </c>
      <c r="L20" s="50">
        <f>'[3]PYG GULAH'!L20+'[3]PYG JARDIN'!L20</f>
        <v>42427.315900000001</v>
      </c>
      <c r="M20" s="50">
        <f>'[3]PYG GULAH'!M20+'[3]PYG JARDIN'!M20</f>
        <v>42427.315900000001</v>
      </c>
      <c r="N20" s="50">
        <f>'[3]PYG GULAH'!N20+'[3]PYG JARDIN'!N20</f>
        <v>42427.315900000001</v>
      </c>
    </row>
    <row r="21" spans="1:14" x14ac:dyDescent="0.25">
      <c r="A21" s="32" t="s">
        <v>1206</v>
      </c>
      <c r="B21" s="33">
        <f>'[2]PYG 2025 GULAH'!B21+'[2]PYG 2025 JARDIN'!B21</f>
        <v>170044.72678</v>
      </c>
      <c r="C21" s="50">
        <f>'[3]PYG GULAH'!C21+'[3]PYG JARDIN'!C21</f>
        <v>10503.727231666666</v>
      </c>
      <c r="D21" s="50">
        <f>'[3]PYG GULAH'!D21+'[3]PYG JARDIN'!D21</f>
        <v>14170.393898333332</v>
      </c>
      <c r="E21" s="50">
        <f>'[3]PYG GULAH'!E21+'[3]PYG JARDIN'!E21</f>
        <v>14170.393898333332</v>
      </c>
      <c r="F21" s="50">
        <f>'[3]PYG GULAH'!F21+'[3]PYG JARDIN'!F21</f>
        <v>14170.393898333332</v>
      </c>
      <c r="G21" s="50">
        <f>'[3]PYG GULAH'!G21+'[3]PYG JARDIN'!G21</f>
        <v>14170.393898333332</v>
      </c>
      <c r="H21" s="50">
        <f>'[3]PYG GULAH'!H21+'[3]PYG JARDIN'!H21</f>
        <v>14170.393898333332</v>
      </c>
      <c r="I21" s="50">
        <f>'[3]PYG GULAH'!I21+'[3]PYG JARDIN'!I21</f>
        <v>14170.393898333332</v>
      </c>
      <c r="J21" s="50">
        <f>'[3]PYG GULAH'!J21+'[3]PYG JARDIN'!J21</f>
        <v>14170.393898333332</v>
      </c>
      <c r="K21" s="50">
        <f>'[3]PYG GULAH'!K21+'[3]PYG JARDIN'!K21</f>
        <v>14170.393898333332</v>
      </c>
      <c r="L21" s="50">
        <f>'[3]PYG GULAH'!L21+'[3]PYG JARDIN'!L21</f>
        <v>14170.393898333332</v>
      </c>
      <c r="M21" s="50">
        <f>'[3]PYG GULAH'!M21+'[3]PYG JARDIN'!M21</f>
        <v>14170.393898333332</v>
      </c>
      <c r="N21" s="50">
        <f>'[3]PYG GULAH'!N21+'[3]PYG JARDIN'!N21</f>
        <v>14170.393898333332</v>
      </c>
    </row>
    <row r="22" spans="1:14" x14ac:dyDescent="0.25">
      <c r="A22" s="32" t="s">
        <v>1240</v>
      </c>
      <c r="B22" s="33">
        <v>15000</v>
      </c>
      <c r="C22" s="50">
        <f>'[3]PYG GULAH'!C22+'[3]PYG JARDIN'!C22</f>
        <v>0</v>
      </c>
      <c r="D22" s="50">
        <f>'[3]PYG GULAH'!D22+'[3]PYG JARDIN'!D22</f>
        <v>0</v>
      </c>
      <c r="E22" s="50">
        <f>'[3]PYG GULAH'!E22+'[3]PYG JARDIN'!E22</f>
        <v>0</v>
      </c>
      <c r="F22" s="50">
        <f>'[3]PYG GULAH'!F22+'[3]PYG JARDIN'!F22</f>
        <v>0</v>
      </c>
      <c r="G22" s="50">
        <f>'[3]PYG GULAH'!G22+'[3]PYG JARDIN'!G22</f>
        <v>0</v>
      </c>
      <c r="H22" s="50">
        <f>'[3]PYG GULAH'!H22+'[3]PYG JARDIN'!H22</f>
        <v>0</v>
      </c>
      <c r="I22" s="50">
        <f>'[3]PYG GULAH'!I22+'[3]PYG JARDIN'!I22</f>
        <v>0</v>
      </c>
      <c r="J22" s="50">
        <f>'[3]PYG GULAH'!J22+'[3]PYG JARDIN'!J22</f>
        <v>0</v>
      </c>
      <c r="K22" s="50">
        <f>'[3]PYG GULAH'!K22+'[3]PYG JARDIN'!K22</f>
        <v>0</v>
      </c>
      <c r="L22" s="50">
        <f>'[3]PYG GULAH'!L22+'[3]PYG JARDIN'!L22</f>
        <v>0</v>
      </c>
      <c r="M22" s="50">
        <f>'[3]PYG GULAH'!M22+'[3]PYG JARDIN'!M22</f>
        <v>0</v>
      </c>
      <c r="N22" s="50">
        <f>'[3]PYG GULAH'!N22+'[3]PYG JARDIN'!N22</f>
        <v>0</v>
      </c>
    </row>
    <row r="23" spans="1:14" x14ac:dyDescent="0.25">
      <c r="A23" s="32"/>
      <c r="B23" s="33"/>
      <c r="C23" s="50">
        <f>'[3]PYG GULAH'!C23+'[3]PYG JARDIN'!C23</f>
        <v>0</v>
      </c>
      <c r="D23" s="50">
        <f>'[3]PYG GULAH'!D23+'[3]PYG JARDIN'!D23</f>
        <v>0</v>
      </c>
      <c r="E23" s="50">
        <f>'[3]PYG GULAH'!E23+'[3]PYG JARDIN'!E23</f>
        <v>0</v>
      </c>
      <c r="F23" s="50">
        <f>'[3]PYG GULAH'!F23+'[3]PYG JARDIN'!F23</f>
        <v>0</v>
      </c>
      <c r="G23" s="50">
        <f>'[3]PYG GULAH'!G23+'[3]PYG JARDIN'!G23</f>
        <v>0</v>
      </c>
      <c r="H23" s="50">
        <f>'[3]PYG GULAH'!H23+'[3]PYG JARDIN'!H23</f>
        <v>0</v>
      </c>
      <c r="I23" s="50">
        <f>'[3]PYG GULAH'!I23+'[3]PYG JARDIN'!I23</f>
        <v>0</v>
      </c>
      <c r="J23" s="50">
        <f>'[3]PYG GULAH'!J23+'[3]PYG JARDIN'!J23</f>
        <v>0</v>
      </c>
      <c r="K23" s="50">
        <f>'[3]PYG GULAH'!K23+'[3]PYG JARDIN'!K23</f>
        <v>0</v>
      </c>
      <c r="L23" s="50">
        <f>'[3]PYG GULAH'!L23+'[3]PYG JARDIN'!L23</f>
        <v>0</v>
      </c>
      <c r="M23" s="50">
        <f>'[3]PYG GULAH'!M23+'[3]PYG JARDIN'!M23</f>
        <v>0</v>
      </c>
      <c r="N23" s="50">
        <f>'[3]PYG GULAH'!N23+'[3]PYG JARDIN'!N23</f>
        <v>0</v>
      </c>
    </row>
    <row r="24" spans="1:14" x14ac:dyDescent="0.25">
      <c r="A24" s="34" t="s">
        <v>1208</v>
      </c>
      <c r="B24" s="33"/>
      <c r="C24" s="50">
        <f>'[3]PYG GULAH'!C24+'[3]PYG JARDIN'!C24</f>
        <v>0</v>
      </c>
      <c r="D24" s="50">
        <f>'[3]PYG GULAH'!D24+'[3]PYG JARDIN'!D24</f>
        <v>0</v>
      </c>
      <c r="E24" s="50">
        <f>'[3]PYG GULAH'!E24+'[3]PYG JARDIN'!E24</f>
        <v>0</v>
      </c>
      <c r="F24" s="50">
        <f>'[3]PYG GULAH'!F24+'[3]PYG JARDIN'!F24</f>
        <v>0</v>
      </c>
      <c r="G24" s="50">
        <f>'[3]PYG GULAH'!G24+'[3]PYG JARDIN'!G24</f>
        <v>0</v>
      </c>
      <c r="H24" s="50">
        <f>'[3]PYG GULAH'!H24+'[3]PYG JARDIN'!H24</f>
        <v>0</v>
      </c>
      <c r="I24" s="50">
        <f>'[3]PYG GULAH'!I24+'[3]PYG JARDIN'!I24</f>
        <v>0</v>
      </c>
      <c r="J24" s="50">
        <f>'[3]PYG GULAH'!J24+'[3]PYG JARDIN'!J24</f>
        <v>0</v>
      </c>
      <c r="K24" s="50">
        <f>'[3]PYG GULAH'!K24+'[3]PYG JARDIN'!K24</f>
        <v>0</v>
      </c>
      <c r="L24" s="50">
        <f>'[3]PYG GULAH'!L24+'[3]PYG JARDIN'!L24</f>
        <v>0</v>
      </c>
      <c r="M24" s="50">
        <f>'[3]PYG GULAH'!M24+'[3]PYG JARDIN'!M24</f>
        <v>0</v>
      </c>
      <c r="N24" s="50">
        <f>'[3]PYG GULAH'!N24+'[3]PYG JARDIN'!N24</f>
        <v>0</v>
      </c>
    </row>
    <row r="25" spans="1:14" x14ac:dyDescent="0.25">
      <c r="A25" s="32" t="s">
        <v>1209</v>
      </c>
      <c r="B25" s="33">
        <f>'[2]PYG 2025 GULAH'!B25+'[2]PYG 2025 JARDIN'!B25</f>
        <v>236400</v>
      </c>
      <c r="C25" s="50">
        <f>'[3]PYG GULAH'!C25+'[3]PYG JARDIN'!C25</f>
        <v>19700</v>
      </c>
      <c r="D25" s="50">
        <f>'[3]PYG GULAH'!D25+'[3]PYG JARDIN'!D25</f>
        <v>19700</v>
      </c>
      <c r="E25" s="50">
        <f>'[3]PYG GULAH'!E25+'[3]PYG JARDIN'!E25</f>
        <v>19700</v>
      </c>
      <c r="F25" s="50">
        <f>'[3]PYG GULAH'!F25+'[3]PYG JARDIN'!F25</f>
        <v>19700</v>
      </c>
      <c r="G25" s="50">
        <f>'[3]PYG GULAH'!G25+'[3]PYG JARDIN'!G25</f>
        <v>19700</v>
      </c>
      <c r="H25" s="50">
        <f>'[3]PYG GULAH'!H25+'[3]PYG JARDIN'!H25</f>
        <v>19700</v>
      </c>
      <c r="I25" s="50">
        <f>'[3]PYG GULAH'!I25+'[3]PYG JARDIN'!I25</f>
        <v>19700</v>
      </c>
      <c r="J25" s="50">
        <f>'[3]PYG GULAH'!J25+'[3]PYG JARDIN'!J25</f>
        <v>19700</v>
      </c>
      <c r="K25" s="50">
        <f>'[3]PYG GULAH'!K25+'[3]PYG JARDIN'!K25</f>
        <v>19700</v>
      </c>
      <c r="L25" s="50">
        <f>'[3]PYG GULAH'!L25+'[3]PYG JARDIN'!L25</f>
        <v>19700</v>
      </c>
      <c r="M25" s="50">
        <f>'[3]PYG GULAH'!M25+'[3]PYG JARDIN'!M25</f>
        <v>19700</v>
      </c>
      <c r="N25" s="50">
        <f>'[3]PYG GULAH'!N25+'[3]PYG JARDIN'!N25</f>
        <v>19700</v>
      </c>
    </row>
    <row r="26" spans="1:14" x14ac:dyDescent="0.25">
      <c r="A26" s="32" t="s">
        <v>1210</v>
      </c>
      <c r="B26" s="33">
        <f>'[2]PYG 2025 GULAH'!B26+'[2]PYG 2025 JARDIN'!B26</f>
        <v>25600</v>
      </c>
      <c r="C26" s="50">
        <f>'[3]PYG GULAH'!C26+'[3]PYG JARDIN'!C26</f>
        <v>1250</v>
      </c>
      <c r="D26" s="50">
        <f>'[3]PYG GULAH'!D26+'[3]PYG JARDIN'!D26</f>
        <v>2133.3333333333335</v>
      </c>
      <c r="E26" s="50">
        <f>'[3]PYG GULAH'!E26+'[3]PYG JARDIN'!E26</f>
        <v>2133.3333333333335</v>
      </c>
      <c r="F26" s="50">
        <f>'[3]PYG GULAH'!F26+'[3]PYG JARDIN'!F26</f>
        <v>2133.3333333333335</v>
      </c>
      <c r="G26" s="50">
        <f>'[3]PYG GULAH'!G26+'[3]PYG JARDIN'!G26</f>
        <v>2133.3333333333335</v>
      </c>
      <c r="H26" s="50">
        <f>'[3]PYG GULAH'!H26+'[3]PYG JARDIN'!H26</f>
        <v>2133.3333333333335</v>
      </c>
      <c r="I26" s="50">
        <f>'[3]PYG GULAH'!I26+'[3]PYG JARDIN'!I26</f>
        <v>2133.3333333333335</v>
      </c>
      <c r="J26" s="50">
        <f>'[3]PYG GULAH'!J26+'[3]PYG JARDIN'!J26</f>
        <v>2133.3333333333335</v>
      </c>
      <c r="K26" s="50">
        <f>'[3]PYG GULAH'!K26+'[3]PYG JARDIN'!K26</f>
        <v>2133.3333333333335</v>
      </c>
      <c r="L26" s="50">
        <f>'[3]PYG GULAH'!L26+'[3]PYG JARDIN'!L26</f>
        <v>2133.3333333333335</v>
      </c>
      <c r="M26" s="50">
        <f>'[3]PYG GULAH'!M26+'[3]PYG JARDIN'!M26</f>
        <v>2133.3333333333335</v>
      </c>
      <c r="N26" s="50">
        <f>'[3]PYG GULAH'!N26+'[3]PYG JARDIN'!N26</f>
        <v>2133.3333333333335</v>
      </c>
    </row>
    <row r="27" spans="1:14" x14ac:dyDescent="0.25">
      <c r="A27" s="32" t="s">
        <v>1211</v>
      </c>
      <c r="B27" s="33">
        <f>'[2]PYG 2025 GULAH'!B27+'[2]PYG 2025 JARDIN'!B27</f>
        <v>3000</v>
      </c>
      <c r="C27" s="50">
        <f>'[3]PYG GULAH'!C27+'[3]PYG JARDIN'!C27</f>
        <v>0</v>
      </c>
      <c r="D27" s="50">
        <f>'[3]PYG GULAH'!D27+'[3]PYG JARDIN'!D27</f>
        <v>0</v>
      </c>
      <c r="E27" s="50">
        <f>'[3]PYG GULAH'!E27+'[3]PYG JARDIN'!E27</f>
        <v>0</v>
      </c>
      <c r="F27" s="50">
        <f>'[3]PYG GULAH'!F27+'[3]PYG JARDIN'!F27</f>
        <v>0</v>
      </c>
      <c r="G27" s="50">
        <f>'[3]PYG GULAH'!G27+'[3]PYG JARDIN'!G27</f>
        <v>0</v>
      </c>
      <c r="H27" s="50">
        <f>'[3]PYG GULAH'!H27+'[3]PYG JARDIN'!H27</f>
        <v>0</v>
      </c>
      <c r="I27" s="50">
        <f>'[3]PYG GULAH'!I27+'[3]PYG JARDIN'!I27</f>
        <v>0</v>
      </c>
      <c r="J27" s="50">
        <f>'[3]PYG GULAH'!J27+'[3]PYG JARDIN'!J27</f>
        <v>0</v>
      </c>
      <c r="K27" s="50">
        <f>'[3]PYG GULAH'!K27+'[3]PYG JARDIN'!K27</f>
        <v>0</v>
      </c>
      <c r="L27" s="50">
        <f>'[3]PYG GULAH'!L27+'[3]PYG JARDIN'!L27</f>
        <v>0</v>
      </c>
      <c r="M27" s="50">
        <f>'[3]PYG GULAH'!M27+'[3]PYG JARDIN'!M27</f>
        <v>0</v>
      </c>
      <c r="N27" s="50">
        <f>'[3]PYG GULAH'!N27+'[3]PYG JARDIN'!N27</f>
        <v>0</v>
      </c>
    </row>
    <row r="28" spans="1:14" x14ac:dyDescent="0.25">
      <c r="A28" s="32" t="s">
        <v>1212</v>
      </c>
      <c r="B28" s="33">
        <f>'[2]PYG 2025 GULAH'!B28+'[2]PYG 2025 JARDIN'!B28</f>
        <v>3375</v>
      </c>
      <c r="C28" s="50">
        <f>'[3]PYG GULAH'!C28+'[3]PYG JARDIN'!C28</f>
        <v>0</v>
      </c>
      <c r="D28" s="50">
        <f>'[3]PYG GULAH'!D28+'[3]PYG JARDIN'!D28</f>
        <v>0</v>
      </c>
      <c r="E28" s="50">
        <f>'[3]PYG GULAH'!E28+'[3]PYG JARDIN'!E28</f>
        <v>0</v>
      </c>
      <c r="F28" s="50">
        <f>'[3]PYG GULAH'!F28+'[3]PYG JARDIN'!F28</f>
        <v>0</v>
      </c>
      <c r="G28" s="50">
        <f>'[3]PYG GULAH'!G28+'[3]PYG JARDIN'!G28</f>
        <v>2750</v>
      </c>
      <c r="H28" s="50">
        <f>'[3]PYG GULAH'!H28+'[3]PYG JARDIN'!H28</f>
        <v>0</v>
      </c>
      <c r="I28" s="50">
        <f>'[3]PYG GULAH'!I28+'[3]PYG JARDIN'!I28</f>
        <v>0</v>
      </c>
      <c r="J28" s="50">
        <f>'[3]PYG GULAH'!J28+'[3]PYG JARDIN'!J28</f>
        <v>0</v>
      </c>
      <c r="K28" s="50">
        <f>'[3]PYG GULAH'!K28+'[3]PYG JARDIN'!K28</f>
        <v>0</v>
      </c>
      <c r="L28" s="50">
        <f>'[3]PYG GULAH'!L28+'[3]PYG JARDIN'!L28</f>
        <v>0</v>
      </c>
      <c r="M28" s="50">
        <f>'[3]PYG GULAH'!M28+'[3]PYG JARDIN'!M28</f>
        <v>0</v>
      </c>
      <c r="N28" s="50">
        <f>'[3]PYG GULAH'!N28+'[3]PYG JARDIN'!N28</f>
        <v>0</v>
      </c>
    </row>
    <row r="29" spans="1:14" x14ac:dyDescent="0.25">
      <c r="A29" s="32" t="s">
        <v>1213</v>
      </c>
      <c r="B29" s="33">
        <f>'[2]PYG 2025 GULAH'!B29+'[2]PYG 2025 JARDIN'!B29</f>
        <v>6000</v>
      </c>
      <c r="C29" s="50">
        <f>'[3]PYG GULAH'!C29+'[3]PYG JARDIN'!C29</f>
        <v>0</v>
      </c>
      <c r="D29" s="50">
        <f>'[3]PYG GULAH'!D29+'[3]PYG JARDIN'!D29</f>
        <v>0</v>
      </c>
      <c r="E29" s="50">
        <f>'[3]PYG GULAH'!E29+'[3]PYG JARDIN'!E29</f>
        <v>0</v>
      </c>
      <c r="F29" s="50">
        <f>'[3]PYG GULAH'!F29+'[3]PYG JARDIN'!F29</f>
        <v>0</v>
      </c>
      <c r="G29" s="50">
        <f>'[3]PYG GULAH'!G29+'[3]PYG JARDIN'!G29</f>
        <v>0</v>
      </c>
      <c r="H29" s="50">
        <f>'[3]PYG GULAH'!H29+'[3]PYG JARDIN'!H29</f>
        <v>0</v>
      </c>
      <c r="I29" s="50">
        <f>'[3]PYG GULAH'!I29+'[3]PYG JARDIN'!I29</f>
        <v>0</v>
      </c>
      <c r="J29" s="50">
        <f>'[3]PYG GULAH'!J29+'[3]PYG JARDIN'!J29</f>
        <v>0</v>
      </c>
      <c r="K29" s="50">
        <f>'[3]PYG GULAH'!K29+'[3]PYG JARDIN'!K29</f>
        <v>0</v>
      </c>
      <c r="L29" s="50">
        <f>'[3]PYG GULAH'!L29+'[3]PYG JARDIN'!L29</f>
        <v>0</v>
      </c>
      <c r="M29" s="50">
        <f>'[3]PYG GULAH'!M29+'[3]PYG JARDIN'!M29</f>
        <v>0</v>
      </c>
      <c r="N29" s="50">
        <f>'[3]PYG GULAH'!N29+'[3]PYG JARDIN'!N29</f>
        <v>0</v>
      </c>
    </row>
    <row r="30" spans="1:14" x14ac:dyDescent="0.25">
      <c r="A30" s="32" t="s">
        <v>1214</v>
      </c>
      <c r="B30" s="33">
        <f>'[2]PYG 2025 GULAH'!B30+'[2]PYG 2025 JARDIN'!B30</f>
        <v>56500</v>
      </c>
      <c r="C30" s="50">
        <f>'[3]PYG GULAH'!C30+'[3]PYG JARDIN'!C30</f>
        <v>0</v>
      </c>
      <c r="D30" s="50">
        <f>'[3]PYG GULAH'!D30+'[3]PYG JARDIN'!D30</f>
        <v>4708.3333333333339</v>
      </c>
      <c r="E30" s="50">
        <f>'[3]PYG GULAH'!E30+'[3]PYG JARDIN'!E30</f>
        <v>4708.3333333333339</v>
      </c>
      <c r="F30" s="50">
        <f>'[3]PYG GULAH'!F30+'[3]PYG JARDIN'!F30</f>
        <v>4708.3333333333339</v>
      </c>
      <c r="G30" s="50">
        <f>'[3]PYG GULAH'!G30+'[3]PYG JARDIN'!G30</f>
        <v>4708.3333333333339</v>
      </c>
      <c r="H30" s="50">
        <f>'[3]PYG GULAH'!H30+'[3]PYG JARDIN'!H30</f>
        <v>4708.3333333333339</v>
      </c>
      <c r="I30" s="50">
        <f>'[3]PYG GULAH'!I30+'[3]PYG JARDIN'!I30</f>
        <v>4708.3333333333339</v>
      </c>
      <c r="J30" s="50">
        <f>'[3]PYG GULAH'!J30+'[3]PYG JARDIN'!J30</f>
        <v>4708.3333333333339</v>
      </c>
      <c r="K30" s="50">
        <f>'[3]PYG GULAH'!K30+'[3]PYG JARDIN'!K30</f>
        <v>4708.3333333333339</v>
      </c>
      <c r="L30" s="50">
        <f>'[3]PYG GULAH'!L30+'[3]PYG JARDIN'!L30</f>
        <v>4708.3333333333339</v>
      </c>
      <c r="M30" s="50">
        <f>'[3]PYG GULAH'!M30+'[3]PYG JARDIN'!M30</f>
        <v>4708.3333333333339</v>
      </c>
      <c r="N30" s="50">
        <f>'[3]PYG GULAH'!N30+'[3]PYG JARDIN'!N30</f>
        <v>4708.3333333333339</v>
      </c>
    </row>
    <row r="31" spans="1:14" x14ac:dyDescent="0.25">
      <c r="A31" s="32" t="s">
        <v>1215</v>
      </c>
      <c r="B31" s="33">
        <f>'[2]PYG 2025 GULAH'!B31+'[2]PYG 2025 JARDIN'!B31</f>
        <v>56000</v>
      </c>
      <c r="C31" s="50">
        <f>'[3]PYG GULAH'!C31+'[3]PYG JARDIN'!C31</f>
        <v>0</v>
      </c>
      <c r="D31" s="50">
        <f>'[3]PYG GULAH'!D31+'[3]PYG JARDIN'!D31</f>
        <v>4666.6666666666661</v>
      </c>
      <c r="E31" s="50">
        <f>'[3]PYG GULAH'!E31+'[3]PYG JARDIN'!E31</f>
        <v>4666.6666666666661</v>
      </c>
      <c r="F31" s="50">
        <f>'[3]PYG GULAH'!F31+'[3]PYG JARDIN'!F31</f>
        <v>4666.6666666666661</v>
      </c>
      <c r="G31" s="50">
        <f>'[3]PYG GULAH'!G31+'[3]PYG JARDIN'!G31</f>
        <v>4666.6666666666661</v>
      </c>
      <c r="H31" s="50">
        <f>'[3]PYG GULAH'!H31+'[3]PYG JARDIN'!H31</f>
        <v>4666.6666666666661</v>
      </c>
      <c r="I31" s="50">
        <f>'[3]PYG GULAH'!I31+'[3]PYG JARDIN'!I31</f>
        <v>4666.6666666666661</v>
      </c>
      <c r="J31" s="50">
        <f>'[3]PYG GULAH'!J31+'[3]PYG JARDIN'!J31</f>
        <v>4666.6666666666661</v>
      </c>
      <c r="K31" s="50">
        <f>'[3]PYG GULAH'!K31+'[3]PYG JARDIN'!K31</f>
        <v>4666.6666666666661</v>
      </c>
      <c r="L31" s="50">
        <f>'[3]PYG GULAH'!L31+'[3]PYG JARDIN'!L31</f>
        <v>4666.6666666666661</v>
      </c>
      <c r="M31" s="50">
        <f>'[3]PYG GULAH'!M31+'[3]PYG JARDIN'!M31</f>
        <v>4666.6666666666661</v>
      </c>
      <c r="N31" s="50">
        <f>'[3]PYG GULAH'!N31+'[3]PYG JARDIN'!N31</f>
        <v>4666.6666666666661</v>
      </c>
    </row>
    <row r="32" spans="1:14" x14ac:dyDescent="0.25">
      <c r="A32" s="32" t="s">
        <v>1216</v>
      </c>
      <c r="B32" s="33">
        <f>'[2]PYG 2025 GULAH'!B32+'[2]PYG 2025 JARDIN'!B32</f>
        <v>43850</v>
      </c>
      <c r="C32" s="50">
        <f>'[3]PYG GULAH'!C32+'[3]PYG JARDIN'!C32</f>
        <v>0</v>
      </c>
      <c r="D32" s="50">
        <f>'[3]PYG GULAH'!D32+'[3]PYG JARDIN'!D32</f>
        <v>3654.166666666667</v>
      </c>
      <c r="E32" s="50">
        <f>'[3]PYG GULAH'!E32+'[3]PYG JARDIN'!E32</f>
        <v>3654.166666666667</v>
      </c>
      <c r="F32" s="50">
        <f>'[3]PYG GULAH'!F32+'[3]PYG JARDIN'!F32</f>
        <v>3654.166666666667</v>
      </c>
      <c r="G32" s="50">
        <f>'[3]PYG GULAH'!G32+'[3]PYG JARDIN'!G32</f>
        <v>3654.166666666667</v>
      </c>
      <c r="H32" s="50">
        <f>'[3]PYG GULAH'!H32+'[3]PYG JARDIN'!H32</f>
        <v>3654.166666666667</v>
      </c>
      <c r="I32" s="50">
        <f>'[3]PYG GULAH'!I32+'[3]PYG JARDIN'!I32</f>
        <v>3654.166666666667</v>
      </c>
      <c r="J32" s="50">
        <f>'[3]PYG GULAH'!J32+'[3]PYG JARDIN'!J32</f>
        <v>3654.166666666667</v>
      </c>
      <c r="K32" s="50">
        <f>'[3]PYG GULAH'!K32+'[3]PYG JARDIN'!K32</f>
        <v>3654.166666666667</v>
      </c>
      <c r="L32" s="50">
        <f>'[3]PYG GULAH'!L32+'[3]PYG JARDIN'!L32</f>
        <v>3654.166666666667</v>
      </c>
      <c r="M32" s="50">
        <f>'[3]PYG GULAH'!M32+'[3]PYG JARDIN'!M32</f>
        <v>3654.166666666667</v>
      </c>
      <c r="N32" s="50">
        <f>'[3]PYG GULAH'!N32+'[3]PYG JARDIN'!N32</f>
        <v>3654.166666666667</v>
      </c>
    </row>
    <row r="33" spans="1:14" x14ac:dyDescent="0.25">
      <c r="A33" s="32" t="s">
        <v>1217</v>
      </c>
      <c r="B33" s="33">
        <f>'[2]PYG 2025 GULAH'!B33+'[2]PYG 2025 JARDIN'!B33</f>
        <v>0</v>
      </c>
      <c r="C33" s="50">
        <f>'[3]PYG GULAH'!C33+'[3]PYG JARDIN'!C33</f>
        <v>0</v>
      </c>
      <c r="D33" s="50">
        <f>'[3]PYG GULAH'!D33+'[3]PYG JARDIN'!D33</f>
        <v>0</v>
      </c>
      <c r="E33" s="50">
        <f>'[3]PYG GULAH'!E33+'[3]PYG JARDIN'!E33</f>
        <v>0</v>
      </c>
      <c r="F33" s="50">
        <f>'[3]PYG GULAH'!F33+'[3]PYG JARDIN'!F33</f>
        <v>0</v>
      </c>
      <c r="G33" s="50">
        <f>'[3]PYG GULAH'!G33+'[3]PYG JARDIN'!G33</f>
        <v>0</v>
      </c>
      <c r="H33" s="50">
        <f>'[3]PYG GULAH'!H33+'[3]PYG JARDIN'!H33</f>
        <v>0</v>
      </c>
      <c r="I33" s="50">
        <f>'[3]PYG GULAH'!I33+'[3]PYG JARDIN'!I33</f>
        <v>0</v>
      </c>
      <c r="J33" s="50">
        <f>'[3]PYG GULAH'!J33+'[3]PYG JARDIN'!J33</f>
        <v>0</v>
      </c>
      <c r="K33" s="50">
        <f>'[3]PYG GULAH'!K33+'[3]PYG JARDIN'!K33</f>
        <v>0</v>
      </c>
      <c r="L33" s="50">
        <f>'[3]PYG GULAH'!L33+'[3]PYG JARDIN'!L33</f>
        <v>0</v>
      </c>
      <c r="M33" s="50">
        <f>'[3]PYG GULAH'!M33+'[3]PYG JARDIN'!M33</f>
        <v>0</v>
      </c>
      <c r="N33" s="50">
        <f>'[3]PYG GULAH'!N33+'[3]PYG JARDIN'!N33</f>
        <v>0</v>
      </c>
    </row>
    <row r="34" spans="1:14" x14ac:dyDescent="0.25">
      <c r="A34" s="32"/>
      <c r="B34" s="33"/>
    </row>
    <row r="35" spans="1:14" x14ac:dyDescent="0.25">
      <c r="A35" s="34" t="s">
        <v>1218</v>
      </c>
      <c r="B35" s="33">
        <f>'[2]PYG 2025 GULAH'!B35+'[2]PYG 2025 JARDIN'!B35</f>
        <v>100000</v>
      </c>
      <c r="C35" s="25"/>
    </row>
    <row r="36" spans="1:14" x14ac:dyDescent="0.25">
      <c r="A36" s="32"/>
      <c r="B36" s="33"/>
      <c r="C36" s="25"/>
    </row>
    <row r="37" spans="1:14" x14ac:dyDescent="0.25">
      <c r="A37" s="34" t="s">
        <v>1219</v>
      </c>
      <c r="B37" s="33"/>
      <c r="C37" s="25"/>
    </row>
    <row r="38" spans="1:14" x14ac:dyDescent="0.25">
      <c r="A38" s="32"/>
      <c r="B38" s="33">
        <f>'[2]PYG 2025 GULAH'!B38+'[2]PYG 2025 JARDIN'!B38</f>
        <v>0</v>
      </c>
      <c r="C38" s="25"/>
    </row>
    <row r="39" spans="1:14" x14ac:dyDescent="0.25">
      <c r="A39" s="34" t="s">
        <v>1220</v>
      </c>
      <c r="B39" s="33"/>
      <c r="C39" s="25"/>
    </row>
    <row r="40" spans="1:14" x14ac:dyDescent="0.25">
      <c r="A40" s="32"/>
      <c r="B40" s="33">
        <f>'[2]PYG 2025 GULAH'!B40+'[2]PYG 2025 JARDIN'!B40</f>
        <v>0</v>
      </c>
      <c r="C40" s="25"/>
    </row>
    <row r="41" spans="1:14" x14ac:dyDescent="0.25">
      <c r="A41" s="34" t="s">
        <v>1221</v>
      </c>
      <c r="B41" s="33"/>
      <c r="C41" s="25"/>
    </row>
    <row r="42" spans="1:14" x14ac:dyDescent="0.25">
      <c r="A42" s="32"/>
      <c r="B42" s="33">
        <f>'[2]PYG 2025 GULAH'!B42+'[2]PYG 2025 JARDIN'!B42</f>
        <v>0</v>
      </c>
      <c r="C42" s="25"/>
    </row>
    <row r="43" spans="1:14" x14ac:dyDescent="0.25">
      <c r="A43" s="34" t="s">
        <v>1222</v>
      </c>
      <c r="B43" s="33"/>
      <c r="C43" s="25"/>
    </row>
    <row r="44" spans="1:14" x14ac:dyDescent="0.25">
      <c r="A44" s="32" t="s">
        <v>1223</v>
      </c>
      <c r="B44" s="33">
        <f>'[2]PYG 2025 GULAH'!B44+'[2]PYG 2025 JARDIN'!B44</f>
        <v>10000</v>
      </c>
      <c r="C44" s="25"/>
    </row>
    <row r="45" spans="1:14" x14ac:dyDescent="0.25">
      <c r="A45" s="32" t="s">
        <v>1224</v>
      </c>
      <c r="B45" s="33">
        <f>'[2]PYG 2025 GULAH'!B45+'[2]PYG 2025 JARDIN'!B45</f>
        <v>0</v>
      </c>
      <c r="C45" s="25"/>
    </row>
    <row r="46" spans="1:14" x14ac:dyDescent="0.25">
      <c r="A46" s="32"/>
      <c r="B46" s="33"/>
      <c r="C46" s="25"/>
    </row>
    <row r="47" spans="1:14" x14ac:dyDescent="0.25">
      <c r="A47" s="36" t="s">
        <v>1225</v>
      </c>
      <c r="B47" s="40">
        <f>'[2]PYG 2025 GULAH'!B47+'[2]PYG 2025 JARDIN'!B47</f>
        <v>205102.48241999978</v>
      </c>
      <c r="C47" s="25"/>
    </row>
    <row r="48" spans="1:14" x14ac:dyDescent="0.25">
      <c r="A48" s="32"/>
      <c r="B48" s="33"/>
      <c r="C48" s="25"/>
    </row>
    <row r="49" spans="1:3" x14ac:dyDescent="0.25">
      <c r="A49" s="34" t="s">
        <v>1226</v>
      </c>
      <c r="B49" s="33">
        <f>'[2]PYG 2025 GULAH'!B49+'[2]PYG 2025 JARDIN'!B49</f>
        <v>0</v>
      </c>
      <c r="C49" s="25"/>
    </row>
    <row r="50" spans="1:3" x14ac:dyDescent="0.25">
      <c r="A50" s="32"/>
      <c r="B50" s="33"/>
      <c r="C50" s="25"/>
    </row>
    <row r="51" spans="1:3" x14ac:dyDescent="0.25">
      <c r="A51" s="34" t="s">
        <v>1227</v>
      </c>
      <c r="B51" s="33">
        <f>'[2]PYG 2025 GULAH'!B51+'[2]PYG 2025 JARDIN'!B51</f>
        <v>0</v>
      </c>
      <c r="C51" s="25"/>
    </row>
    <row r="52" spans="1:3" x14ac:dyDescent="0.25">
      <c r="A52" s="32" t="s">
        <v>1228</v>
      </c>
      <c r="B52" s="33">
        <f>'[2]PYG 2025 GULAH'!B52+'[2]PYG 2025 JARDIN'!B52</f>
        <v>41250</v>
      </c>
      <c r="C52" s="25"/>
    </row>
    <row r="53" spans="1:3" x14ac:dyDescent="0.25">
      <c r="A53" s="32"/>
      <c r="B53" s="33"/>
      <c r="C53" s="25"/>
    </row>
    <row r="54" spans="1:3" x14ac:dyDescent="0.25">
      <c r="A54" s="34" t="s">
        <v>1229</v>
      </c>
      <c r="B54" s="33">
        <f>'[2]PYG 2025 GULAH'!B54+'[2]PYG 2025 JARDIN'!B54</f>
        <v>0</v>
      </c>
      <c r="C54" s="25"/>
    </row>
    <row r="55" spans="1:3" x14ac:dyDescent="0.25">
      <c r="A55" s="32"/>
      <c r="B55" s="33"/>
      <c r="C55" s="25"/>
    </row>
    <row r="56" spans="1:3" x14ac:dyDescent="0.25">
      <c r="A56" s="34" t="s">
        <v>1230</v>
      </c>
      <c r="B56" s="33">
        <f>'[2]PYG 2025 GULAH'!B56+'[2]PYG 2025 JARDIN'!B56</f>
        <v>0</v>
      </c>
      <c r="C56" s="25"/>
    </row>
    <row r="57" spans="1:3" x14ac:dyDescent="0.25">
      <c r="A57" s="32"/>
      <c r="B57" s="33"/>
      <c r="C57" s="25"/>
    </row>
    <row r="58" spans="1:3" x14ac:dyDescent="0.25">
      <c r="A58" s="34" t="s">
        <v>1231</v>
      </c>
      <c r="B58" s="33">
        <f>'[2]PYG 2025 GULAH'!B58+'[2]PYG 2025 JARDIN'!B58</f>
        <v>0</v>
      </c>
      <c r="C58" s="25"/>
    </row>
    <row r="59" spans="1:3" x14ac:dyDescent="0.25">
      <c r="A59" s="32"/>
      <c r="B59" s="33"/>
      <c r="C59" s="25"/>
    </row>
    <row r="60" spans="1:3" x14ac:dyDescent="0.25">
      <c r="A60" s="34" t="s">
        <v>1232</v>
      </c>
      <c r="B60" s="33">
        <f>'[2]PYG 2025 GULAH'!B60+'[2]PYG 2025 JARDIN'!B60</f>
        <v>0</v>
      </c>
      <c r="C60" s="25"/>
    </row>
    <row r="61" spans="1:3" x14ac:dyDescent="0.25">
      <c r="A61" s="32"/>
      <c r="B61" s="33"/>
      <c r="C61" s="25"/>
    </row>
    <row r="62" spans="1:3" x14ac:dyDescent="0.25">
      <c r="A62" s="36" t="s">
        <v>1233</v>
      </c>
      <c r="B62" s="41">
        <f>'[2]PYG 2025 GULAH'!B62+'[2]PYG 2025 JARDIN'!B62</f>
        <v>41250</v>
      </c>
      <c r="C62" s="25"/>
    </row>
    <row r="63" spans="1:3" x14ac:dyDescent="0.25">
      <c r="A63" s="32"/>
      <c r="B63" s="33"/>
      <c r="C63" s="25"/>
    </row>
    <row r="64" spans="1:3" x14ac:dyDescent="0.25">
      <c r="A64" s="36" t="s">
        <v>1234</v>
      </c>
      <c r="B64" s="40">
        <f>'[2]PYG 2025 GULAH'!B64+'[2]PYG 2025 JARDIN'!B64</f>
        <v>163852.48241999978</v>
      </c>
      <c r="C64" s="25"/>
    </row>
    <row r="65" spans="1:3" x14ac:dyDescent="0.25">
      <c r="A65" s="32"/>
      <c r="B65" s="33"/>
      <c r="C65" s="25"/>
    </row>
    <row r="66" spans="1:3" x14ac:dyDescent="0.25">
      <c r="A66" s="42" t="s">
        <v>1235</v>
      </c>
      <c r="B66" s="41">
        <f>'[2]PYG 2025 GULAH'!B66+'[2]PYG 2025 JARDIN'!B66</f>
        <v>24577.872362999966</v>
      </c>
      <c r="C66" s="25"/>
    </row>
    <row r="67" spans="1:3" x14ac:dyDescent="0.25">
      <c r="A67" s="32"/>
      <c r="B67" s="33"/>
      <c r="C67" s="25"/>
    </row>
    <row r="68" spans="1:3" x14ac:dyDescent="0.25">
      <c r="A68" s="36" t="s">
        <v>1236</v>
      </c>
      <c r="B68" s="40">
        <f>'[2]PYG 2025 GULAH'!B68+'[2]PYG 2025 JARDIN'!B68</f>
        <v>139274.61005699981</v>
      </c>
      <c r="C68" s="25"/>
    </row>
    <row r="69" spans="1:3" x14ac:dyDescent="0.25">
      <c r="A69" s="32"/>
      <c r="B69" s="33"/>
      <c r="C69" s="25"/>
    </row>
    <row r="70" spans="1:3" x14ac:dyDescent="0.25">
      <c r="A70" s="32"/>
      <c r="B70" s="33"/>
      <c r="C70" s="25"/>
    </row>
    <row r="71" spans="1:3" x14ac:dyDescent="0.25">
      <c r="A71" s="32"/>
      <c r="B71" s="33"/>
      <c r="C71" s="25"/>
    </row>
    <row r="72" spans="1:3" x14ac:dyDescent="0.25">
      <c r="A72" s="32"/>
      <c r="B72" s="33"/>
      <c r="C72" s="25"/>
    </row>
    <row r="73" spans="1:3" x14ac:dyDescent="0.25">
      <c r="A73" s="32"/>
      <c r="B73" s="33"/>
      <c r="C73" s="25"/>
    </row>
    <row r="74" spans="1:3" x14ac:dyDescent="0.25">
      <c r="A74" s="32"/>
      <c r="B74" s="33"/>
      <c r="C74" s="25"/>
    </row>
    <row r="75" spans="1:3" x14ac:dyDescent="0.25">
      <c r="A75" s="38"/>
      <c r="B75" s="39"/>
      <c r="C75" s="25"/>
    </row>
  </sheetData>
  <mergeCells count="2">
    <mergeCell ref="A1:B1"/>
    <mergeCell ref="A2:B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7351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presupuesto ventas cenval indus</vt:lpstr>
      <vt:lpstr>Cenvalsa industrial</vt:lpstr>
      <vt:lpstr>Cenval</vt:lpstr>
      <vt:lpstr>D&amp;M</vt:lpstr>
      <vt:lpstr>Saratur</vt:lpstr>
      <vt:lpstr>consolidado DM</vt:lpstr>
      <vt:lpstr>Total grupo</vt:lpstr>
      <vt:lpstr>jardin 26</vt:lpstr>
      <vt:lpstr>Gula 26</vt:lpstr>
      <vt:lpstr>PYG GULAH</vt:lpstr>
      <vt:lpstr>PYG JARDIN</vt:lpstr>
      <vt:lpstr>PYG CONSOLIDADO D&amp;M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Sara Macho</dc:creator>
  <dc:description/>
  <cp:lastModifiedBy>José Luis Martín</cp:lastModifiedBy>
  <cp:revision>18</cp:revision>
  <dcterms:created xsi:type="dcterms:W3CDTF">2025-01-08T12:44:44Z</dcterms:created>
  <dcterms:modified xsi:type="dcterms:W3CDTF">2026-03-04T10:59:27Z</dcterms:modified>
  <dc:language>es-ES</dc:language>
</cp:coreProperties>
</file>